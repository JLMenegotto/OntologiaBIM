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191AB81-F9E7-4089-B2A0-1FCACB4301A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X3" i="39"/>
  <c r="X4" i="39"/>
  <c r="X5" i="39" s="1"/>
  <c r="X6" i="39" s="1"/>
  <c r="X7" i="39"/>
  <c r="X8" i="39" s="1"/>
  <c r="X9" i="39"/>
  <c r="X10" i="39" s="1"/>
  <c r="X11" i="39" s="1"/>
  <c r="X12" i="39" s="1"/>
  <c r="X13" i="39" s="1"/>
  <c r="X14" i="39" s="1"/>
  <c r="X15" i="39" s="1"/>
  <c r="X16" i="39" s="1"/>
  <c r="X17" i="39" s="1"/>
  <c r="X18" i="39"/>
  <c r="X19" i="39" s="1"/>
  <c r="X20" i="39" s="1"/>
  <c r="X21" i="39"/>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c r="X44" i="39" s="1"/>
  <c r="X45" i="39" s="1"/>
  <c r="X46" i="39" s="1"/>
  <c r="X47" i="39" s="1"/>
  <c r="X48" i="39" s="1"/>
  <c r="X49" i="39" s="1"/>
  <c r="X50" i="39" s="1"/>
  <c r="X51" i="39"/>
  <c r="X52" i="39" s="1"/>
  <c r="X53" i="39"/>
  <c r="X54" i="39"/>
  <c r="X55" i="39" s="1"/>
  <c r="X56" i="39" s="1"/>
  <c r="X57" i="39" s="1"/>
  <c r="X58" i="39" s="1"/>
  <c r="X59" i="39" s="1"/>
  <c r="X60" i="39" s="1"/>
  <c r="X61" i="39" s="1"/>
  <c r="X62" i="39" s="1"/>
  <c r="X63" i="39" s="1"/>
  <c r="X64" i="39" s="1"/>
  <c r="X65" i="39" s="1"/>
  <c r="X66" i="39"/>
  <c r="X67" i="39"/>
  <c r="X68" i="39" s="1"/>
  <c r="X69" i="39" s="1"/>
  <c r="X70" i="39" s="1"/>
  <c r="X71" i="39" s="1"/>
  <c r="X72" i="39" s="1"/>
  <c r="X73" i="39"/>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c r="X100" i="39" s="1"/>
  <c r="X101" i="39" s="1"/>
  <c r="X102" i="39" s="1"/>
  <c r="X103" i="39" s="1"/>
  <c r="X104" i="39"/>
  <c r="X105" i="39" s="1"/>
  <c r="X106" i="39"/>
  <c r="X107" i="39" s="1"/>
  <c r="X108" i="39" s="1"/>
  <c r="X109" i="39"/>
  <c r="X110" i="39"/>
  <c r="X111" i="39" s="1"/>
  <c r="X112" i="39" s="1"/>
  <c r="X113" i="39" s="1"/>
  <c r="X114" i="39" s="1"/>
  <c r="X115" i="39" s="1"/>
  <c r="X116" i="39" s="1"/>
  <c r="X117" i="39" s="1"/>
  <c r="X118" i="39"/>
  <c r="X119" i="39" s="1"/>
  <c r="X120" i="39" s="1"/>
  <c r="X121" i="39" s="1"/>
  <c r="X122" i="39" s="1"/>
  <c r="X123" i="39" s="1"/>
  <c r="X124" i="39"/>
  <c r="X125" i="39" s="1"/>
  <c r="X126" i="39" s="1"/>
  <c r="X127" i="39" s="1"/>
  <c r="X128" i="39" s="1"/>
  <c r="X129" i="39" s="1"/>
  <c r="X130" i="39" s="1"/>
  <c r="X131" i="39" s="1"/>
  <c r="X132" i="39" s="1"/>
  <c r="X133" i="39" s="1"/>
  <c r="X134" i="39" s="1"/>
  <c r="X135" i="39" s="1"/>
  <c r="X136" i="39" s="1"/>
  <c r="X137" i="39" s="1"/>
  <c r="X138" i="39" s="1"/>
  <c r="X139" i="39"/>
  <c r="X140" i="39" s="1"/>
  <c r="X141" i="39" s="1"/>
  <c r="X142" i="39" s="1"/>
  <c r="X143" i="39" s="1"/>
  <c r="X144" i="39"/>
  <c r="X145" i="39" s="1"/>
  <c r="X146" i="39" s="1"/>
  <c r="X147" i="39" s="1"/>
  <c r="X148" i="39"/>
  <c r="X149" i="39"/>
  <c r="X150" i="39" s="1"/>
  <c r="X151" i="39" s="1"/>
  <c r="X152" i="39" s="1"/>
  <c r="X153" i="39" s="1"/>
  <c r="X154" i="39" s="1"/>
  <c r="X155" i="39" s="1"/>
  <c r="X156" i="39"/>
  <c r="X157" i="39" s="1"/>
  <c r="X158" i="39" s="1"/>
  <c r="X159" i="39" s="1"/>
  <c r="X160" i="39" s="1"/>
  <c r="X161" i="39" s="1"/>
  <c r="X162" i="39"/>
  <c r="X163" i="39"/>
  <c r="X164" i="39"/>
  <c r="X165" i="39"/>
  <c r="X166" i="39" s="1"/>
  <c r="X167" i="39" s="1"/>
  <c r="X168" i="39" s="1"/>
  <c r="X169" i="39" s="1"/>
  <c r="X170" i="39"/>
  <c r="X171" i="39"/>
  <c r="X172" i="39" s="1"/>
  <c r="X173" i="39" s="1"/>
  <c r="X174" i="39" s="1"/>
  <c r="X175" i="39"/>
  <c r="X176" i="39" s="1"/>
  <c r="X177" i="39"/>
  <c r="X178" i="39"/>
  <c r="X179" i="39" s="1"/>
  <c r="X180" i="39" s="1"/>
  <c r="X181" i="39"/>
  <c r="X182" i="39" s="1"/>
  <c r="X183" i="39"/>
  <c r="X184" i="39"/>
  <c r="X185" i="39" s="1"/>
  <c r="X186" i="39"/>
  <c r="X187" i="39"/>
  <c r="X188" i="39"/>
  <c r="X189" i="39" s="1"/>
  <c r="X190" i="39"/>
  <c r="X191" i="39" s="1"/>
  <c r="X192" i="39" s="1"/>
  <c r="X193" i="39" s="1"/>
  <c r="X194" i="39" s="1"/>
  <c r="X195" i="39" s="1"/>
  <c r="X196" i="39"/>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s="1"/>
  <c r="X224" i="39" s="1"/>
  <c r="X225" i="39" s="1"/>
  <c r="X226" i="39" s="1"/>
  <c r="X227" i="39" s="1"/>
  <c r="X228" i="39" s="1"/>
  <c r="X229" i="39"/>
  <c r="X230" i="39" s="1"/>
  <c r="X231" i="39" s="1"/>
  <c r="X232" i="39" s="1"/>
  <c r="X233" i="39" s="1"/>
  <c r="X234" i="39" s="1"/>
  <c r="X235" i="39" s="1"/>
  <c r="X236" i="39" s="1"/>
  <c r="X237" i="39" s="1"/>
  <c r="X238" i="39" s="1"/>
  <c r="X239" i="39"/>
  <c r="X240" i="39" s="1"/>
  <c r="X241" i="39" s="1"/>
  <c r="X242" i="39" s="1"/>
  <c r="X243" i="39" s="1"/>
  <c r="X244" i="39" s="1"/>
  <c r="X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c r="X272" i="39" s="1"/>
  <c r="X273" i="39"/>
  <c r="X274" i="39" s="1"/>
  <c r="X275" i="39"/>
  <c r="X276" i="39" s="1"/>
  <c r="X277" i="39" s="1"/>
  <c r="X278" i="39" s="1"/>
  <c r="X279" i="39" s="1"/>
  <c r="X280" i="39" s="1"/>
  <c r="X281" i="39" s="1"/>
  <c r="X282" i="39" s="1"/>
  <c r="X283" i="39"/>
  <c r="X284" i="39" s="1"/>
  <c r="X285" i="39" s="1"/>
  <c r="X286" i="39"/>
  <c r="X287" i="39"/>
  <c r="X288" i="39"/>
  <c r="X289" i="39" s="1"/>
  <c r="X290" i="39"/>
  <c r="X291" i="39" s="1"/>
  <c r="X292" i="39" s="1"/>
  <c r="X293" i="39" s="1"/>
  <c r="X294" i="39" s="1"/>
  <c r="X295" i="39" s="1"/>
  <c r="X296" i="39" s="1"/>
  <c r="X297" i="39" s="1"/>
  <c r="X298" i="39" s="1"/>
  <c r="X299" i="39" s="1"/>
  <c r="X300" i="39" s="1"/>
  <c r="X301" i="39" s="1"/>
  <c r="X302" i="39" s="1"/>
  <c r="X303" i="39" s="1"/>
  <c r="X304" i="39" s="1"/>
  <c r="X305" i="39" s="1"/>
  <c r="X306" i="39"/>
  <c r="X307" i="39"/>
  <c r="X308" i="39"/>
  <c r="X309" i="39" s="1"/>
  <c r="X310" i="39" s="1"/>
  <c r="X311" i="39" s="1"/>
  <c r="X312" i="39" s="1"/>
  <c r="X313" i="39" s="1"/>
  <c r="X314" i="39" s="1"/>
  <c r="X315" i="39" s="1"/>
  <c r="X316" i="39"/>
  <c r="X317" i="39" s="1"/>
  <c r="X318" i="39" s="1"/>
  <c r="X319" i="39" s="1"/>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c r="X342" i="39"/>
  <c r="X343" i="39" s="1"/>
  <c r="X344" i="39" s="1"/>
  <c r="X345" i="39" s="1"/>
  <c r="X346" i="39"/>
  <c r="X347" i="39"/>
  <c r="X348" i="39"/>
  <c r="X349" i="39"/>
  <c r="X350" i="39" s="1"/>
  <c r="X351" i="39" s="1"/>
  <c r="X352" i="39" s="1"/>
  <c r="X353" i="39" s="1"/>
  <c r="X354" i="39"/>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c r="X391" i="39"/>
  <c r="X392" i="39" s="1"/>
  <c r="X393" i="39" s="1"/>
  <c r="X394" i="39"/>
  <c r="X395" i="39" s="1"/>
  <c r="X396" i="39" s="1"/>
  <c r="X397" i="39" s="1"/>
  <c r="X398" i="39" s="1"/>
  <c r="X399" i="39" s="1"/>
  <c r="X400" i="39" s="1"/>
  <c r="X401" i="39" s="1"/>
  <c r="X402" i="39" s="1"/>
  <c r="X403" i="39" s="1"/>
  <c r="X404" i="39" s="1"/>
  <c r="X405" i="39" s="1"/>
  <c r="X406" i="39"/>
  <c r="X407" i="39"/>
  <c r="X408" i="39" s="1"/>
  <c r="X409" i="39"/>
  <c r="X410" i="39"/>
  <c r="X411" i="39" s="1"/>
  <c r="X412" i="39" s="1"/>
  <c r="X413" i="39" s="1"/>
  <c r="X414" i="39" s="1"/>
  <c r="X415" i="39" s="1"/>
  <c r="X416" i="39" s="1"/>
  <c r="X417" i="39" s="1"/>
  <c r="X418" i="39" s="1"/>
  <c r="X419" i="39" s="1"/>
  <c r="X420" i="39" s="1"/>
  <c r="X421" i="39" s="1"/>
  <c r="X422" i="39" s="1"/>
  <c r="X423" i="39" s="1"/>
  <c r="X424" i="39" s="1"/>
  <c r="X425" i="39" s="1"/>
  <c r="X426" i="39" s="1"/>
  <c r="X427" i="39"/>
  <c r="X428" i="39"/>
  <c r="X429" i="39"/>
  <c r="X430" i="39"/>
  <c r="X431" i="39" s="1"/>
  <c r="X432" i="39" s="1"/>
  <c r="X433" i="39" s="1"/>
  <c r="X434" i="39" s="1"/>
  <c r="X435" i="39" s="1"/>
  <c r="X436" i="39"/>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c r="X476" i="39"/>
  <c r="X477" i="39" s="1"/>
  <c r="X478" i="39" s="1"/>
  <c r="X479" i="39" s="1"/>
  <c r="X480" i="39"/>
  <c r="X481" i="39"/>
  <c r="X482" i="39"/>
  <c r="X483" i="39" s="1"/>
  <c r="X484" i="39" s="1"/>
  <c r="X485" i="39" s="1"/>
  <c r="X486" i="39" s="1"/>
  <c r="X487" i="39" s="1"/>
  <c r="X488" i="39" s="1"/>
  <c r="X489" i="39" s="1"/>
  <c r="X490" i="39" s="1"/>
  <c r="X491" i="39" s="1"/>
  <c r="X492" i="39" s="1"/>
  <c r="X493" i="39" s="1"/>
  <c r="X494" i="39" s="1"/>
  <c r="X495" i="39"/>
  <c r="X496" i="39" s="1"/>
  <c r="X497" i="39" s="1"/>
  <c r="X498" i="39" s="1"/>
  <c r="X499" i="39" s="1"/>
  <c r="X500" i="39" s="1"/>
  <c r="X501" i="39"/>
  <c r="X502" i="39"/>
  <c r="X503" i="39"/>
  <c r="X504" i="39" s="1"/>
  <c r="X505" i="39"/>
  <c r="X506" i="39"/>
  <c r="X507" i="39"/>
  <c r="X508" i="39"/>
  <c r="X509" i="39" s="1"/>
  <c r="X510" i="39"/>
  <c r="X511" i="39" s="1"/>
  <c r="X512" i="39" s="1"/>
  <c r="X513" i="39" s="1"/>
  <c r="X514" i="39" s="1"/>
  <c r="X515" i="39" s="1"/>
  <c r="X516" i="39"/>
  <c r="X517" i="39"/>
  <c r="X518" i="39" s="1"/>
  <c r="X519" i="39" s="1"/>
  <c r="X520" i="39" s="1"/>
  <c r="X521" i="39" s="1"/>
  <c r="X522" i="39" s="1"/>
  <c r="X523" i="39" s="1"/>
  <c r="X524" i="39" s="1"/>
  <c r="X525" i="39" s="1"/>
  <c r="X526" i="39" s="1"/>
  <c r="X527" i="39" s="1"/>
  <c r="X528" i="39"/>
  <c r="X529" i="39" s="1"/>
  <c r="X530" i="39" s="1"/>
  <c r="X531" i="39" s="1"/>
  <c r="X532" i="39" s="1"/>
  <c r="X533" i="39" s="1"/>
  <c r="X534" i="39" s="1"/>
  <c r="X535" i="39" s="1"/>
  <c r="X536" i="39" s="1"/>
  <c r="X537" i="39" s="1"/>
  <c r="X538" i="39" s="1"/>
  <c r="X539" i="39" s="1"/>
  <c r="X540" i="39" s="1"/>
  <c r="X541" i="39" s="1"/>
  <c r="X542" i="39" s="1"/>
  <c r="X543" i="39" s="1"/>
  <c r="X544" i="39" s="1"/>
  <c r="X545" i="39"/>
  <c r="X546" i="39" s="1"/>
  <c r="X547" i="39" s="1"/>
  <c r="X548" i="39" s="1"/>
  <c r="X549" i="39" s="1"/>
  <c r="X550" i="39" s="1"/>
  <c r="X551" i="39"/>
  <c r="X552" i="39" s="1"/>
  <c r="X553" i="39" s="1"/>
  <c r="X554" i="39" s="1"/>
  <c r="X555" i="39" s="1"/>
  <c r="X556" i="39" s="1"/>
  <c r="X557" i="39" s="1"/>
  <c r="X558" i="39" s="1"/>
  <c r="X559" i="39" s="1"/>
  <c r="X560" i="39" s="1"/>
  <c r="X561" i="39" s="1"/>
  <c r="X562" i="39" s="1"/>
  <c r="X563" i="39" s="1"/>
  <c r="X564" i="39"/>
  <c r="X565" i="39" s="1"/>
  <c r="X566" i="39" s="1"/>
  <c r="X567" i="39" s="1"/>
  <c r="X568" i="39" s="1"/>
  <c r="X569" i="39" s="1"/>
  <c r="X570" i="39" s="1"/>
  <c r="X571" i="39"/>
  <c r="X572" i="39" s="1"/>
  <c r="X573" i="39" s="1"/>
  <c r="X574" i="39" s="1"/>
  <c r="X575" i="39" s="1"/>
  <c r="X576" i="39"/>
  <c r="X577" i="39" s="1"/>
  <c r="X578" i="39" s="1"/>
  <c r="X579" i="39" s="1"/>
  <c r="X580" i="39" s="1"/>
  <c r="X581" i="39" s="1"/>
  <c r="X582" i="39"/>
  <c r="X583" i="39"/>
  <c r="X584" i="39"/>
  <c r="X585" i="39" s="1"/>
  <c r="X586" i="39" s="1"/>
  <c r="X587" i="39" s="1"/>
  <c r="X588" i="39" s="1"/>
  <c r="X589" i="39" s="1"/>
  <c r="X590" i="39"/>
  <c r="X591" i="39"/>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c r="X613" i="39" s="1"/>
  <c r="X614" i="39" s="1"/>
  <c r="X615" i="39" s="1"/>
  <c r="X616" i="39" s="1"/>
  <c r="X617" i="39" s="1"/>
  <c r="X618" i="39" s="1"/>
  <c r="X619" i="39" s="1"/>
  <c r="X620" i="39" s="1"/>
  <c r="X621" i="39" s="1"/>
  <c r="X622" i="39" s="1"/>
  <c r="X623" i="39" s="1"/>
  <c r="X624" i="39" s="1"/>
  <c r="X625" i="39" s="1"/>
  <c r="X626" i="39" s="1"/>
  <c r="X627" i="39" s="1"/>
  <c r="X628" i="39" s="1"/>
  <c r="X629" i="39"/>
  <c r="X630" i="39"/>
  <c r="X631" i="39" s="1"/>
  <c r="X632" i="39"/>
  <c r="X633" i="39"/>
  <c r="X634" i="39" s="1"/>
  <c r="X635" i="39" s="1"/>
  <c r="X636" i="39"/>
  <c r="X637" i="39" s="1"/>
  <c r="X638" i="39" s="1"/>
  <c r="X639" i="39" s="1"/>
  <c r="X640" i="39" s="1"/>
  <c r="X641" i="39" s="1"/>
  <c r="X642" i="39"/>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c r="X668" i="39" s="1"/>
  <c r="X669" i="39" s="1"/>
  <c r="X670" i="39"/>
  <c r="X671" i="39"/>
  <c r="X672" i="39"/>
  <c r="X673" i="39" s="1"/>
  <c r="X674" i="39" s="1"/>
  <c r="X675" i="39" s="1"/>
  <c r="X676" i="39" s="1"/>
  <c r="X677" i="39" s="1"/>
  <c r="X678" i="39"/>
  <c r="X679" i="39" s="1"/>
  <c r="X680" i="39" s="1"/>
  <c r="X681" i="39" s="1"/>
  <c r="X682" i="39" s="1"/>
  <c r="X683" i="39"/>
  <c r="X684" i="39"/>
  <c r="X685" i="39" s="1"/>
  <c r="X686" i="39" s="1"/>
  <c r="X687" i="39" s="1"/>
  <c r="X688" i="39" s="1"/>
  <c r="X689" i="39" s="1"/>
  <c r="X690" i="39" s="1"/>
  <c r="X691" i="39"/>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c r="X724" i="39" s="1"/>
  <c r="X725" i="39" s="1"/>
  <c r="X726" i="39" s="1"/>
  <c r="X727" i="39" s="1"/>
  <c r="X728" i="39" s="1"/>
  <c r="X729" i="39" s="1"/>
  <c r="X730" i="39" s="1"/>
  <c r="X731" i="39" s="1"/>
  <c r="X732" i="39"/>
  <c r="X733" i="39"/>
  <c r="X734" i="39" s="1"/>
  <c r="X735" i="39" s="1"/>
  <c r="X736" i="39" s="1"/>
  <c r="X737" i="39" s="1"/>
  <c r="X738" i="39" s="1"/>
  <c r="X739" i="39"/>
  <c r="X740" i="39" s="1"/>
  <c r="X741" i="39" s="1"/>
  <c r="X742" i="39" s="1"/>
  <c r="X743" i="39"/>
  <c r="X744" i="39" s="1"/>
  <c r="X745" i="39" s="1"/>
  <c r="X746" i="39" s="1"/>
  <c r="X747" i="39"/>
  <c r="X748" i="39"/>
  <c r="X749" i="39"/>
  <c r="X750" i="39" s="1"/>
  <c r="X751" i="39"/>
  <c r="X752" i="39"/>
  <c r="X753" i="39" s="1"/>
  <c r="X754" i="39" s="1"/>
  <c r="X755" i="39"/>
  <c r="X756" i="39" s="1"/>
  <c r="X757" i="39"/>
  <c r="X758" i="39" s="1"/>
  <c r="X759" i="39" s="1"/>
  <c r="X760" i="39"/>
  <c r="X761" i="39" s="1"/>
  <c r="X762" i="39" s="1"/>
  <c r="X763" i="39" s="1"/>
  <c r="X764" i="39"/>
  <c r="X765" i="39"/>
  <c r="X766" i="39" s="1"/>
  <c r="X767" i="39" s="1"/>
  <c r="X768" i="39" s="1"/>
  <c r="X769" i="39" s="1"/>
  <c r="X770" i="39" s="1"/>
  <c r="X771" i="39" s="1"/>
  <c r="X772" i="39" s="1"/>
  <c r="X773" i="39"/>
  <c r="X774" i="39"/>
  <c r="X775" i="39" s="1"/>
  <c r="X776" i="39" s="1"/>
  <c r="X777" i="39" s="1"/>
  <c r="X778" i="39" s="1"/>
  <c r="X779" i="39" s="1"/>
  <c r="X780" i="39" s="1"/>
  <c r="X781" i="39" s="1"/>
  <c r="X782" i="39" s="1"/>
  <c r="X783" i="39"/>
  <c r="X784" i="39" s="1"/>
  <c r="X785" i="39" s="1"/>
  <c r="X786" i="39"/>
  <c r="X787" i="39"/>
  <c r="X788" i="39"/>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c r="X811" i="39" s="1"/>
  <c r="X812" i="39"/>
  <c r="X813" i="39" s="1"/>
  <c r="X814" i="39" s="1"/>
  <c r="X815" i="39"/>
  <c r="X816" i="39"/>
  <c r="X817" i="39" s="1"/>
  <c r="X818" i="39" s="1"/>
  <c r="X819" i="39" s="1"/>
  <c r="X820" i="39" s="1"/>
  <c r="X821" i="39" s="1"/>
  <c r="X822" i="39" s="1"/>
  <c r="X823" i="39" s="1"/>
  <c r="X824" i="39" s="1"/>
  <c r="X825" i="39"/>
  <c r="X826" i="39" s="1"/>
  <c r="X827" i="39"/>
  <c r="X828" i="39"/>
  <c r="X829" i="39" s="1"/>
  <c r="X830" i="39" s="1"/>
  <c r="X831" i="39" s="1"/>
  <c r="X832" i="39" s="1"/>
  <c r="X833" i="39" s="1"/>
  <c r="X834" i="39" s="1"/>
  <c r="X835" i="39" s="1"/>
  <c r="X836" i="39"/>
  <c r="X837" i="39" s="1"/>
  <c r="X838" i="39" s="1"/>
  <c r="X839" i="39" s="1"/>
  <c r="X840" i="39" s="1"/>
  <c r="X841" i="39"/>
  <c r="X842" i="39" s="1"/>
  <c r="X843" i="39"/>
  <c r="X844" i="39"/>
  <c r="X845" i="39" s="1"/>
  <c r="X846" i="39" s="1"/>
  <c r="X847" i="39" s="1"/>
  <c r="X848" i="39" s="1"/>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c r="X868" i="39" s="1"/>
  <c r="X869" i="39" s="1"/>
  <c r="X870" i="39"/>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X890" i="39"/>
  <c r="X891" i="39"/>
  <c r="X892" i="39"/>
  <c r="X893" i="39" s="1"/>
  <c r="X894" i="39" s="1"/>
  <c r="X895" i="39" s="1"/>
  <c r="X896" i="39" s="1"/>
  <c r="X897" i="39"/>
  <c r="X898" i="39" s="1"/>
  <c r="X899" i="39" s="1"/>
  <c r="X900" i="39"/>
  <c r="X901" i="39" s="1"/>
  <c r="X902" i="39"/>
  <c r="X903" i="39"/>
  <c r="X904" i="39" s="1"/>
  <c r="X905" i="39" s="1"/>
  <c r="X906" i="39" s="1"/>
  <c r="X907" i="39" s="1"/>
  <c r="X908" i="39" s="1"/>
  <c r="X909" i="39" s="1"/>
  <c r="X910" i="39" s="1"/>
  <c r="X911" i="39" s="1"/>
  <c r="X912" i="39" s="1"/>
  <c r="X913" i="39" s="1"/>
  <c r="X914" i="39" s="1"/>
  <c r="X915" i="39" s="1"/>
  <c r="X916" i="39" s="1"/>
  <c r="X917" i="39" s="1"/>
  <c r="X918" i="39" s="1"/>
  <c r="X919" i="39"/>
  <c r="X920" i="39" s="1"/>
  <c r="X921" i="39"/>
  <c r="X922" i="39" s="1"/>
  <c r="X923" i="39"/>
  <c r="X924" i="39" s="1"/>
  <c r="X925" i="39" s="1"/>
  <c r="X926" i="39" s="1"/>
  <c r="X927" i="39" s="1"/>
  <c r="X928" i="39" s="1"/>
  <c r="X929" i="39" s="1"/>
  <c r="X930" i="39" s="1"/>
  <c r="X931" i="39" s="1"/>
  <c r="X932" i="39" s="1"/>
  <c r="X933" i="39" s="1"/>
  <c r="X934" i="39"/>
  <c r="X935" i="39"/>
  <c r="X936" i="39" s="1"/>
  <c r="X937" i="39"/>
  <c r="X938" i="39" s="1"/>
  <c r="X939" i="39" s="1"/>
  <c r="X940" i="39" s="1"/>
  <c r="X941" i="39" s="1"/>
  <c r="X942" i="39"/>
  <c r="X943" i="39" s="1"/>
  <c r="X944" i="39" s="1"/>
  <c r="X945" i="39" s="1"/>
  <c r="X946" i="39" s="1"/>
  <c r="X947" i="39" s="1"/>
  <c r="X948" i="39" s="1"/>
  <c r="X949" i="39" s="1"/>
  <c r="X950" i="39" s="1"/>
  <c r="X951" i="39" s="1"/>
  <c r="X952" i="39" s="1"/>
  <c r="X953" i="39" s="1"/>
  <c r="X954" i="39" s="1"/>
  <c r="X955" i="39"/>
  <c r="X956" i="39" s="1"/>
  <c r="X957" i="39"/>
  <c r="X958" i="39"/>
  <c r="X959" i="39" s="1"/>
  <c r="X960" i="39" s="1"/>
  <c r="X961" i="39" s="1"/>
  <c r="X962" i="39"/>
  <c r="X963" i="39" s="1"/>
  <c r="X964" i="39" s="1"/>
  <c r="X965" i="39" s="1"/>
  <c r="X966" i="39" s="1"/>
  <c r="X967" i="39" s="1"/>
  <c r="X968" i="39" s="1"/>
  <c r="X969"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c r="X991" i="39" s="1"/>
  <c r="X992" i="39" s="1"/>
  <c r="X993" i="39" s="1"/>
  <c r="X994" i="39"/>
  <c r="X995" i="39" s="1"/>
  <c r="X996" i="39" s="1"/>
  <c r="X997" i="39"/>
  <c r="X998" i="39"/>
  <c r="X999" i="39"/>
  <c r="X1000" i="39" s="1"/>
  <c r="X1001" i="39" s="1"/>
  <c r="X1002" i="39" s="1"/>
  <c r="X1003" i="39" s="1"/>
  <c r="X1004" i="39" s="1"/>
  <c r="X1005" i="39" s="1"/>
  <c r="X1006" i="39" s="1"/>
  <c r="X1007" i="39"/>
  <c r="X1008" i="39"/>
  <c r="X1009" i="39"/>
  <c r="X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c r="X1045" i="39"/>
  <c r="X1046" i="39" s="1"/>
  <c r="X1047" i="39"/>
  <c r="X1048" i="39"/>
  <c r="X1049" i="39" s="1"/>
  <c r="X1050" i="39" s="1"/>
  <c r="X1051" i="39" s="1"/>
  <c r="X1052" i="39" s="1"/>
  <c r="X1053" i="39" s="1"/>
  <c r="X1054" i="39" s="1"/>
  <c r="X1055" i="39" s="1"/>
  <c r="X1056" i="39" s="1"/>
  <c r="X1057" i="39" s="1"/>
  <c r="X1058" i="39" s="1"/>
  <c r="X1059" i="39" s="1"/>
  <c r="X1060" i="39" s="1"/>
  <c r="X1061" i="39" s="1"/>
  <c r="X1062" i="39" s="1"/>
  <c r="X1063" i="39"/>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c r="X1085" i="39"/>
  <c r="X1086" i="39"/>
  <c r="X1087" i="39"/>
  <c r="X1088" i="39" s="1"/>
  <c r="X1089" i="39" s="1"/>
  <c r="X1090" i="39" s="1"/>
  <c r="X1091" i="39" s="1"/>
  <c r="X1092" i="39" s="1"/>
  <c r="X1093" i="39" s="1"/>
  <c r="X1094" i="39"/>
  <c r="X1095" i="39" s="1"/>
  <c r="X1096" i="39" s="1"/>
  <c r="X1097" i="39" s="1"/>
  <c r="X1098" i="39" s="1"/>
  <c r="X1099" i="39" s="1"/>
  <c r="X1100" i="39" s="1"/>
  <c r="X1101" i="39" s="1"/>
  <c r="X1102" i="39" s="1"/>
  <c r="X1103" i="39" s="1"/>
  <c r="X1104" i="39" s="1"/>
  <c r="X1105" i="39"/>
  <c r="X1106" i="39"/>
  <c r="X1107" i="39"/>
  <c r="X1108" i="39" s="1"/>
  <c r="X1109" i="39" s="1"/>
  <c r="X1110" i="39" s="1"/>
  <c r="X1111" i="39" s="1"/>
  <c r="X1112" i="39"/>
  <c r="X1113" i="39"/>
  <c r="X1114" i="39" s="1"/>
  <c r="X1115" i="39" s="1"/>
  <c r="X1116" i="39" s="1"/>
  <c r="X1117" i="39" s="1"/>
  <c r="X1118" i="39" s="1"/>
  <c r="X1119" i="39" s="1"/>
  <c r="X1120" i="39"/>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c r="X1139" i="39"/>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c r="X1162" i="39"/>
  <c r="X1163" i="39"/>
  <c r="X1164" i="39" s="1"/>
  <c r="X1165" i="39" s="1"/>
  <c r="X1166" i="39"/>
  <c r="X1167" i="39" s="1"/>
  <c r="X1168" i="39" s="1"/>
  <c r="X1169" i="39" s="1"/>
  <c r="X1170" i="39"/>
  <c r="X1171" i="39" s="1"/>
  <c r="X1172" i="39" s="1"/>
  <c r="X1173" i="39"/>
  <c r="X1174" i="39" s="1"/>
  <c r="X1175" i="39" s="1"/>
  <c r="X1176" i="39" s="1"/>
  <c r="X1177" i="39" s="1"/>
  <c r="X1178" i="39"/>
  <c r="X1179" i="39"/>
  <c r="X1180" i="39" s="1"/>
  <c r="X1181" i="39" s="1"/>
  <c r="X1182" i="39" s="1"/>
  <c r="X1183" i="39" s="1"/>
  <c r="X1184" i="39" s="1"/>
  <c r="X1185" i="39" s="1"/>
  <c r="X1186" i="39" s="1"/>
  <c r="X1187" i="39"/>
  <c r="X1188" i="39" s="1"/>
  <c r="X1189" i="39" s="1"/>
  <c r="X1190" i="39" s="1"/>
  <c r="X1191" i="39" s="1"/>
  <c r="X1192" i="39" s="1"/>
  <c r="X1193" i="39"/>
  <c r="X1194" i="39"/>
  <c r="X1195" i="39" s="1"/>
  <c r="X1196" i="39"/>
  <c r="X1197" i="39"/>
  <c r="X1198" i="39"/>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c r="X1250" i="39" s="1"/>
  <c r="X1251" i="39" s="1"/>
  <c r="X1252" i="39"/>
  <c r="X1253" i="39" s="1"/>
  <c r="X1254" i="39" s="1"/>
  <c r="X1255" i="39" s="1"/>
  <c r="X1256" i="39" s="1"/>
  <c r="X1257" i="39" s="1"/>
  <c r="X1258" i="39" s="1"/>
  <c r="X1259" i="39" s="1"/>
  <c r="X1260" i="39"/>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c r="X1283" i="39" s="1"/>
  <c r="X1284" i="39"/>
  <c r="X1285" i="39" s="1"/>
  <c r="X1286" i="39" s="1"/>
  <c r="X1287" i="39"/>
  <c r="X1288" i="39" s="1"/>
  <c r="X1289" i="39" s="1"/>
  <c r="X1290" i="39"/>
  <c r="X1291" i="39" s="1"/>
  <c r="X1292" i="39" s="1"/>
  <c r="X1293" i="39"/>
  <c r="X1294" i="39"/>
  <c r="X1295" i="39"/>
  <c r="X1296" i="39"/>
  <c r="X1297" i="39"/>
  <c r="X1298" i="39" s="1"/>
  <c r="X1299" i="39" s="1"/>
  <c r="X1300" i="39"/>
  <c r="X1301" i="39" s="1"/>
  <c r="X1302" i="39" s="1"/>
  <c r="X1303" i="39"/>
  <c r="X1304" i="39" s="1"/>
  <c r="X1305" i="39" s="1"/>
  <c r="X1306" i="39" s="1"/>
  <c r="X1307" i="39" s="1"/>
  <c r="X1308" i="39" s="1"/>
  <c r="X1309" i="39" s="1"/>
  <c r="X1310" i="39" s="1"/>
  <c r="X1311" i="39"/>
  <c r="X1312" i="39" s="1"/>
  <c r="X1313" i="39"/>
  <c r="X1314" i="39"/>
  <c r="X1315" i="39"/>
  <c r="X1316" i="39" s="1"/>
  <c r="X1317" i="39" s="1"/>
  <c r="X1318" i="39" s="1"/>
  <c r="X1319" i="39" s="1"/>
  <c r="X1320" i="39" s="1"/>
  <c r="X1321" i="39" s="1"/>
  <c r="X1322" i="39" s="1"/>
  <c r="X1323" i="39" s="1"/>
  <c r="X1324" i="39" s="1"/>
  <c r="X1325" i="39"/>
  <c r="X1326" i="39" s="1"/>
  <c r="X1327" i="39" s="1"/>
  <c r="X1328" i="39" s="1"/>
  <c r="X1329" i="39" s="1"/>
  <c r="X1330" i="39"/>
  <c r="X1331" i="39" s="1"/>
  <c r="X1332" i="39" s="1"/>
  <c r="X1333" i="39" s="1"/>
  <c r="X1334" i="39" s="1"/>
  <c r="X1335" i="39" s="1"/>
  <c r="X1336" i="39" s="1"/>
  <c r="X1337" i="39" s="1"/>
  <c r="X1338" i="39" s="1"/>
  <c r="X1339" i="39" s="1"/>
  <c r="X1340" i="39" s="1"/>
  <c r="X1341" i="39"/>
  <c r="X1342" i="39"/>
  <c r="X1343" i="39" s="1"/>
  <c r="X1344" i="39" s="1"/>
  <c r="X1345" i="39" s="1"/>
  <c r="X1346" i="39" s="1"/>
  <c r="X1347" i="39" s="1"/>
  <c r="X1348" i="39"/>
  <c r="X1349" i="39"/>
  <c r="X1350" i="39" s="1"/>
  <c r="X1351" i="39" s="1"/>
  <c r="X1352" i="39" s="1"/>
  <c r="X1353" i="39"/>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c r="X1372" i="39"/>
  <c r="X1373" i="39" s="1"/>
  <c r="X1374" i="39" s="1"/>
  <c r="X1375" i="39"/>
  <c r="X1376" i="39"/>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c r="X1440" i="39"/>
  <c r="X1441" i="39"/>
  <c r="X1442" i="39" s="1"/>
  <c r="X1443" i="39" s="1"/>
  <c r="X1444" i="39"/>
  <c r="X1445" i="39" s="1"/>
  <c r="X1446" i="39" s="1"/>
  <c r="X1447" i="39" s="1"/>
  <c r="X1448" i="39" s="1"/>
  <c r="X1449" i="39" s="1"/>
  <c r="X1450" i="39" s="1"/>
  <c r="X1451" i="39" s="1"/>
  <c r="X1452" i="39" s="1"/>
  <c r="X1453" i="39" s="1"/>
  <c r="X1454" i="39"/>
  <c r="X1455" i="39" s="1"/>
  <c r="X1456" i="39"/>
  <c r="X1457" i="39"/>
  <c r="X1458" i="39" s="1"/>
  <c r="X1459" i="39"/>
  <c r="X1460" i="39" s="1"/>
  <c r="X1461" i="39"/>
  <c r="X1462" i="39" s="1"/>
  <c r="X1463" i="39" s="1"/>
  <c r="X1464" i="39" s="1"/>
  <c r="X1465" i="39" s="1"/>
  <c r="X1466" i="39" s="1"/>
  <c r="X1467" i="39" s="1"/>
  <c r="X1468" i="39" s="1"/>
  <c r="X1469" i="39" s="1"/>
  <c r="X1470" i="39"/>
  <c r="X1471" i="39"/>
  <c r="X1472" i="39"/>
  <c r="X1473" i="39"/>
  <c r="X1474" i="39" s="1"/>
  <c r="X1475" i="39" s="1"/>
  <c r="X1476" i="39"/>
  <c r="X1477" i="39" s="1"/>
  <c r="X1478" i="39" s="1"/>
  <c r="X1479" i="39" s="1"/>
  <c r="X1480" i="39" s="1"/>
  <c r="X1481" i="39"/>
  <c r="X1482" i="39" s="1"/>
  <c r="X1483" i="39" s="1"/>
  <c r="X1484" i="39"/>
  <c r="X1485" i="39"/>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c r="X1510" i="39" s="1"/>
  <c r="X1511" i="39" s="1"/>
  <c r="X1512" i="39" s="1"/>
  <c r="X1513" i="39"/>
  <c r="X1514" i="39"/>
  <c r="X1515" i="39" s="1"/>
  <c r="X1516" i="39" s="1"/>
  <c r="X1517" i="39" s="1"/>
  <c r="X1518" i="39"/>
  <c r="X1519" i="39" s="1"/>
  <c r="X1520" i="39" s="1"/>
  <c r="X1521" i="39" s="1"/>
  <c r="X1522" i="39" s="1"/>
  <c r="X1523" i="39"/>
  <c r="X1524" i="39" s="1"/>
  <c r="X1525" i="39" s="1"/>
  <c r="X1526" i="39" s="1"/>
  <c r="X1527" i="39"/>
  <c r="X1528" i="39"/>
  <c r="X1529" i="39"/>
  <c r="X1530" i="39"/>
  <c r="X1531" i="39"/>
  <c r="X1532" i="39" s="1"/>
  <c r="X1533" i="39" s="1"/>
  <c r="X1534" i="39" s="1"/>
  <c r="X1535" i="39" s="1"/>
  <c r="X1536" i="39" s="1"/>
  <c r="X1537" i="39" s="1"/>
  <c r="X1538" i="39"/>
  <c r="X1539" i="39" s="1"/>
  <c r="X1540" i="39" s="1"/>
  <c r="X1541" i="39"/>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s="1"/>
  <c r="X1586" i="39" s="1"/>
  <c r="X1587" i="39" s="1"/>
  <c r="X1588" i="39" s="1"/>
  <c r="X1589" i="39" s="1"/>
  <c r="X1590" i="39" s="1"/>
  <c r="X1591" i="39" s="1"/>
  <c r="X1592" i="39" s="1"/>
  <c r="X1593" i="39" s="1"/>
  <c r="X1594" i="39" s="1"/>
  <c r="X1595" i="39" s="1"/>
  <c r="X1596" i="39" s="1"/>
  <c r="X1597" i="39" s="1"/>
  <c r="X1598" i="39" s="1"/>
  <c r="X1599" i="39"/>
  <c r="X1600" i="39"/>
  <c r="X1601" i="39" s="1"/>
  <c r="X1602" i="39"/>
  <c r="X1603" i="39"/>
  <c r="X1604" i="39"/>
  <c r="X1605" i="39"/>
  <c r="X1606" i="39" s="1"/>
  <c r="X1607" i="39"/>
  <c r="X1608" i="39" s="1"/>
  <c r="X1609" i="39" s="1"/>
  <c r="X1610" i="39" s="1"/>
  <c r="X1611" i="39"/>
  <c r="X1612" i="39"/>
  <c r="X1613" i="39" s="1"/>
  <c r="X1614" i="39" s="1"/>
  <c r="X1615" i="39" s="1"/>
  <c r="X1616" i="39"/>
  <c r="X1617" i="39" s="1"/>
  <c r="X1618" i="39"/>
  <c r="X1619" i="39" s="1"/>
  <c r="X1620" i="39"/>
  <c r="X1621" i="39"/>
  <c r="X1622" i="39" s="1"/>
  <c r="X1623" i="39"/>
  <c r="X1624" i="39" s="1"/>
  <c r="X1625" i="39" s="1"/>
  <c r="X1626" i="39" s="1"/>
  <c r="X1627" i="39" s="1"/>
  <c r="X1628" i="39" s="1"/>
  <c r="X1629" i="39" s="1"/>
  <c r="X1630" i="39" s="1"/>
  <c r="X1631" i="39"/>
  <c r="X1632" i="39"/>
  <c r="X1633" i="39"/>
  <c r="X1634" i="39"/>
  <c r="X1635" i="39"/>
  <c r="X1636" i="39" s="1"/>
  <c r="X1637" i="39" s="1"/>
  <c r="X1638" i="39" s="1"/>
  <c r="X1639" i="39"/>
  <c r="X1640" i="39"/>
  <c r="X1641" i="39"/>
  <c r="X1642" i="39"/>
  <c r="X1643" i="39"/>
  <c r="X1644" i="39" s="1"/>
  <c r="X1645" i="39" s="1"/>
  <c r="X1646" i="39" s="1"/>
  <c r="X1647" i="39" s="1"/>
  <c r="X1648" i="39" s="1"/>
  <c r="X1649" i="39" s="1"/>
  <c r="X1650" i="39" s="1"/>
  <c r="X1651" i="39"/>
  <c r="X1652" i="39" s="1"/>
  <c r="X1653" i="39" s="1"/>
  <c r="X1654" i="39" s="1"/>
  <c r="X1655" i="39"/>
  <c r="X1656" i="39"/>
  <c r="X1657" i="39"/>
  <c r="X1658" i="39" s="1"/>
  <c r="X1659" i="39" s="1"/>
  <c r="X1660" i="39" s="1"/>
  <c r="X1661" i="39" s="1"/>
  <c r="X1662" i="39" s="1"/>
  <c r="X1663" i="39" s="1"/>
  <c r="X1664" i="39" s="1"/>
  <c r="X1665" i="39" s="1"/>
  <c r="X1666" i="39" s="1"/>
  <c r="X1667" i="39" s="1"/>
  <c r="X1668" i="39" s="1"/>
  <c r="X1669" i="39" s="1"/>
  <c r="X1670" i="39"/>
  <c r="X1671" i="39" s="1"/>
  <c r="X1672" i="39" s="1"/>
  <c r="X1673" i="39" s="1"/>
  <c r="X1674" i="39" s="1"/>
  <c r="X1675" i="39" s="1"/>
  <c r="X1676" i="39" s="1"/>
  <c r="X1677" i="39"/>
  <c r="X1678" i="39"/>
  <c r="X1679" i="39"/>
  <c r="X1680" i="39" s="1"/>
  <c r="X1681" i="39" s="1"/>
  <c r="X1682" i="39" s="1"/>
  <c r="X1683" i="39" s="1"/>
  <c r="X1684" i="39"/>
  <c r="X1685" i="39"/>
  <c r="X1686" i="39"/>
  <c r="X1687" i="39"/>
  <c r="X1688" i="39" s="1"/>
  <c r="X1689" i="39"/>
  <c r="X1690" i="39" s="1"/>
  <c r="X1691" i="39"/>
  <c r="X1692" i="39" s="1"/>
  <c r="X1693" i="39" s="1"/>
  <c r="X1694" i="39"/>
  <c r="X1695" i="39" s="1"/>
  <c r="X1696" i="39" s="1"/>
  <c r="X1697" i="39" s="1"/>
  <c r="X1698" i="39" s="1"/>
  <c r="X1699" i="39"/>
  <c r="X1700" i="39"/>
  <c r="X1701" i="39" s="1"/>
  <c r="X1702" i="39"/>
  <c r="X1703" i="39" s="1"/>
  <c r="X1704" i="39" s="1"/>
  <c r="X1705" i="39"/>
  <c r="X1706" i="39"/>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s="1"/>
  <c r="X1882" i="39" s="1"/>
  <c r="X1883" i="39" s="1"/>
  <c r="X1884" i="39"/>
  <c r="X1885" i="39"/>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c r="X1942" i="39"/>
  <c r="X1943" i="39"/>
  <c r="X1944" i="39" s="1"/>
  <c r="X1945" i="39"/>
  <c r="X1946" i="39" s="1"/>
  <c r="X1947" i="39" s="1"/>
  <c r="X1948" i="39" s="1"/>
  <c r="X1949" i="39"/>
  <c r="X1950" i="39" s="1"/>
  <c r="X1951" i="39" s="1"/>
  <c r="X1952" i="39" s="1"/>
  <c r="X1953" i="39" s="1"/>
  <c r="X1954" i="39" s="1"/>
  <c r="X1955" i="39"/>
  <c r="X1956" i="39"/>
  <c r="X1957" i="39"/>
  <c r="X1958" i="39" s="1"/>
  <c r="X1959" i="39" s="1"/>
  <c r="X1960" i="39" s="1"/>
  <c r="X1961" i="39" s="1"/>
  <c r="X1962" i="39" s="1"/>
  <c r="X1963" i="39" s="1"/>
  <c r="X1964" i="39" s="1"/>
  <c r="X1965" i="39" s="1"/>
  <c r="X1966" i="39" s="1"/>
  <c r="X1967" i="39" s="1"/>
  <c r="X1968" i="39"/>
  <c r="X1969" i="39" s="1"/>
  <c r="X1970" i="39" s="1"/>
  <c r="X1971" i="39" s="1"/>
  <c r="X1972" i="39" s="1"/>
  <c r="X1973" i="39" s="1"/>
  <c r="X1974" i="39"/>
  <c r="X1975" i="39"/>
  <c r="X1976" i="39"/>
  <c r="X1977" i="39" s="1"/>
  <c r="X1978" i="39" s="1"/>
  <c r="X1979" i="39" s="1"/>
  <c r="X1980" i="39" s="1"/>
  <c r="X1981" i="39" s="1"/>
  <c r="X1982" i="39" s="1"/>
  <c r="X1983" i="39" s="1"/>
  <c r="X1984" i="39" s="1"/>
  <c r="X1985" i="39" s="1"/>
  <c r="X1986" i="39" s="1"/>
  <c r="X1987" i="39" s="1"/>
  <c r="X1988" i="39" s="1"/>
  <c r="X1989" i="39" s="1"/>
  <c r="X1990" i="39" s="1"/>
  <c r="X1991" i="39" s="1"/>
  <c r="X1992" i="39"/>
  <c r="X1993" i="39"/>
  <c r="X1994" i="39" s="1"/>
  <c r="X1995" i="39"/>
  <c r="X1996" i="39" s="1"/>
  <c r="X1997" i="39" s="1"/>
  <c r="X1998" i="39" s="1"/>
  <c r="X1999" i="39" s="1"/>
  <c r="X2000" i="39"/>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c r="X2022" i="39"/>
  <c r="X2023" i="39"/>
  <c r="X2024" i="39" s="1"/>
  <c r="X2025" i="39" s="1"/>
  <c r="X2026" i="39"/>
  <c r="X2027" i="39" s="1"/>
  <c r="X2028" i="39"/>
  <c r="X2029" i="39"/>
  <c r="X2030" i="39" s="1"/>
  <c r="X2031" i="39" s="1"/>
  <c r="X2032" i="39" s="1"/>
  <c r="X2033" i="39" s="1"/>
  <c r="X2034" i="39" s="1"/>
  <c r="X2035" i="39" s="1"/>
  <c r="X2036" i="39" s="1"/>
  <c r="X2037" i="39" s="1"/>
  <c r="X2038" i="39" s="1"/>
  <c r="X2039" i="39" s="1"/>
  <c r="X2040" i="39" s="1"/>
  <c r="X2041" i="39"/>
  <c r="X2042" i="39"/>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c r="X2062" i="39"/>
  <c r="X2063" i="39"/>
  <c r="X2064" i="39" s="1"/>
  <c r="X2065" i="39" s="1"/>
  <c r="X2066" i="39" s="1"/>
  <c r="X2067" i="39"/>
  <c r="X2068" i="39"/>
  <c r="X2069" i="39" s="1"/>
  <c r="X2070" i="39" s="1"/>
  <c r="X2071" i="39" s="1"/>
  <c r="X2072" i="39" s="1"/>
  <c r="X2073" i="39"/>
  <c r="X2074" i="39" s="1"/>
  <c r="X2075" i="39" s="1"/>
  <c r="X2076" i="39" s="1"/>
  <c r="X2077" i="39" s="1"/>
  <c r="X2078" i="39" s="1"/>
  <c r="X2079" i="39" s="1"/>
  <c r="X2080" i="39" s="1"/>
  <c r="X2081" i="39" s="1"/>
  <c r="X2082" i="39" s="1"/>
  <c r="X2083" i="39" s="1"/>
  <c r="X2084" i="39" s="1"/>
  <c r="X2085" i="39" s="1"/>
  <c r="X2086" i="39" s="1"/>
  <c r="X2087" i="39"/>
  <c r="X2088" i="39" s="1"/>
  <c r="X2089" i="39" s="1"/>
  <c r="X2090" i="39" s="1"/>
  <c r="X2091" i="39" s="1"/>
  <c r="X2092" i="39"/>
  <c r="X2093" i="39" s="1"/>
  <c r="X2094" i="39"/>
  <c r="X2095" i="39" s="1"/>
  <c r="X2096" i="39" s="1"/>
  <c r="X2097" i="39"/>
  <c r="X2098" i="39" s="1"/>
  <c r="X2099" i="39" s="1"/>
  <c r="X2100" i="39" s="1"/>
  <c r="X2101" i="39" s="1"/>
  <c r="X2102" i="39" s="1"/>
  <c r="X2103" i="39" s="1"/>
  <c r="X2104" i="39" s="1"/>
  <c r="X2105" i="39"/>
  <c r="X2106" i="39"/>
  <c r="X2107" i="39"/>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c r="X2127" i="39"/>
  <c r="X2128" i="39"/>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c r="X2152" i="39"/>
  <c r="X2153" i="39" s="1"/>
  <c r="X2154" i="39" s="1"/>
  <c r="X2155" i="39"/>
  <c r="X2156" i="39"/>
  <c r="X2157" i="39"/>
  <c r="X2158" i="39" s="1"/>
  <c r="X2159" i="39" s="1"/>
  <c r="X2160" i="39"/>
  <c r="X2161" i="39"/>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c r="X2182" i="39"/>
  <c r="X2183" i="39"/>
  <c r="X2184" i="39" s="1"/>
  <c r="X2185" i="39" s="1"/>
  <c r="X2186" i="39" s="1"/>
  <c r="X2187" i="39"/>
  <c r="X2188" i="39"/>
  <c r="X2189" i="39"/>
  <c r="X2190" i="39" s="1"/>
  <c r="X2191" i="39" s="1"/>
  <c r="X2192" i="39" s="1"/>
  <c r="X2193" i="39" s="1"/>
  <c r="X2194" i="39" s="1"/>
  <c r="X2195" i="39"/>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c r="X2265" i="39"/>
  <c r="X2266" i="39"/>
  <c r="X2267" i="39" s="1"/>
  <c r="X2268" i="39"/>
  <c r="X2269" i="39"/>
  <c r="X2270" i="39"/>
  <c r="X2271" i="39" s="1"/>
  <c r="X2272" i="39"/>
  <c r="X2273" i="39"/>
  <c r="X2274" i="39"/>
  <c r="X2275" i="39" s="1"/>
  <c r="X2276" i="39"/>
  <c r="X2277" i="39" s="1"/>
  <c r="X2278" i="39"/>
  <c r="X2279" i="39"/>
  <c r="X2280" i="39" s="1"/>
  <c r="X2281" i="39" s="1"/>
  <c r="X2282" i="39"/>
  <c r="X2283" i="39" s="1"/>
  <c r="X2284" i="39" s="1"/>
  <c r="X2285" i="39" s="1"/>
  <c r="X2286" i="39" s="1"/>
  <c r="X2287" i="39"/>
  <c r="X2288" i="39"/>
  <c r="X2289" i="39"/>
  <c r="X2290" i="39"/>
  <c r="X2291" i="39"/>
  <c r="X2292" i="39"/>
  <c r="X2293" i="39" s="1"/>
  <c r="X2294" i="39" s="1"/>
  <c r="X2295" i="39" s="1"/>
  <c r="X2296" i="39" s="1"/>
  <c r="X2297" i="39"/>
  <c r="X2298" i="39"/>
  <c r="X2299" i="39" s="1"/>
  <c r="X2300" i="39" s="1"/>
  <c r="X2301" i="39"/>
  <c r="X2302" i="39" s="1"/>
  <c r="X2303" i="39" s="1"/>
  <c r="X2304" i="39"/>
  <c r="X2305" i="39" s="1"/>
  <c r="X2306" i="39" s="1"/>
  <c r="X2307" i="39" s="1"/>
  <c r="X2308" i="39" s="1"/>
  <c r="X2309" i="39" s="1"/>
  <c r="X2310" i="39" s="1"/>
  <c r="X2311" i="39" s="1"/>
  <c r="X2312" i="39" s="1"/>
  <c r="X2313" i="39"/>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c r="X2338" i="39" s="1"/>
  <c r="X2339" i="39" s="1"/>
  <c r="X2340" i="39" s="1"/>
  <c r="X2341" i="39"/>
  <c r="X2342" i="39"/>
  <c r="X2343" i="39"/>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c r="X2363" i="39"/>
  <c r="X2364" i="39"/>
  <c r="X2365" i="39" s="1"/>
  <c r="X2366" i="39" s="1"/>
  <c r="X2367" i="39"/>
  <c r="X2368" i="39"/>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c r="X2398" i="39"/>
  <c r="X2399" i="39"/>
  <c r="X2400" i="39"/>
  <c r="X2401" i="39"/>
  <c r="X2402" i="39" s="1"/>
  <c r="X2403" i="39" s="1"/>
  <c r="X2404" i="39" s="1"/>
  <c r="X2405" i="39" s="1"/>
  <c r="X2406" i="39" s="1"/>
  <c r="X2407" i="39" s="1"/>
  <c r="X2408" i="39"/>
  <c r="X2409" i="39" s="1"/>
  <c r="X2410" i="39" s="1"/>
  <c r="X2411" i="39"/>
  <c r="X2412" i="39" s="1"/>
  <c r="X2413" i="39" s="1"/>
  <c r="X2414" i="39" s="1"/>
  <c r="X2415" i="39" s="1"/>
  <c r="X2416" i="39" s="1"/>
  <c r="X2417" i="39" s="1"/>
  <c r="X2418" i="39" s="1"/>
  <c r="X2419" i="39" s="1"/>
  <c r="X2420" i="39" s="1"/>
  <c r="X2421" i="39" s="1"/>
  <c r="X2422" i="39" s="1"/>
  <c r="X2423" i="39"/>
  <c r="X2424" i="39"/>
  <c r="X2425" i="39"/>
  <c r="X2426" i="39"/>
  <c r="X2427" i="39"/>
  <c r="X2428" i="39" s="1"/>
  <c r="X2429" i="39" s="1"/>
  <c r="X2430" i="39" s="1"/>
  <c r="X2431" i="39" s="1"/>
  <c r="X2432" i="39" s="1"/>
  <c r="X2433" i="39" s="1"/>
  <c r="X2434" i="39" s="1"/>
  <c r="X2435" i="39" s="1"/>
  <c r="X2436" i="39" s="1"/>
  <c r="X2437" i="39"/>
  <c r="X2438" i="39" s="1"/>
  <c r="X2439" i="39" s="1"/>
  <c r="X2440" i="39"/>
  <c r="X2441" i="39"/>
  <c r="X2442" i="39"/>
  <c r="X2443" i="39"/>
  <c r="X2444" i="39"/>
  <c r="X2445" i="39"/>
  <c r="X2446" i="39" s="1"/>
  <c r="X2447" i="39"/>
  <c r="X2448" i="39" s="1"/>
  <c r="X2449" i="39"/>
  <c r="X2450" i="39" s="1"/>
  <c r="X2451" i="39"/>
  <c r="X2452" i="39"/>
  <c r="X2453" i="39" s="1"/>
  <c r="X2454" i="39" s="1"/>
  <c r="X2455" i="39"/>
  <c r="X2456" i="39" s="1"/>
  <c r="X2457" i="39" s="1"/>
  <c r="X2458" i="39"/>
  <c r="X2459" i="39"/>
  <c r="X2460" i="39" s="1"/>
  <c r="X2461" i="39" s="1"/>
  <c r="X2462" i="39" s="1"/>
  <c r="X2463" i="39" s="1"/>
  <c r="X2464" i="39" s="1"/>
  <c r="X2465" i="39"/>
  <c r="X2466" i="39"/>
  <c r="X2467" i="39"/>
  <c r="X2468" i="39"/>
  <c r="X2469" i="39"/>
  <c r="X2470" i="39"/>
  <c r="X2471" i="39"/>
  <c r="X2472" i="39" s="1"/>
  <c r="X2473" i="39" s="1"/>
  <c r="X2474" i="39"/>
  <c r="X2475" i="39"/>
  <c r="X2476" i="39" s="1"/>
  <c r="X2477" i="39"/>
  <c r="X2478" i="39"/>
  <c r="X2479" i="39"/>
  <c r="X2480" i="39"/>
  <c r="X2481" i="39" s="1"/>
  <c r="X2482" i="39" s="1"/>
  <c r="X2483" i="39" s="1"/>
  <c r="X2484" i="39" s="1"/>
  <c r="X2485" i="39" s="1"/>
  <c r="X2486" i="39" s="1"/>
  <c r="X2487" i="39" s="1"/>
  <c r="X2488" i="39" s="1"/>
  <c r="X2489" i="39"/>
  <c r="X2490" i="39" s="1"/>
  <c r="X2491" i="39" s="1"/>
  <c r="X2492" i="39" s="1"/>
  <c r="X2493" i="39" s="1"/>
  <c r="X2494" i="39" s="1"/>
  <c r="X2495" i="39" s="1"/>
  <c r="X2496" i="39" s="1"/>
  <c r="X2497" i="39" s="1"/>
  <c r="X2498" i="39" s="1"/>
  <c r="X2499" i="39" s="1"/>
  <c r="X2500" i="39" s="1"/>
  <c r="X2501" i="39" s="1"/>
  <c r="X2502" i="39" s="1"/>
  <c r="X2503" i="39" s="1"/>
  <c r="X2504" i="39" s="1"/>
  <c r="X2505" i="39"/>
  <c r="X2506" i="39"/>
  <c r="X2507" i="39" s="1"/>
  <c r="X2508" i="39" s="1"/>
  <c r="X2509" i="39" s="1"/>
  <c r="X2510" i="39" s="1"/>
  <c r="X2511" i="39" s="1"/>
  <c r="X2512" i="39"/>
  <c r="X2513" i="39" s="1"/>
  <c r="X2514" i="39"/>
  <c r="X2515" i="39" s="1"/>
  <c r="X2516" i="39" s="1"/>
  <c r="X2517" i="39"/>
  <c r="X2518" i="39"/>
  <c r="X2519" i="39"/>
  <c r="X2520" i="39" s="1"/>
  <c r="X2521" i="39"/>
  <c r="X2522" i="39" s="1"/>
  <c r="X2523" i="39" s="1"/>
  <c r="X2524" i="39"/>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c r="X2580" i="39"/>
  <c r="X2581" i="39"/>
  <c r="X2582" i="39" s="1"/>
  <c r="X2583" i="39" s="1"/>
  <c r="X2584" i="39" s="1"/>
  <c r="X2585" i="39" s="1"/>
  <c r="X2586" i="39" s="1"/>
  <c r="X2587" i="39" s="1"/>
  <c r="X2588" i="39"/>
  <c r="X2589" i="39" s="1"/>
  <c r="X2590" i="39" s="1"/>
  <c r="X2591" i="39" s="1"/>
  <c r="X2592" i="39" s="1"/>
  <c r="X2593" i="39" s="1"/>
  <c r="X2594" i="39" s="1"/>
  <c r="X2595" i="39" s="1"/>
  <c r="X2596" i="39"/>
  <c r="X2597" i="39" s="1"/>
  <c r="X2598" i="39"/>
  <c r="X2599" i="39"/>
  <c r="X2600" i="39" s="1"/>
  <c r="X2601" i="39" s="1"/>
  <c r="X2602" i="39" s="1"/>
  <c r="X2603" i="39" s="1"/>
  <c r="X2604" i="39" s="1"/>
  <c r="X2605" i="39" s="1"/>
  <c r="X2606" i="39" s="1"/>
  <c r="X2607" i="39" s="1"/>
  <c r="X2608" i="39" s="1"/>
  <c r="X2609" i="39"/>
  <c r="X2610" i="39"/>
  <c r="X2611" i="39" s="1"/>
  <c r="X2612" i="39" s="1"/>
  <c r="X2613" i="39" s="1"/>
  <c r="X2614" i="39" s="1"/>
  <c r="X2615" i="39"/>
  <c r="X2616" i="39"/>
  <c r="X2617" i="39"/>
  <c r="X2618" i="39"/>
  <c r="X2619" i="39"/>
  <c r="X2620" i="39" s="1"/>
  <c r="X2621" i="39"/>
  <c r="X2622" i="39" s="1"/>
  <c r="X2623" i="39"/>
  <c r="X2624" i="39"/>
  <c r="X2625" i="39"/>
  <c r="X2626" i="39" s="1"/>
  <c r="X2627" i="39"/>
  <c r="X2628" i="39"/>
  <c r="X2629" i="39" s="1"/>
  <c r="X2630" i="39" s="1"/>
  <c r="X2631" i="39" s="1"/>
  <c r="X2632" i="39" s="1"/>
  <c r="X2633" i="39" s="1"/>
  <c r="X2634" i="39" s="1"/>
  <c r="X2635" i="39" s="1"/>
  <c r="X2636" i="39" s="1"/>
  <c r="X2637" i="39" s="1"/>
  <c r="X2638" i="39" s="1"/>
  <c r="X2639" i="39"/>
  <c r="X2640" i="39"/>
  <c r="X2641" i="39" s="1"/>
  <c r="X2642" i="39" s="1"/>
  <c r="X2643" i="39" s="1"/>
  <c r="X2644" i="39" s="1"/>
  <c r="X2645" i="39" s="1"/>
  <c r="X2646" i="39" s="1"/>
  <c r="X2647" i="39" s="1"/>
  <c r="X2648" i="39" s="1"/>
  <c r="X2649" i="39"/>
  <c r="X2650" i="39"/>
  <c r="X2651" i="39" s="1"/>
  <c r="X2652" i="39" s="1"/>
  <c r="X2653" i="39" s="1"/>
  <c r="X2654" i="39" s="1"/>
  <c r="X2655" i="39" s="1"/>
  <c r="X2656" i="39" s="1"/>
  <c r="X2657" i="39" s="1"/>
  <c r="X2658" i="39"/>
  <c r="X2659" i="39" s="1"/>
  <c r="X2660" i="39"/>
  <c r="X2661" i="39"/>
  <c r="X2662" i="39"/>
  <c r="X2663" i="39" s="1"/>
  <c r="X2664" i="39" s="1"/>
  <c r="X2665" i="39" s="1"/>
  <c r="X2666" i="39" s="1"/>
  <c r="X2667" i="39" s="1"/>
  <c r="X2668" i="39" s="1"/>
  <c r="X2669" i="39" s="1"/>
  <c r="X2670" i="39" s="1"/>
  <c r="X2671" i="39" s="1"/>
  <c r="X2672" i="39" s="1"/>
  <c r="X2673" i="39" s="1"/>
  <c r="X2674" i="39"/>
  <c r="X2675" i="39"/>
  <c r="X2676" i="39"/>
  <c r="X2677" i="39" s="1"/>
  <c r="X2678" i="39" s="1"/>
  <c r="X2679" i="39" s="1"/>
  <c r="X2680" i="39" s="1"/>
  <c r="X2681" i="39" s="1"/>
  <c r="X2682" i="39"/>
  <c r="X2683" i="39"/>
  <c r="X2684" i="39" s="1"/>
  <c r="X2685" i="39"/>
  <c r="X2686" i="39" s="1"/>
  <c r="X2687" i="39" s="1"/>
  <c r="X2688" i="39" s="1"/>
  <c r="X2689" i="39" s="1"/>
  <c r="X2690" i="39"/>
  <c r="X2691" i="39"/>
  <c r="X2692" i="39" s="1"/>
  <c r="X2693" i="39" s="1"/>
  <c r="X2694" i="39" s="1"/>
  <c r="X2695" i="39" s="1"/>
  <c r="X2696" i="39"/>
  <c r="X2697" i="39"/>
  <c r="X2698" i="39"/>
  <c r="X2699" i="39"/>
  <c r="X2700" i="39"/>
  <c r="X2701" i="39" s="1"/>
  <c r="X2702" i="39" s="1"/>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V891" i="39"/>
  <c r="I891" i="39"/>
  <c r="F891" i="39"/>
  <c r="F892" i="39" s="1"/>
  <c r="D891" i="39"/>
  <c r="A891" i="39"/>
  <c r="AE890" i="39"/>
  <c r="AC890" i="39"/>
  <c r="AA890" i="39"/>
  <c r="V890" i="39"/>
  <c r="I890" i="39"/>
  <c r="D890" i="39"/>
  <c r="C890" i="39"/>
  <c r="U890" i="39" s="1"/>
  <c r="A890"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F1695" i="39"/>
  <c r="C1695" i="39" s="1"/>
  <c r="D1695" i="39"/>
  <c r="A1695" i="39"/>
  <c r="AE1694" i="39"/>
  <c r="AC1694" i="39"/>
  <c r="AA1694" i="39"/>
  <c r="V1694" i="39"/>
  <c r="I1694" i="39"/>
  <c r="D1694" i="39"/>
  <c r="C1694" i="39"/>
  <c r="A1694" i="39"/>
  <c r="AE1148" i="39"/>
  <c r="AC1148" i="39"/>
  <c r="AA1148" i="39"/>
  <c r="I1148" i="39"/>
  <c r="D1148" i="39"/>
  <c r="A1148"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D1964" i="39"/>
  <c r="AE1963" i="39"/>
  <c r="I1963" i="39"/>
  <c r="D1963" i="39"/>
  <c r="AE1962" i="39"/>
  <c r="I1962" i="39"/>
  <c r="D1962" i="39"/>
  <c r="AE1961" i="39"/>
  <c r="I1961" i="39"/>
  <c r="D1961" i="39"/>
  <c r="AE1960" i="39"/>
  <c r="I1960" i="39"/>
  <c r="D1960" i="39"/>
  <c r="AE1959" i="39"/>
  <c r="I1959" i="39"/>
  <c r="D1959" i="39"/>
  <c r="AE1958" i="39"/>
  <c r="I1958" i="39"/>
  <c r="D1958" i="39"/>
  <c r="AE1957" i="39"/>
  <c r="I1957" i="39"/>
  <c r="D1957" i="39"/>
  <c r="AE1956" i="39"/>
  <c r="I1956" i="39"/>
  <c r="F1956" i="39"/>
  <c r="D1956" i="39"/>
  <c r="AE1955" i="39"/>
  <c r="V1955" i="39"/>
  <c r="I1955" i="39"/>
  <c r="D1955" i="39"/>
  <c r="C1955" i="39"/>
  <c r="AE1615" i="39"/>
  <c r="I1615" i="39"/>
  <c r="D1615" i="39"/>
  <c r="A1615" i="39"/>
  <c r="AE1614" i="39"/>
  <c r="I1614" i="39"/>
  <c r="D1614" i="39"/>
  <c r="A1614" i="39"/>
  <c r="AE1613" i="39"/>
  <c r="I1613" i="39"/>
  <c r="D1613" i="39"/>
  <c r="A1613" i="39"/>
  <c r="AE1612" i="39"/>
  <c r="I1612" i="39"/>
  <c r="F1612" i="39"/>
  <c r="D1612" i="39"/>
  <c r="A1612" i="39"/>
  <c r="AE1611" i="39"/>
  <c r="V1611" i="39"/>
  <c r="I1611" i="39"/>
  <c r="D1611" i="39"/>
  <c r="C1611" i="39"/>
  <c r="A1611"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14" i="39"/>
  <c r="AC2514" i="39"/>
  <c r="AA2514" i="39"/>
  <c r="I2514" i="39"/>
  <c r="F2514" i="39"/>
  <c r="D2514"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F1603" i="39"/>
  <c r="D1603" i="39"/>
  <c r="A1603" i="39"/>
  <c r="AE1602" i="39"/>
  <c r="AC1602" i="39"/>
  <c r="AA1602" i="39"/>
  <c r="V1602" i="39"/>
  <c r="I1602" i="39"/>
  <c r="D1602" i="39"/>
  <c r="C1602" i="39"/>
  <c r="A160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AG918" i="39"/>
  <c r="Z912" i="39"/>
  <c r="AG907" i="39"/>
  <c r="Z901" i="39"/>
  <c r="AG896" i="39"/>
  <c r="Z890" i="39"/>
  <c r="Z1967" i="39"/>
  <c r="Z1972" i="39"/>
  <c r="Z557" i="39"/>
  <c r="Z556" i="39"/>
  <c r="Z1955" i="39"/>
  <c r="Z551" i="39"/>
  <c r="Z1959" i="39"/>
  <c r="Z559" i="39"/>
  <c r="Z1615" i="39"/>
  <c r="Z558" i="39"/>
  <c r="Z549" i="39"/>
  <c r="Z1964" i="39"/>
  <c r="Z555" i="39"/>
  <c r="Z915" i="39"/>
  <c r="AG910" i="39"/>
  <c r="Z904" i="39"/>
  <c r="AG899" i="39"/>
  <c r="Z893" i="39"/>
  <c r="Z553" i="39"/>
  <c r="Z550" i="39"/>
  <c r="Z1966" i="39"/>
  <c r="Z1963" i="39"/>
  <c r="Z562" i="39"/>
  <c r="Z918" i="39"/>
  <c r="AG913" i="39"/>
  <c r="Z907" i="39"/>
  <c r="AG902" i="39"/>
  <c r="Z896" i="39"/>
  <c r="AG891" i="39"/>
  <c r="AG916" i="39"/>
  <c r="Z910" i="39"/>
  <c r="AG905" i="39"/>
  <c r="Z899" i="39"/>
  <c r="AG894" i="39"/>
  <c r="Z546" i="39"/>
  <c r="Z561" i="39"/>
  <c r="Z554" i="39"/>
  <c r="Z1956" i="39"/>
  <c r="Z913" i="39"/>
  <c r="AG908" i="39"/>
  <c r="Z902" i="39"/>
  <c r="AG897" i="39"/>
  <c r="Z891" i="39"/>
  <c r="Z1973" i="39"/>
  <c r="Z1611" i="39"/>
  <c r="Z916" i="39"/>
  <c r="AG911" i="39"/>
  <c r="Z905" i="39"/>
  <c r="AG900" i="39"/>
  <c r="Z894" i="39"/>
  <c r="AG914" i="39"/>
  <c r="Z908" i="39"/>
  <c r="AG903" i="39"/>
  <c r="Z897" i="39"/>
  <c r="AG892" i="39"/>
  <c r="Z1962" i="39"/>
  <c r="Z1969" i="39"/>
  <c r="Z1957" i="39"/>
  <c r="Z1970" i="39"/>
  <c r="Z1961" i="39"/>
  <c r="Z1614" i="39"/>
  <c r="Z547" i="39"/>
  <c r="AG917" i="39"/>
  <c r="Z911" i="39"/>
  <c r="AG906" i="39"/>
  <c r="Z900" i="39"/>
  <c r="AG895" i="39"/>
  <c r="Z1612" i="39"/>
  <c r="Z563" i="39"/>
  <c r="Z1965" i="39"/>
  <c r="Z548" i="39"/>
  <c r="Z1613" i="39"/>
  <c r="Z1960" i="39"/>
  <c r="Z914" i="39"/>
  <c r="AG909" i="39"/>
  <c r="Z903" i="39"/>
  <c r="AG898" i="39"/>
  <c r="Z892" i="39"/>
  <c r="Z552" i="39"/>
  <c r="Z1968" i="39"/>
  <c r="Z1971" i="39"/>
  <c r="Z1958" i="39"/>
  <c r="Z560" i="39"/>
  <c r="Z545" i="39"/>
  <c r="Z917" i="39"/>
  <c r="AG912" i="39"/>
  <c r="Z906" i="39"/>
  <c r="AG901" i="39"/>
  <c r="Z895" i="39"/>
  <c r="AG890" i="39"/>
  <c r="AG915" i="39"/>
  <c r="Z909" i="39"/>
  <c r="AG904" i="39"/>
  <c r="Z898" i="39"/>
  <c r="AG893" i="39"/>
  <c r="U1695" i="39" l="1"/>
  <c r="C892" i="39"/>
  <c r="U892" i="39" s="1"/>
  <c r="F893" i="39"/>
  <c r="V892" i="39"/>
  <c r="C891" i="39"/>
  <c r="U891" i="39" s="1"/>
  <c r="U1694" i="39"/>
  <c r="V893" i="39" l="1"/>
  <c r="C893" i="39"/>
  <c r="U893" i="39" s="1"/>
  <c r="F894" i="39"/>
  <c r="F895" i="39" l="1"/>
  <c r="V894" i="39"/>
  <c r="C894" i="39"/>
  <c r="U894" i="39" s="1"/>
  <c r="V895" i="39" l="1"/>
  <c r="C895" i="39"/>
  <c r="U895" i="39" s="1"/>
  <c r="F896" i="39"/>
  <c r="V1695" i="39"/>
  <c r="V1612" i="39"/>
  <c r="F1696" i="39"/>
  <c r="U1955" i="39"/>
  <c r="F1957" i="39"/>
  <c r="V1956" i="39"/>
  <c r="F1613" i="39"/>
  <c r="U545" i="39"/>
  <c r="U1611" i="39"/>
  <c r="C1956" i="39"/>
  <c r="U1956" i="39" s="1"/>
  <c r="U751" i="39"/>
  <c r="F547" i="39"/>
  <c r="C1612" i="39"/>
  <c r="U1612" i="39" s="1"/>
  <c r="U841" i="39"/>
  <c r="F753" i="39"/>
  <c r="C546" i="39"/>
  <c r="U546" i="39" s="1"/>
  <c r="V752" i="39"/>
  <c r="C752" i="39"/>
  <c r="U752" i="39" s="1"/>
  <c r="C2514" i="39"/>
  <c r="U2514" i="39" s="1"/>
  <c r="V2514" i="39"/>
  <c r="F1604" i="39"/>
  <c r="U1602" i="39"/>
  <c r="C1603" i="39"/>
  <c r="U1603" i="39" s="1"/>
  <c r="V1603" i="39"/>
  <c r="F844" i="39"/>
  <c r="V842" i="39"/>
  <c r="F843" i="39"/>
  <c r="C842" i="39"/>
  <c r="U842" i="39" s="1"/>
  <c r="V896" i="39" l="1"/>
  <c r="C896" i="39"/>
  <c r="U896" i="39" s="1"/>
  <c r="F897" i="39"/>
  <c r="F1958" i="39"/>
  <c r="V1613" i="39"/>
  <c r="F1697" i="39"/>
  <c r="V1696" i="39"/>
  <c r="C1696" i="39"/>
  <c r="U1696" i="39" s="1"/>
  <c r="F1614" i="39"/>
  <c r="C1613" i="39"/>
  <c r="U1613" i="39" s="1"/>
  <c r="V1957" i="39"/>
  <c r="C1957" i="39"/>
  <c r="U1957" i="39" s="1"/>
  <c r="F754" i="39"/>
  <c r="V547" i="39"/>
  <c r="C753" i="39"/>
  <c r="U753" i="39" s="1"/>
  <c r="F548" i="39"/>
  <c r="C547" i="39"/>
  <c r="U547" i="39" s="1"/>
  <c r="V1604" i="39"/>
  <c r="V753" i="39"/>
  <c r="F1605" i="39"/>
  <c r="C1604" i="39"/>
  <c r="U1604" i="39" s="1"/>
  <c r="C844" i="39"/>
  <c r="U844" i="39" s="1"/>
  <c r="V844" i="39"/>
  <c r="C843" i="39"/>
  <c r="U843" i="39" s="1"/>
  <c r="F845" i="39"/>
  <c r="V843" i="39"/>
  <c r="F898" i="39" l="1"/>
  <c r="V897" i="39"/>
  <c r="C897" i="39"/>
  <c r="U897" i="39" s="1"/>
  <c r="C1958" i="39"/>
  <c r="U1958" i="39" s="1"/>
  <c r="V1958" i="39"/>
  <c r="F1959" i="39"/>
  <c r="C1614" i="39"/>
  <c r="U1614" i="39" s="1"/>
  <c r="V1614" i="39"/>
  <c r="F1615" i="39"/>
  <c r="V1697" i="39"/>
  <c r="F1698" i="39"/>
  <c r="C1697" i="39"/>
  <c r="U1697" i="39" s="1"/>
  <c r="V548" i="39"/>
  <c r="C754" i="39"/>
  <c r="U754" i="39" s="1"/>
  <c r="F755" i="39"/>
  <c r="C548" i="39"/>
  <c r="U548" i="39" s="1"/>
  <c r="F549" i="39"/>
  <c r="V754" i="39"/>
  <c r="V1605" i="39"/>
  <c r="F1606" i="39"/>
  <c r="C1605" i="39"/>
  <c r="U1605" i="39" s="1"/>
  <c r="V845" i="39"/>
  <c r="C845" i="39"/>
  <c r="U845" i="39" s="1"/>
  <c r="F846" i="39"/>
  <c r="V1959" i="39" l="1"/>
  <c r="C1959" i="39"/>
  <c r="U1959" i="39" s="1"/>
  <c r="V898" i="39"/>
  <c r="C898" i="39"/>
  <c r="U898" i="39" s="1"/>
  <c r="F899" i="39"/>
  <c r="C549" i="39"/>
  <c r="U549" i="39" s="1"/>
  <c r="F1960" i="39"/>
  <c r="V1615" i="39"/>
  <c r="C1615" i="39"/>
  <c r="U1615" i="39" s="1"/>
  <c r="V549" i="39"/>
  <c r="C755" i="39"/>
  <c r="U755" i="39" s="1"/>
  <c r="F757" i="39"/>
  <c r="C1698" i="39"/>
  <c r="U1698" i="39" s="1"/>
  <c r="F1699" i="39"/>
  <c r="V1698" i="39"/>
  <c r="V755" i="39"/>
  <c r="F756" i="39"/>
  <c r="F550" i="39"/>
  <c r="V1606" i="39"/>
  <c r="F1607" i="39"/>
  <c r="C1606" i="39"/>
  <c r="U1606" i="39" s="1"/>
  <c r="F847" i="39"/>
  <c r="V846" i="39"/>
  <c r="C846" i="39"/>
  <c r="U846" i="39" s="1"/>
  <c r="V1960" i="39" l="1"/>
  <c r="F1961" i="39"/>
  <c r="V899" i="39"/>
  <c r="C899" i="39"/>
  <c r="U899" i="39" s="1"/>
  <c r="F900" i="39"/>
  <c r="C1960" i="39"/>
  <c r="U1960" i="39" s="1"/>
  <c r="C757" i="39"/>
  <c r="U757" i="39" s="1"/>
  <c r="V1699" i="39"/>
  <c r="F1700" i="39"/>
  <c r="C1699" i="39"/>
  <c r="U1699" i="39" s="1"/>
  <c r="V757" i="39"/>
  <c r="C756" i="39"/>
  <c r="U756" i="39" s="1"/>
  <c r="F758" i="39"/>
  <c r="V756" i="39"/>
  <c r="C550" i="39"/>
  <c r="U550" i="39" s="1"/>
  <c r="V550" i="39"/>
  <c r="F551" i="39"/>
  <c r="C1961" i="39"/>
  <c r="U1961" i="39" s="1"/>
  <c r="F1962" i="39"/>
  <c r="V1961" i="39"/>
  <c r="C1607" i="39"/>
  <c r="U1607" i="39" s="1"/>
  <c r="F1608" i="39"/>
  <c r="V1607" i="39"/>
  <c r="C847" i="39"/>
  <c r="U847" i="39" s="1"/>
  <c r="V847" i="39"/>
  <c r="F848" i="39"/>
  <c r="C758" i="39" l="1"/>
  <c r="U758" i="39" s="1"/>
  <c r="C900" i="39"/>
  <c r="U900" i="39" s="1"/>
  <c r="F901" i="39"/>
  <c r="V900" i="39"/>
  <c r="V551" i="39"/>
  <c r="F1701" i="39"/>
  <c r="V1700" i="39"/>
  <c r="C1700" i="39"/>
  <c r="U1700" i="39" s="1"/>
  <c r="F1702" i="39"/>
  <c r="F552" i="39"/>
  <c r="C551" i="39"/>
  <c r="U551" i="39" s="1"/>
  <c r="V758" i="39"/>
  <c r="F759" i="39"/>
  <c r="F1963" i="39"/>
  <c r="V1962" i="39"/>
  <c r="C1962" i="39"/>
  <c r="U1962" i="39" s="1"/>
  <c r="F1609" i="39"/>
  <c r="V1608" i="39"/>
  <c r="C1608" i="39"/>
  <c r="U1608" i="39" s="1"/>
  <c r="F849" i="39"/>
  <c r="C848" i="39"/>
  <c r="U848" i="39" s="1"/>
  <c r="V848" i="39"/>
  <c r="V901" i="39" l="1"/>
  <c r="C901" i="39"/>
  <c r="U901" i="39" s="1"/>
  <c r="F902" i="39"/>
  <c r="C759" i="39"/>
  <c r="U759" i="39" s="1"/>
  <c r="V759" i="39"/>
  <c r="F760" i="39"/>
  <c r="V552" i="39"/>
  <c r="C552" i="39"/>
  <c r="U552" i="39" s="1"/>
  <c r="C1702" i="39"/>
  <c r="U1702" i="39" s="1"/>
  <c r="V1702" i="39"/>
  <c r="F553" i="39"/>
  <c r="V1701" i="39"/>
  <c r="C1701" i="39"/>
  <c r="U1701" i="39" s="1"/>
  <c r="F1703" i="39"/>
  <c r="C1963" i="39"/>
  <c r="U1963" i="39" s="1"/>
  <c r="F1964" i="39"/>
  <c r="V1963" i="39"/>
  <c r="F1610" i="39"/>
  <c r="C1609" i="39"/>
  <c r="U1609" i="39" s="1"/>
  <c r="V1609" i="39"/>
  <c r="C849" i="39"/>
  <c r="U849" i="39" s="1"/>
  <c r="F850" i="39"/>
  <c r="V849" i="39"/>
  <c r="V760" i="39" l="1"/>
  <c r="C760" i="39"/>
  <c r="U760" i="39" s="1"/>
  <c r="F903" i="39"/>
  <c r="V902" i="39"/>
  <c r="C902" i="39"/>
  <c r="U902" i="39" s="1"/>
  <c r="F761" i="39"/>
  <c r="C553" i="39"/>
  <c r="U553" i="39" s="1"/>
  <c r="V553" i="39"/>
  <c r="V1703" i="39"/>
  <c r="F1704" i="39"/>
  <c r="C1703" i="39"/>
  <c r="U1703" i="39" s="1"/>
  <c r="F554" i="39"/>
  <c r="F1965" i="39"/>
  <c r="V1964" i="39"/>
  <c r="F1966" i="39"/>
  <c r="C1964" i="39"/>
  <c r="U1964" i="39" s="1"/>
  <c r="C1610" i="39"/>
  <c r="U1610" i="39" s="1"/>
  <c r="V1610" i="39"/>
  <c r="C850" i="39"/>
  <c r="U850" i="39" s="1"/>
  <c r="F851" i="39"/>
  <c r="V850" i="39"/>
  <c r="AE2306" i="39"/>
  <c r="AC2306" i="39"/>
  <c r="AA2306" i="39"/>
  <c r="I2306" i="39"/>
  <c r="D2306" i="39"/>
  <c r="F1372" i="39"/>
  <c r="AE1372" i="39"/>
  <c r="AC1372" i="39"/>
  <c r="AA1372" i="39"/>
  <c r="I1372" i="39"/>
  <c r="D1372" i="39"/>
  <c r="A1372" i="39"/>
  <c r="AE1371" i="39"/>
  <c r="AC1371" i="39"/>
  <c r="AA1371" i="39"/>
  <c r="V1371" i="39"/>
  <c r="I1371" i="39"/>
  <c r="D1371" i="39"/>
  <c r="C1371" i="39"/>
  <c r="A1371" i="39"/>
  <c r="AE1374" i="39"/>
  <c r="AC1374" i="39"/>
  <c r="AA1374" i="39"/>
  <c r="I1374" i="39"/>
  <c r="D1374" i="39"/>
  <c r="A1374" i="39"/>
  <c r="AE1373" i="39"/>
  <c r="AC1373" i="39"/>
  <c r="AA1373" i="39"/>
  <c r="I1373" i="39"/>
  <c r="D1373" i="39"/>
  <c r="A1373"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25" i="39"/>
  <c r="AC2025" i="39"/>
  <c r="AA2025" i="39"/>
  <c r="I2025" i="39"/>
  <c r="D2025" i="39"/>
  <c r="AE2026" i="39"/>
  <c r="AC2026" i="39"/>
  <c r="AA2026" i="39"/>
  <c r="I2026" i="39"/>
  <c r="D2026" i="39"/>
  <c r="Z322" i="39"/>
  <c r="Z335" i="39"/>
  <c r="Z2025" i="39"/>
  <c r="Z333" i="39"/>
  <c r="Z1371" i="39"/>
  <c r="Z325" i="39"/>
  <c r="Z337" i="39"/>
  <c r="Z328" i="39"/>
  <c r="Z332" i="39"/>
  <c r="Z334" i="39"/>
  <c r="Z339" i="39"/>
  <c r="Z324" i="39"/>
  <c r="Z321" i="39"/>
  <c r="Z355" i="39"/>
  <c r="Z1374" i="39"/>
  <c r="Z2306" i="39"/>
  <c r="Z336" i="39"/>
  <c r="Z2026" i="39"/>
  <c r="Z356" i="39"/>
  <c r="Z338" i="39"/>
  <c r="Z330" i="39"/>
  <c r="Z1372" i="39"/>
  <c r="Z320" i="39"/>
  <c r="Z331" i="39"/>
  <c r="Z323" i="39"/>
  <c r="Z1373" i="39"/>
  <c r="Z327" i="39"/>
  <c r="Z326" i="39"/>
  <c r="Z329" i="39"/>
  <c r="V761" i="39" l="1"/>
  <c r="F762" i="39"/>
  <c r="C554" i="39"/>
  <c r="U554" i="39" s="1"/>
  <c r="C903" i="39"/>
  <c r="U903" i="39" s="1"/>
  <c r="F904" i="39"/>
  <c r="V903" i="39"/>
  <c r="C761" i="39"/>
  <c r="U761" i="39" s="1"/>
  <c r="F556" i="39"/>
  <c r="V554" i="39"/>
  <c r="F555" i="39"/>
  <c r="C1704" i="39"/>
  <c r="U1704" i="39" s="1"/>
  <c r="F1705" i="39"/>
  <c r="V1704" i="39"/>
  <c r="V1966" i="39"/>
  <c r="C1966" i="39"/>
  <c r="U1966" i="39" s="1"/>
  <c r="F1967" i="39"/>
  <c r="C1965" i="39"/>
  <c r="U1965" i="39" s="1"/>
  <c r="V1965" i="39"/>
  <c r="F763" i="39"/>
  <c r="V762" i="39"/>
  <c r="C762" i="39"/>
  <c r="U762" i="39" s="1"/>
  <c r="V851" i="39"/>
  <c r="C851" i="39"/>
  <c r="U851" i="39" s="1"/>
  <c r="F852" i="39"/>
  <c r="C321" i="39"/>
  <c r="U321" i="39" s="1"/>
  <c r="U1371" i="39"/>
  <c r="F1373"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555" i="39" l="1"/>
  <c r="C556" i="39"/>
  <c r="U556" i="39" s="1"/>
  <c r="V556" i="39"/>
  <c r="V904" i="39"/>
  <c r="C904" i="39"/>
  <c r="U904" i="39" s="1"/>
  <c r="F905" i="39"/>
  <c r="C555" i="39"/>
  <c r="U555" i="39" s="1"/>
  <c r="V1705" i="39"/>
  <c r="C1705" i="39"/>
  <c r="U1705" i="39" s="1"/>
  <c r="F1706" i="39"/>
  <c r="F557" i="39"/>
  <c r="C1967" i="39"/>
  <c r="U1967" i="39" s="1"/>
  <c r="F1968" i="39"/>
  <c r="V1967" i="39"/>
  <c r="C763" i="39"/>
  <c r="U763" i="39" s="1"/>
  <c r="V763" i="39"/>
  <c r="C852" i="39"/>
  <c r="U852" i="39" s="1"/>
  <c r="V852" i="39"/>
  <c r="F853" i="39"/>
  <c r="C1373" i="39"/>
  <c r="F323" i="39"/>
  <c r="C322" i="39"/>
  <c r="U322" i="39" s="1"/>
  <c r="V322" i="39"/>
  <c r="F906" i="39" l="1"/>
  <c r="V905" i="39"/>
  <c r="C905" i="39"/>
  <c r="U905" i="39" s="1"/>
  <c r="V557" i="39"/>
  <c r="F558" i="39"/>
  <c r="F1707" i="39"/>
  <c r="V1706" i="39"/>
  <c r="C1706" i="39"/>
  <c r="U1706" i="39" s="1"/>
  <c r="C557" i="39"/>
  <c r="U557" i="39" s="1"/>
  <c r="F1969" i="39"/>
  <c r="V1968" i="39"/>
  <c r="F1970" i="39"/>
  <c r="C1968" i="39"/>
  <c r="U1968" i="39" s="1"/>
  <c r="F854" i="39"/>
  <c r="V853" i="39"/>
  <c r="F855" i="39"/>
  <c r="C853" i="39"/>
  <c r="U853" i="39" s="1"/>
  <c r="C323" i="39"/>
  <c r="U323" i="39" s="1"/>
  <c r="F324" i="39"/>
  <c r="V323" i="39"/>
  <c r="V906" i="39" l="1"/>
  <c r="C906" i="39"/>
  <c r="U906" i="39" s="1"/>
  <c r="F907" i="39"/>
  <c r="V558" i="39"/>
  <c r="C558" i="39"/>
  <c r="U558" i="39" s="1"/>
  <c r="F559" i="39"/>
  <c r="F560" i="39"/>
  <c r="V1707" i="39"/>
  <c r="C1707" i="39"/>
  <c r="U1707" i="39" s="1"/>
  <c r="F1708" i="39"/>
  <c r="V1970" i="39"/>
  <c r="F1972" i="39"/>
  <c r="C1970" i="39"/>
  <c r="U1970" i="39" s="1"/>
  <c r="F1971" i="39"/>
  <c r="C1969" i="39"/>
  <c r="U1969" i="39" s="1"/>
  <c r="V1969" i="39"/>
  <c r="V855" i="39"/>
  <c r="C855" i="39"/>
  <c r="U855" i="39" s="1"/>
  <c r="C854" i="39"/>
  <c r="U854" i="39" s="1"/>
  <c r="V854" i="39"/>
  <c r="F856" i="39"/>
  <c r="F325" i="39"/>
  <c r="V324" i="39"/>
  <c r="C324" i="39"/>
  <c r="U324" i="39" s="1"/>
  <c r="C2021" i="39"/>
  <c r="AE2027" i="39"/>
  <c r="AC2027" i="39"/>
  <c r="AA2027" i="39"/>
  <c r="I2027" i="39"/>
  <c r="D2027" i="39"/>
  <c r="AE2024" i="39"/>
  <c r="AC2024" i="39"/>
  <c r="AA2024" i="39"/>
  <c r="I2024" i="39"/>
  <c r="D2024" i="39"/>
  <c r="AE2023" i="39"/>
  <c r="AC2023" i="39"/>
  <c r="AA2023" i="39"/>
  <c r="I2023" i="39"/>
  <c r="D2023" i="39"/>
  <c r="AE2022" i="39"/>
  <c r="AC2022" i="39"/>
  <c r="AA2022" i="39"/>
  <c r="I2022" i="39"/>
  <c r="D2022" i="39"/>
  <c r="AE2021" i="39"/>
  <c r="AC2021" i="39"/>
  <c r="AA2021" i="39"/>
  <c r="I2021" i="39"/>
  <c r="D2021"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 i="39"/>
  <c r="AE1688" i="39"/>
  <c r="D1688" i="39"/>
  <c r="A1688" i="39"/>
  <c r="AE1687" i="39"/>
  <c r="D1687" i="39"/>
  <c r="A1687" i="39"/>
  <c r="AE1686" i="39"/>
  <c r="D1686" i="39"/>
  <c r="A1686" i="39"/>
  <c r="AE1685" i="39"/>
  <c r="F1685" i="39"/>
  <c r="D1685" i="39"/>
  <c r="A1685" i="39"/>
  <c r="AE1684" i="39"/>
  <c r="V1684" i="39"/>
  <c r="D1684" i="39"/>
  <c r="C1684" i="39"/>
  <c r="A1684" i="39"/>
  <c r="Z2024" i="39"/>
  <c r="Z2023" i="39"/>
  <c r="Z1684" i="39"/>
  <c r="Z2027" i="39"/>
  <c r="Z2022" i="39"/>
  <c r="Z1687" i="39"/>
  <c r="Z2021" i="39"/>
  <c r="Z1685" i="39"/>
  <c r="Z1686" i="39"/>
  <c r="Z1688" i="39"/>
  <c r="V559" i="39" l="1"/>
  <c r="C559" i="39"/>
  <c r="U559" i="39" s="1"/>
  <c r="F561" i="39"/>
  <c r="C560" i="39"/>
  <c r="U560" i="39" s="1"/>
  <c r="V907" i="39"/>
  <c r="C907" i="39"/>
  <c r="U907" i="39" s="1"/>
  <c r="F908" i="39"/>
  <c r="V560" i="39"/>
  <c r="F562" i="39"/>
  <c r="C1708" i="39"/>
  <c r="U1708" i="39" s="1"/>
  <c r="F1709" i="39"/>
  <c r="V1708" i="39"/>
  <c r="F1973" i="39"/>
  <c r="C1971" i="39"/>
  <c r="U1971" i="39" s="1"/>
  <c r="V1971" i="39"/>
  <c r="V1972" i="39"/>
  <c r="C1972" i="39"/>
  <c r="U1972" i="39" s="1"/>
  <c r="F563" i="39"/>
  <c r="C561" i="39"/>
  <c r="U561" i="39" s="1"/>
  <c r="V561" i="39"/>
  <c r="V856" i="39"/>
  <c r="F857" i="39"/>
  <c r="C856" i="39"/>
  <c r="U856" i="39" s="1"/>
  <c r="C325" i="39"/>
  <c r="U325" i="39" s="1"/>
  <c r="V325" i="39"/>
  <c r="F326" i="39"/>
  <c r="U1684" i="39"/>
  <c r="F1686" i="39"/>
  <c r="C1685" i="39"/>
  <c r="U1685" i="39" s="1"/>
  <c r="V1685"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F909" i="39" l="1"/>
  <c r="V908" i="39"/>
  <c r="C908" i="39"/>
  <c r="U908" i="39" s="1"/>
  <c r="C562" i="39"/>
  <c r="U562" i="39" s="1"/>
  <c r="V562" i="39"/>
  <c r="V1709" i="39"/>
  <c r="F1710" i="39"/>
  <c r="C1709" i="39"/>
  <c r="U1709" i="39" s="1"/>
  <c r="F1711" i="39"/>
  <c r="C1973" i="39"/>
  <c r="U1973" i="39" s="1"/>
  <c r="V1973" i="39"/>
  <c r="C563" i="39"/>
  <c r="U563" i="39" s="1"/>
  <c r="V563" i="39"/>
  <c r="F327" i="39"/>
  <c r="C857" i="39"/>
  <c r="U857" i="39" s="1"/>
  <c r="F858" i="39"/>
  <c r="V857" i="39"/>
  <c r="C326" i="39"/>
  <c r="U326" i="39" s="1"/>
  <c r="V326" i="39"/>
  <c r="F1687" i="39"/>
  <c r="C1686" i="39"/>
  <c r="U1686" i="39" s="1"/>
  <c r="V1686" i="39"/>
  <c r="C774" i="39"/>
  <c r="U774" i="39" s="1"/>
  <c r="F775" i="39"/>
  <c r="F780" i="39"/>
  <c r="U773" i="39"/>
  <c r="V774" i="39"/>
  <c r="V909" i="39" l="1"/>
  <c r="C909" i="39"/>
  <c r="U909" i="39" s="1"/>
  <c r="F910" i="39"/>
  <c r="V1711" i="39"/>
  <c r="C1711" i="39"/>
  <c r="U1711" i="39" s="1"/>
  <c r="C1710" i="39"/>
  <c r="U1710" i="39" s="1"/>
  <c r="F1712" i="39"/>
  <c r="V1710" i="39"/>
  <c r="C327" i="39"/>
  <c r="U327" i="39" s="1"/>
  <c r="V327" i="39"/>
  <c r="F328" i="39"/>
  <c r="F860" i="39"/>
  <c r="C858" i="39"/>
  <c r="U858" i="39" s="1"/>
  <c r="F859" i="39"/>
  <c r="V858" i="39"/>
  <c r="C1687" i="39"/>
  <c r="U1687" i="39" s="1"/>
  <c r="V1687" i="39"/>
  <c r="F1688" i="39"/>
  <c r="U2021" i="39"/>
  <c r="F2022" i="39"/>
  <c r="V2021" i="39"/>
  <c r="V775" i="39"/>
  <c r="V780" i="39"/>
  <c r="C780" i="39"/>
  <c r="U780" i="39" s="1"/>
  <c r="F776" i="39"/>
  <c r="C775" i="39"/>
  <c r="U775" i="39" s="1"/>
  <c r="V910" i="39" l="1"/>
  <c r="C910" i="39"/>
  <c r="U910" i="39" s="1"/>
  <c r="F911" i="39"/>
  <c r="C328" i="39"/>
  <c r="U328" i="39" s="1"/>
  <c r="F329" i="39"/>
  <c r="V328" i="39"/>
  <c r="F1713" i="39"/>
  <c r="V1712" i="39"/>
  <c r="C1712" i="39"/>
  <c r="U1712" i="39" s="1"/>
  <c r="F861" i="39"/>
  <c r="C859" i="39"/>
  <c r="U859" i="39" s="1"/>
  <c r="V859" i="39"/>
  <c r="C860" i="39"/>
  <c r="U860" i="39" s="1"/>
  <c r="V860" i="39"/>
  <c r="C1688" i="39"/>
  <c r="U1688" i="39" s="1"/>
  <c r="V1688" i="39"/>
  <c r="F2025" i="39"/>
  <c r="V2022" i="39"/>
  <c r="C2022" i="39"/>
  <c r="U2022" i="39" s="1"/>
  <c r="F2023" i="39"/>
  <c r="C776" i="39"/>
  <c r="U776" i="39" s="1"/>
  <c r="V776" i="39"/>
  <c r="F777" i="39"/>
  <c r="C911" i="39" l="1"/>
  <c r="U911" i="39" s="1"/>
  <c r="F912" i="39"/>
  <c r="V911" i="39"/>
  <c r="C329" i="39"/>
  <c r="U329" i="39" s="1"/>
  <c r="F330" i="39"/>
  <c r="V329" i="39"/>
  <c r="V1713" i="39"/>
  <c r="F1714" i="39"/>
  <c r="C1713" i="39"/>
  <c r="U1713" i="39" s="1"/>
  <c r="V861" i="39"/>
  <c r="C861" i="39"/>
  <c r="U861" i="39" s="1"/>
  <c r="V2025" i="39"/>
  <c r="C2025" i="39"/>
  <c r="U2025" i="39" s="1"/>
  <c r="F2026" i="39"/>
  <c r="F2024" i="39"/>
  <c r="V2023" i="39"/>
  <c r="C2023" i="39"/>
  <c r="U2023" i="39" s="1"/>
  <c r="F778" i="39"/>
  <c r="V777" i="39"/>
  <c r="C777" i="39"/>
  <c r="U777" i="39" s="1"/>
  <c r="F331" i="39" l="1"/>
  <c r="F914" i="39"/>
  <c r="V912" i="39"/>
  <c r="C912" i="39"/>
  <c r="U912" i="39" s="1"/>
  <c r="F913" i="39"/>
  <c r="C330" i="39"/>
  <c r="U330" i="39" s="1"/>
  <c r="V330" i="39"/>
  <c r="C1714" i="39"/>
  <c r="U1714" i="39" s="1"/>
  <c r="F1715" i="39"/>
  <c r="V1714" i="39"/>
  <c r="V331" i="39"/>
  <c r="C331" i="39"/>
  <c r="U331" i="39" s="1"/>
  <c r="F332" i="39"/>
  <c r="V2026" i="39"/>
  <c r="C2026" i="39"/>
  <c r="U2026" i="39" s="1"/>
  <c r="F2027" i="39"/>
  <c r="V2024" i="39"/>
  <c r="C2024" i="39"/>
  <c r="U2024" i="39" s="1"/>
  <c r="V778" i="39"/>
  <c r="C778" i="39"/>
  <c r="U778" i="39" s="1"/>
  <c r="F779" i="39"/>
  <c r="V913" i="39" l="1"/>
  <c r="F915" i="39"/>
  <c r="C913" i="39"/>
  <c r="U913" i="39" s="1"/>
  <c r="C914" i="39"/>
  <c r="U914" i="39" s="1"/>
  <c r="V914" i="39"/>
  <c r="V1715" i="39"/>
  <c r="C1715" i="39"/>
  <c r="U1715" i="39" s="1"/>
  <c r="F1716" i="39"/>
  <c r="V332" i="39"/>
  <c r="C332" i="39"/>
  <c r="U332" i="39" s="1"/>
  <c r="F333" i="39"/>
  <c r="V2027" i="39"/>
  <c r="C2027" i="39"/>
  <c r="U2027" i="39" s="1"/>
  <c r="V779" i="39"/>
  <c r="C779" i="39"/>
  <c r="U779" i="39" s="1"/>
  <c r="F781" i="39"/>
  <c r="V915" i="39" l="1"/>
  <c r="C915" i="39"/>
  <c r="U915" i="39" s="1"/>
  <c r="F916" i="39"/>
  <c r="C1716" i="39"/>
  <c r="U1716" i="39" s="1"/>
  <c r="F1717" i="39"/>
  <c r="V1716" i="39"/>
  <c r="C333" i="39"/>
  <c r="U333" i="39" s="1"/>
  <c r="F334" i="39"/>
  <c r="V333" i="39"/>
  <c r="C781" i="39"/>
  <c r="U781" i="39" s="1"/>
  <c r="F782" i="39"/>
  <c r="V781" i="39"/>
  <c r="F917" i="39" l="1"/>
  <c r="V916" i="39"/>
  <c r="C916" i="39"/>
  <c r="U916" i="39" s="1"/>
  <c r="V1717" i="39"/>
  <c r="F1718" i="39"/>
  <c r="C1717" i="39"/>
  <c r="U1717"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F1197" i="39"/>
  <c r="D1197" i="39"/>
  <c r="A1197" i="39"/>
  <c r="AE1196" i="39"/>
  <c r="AC1196" i="39"/>
  <c r="AA1196" i="39"/>
  <c r="V1196" i="39"/>
  <c r="D1196" i="39"/>
  <c r="C1196" i="39"/>
  <c r="A1196"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F1250" i="39"/>
  <c r="D1250" i="39"/>
  <c r="A1250" i="39"/>
  <c r="AE1249" i="39"/>
  <c r="AC1249" i="39"/>
  <c r="AA1249" i="39"/>
  <c r="V1249" i="39"/>
  <c r="D1249" i="39"/>
  <c r="C1249" i="39"/>
  <c r="A1249" i="39"/>
  <c r="AE511" i="39"/>
  <c r="AC511" i="39"/>
  <c r="AA511" i="39"/>
  <c r="D511" i="39"/>
  <c r="A511" i="39"/>
  <c r="AE515" i="39"/>
  <c r="AC515" i="39"/>
  <c r="AA515" i="39"/>
  <c r="D515" i="39"/>
  <c r="A515" i="39"/>
  <c r="AE1046" i="39"/>
  <c r="AC1046" i="39"/>
  <c r="AA1046" i="39"/>
  <c r="F1046" i="39"/>
  <c r="D1046" i="39"/>
  <c r="A1046" i="39"/>
  <c r="AE1045" i="39"/>
  <c r="AC1045" i="39"/>
  <c r="AA1045" i="39"/>
  <c r="F1045" i="39"/>
  <c r="D1045" i="39"/>
  <c r="A1045" i="39"/>
  <c r="AE1044" i="39"/>
  <c r="AC1044" i="39"/>
  <c r="AA1044" i="39"/>
  <c r="V1044" i="39"/>
  <c r="D1044" i="39"/>
  <c r="C1044" i="39"/>
  <c r="A1044"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24" i="39"/>
  <c r="AC2324" i="39"/>
  <c r="AA2324" i="39"/>
  <c r="D2324" i="39"/>
  <c r="AE2336" i="39"/>
  <c r="AC2336" i="39"/>
  <c r="AA2336" i="39"/>
  <c r="D2336" i="39"/>
  <c r="AE2335" i="39"/>
  <c r="AC2335" i="39"/>
  <c r="AA2335" i="39"/>
  <c r="D2335" i="39"/>
  <c r="AE2334" i="39"/>
  <c r="AC2334" i="39"/>
  <c r="AA2334" i="39"/>
  <c r="D2334" i="39"/>
  <c r="AE2333" i="39"/>
  <c r="AC2333" i="39"/>
  <c r="AA2333" i="39"/>
  <c r="D2333" i="39"/>
  <c r="AE2332" i="39"/>
  <c r="AC2332" i="39"/>
  <c r="AA2332" i="39"/>
  <c r="D2332"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3" i="39"/>
  <c r="AC2323" i="39"/>
  <c r="AA2323" i="39"/>
  <c r="D2323" i="39"/>
  <c r="AE2322" i="39"/>
  <c r="AC2322" i="39"/>
  <c r="AA2322" i="39"/>
  <c r="D2322" i="39"/>
  <c r="AE2321" i="39"/>
  <c r="AC2321" i="39"/>
  <c r="AA2321" i="39"/>
  <c r="D2321" i="39"/>
  <c r="AE2320" i="39"/>
  <c r="AC2320" i="39"/>
  <c r="AA2320" i="39"/>
  <c r="D2320" i="39"/>
  <c r="AE2319" i="39"/>
  <c r="AC2319" i="39"/>
  <c r="AA2319" i="39"/>
  <c r="D2319" i="39"/>
  <c r="AE2318" i="39"/>
  <c r="AC2318" i="39"/>
  <c r="AA2318" i="39"/>
  <c r="D2318" i="39"/>
  <c r="AE2317" i="39"/>
  <c r="AC2317" i="39"/>
  <c r="AA2317" i="39"/>
  <c r="D2317" i="39"/>
  <c r="AE2316" i="39"/>
  <c r="AC2316" i="39"/>
  <c r="AA2316" i="39"/>
  <c r="D2316" i="39"/>
  <c r="AE2315" i="39"/>
  <c r="AC2315" i="39"/>
  <c r="AA2315" i="39"/>
  <c r="D2315" i="39"/>
  <c r="AE2314" i="39"/>
  <c r="AC2314" i="39"/>
  <c r="AA2314" i="39"/>
  <c r="F2314" i="39"/>
  <c r="D2314" i="39"/>
  <c r="AE2313" i="39"/>
  <c r="AC2313" i="39"/>
  <c r="AA2313" i="39"/>
  <c r="V2313" i="39"/>
  <c r="D2313" i="39"/>
  <c r="C2313" i="39"/>
  <c r="AE2174" i="39"/>
  <c r="AC2174" i="39"/>
  <c r="AA2174" i="39"/>
  <c r="D2174"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D2166" i="39"/>
  <c r="AE2165" i="39"/>
  <c r="AC2165" i="39"/>
  <c r="AA2165" i="39"/>
  <c r="D2165" i="39"/>
  <c r="AE2164" i="39"/>
  <c r="AC2164" i="39"/>
  <c r="AA2164" i="39"/>
  <c r="D2164" i="39"/>
  <c r="AE2163" i="39"/>
  <c r="AC2163" i="39"/>
  <c r="AA2163" i="39"/>
  <c r="D2163" i="39"/>
  <c r="AE2162" i="39"/>
  <c r="AC2162" i="39"/>
  <c r="AA2162" i="39"/>
  <c r="D2162" i="39"/>
  <c r="AE2161" i="39"/>
  <c r="AC2161" i="39"/>
  <c r="AA2161" i="39"/>
  <c r="D2161" i="39"/>
  <c r="AE2160" i="39"/>
  <c r="AC2160" i="39"/>
  <c r="AA2160" i="39"/>
  <c r="D2160" i="39"/>
  <c r="AE2159" i="39"/>
  <c r="AC2159" i="39"/>
  <c r="AA2159" i="39"/>
  <c r="D2159" i="39"/>
  <c r="AE2158" i="39"/>
  <c r="AC2158" i="39"/>
  <c r="AA2158" i="39"/>
  <c r="F2158" i="39"/>
  <c r="D2158" i="39"/>
  <c r="AE2157" i="39"/>
  <c r="AC2157" i="39"/>
  <c r="AA2157" i="39"/>
  <c r="V2157" i="39"/>
  <c r="D2157" i="39"/>
  <c r="C2157" i="39"/>
  <c r="AE2360" i="39"/>
  <c r="AC2360" i="39"/>
  <c r="AA2360" i="39"/>
  <c r="D2360" i="39"/>
  <c r="AE2368" i="39"/>
  <c r="AC2368" i="39"/>
  <c r="AA2368" i="39"/>
  <c r="D2368" i="39"/>
  <c r="AE2442" i="39"/>
  <c r="AC2442" i="39"/>
  <c r="AA2442" i="39"/>
  <c r="D244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F2506" i="39"/>
  <c r="D2506" i="39"/>
  <c r="AE2505" i="39"/>
  <c r="AC2505" i="39"/>
  <c r="AA2505" i="39"/>
  <c r="V2505" i="39"/>
  <c r="D2505" i="39"/>
  <c r="C2505" i="39"/>
  <c r="AE2657" i="39"/>
  <c r="AC2657" i="39"/>
  <c r="AA2657" i="39"/>
  <c r="D2657" i="39"/>
  <c r="AE2656" i="39"/>
  <c r="AC2656" i="39"/>
  <c r="AA2656" i="39"/>
  <c r="D2656" i="39"/>
  <c r="AE2655" i="39"/>
  <c r="AC2655" i="39"/>
  <c r="AA2655" i="39"/>
  <c r="D2655" i="39"/>
  <c r="AE2654" i="39"/>
  <c r="AC2654" i="39"/>
  <c r="AA2654" i="39"/>
  <c r="D2654" i="39"/>
  <c r="AE2653" i="39"/>
  <c r="AC2653" i="39"/>
  <c r="AA2653" i="39"/>
  <c r="D2653" i="39"/>
  <c r="AE2652" i="39"/>
  <c r="AC2652" i="39"/>
  <c r="AA2652" i="39"/>
  <c r="D2652" i="39"/>
  <c r="AE2651" i="39"/>
  <c r="AC2651" i="39"/>
  <c r="AA2651" i="39"/>
  <c r="D2651" i="39"/>
  <c r="AE2650" i="39"/>
  <c r="AC2650" i="39"/>
  <c r="AA2650" i="39"/>
  <c r="F2650" i="39"/>
  <c r="D2650" i="39"/>
  <c r="AE2649" i="39"/>
  <c r="AC2649" i="39"/>
  <c r="AA2649" i="39"/>
  <c r="V2649" i="39"/>
  <c r="D2649" i="39"/>
  <c r="C2649" i="39"/>
  <c r="AE1693" i="39"/>
  <c r="AC1693" i="39"/>
  <c r="AA1693" i="39"/>
  <c r="D1693" i="39"/>
  <c r="A1693" i="39"/>
  <c r="AE1692" i="39"/>
  <c r="AC1692" i="39"/>
  <c r="AA1692" i="39"/>
  <c r="D1692" i="39"/>
  <c r="A1692" i="39"/>
  <c r="AE1691" i="39"/>
  <c r="AC1691" i="39"/>
  <c r="AA1691" i="39"/>
  <c r="D1691" i="39"/>
  <c r="A1691" i="39"/>
  <c r="AE1690" i="39"/>
  <c r="AC1690" i="39"/>
  <c r="AA1690" i="39"/>
  <c r="F1690" i="39"/>
  <c r="D1690" i="39"/>
  <c r="A1690" i="39"/>
  <c r="AE1689" i="39"/>
  <c r="AC1689" i="39"/>
  <c r="AA1689" i="39"/>
  <c r="V1689" i="39"/>
  <c r="D1689" i="39"/>
  <c r="C1689" i="39"/>
  <c r="A1689"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12" i="39"/>
  <c r="AC1312" i="39"/>
  <c r="AA1312" i="39"/>
  <c r="D1312" i="39"/>
  <c r="A1312" i="39"/>
  <c r="AE1311" i="39"/>
  <c r="AC1311" i="39"/>
  <c r="AA1311" i="39"/>
  <c r="D1311" i="39"/>
  <c r="A1311" i="39"/>
  <c r="AE1310" i="39"/>
  <c r="AC1310" i="39"/>
  <c r="AA1310" i="39"/>
  <c r="D1310" i="39"/>
  <c r="A1310" i="39"/>
  <c r="AE1309" i="39"/>
  <c r="AC1309" i="39"/>
  <c r="AA1309" i="39"/>
  <c r="D1309" i="39"/>
  <c r="A1309" i="39"/>
  <c r="AE1308" i="39"/>
  <c r="AC1308" i="39"/>
  <c r="AA1308" i="39"/>
  <c r="D1308" i="39"/>
  <c r="A1308" i="39"/>
  <c r="AE1307" i="39"/>
  <c r="AC1307" i="39"/>
  <c r="AA1307" i="39"/>
  <c r="D1307" i="39"/>
  <c r="A1307" i="39"/>
  <c r="AE1306" i="39"/>
  <c r="AC1306" i="39"/>
  <c r="AA1306" i="39"/>
  <c r="D1306" i="39"/>
  <c r="A1306" i="39"/>
  <c r="AE1305" i="39"/>
  <c r="AC1305" i="39"/>
  <c r="AA1305" i="39"/>
  <c r="D1305" i="39"/>
  <c r="A1305" i="39"/>
  <c r="AE1304" i="39"/>
  <c r="AC1304" i="39"/>
  <c r="AA1304" i="39"/>
  <c r="D1304" i="39"/>
  <c r="A1304" i="39"/>
  <c r="AE1303" i="39"/>
  <c r="AC1303" i="39"/>
  <c r="AA1303" i="39"/>
  <c r="D1303" i="39"/>
  <c r="A1303" i="39"/>
  <c r="AE1302" i="39"/>
  <c r="AC1302" i="39"/>
  <c r="AA1302" i="39"/>
  <c r="D1302" i="39"/>
  <c r="A1302" i="39"/>
  <c r="AE1301" i="39"/>
  <c r="AC1301" i="39"/>
  <c r="AA1301" i="39"/>
  <c r="F1301" i="39"/>
  <c r="D1301" i="39"/>
  <c r="A1301" i="39"/>
  <c r="AE1300" i="39"/>
  <c r="AC1300" i="39"/>
  <c r="AA1300" i="39"/>
  <c r="V1300" i="39"/>
  <c r="D1300" i="39"/>
  <c r="C1300" i="39"/>
  <c r="A1300"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D1463" i="39"/>
  <c r="A1463" i="39"/>
  <c r="AE1462" i="39"/>
  <c r="AC1462" i="39"/>
  <c r="AA1462" i="39"/>
  <c r="D1462" i="39"/>
  <c r="A1462" i="39"/>
  <c r="AE1461" i="39"/>
  <c r="AC1461" i="39"/>
  <c r="AA1461" i="39"/>
  <c r="D1461" i="39"/>
  <c r="A1461" i="39"/>
  <c r="AE1460" i="39"/>
  <c r="AC1460" i="39"/>
  <c r="AA1460" i="39"/>
  <c r="D1460" i="39"/>
  <c r="A1460" i="39"/>
  <c r="AE1459" i="39"/>
  <c r="AC1459" i="39"/>
  <c r="AA1459" i="39"/>
  <c r="D1459" i="39"/>
  <c r="A1459" i="39"/>
  <c r="AE1458" i="39"/>
  <c r="AC1458" i="39"/>
  <c r="AA1458" i="39"/>
  <c r="D1458" i="39"/>
  <c r="A1458" i="39"/>
  <c r="AE1457" i="39"/>
  <c r="AC1457" i="39"/>
  <c r="AA1457" i="39"/>
  <c r="D1457" i="39"/>
  <c r="A1457" i="39"/>
  <c r="AE1456" i="39"/>
  <c r="AC1456" i="39"/>
  <c r="AA1456" i="39"/>
  <c r="D1456" i="39"/>
  <c r="A1456" i="39"/>
  <c r="AE1455" i="39"/>
  <c r="AC1455" i="39"/>
  <c r="AA1455" i="39"/>
  <c r="F1455" i="39"/>
  <c r="D1455" i="39"/>
  <c r="A1455" i="39"/>
  <c r="AE1454" i="39"/>
  <c r="AC1454" i="39"/>
  <c r="AA1454" i="39"/>
  <c r="V1454" i="39"/>
  <c r="D1454" i="39"/>
  <c r="C1454" i="39"/>
  <c r="A1454"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47" i="39"/>
  <c r="Z1046" i="39"/>
  <c r="Z748" i="39"/>
  <c r="Z1044" i="39"/>
  <c r="Z749" i="39"/>
  <c r="Z1045" i="39"/>
  <c r="Z750" i="39"/>
  <c r="C917" i="39" l="1"/>
  <c r="U917" i="39" s="1"/>
  <c r="F918" i="39"/>
  <c r="V917" i="39"/>
  <c r="C1718" i="39"/>
  <c r="U1718" i="39" s="1"/>
  <c r="V1718" i="39"/>
  <c r="F1719" i="39"/>
  <c r="F336" i="39"/>
  <c r="C335" i="39"/>
  <c r="U335" i="39" s="1"/>
  <c r="V335" i="39"/>
  <c r="U786" i="39"/>
  <c r="C787" i="39"/>
  <c r="U787" i="39" s="1"/>
  <c r="U1196" i="39"/>
  <c r="U1249" i="39"/>
  <c r="C1250" i="39"/>
  <c r="U1250" i="39" s="1"/>
  <c r="F1251" i="39"/>
  <c r="F749" i="39"/>
  <c r="F1198" i="39"/>
  <c r="F788" i="39"/>
  <c r="V787" i="39"/>
  <c r="C1197" i="39"/>
  <c r="U1197" i="39" s="1"/>
  <c r="V1197" i="39"/>
  <c r="V1250" i="39"/>
  <c r="U1044" i="39"/>
  <c r="U747" i="39"/>
  <c r="F2315" i="39"/>
  <c r="C1045" i="39"/>
  <c r="U1045" i="39" s="1"/>
  <c r="V1045" i="39"/>
  <c r="C1046" i="39"/>
  <c r="U1046" i="39" s="1"/>
  <c r="V1046" i="39"/>
  <c r="U2313" i="39"/>
  <c r="C748" i="39"/>
  <c r="U748" i="39" s="1"/>
  <c r="V748" i="39"/>
  <c r="C2314" i="39"/>
  <c r="U2314" i="39" s="1"/>
  <c r="V2314" i="39"/>
  <c r="U2505" i="39"/>
  <c r="C2506" i="39"/>
  <c r="U2506" i="39" s="1"/>
  <c r="C2158" i="39"/>
  <c r="U2158" i="39" s="1"/>
  <c r="V1301" i="39"/>
  <c r="U2157" i="39"/>
  <c r="U2649" i="39"/>
  <c r="V2158" i="39"/>
  <c r="F2159" i="39"/>
  <c r="F2507" i="39"/>
  <c r="V2506" i="39"/>
  <c r="U1454" i="39"/>
  <c r="U156" i="39"/>
  <c r="F2651" i="39"/>
  <c r="C2650" i="39"/>
  <c r="U2650" i="39" s="1"/>
  <c r="V2650" i="39"/>
  <c r="C1690" i="39"/>
  <c r="U1690" i="39" s="1"/>
  <c r="U1689" i="39"/>
  <c r="F1691" i="39"/>
  <c r="V1690" i="39"/>
  <c r="C157" i="39"/>
  <c r="U157" i="39" s="1"/>
  <c r="F158" i="39"/>
  <c r="C289" i="39"/>
  <c r="U289" i="39" s="1"/>
  <c r="U1300" i="39"/>
  <c r="V1455" i="39"/>
  <c r="V157" i="39"/>
  <c r="C1455" i="39"/>
  <c r="U1455" i="39" s="1"/>
  <c r="F1302" i="39"/>
  <c r="C1301" i="39"/>
  <c r="U1301" i="39" s="1"/>
  <c r="F1456" i="39"/>
  <c r="U288" i="39"/>
  <c r="V289" i="39"/>
  <c r="F290" i="39"/>
  <c r="V918" i="39" l="1"/>
  <c r="C918" i="39"/>
  <c r="U918" i="39" s="1"/>
  <c r="V1719" i="39"/>
  <c r="F1720" i="39"/>
  <c r="C1719" i="39"/>
  <c r="U1719" i="39" s="1"/>
  <c r="V336" i="39"/>
  <c r="C336" i="39"/>
  <c r="U336" i="39" s="1"/>
  <c r="F337" i="39"/>
  <c r="C1302" i="39"/>
  <c r="U1302" i="39" s="1"/>
  <c r="F1252" i="39"/>
  <c r="V1302" i="39"/>
  <c r="F750" i="39"/>
  <c r="V788" i="39"/>
  <c r="F2316" i="39"/>
  <c r="V1198" i="39"/>
  <c r="C749" i="39"/>
  <c r="U749" i="39" s="1"/>
  <c r="F789" i="39"/>
  <c r="V749" i="39"/>
  <c r="V1251" i="39"/>
  <c r="C788" i="39"/>
  <c r="U788" i="39" s="1"/>
  <c r="C1251" i="39"/>
  <c r="U1251" i="39" s="1"/>
  <c r="C1198" i="39"/>
  <c r="U1198" i="39" s="1"/>
  <c r="F1199" i="39"/>
  <c r="C2315" i="39"/>
  <c r="U2315" i="39" s="1"/>
  <c r="V2315" i="39"/>
  <c r="V2507" i="39"/>
  <c r="V2159" i="39"/>
  <c r="C2159" i="39"/>
  <c r="U2159" i="39" s="1"/>
  <c r="F2160" i="39"/>
  <c r="V2651" i="39"/>
  <c r="F2508" i="39"/>
  <c r="C2507" i="39"/>
  <c r="U2507" i="39" s="1"/>
  <c r="F2652" i="39"/>
  <c r="C2651" i="39"/>
  <c r="U2651" i="39" s="1"/>
  <c r="F1692" i="39"/>
  <c r="V1691" i="39"/>
  <c r="C1691" i="39"/>
  <c r="U1691" i="39" s="1"/>
  <c r="F159" i="39"/>
  <c r="C158" i="39"/>
  <c r="U158" i="39" s="1"/>
  <c r="F1303" i="39"/>
  <c r="V158" i="39"/>
  <c r="F1457" i="39"/>
  <c r="V1456" i="39"/>
  <c r="C1456" i="39"/>
  <c r="U1456" i="39" s="1"/>
  <c r="F291" i="39"/>
  <c r="V290" i="39"/>
  <c r="C290" i="39"/>
  <c r="U290" i="39" s="1"/>
  <c r="C1720" i="39" l="1"/>
  <c r="U1720" i="39" s="1"/>
  <c r="F1721" i="39"/>
  <c r="V1720" i="39"/>
  <c r="F1253" i="39"/>
  <c r="C1252" i="39"/>
  <c r="U1252" i="39" s="1"/>
  <c r="F338" i="39"/>
  <c r="V337" i="39"/>
  <c r="C337" i="39"/>
  <c r="U337" i="39" s="1"/>
  <c r="V1252" i="39"/>
  <c r="V750" i="39"/>
  <c r="C750" i="39"/>
  <c r="U750" i="39" s="1"/>
  <c r="V2316" i="39"/>
  <c r="V789" i="39"/>
  <c r="F2317" i="39"/>
  <c r="C2316" i="39"/>
  <c r="U2316" i="39" s="1"/>
  <c r="F790" i="39"/>
  <c r="C789" i="39"/>
  <c r="U789" i="39" s="1"/>
  <c r="F1200" i="39"/>
  <c r="V1199" i="39"/>
  <c r="C1199" i="39"/>
  <c r="U1199" i="39" s="1"/>
  <c r="F2161" i="39"/>
  <c r="C2160" i="39"/>
  <c r="U2160" i="39" s="1"/>
  <c r="V2160" i="39"/>
  <c r="F1306" i="39"/>
  <c r="C2508" i="39"/>
  <c r="U2508" i="39" s="1"/>
  <c r="F2509" i="39"/>
  <c r="V2508" i="39"/>
  <c r="C1303" i="39"/>
  <c r="U1303" i="39" s="1"/>
  <c r="F1305" i="39"/>
  <c r="V1303" i="39"/>
  <c r="F1304" i="39"/>
  <c r="C2652" i="39"/>
  <c r="U2652" i="39" s="1"/>
  <c r="F2653" i="39"/>
  <c r="V2652" i="39"/>
  <c r="F1693" i="39"/>
  <c r="V1692" i="39"/>
  <c r="C1692" i="39"/>
  <c r="U1692" i="39" s="1"/>
  <c r="F160" i="39"/>
  <c r="C159" i="39"/>
  <c r="U159" i="39" s="1"/>
  <c r="V159" i="39"/>
  <c r="C1457" i="39"/>
  <c r="U1457" i="39" s="1"/>
  <c r="F1458" i="39"/>
  <c r="V1457" i="39"/>
  <c r="C291" i="39"/>
  <c r="U291" i="39" s="1"/>
  <c r="F292" i="39"/>
  <c r="V291" i="39"/>
  <c r="V1721" i="39" l="1"/>
  <c r="C1721" i="39"/>
  <c r="U1721" i="39" s="1"/>
  <c r="F1722" i="39"/>
  <c r="V1253" i="39"/>
  <c r="C1253" i="39"/>
  <c r="U1253" i="39" s="1"/>
  <c r="F1254" i="39"/>
  <c r="C338" i="39"/>
  <c r="U338" i="39" s="1"/>
  <c r="F339" i="39"/>
  <c r="V338" i="39"/>
  <c r="F791" i="39"/>
  <c r="V2317" i="39"/>
  <c r="C2317" i="39"/>
  <c r="U2317" i="39" s="1"/>
  <c r="C790" i="39"/>
  <c r="U790" i="39" s="1"/>
  <c r="F2318" i="39"/>
  <c r="V790" i="39"/>
  <c r="C1200" i="39"/>
  <c r="U1200" i="39" s="1"/>
  <c r="V1200" i="39"/>
  <c r="F1201" i="39"/>
  <c r="C1306" i="39"/>
  <c r="U1306" i="39" s="1"/>
  <c r="V1306" i="39"/>
  <c r="V2161" i="39"/>
  <c r="C2161" i="39"/>
  <c r="U2161" i="39" s="1"/>
  <c r="F2162" i="39"/>
  <c r="V1304" i="39"/>
  <c r="C1305" i="39"/>
  <c r="U1305" i="39" s="1"/>
  <c r="V1305" i="39"/>
  <c r="V2509" i="39"/>
  <c r="C2509" i="39"/>
  <c r="U2509" i="39" s="1"/>
  <c r="F2510" i="39"/>
  <c r="C2653" i="39"/>
  <c r="U2653" i="39" s="1"/>
  <c r="F2654" i="39"/>
  <c r="V2653" i="39"/>
  <c r="F1307" i="39"/>
  <c r="C1304" i="39"/>
  <c r="U1304" i="39" s="1"/>
  <c r="V1693" i="39"/>
  <c r="C1693" i="39"/>
  <c r="U1693" i="39" s="1"/>
  <c r="V160" i="39"/>
  <c r="C160" i="39"/>
  <c r="U160" i="39" s="1"/>
  <c r="F161" i="39"/>
  <c r="F1459" i="39"/>
  <c r="V1458" i="39"/>
  <c r="C1458" i="39"/>
  <c r="U1458" i="39" s="1"/>
  <c r="F293" i="39"/>
  <c r="V292" i="39"/>
  <c r="C292" i="39"/>
  <c r="U292" i="39" s="1"/>
  <c r="C1722" i="39" l="1"/>
  <c r="U1722" i="39" s="1"/>
  <c r="F1723" i="39"/>
  <c r="V1722" i="39"/>
  <c r="V1254" i="39"/>
  <c r="F1255" i="39"/>
  <c r="C1254" i="39"/>
  <c r="U1254" i="39" s="1"/>
  <c r="V791" i="39"/>
  <c r="V339" i="39"/>
  <c r="C339" i="39"/>
  <c r="U339" i="39" s="1"/>
  <c r="F792" i="39"/>
  <c r="C791" i="39"/>
  <c r="U791" i="39" s="1"/>
  <c r="F2319" i="39"/>
  <c r="C2318" i="39"/>
  <c r="U2318" i="39" s="1"/>
  <c r="V2318" i="39"/>
  <c r="C1201" i="39"/>
  <c r="U1201" i="39" s="1"/>
  <c r="V1201" i="39"/>
  <c r="F1202" i="39"/>
  <c r="F2163" i="39"/>
  <c r="V2162" i="39"/>
  <c r="C2162" i="39"/>
  <c r="U2162" i="39" s="1"/>
  <c r="C1307" i="39"/>
  <c r="U1307" i="39" s="1"/>
  <c r="F1309" i="39"/>
  <c r="V2510" i="39"/>
  <c r="C2510" i="39"/>
  <c r="U2510" i="39" s="1"/>
  <c r="F2511" i="39"/>
  <c r="F2655" i="39"/>
  <c r="V2654" i="39"/>
  <c r="F2656" i="39"/>
  <c r="C2654" i="39"/>
  <c r="U2654" i="39" s="1"/>
  <c r="V1307" i="39"/>
  <c r="F1308" i="39"/>
  <c r="C161" i="39"/>
  <c r="U161" i="39" s="1"/>
  <c r="V161" i="39"/>
  <c r="C1459" i="39"/>
  <c r="U1459" i="39" s="1"/>
  <c r="F1460" i="39"/>
  <c r="V1459" i="39"/>
  <c r="F297" i="39"/>
  <c r="C293" i="39"/>
  <c r="U293" i="39" s="1"/>
  <c r="F294" i="39"/>
  <c r="V293" i="39"/>
  <c r="V1723" i="39" l="1"/>
  <c r="F1725" i="39"/>
  <c r="F1724" i="39"/>
  <c r="C1723" i="39"/>
  <c r="U1723" i="39" s="1"/>
  <c r="V1255" i="39"/>
  <c r="C1255" i="39"/>
  <c r="U1255" i="39" s="1"/>
  <c r="F1256" i="39"/>
  <c r="C2319" i="39"/>
  <c r="U2319" i="39" s="1"/>
  <c r="C792" i="39"/>
  <c r="U792" i="39" s="1"/>
  <c r="V792" i="39"/>
  <c r="F793" i="39"/>
  <c r="V2319" i="39"/>
  <c r="F2320" i="39"/>
  <c r="C1202" i="39"/>
  <c r="U1202" i="39" s="1"/>
  <c r="V1202" i="39"/>
  <c r="F1203" i="39"/>
  <c r="V1309" i="39"/>
  <c r="V2163" i="39"/>
  <c r="C2163" i="39"/>
  <c r="U2163" i="39" s="1"/>
  <c r="F2164" i="39"/>
  <c r="C2511" i="39"/>
  <c r="U2511" i="39" s="1"/>
  <c r="V2511" i="39"/>
  <c r="F1310" i="39"/>
  <c r="C1308" i="39"/>
  <c r="U1308" i="39" s="1"/>
  <c r="C1309" i="39"/>
  <c r="U1309" i="39" s="1"/>
  <c r="F1311" i="39"/>
  <c r="V2655" i="39"/>
  <c r="F2657" i="39"/>
  <c r="C2655" i="39"/>
  <c r="U2655" i="39" s="1"/>
  <c r="V2656" i="39"/>
  <c r="C2656" i="39"/>
  <c r="U2656" i="39" s="1"/>
  <c r="V1308" i="39"/>
  <c r="F1461" i="39"/>
  <c r="V1460" i="39"/>
  <c r="C1460" i="39"/>
  <c r="U1460" i="39" s="1"/>
  <c r="F299" i="39"/>
  <c r="F295" i="39"/>
  <c r="V294" i="39"/>
  <c r="F300" i="39"/>
  <c r="F298" i="39"/>
  <c r="F296" i="39"/>
  <c r="C294" i="39"/>
  <c r="U294" i="39" s="1"/>
  <c r="F303" i="39"/>
  <c r="C297" i="39"/>
  <c r="U297" i="39" s="1"/>
  <c r="V297" i="39"/>
  <c r="AE2587" i="39"/>
  <c r="AC2587" i="39"/>
  <c r="AA2587" i="39"/>
  <c r="D2587" i="39"/>
  <c r="AE2586" i="39"/>
  <c r="AC2586" i="39"/>
  <c r="AA2586" i="39"/>
  <c r="D2586" i="39"/>
  <c r="AE2585" i="39"/>
  <c r="AC2585" i="39"/>
  <c r="AA2585" i="39"/>
  <c r="D2585" i="39"/>
  <c r="AE2584" i="39"/>
  <c r="AC2584" i="39"/>
  <c r="AA2584" i="39"/>
  <c r="D2584" i="39"/>
  <c r="AE2583" i="39"/>
  <c r="AC2583" i="39"/>
  <c r="AA2583" i="39"/>
  <c r="D2583" i="39"/>
  <c r="AE2582" i="39"/>
  <c r="AC2582" i="39"/>
  <c r="AA2582" i="39"/>
  <c r="D2582" i="39"/>
  <c r="AE2581" i="39"/>
  <c r="AC2581" i="39"/>
  <c r="AA2581" i="39"/>
  <c r="D2581" i="39"/>
  <c r="AE2580" i="39"/>
  <c r="AC2580" i="39"/>
  <c r="AA2580" i="39"/>
  <c r="F2580" i="39"/>
  <c r="D2580" i="39"/>
  <c r="AE2579" i="39"/>
  <c r="AC2579" i="39"/>
  <c r="AA2579" i="39"/>
  <c r="V2579" i="39"/>
  <c r="D2579" i="39"/>
  <c r="C2579"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D2479" i="39"/>
  <c r="AE2478" i="39"/>
  <c r="AC2478" i="39"/>
  <c r="AA2478" i="39"/>
  <c r="D2478" i="39"/>
  <c r="AE2477" i="39"/>
  <c r="AC2477" i="39"/>
  <c r="AA2477" i="39"/>
  <c r="D2477" i="39"/>
  <c r="AE2476" i="39"/>
  <c r="AC2476" i="39"/>
  <c r="AA2476" i="39"/>
  <c r="D2476" i="39"/>
  <c r="AE2475" i="39"/>
  <c r="AC2475" i="39"/>
  <c r="AA2475" i="39"/>
  <c r="D2475" i="39"/>
  <c r="AE2474" i="39"/>
  <c r="AC2474" i="39"/>
  <c r="AA2474" i="39"/>
  <c r="D2474" i="39"/>
  <c r="AE2473" i="39"/>
  <c r="AC2473" i="39"/>
  <c r="AA2473" i="39"/>
  <c r="D2473" i="39"/>
  <c r="AE2472" i="39"/>
  <c r="AC2472" i="39"/>
  <c r="AA2472" i="39"/>
  <c r="D2472" i="39"/>
  <c r="AE2471" i="39"/>
  <c r="AC2471" i="39"/>
  <c r="AA2471" i="39"/>
  <c r="F2471" i="39"/>
  <c r="D2471" i="39"/>
  <c r="AE2470" i="39"/>
  <c r="AC2470" i="39"/>
  <c r="AA2470" i="39"/>
  <c r="V2470" i="39"/>
  <c r="D2470" i="39"/>
  <c r="C2470" i="39"/>
  <c r="AC2693" i="39"/>
  <c r="AC2690" i="39"/>
  <c r="AC2692" i="39"/>
  <c r="AC2691" i="39"/>
  <c r="AE2695" i="39"/>
  <c r="AC2695" i="39"/>
  <c r="AA2695" i="39"/>
  <c r="D2695" i="39"/>
  <c r="AE2694" i="39"/>
  <c r="AC2694" i="39"/>
  <c r="AA2694" i="39"/>
  <c r="D2694" i="39"/>
  <c r="AE2693" i="39"/>
  <c r="AA2693" i="39"/>
  <c r="D2693" i="39"/>
  <c r="AE2692" i="39"/>
  <c r="AA2692" i="39"/>
  <c r="D2692" i="39"/>
  <c r="AE2691" i="39"/>
  <c r="AA2691" i="39"/>
  <c r="F2691" i="39"/>
  <c r="D2691" i="39"/>
  <c r="AE2690" i="39"/>
  <c r="AA2690" i="39"/>
  <c r="V2690" i="39"/>
  <c r="D2690" i="39"/>
  <c r="C2690" i="39"/>
  <c r="AE998" i="39"/>
  <c r="AC998" i="39"/>
  <c r="AA998" i="39"/>
  <c r="D998" i="39"/>
  <c r="A998" i="39"/>
  <c r="AE997" i="39"/>
  <c r="AC997" i="39"/>
  <c r="AA997" i="39"/>
  <c r="D997" i="39"/>
  <c r="A997" i="39"/>
  <c r="AE996" i="39"/>
  <c r="AC996" i="39"/>
  <c r="AA996" i="39"/>
  <c r="D996" i="39"/>
  <c r="A996" i="39"/>
  <c r="AE995" i="39"/>
  <c r="AC995" i="39"/>
  <c r="AA995" i="39"/>
  <c r="F995" i="39"/>
  <c r="D995" i="39"/>
  <c r="A995" i="39"/>
  <c r="AE994" i="39"/>
  <c r="AC994" i="39"/>
  <c r="AA994" i="39"/>
  <c r="V994" i="39"/>
  <c r="D994" i="39"/>
  <c r="C994" i="39"/>
  <c r="A994" i="39"/>
  <c r="AE183" i="39"/>
  <c r="AC183" i="39"/>
  <c r="AA183" i="39"/>
  <c r="D183" i="39"/>
  <c r="A183" i="39"/>
  <c r="AE182" i="39"/>
  <c r="AC182" i="39"/>
  <c r="AA182" i="39"/>
  <c r="F182" i="39"/>
  <c r="D182" i="39"/>
  <c r="A182" i="39"/>
  <c r="AE181" i="39"/>
  <c r="AC181" i="39"/>
  <c r="AA181" i="39"/>
  <c r="V181" i="39"/>
  <c r="D181" i="39"/>
  <c r="C181" i="39"/>
  <c r="A181" i="39"/>
  <c r="F1632" i="39"/>
  <c r="AE1631" i="39"/>
  <c r="AC1631" i="39"/>
  <c r="AA1631" i="39"/>
  <c r="V1631" i="39"/>
  <c r="D1631" i="39"/>
  <c r="C1631" i="39"/>
  <c r="A1631" i="39"/>
  <c r="AE1633" i="39"/>
  <c r="AC1633" i="39"/>
  <c r="AA1633" i="39"/>
  <c r="D1633" i="39"/>
  <c r="A1633" i="39"/>
  <c r="AE1632" i="39"/>
  <c r="AC1632" i="39"/>
  <c r="AA1632" i="39"/>
  <c r="D1632" i="39"/>
  <c r="A1632"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D946" i="39"/>
  <c r="A946" i="39"/>
  <c r="AE945" i="39"/>
  <c r="AC945" i="39"/>
  <c r="AA945" i="39"/>
  <c r="D945" i="39"/>
  <c r="A945" i="39"/>
  <c r="AE944" i="39"/>
  <c r="AC944" i="39"/>
  <c r="AA944" i="39"/>
  <c r="D944" i="39"/>
  <c r="A944" i="39"/>
  <c r="AE943" i="39"/>
  <c r="AC943" i="39"/>
  <c r="AA943" i="39"/>
  <c r="D943" i="39"/>
  <c r="A943" i="39"/>
  <c r="AE942" i="39"/>
  <c r="AC942" i="39"/>
  <c r="AA942" i="39"/>
  <c r="D942" i="39"/>
  <c r="A942" i="39"/>
  <c r="AE941" i="39"/>
  <c r="AC941" i="39"/>
  <c r="AA941" i="39"/>
  <c r="D941" i="39"/>
  <c r="A941" i="39"/>
  <c r="AE940" i="39"/>
  <c r="AC940" i="39"/>
  <c r="AA940" i="39"/>
  <c r="D940" i="39"/>
  <c r="A940" i="39"/>
  <c r="AE939" i="39"/>
  <c r="AC939" i="39"/>
  <c r="AA939" i="39"/>
  <c r="D939" i="39"/>
  <c r="A939" i="39"/>
  <c r="AE938" i="39"/>
  <c r="AC938" i="39"/>
  <c r="AA938" i="39"/>
  <c r="F938" i="39"/>
  <c r="D938" i="39"/>
  <c r="A938" i="39"/>
  <c r="AE937" i="39"/>
  <c r="AC937" i="39"/>
  <c r="AA937" i="39"/>
  <c r="V937" i="39"/>
  <c r="D937" i="39"/>
  <c r="C937" i="39"/>
  <c r="A937"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19" i="39"/>
  <c r="A920" i="39"/>
  <c r="A921" i="39"/>
  <c r="A922" i="39"/>
  <c r="A923" i="39"/>
  <c r="A924" i="39"/>
  <c r="A925" i="39"/>
  <c r="A926" i="39"/>
  <c r="A927" i="39"/>
  <c r="A928" i="39"/>
  <c r="A929" i="39"/>
  <c r="A930" i="39"/>
  <c r="A931" i="39"/>
  <c r="A932" i="39"/>
  <c r="A933" i="39"/>
  <c r="A934" i="39"/>
  <c r="A935" i="39"/>
  <c r="A936"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282" i="39"/>
  <c r="A1283" i="39"/>
  <c r="A1284" i="39"/>
  <c r="A1285" i="39"/>
  <c r="A1286" i="39"/>
  <c r="A1287" i="39"/>
  <c r="A1288" i="39"/>
  <c r="A1289" i="39"/>
  <c r="A1290" i="39"/>
  <c r="A1291" i="39"/>
  <c r="A1292" i="39"/>
  <c r="A1293" i="39"/>
  <c r="A1294" i="39"/>
  <c r="A1295" i="39"/>
  <c r="A1296" i="39"/>
  <c r="A1297" i="39"/>
  <c r="A1298" i="39"/>
  <c r="A1299"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16" i="39"/>
  <c r="A1617" i="39"/>
  <c r="A1618" i="39"/>
  <c r="A1619" i="39"/>
  <c r="A1620" i="39"/>
  <c r="A1621" i="39"/>
  <c r="A1622" i="39"/>
  <c r="A1623" i="39"/>
  <c r="A1624" i="39"/>
  <c r="A1625" i="39"/>
  <c r="A1626" i="39"/>
  <c r="A1627" i="39"/>
  <c r="A1628" i="39"/>
  <c r="A1629" i="39"/>
  <c r="A1630"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E2628" i="39"/>
  <c r="AC2628" i="39"/>
  <c r="AA2628" i="39"/>
  <c r="D2628" i="39"/>
  <c r="AE2627" i="39"/>
  <c r="AC2627" i="39"/>
  <c r="AA2627" i="39"/>
  <c r="D2627" i="39"/>
  <c r="AE2638" i="39"/>
  <c r="AC2638" i="39"/>
  <c r="AA2638" i="39"/>
  <c r="D2638" i="39"/>
  <c r="AE2637" i="39"/>
  <c r="AC2637" i="39"/>
  <c r="AA2637" i="39"/>
  <c r="D2637"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33" i="39"/>
  <c r="AC2133" i="39"/>
  <c r="AA2133" i="39"/>
  <c r="D2133" i="39"/>
  <c r="AE2132" i="39"/>
  <c r="AC2132" i="39"/>
  <c r="AA2132" i="39"/>
  <c r="D2132" i="39"/>
  <c r="AE2135" i="39"/>
  <c r="AC2135" i="39"/>
  <c r="AA2135" i="39"/>
  <c r="D2135" i="39"/>
  <c r="AE2137" i="39"/>
  <c r="AC2137" i="39"/>
  <c r="AA2137" i="39"/>
  <c r="D2137" i="39"/>
  <c r="AE2134" i="39"/>
  <c r="AC2134" i="39"/>
  <c r="AA2134" i="39"/>
  <c r="D2134" i="39"/>
  <c r="AE1522" i="39"/>
  <c r="AC1522" i="39"/>
  <c r="AA1522" i="39"/>
  <c r="D152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F1106" i="39"/>
  <c r="D1106" i="39"/>
  <c r="AE1105" i="39"/>
  <c r="AC1105" i="39"/>
  <c r="AA1105" i="39"/>
  <c r="V1105" i="39"/>
  <c r="D1105" i="39"/>
  <c r="C1105"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24" i="39"/>
  <c r="AC924" i="39"/>
  <c r="AA924" i="39"/>
  <c r="D924"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3" i="39"/>
  <c r="AC923" i="39"/>
  <c r="AA923" i="39"/>
  <c r="D923" i="39"/>
  <c r="AE922" i="39"/>
  <c r="AC922" i="39"/>
  <c r="AA922" i="39"/>
  <c r="D922" i="39"/>
  <c r="AE921" i="39"/>
  <c r="AC921" i="39"/>
  <c r="AA921" i="39"/>
  <c r="D921" i="39"/>
  <c r="AE920" i="39"/>
  <c r="AC920" i="39"/>
  <c r="AA920" i="39"/>
  <c r="F920" i="39"/>
  <c r="D920" i="39"/>
  <c r="AE919" i="39"/>
  <c r="AC919" i="39"/>
  <c r="AA919" i="39"/>
  <c r="V919" i="39"/>
  <c r="D919" i="39"/>
  <c r="C919" i="39"/>
  <c r="AE2281" i="39"/>
  <c r="AC2281" i="39"/>
  <c r="AA2281" i="39"/>
  <c r="D2281" i="39"/>
  <c r="AE2280" i="39"/>
  <c r="AC2280" i="39"/>
  <c r="AA2280" i="39"/>
  <c r="D2280" i="39"/>
  <c r="AE2279" i="39"/>
  <c r="AC2279" i="39"/>
  <c r="AA2279" i="39"/>
  <c r="D2279" i="39"/>
  <c r="AE2278" i="39"/>
  <c r="AC2278" i="39"/>
  <c r="AA2278" i="39"/>
  <c r="D2278" i="39"/>
  <c r="AE2277" i="39"/>
  <c r="AC2277" i="39"/>
  <c r="AA2277" i="39"/>
  <c r="D2277" i="39"/>
  <c r="AE2276" i="39"/>
  <c r="AC2276" i="39"/>
  <c r="AA2276" i="39"/>
  <c r="D2276" i="39"/>
  <c r="AE2275" i="39"/>
  <c r="AC2275" i="39"/>
  <c r="AA2275" i="39"/>
  <c r="D2275" i="39"/>
  <c r="AE2274" i="39"/>
  <c r="AC2274" i="39"/>
  <c r="AA2274" i="39"/>
  <c r="D2274" i="39"/>
  <c r="AE2273" i="39"/>
  <c r="AC2273" i="39"/>
  <c r="AA2273" i="39"/>
  <c r="F2273" i="39"/>
  <c r="D2273" i="39"/>
  <c r="AE2272" i="39"/>
  <c r="AC2272" i="39"/>
  <c r="AA2272" i="39"/>
  <c r="V2272" i="39"/>
  <c r="D2272" i="39"/>
  <c r="C2272" i="39"/>
  <c r="AE2214" i="39"/>
  <c r="AC2214" i="39"/>
  <c r="AA2214" i="39"/>
  <c r="D2214"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D1346" i="39"/>
  <c r="AE1345" i="39"/>
  <c r="AC1345" i="39"/>
  <c r="AA1345" i="39"/>
  <c r="F1345" i="39"/>
  <c r="D1345" i="39"/>
  <c r="AE1344" i="39"/>
  <c r="AC1344" i="39"/>
  <c r="AA1344" i="39"/>
  <c r="D1344" i="39"/>
  <c r="AE1343" i="39"/>
  <c r="AC1343" i="39"/>
  <c r="AA1343" i="39"/>
  <c r="D1343" i="39"/>
  <c r="AE1342" i="39"/>
  <c r="AC1342" i="39"/>
  <c r="AA1342" i="39"/>
  <c r="F1342" i="39"/>
  <c r="D1342" i="39"/>
  <c r="AE1341" i="39"/>
  <c r="AC1341" i="39"/>
  <c r="AA1341" i="39"/>
  <c r="V1341" i="39"/>
  <c r="D1341" i="39"/>
  <c r="C1341"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F1539" i="39"/>
  <c r="D1539" i="39"/>
  <c r="AE1538" i="39"/>
  <c r="AC1538" i="39"/>
  <c r="AA1538" i="39"/>
  <c r="V1538" i="39"/>
  <c r="D1538" i="39"/>
  <c r="C1538" i="39"/>
  <c r="F1671" i="39"/>
  <c r="AE1670" i="39"/>
  <c r="AC1670" i="39"/>
  <c r="AA1670" i="39"/>
  <c r="V1670" i="39"/>
  <c r="D1670" i="39"/>
  <c r="C1670"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F1188" i="39"/>
  <c r="D1188" i="39"/>
  <c r="AE1187" i="39"/>
  <c r="AC1187" i="39"/>
  <c r="AA1187" i="39"/>
  <c r="V1187" i="39"/>
  <c r="D1187" i="39"/>
  <c r="C1187" i="39"/>
  <c r="C1724" i="39" l="1"/>
  <c r="U1724" i="39" s="1"/>
  <c r="F1726" i="39"/>
  <c r="V1724" i="39"/>
  <c r="V1725" i="39"/>
  <c r="C1725" i="39"/>
  <c r="U1725" i="39" s="1"/>
  <c r="C1256" i="39"/>
  <c r="U1256" i="39" s="1"/>
  <c r="V1256" i="39"/>
  <c r="F1257" i="39"/>
  <c r="F794" i="39"/>
  <c r="V2320" i="39"/>
  <c r="F2321" i="39"/>
  <c r="C2320" i="39"/>
  <c r="U2320" i="39" s="1"/>
  <c r="C793" i="39"/>
  <c r="U793" i="39" s="1"/>
  <c r="V793" i="39"/>
  <c r="V1203" i="39"/>
  <c r="C1203" i="39"/>
  <c r="U1203" i="39" s="1"/>
  <c r="F1204" i="39"/>
  <c r="C1310" i="39"/>
  <c r="U1310" i="39" s="1"/>
  <c r="F1312" i="39"/>
  <c r="V1310" i="39"/>
  <c r="F2165" i="39"/>
  <c r="V2164" i="39"/>
  <c r="C2164" i="39"/>
  <c r="U2164" i="39" s="1"/>
  <c r="C1311" i="39"/>
  <c r="U1311" i="39" s="1"/>
  <c r="V1311" i="39"/>
  <c r="V2657" i="39"/>
  <c r="C2657" i="39"/>
  <c r="U2657" i="39" s="1"/>
  <c r="F150" i="39"/>
  <c r="C1461" i="39"/>
  <c r="U1461" i="39" s="1"/>
  <c r="F1462" i="39"/>
  <c r="V1461"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79" i="39"/>
  <c r="F2581" i="39"/>
  <c r="V2580" i="39"/>
  <c r="C2580" i="39"/>
  <c r="U2580" i="39" s="1"/>
  <c r="U2470" i="39"/>
  <c r="C2471" i="39"/>
  <c r="U2471" i="39" s="1"/>
  <c r="V2691" i="39"/>
  <c r="V2471" i="39"/>
  <c r="F2472" i="39"/>
  <c r="F1633" i="39"/>
  <c r="C995" i="39"/>
  <c r="U995" i="39" s="1"/>
  <c r="U2690" i="39"/>
  <c r="F2692" i="39"/>
  <c r="C2691" i="39"/>
  <c r="U2691" i="39" s="1"/>
  <c r="F996" i="39"/>
  <c r="U181" i="39"/>
  <c r="V995" i="39"/>
  <c r="U994" i="39"/>
  <c r="V1632" i="39"/>
  <c r="F183" i="39"/>
  <c r="V182" i="39"/>
  <c r="C1726" i="39" l="1"/>
  <c r="U1726" i="39" s="1"/>
  <c r="F1727" i="39"/>
  <c r="V1726" i="39"/>
  <c r="F795" i="39"/>
  <c r="F1258" i="39"/>
  <c r="V1257" i="39"/>
  <c r="V794" i="39"/>
  <c r="C1257" i="39"/>
  <c r="U1257" i="39" s="1"/>
  <c r="C794" i="39"/>
  <c r="U794" i="39" s="1"/>
  <c r="C2321" i="39"/>
  <c r="U2321" i="39" s="1"/>
  <c r="V2321" i="39"/>
  <c r="F2322" i="39"/>
  <c r="V1204" i="39"/>
  <c r="F1205" i="39"/>
  <c r="C1204" i="39"/>
  <c r="U1204" i="39" s="1"/>
  <c r="V1312" i="39"/>
  <c r="C1312" i="39"/>
  <c r="U1312" i="39" s="1"/>
  <c r="C2165" i="39"/>
  <c r="U2165" i="39" s="1"/>
  <c r="F2166" i="39"/>
  <c r="V2165" i="39"/>
  <c r="F151" i="39"/>
  <c r="C150" i="39"/>
  <c r="F1463" i="39"/>
  <c r="V1462" i="39"/>
  <c r="C1462" i="39"/>
  <c r="U1462" i="39" s="1"/>
  <c r="V304" i="39"/>
  <c r="C304" i="39"/>
  <c r="U304" i="39" s="1"/>
  <c r="C305" i="39"/>
  <c r="U305" i="39" s="1"/>
  <c r="V305" i="39"/>
  <c r="V302" i="39"/>
  <c r="C302" i="39"/>
  <c r="U302" i="39" s="1"/>
  <c r="C301" i="39"/>
  <c r="U301" i="39" s="1"/>
  <c r="V301" i="39"/>
  <c r="C2581" i="39"/>
  <c r="U2581" i="39" s="1"/>
  <c r="V2581" i="39"/>
  <c r="F2473" i="39"/>
  <c r="F2582" i="39"/>
  <c r="C2472" i="39"/>
  <c r="U2472" i="39" s="1"/>
  <c r="V2472" i="39"/>
  <c r="F997" i="39"/>
  <c r="F2693" i="39"/>
  <c r="V2692" i="39"/>
  <c r="C2692" i="39"/>
  <c r="U2692" i="39" s="1"/>
  <c r="C996" i="39"/>
  <c r="U996" i="39" s="1"/>
  <c r="V996" i="39"/>
  <c r="C183" i="39"/>
  <c r="U183" i="39" s="1"/>
  <c r="V183" i="39"/>
  <c r="C182" i="39"/>
  <c r="U182" i="39" s="1"/>
  <c r="F939" i="39"/>
  <c r="F829" i="39"/>
  <c r="C1632" i="39"/>
  <c r="U1632" i="39" s="1"/>
  <c r="U1631" i="39"/>
  <c r="C1633" i="39"/>
  <c r="U1633" i="39" s="1"/>
  <c r="V1633" i="39"/>
  <c r="V828" i="39"/>
  <c r="U827" i="39"/>
  <c r="C828" i="39"/>
  <c r="U828" i="39" s="1"/>
  <c r="C217" i="39"/>
  <c r="U217" i="39" s="1"/>
  <c r="C938" i="39"/>
  <c r="U938" i="39" s="1"/>
  <c r="F218" i="39"/>
  <c r="V938" i="39"/>
  <c r="U216" i="39"/>
  <c r="U937"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05" i="39"/>
  <c r="F1107" i="39"/>
  <c r="V1106" i="39"/>
  <c r="C1106" i="39"/>
  <c r="U1106" i="39" s="1"/>
  <c r="U629" i="39"/>
  <c r="C630" i="39"/>
  <c r="U630" i="39" s="1"/>
  <c r="F631" i="39"/>
  <c r="V630" i="39"/>
  <c r="F2274" i="39"/>
  <c r="U919" i="39"/>
  <c r="F921" i="39"/>
  <c r="V920" i="39"/>
  <c r="C920" i="39"/>
  <c r="U920" i="39" s="1"/>
  <c r="V1727" i="39" l="1"/>
  <c r="F1728" i="39"/>
  <c r="C1727" i="39"/>
  <c r="U1727" i="39" s="1"/>
  <c r="V795" i="39"/>
  <c r="F1259" i="39"/>
  <c r="C795" i="39"/>
  <c r="U795" i="39" s="1"/>
  <c r="V1258" i="39"/>
  <c r="C1258" i="39"/>
  <c r="U1258" i="39" s="1"/>
  <c r="F796" i="39"/>
  <c r="C2322" i="39"/>
  <c r="U2322" i="39" s="1"/>
  <c r="V2322" i="39"/>
  <c r="F2323" i="39"/>
  <c r="C1205" i="39"/>
  <c r="U1205" i="39" s="1"/>
  <c r="F1206" i="39"/>
  <c r="V1205" i="39"/>
  <c r="F152" i="39"/>
  <c r="F2167" i="39"/>
  <c r="V2166" i="39"/>
  <c r="C2166" i="39"/>
  <c r="U2166" i="39" s="1"/>
  <c r="C151" i="39"/>
  <c r="C1463" i="39"/>
  <c r="U1463" i="39" s="1"/>
  <c r="F1464" i="39"/>
  <c r="V1463" i="39"/>
  <c r="V2473" i="39"/>
  <c r="F2474" i="39"/>
  <c r="C2582" i="39"/>
  <c r="U2582" i="39" s="1"/>
  <c r="V2582" i="39"/>
  <c r="F2583" i="39"/>
  <c r="C2473" i="39"/>
  <c r="U2473" i="39" s="1"/>
  <c r="C939" i="39"/>
  <c r="U939" i="39" s="1"/>
  <c r="F940" i="39"/>
  <c r="V997" i="39"/>
  <c r="V939" i="39"/>
  <c r="F998" i="39"/>
  <c r="C997" i="39"/>
  <c r="U997" i="39" s="1"/>
  <c r="C2693" i="39"/>
  <c r="U2693" i="39" s="1"/>
  <c r="F2694" i="39"/>
  <c r="V2693" i="39"/>
  <c r="C829" i="39"/>
  <c r="U829" i="39" s="1"/>
  <c r="F219" i="39"/>
  <c r="V829" i="39"/>
  <c r="F830" i="39"/>
  <c r="C218" i="39"/>
  <c r="U218" i="39" s="1"/>
  <c r="V218" i="39"/>
  <c r="V150" i="39"/>
  <c r="U150" i="39"/>
  <c r="F632" i="39"/>
  <c r="F1109" i="39"/>
  <c r="F1108" i="39"/>
  <c r="C1107" i="39"/>
  <c r="U1107" i="39" s="1"/>
  <c r="V1107" i="39"/>
  <c r="C631" i="39"/>
  <c r="U631" i="39" s="1"/>
  <c r="V631" i="39"/>
  <c r="V921" i="39"/>
  <c r="F922" i="39"/>
  <c r="C921" i="39"/>
  <c r="U921" i="39" s="1"/>
  <c r="C1728" i="39" l="1"/>
  <c r="U1728" i="39" s="1"/>
  <c r="V1728" i="39"/>
  <c r="F1729" i="39"/>
  <c r="V1259" i="39"/>
  <c r="C796" i="39"/>
  <c r="U796" i="39" s="1"/>
  <c r="F1260" i="39"/>
  <c r="C1259" i="39"/>
  <c r="U1259" i="39" s="1"/>
  <c r="F797" i="39"/>
  <c r="V1206" i="39"/>
  <c r="V796" i="39"/>
  <c r="C2323" i="39"/>
  <c r="U2323" i="39" s="1"/>
  <c r="V2323" i="39"/>
  <c r="F2324" i="39"/>
  <c r="F1207" i="39"/>
  <c r="C1206" i="39"/>
  <c r="U1206" i="39" s="1"/>
  <c r="F153" i="39"/>
  <c r="C152" i="39"/>
  <c r="C2167" i="39"/>
  <c r="U2167" i="39" s="1"/>
  <c r="F2168" i="39"/>
  <c r="V2167" i="39"/>
  <c r="F1465" i="39"/>
  <c r="V1464" i="39"/>
  <c r="C1464" i="39"/>
  <c r="U1464" i="39" s="1"/>
  <c r="V2474" i="39"/>
  <c r="C2474" i="39"/>
  <c r="U2474" i="39" s="1"/>
  <c r="F941" i="39"/>
  <c r="V2583" i="39"/>
  <c r="F2584" i="39"/>
  <c r="C940" i="39"/>
  <c r="U940" i="39" s="1"/>
  <c r="F2475" i="39"/>
  <c r="C2583" i="39"/>
  <c r="U2583" i="39" s="1"/>
  <c r="V998" i="39"/>
  <c r="V940" i="39"/>
  <c r="C998" i="39"/>
  <c r="U998" i="39" s="1"/>
  <c r="F2695" i="39"/>
  <c r="V2694" i="39"/>
  <c r="C2694" i="39"/>
  <c r="U2694" i="39" s="1"/>
  <c r="C219" i="39"/>
  <c r="U219" i="39" s="1"/>
  <c r="F220" i="39"/>
  <c r="F831" i="39"/>
  <c r="V830" i="39"/>
  <c r="C830" i="39"/>
  <c r="U830" i="39" s="1"/>
  <c r="V219" i="39"/>
  <c r="F1110" i="39"/>
  <c r="V151" i="39"/>
  <c r="U151" i="39"/>
  <c r="C632" i="39"/>
  <c r="U632" i="39" s="1"/>
  <c r="V632" i="39"/>
  <c r="F633" i="39"/>
  <c r="C1108" i="39"/>
  <c r="U1108" i="39" s="1"/>
  <c r="V1108" i="39"/>
  <c r="C1109" i="39"/>
  <c r="U1109" i="39" s="1"/>
  <c r="V1109" i="39"/>
  <c r="F1111" i="39"/>
  <c r="C922" i="39"/>
  <c r="U922" i="39" s="1"/>
  <c r="F923" i="39"/>
  <c r="V922" i="39"/>
  <c r="F924" i="39"/>
  <c r="C2273" i="39"/>
  <c r="U2273" i="39" s="1"/>
  <c r="V2273" i="39"/>
  <c r="F2275" i="39"/>
  <c r="V2274" i="39"/>
  <c r="U2272" i="39"/>
  <c r="C2274" i="39"/>
  <c r="U2274" i="39" s="1"/>
  <c r="U1538" i="39"/>
  <c r="F1540" i="39"/>
  <c r="C1539" i="39"/>
  <c r="U1539" i="39" s="1"/>
  <c r="V1345" i="39"/>
  <c r="C1345" i="39"/>
  <c r="U1345" i="39" s="1"/>
  <c r="F1343" i="39"/>
  <c r="F1346" i="39"/>
  <c r="V1342" i="39"/>
  <c r="C1342" i="39"/>
  <c r="U1342" i="39" s="1"/>
  <c r="U1341" i="39"/>
  <c r="V1539" i="39"/>
  <c r="C1671" i="39"/>
  <c r="C1188" i="39"/>
  <c r="U1188" i="39" s="1"/>
  <c r="U1670" i="39"/>
  <c r="U1187" i="39"/>
  <c r="F1189" i="39"/>
  <c r="V1188" i="39"/>
  <c r="C1729" i="39" l="1"/>
  <c r="U1729" i="39" s="1"/>
  <c r="F1730" i="39"/>
  <c r="V1729" i="39"/>
  <c r="F1261" i="39"/>
  <c r="V797" i="39"/>
  <c r="C1260" i="39"/>
  <c r="U1260" i="39" s="1"/>
  <c r="V1260" i="39"/>
  <c r="F798" i="39"/>
  <c r="C797" i="39"/>
  <c r="U797" i="39" s="1"/>
  <c r="V2324" i="39"/>
  <c r="F2325" i="39"/>
  <c r="C2324" i="39"/>
  <c r="U2324" i="39" s="1"/>
  <c r="V1207" i="39"/>
  <c r="F1208" i="39"/>
  <c r="C1207" i="39"/>
  <c r="U1207" i="39" s="1"/>
  <c r="F154" i="39"/>
  <c r="C153" i="39"/>
  <c r="U153" i="39" s="1"/>
  <c r="V2168" i="39"/>
  <c r="C2168" i="39"/>
  <c r="U2168" i="39" s="1"/>
  <c r="F2169" i="39"/>
  <c r="C1465" i="39"/>
  <c r="U1465" i="39" s="1"/>
  <c r="F1466" i="39"/>
  <c r="V1465" i="39"/>
  <c r="V941" i="39"/>
  <c r="F2587" i="39"/>
  <c r="C1110" i="39"/>
  <c r="U1110" i="39" s="1"/>
  <c r="F2585" i="39"/>
  <c r="C941" i="39"/>
  <c r="U941" i="39" s="1"/>
  <c r="V2584" i="39"/>
  <c r="F942" i="39"/>
  <c r="C2584" i="39"/>
  <c r="U2584" i="39" s="1"/>
  <c r="C2475" i="39"/>
  <c r="U2475" i="39" s="1"/>
  <c r="V2475" i="39"/>
  <c r="F2476" i="39"/>
  <c r="C2695" i="39"/>
  <c r="U2695" i="39" s="1"/>
  <c r="V2695" i="39"/>
  <c r="V220" i="39"/>
  <c r="C220" i="39"/>
  <c r="U220" i="39" s="1"/>
  <c r="C831" i="39"/>
  <c r="U831" i="39" s="1"/>
  <c r="F832" i="39"/>
  <c r="V831" i="39"/>
  <c r="V1110" i="39"/>
  <c r="V152" i="39"/>
  <c r="U152" i="39"/>
  <c r="V153" i="39"/>
  <c r="V1111" i="39"/>
  <c r="C633" i="39"/>
  <c r="U633" i="39" s="1"/>
  <c r="F634" i="39"/>
  <c r="V633" i="39"/>
  <c r="C1111" i="39"/>
  <c r="U1111" i="39" s="1"/>
  <c r="F925" i="39"/>
  <c r="V923" i="39"/>
  <c r="C923" i="39"/>
  <c r="U923" i="39" s="1"/>
  <c r="F1541" i="39"/>
  <c r="C2275" i="39"/>
  <c r="U2275" i="39" s="1"/>
  <c r="C924" i="39"/>
  <c r="U924" i="39" s="1"/>
  <c r="V924" i="39"/>
  <c r="V2275" i="39"/>
  <c r="F2276" i="39"/>
  <c r="C1540" i="39"/>
  <c r="U1540" i="39" s="1"/>
  <c r="V1189" i="39"/>
  <c r="V1540" i="39"/>
  <c r="V1346" i="39"/>
  <c r="C1346" i="39"/>
  <c r="U1346" i="39" s="1"/>
  <c r="F1347" i="39"/>
  <c r="C1343" i="39"/>
  <c r="U1343" i="39" s="1"/>
  <c r="F1344" i="39"/>
  <c r="V1343" i="39"/>
  <c r="F1190" i="39"/>
  <c r="C1189" i="39"/>
  <c r="U1189" i="39" s="1"/>
  <c r="C1730" i="39" l="1"/>
  <c r="U1730" i="39" s="1"/>
  <c r="F1731" i="39"/>
  <c r="V1730" i="39"/>
  <c r="F1262" i="39"/>
  <c r="C1261" i="39"/>
  <c r="U1261" i="39" s="1"/>
  <c r="V1261" i="39"/>
  <c r="C798" i="39"/>
  <c r="U798" i="39" s="1"/>
  <c r="F2326" i="39"/>
  <c r="F2327" i="39"/>
  <c r="V798" i="39"/>
  <c r="F799" i="39"/>
  <c r="C2325" i="39"/>
  <c r="U2325" i="39" s="1"/>
  <c r="V2325" i="39"/>
  <c r="F1209" i="39"/>
  <c r="C1208" i="39"/>
  <c r="U1208" i="39" s="1"/>
  <c r="V1208" i="39"/>
  <c r="F155" i="39"/>
  <c r="C154" i="39"/>
  <c r="U154" i="39" s="1"/>
  <c r="C2169" i="39"/>
  <c r="U2169" i="39" s="1"/>
  <c r="F2170" i="39"/>
  <c r="V2169" i="39"/>
  <c r="F1467" i="39"/>
  <c r="V1466" i="39"/>
  <c r="C1466" i="39"/>
  <c r="U1466" i="39" s="1"/>
  <c r="C2587" i="39"/>
  <c r="U2587" i="39" s="1"/>
  <c r="V942" i="39"/>
  <c r="V2587" i="39"/>
  <c r="F943" i="39"/>
  <c r="C942" i="39"/>
  <c r="U942" i="39" s="1"/>
  <c r="C2585" i="39"/>
  <c r="U2585" i="39" s="1"/>
  <c r="V2585" i="39"/>
  <c r="F2586" i="39"/>
  <c r="F2477" i="39"/>
  <c r="V2476" i="39"/>
  <c r="C2476" i="39"/>
  <c r="U2476" i="39" s="1"/>
  <c r="C832" i="39"/>
  <c r="U832" i="39" s="1"/>
  <c r="F833" i="39"/>
  <c r="V832" i="39"/>
  <c r="V154" i="39"/>
  <c r="F635" i="39"/>
  <c r="C634" i="39"/>
  <c r="U634" i="39" s="1"/>
  <c r="V634" i="39"/>
  <c r="F284" i="39"/>
  <c r="V283" i="39"/>
  <c r="U283" i="39"/>
  <c r="F1542" i="39"/>
  <c r="C1541" i="39"/>
  <c r="U1541" i="39" s="1"/>
  <c r="V1541" i="39"/>
  <c r="V925" i="39"/>
  <c r="F926" i="39"/>
  <c r="C925" i="39"/>
  <c r="U925" i="39" s="1"/>
  <c r="F1191" i="39"/>
  <c r="C2276" i="39"/>
  <c r="U2276" i="39" s="1"/>
  <c r="V2276" i="39"/>
  <c r="F2277" i="39"/>
  <c r="C1190" i="39"/>
  <c r="U1190" i="39" s="1"/>
  <c r="V1190" i="39"/>
  <c r="F1348" i="39"/>
  <c r="V1344" i="39"/>
  <c r="C1344" i="39"/>
  <c r="U1344" i="39" s="1"/>
  <c r="V1347" i="39"/>
  <c r="C1347" i="39"/>
  <c r="U1347" i="39" s="1"/>
  <c r="V1262" i="39" l="1"/>
  <c r="C1731" i="39"/>
  <c r="U1731" i="39" s="1"/>
  <c r="F1732" i="39"/>
  <c r="V1731" i="39"/>
  <c r="C1262" i="39"/>
  <c r="U1262" i="39" s="1"/>
  <c r="F1263" i="39"/>
  <c r="V2327" i="39"/>
  <c r="V2326" i="39"/>
  <c r="F2328" i="39"/>
  <c r="F800" i="39"/>
  <c r="C799" i="39"/>
  <c r="U799" i="39" s="1"/>
  <c r="V799" i="39"/>
  <c r="C2326" i="39"/>
  <c r="U2326" i="39" s="1"/>
  <c r="C2327" i="39"/>
  <c r="U2327" i="39" s="1"/>
  <c r="C1209" i="39"/>
  <c r="U1209" i="39" s="1"/>
  <c r="V1209" i="39"/>
  <c r="F1210" i="39"/>
  <c r="C155" i="39"/>
  <c r="U155" i="39" s="1"/>
  <c r="V155" i="39"/>
  <c r="V2170" i="39"/>
  <c r="F2171" i="39"/>
  <c r="C2170" i="39"/>
  <c r="U2170" i="39" s="1"/>
  <c r="C1467" i="39"/>
  <c r="U1467" i="39" s="1"/>
  <c r="F1468" i="39"/>
  <c r="V1467" i="39"/>
  <c r="F944" i="39"/>
  <c r="C943" i="39"/>
  <c r="U943" i="39" s="1"/>
  <c r="V943" i="39"/>
  <c r="C2586" i="39"/>
  <c r="U2586" i="39" s="1"/>
  <c r="V2586" i="39"/>
  <c r="V2477" i="39"/>
  <c r="F2478" i="39"/>
  <c r="C2477" i="39"/>
  <c r="U2477" i="39" s="1"/>
  <c r="V833" i="39"/>
  <c r="F834" i="39"/>
  <c r="C833" i="39"/>
  <c r="U833" i="39" s="1"/>
  <c r="V635" i="39"/>
  <c r="C635" i="39"/>
  <c r="U635" i="39" s="1"/>
  <c r="F636" i="39"/>
  <c r="V284" i="39"/>
  <c r="C284" i="39"/>
  <c r="U284" i="39" s="1"/>
  <c r="F285" i="39"/>
  <c r="F1543" i="39"/>
  <c r="V1542" i="39"/>
  <c r="C1542" i="39"/>
  <c r="U1542" i="39" s="1"/>
  <c r="V926" i="39"/>
  <c r="C926" i="39"/>
  <c r="U926" i="39" s="1"/>
  <c r="F928" i="39"/>
  <c r="F927" i="39"/>
  <c r="F1192" i="39"/>
  <c r="V1191" i="39"/>
  <c r="V2277" i="39"/>
  <c r="C1191" i="39"/>
  <c r="U1191" i="39" s="1"/>
  <c r="F2278" i="39"/>
  <c r="C2277" i="39"/>
  <c r="U2277" i="39" s="1"/>
  <c r="C1348" i="39"/>
  <c r="U1348" i="39" s="1"/>
  <c r="F1349" i="39"/>
  <c r="V1348" i="39"/>
  <c r="C1732" i="39" l="1"/>
  <c r="U1732" i="39" s="1"/>
  <c r="V1732" i="39"/>
  <c r="F1733" i="39"/>
  <c r="C2328" i="39"/>
  <c r="U2328" i="39" s="1"/>
  <c r="V2328" i="39"/>
  <c r="F2329" i="39"/>
  <c r="V1263" i="39"/>
  <c r="F1264" i="39"/>
  <c r="C1263" i="39"/>
  <c r="U1263" i="39" s="1"/>
  <c r="F1211" i="39"/>
  <c r="F801" i="39"/>
  <c r="C800" i="39"/>
  <c r="U800" i="39" s="1"/>
  <c r="V1210" i="39"/>
  <c r="V800" i="39"/>
  <c r="C1210" i="39"/>
  <c r="U1210" i="39" s="1"/>
  <c r="F1265" i="39"/>
  <c r="F2172" i="39"/>
  <c r="V2171" i="39"/>
  <c r="C2171" i="39"/>
  <c r="U2171" i="39" s="1"/>
  <c r="C285" i="39"/>
  <c r="U285" i="39" s="1"/>
  <c r="F1469" i="39"/>
  <c r="V1468" i="39"/>
  <c r="C1468" i="39"/>
  <c r="U1468" i="39" s="1"/>
  <c r="V944" i="39"/>
  <c r="F945" i="39"/>
  <c r="C944" i="39"/>
  <c r="U944" i="39" s="1"/>
  <c r="C2478" i="39"/>
  <c r="U2478" i="39" s="1"/>
  <c r="V2478" i="39"/>
  <c r="F2479" i="39"/>
  <c r="V834" i="39"/>
  <c r="C834" i="39"/>
  <c r="U834" i="39" s="1"/>
  <c r="F835" i="39"/>
  <c r="C636" i="39"/>
  <c r="U636" i="39" s="1"/>
  <c r="V636" i="39"/>
  <c r="F637" i="39"/>
  <c r="F286" i="39"/>
  <c r="V285" i="39"/>
  <c r="C1543" i="39"/>
  <c r="U1543" i="39" s="1"/>
  <c r="V1543" i="39"/>
  <c r="F1544" i="39"/>
  <c r="V928" i="39"/>
  <c r="C928" i="39"/>
  <c r="U928" i="39" s="1"/>
  <c r="C1192" i="39"/>
  <c r="U1192" i="39" s="1"/>
  <c r="C927" i="39"/>
  <c r="U927" i="39" s="1"/>
  <c r="F929" i="39"/>
  <c r="V927" i="39"/>
  <c r="V1192" i="39"/>
  <c r="F1193" i="39"/>
  <c r="F2279" i="39"/>
  <c r="C2278" i="39"/>
  <c r="U2278" i="39" s="1"/>
  <c r="V2278" i="39"/>
  <c r="F1350" i="39"/>
  <c r="V1349" i="39"/>
  <c r="C1349" i="39"/>
  <c r="U1349" i="39" s="1"/>
  <c r="C2329" i="39" l="1"/>
  <c r="U2329" i="39" s="1"/>
  <c r="C1264" i="39"/>
  <c r="U1264" i="39" s="1"/>
  <c r="V1264" i="39"/>
  <c r="C1733" i="39"/>
  <c r="U1733" i="39" s="1"/>
  <c r="F1734" i="39"/>
  <c r="V1733" i="39"/>
  <c r="V2329" i="39"/>
  <c r="C1211" i="39"/>
  <c r="U1211" i="39" s="1"/>
  <c r="F2330" i="39"/>
  <c r="F1212" i="39"/>
  <c r="V1211" i="39"/>
  <c r="C801" i="39"/>
  <c r="U801" i="39" s="1"/>
  <c r="F802" i="39"/>
  <c r="V801" i="39"/>
  <c r="F2173" i="39"/>
  <c r="C1265" i="39"/>
  <c r="U1265" i="39" s="1"/>
  <c r="F1266" i="39"/>
  <c r="V1265" i="39"/>
  <c r="V2172" i="39"/>
  <c r="C2172" i="39"/>
  <c r="U2172" i="39" s="1"/>
  <c r="C286" i="39"/>
  <c r="U286" i="39" s="1"/>
  <c r="C1469" i="39"/>
  <c r="U1469" i="39" s="1"/>
  <c r="F1470" i="39"/>
  <c r="V1469" i="39"/>
  <c r="V945" i="39"/>
  <c r="F946" i="39"/>
  <c r="C945" i="39"/>
  <c r="U945" i="39" s="1"/>
  <c r="C2479" i="39"/>
  <c r="U2479" i="39" s="1"/>
  <c r="V2479" i="39"/>
  <c r="F2480" i="39"/>
  <c r="C835" i="39"/>
  <c r="U835" i="39" s="1"/>
  <c r="V835" i="39"/>
  <c r="F836" i="39"/>
  <c r="V637" i="39"/>
  <c r="F638" i="39"/>
  <c r="C637" i="39"/>
  <c r="U637" i="39" s="1"/>
  <c r="F287" i="39"/>
  <c r="V286" i="39"/>
  <c r="V1544" i="39"/>
  <c r="F1545" i="39"/>
  <c r="C1544" i="39"/>
  <c r="U1544" i="39" s="1"/>
  <c r="V929" i="39"/>
  <c r="F930" i="39"/>
  <c r="C929" i="39"/>
  <c r="U929" i="39" s="1"/>
  <c r="V1193" i="39"/>
  <c r="C1193" i="39"/>
  <c r="U1193" i="39" s="1"/>
  <c r="V2279" i="39"/>
  <c r="C2279" i="39"/>
  <c r="U2279" i="39" s="1"/>
  <c r="F1194" i="39"/>
  <c r="F2280" i="39"/>
  <c r="C1350" i="39"/>
  <c r="U1350" i="39" s="1"/>
  <c r="F1351" i="39"/>
  <c r="V1350" i="39"/>
  <c r="C802" i="39" l="1"/>
  <c r="U802" i="39" s="1"/>
  <c r="C2330" i="39"/>
  <c r="U2330" i="39" s="1"/>
  <c r="F2331" i="39"/>
  <c r="V2330" i="39"/>
  <c r="F1213" i="39"/>
  <c r="C1212" i="39"/>
  <c r="U1212" i="39" s="1"/>
  <c r="V802" i="39"/>
  <c r="C1734" i="39"/>
  <c r="U1734" i="39" s="1"/>
  <c r="F1735" i="39"/>
  <c r="V1734" i="39"/>
  <c r="F1736" i="39"/>
  <c r="V1212" i="39"/>
  <c r="F803" i="39"/>
  <c r="F2174" i="39"/>
  <c r="F1267" i="39"/>
  <c r="V1266" i="39"/>
  <c r="C1266" i="39"/>
  <c r="U1266" i="39" s="1"/>
  <c r="C287" i="39"/>
  <c r="U287" i="39" s="1"/>
  <c r="C946" i="39"/>
  <c r="U946" i="39" s="1"/>
  <c r="F1471" i="39"/>
  <c r="V1470" i="39"/>
  <c r="C1470" i="39"/>
  <c r="U1470" i="39" s="1"/>
  <c r="F947" i="39"/>
  <c r="V946" i="39"/>
  <c r="V2480" i="39"/>
  <c r="F2481" i="39"/>
  <c r="C2480" i="39"/>
  <c r="U2480" i="39" s="1"/>
  <c r="C836" i="39"/>
  <c r="U836" i="39" s="1"/>
  <c r="F837" i="39"/>
  <c r="V836" i="39"/>
  <c r="C638" i="39"/>
  <c r="U638" i="39" s="1"/>
  <c r="V638" i="39"/>
  <c r="F639" i="39"/>
  <c r="V287" i="39"/>
  <c r="F1546" i="39"/>
  <c r="V930" i="39"/>
  <c r="F931" i="39"/>
  <c r="C930" i="39"/>
  <c r="U930" i="39" s="1"/>
  <c r="C1545" i="39"/>
  <c r="U1545" i="39" s="1"/>
  <c r="V1545" i="39"/>
  <c r="V1194" i="39"/>
  <c r="F1195" i="39"/>
  <c r="C2280" i="39"/>
  <c r="U2280" i="39" s="1"/>
  <c r="C1194" i="39"/>
  <c r="U1194" i="39" s="1"/>
  <c r="V2280" i="39"/>
  <c r="F2281" i="39"/>
  <c r="V1351" i="39"/>
  <c r="F1352" i="39"/>
  <c r="C1351" i="39"/>
  <c r="U1351" i="39" s="1"/>
  <c r="C1213" i="39" l="1"/>
  <c r="U1213" i="39" s="1"/>
  <c r="F1214" i="39"/>
  <c r="C2331" i="39"/>
  <c r="U2331" i="39" s="1"/>
  <c r="V1213" i="39"/>
  <c r="V2331" i="39"/>
  <c r="F2332" i="39"/>
  <c r="C1736" i="39"/>
  <c r="U1736" i="39" s="1"/>
  <c r="V1736" i="39"/>
  <c r="C1735" i="39"/>
  <c r="U1735" i="39" s="1"/>
  <c r="V1735" i="39"/>
  <c r="F1737" i="39"/>
  <c r="C2332" i="39"/>
  <c r="U2332" i="39" s="1"/>
  <c r="V2332" i="39"/>
  <c r="V803" i="39"/>
  <c r="C803" i="39"/>
  <c r="U803" i="39" s="1"/>
  <c r="F804" i="39"/>
  <c r="F2175" i="39"/>
  <c r="V1214" i="39"/>
  <c r="C1267" i="39"/>
  <c r="U1267" i="39" s="1"/>
  <c r="F1268" i="39"/>
  <c r="V1267" i="39"/>
  <c r="C1471" i="39"/>
  <c r="U1471" i="39" s="1"/>
  <c r="F1472" i="39"/>
  <c r="V1471" i="39"/>
  <c r="C947" i="39"/>
  <c r="U947" i="39" s="1"/>
  <c r="F948" i="39"/>
  <c r="V947" i="39"/>
  <c r="C2481" i="39"/>
  <c r="U2481" i="39" s="1"/>
  <c r="V2481" i="39"/>
  <c r="F2482" i="39"/>
  <c r="C837" i="39"/>
  <c r="U837" i="39" s="1"/>
  <c r="V837" i="39"/>
  <c r="F838" i="39"/>
  <c r="V639" i="39"/>
  <c r="F640" i="39"/>
  <c r="C639" i="39"/>
  <c r="U639" i="39" s="1"/>
  <c r="F932" i="39"/>
  <c r="V1546" i="39"/>
  <c r="F1547" i="39"/>
  <c r="C931" i="39"/>
  <c r="U931" i="39" s="1"/>
  <c r="V931" i="39"/>
  <c r="C1546" i="39"/>
  <c r="U1546" i="39" s="1"/>
  <c r="C1195" i="39"/>
  <c r="U1195" i="39" s="1"/>
  <c r="C2281" i="39"/>
  <c r="U2281" i="39" s="1"/>
  <c r="V1195" i="39"/>
  <c r="V2281" i="39"/>
  <c r="V1352" i="39"/>
  <c r="C1352" i="39"/>
  <c r="U1352" i="39" s="1"/>
  <c r="F1353" i="39"/>
  <c r="F1215" i="39" l="1"/>
  <c r="C1214" i="39"/>
  <c r="U1214" i="39" s="1"/>
  <c r="F2333" i="39"/>
  <c r="C1737" i="39"/>
  <c r="U1737" i="39" s="1"/>
  <c r="F1738" i="39"/>
  <c r="V1737" i="39"/>
  <c r="F2334" i="39"/>
  <c r="C2333" i="39"/>
  <c r="U2333" i="39" s="1"/>
  <c r="V2333" i="39"/>
  <c r="C804" i="39"/>
  <c r="U804" i="39" s="1"/>
  <c r="V804" i="39"/>
  <c r="F805" i="39"/>
  <c r="F2176" i="39"/>
  <c r="V1215" i="39"/>
  <c r="C1215" i="39"/>
  <c r="U1215" i="39" s="1"/>
  <c r="F1216" i="39"/>
  <c r="V1268" i="39"/>
  <c r="C1268" i="39"/>
  <c r="U1268" i="39" s="1"/>
  <c r="F1269" i="39"/>
  <c r="V2174" i="39"/>
  <c r="C2174" i="39"/>
  <c r="U2174" i="39" s="1"/>
  <c r="C2173" i="39"/>
  <c r="U2173" i="39" s="1"/>
  <c r="V2173" i="39"/>
  <c r="C948" i="39"/>
  <c r="U948" i="39" s="1"/>
  <c r="V948" i="39"/>
  <c r="F1473" i="39"/>
  <c r="V1472" i="39"/>
  <c r="C1472" i="39"/>
  <c r="U1472" i="39" s="1"/>
  <c r="F949" i="39"/>
  <c r="V2482" i="39"/>
  <c r="F2483" i="39"/>
  <c r="C2482" i="39"/>
  <c r="U2482" i="39" s="1"/>
  <c r="V838" i="39"/>
  <c r="F839" i="39"/>
  <c r="C838" i="39"/>
  <c r="U838" i="39" s="1"/>
  <c r="C640" i="39"/>
  <c r="U640" i="39" s="1"/>
  <c r="V640" i="39"/>
  <c r="F641" i="39"/>
  <c r="C932" i="39"/>
  <c r="U932" i="39" s="1"/>
  <c r="V932" i="39"/>
  <c r="F933" i="39"/>
  <c r="V1547" i="39"/>
  <c r="C1547" i="39"/>
  <c r="U1547" i="39" s="1"/>
  <c r="F1548" i="39"/>
  <c r="V1353" i="39"/>
  <c r="C1353" i="39"/>
  <c r="U1353" i="39" s="1"/>
  <c r="F1354" i="39"/>
  <c r="F2335" i="39" l="1"/>
  <c r="C1738" i="39"/>
  <c r="U1738" i="39" s="1"/>
  <c r="F1739" i="39"/>
  <c r="V1738" i="39"/>
  <c r="C2334" i="39"/>
  <c r="U2334" i="39" s="1"/>
  <c r="V2334" i="39"/>
  <c r="V805" i="39"/>
  <c r="F806" i="39"/>
  <c r="C805" i="39"/>
  <c r="U805" i="39" s="1"/>
  <c r="F2177" i="39"/>
  <c r="F1217" i="39"/>
  <c r="C1216" i="39"/>
  <c r="U1216" i="39" s="1"/>
  <c r="V1216" i="39"/>
  <c r="C1269" i="39"/>
  <c r="U1269" i="39" s="1"/>
  <c r="F1270" i="39"/>
  <c r="V1269" i="39"/>
  <c r="C2335" i="39"/>
  <c r="U2335" i="39" s="1"/>
  <c r="F2336" i="39"/>
  <c r="V2335" i="39"/>
  <c r="C2175" i="39"/>
  <c r="U2175" i="39" s="1"/>
  <c r="V2175" i="39"/>
  <c r="C1473" i="39"/>
  <c r="U1473" i="39" s="1"/>
  <c r="F1474" i="39"/>
  <c r="V1473" i="39"/>
  <c r="C949" i="39"/>
  <c r="U949" i="39" s="1"/>
  <c r="V949" i="39"/>
  <c r="F950" i="39"/>
  <c r="C2483" i="39"/>
  <c r="U2483" i="39" s="1"/>
  <c r="V2483" i="39"/>
  <c r="F2484" i="39"/>
  <c r="C839" i="39"/>
  <c r="U839" i="39" s="1"/>
  <c r="F840" i="39"/>
  <c r="V839" i="39"/>
  <c r="F934" i="39"/>
  <c r="V641" i="39"/>
  <c r="V933" i="39"/>
  <c r="F642" i="39"/>
  <c r="C641" i="39"/>
  <c r="U641" i="39" s="1"/>
  <c r="C1548" i="39"/>
  <c r="U1548" i="39" s="1"/>
  <c r="F1549" i="39"/>
  <c r="V1548" i="39"/>
  <c r="C933" i="39"/>
  <c r="U933" i="39" s="1"/>
  <c r="F1355" i="39"/>
  <c r="V1354" i="39"/>
  <c r="C1354" i="39"/>
  <c r="U1354" i="39" s="1"/>
  <c r="C806" i="39" l="1"/>
  <c r="U806" i="39" s="1"/>
  <c r="C1739" i="39"/>
  <c r="U1739" i="39" s="1"/>
  <c r="F1740" i="39"/>
  <c r="V1739" i="39"/>
  <c r="V806" i="39"/>
  <c r="F807" i="39"/>
  <c r="F2178" i="39"/>
  <c r="F808" i="39"/>
  <c r="V1217" i="39"/>
  <c r="C1217" i="39"/>
  <c r="U1217" i="39" s="1"/>
  <c r="F1218" i="39"/>
  <c r="V1270" i="39"/>
  <c r="C1270" i="39"/>
  <c r="U1270" i="39" s="1"/>
  <c r="F1271" i="39"/>
  <c r="V2336" i="39"/>
  <c r="C2336" i="39"/>
  <c r="U2336" i="39" s="1"/>
  <c r="V2176" i="39"/>
  <c r="C2176" i="39"/>
  <c r="U2176" i="39" s="1"/>
  <c r="F1475" i="39"/>
  <c r="V1474" i="39"/>
  <c r="C1474" i="39"/>
  <c r="U1474" i="39" s="1"/>
  <c r="C950" i="39"/>
  <c r="U950" i="39" s="1"/>
  <c r="F951" i="39"/>
  <c r="V950" i="39"/>
  <c r="V2484" i="39"/>
  <c r="F2485" i="39"/>
  <c r="C2484" i="39"/>
  <c r="U2484" i="39" s="1"/>
  <c r="C840" i="39"/>
  <c r="U840" i="39" s="1"/>
  <c r="V840" i="39"/>
  <c r="C934" i="39"/>
  <c r="U934" i="39" s="1"/>
  <c r="F644" i="39"/>
  <c r="V934" i="39"/>
  <c r="F935" i="39"/>
  <c r="C642" i="39"/>
  <c r="U642" i="39" s="1"/>
  <c r="V642" i="39"/>
  <c r="F643" i="39"/>
  <c r="V1549" i="39"/>
  <c r="C1549" i="39"/>
  <c r="U1549" i="39" s="1"/>
  <c r="F1550" i="39"/>
  <c r="F1356" i="39"/>
  <c r="V1355" i="39"/>
  <c r="C1355" i="39"/>
  <c r="U1355" i="39" s="1"/>
  <c r="V807" i="39" l="1"/>
  <c r="C1740" i="39"/>
  <c r="U1740" i="39" s="1"/>
  <c r="V1740" i="39"/>
  <c r="F1741" i="39"/>
  <c r="C807" i="39"/>
  <c r="U807" i="39" s="1"/>
  <c r="F2179" i="39"/>
  <c r="C808" i="39"/>
  <c r="U808" i="39" s="1"/>
  <c r="F809" i="39"/>
  <c r="V808" i="39"/>
  <c r="F1219" i="39"/>
  <c r="V1218" i="39"/>
  <c r="C1218" i="39"/>
  <c r="U1218" i="39" s="1"/>
  <c r="F1272" i="39"/>
  <c r="C1271" i="39"/>
  <c r="U1271" i="39" s="1"/>
  <c r="V1271" i="39"/>
  <c r="C2177" i="39"/>
  <c r="U2177" i="39" s="1"/>
  <c r="V2177" i="39"/>
  <c r="C1475" i="39"/>
  <c r="U1475" i="39" s="1"/>
  <c r="V1475" i="39"/>
  <c r="V951" i="39"/>
  <c r="F952" i="39"/>
  <c r="C951" i="39"/>
  <c r="U951" i="39" s="1"/>
  <c r="C2485" i="39"/>
  <c r="U2485" i="39" s="1"/>
  <c r="V2485" i="39"/>
  <c r="F2486" i="39"/>
  <c r="V644" i="39"/>
  <c r="C644" i="39"/>
  <c r="U644" i="39" s="1"/>
  <c r="V935" i="39"/>
  <c r="C935" i="39"/>
  <c r="U935" i="39" s="1"/>
  <c r="F936" i="39"/>
  <c r="V643" i="39"/>
  <c r="C643" i="39"/>
  <c r="U643" i="39" s="1"/>
  <c r="F645" i="39"/>
  <c r="F1551" i="39"/>
  <c r="C1550" i="39"/>
  <c r="U1550" i="39" s="1"/>
  <c r="V1550" i="39"/>
  <c r="F1357" i="39"/>
  <c r="V1356" i="39"/>
  <c r="C1356" i="39"/>
  <c r="U1356" i="39" s="1"/>
  <c r="C1741" i="39" l="1"/>
  <c r="U1741" i="39" s="1"/>
  <c r="F1742" i="39"/>
  <c r="V1741" i="39"/>
  <c r="F2180" i="39"/>
  <c r="V809" i="39"/>
  <c r="C809" i="39"/>
  <c r="U809" i="39" s="1"/>
  <c r="V1219" i="39"/>
  <c r="C1219" i="39"/>
  <c r="U1219" i="39" s="1"/>
  <c r="F1220" i="39"/>
  <c r="V1272" i="39"/>
  <c r="C1272" i="39"/>
  <c r="U1272" i="39" s="1"/>
  <c r="F1273" i="39"/>
  <c r="V2178" i="39"/>
  <c r="C2178" i="39"/>
  <c r="U2178" i="39" s="1"/>
  <c r="V952" i="39"/>
  <c r="C952" i="39"/>
  <c r="U952" i="39" s="1"/>
  <c r="V2486" i="39"/>
  <c r="F2487" i="39"/>
  <c r="C2486" i="39"/>
  <c r="U2486" i="39" s="1"/>
  <c r="V645" i="39"/>
  <c r="F646" i="39"/>
  <c r="C645" i="39"/>
  <c r="U645" i="39" s="1"/>
  <c r="V1551" i="39"/>
  <c r="V936" i="39"/>
  <c r="C936" i="39"/>
  <c r="U936" i="39" s="1"/>
  <c r="F1552" i="39"/>
  <c r="C1551" i="39"/>
  <c r="U1551" i="39" s="1"/>
  <c r="C1357" i="39"/>
  <c r="U1357" i="39" s="1"/>
  <c r="F1358" i="39"/>
  <c r="V1357" i="39"/>
  <c r="C1742" i="39" l="1"/>
  <c r="U1742" i="39" s="1"/>
  <c r="F1743" i="39"/>
  <c r="V1742" i="39"/>
  <c r="F1221" i="39"/>
  <c r="V1220" i="39"/>
  <c r="C1220" i="39"/>
  <c r="U1220" i="39" s="1"/>
  <c r="V1273" i="39"/>
  <c r="F1274" i="39"/>
  <c r="C1273" i="39"/>
  <c r="U1273" i="39" s="1"/>
  <c r="C2179" i="39"/>
  <c r="U2179" i="39" s="1"/>
  <c r="V2179" i="39"/>
  <c r="V2487" i="39"/>
  <c r="F2488" i="39"/>
  <c r="C2487" i="39"/>
  <c r="U2487" i="39" s="1"/>
  <c r="C646" i="39"/>
  <c r="U646" i="39" s="1"/>
  <c r="V646" i="39"/>
  <c r="F647" i="39"/>
  <c r="F1553" i="39"/>
  <c r="V1552" i="39"/>
  <c r="C1552" i="39"/>
  <c r="U1552" i="39" s="1"/>
  <c r="C1358" i="39"/>
  <c r="U1358" i="39" s="1"/>
  <c r="F1359" i="39"/>
  <c r="V1358" i="39"/>
  <c r="C1743" i="39" l="1"/>
  <c r="U1743" i="39" s="1"/>
  <c r="F1744" i="39"/>
  <c r="V1743" i="39"/>
  <c r="C1221" i="39"/>
  <c r="U1221" i="39" s="1"/>
  <c r="V1221" i="39"/>
  <c r="F1222" i="39"/>
  <c r="V1274" i="39"/>
  <c r="C1274" i="39"/>
  <c r="U1274" i="39" s="1"/>
  <c r="F1275" i="39"/>
  <c r="F2489" i="39"/>
  <c r="V2180" i="39"/>
  <c r="C2180" i="39"/>
  <c r="U2180" i="39" s="1"/>
  <c r="C2488" i="39"/>
  <c r="U2488" i="39" s="1"/>
  <c r="V2488" i="39"/>
  <c r="F648" i="39"/>
  <c r="C647" i="39"/>
  <c r="U647" i="39" s="1"/>
  <c r="F649" i="39"/>
  <c r="V647" i="39"/>
  <c r="C1553" i="39"/>
  <c r="U1553" i="39" s="1"/>
  <c r="V1553" i="39"/>
  <c r="F1554" i="39"/>
  <c r="V1359" i="39"/>
  <c r="C1359" i="39"/>
  <c r="U1359" i="39" s="1"/>
  <c r="F1360" i="39"/>
  <c r="F2188"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88" i="39"/>
  <c r="AC2188" i="39"/>
  <c r="AA2188" i="39"/>
  <c r="D2188"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194" i="39"/>
  <c r="AC2194" i="39"/>
  <c r="AA2194" i="39"/>
  <c r="D2194"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F1000" i="39"/>
  <c r="D1000" i="39"/>
  <c r="AE999" i="39"/>
  <c r="AC999" i="39"/>
  <c r="AA999" i="39"/>
  <c r="V999" i="39"/>
  <c r="D999" i="39"/>
  <c r="C999" i="39"/>
  <c r="C2282"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1630" i="39"/>
  <c r="AC1630" i="39"/>
  <c r="AA1630" i="39"/>
  <c r="D1630" i="39"/>
  <c r="AE1629" i="39"/>
  <c r="AC1629" i="39"/>
  <c r="AA1629" i="39"/>
  <c r="D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F1621" i="39"/>
  <c r="D1621" i="39"/>
  <c r="AE1620" i="39"/>
  <c r="AC1620" i="39"/>
  <c r="AA1620" i="39"/>
  <c r="V1620" i="39"/>
  <c r="D1620" i="39"/>
  <c r="C1620" i="39"/>
  <c r="AE2262" i="39"/>
  <c r="AC2262" i="39"/>
  <c r="AA2262" i="39"/>
  <c r="D2262" i="39"/>
  <c r="AE2260" i="39"/>
  <c r="AC2260" i="39"/>
  <c r="AA2260" i="39"/>
  <c r="D2260" i="39"/>
  <c r="AE2263" i="39"/>
  <c r="AC2263" i="39"/>
  <c r="AA2263" i="39"/>
  <c r="D2263" i="39"/>
  <c r="AE2261" i="39"/>
  <c r="AC2261" i="39"/>
  <c r="AA2261" i="39"/>
  <c r="D2261"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44" i="39" l="1"/>
  <c r="U1744" i="39" s="1"/>
  <c r="F1746" i="39"/>
  <c r="V1744" i="39"/>
  <c r="F1745" i="39"/>
  <c r="F1223" i="39"/>
  <c r="V1222" i="39"/>
  <c r="F1224" i="39"/>
  <c r="F1225" i="39"/>
  <c r="C1222" i="39"/>
  <c r="U1222" i="39" s="1"/>
  <c r="F1276" i="39"/>
  <c r="V1275" i="39"/>
  <c r="C1275" i="39"/>
  <c r="U1275" i="39" s="1"/>
  <c r="F2490" i="39"/>
  <c r="C2489" i="39"/>
  <c r="U2489" i="39" s="1"/>
  <c r="V2489" i="39"/>
  <c r="C648" i="39"/>
  <c r="U648" i="39" s="1"/>
  <c r="F1555" i="39"/>
  <c r="V1554" i="39"/>
  <c r="F650" i="39"/>
  <c r="V649" i="39"/>
  <c r="C1554" i="39"/>
  <c r="U1554" i="39" s="1"/>
  <c r="C649" i="39"/>
  <c r="U649" i="39" s="1"/>
  <c r="V648" i="39"/>
  <c r="F1361" i="39"/>
  <c r="V1360" i="39"/>
  <c r="C1360" i="39"/>
  <c r="U1360" i="39" s="1"/>
  <c r="C105" i="39"/>
  <c r="U105" i="39" s="1"/>
  <c r="F106" i="39"/>
  <c r="F111" i="39"/>
  <c r="U104" i="39"/>
  <c r="F2189" i="39"/>
  <c r="V110" i="39"/>
  <c r="V105" i="39"/>
  <c r="U109" i="39"/>
  <c r="C110" i="39"/>
  <c r="U110" i="39" s="1"/>
  <c r="C1621" i="39"/>
  <c r="U1621" i="39" s="1"/>
  <c r="U999" i="39"/>
  <c r="C1000" i="39"/>
  <c r="U1000" i="39" s="1"/>
  <c r="F1001" i="39"/>
  <c r="V1000" i="39"/>
  <c r="U1620" i="39"/>
  <c r="U2282" i="39"/>
  <c r="V2282" i="39"/>
  <c r="F2283" i="39"/>
  <c r="F1622" i="39"/>
  <c r="V1621" i="39"/>
  <c r="F864" i="39"/>
  <c r="C863" i="39"/>
  <c r="U863" i="39" s="1"/>
  <c r="U862" i="39"/>
  <c r="V863" i="39"/>
  <c r="C1746" i="39" l="1"/>
  <c r="U1746" i="39" s="1"/>
  <c r="V1746" i="39"/>
  <c r="C1745" i="39"/>
  <c r="U1745" i="39" s="1"/>
  <c r="F1747" i="39"/>
  <c r="V1745" i="39"/>
  <c r="C1225" i="39"/>
  <c r="U1225" i="39" s="1"/>
  <c r="V1225" i="39"/>
  <c r="V1224" i="39"/>
  <c r="C1224" i="39"/>
  <c r="U1224" i="39" s="1"/>
  <c r="C1223" i="39"/>
  <c r="U1223" i="39" s="1"/>
  <c r="F1226" i="39"/>
  <c r="V1223" i="39"/>
  <c r="C1276" i="39"/>
  <c r="U1276" i="39" s="1"/>
  <c r="F1277" i="39"/>
  <c r="V1276" i="39"/>
  <c r="V2490" i="39"/>
  <c r="F2491" i="39"/>
  <c r="C2490" i="39"/>
  <c r="U2490" i="39" s="1"/>
  <c r="C1555" i="39"/>
  <c r="U1555" i="39" s="1"/>
  <c r="V1555" i="39"/>
  <c r="V650" i="39"/>
  <c r="C650" i="39"/>
  <c r="U650" i="39" s="1"/>
  <c r="F1556" i="39"/>
  <c r="F651" i="39"/>
  <c r="C106" i="39"/>
  <c r="U106" i="39" s="1"/>
  <c r="C1361" i="39"/>
  <c r="U1361" i="39" s="1"/>
  <c r="V1361" i="39"/>
  <c r="F1362" i="39"/>
  <c r="V111" i="39"/>
  <c r="F107" i="39"/>
  <c r="V106" i="39"/>
  <c r="F112" i="39"/>
  <c r="C111" i="39"/>
  <c r="U111" i="39" s="1"/>
  <c r="F2190" i="39"/>
  <c r="F2284" i="39"/>
  <c r="F1002" i="39"/>
  <c r="V1001" i="39"/>
  <c r="C1001" i="39"/>
  <c r="U1001" i="39" s="1"/>
  <c r="C864" i="39"/>
  <c r="U864" i="39" s="1"/>
  <c r="C2283" i="39"/>
  <c r="U2283" i="39" s="1"/>
  <c r="V2283" i="39"/>
  <c r="V864" i="39"/>
  <c r="F865" i="39"/>
  <c r="V1622" i="39"/>
  <c r="F1623" i="39"/>
  <c r="C1622" i="39"/>
  <c r="U1622" i="39" s="1"/>
  <c r="AE954" i="39"/>
  <c r="AC954" i="39"/>
  <c r="AA954" i="39"/>
  <c r="D954" i="39"/>
  <c r="AE953" i="39"/>
  <c r="AC953" i="39"/>
  <c r="AA953" i="39"/>
  <c r="D953"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F963" i="39"/>
  <c r="D963" i="39"/>
  <c r="AE962" i="39"/>
  <c r="AC962" i="39"/>
  <c r="AA962" i="39"/>
  <c r="V962" i="39"/>
  <c r="D962" i="39"/>
  <c r="C962" i="39"/>
  <c r="AE524" i="39"/>
  <c r="AC524" i="39"/>
  <c r="AA524" i="39"/>
  <c r="D524" i="39"/>
  <c r="AE525" i="39"/>
  <c r="AC525" i="39"/>
  <c r="AA525" i="39"/>
  <c r="D525" i="39"/>
  <c r="AE523" i="39"/>
  <c r="AC523" i="39"/>
  <c r="AA523" i="39"/>
  <c r="D523"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5" i="39"/>
  <c r="AC2145" i="39"/>
  <c r="AA2145" i="39"/>
  <c r="D2145" i="39"/>
  <c r="AE2144" i="39"/>
  <c r="AC2144" i="39"/>
  <c r="AA2144" i="39"/>
  <c r="D2144" i="39"/>
  <c r="AE2143" i="39"/>
  <c r="AC2143" i="39"/>
  <c r="AA2143" i="39"/>
  <c r="D2143" i="39"/>
  <c r="AE2142" i="39"/>
  <c r="AC2142" i="39"/>
  <c r="AA2142" i="39"/>
  <c r="D2142" i="39"/>
  <c r="AE2141" i="39"/>
  <c r="AC2141" i="39"/>
  <c r="AA2141" i="39"/>
  <c r="D2141" i="39"/>
  <c r="AE2140" i="39"/>
  <c r="AC2140" i="39"/>
  <c r="AA2140" i="39"/>
  <c r="D2140" i="39"/>
  <c r="AE2139" i="39"/>
  <c r="AC2139" i="39"/>
  <c r="AA2139" i="39"/>
  <c r="D2139" i="39"/>
  <c r="AE2138" i="39"/>
  <c r="AC2138" i="39"/>
  <c r="AA2138" i="39"/>
  <c r="D2138" i="39"/>
  <c r="AE2136" i="39"/>
  <c r="AC2136" i="39"/>
  <c r="AA2136" i="39"/>
  <c r="D2136" i="39"/>
  <c r="AE2131" i="39"/>
  <c r="AC2131" i="39"/>
  <c r="AA2131" i="39"/>
  <c r="D2131" i="39"/>
  <c r="AE2130" i="39"/>
  <c r="AC2130" i="39"/>
  <c r="AA2130" i="39"/>
  <c r="D2130" i="39"/>
  <c r="AE2129" i="39"/>
  <c r="AC2129" i="39"/>
  <c r="AA2129" i="39"/>
  <c r="F2129" i="39"/>
  <c r="D2129" i="39"/>
  <c r="AE2128" i="39"/>
  <c r="AC2128" i="39"/>
  <c r="AA2128" i="39"/>
  <c r="V2128" i="39"/>
  <c r="D2128" i="39"/>
  <c r="C212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F1477" i="39"/>
  <c r="D1477" i="39"/>
  <c r="AE1476" i="39"/>
  <c r="AC1476" i="39"/>
  <c r="AA1476" i="39"/>
  <c r="V1476" i="39"/>
  <c r="D1476" i="39"/>
  <c r="C1476" i="39"/>
  <c r="C1161" i="39"/>
  <c r="F1162" i="39"/>
  <c r="AE1161" i="39"/>
  <c r="AC1161" i="39"/>
  <c r="AA1161" i="39"/>
  <c r="D1161" i="39"/>
  <c r="AE1163" i="39"/>
  <c r="AC1163" i="39"/>
  <c r="AA1163" i="39"/>
  <c r="D1163"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2" i="39"/>
  <c r="AC1162" i="39"/>
  <c r="AA1162" i="39"/>
  <c r="D1162" i="39"/>
  <c r="AE2631" i="39"/>
  <c r="AC2631" i="39"/>
  <c r="AA2631" i="39"/>
  <c r="D2631" i="39"/>
  <c r="AE2635" i="39"/>
  <c r="AC2635" i="39"/>
  <c r="AA2635" i="39"/>
  <c r="D2635" i="39"/>
  <c r="AE2632" i="39"/>
  <c r="AC2632" i="39"/>
  <c r="AA2632" i="39"/>
  <c r="D2632" i="39"/>
  <c r="AE2634" i="39"/>
  <c r="AC2634" i="39"/>
  <c r="AA2634" i="39"/>
  <c r="D2634"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F1179" i="39"/>
  <c r="D1179" i="39"/>
  <c r="AE1178" i="39"/>
  <c r="AC1178" i="39"/>
  <c r="AA1178" i="39"/>
  <c r="V1178" i="39"/>
  <c r="D1178" i="39"/>
  <c r="C1178" i="39"/>
  <c r="X2" i="39"/>
  <c r="AE2599" i="39"/>
  <c r="AC2599" i="39"/>
  <c r="AA2599" i="39"/>
  <c r="D2599"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47" i="39" l="1"/>
  <c r="U1747" i="39" s="1"/>
  <c r="F1748" i="39"/>
  <c r="V1747" i="39"/>
  <c r="V1226" i="39"/>
  <c r="C1226" i="39"/>
  <c r="U1226" i="39" s="1"/>
  <c r="F1227" i="39"/>
  <c r="F1278" i="39"/>
  <c r="V1277" i="39"/>
  <c r="C1277" i="39"/>
  <c r="U1277" i="39" s="1"/>
  <c r="C2491" i="39"/>
  <c r="U2491" i="39" s="1"/>
  <c r="V2491" i="39"/>
  <c r="F2492" i="39"/>
  <c r="V1556" i="39"/>
  <c r="F1557" i="39"/>
  <c r="C1556" i="39"/>
  <c r="U1556" i="39" s="1"/>
  <c r="F652" i="39"/>
  <c r="F655" i="39"/>
  <c r="C651" i="39"/>
  <c r="U651" i="39" s="1"/>
  <c r="V651" i="39"/>
  <c r="V107" i="39"/>
  <c r="V1362" i="39"/>
  <c r="F1363" i="39"/>
  <c r="C1362" i="39"/>
  <c r="U1362" i="39" s="1"/>
  <c r="V112" i="39"/>
  <c r="C107" i="39"/>
  <c r="U107" i="39" s="1"/>
  <c r="F108" i="39"/>
  <c r="C112" i="39"/>
  <c r="U112" i="39" s="1"/>
  <c r="F113" i="39"/>
  <c r="F2191" i="39"/>
  <c r="C2284" i="39"/>
  <c r="U2284" i="39" s="1"/>
  <c r="V2284" i="39"/>
  <c r="F2285" i="39"/>
  <c r="C865" i="39"/>
  <c r="U865" i="39" s="1"/>
  <c r="F1003" i="39"/>
  <c r="C1002" i="39"/>
  <c r="U1002" i="39" s="1"/>
  <c r="V1002" i="39"/>
  <c r="V865" i="39"/>
  <c r="F866" i="39"/>
  <c r="C1623" i="39"/>
  <c r="U1623" i="39" s="1"/>
  <c r="V1623" i="39"/>
  <c r="F1624" i="39"/>
  <c r="U962" i="39"/>
  <c r="F964" i="39"/>
  <c r="C963" i="39"/>
  <c r="U963" i="39" s="1"/>
  <c r="V963" i="39"/>
  <c r="U1178" i="39"/>
  <c r="U2128" i="39"/>
  <c r="F1478" i="39"/>
  <c r="U1476" i="39"/>
  <c r="C1477" i="39"/>
  <c r="U1477" i="39" s="1"/>
  <c r="F2130" i="39"/>
  <c r="F1163" i="39"/>
  <c r="C1162" i="39"/>
  <c r="U1162" i="39" s="1"/>
  <c r="V1162" i="39"/>
  <c r="C2129" i="39"/>
  <c r="U2129" i="39" s="1"/>
  <c r="V2129" i="39"/>
  <c r="V1477" i="39"/>
  <c r="F1180" i="39"/>
  <c r="C1179" i="39"/>
  <c r="U1179" i="39" s="1"/>
  <c r="V1179" i="39"/>
  <c r="U406" i="39"/>
  <c r="F408" i="39"/>
  <c r="C407" i="39"/>
  <c r="U407" i="39" s="1"/>
  <c r="V407" i="39"/>
  <c r="C1748" i="39" l="1"/>
  <c r="U1748" i="39" s="1"/>
  <c r="F1749" i="39"/>
  <c r="V1748" i="39"/>
  <c r="F1228" i="39"/>
  <c r="C1227" i="39"/>
  <c r="U1227" i="39" s="1"/>
  <c r="V1227" i="39"/>
  <c r="C1278" i="39"/>
  <c r="U1278" i="39" s="1"/>
  <c r="F1279" i="39"/>
  <c r="V1278" i="39"/>
  <c r="V2492" i="39"/>
  <c r="F2493" i="39"/>
  <c r="C2492" i="39"/>
  <c r="U2492" i="39" s="1"/>
  <c r="C1557" i="39"/>
  <c r="U1557" i="39" s="1"/>
  <c r="V1557" i="39"/>
  <c r="F1558" i="39"/>
  <c r="V655" i="39"/>
  <c r="C655" i="39"/>
  <c r="U655" i="39" s="1"/>
  <c r="C652" i="39"/>
  <c r="U652" i="39" s="1"/>
  <c r="V652" i="39"/>
  <c r="F653" i="39"/>
  <c r="F2132" i="39"/>
  <c r="F2134" i="39"/>
  <c r="C113" i="39"/>
  <c r="U113" i="39" s="1"/>
  <c r="V1363" i="39"/>
  <c r="C1363" i="39"/>
  <c r="U1363" i="39" s="1"/>
  <c r="F1364" i="39"/>
  <c r="C108" i="39"/>
  <c r="U108" i="39" s="1"/>
  <c r="V108" i="39"/>
  <c r="F114" i="39"/>
  <c r="V113" i="39"/>
  <c r="F2192" i="39"/>
  <c r="C2285" i="39"/>
  <c r="U2285" i="39" s="1"/>
  <c r="V2285" i="39"/>
  <c r="F2286" i="39"/>
  <c r="V1003" i="39"/>
  <c r="F1004" i="39"/>
  <c r="C1003" i="39"/>
  <c r="U1003" i="39" s="1"/>
  <c r="V866" i="39"/>
  <c r="C866" i="39"/>
  <c r="U866" i="39" s="1"/>
  <c r="F867" i="39"/>
  <c r="F1625" i="39"/>
  <c r="C1624" i="39"/>
  <c r="U1624" i="39" s="1"/>
  <c r="V1624" i="39"/>
  <c r="V2130" i="39"/>
  <c r="F965" i="39"/>
  <c r="V964" i="39"/>
  <c r="C964" i="39"/>
  <c r="U964" i="39" s="1"/>
  <c r="C2130" i="39"/>
  <c r="U2130" i="39" s="1"/>
  <c r="V1180" i="39"/>
  <c r="F409" i="39"/>
  <c r="C1478" i="39"/>
  <c r="U1478" i="39" s="1"/>
  <c r="F2131" i="39"/>
  <c r="F1479" i="39"/>
  <c r="V1478" i="39"/>
  <c r="F1164" i="39"/>
  <c r="F1181" i="39"/>
  <c r="C1180" i="39"/>
  <c r="U1180" i="39" s="1"/>
  <c r="V408" i="39"/>
  <c r="C408" i="39"/>
  <c r="U408" i="39" s="1"/>
  <c r="C1749" i="39" l="1"/>
  <c r="U1749" i="39" s="1"/>
  <c r="F1750" i="39"/>
  <c r="V1749" i="39"/>
  <c r="V1228" i="39"/>
  <c r="C1228" i="39"/>
  <c r="U1228" i="39" s="1"/>
  <c r="F1229" i="39"/>
  <c r="V1279" i="39"/>
  <c r="C1279" i="39"/>
  <c r="U1279" i="39" s="1"/>
  <c r="F1280" i="39"/>
  <c r="C2493" i="39"/>
  <c r="U2493" i="39" s="1"/>
  <c r="V2493" i="39"/>
  <c r="F2494" i="39"/>
  <c r="V1558" i="39"/>
  <c r="F1559" i="39"/>
  <c r="C1558" i="39"/>
  <c r="U1558" i="39" s="1"/>
  <c r="C653" i="39"/>
  <c r="U653" i="39" s="1"/>
  <c r="F654" i="39"/>
  <c r="V653" i="39"/>
  <c r="C2132" i="39"/>
  <c r="U2132" i="39" s="1"/>
  <c r="V2132" i="39"/>
  <c r="F2136" i="39"/>
  <c r="F2133" i="39"/>
  <c r="F2135" i="39"/>
  <c r="C2134" i="39"/>
  <c r="U2134" i="39" s="1"/>
  <c r="V2134" i="39"/>
  <c r="F2287" i="39"/>
  <c r="V1364" i="39"/>
  <c r="C1364" i="39"/>
  <c r="U1364" i="39" s="1"/>
  <c r="F1365" i="39"/>
  <c r="V114" i="39"/>
  <c r="C114" i="39"/>
  <c r="U114" i="39" s="1"/>
  <c r="F115" i="39"/>
  <c r="F2193" i="39"/>
  <c r="V867" i="39"/>
  <c r="C867" i="39"/>
  <c r="U867" i="39" s="1"/>
  <c r="F868" i="39"/>
  <c r="V1004" i="39"/>
  <c r="F1005" i="39"/>
  <c r="C1004" i="39"/>
  <c r="U1004" i="39" s="1"/>
  <c r="C2286" i="39"/>
  <c r="U2286" i="39" s="1"/>
  <c r="V2286" i="39"/>
  <c r="F1626" i="39"/>
  <c r="V1625" i="39"/>
  <c r="C1625" i="39"/>
  <c r="U1625" i="39" s="1"/>
  <c r="C965" i="39"/>
  <c r="U965" i="39" s="1"/>
  <c r="F966" i="39"/>
  <c r="V965" i="39"/>
  <c r="F410" i="39"/>
  <c r="V409" i="39"/>
  <c r="C409" i="39"/>
  <c r="U409" i="39" s="1"/>
  <c r="F1480" i="39"/>
  <c r="C1479" i="39"/>
  <c r="U1479" i="39" s="1"/>
  <c r="V2131" i="39"/>
  <c r="V1479" i="39"/>
  <c r="C2131" i="39"/>
  <c r="U2131" i="39" s="1"/>
  <c r="C1164" i="39"/>
  <c r="U1164" i="39" s="1"/>
  <c r="F1165" i="39"/>
  <c r="V1164" i="39"/>
  <c r="V1181" i="39"/>
  <c r="C1181" i="39"/>
  <c r="U1181" i="39" s="1"/>
  <c r="F1182" i="39"/>
  <c r="C1750" i="39" l="1"/>
  <c r="U1750" i="39" s="1"/>
  <c r="F1751" i="39"/>
  <c r="V1750" i="39"/>
  <c r="F1230" i="39"/>
  <c r="V1229" i="39"/>
  <c r="C1229" i="39"/>
  <c r="U1229" i="39" s="1"/>
  <c r="C1280" i="39"/>
  <c r="U1280" i="39" s="1"/>
  <c r="F1281" i="39"/>
  <c r="V1280" i="39"/>
  <c r="V2494" i="39"/>
  <c r="F2495" i="39"/>
  <c r="C2494" i="39"/>
  <c r="U2494" i="39" s="1"/>
  <c r="F1560" i="39"/>
  <c r="V1559" i="39"/>
  <c r="C1559" i="39"/>
  <c r="U1559" i="39" s="1"/>
  <c r="V654" i="39"/>
  <c r="F656" i="39"/>
  <c r="C654" i="39"/>
  <c r="U654" i="39" s="1"/>
  <c r="F2137" i="39"/>
  <c r="C2133" i="39"/>
  <c r="U2133" i="39" s="1"/>
  <c r="V2133" i="39"/>
  <c r="C2136" i="39"/>
  <c r="F2138" i="39"/>
  <c r="C2135" i="39"/>
  <c r="U2135" i="39" s="1"/>
  <c r="V2135" i="39"/>
  <c r="F2288" i="39"/>
  <c r="F1366" i="39"/>
  <c r="V1365" i="39"/>
  <c r="C1365" i="39"/>
  <c r="U1365" i="39" s="1"/>
  <c r="F116" i="39"/>
  <c r="C115" i="39"/>
  <c r="U115" i="39" s="1"/>
  <c r="V115" i="39"/>
  <c r="F2194" i="39"/>
  <c r="F869" i="39"/>
  <c r="V868" i="39"/>
  <c r="C868" i="39"/>
  <c r="U868" i="39" s="1"/>
  <c r="C1005" i="39"/>
  <c r="U1005" i="39" s="1"/>
  <c r="V1005" i="39"/>
  <c r="F1006" i="39"/>
  <c r="V2287" i="39"/>
  <c r="C2287" i="39"/>
  <c r="U2287" i="39" s="1"/>
  <c r="V1626" i="39"/>
  <c r="F1627" i="39"/>
  <c r="C1626" i="39"/>
  <c r="U1626" i="39" s="1"/>
  <c r="C966" i="39"/>
  <c r="U966" i="39" s="1"/>
  <c r="F967" i="39"/>
  <c r="V966" i="39"/>
  <c r="F411" i="39"/>
  <c r="C410" i="39"/>
  <c r="U410" i="39" s="1"/>
  <c r="V410" i="39"/>
  <c r="V1480" i="39"/>
  <c r="F1481" i="39"/>
  <c r="C1480" i="39"/>
  <c r="U1480" i="39" s="1"/>
  <c r="F1166" i="39"/>
  <c r="V1165" i="39"/>
  <c r="C1165" i="39"/>
  <c r="U1165" i="39" s="1"/>
  <c r="C1182" i="39"/>
  <c r="U1182" i="39" s="1"/>
  <c r="F1183" i="39"/>
  <c r="V1182" i="39"/>
  <c r="C1751" i="39" l="1"/>
  <c r="U1751" i="39" s="1"/>
  <c r="F1752" i="39"/>
  <c r="V1751" i="39"/>
  <c r="V1230" i="39"/>
  <c r="C1230" i="39"/>
  <c r="U1230" i="39" s="1"/>
  <c r="F1231" i="39"/>
  <c r="V1281" i="39"/>
  <c r="C1281" i="39"/>
  <c r="U1281" i="39" s="1"/>
  <c r="C2495" i="39"/>
  <c r="U2495" i="39" s="1"/>
  <c r="V2495" i="39"/>
  <c r="F2496" i="39"/>
  <c r="V1560" i="39"/>
  <c r="F1561" i="39"/>
  <c r="C1560" i="39"/>
  <c r="U1560" i="39" s="1"/>
  <c r="V656" i="39"/>
  <c r="F657" i="39"/>
  <c r="C656" i="39"/>
  <c r="U656" i="39" s="1"/>
  <c r="F660" i="39"/>
  <c r="C2137" i="39"/>
  <c r="F2289" i="39"/>
  <c r="F117" i="39"/>
  <c r="V116" i="39"/>
  <c r="F1367" i="39"/>
  <c r="V1366" i="39"/>
  <c r="C1366" i="39"/>
  <c r="U1366" i="39" s="1"/>
  <c r="C116" i="39"/>
  <c r="U116" i="39" s="1"/>
  <c r="C869" i="39"/>
  <c r="U869" i="39" s="1"/>
  <c r="V869" i="39"/>
  <c r="F870" i="39"/>
  <c r="F2195" i="39"/>
  <c r="V1006" i="39"/>
  <c r="C1006" i="39"/>
  <c r="U1006" i="39" s="1"/>
  <c r="C2288" i="39"/>
  <c r="U2288" i="39" s="1"/>
  <c r="V2288" i="39"/>
  <c r="V1627" i="39"/>
  <c r="C1627" i="39"/>
  <c r="U1627" i="39" s="1"/>
  <c r="F1628" i="39"/>
  <c r="F968" i="39"/>
  <c r="V967" i="39"/>
  <c r="C967" i="39"/>
  <c r="U967" i="39" s="1"/>
  <c r="U2136" i="39"/>
  <c r="V2136" i="39"/>
  <c r="C411" i="39"/>
  <c r="U411" i="39" s="1"/>
  <c r="V411" i="39"/>
  <c r="F412" i="39"/>
  <c r="F953" i="39"/>
  <c r="V1166" i="39"/>
  <c r="C1166" i="39"/>
  <c r="U1166" i="39" s="1"/>
  <c r="V1481" i="39"/>
  <c r="C1481" i="39"/>
  <c r="U1481" i="39" s="1"/>
  <c r="F1482" i="39"/>
  <c r="F1167" i="39"/>
  <c r="F1184" i="39"/>
  <c r="V1183" i="39"/>
  <c r="C1183" i="39"/>
  <c r="U1183" i="39" s="1"/>
  <c r="C1752" i="39" l="1"/>
  <c r="U1752" i="39" s="1"/>
  <c r="V1752" i="39"/>
  <c r="F1753" i="39"/>
  <c r="F1232" i="39"/>
  <c r="V1231" i="39"/>
  <c r="C1231" i="39"/>
  <c r="U1231" i="39" s="1"/>
  <c r="V2496" i="39"/>
  <c r="F2497" i="39"/>
  <c r="C2496" i="39"/>
  <c r="U2496" i="39" s="1"/>
  <c r="C1561" i="39"/>
  <c r="U1561" i="39" s="1"/>
  <c r="F1562" i="39"/>
  <c r="V1561" i="39"/>
  <c r="V660" i="39"/>
  <c r="C660" i="39"/>
  <c r="U660" i="39" s="1"/>
  <c r="F658" i="39"/>
  <c r="V657" i="39"/>
  <c r="C657" i="39"/>
  <c r="U657" i="39" s="1"/>
  <c r="F2290" i="39"/>
  <c r="C117" i="39"/>
  <c r="U117" i="39" s="1"/>
  <c r="F118" i="39"/>
  <c r="V117" i="39"/>
  <c r="F1368" i="39"/>
  <c r="V1367" i="39"/>
  <c r="C1367" i="39"/>
  <c r="U1367" i="39" s="1"/>
  <c r="V870" i="39"/>
  <c r="C870" i="39"/>
  <c r="U870" i="39" s="1"/>
  <c r="F871" i="39"/>
  <c r="F2196" i="39"/>
  <c r="F2139" i="39"/>
  <c r="V2138" i="39"/>
  <c r="C2138" i="39"/>
  <c r="U2138" i="39" s="1"/>
  <c r="C2289" i="39"/>
  <c r="U2289" i="39" s="1"/>
  <c r="V2289" i="39"/>
  <c r="F969" i="39"/>
  <c r="C968" i="39"/>
  <c r="U968" i="39" s="1"/>
  <c r="V968" i="39"/>
  <c r="F1629" i="39"/>
  <c r="V1628" i="39"/>
  <c r="C1628" i="39"/>
  <c r="U1628" i="39" s="1"/>
  <c r="F413" i="39"/>
  <c r="V412" i="39"/>
  <c r="C412" i="39"/>
  <c r="U412" i="39" s="1"/>
  <c r="F954" i="39"/>
  <c r="C1167" i="39"/>
  <c r="U1167" i="39" s="1"/>
  <c r="C1482" i="39"/>
  <c r="U1482" i="39" s="1"/>
  <c r="V1482" i="39"/>
  <c r="F1483" i="39"/>
  <c r="V1167" i="39"/>
  <c r="C953" i="39"/>
  <c r="U953" i="39" s="1"/>
  <c r="V953" i="39"/>
  <c r="F1168" i="39"/>
  <c r="C1184" i="39"/>
  <c r="U1184" i="39" s="1"/>
  <c r="F1185" i="39"/>
  <c r="V1184" i="39"/>
  <c r="C1753" i="39" l="1"/>
  <c r="U1753" i="39" s="1"/>
  <c r="F1755" i="39"/>
  <c r="F1754" i="39"/>
  <c r="V1753" i="39"/>
  <c r="C1232" i="39"/>
  <c r="U1232" i="39" s="1"/>
  <c r="V1232" i="39"/>
  <c r="F1233" i="39"/>
  <c r="V2497" i="39"/>
  <c r="F2498" i="39"/>
  <c r="C2497" i="39"/>
  <c r="U2497" i="39" s="1"/>
  <c r="C1562" i="39"/>
  <c r="U1562" i="39" s="1"/>
  <c r="V1562" i="39"/>
  <c r="F1563" i="39"/>
  <c r="V658" i="39"/>
  <c r="C658" i="39"/>
  <c r="U658" i="39" s="1"/>
  <c r="F659" i="39"/>
  <c r="U2137" i="39"/>
  <c r="V2137" i="39"/>
  <c r="F119" i="39"/>
  <c r="V118" i="39"/>
  <c r="F2291" i="39"/>
  <c r="C118" i="39"/>
  <c r="U118" i="39" s="1"/>
  <c r="C1368" i="39"/>
  <c r="U1368" i="39" s="1"/>
  <c r="V1368" i="39"/>
  <c r="F1369" i="39"/>
  <c r="C871" i="39"/>
  <c r="U871" i="39" s="1"/>
  <c r="V871" i="39"/>
  <c r="F872" i="39"/>
  <c r="F2197" i="39"/>
  <c r="F2140" i="39"/>
  <c r="C2139" i="39"/>
  <c r="U2139" i="39" s="1"/>
  <c r="V2139" i="39"/>
  <c r="C969" i="39"/>
  <c r="U969" i="39" s="1"/>
  <c r="F414" i="39"/>
  <c r="V413" i="39"/>
  <c r="V969" i="39"/>
  <c r="V2290" i="39"/>
  <c r="C2290" i="39"/>
  <c r="U2290" i="39" s="1"/>
  <c r="V1629" i="39"/>
  <c r="F1630" i="39"/>
  <c r="C1629" i="39"/>
  <c r="U1629" i="39" s="1"/>
  <c r="C413" i="39"/>
  <c r="U413" i="39" s="1"/>
  <c r="C1483" i="39"/>
  <c r="U1483" i="39" s="1"/>
  <c r="F1484" i="39"/>
  <c r="V1168" i="39"/>
  <c r="V1483" i="39"/>
  <c r="C1168" i="39"/>
  <c r="U1168" i="39" s="1"/>
  <c r="V954" i="39"/>
  <c r="C954" i="39"/>
  <c r="U954" i="39" s="1"/>
  <c r="F1169" i="39"/>
  <c r="C1185" i="39"/>
  <c r="U1185" i="39" s="1"/>
  <c r="V1185" i="39"/>
  <c r="F1186" i="39"/>
  <c r="AE2221" i="39"/>
  <c r="AC2221" i="39"/>
  <c r="AA2221" i="39"/>
  <c r="D2221"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9" i="39"/>
  <c r="AC2229" i="39"/>
  <c r="AA2229" i="39"/>
  <c r="D2229"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2" i="39"/>
  <c r="AC2222" i="39"/>
  <c r="AA2222" i="39"/>
  <c r="D2222"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2" i="39"/>
  <c r="AC2202" i="39"/>
  <c r="AA2202" i="39"/>
  <c r="D2202"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6" i="39"/>
  <c r="AC2196" i="39"/>
  <c r="AA2196" i="39"/>
  <c r="D2196" i="39"/>
  <c r="AE2195" i="39"/>
  <c r="AC2195" i="39"/>
  <c r="AA2195" i="39"/>
  <c r="D2195"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7" i="39"/>
  <c r="AC2187" i="39"/>
  <c r="AA2187" i="39"/>
  <c r="V2187" i="39"/>
  <c r="D2187" i="39"/>
  <c r="C2187" i="39"/>
  <c r="AE1650" i="39"/>
  <c r="AC1650" i="39"/>
  <c r="AA1650" i="39"/>
  <c r="D1650" i="39"/>
  <c r="AE1649" i="39"/>
  <c r="AC1649" i="39"/>
  <c r="AA1649" i="39"/>
  <c r="D1649" i="39"/>
  <c r="AE1648" i="39"/>
  <c r="AC1648" i="39"/>
  <c r="AA1648" i="39"/>
  <c r="D1648" i="39"/>
  <c r="AE1647" i="39"/>
  <c r="AC1647" i="39"/>
  <c r="AA1647" i="39"/>
  <c r="D1647" i="39"/>
  <c r="AE1646" i="39"/>
  <c r="AC1646" i="39"/>
  <c r="AA1646" i="39"/>
  <c r="D1646" i="39"/>
  <c r="AE1645" i="39"/>
  <c r="AC1645" i="39"/>
  <c r="AA1645" i="39"/>
  <c r="D1645" i="39"/>
  <c r="AE1644" i="39"/>
  <c r="AC1644" i="39"/>
  <c r="AA1644" i="39"/>
  <c r="D1644" i="39"/>
  <c r="AE1643" i="39"/>
  <c r="AC1643" i="39"/>
  <c r="AA1643" i="39"/>
  <c r="D1643" i="39"/>
  <c r="AE1642" i="39"/>
  <c r="AC1642" i="39"/>
  <c r="AA1642" i="39"/>
  <c r="D1642" i="39"/>
  <c r="AE1641" i="39"/>
  <c r="AC1641" i="39"/>
  <c r="AA1641" i="39"/>
  <c r="F1641" i="39"/>
  <c r="D1641" i="39"/>
  <c r="AE1640" i="39"/>
  <c r="AC1640" i="39"/>
  <c r="AA1640" i="39"/>
  <c r="V1640" i="39"/>
  <c r="D1640" i="39"/>
  <c r="C1640" i="39"/>
  <c r="AE1088" i="39"/>
  <c r="AC1088" i="39"/>
  <c r="AA1088" i="39"/>
  <c r="D1088" i="39"/>
  <c r="AE1087" i="39"/>
  <c r="AC1087" i="39"/>
  <c r="AA1087" i="39"/>
  <c r="D1087"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F956" i="39"/>
  <c r="D956" i="39"/>
  <c r="AE955" i="39"/>
  <c r="AC955" i="39"/>
  <c r="AA955" i="39"/>
  <c r="V955" i="39"/>
  <c r="D955" i="39"/>
  <c r="C95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6" i="39"/>
  <c r="AC1086" i="39"/>
  <c r="AA1086" i="39"/>
  <c r="D1086" i="39"/>
  <c r="AE1085" i="39"/>
  <c r="AC1085" i="39"/>
  <c r="AA1085" i="39"/>
  <c r="F1085" i="39"/>
  <c r="D1085" i="39"/>
  <c r="AE1084" i="39"/>
  <c r="AC1084" i="39"/>
  <c r="AA1084" i="39"/>
  <c r="V1084" i="39"/>
  <c r="D1084" i="39"/>
  <c r="C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F1051" i="39"/>
  <c r="D1051" i="39"/>
  <c r="AE1050" i="39"/>
  <c r="AC1050" i="39"/>
  <c r="AA1050" i="39"/>
  <c r="D1050" i="39"/>
  <c r="AE1049" i="39"/>
  <c r="AC1049" i="39"/>
  <c r="AA1049" i="39"/>
  <c r="D1049" i="39"/>
  <c r="AE1048" i="39"/>
  <c r="AC1048" i="39"/>
  <c r="AA1048" i="39"/>
  <c r="F1048" i="39"/>
  <c r="D1048" i="39"/>
  <c r="AE1047" i="39"/>
  <c r="AC1047" i="39"/>
  <c r="AA1047" i="39"/>
  <c r="V1047" i="39"/>
  <c r="D1047" i="39"/>
  <c r="C1047"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1" i="39"/>
  <c r="AC2361" i="39"/>
  <c r="AA2361" i="39"/>
  <c r="D2361"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D2351" i="39"/>
  <c r="AE2350" i="39"/>
  <c r="AC2350" i="39"/>
  <c r="AA2350" i="39"/>
  <c r="D2350" i="39"/>
  <c r="AE2349" i="39"/>
  <c r="AC2349" i="39"/>
  <c r="AA2349" i="39"/>
  <c r="D2349" i="39"/>
  <c r="AE2348" i="39"/>
  <c r="AC2348" i="39"/>
  <c r="AA2348" i="39"/>
  <c r="D2348" i="39"/>
  <c r="AE2347" i="39"/>
  <c r="AC2347" i="39"/>
  <c r="AA2347" i="39"/>
  <c r="D2347" i="39"/>
  <c r="AE2346" i="39"/>
  <c r="AC2346" i="39"/>
  <c r="AA2346" i="39"/>
  <c r="D2346" i="39"/>
  <c r="AE2345" i="39"/>
  <c r="AC2345" i="39"/>
  <c r="AA2345" i="39"/>
  <c r="D2345" i="39"/>
  <c r="AE2344" i="39"/>
  <c r="AC2344" i="39"/>
  <c r="AA2344" i="39"/>
  <c r="D2344" i="39"/>
  <c r="AE2343" i="39"/>
  <c r="AC2343" i="39"/>
  <c r="AA2343" i="39"/>
  <c r="F2343" i="39"/>
  <c r="D2343" i="39"/>
  <c r="AE2342" i="39"/>
  <c r="AC2342" i="39"/>
  <c r="AA2342" i="39"/>
  <c r="V2342" i="39"/>
  <c r="D2342" i="39"/>
  <c r="C2342" i="39"/>
  <c r="AA39" i="39"/>
  <c r="AA40" i="39"/>
  <c r="AC39" i="39"/>
  <c r="AE2070" i="39"/>
  <c r="AC2070" i="39"/>
  <c r="AA2070" i="39"/>
  <c r="D2070"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D2072" i="39"/>
  <c r="AE2071" i="39"/>
  <c r="AC2071" i="39"/>
  <c r="AA2071" i="39"/>
  <c r="D2071" i="39"/>
  <c r="AE2069" i="39"/>
  <c r="AC2069" i="39"/>
  <c r="AA2069" i="39"/>
  <c r="D2069" i="39"/>
  <c r="AE2068" i="39"/>
  <c r="AC2068" i="39"/>
  <c r="AA2068" i="39"/>
  <c r="F2068" i="39"/>
  <c r="D2068" i="39"/>
  <c r="AE2067" i="39"/>
  <c r="AC2067" i="39"/>
  <c r="AA2067" i="39"/>
  <c r="V2067" i="39"/>
  <c r="D2067" i="39"/>
  <c r="C2067"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F1113" i="39"/>
  <c r="D1113" i="39"/>
  <c r="AE1112" i="39"/>
  <c r="AC1112" i="39"/>
  <c r="AA1112" i="39"/>
  <c r="V1112" i="39"/>
  <c r="D1112" i="39"/>
  <c r="C1112"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59" i="39"/>
  <c r="AC1659" i="39"/>
  <c r="AA1659" i="39"/>
  <c r="D1659" i="39"/>
  <c r="C1754" i="39" l="1"/>
  <c r="U1754" i="39" s="1"/>
  <c r="V1754" i="39"/>
  <c r="F1756" i="39"/>
  <c r="C1755" i="39"/>
  <c r="U1755" i="39" s="1"/>
  <c r="V1755" i="39"/>
  <c r="V2498" i="39"/>
  <c r="F2499" i="39"/>
  <c r="F1234" i="39"/>
  <c r="V1233" i="39"/>
  <c r="C1233" i="39"/>
  <c r="U1233" i="39" s="1"/>
  <c r="C2498" i="39"/>
  <c r="U2498" i="39" s="1"/>
  <c r="V1563" i="39"/>
  <c r="F1564" i="39"/>
  <c r="C1563" i="39"/>
  <c r="U1563" i="39" s="1"/>
  <c r="V659" i="39"/>
  <c r="C659" i="39"/>
  <c r="U659" i="39" s="1"/>
  <c r="F661" i="39"/>
  <c r="F120" i="39"/>
  <c r="V119" i="39"/>
  <c r="C119" i="39"/>
  <c r="U119" i="39" s="1"/>
  <c r="F2292" i="39"/>
  <c r="V872" i="39"/>
  <c r="C872" i="39"/>
  <c r="U872" i="39" s="1"/>
  <c r="F873" i="39"/>
  <c r="C1369" i="39"/>
  <c r="U1369" i="39" s="1"/>
  <c r="F1370" i="39"/>
  <c r="V1369" i="39"/>
  <c r="F2141" i="39"/>
  <c r="C2140" i="39"/>
  <c r="U2140" i="39" s="1"/>
  <c r="V2140" i="39"/>
  <c r="F2198" i="39"/>
  <c r="V414" i="39"/>
  <c r="F415" i="39"/>
  <c r="C414" i="39"/>
  <c r="U414" i="39" s="1"/>
  <c r="F417" i="39"/>
  <c r="F416" i="39"/>
  <c r="C2291" i="39"/>
  <c r="U2291" i="39" s="1"/>
  <c r="V2291" i="39"/>
  <c r="C1630" i="39"/>
  <c r="U1630" i="39" s="1"/>
  <c r="V1630" i="39"/>
  <c r="F1485" i="39"/>
  <c r="V1169" i="39"/>
  <c r="V1484" i="39"/>
  <c r="C1484" i="39"/>
  <c r="U1484" i="39" s="1"/>
  <c r="C1169" i="39"/>
  <c r="U1169" i="39" s="1"/>
  <c r="F1170" i="39"/>
  <c r="C1186" i="39"/>
  <c r="U1186" i="39" s="1"/>
  <c r="V1186" i="39"/>
  <c r="F1642" i="39"/>
  <c r="U2187" i="39"/>
  <c r="U1640" i="39"/>
  <c r="C1641" i="39"/>
  <c r="U1641" i="39" s="1"/>
  <c r="V1641" i="39"/>
  <c r="U1084" i="39"/>
  <c r="U955" i="39"/>
  <c r="F1086" i="39"/>
  <c r="C1048" i="39"/>
  <c r="U1048" i="39" s="1"/>
  <c r="V1051" i="39"/>
  <c r="C1051" i="39"/>
  <c r="U1051" i="39" s="1"/>
  <c r="U1047" i="39"/>
  <c r="F957" i="39"/>
  <c r="V956" i="39"/>
  <c r="C956" i="39"/>
  <c r="U956" i="39" s="1"/>
  <c r="F1052" i="39"/>
  <c r="V1048" i="39"/>
  <c r="V1085" i="39"/>
  <c r="C1085" i="39"/>
  <c r="U1085" i="39" s="1"/>
  <c r="F1049" i="39"/>
  <c r="F1055" i="39"/>
  <c r="F1050" i="39"/>
  <c r="U273" i="39"/>
  <c r="F275" i="39"/>
  <c r="V274" i="39"/>
  <c r="C274" i="39"/>
  <c r="U274" i="39" s="1"/>
  <c r="U2342" i="39"/>
  <c r="C2343" i="39"/>
  <c r="U2343" i="39" s="1"/>
  <c r="V2343" i="39"/>
  <c r="F2344" i="39"/>
  <c r="F2069" i="39"/>
  <c r="V1113" i="39"/>
  <c r="F508" i="39"/>
  <c r="U2067" i="39"/>
  <c r="U506" i="39"/>
  <c r="C2068" i="39"/>
  <c r="U2068" i="39" s="1"/>
  <c r="V2068" i="39"/>
  <c r="V507" i="39"/>
  <c r="C507" i="39"/>
  <c r="U507" i="39" s="1"/>
  <c r="U306" i="39"/>
  <c r="U1112" i="39"/>
  <c r="C1113" i="39"/>
  <c r="U1113" i="39" s="1"/>
  <c r="F1114" i="39"/>
  <c r="F308" i="39"/>
  <c r="V307" i="39"/>
  <c r="C307" i="39"/>
  <c r="U307" i="39" s="1"/>
  <c r="C1756" i="39" l="1"/>
  <c r="U1756" i="39" s="1"/>
  <c r="V1756" i="39"/>
  <c r="F1757" i="39"/>
  <c r="C1372" i="39"/>
  <c r="U1372" i="39" s="1"/>
  <c r="V1372" i="39"/>
  <c r="F2500" i="39"/>
  <c r="C1234" i="39"/>
  <c r="U1234" i="39" s="1"/>
  <c r="F1235" i="39"/>
  <c r="V1234" i="39"/>
  <c r="F511" i="39"/>
  <c r="C275" i="39"/>
  <c r="U275" i="39" s="1"/>
  <c r="C1564" i="39"/>
  <c r="U1564" i="39" s="1"/>
  <c r="V1564" i="39"/>
  <c r="F1565" i="39"/>
  <c r="F662" i="39"/>
  <c r="V661" i="39"/>
  <c r="C661" i="39"/>
  <c r="U661" i="39" s="1"/>
  <c r="C2499" i="39"/>
  <c r="U2499" i="39" s="1"/>
  <c r="V2499" i="39"/>
  <c r="C120" i="39"/>
  <c r="U120" i="39" s="1"/>
  <c r="V120" i="39"/>
  <c r="F121" i="39"/>
  <c r="V873" i="39"/>
  <c r="F874" i="39"/>
  <c r="F2293" i="39"/>
  <c r="C873" i="39"/>
  <c r="U873" i="39" s="1"/>
  <c r="V1370" i="39"/>
  <c r="C1370" i="39"/>
  <c r="U1370" i="39" s="1"/>
  <c r="C2141" i="39"/>
  <c r="U2141" i="39" s="1"/>
  <c r="F2142" i="39"/>
  <c r="V2141" i="39"/>
  <c r="F2199" i="39"/>
  <c r="V416" i="39"/>
  <c r="F423" i="39"/>
  <c r="C416" i="39"/>
  <c r="U416" i="39" s="1"/>
  <c r="V417" i="39"/>
  <c r="C417" i="39"/>
  <c r="U417" i="39" s="1"/>
  <c r="C415" i="39"/>
  <c r="U415" i="39" s="1"/>
  <c r="V415" i="39"/>
  <c r="F418" i="39"/>
  <c r="C2292" i="39"/>
  <c r="U2292" i="39" s="1"/>
  <c r="V2292" i="39"/>
  <c r="F1486" i="39"/>
  <c r="V1485" i="39"/>
  <c r="C1485" i="39"/>
  <c r="U1485" i="39" s="1"/>
  <c r="V1170" i="39"/>
  <c r="C1170" i="39"/>
  <c r="U1170" i="39" s="1"/>
  <c r="F1171" i="39"/>
  <c r="C2189" i="39"/>
  <c r="U2189" i="39" s="1"/>
  <c r="V2189" i="39"/>
  <c r="V1642" i="39"/>
  <c r="C1642" i="39"/>
  <c r="U1642" i="39" s="1"/>
  <c r="F1643" i="39"/>
  <c r="C957" i="39"/>
  <c r="U957" i="39" s="1"/>
  <c r="C2069" i="39"/>
  <c r="U2069" i="39" s="1"/>
  <c r="F1087" i="39"/>
  <c r="F958" i="39"/>
  <c r="V957" i="39"/>
  <c r="C1086" i="39"/>
  <c r="U1086" i="39" s="1"/>
  <c r="V1086" i="39"/>
  <c r="C1052" i="39"/>
  <c r="U1052" i="39" s="1"/>
  <c r="V1052" i="39"/>
  <c r="F1054" i="39"/>
  <c r="V1050" i="39"/>
  <c r="C1050" i="39"/>
  <c r="U1050" i="39" s="1"/>
  <c r="C1049" i="39"/>
  <c r="U1049" i="39" s="1"/>
  <c r="V1049" i="39"/>
  <c r="F1053" i="39"/>
  <c r="C1055" i="39"/>
  <c r="U1055" i="39" s="1"/>
  <c r="F1056" i="39"/>
  <c r="V1055" i="39"/>
  <c r="V2069" i="39"/>
  <c r="V275" i="39"/>
  <c r="F276" i="39"/>
  <c r="C508" i="39"/>
  <c r="U508" i="39" s="1"/>
  <c r="F2345" i="39"/>
  <c r="V2344" i="39"/>
  <c r="C2344" i="39"/>
  <c r="U2344" i="39" s="1"/>
  <c r="V508" i="39"/>
  <c r="F2070" i="39"/>
  <c r="F509" i="39"/>
  <c r="F309" i="39"/>
  <c r="V308" i="39"/>
  <c r="C308" i="39"/>
  <c r="U308" i="39" s="1"/>
  <c r="F1115" i="39"/>
  <c r="V1114" i="39"/>
  <c r="C1114" i="39"/>
  <c r="U1114" i="39" s="1"/>
  <c r="C1757" i="39" l="1"/>
  <c r="U1757" i="39" s="1"/>
  <c r="F1758" i="39"/>
  <c r="V1757" i="39"/>
  <c r="F1374" i="39"/>
  <c r="V1373" i="39"/>
  <c r="U1373" i="39"/>
  <c r="F2501" i="39"/>
  <c r="V1235" i="39"/>
  <c r="F1236" i="39"/>
  <c r="C1235" i="39"/>
  <c r="U1235" i="39" s="1"/>
  <c r="V511" i="39"/>
  <c r="C511" i="39"/>
  <c r="U511" i="39" s="1"/>
  <c r="F1566" i="39"/>
  <c r="C276" i="39"/>
  <c r="U276" i="39" s="1"/>
  <c r="C1565" i="39"/>
  <c r="U1565" i="39" s="1"/>
  <c r="V1565" i="39"/>
  <c r="C662" i="39"/>
  <c r="U662" i="39" s="1"/>
  <c r="V662" i="39"/>
  <c r="F664" i="39"/>
  <c r="F663" i="39"/>
  <c r="F122" i="39"/>
  <c r="V121" i="39"/>
  <c r="C121" i="39"/>
  <c r="U121" i="39" s="1"/>
  <c r="F2294" i="39"/>
  <c r="C874" i="39"/>
  <c r="U874" i="39" s="1"/>
  <c r="V874" i="39"/>
  <c r="C2142" i="39"/>
  <c r="U2142" i="39" s="1"/>
  <c r="V2142" i="39"/>
  <c r="F2143" i="39"/>
  <c r="F2200" i="39"/>
  <c r="C423" i="39"/>
  <c r="U423" i="39" s="1"/>
  <c r="V423" i="39"/>
  <c r="V418" i="39"/>
  <c r="F419" i="39"/>
  <c r="C418" i="39"/>
  <c r="U418" i="39" s="1"/>
  <c r="V1486" i="39"/>
  <c r="F1487" i="39"/>
  <c r="C1486" i="39"/>
  <c r="U1486" i="39" s="1"/>
  <c r="V2293" i="39"/>
  <c r="C2293" i="39"/>
  <c r="U2293" i="39" s="1"/>
  <c r="F1172" i="39"/>
  <c r="V1171" i="39"/>
  <c r="C1171" i="39"/>
  <c r="U1171" i="39" s="1"/>
  <c r="V2190" i="39"/>
  <c r="C2190" i="39"/>
  <c r="U2190" i="39" s="1"/>
  <c r="C1643" i="39"/>
  <c r="U1643" i="39" s="1"/>
  <c r="F1644" i="39"/>
  <c r="V1643" i="39"/>
  <c r="F1088" i="39"/>
  <c r="C1087" i="39"/>
  <c r="U1087" i="39" s="1"/>
  <c r="V1087" i="39"/>
  <c r="C958" i="39"/>
  <c r="U958" i="39" s="1"/>
  <c r="V958" i="39"/>
  <c r="F959" i="39"/>
  <c r="V1054" i="39"/>
  <c r="C1054" i="39"/>
  <c r="U1054" i="39" s="1"/>
  <c r="V1056" i="39"/>
  <c r="C1056" i="39"/>
  <c r="U1056" i="39" s="1"/>
  <c r="F1057" i="39"/>
  <c r="C1053" i="39"/>
  <c r="U1053" i="39" s="1"/>
  <c r="V1053" i="39"/>
  <c r="V276" i="39"/>
  <c r="F277" i="39"/>
  <c r="F510" i="39"/>
  <c r="C2345" i="39"/>
  <c r="U2345" i="39" s="1"/>
  <c r="F2346" i="39"/>
  <c r="V2345" i="39"/>
  <c r="V509" i="39"/>
  <c r="F2071" i="39"/>
  <c r="C2070" i="39"/>
  <c r="U2070" i="39" s="1"/>
  <c r="V2070" i="39"/>
  <c r="C509" i="39"/>
  <c r="U509" i="39" s="1"/>
  <c r="F310" i="39"/>
  <c r="V309" i="39"/>
  <c r="C309" i="39"/>
  <c r="U309" i="39" s="1"/>
  <c r="C1115" i="39"/>
  <c r="U1115" i="39" s="1"/>
  <c r="F1116" i="39"/>
  <c r="V1115" i="39"/>
  <c r="C1758" i="39" l="1"/>
  <c r="U1758" i="39" s="1"/>
  <c r="F1759" i="39"/>
  <c r="V1758" i="39"/>
  <c r="C1374" i="39"/>
  <c r="U1374" i="39" s="1"/>
  <c r="V1374" i="39"/>
  <c r="F2502" i="39"/>
  <c r="C1236" i="39"/>
  <c r="U1236" i="39" s="1"/>
  <c r="F1237" i="39"/>
  <c r="V1236" i="39"/>
  <c r="F1567" i="39"/>
  <c r="V1566" i="39"/>
  <c r="C1566" i="39"/>
  <c r="U1566" i="39" s="1"/>
  <c r="C277" i="39"/>
  <c r="U277" i="39" s="1"/>
  <c r="C663" i="39"/>
  <c r="U663" i="39" s="1"/>
  <c r="F665" i="39"/>
  <c r="C664" i="39"/>
  <c r="U664" i="39" s="1"/>
  <c r="V664" i="39"/>
  <c r="V663" i="39"/>
  <c r="C2500" i="39"/>
  <c r="U2500" i="39" s="1"/>
  <c r="V2500" i="39"/>
  <c r="F314" i="39"/>
  <c r="V122" i="39"/>
  <c r="F123" i="39"/>
  <c r="C122" i="39"/>
  <c r="U122" i="39" s="1"/>
  <c r="F2295" i="39"/>
  <c r="F2144" i="39"/>
  <c r="C2143" i="39"/>
  <c r="U2143" i="39" s="1"/>
  <c r="V2143" i="39"/>
  <c r="F2201" i="39"/>
  <c r="C419" i="39"/>
  <c r="U419" i="39" s="1"/>
  <c r="F424" i="39"/>
  <c r="V419" i="39"/>
  <c r="F420" i="39"/>
  <c r="V2194" i="39"/>
  <c r="C2194" i="39"/>
  <c r="U2194" i="39" s="1"/>
  <c r="C1487" i="39"/>
  <c r="U1487" i="39" s="1"/>
  <c r="V1487" i="39"/>
  <c r="F1488" i="39"/>
  <c r="V2294" i="39"/>
  <c r="C2294" i="39"/>
  <c r="U2294" i="39" s="1"/>
  <c r="F1173" i="39"/>
  <c r="V1172" i="39"/>
  <c r="C1172" i="39"/>
  <c r="U1172" i="39" s="1"/>
  <c r="C2191" i="39"/>
  <c r="U2191" i="39" s="1"/>
  <c r="V2191" i="39"/>
  <c r="C1644" i="39"/>
  <c r="U1644" i="39" s="1"/>
  <c r="F1645" i="39"/>
  <c r="V1644" i="39"/>
  <c r="C1088" i="39"/>
  <c r="U1088" i="39" s="1"/>
  <c r="V1088" i="39"/>
  <c r="F1089" i="39"/>
  <c r="F960" i="39"/>
  <c r="C959" i="39"/>
  <c r="U959" i="39" s="1"/>
  <c r="V959" i="39"/>
  <c r="C1057" i="39"/>
  <c r="U1057" i="39" s="1"/>
  <c r="F1058" i="39"/>
  <c r="V1057" i="39"/>
  <c r="V277" i="39"/>
  <c r="F278" i="39"/>
  <c r="V510" i="39"/>
  <c r="F512" i="39"/>
  <c r="C510" i="39"/>
  <c r="U510" i="39" s="1"/>
  <c r="F2347" i="39"/>
  <c r="V2346" i="39"/>
  <c r="C2346" i="39"/>
  <c r="U2346" i="39" s="1"/>
  <c r="V310" i="39"/>
  <c r="V2071" i="39"/>
  <c r="C2071" i="39"/>
  <c r="U2071" i="39" s="1"/>
  <c r="F2072" i="39"/>
  <c r="F311" i="39"/>
  <c r="C310" i="39"/>
  <c r="U310" i="39" s="1"/>
  <c r="F1117" i="39"/>
  <c r="V1116" i="39"/>
  <c r="C1116" i="39"/>
  <c r="U1116" i="39" s="1"/>
  <c r="AE1586" i="39"/>
  <c r="AC1586" i="39"/>
  <c r="AA1586" i="39"/>
  <c r="F1586" i="39"/>
  <c r="D1586"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0" i="39"/>
  <c r="V990" i="39"/>
  <c r="V1007" i="39"/>
  <c r="V1282" i="39"/>
  <c r="V1290" i="39"/>
  <c r="V1293" i="39"/>
  <c r="V1313" i="39"/>
  <c r="V1315" i="39"/>
  <c r="V1375" i="39"/>
  <c r="V1438" i="39"/>
  <c r="V1440" i="39"/>
  <c r="V1508" i="39"/>
  <c r="V1523" i="39"/>
  <c r="V1527" i="39"/>
  <c r="V1584" i="39"/>
  <c r="V1585" i="39"/>
  <c r="V1587" i="39"/>
  <c r="V1588" i="39"/>
  <c r="V1589" i="39"/>
  <c r="V1590" i="39"/>
  <c r="V1591" i="39"/>
  <c r="V1592" i="39"/>
  <c r="V1593" i="39"/>
  <c r="V1594" i="39"/>
  <c r="V1595" i="39"/>
  <c r="V1596" i="39"/>
  <c r="V1597" i="39"/>
  <c r="V1598" i="39"/>
  <c r="V1599" i="39"/>
  <c r="V1616" i="39"/>
  <c r="V1634" i="39"/>
  <c r="V1651" i="39"/>
  <c r="V1671" i="39"/>
  <c r="V1880" i="39"/>
  <c r="V1941" i="39"/>
  <c r="V1974" i="39"/>
  <c r="V1992" i="39"/>
  <c r="V2000" i="39"/>
  <c r="V2028" i="39"/>
  <c r="V2041" i="39"/>
  <c r="V2061" i="39"/>
  <c r="V2087" i="39"/>
  <c r="V2097" i="39"/>
  <c r="V2126" i="39"/>
  <c r="V2151" i="39"/>
  <c r="V2181" i="39"/>
  <c r="V2264" i="39"/>
  <c r="V2268" i="39"/>
  <c r="V2297" i="39"/>
  <c r="V2337" i="39"/>
  <c r="V2362" i="39"/>
  <c r="V2397" i="39"/>
  <c r="V2400" i="39"/>
  <c r="V2423" i="39"/>
  <c r="V2437" i="39"/>
  <c r="V2444" i="39"/>
  <c r="V2447" i="39"/>
  <c r="V2449" i="39"/>
  <c r="V2458" i="39"/>
  <c r="V2465" i="39"/>
  <c r="V2512" i="39"/>
  <c r="V2588" i="39"/>
  <c r="V2609" i="39"/>
  <c r="V2615" i="39"/>
  <c r="V2639" i="39"/>
  <c r="V2658" i="39"/>
  <c r="V2674" i="39"/>
  <c r="V2676" i="39"/>
  <c r="V2696" i="39"/>
  <c r="AE1594" i="39"/>
  <c r="AC1594" i="39"/>
  <c r="AA1594" i="39"/>
  <c r="D1594" i="39"/>
  <c r="C1594"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1591" i="39"/>
  <c r="AC1591" i="39"/>
  <c r="AA1591" i="39"/>
  <c r="D1591" i="39"/>
  <c r="C1591" i="39"/>
  <c r="AE1590" i="39"/>
  <c r="AC1590" i="39"/>
  <c r="AA1590" i="39"/>
  <c r="D1590" i="39"/>
  <c r="C1590" i="39"/>
  <c r="AE1589" i="39"/>
  <c r="AC1589" i="39"/>
  <c r="AA1589" i="39"/>
  <c r="D1589" i="39"/>
  <c r="C1589" i="39"/>
  <c r="AE1588" i="39"/>
  <c r="AC1588" i="39"/>
  <c r="AA1588" i="39"/>
  <c r="D1588" i="39"/>
  <c r="C1588" i="39"/>
  <c r="AE1587" i="39"/>
  <c r="AC1587" i="39"/>
  <c r="AA1587" i="39"/>
  <c r="D1587" i="39"/>
  <c r="C1587" i="39"/>
  <c r="AE1585" i="39"/>
  <c r="AC1585" i="39"/>
  <c r="AA1585" i="39"/>
  <c r="D1585" i="39"/>
  <c r="C1585" i="39"/>
  <c r="AE1584" i="39"/>
  <c r="AC1584" i="39"/>
  <c r="AA1584" i="39"/>
  <c r="D1584" i="39"/>
  <c r="C1584"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282" i="39"/>
  <c r="D1283" i="39"/>
  <c r="D1284" i="39"/>
  <c r="D1285" i="39"/>
  <c r="D1286" i="39"/>
  <c r="D1287" i="39"/>
  <c r="D1288" i="39"/>
  <c r="D1289" i="39"/>
  <c r="D1290" i="39"/>
  <c r="D1291" i="39"/>
  <c r="D1292" i="39"/>
  <c r="D1293" i="39"/>
  <c r="D1294" i="39"/>
  <c r="D1295" i="39"/>
  <c r="D1296" i="39"/>
  <c r="D1297" i="39"/>
  <c r="D1298" i="39"/>
  <c r="D1299"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508" i="39"/>
  <c r="D1509" i="39"/>
  <c r="D1510" i="39"/>
  <c r="D1511" i="39"/>
  <c r="D1512" i="39"/>
  <c r="D1513" i="39"/>
  <c r="D1514" i="39"/>
  <c r="D1515" i="39"/>
  <c r="D1516" i="39"/>
  <c r="D1517" i="39"/>
  <c r="D1518" i="39"/>
  <c r="D1519" i="39"/>
  <c r="D1520" i="39"/>
  <c r="D1521" i="39"/>
  <c r="D1523" i="39"/>
  <c r="D1524" i="39"/>
  <c r="D1525" i="39"/>
  <c r="D1526" i="39"/>
  <c r="D1527" i="39"/>
  <c r="D1528" i="39"/>
  <c r="D1529" i="39"/>
  <c r="D1530" i="39"/>
  <c r="D1531" i="39"/>
  <c r="D1532" i="39"/>
  <c r="D1533" i="39"/>
  <c r="D1534" i="39"/>
  <c r="D1535" i="39"/>
  <c r="D1536" i="39"/>
  <c r="D1537" i="39"/>
  <c r="D1599" i="39"/>
  <c r="D1600" i="39"/>
  <c r="D1601" i="39"/>
  <c r="D1616" i="39"/>
  <c r="D1617" i="39"/>
  <c r="D1618" i="39"/>
  <c r="D1619" i="39"/>
  <c r="D1634" i="39"/>
  <c r="D1635" i="39"/>
  <c r="D1636" i="39"/>
  <c r="D1637" i="39"/>
  <c r="D1638" i="39"/>
  <c r="D1639" i="39"/>
  <c r="D1651" i="39"/>
  <c r="D1652" i="39"/>
  <c r="D1653" i="39"/>
  <c r="D1654" i="39"/>
  <c r="D1655" i="39"/>
  <c r="D1656" i="39"/>
  <c r="D1657" i="39"/>
  <c r="D1658" i="39"/>
  <c r="D1660" i="39"/>
  <c r="D1661" i="39"/>
  <c r="D1662" i="39"/>
  <c r="D1663" i="39"/>
  <c r="D1664" i="39"/>
  <c r="D1665" i="39"/>
  <c r="D1666" i="39"/>
  <c r="D1667" i="39"/>
  <c r="D1668" i="39"/>
  <c r="D1669" i="39"/>
  <c r="D1671" i="39"/>
  <c r="D1672" i="39"/>
  <c r="D1673" i="39"/>
  <c r="D1674" i="39"/>
  <c r="D1675" i="39"/>
  <c r="D1676" i="39"/>
  <c r="D1677" i="39"/>
  <c r="D1678" i="39"/>
  <c r="D1679" i="39"/>
  <c r="D1680" i="39"/>
  <c r="D1681" i="39"/>
  <c r="D1682" i="39"/>
  <c r="D1683"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51" i="39"/>
  <c r="D2152" i="39"/>
  <c r="D2153" i="39"/>
  <c r="D2154" i="39"/>
  <c r="D2155" i="39"/>
  <c r="D2156" i="39"/>
  <c r="D2181" i="39"/>
  <c r="D2182" i="39"/>
  <c r="D2183" i="39"/>
  <c r="D2184" i="39"/>
  <c r="D2185" i="39"/>
  <c r="D2186" i="39"/>
  <c r="D2264" i="39"/>
  <c r="D2265" i="39"/>
  <c r="D2266" i="39"/>
  <c r="D2267" i="39"/>
  <c r="D2268" i="39"/>
  <c r="D2269" i="39"/>
  <c r="D2270" i="39"/>
  <c r="D2271" i="39"/>
  <c r="D2297" i="39"/>
  <c r="D2298" i="39"/>
  <c r="D2299" i="39"/>
  <c r="D2300" i="39"/>
  <c r="D2301" i="39"/>
  <c r="D2302" i="39"/>
  <c r="D2303" i="39"/>
  <c r="D2304" i="39"/>
  <c r="D2305" i="39"/>
  <c r="D2307" i="39"/>
  <c r="D2308" i="39"/>
  <c r="D2309" i="39"/>
  <c r="D2310" i="39"/>
  <c r="D2311" i="39"/>
  <c r="D2312" i="39"/>
  <c r="D2337" i="39"/>
  <c r="D2338" i="39"/>
  <c r="D2339" i="39"/>
  <c r="D2340" i="39"/>
  <c r="D2341" i="39"/>
  <c r="D2362" i="39"/>
  <c r="D2363" i="39"/>
  <c r="D2364" i="39"/>
  <c r="D2365" i="39"/>
  <c r="D2366" i="39"/>
  <c r="D2367"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512" i="39"/>
  <c r="D2513"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88" i="39"/>
  <c r="D2589" i="39"/>
  <c r="D2590" i="39"/>
  <c r="D2591" i="39"/>
  <c r="D2592" i="39"/>
  <c r="D2593" i="39"/>
  <c r="D2594" i="39"/>
  <c r="D2595" i="39"/>
  <c r="D2596" i="39"/>
  <c r="D2597" i="39"/>
  <c r="D2598"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9" i="39"/>
  <c r="D2630" i="39"/>
  <c r="D2633" i="39"/>
  <c r="D2636" i="39"/>
  <c r="D2639" i="39"/>
  <c r="D2640" i="39"/>
  <c r="D2641" i="39"/>
  <c r="D2642" i="39"/>
  <c r="D2643" i="39"/>
  <c r="D2644" i="39"/>
  <c r="D2645" i="39"/>
  <c r="D2646" i="39"/>
  <c r="D2647" i="39"/>
  <c r="D2648"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6" i="39"/>
  <c r="D2697" i="39"/>
  <c r="D2698" i="39"/>
  <c r="D2699" i="39"/>
  <c r="D2700" i="39"/>
  <c r="D2701" i="39"/>
  <c r="D2702"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F1316" i="39"/>
  <c r="AE1315" i="39"/>
  <c r="AC1315" i="39"/>
  <c r="AA1315" i="39"/>
  <c r="C1315" i="39"/>
  <c r="C1759" i="39" l="1"/>
  <c r="U1759" i="39" s="1"/>
  <c r="F1760" i="39"/>
  <c r="V1759" i="39"/>
  <c r="F1761" i="39"/>
  <c r="F2503" i="39"/>
  <c r="V1237" i="39"/>
  <c r="C1237" i="39"/>
  <c r="U1237" i="39" s="1"/>
  <c r="F1238" i="39"/>
  <c r="F515" i="39"/>
  <c r="V1567" i="39"/>
  <c r="C1567" i="39"/>
  <c r="U1567" i="39" s="1"/>
  <c r="F1568" i="39"/>
  <c r="C278" i="39"/>
  <c r="U278" i="39" s="1"/>
  <c r="V665" i="39"/>
  <c r="F666" i="39"/>
  <c r="C665" i="39"/>
  <c r="U665" i="39" s="1"/>
  <c r="V2501" i="39"/>
  <c r="C2501" i="39"/>
  <c r="U2501" i="39" s="1"/>
  <c r="F315" i="39"/>
  <c r="C314" i="39"/>
  <c r="U314" i="39" s="1"/>
  <c r="V314" i="39"/>
  <c r="V123" i="39"/>
  <c r="C123" i="39"/>
  <c r="U123" i="39" s="1"/>
  <c r="F124" i="39"/>
  <c r="F2296" i="39"/>
  <c r="F2145" i="39"/>
  <c r="C2144" i="39"/>
  <c r="U2144" i="39" s="1"/>
  <c r="V2144" i="39"/>
  <c r="V424" i="39"/>
  <c r="C424" i="39"/>
  <c r="U424" i="39" s="1"/>
  <c r="C420" i="39"/>
  <c r="U420" i="39" s="1"/>
  <c r="V420" i="39"/>
  <c r="F426" i="39"/>
  <c r="F421" i="39"/>
  <c r="F2202" i="39"/>
  <c r="F422" i="39"/>
  <c r="F1489" i="39"/>
  <c r="C1488" i="39"/>
  <c r="U1488" i="39" s="1"/>
  <c r="V1488" i="39"/>
  <c r="V2295" i="39"/>
  <c r="C2295" i="39"/>
  <c r="U2295" i="39" s="1"/>
  <c r="F1174" i="39"/>
  <c r="C1173" i="39"/>
  <c r="U1173" i="39" s="1"/>
  <c r="V1173" i="39"/>
  <c r="V2192" i="39"/>
  <c r="C2192" i="39"/>
  <c r="U2192" i="39" s="1"/>
  <c r="F1646" i="39"/>
  <c r="C1645" i="39"/>
  <c r="U1645" i="39" s="1"/>
  <c r="V1645" i="39"/>
  <c r="F312" i="39"/>
  <c r="F961" i="39"/>
  <c r="V960" i="39"/>
  <c r="F1090" i="39"/>
  <c r="V1089" i="39"/>
  <c r="C1089" i="39"/>
  <c r="U1089" i="39" s="1"/>
  <c r="C960" i="39"/>
  <c r="U960" i="39" s="1"/>
  <c r="C512" i="39"/>
  <c r="U512" i="39" s="1"/>
  <c r="V512" i="39"/>
  <c r="V1058" i="39"/>
  <c r="C1058" i="39"/>
  <c r="U1058" i="39" s="1"/>
  <c r="F1059" i="39"/>
  <c r="F279" i="39"/>
  <c r="V278" i="39"/>
  <c r="F513" i="39"/>
  <c r="C311" i="39"/>
  <c r="U311" i="39" s="1"/>
  <c r="V311" i="39"/>
  <c r="C2347" i="39"/>
  <c r="U2347" i="39" s="1"/>
  <c r="F2348" i="39"/>
  <c r="V2347" i="39"/>
  <c r="F2073" i="39"/>
  <c r="V2072" i="39"/>
  <c r="C2072" i="39"/>
  <c r="U2072" i="39" s="1"/>
  <c r="C1117" i="39"/>
  <c r="U1117" i="39" s="1"/>
  <c r="F1118" i="39"/>
  <c r="V1117" i="39"/>
  <c r="U1584" i="39"/>
  <c r="U1591" i="39"/>
  <c r="C1586" i="39"/>
  <c r="U1586" i="39" s="1"/>
  <c r="U1597" i="39"/>
  <c r="U1585" i="39"/>
  <c r="U1587" i="39"/>
  <c r="U1596" i="39"/>
  <c r="U1592" i="39"/>
  <c r="U1598" i="39"/>
  <c r="V1316" i="39"/>
  <c r="V811" i="39"/>
  <c r="U1595" i="39"/>
  <c r="U1588" i="39"/>
  <c r="U1594" i="39"/>
  <c r="U810" i="39"/>
  <c r="U1589" i="39"/>
  <c r="U1315" i="39"/>
  <c r="U1593" i="39"/>
  <c r="U1590" i="39"/>
  <c r="V1586" i="39"/>
  <c r="F812" i="39"/>
  <c r="C811" i="39"/>
  <c r="U811" i="39" s="1"/>
  <c r="C1316" i="39"/>
  <c r="U1316" i="39" s="1"/>
  <c r="F1317"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C1293" i="39"/>
  <c r="U1293" i="39" s="1"/>
  <c r="AE2648" i="39"/>
  <c r="AC2648" i="39"/>
  <c r="AA2648" i="39"/>
  <c r="AE2647" i="39"/>
  <c r="AC2647" i="39"/>
  <c r="AA2647" i="39"/>
  <c r="AE2646" i="39"/>
  <c r="AC2646" i="39"/>
  <c r="AA2646" i="39"/>
  <c r="AE2645" i="39"/>
  <c r="AC2645" i="39"/>
  <c r="AA2645" i="39"/>
  <c r="AE2644" i="39"/>
  <c r="AC2644" i="39"/>
  <c r="AA2644" i="39"/>
  <c r="AE2643" i="39"/>
  <c r="AC2643" i="39"/>
  <c r="AA2643" i="39"/>
  <c r="AE2642" i="39"/>
  <c r="AC2642" i="39"/>
  <c r="AA2642" i="39"/>
  <c r="AE2641" i="39"/>
  <c r="AC2641" i="39"/>
  <c r="AA2641" i="39"/>
  <c r="F2641" i="39"/>
  <c r="AE2640" i="39"/>
  <c r="AC2640" i="39"/>
  <c r="AA2640" i="39"/>
  <c r="F2640" i="39"/>
  <c r="AE2639" i="39"/>
  <c r="AC2639" i="39"/>
  <c r="AA2639" i="39"/>
  <c r="C2639" i="39"/>
  <c r="U2639" i="39" s="1"/>
  <c r="C1761" i="39" l="1"/>
  <c r="U1761" i="39" s="1"/>
  <c r="V1761" i="39"/>
  <c r="C1760" i="39"/>
  <c r="U1760" i="39" s="1"/>
  <c r="F1762" i="39"/>
  <c r="V1760" i="39"/>
  <c r="F2504" i="39"/>
  <c r="F1239" i="39"/>
  <c r="C1238" i="39"/>
  <c r="U1238" i="39" s="1"/>
  <c r="V1238" i="39"/>
  <c r="V515" i="39"/>
  <c r="C515" i="39"/>
  <c r="U515" i="39" s="1"/>
  <c r="C1568" i="39"/>
  <c r="U1568" i="39" s="1"/>
  <c r="V1568" i="39"/>
  <c r="F1569" i="39"/>
  <c r="C279" i="39"/>
  <c r="U279" i="39" s="1"/>
  <c r="C666" i="39"/>
  <c r="U666" i="39" s="1"/>
  <c r="V666" i="39"/>
  <c r="F667" i="39"/>
  <c r="C2502" i="39"/>
  <c r="U2502" i="39" s="1"/>
  <c r="V2502" i="39"/>
  <c r="V315" i="39"/>
  <c r="C315" i="39"/>
  <c r="U315" i="39" s="1"/>
  <c r="V124" i="39"/>
  <c r="F125" i="39"/>
  <c r="C124" i="39"/>
  <c r="U124" i="39" s="1"/>
  <c r="F2146" i="39"/>
  <c r="C2145" i="39"/>
  <c r="U2145" i="39" s="1"/>
  <c r="V2145" i="39"/>
  <c r="C426" i="39"/>
  <c r="U426" i="39" s="1"/>
  <c r="V426" i="39"/>
  <c r="C421" i="39"/>
  <c r="U421" i="39" s="1"/>
  <c r="V421" i="39"/>
  <c r="F425" i="39"/>
  <c r="C422" i="39"/>
  <c r="U422" i="39" s="1"/>
  <c r="F2203" i="39"/>
  <c r="V422" i="39"/>
  <c r="C1489" i="39"/>
  <c r="U1489" i="39" s="1"/>
  <c r="F1490" i="39"/>
  <c r="V1489" i="39"/>
  <c r="V2296" i="39"/>
  <c r="C2296" i="39"/>
  <c r="U2296" i="39" s="1"/>
  <c r="C1174" i="39"/>
  <c r="U1174" i="39" s="1"/>
  <c r="V1174" i="39"/>
  <c r="F1175" i="39"/>
  <c r="V2193" i="39"/>
  <c r="C2193" i="39"/>
  <c r="U2193" i="39" s="1"/>
  <c r="C2195" i="39"/>
  <c r="U2195" i="39" s="1"/>
  <c r="V2195" i="39"/>
  <c r="C1646" i="39"/>
  <c r="U1646" i="39" s="1"/>
  <c r="F1647" i="39"/>
  <c r="V1646" i="39"/>
  <c r="C961" i="39"/>
  <c r="U961" i="39" s="1"/>
  <c r="F313" i="39"/>
  <c r="V312" i="39"/>
  <c r="C312" i="39"/>
  <c r="U312" i="39" s="1"/>
  <c r="V961" i="39"/>
  <c r="F1091" i="39"/>
  <c r="C1090" i="39"/>
  <c r="U1090" i="39" s="1"/>
  <c r="V1090" i="39"/>
  <c r="C513" i="39"/>
  <c r="U513" i="39" s="1"/>
  <c r="C1059" i="39"/>
  <c r="U1059" i="39" s="1"/>
  <c r="F1060" i="39"/>
  <c r="V1059" i="39"/>
  <c r="V279" i="39"/>
  <c r="F280" i="39"/>
  <c r="V513" i="39"/>
  <c r="F514" i="39"/>
  <c r="F2349" i="39"/>
  <c r="V2348" i="39"/>
  <c r="C2348" i="39"/>
  <c r="U2348" i="39" s="1"/>
  <c r="V2073" i="39"/>
  <c r="C2073" i="39"/>
  <c r="U2073" i="39" s="1"/>
  <c r="F2074" i="39"/>
  <c r="F1119" i="39"/>
  <c r="V1118" i="39"/>
  <c r="C1118" i="39"/>
  <c r="U1118" i="39" s="1"/>
  <c r="V2641" i="39"/>
  <c r="V1294" i="39"/>
  <c r="V1317" i="39"/>
  <c r="V812" i="39"/>
  <c r="V2640" i="39"/>
  <c r="C812" i="39"/>
  <c r="U812" i="39" s="1"/>
  <c r="F813" i="39"/>
  <c r="V52" i="39"/>
  <c r="F1318" i="39"/>
  <c r="C1317" i="39"/>
  <c r="U1317" i="39" s="1"/>
  <c r="F53" i="39"/>
  <c r="C52" i="39"/>
  <c r="U52" i="39" s="1"/>
  <c r="C2640" i="39"/>
  <c r="U2640" i="39" s="1"/>
  <c r="F1295" i="39"/>
  <c r="C1294" i="39"/>
  <c r="U1294" i="39" s="1"/>
  <c r="C2641" i="39"/>
  <c r="U2641" i="39" s="1"/>
  <c r="F2642" i="39"/>
  <c r="F2643"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F971" i="39"/>
  <c r="AE970" i="39"/>
  <c r="AC970" i="39"/>
  <c r="AA970" i="39"/>
  <c r="C970" i="39"/>
  <c r="U970" i="39" s="1"/>
  <c r="AA1434" i="39"/>
  <c r="AC1434" i="39"/>
  <c r="C1762" i="39" l="1"/>
  <c r="U1762" i="39" s="1"/>
  <c r="F1763" i="39"/>
  <c r="V1762" i="39"/>
  <c r="V1239" i="39"/>
  <c r="C1239" i="39"/>
  <c r="U1239" i="39" s="1"/>
  <c r="F1240" i="39"/>
  <c r="V1569" i="39"/>
  <c r="F1570" i="39"/>
  <c r="C1569" i="39"/>
  <c r="U1569" i="39" s="1"/>
  <c r="C280" i="39"/>
  <c r="U280" i="39" s="1"/>
  <c r="V667" i="39"/>
  <c r="F668" i="39"/>
  <c r="C667" i="39"/>
  <c r="U667" i="39" s="1"/>
  <c r="V2503" i="39"/>
  <c r="C2503" i="39"/>
  <c r="U2503" i="39" s="1"/>
  <c r="V125" i="39"/>
  <c r="C125" i="39"/>
  <c r="U125" i="39" s="1"/>
  <c r="F126" i="39"/>
  <c r="C2146" i="39"/>
  <c r="U2146" i="39" s="1"/>
  <c r="V2146" i="39"/>
  <c r="F2147" i="39"/>
  <c r="C425" i="39"/>
  <c r="U425" i="39" s="1"/>
  <c r="V425" i="39"/>
  <c r="F2204" i="39"/>
  <c r="F1491" i="39"/>
  <c r="C1490" i="39"/>
  <c r="U1490" i="39" s="1"/>
  <c r="V1490" i="39"/>
  <c r="F1176" i="39"/>
  <c r="V1175" i="39"/>
  <c r="C1175" i="39"/>
  <c r="U1175" i="39" s="1"/>
  <c r="V2196" i="39"/>
  <c r="C2196" i="39"/>
  <c r="U2196" i="39" s="1"/>
  <c r="C313" i="39"/>
  <c r="U313" i="39" s="1"/>
  <c r="F1648" i="39"/>
  <c r="C1647" i="39"/>
  <c r="U1647" i="39" s="1"/>
  <c r="V1647" i="39"/>
  <c r="V313" i="39"/>
  <c r="F1092" i="39"/>
  <c r="V1091" i="39"/>
  <c r="C1091" i="39"/>
  <c r="U1091" i="39" s="1"/>
  <c r="C514" i="39"/>
  <c r="U514" i="39" s="1"/>
  <c r="V280" i="39"/>
  <c r="V1060" i="39"/>
  <c r="C1060" i="39"/>
  <c r="U1060" i="39" s="1"/>
  <c r="F1061" i="39"/>
  <c r="V514" i="39"/>
  <c r="F281" i="39"/>
  <c r="C2349" i="39"/>
  <c r="U2349" i="39" s="1"/>
  <c r="F2350" i="39"/>
  <c r="V2349" i="39"/>
  <c r="F2075" i="39"/>
  <c r="C2074" i="39"/>
  <c r="U2074" i="39" s="1"/>
  <c r="V2074" i="39"/>
  <c r="C1119" i="39"/>
  <c r="U1119" i="39" s="1"/>
  <c r="F1120" i="39"/>
  <c r="V1119" i="39"/>
  <c r="V813" i="39"/>
  <c r="V971" i="39"/>
  <c r="V2642" i="39"/>
  <c r="V1318" i="39"/>
  <c r="V2643" i="39"/>
  <c r="V1295" i="39"/>
  <c r="F814" i="39"/>
  <c r="C813" i="39"/>
  <c r="U813" i="39" s="1"/>
  <c r="C1318" i="39"/>
  <c r="U1318" i="39" s="1"/>
  <c r="F1319" i="39"/>
  <c r="V53" i="39"/>
  <c r="C53" i="39"/>
  <c r="U53" i="39" s="1"/>
  <c r="F54" i="39"/>
  <c r="F2644" i="39"/>
  <c r="C1295" i="39"/>
  <c r="U1295" i="39" s="1"/>
  <c r="F1296" i="39"/>
  <c r="C2642" i="39"/>
  <c r="U2642" i="39" s="1"/>
  <c r="F2645" i="39"/>
  <c r="C2643" i="39"/>
  <c r="U2643" i="39" s="1"/>
  <c r="F972" i="39"/>
  <c r="C971" i="39"/>
  <c r="U971" i="39" s="1"/>
  <c r="AE1386" i="39"/>
  <c r="AC1386" i="39"/>
  <c r="AA1386" i="39"/>
  <c r="AE1384" i="39"/>
  <c r="AC1384" i="39"/>
  <c r="AA1384" i="39"/>
  <c r="AE1385" i="39"/>
  <c r="AC1385" i="39"/>
  <c r="AA1385" i="39"/>
  <c r="AE1437" i="39"/>
  <c r="AC1437" i="39"/>
  <c r="AA1437" i="39"/>
  <c r="AE1436" i="39"/>
  <c r="AC1436" i="39"/>
  <c r="AA1436" i="39"/>
  <c r="AE1435" i="39"/>
  <c r="AC1435" i="39"/>
  <c r="AA1435" i="39"/>
  <c r="AE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F1376" i="39"/>
  <c r="AE1375" i="39"/>
  <c r="AC1375" i="39"/>
  <c r="AA1375" i="39"/>
  <c r="C1375" i="39"/>
  <c r="U1375" i="39" s="1"/>
  <c r="C1763" i="39" l="1"/>
  <c r="U1763" i="39" s="1"/>
  <c r="F1764" i="39"/>
  <c r="V1763" i="39"/>
  <c r="F1241" i="39"/>
  <c r="V1240" i="39"/>
  <c r="C1240" i="39"/>
  <c r="U1240" i="39" s="1"/>
  <c r="F1571" i="39"/>
  <c r="V1570" i="39"/>
  <c r="C1570" i="39"/>
  <c r="U1570" i="39" s="1"/>
  <c r="C281" i="39"/>
  <c r="U281" i="39" s="1"/>
  <c r="C668" i="39"/>
  <c r="U668" i="39" s="1"/>
  <c r="V668" i="39"/>
  <c r="F669" i="39"/>
  <c r="C2504" i="39"/>
  <c r="U2504" i="39" s="1"/>
  <c r="V2504" i="39"/>
  <c r="F127" i="39"/>
  <c r="V126" i="39"/>
  <c r="C126" i="39"/>
  <c r="U126" i="39" s="1"/>
  <c r="V2147" i="39"/>
  <c r="F2148" i="39"/>
  <c r="C2147" i="39"/>
  <c r="U2147" i="39" s="1"/>
  <c r="F1492" i="39"/>
  <c r="C1491" i="39"/>
  <c r="U1491" i="39" s="1"/>
  <c r="F2205" i="39"/>
  <c r="V1491" i="39"/>
  <c r="V1176" i="39"/>
  <c r="C1176" i="39"/>
  <c r="U1176" i="39" s="1"/>
  <c r="F1177" i="39"/>
  <c r="V2197" i="39"/>
  <c r="C2197" i="39"/>
  <c r="U2197" i="39" s="1"/>
  <c r="V1648" i="39"/>
  <c r="F1649" i="39"/>
  <c r="C1648" i="39"/>
  <c r="U1648" i="39" s="1"/>
  <c r="V1092" i="39"/>
  <c r="C1092" i="39"/>
  <c r="U1092" i="39" s="1"/>
  <c r="F1093" i="39"/>
  <c r="V281" i="39"/>
  <c r="F282" i="39"/>
  <c r="C1061" i="39"/>
  <c r="U1061" i="39" s="1"/>
  <c r="F1062" i="39"/>
  <c r="V1061" i="39"/>
  <c r="F2351" i="39"/>
  <c r="V2350" i="39"/>
  <c r="C2350" i="39"/>
  <c r="U2350" i="39" s="1"/>
  <c r="F2076" i="39"/>
  <c r="V2075" i="39"/>
  <c r="C2075" i="39"/>
  <c r="U2075" i="39" s="1"/>
  <c r="F1121" i="39"/>
  <c r="V1120" i="39"/>
  <c r="C1120" i="39"/>
  <c r="U1120" i="39" s="1"/>
  <c r="V1296" i="39"/>
  <c r="V2644" i="39"/>
  <c r="V1319" i="39"/>
  <c r="V814" i="39"/>
  <c r="V972" i="39"/>
  <c r="V1376" i="39"/>
  <c r="V2645" i="39"/>
  <c r="C814" i="39"/>
  <c r="U814" i="39" s="1"/>
  <c r="C1319" i="39"/>
  <c r="U1319" i="39" s="1"/>
  <c r="F1320" i="39"/>
  <c r="F815" i="39"/>
  <c r="F55" i="39"/>
  <c r="V54" i="39"/>
  <c r="C54" i="39"/>
  <c r="U54" i="39" s="1"/>
  <c r="F2646" i="39"/>
  <c r="C2644" i="39"/>
  <c r="U2644" i="39" s="1"/>
  <c r="C1296" i="39"/>
  <c r="U1296" i="39" s="1"/>
  <c r="F1297" i="39"/>
  <c r="F973" i="39"/>
  <c r="C972" i="39"/>
  <c r="U972" i="39" s="1"/>
  <c r="C1376" i="39"/>
  <c r="U1376" i="39" s="1"/>
  <c r="F2647" i="39"/>
  <c r="C2645" i="39"/>
  <c r="U2645" i="39" s="1"/>
  <c r="F1377" i="39"/>
  <c r="C1764" i="39" l="1"/>
  <c r="U1764" i="39" s="1"/>
  <c r="V1764" i="39"/>
  <c r="F1765" i="39"/>
  <c r="F1572" i="39"/>
  <c r="V1571" i="39"/>
  <c r="C1571" i="39"/>
  <c r="U1571" i="39" s="1"/>
  <c r="V1241" i="39"/>
  <c r="C1241" i="39"/>
  <c r="U1241" i="39" s="1"/>
  <c r="F1242" i="39"/>
  <c r="C282" i="39"/>
  <c r="U282" i="39" s="1"/>
  <c r="C669" i="39"/>
  <c r="U669" i="39" s="1"/>
  <c r="V669" i="39"/>
  <c r="F128" i="39"/>
  <c r="C127" i="39"/>
  <c r="U127" i="39" s="1"/>
  <c r="V127" i="39"/>
  <c r="F2149" i="39"/>
  <c r="V2148" i="39"/>
  <c r="C2148" i="39"/>
  <c r="U2148" i="39" s="1"/>
  <c r="V1492" i="39"/>
  <c r="F1493" i="39"/>
  <c r="C1492" i="39"/>
  <c r="U1492" i="39" s="1"/>
  <c r="F2206" i="39"/>
  <c r="V1177" i="39"/>
  <c r="C1177" i="39"/>
  <c r="U1177" i="39" s="1"/>
  <c r="V2198" i="39"/>
  <c r="C2198" i="39"/>
  <c r="U2198" i="39" s="1"/>
  <c r="C1649" i="39"/>
  <c r="U1649" i="39" s="1"/>
  <c r="F1650" i="39"/>
  <c r="V1649" i="39"/>
  <c r="F1094" i="39"/>
  <c r="V1093" i="39"/>
  <c r="C1093" i="39"/>
  <c r="U1093" i="39" s="1"/>
  <c r="V282" i="39"/>
  <c r="V1062" i="39"/>
  <c r="C1062" i="39"/>
  <c r="U1062" i="39" s="1"/>
  <c r="F1063" i="39"/>
  <c r="C2351" i="39"/>
  <c r="U2351" i="39" s="1"/>
  <c r="F2352" i="39"/>
  <c r="V2351" i="39"/>
  <c r="F2077" i="39"/>
  <c r="C2076" i="39"/>
  <c r="U2076" i="39" s="1"/>
  <c r="V2076" i="39"/>
  <c r="C1121" i="39"/>
  <c r="U1121" i="39" s="1"/>
  <c r="F1122" i="39"/>
  <c r="V1121" i="39"/>
  <c r="V1297" i="39"/>
  <c r="V1377" i="39"/>
  <c r="V973" i="39"/>
  <c r="V815" i="39"/>
  <c r="V1320" i="39"/>
  <c r="V2646" i="39"/>
  <c r="V2647" i="39"/>
  <c r="F1321" i="39"/>
  <c r="C1320" i="39"/>
  <c r="U1320" i="39" s="1"/>
  <c r="F816" i="39"/>
  <c r="C815" i="39"/>
  <c r="U815" i="39" s="1"/>
  <c r="V55" i="39"/>
  <c r="C55" i="39"/>
  <c r="U55" i="39" s="1"/>
  <c r="F56" i="39"/>
  <c r="C2646" i="39"/>
  <c r="U2646" i="39" s="1"/>
  <c r="C1297" i="39"/>
  <c r="U1297" i="39" s="1"/>
  <c r="F1298" i="39"/>
  <c r="F2648" i="39"/>
  <c r="F974" i="39"/>
  <c r="C973" i="39"/>
  <c r="U973" i="39" s="1"/>
  <c r="C2647" i="39"/>
  <c r="U2647" i="39" s="1"/>
  <c r="C1377" i="39"/>
  <c r="U1377" i="39" s="1"/>
  <c r="F1378" i="39"/>
  <c r="C1765" i="39" l="1"/>
  <c r="U1765" i="39" s="1"/>
  <c r="F1766" i="39"/>
  <c r="V1765" i="39"/>
  <c r="F1573" i="39"/>
  <c r="C1572" i="39"/>
  <c r="U1572" i="39" s="1"/>
  <c r="V1572" i="39"/>
  <c r="F1243" i="39"/>
  <c r="V1242" i="39"/>
  <c r="C1242" i="39"/>
  <c r="U1242" i="39" s="1"/>
  <c r="V128" i="39"/>
  <c r="F129" i="39"/>
  <c r="C128" i="39"/>
  <c r="U128" i="39" s="1"/>
  <c r="F2150" i="39"/>
  <c r="V2149" i="39"/>
  <c r="C2149" i="39"/>
  <c r="U2149" i="39" s="1"/>
  <c r="C1493" i="39"/>
  <c r="U1493" i="39" s="1"/>
  <c r="V1493" i="39"/>
  <c r="F2207" i="39"/>
  <c r="F1494" i="39"/>
  <c r="C2199" i="39"/>
  <c r="U2199" i="39" s="1"/>
  <c r="V2199" i="39"/>
  <c r="C1650" i="39"/>
  <c r="U1650" i="39" s="1"/>
  <c r="V1650" i="39"/>
  <c r="C1094" i="39"/>
  <c r="U1094" i="39" s="1"/>
  <c r="F1095" i="39"/>
  <c r="V1094" i="39"/>
  <c r="C1063" i="39"/>
  <c r="U1063" i="39" s="1"/>
  <c r="F1064" i="39"/>
  <c r="V1063" i="39"/>
  <c r="F2353" i="39"/>
  <c r="V2352" i="39"/>
  <c r="C2352" i="39"/>
  <c r="U2352" i="39" s="1"/>
  <c r="F2078" i="39"/>
  <c r="V2077" i="39"/>
  <c r="C2077" i="39"/>
  <c r="U2077" i="39" s="1"/>
  <c r="F1123" i="39"/>
  <c r="V1122" i="39"/>
  <c r="C1122" i="39"/>
  <c r="U1122" i="39" s="1"/>
  <c r="V974" i="39"/>
  <c r="V1298" i="39"/>
  <c r="V816" i="39"/>
  <c r="V1378" i="39"/>
  <c r="V2648" i="39"/>
  <c r="V1321" i="39"/>
  <c r="C1321" i="39"/>
  <c r="U1321" i="39" s="1"/>
  <c r="F1322" i="39"/>
  <c r="C816" i="39"/>
  <c r="U816" i="39" s="1"/>
  <c r="F817" i="39"/>
  <c r="V56" i="39"/>
  <c r="C56" i="39"/>
  <c r="U56" i="39" s="1"/>
  <c r="C1298" i="39"/>
  <c r="U1298" i="39" s="1"/>
  <c r="F1299" i="39"/>
  <c r="F57" i="39"/>
  <c r="C2648" i="39"/>
  <c r="U2648" i="39" s="1"/>
  <c r="C974" i="39"/>
  <c r="U974" i="39" s="1"/>
  <c r="F975" i="39"/>
  <c r="C1378" i="39"/>
  <c r="U1378" i="39" s="1"/>
  <c r="F1379" i="39"/>
  <c r="F2269" i="39"/>
  <c r="AE2268" i="39"/>
  <c r="AC2268" i="39"/>
  <c r="AA2268" i="39"/>
  <c r="C2268" i="39"/>
  <c r="U2268" i="39" s="1"/>
  <c r="AE2271" i="39"/>
  <c r="AC2271" i="39"/>
  <c r="AA2271" i="39"/>
  <c r="AE2270" i="39"/>
  <c r="AC2270" i="39"/>
  <c r="AA2270" i="39"/>
  <c r="AE2269" i="39"/>
  <c r="AC2269" i="39"/>
  <c r="AA2269" i="39"/>
  <c r="C1766" i="39" l="1"/>
  <c r="U1766" i="39" s="1"/>
  <c r="F1767" i="39"/>
  <c r="V1766" i="39"/>
  <c r="V1573" i="39"/>
  <c r="C1573" i="39"/>
  <c r="U1573" i="39" s="1"/>
  <c r="F1574" i="39"/>
  <c r="C1243" i="39"/>
  <c r="U1243" i="39" s="1"/>
  <c r="F1244" i="39"/>
  <c r="V1243" i="39"/>
  <c r="F130" i="39"/>
  <c r="V129" i="39"/>
  <c r="C129" i="39"/>
  <c r="U129" i="39" s="1"/>
  <c r="C2150" i="39"/>
  <c r="U2150" i="39" s="1"/>
  <c r="V2150" i="39"/>
  <c r="F2208" i="39"/>
  <c r="F1495" i="39"/>
  <c r="C1494" i="39"/>
  <c r="U1494" i="39" s="1"/>
  <c r="V1494" i="39"/>
  <c r="V2200" i="39"/>
  <c r="C2200" i="39"/>
  <c r="U2200" i="39" s="1"/>
  <c r="F1096" i="39"/>
  <c r="V1095" i="39"/>
  <c r="C1095" i="39"/>
  <c r="U1095" i="39" s="1"/>
  <c r="V1064" i="39"/>
  <c r="C1064" i="39"/>
  <c r="U1064" i="39" s="1"/>
  <c r="F1065" i="39"/>
  <c r="C2353" i="39"/>
  <c r="U2353" i="39" s="1"/>
  <c r="F2354" i="39"/>
  <c r="V2353" i="39"/>
  <c r="F2079" i="39"/>
  <c r="C2078" i="39"/>
  <c r="U2078" i="39" s="1"/>
  <c r="V2078" i="39"/>
  <c r="C1123" i="39"/>
  <c r="U1123" i="39" s="1"/>
  <c r="F1124" i="39"/>
  <c r="V1123" i="39"/>
  <c r="V975" i="39"/>
  <c r="V2269" i="39"/>
  <c r="V817" i="39"/>
  <c r="V1299" i="39"/>
  <c r="V1322" i="39"/>
  <c r="V1379" i="39"/>
  <c r="F1323" i="39"/>
  <c r="C1322" i="39"/>
  <c r="U1322" i="39" s="1"/>
  <c r="C817" i="39"/>
  <c r="U817" i="39" s="1"/>
  <c r="F818" i="39"/>
  <c r="C1299" i="39"/>
  <c r="U1299" i="39" s="1"/>
  <c r="V57" i="39"/>
  <c r="F58" i="39"/>
  <c r="C57" i="39"/>
  <c r="U57" i="39" s="1"/>
  <c r="F976" i="39"/>
  <c r="C975" i="39"/>
  <c r="U975" i="39" s="1"/>
  <c r="C1379" i="39"/>
  <c r="U1379" i="39" s="1"/>
  <c r="F1380" i="39"/>
  <c r="F2270" i="39"/>
  <c r="C2269" i="39"/>
  <c r="U2269" i="39" s="1"/>
  <c r="AE2469" i="39"/>
  <c r="AC2469" i="39"/>
  <c r="AA2469" i="39"/>
  <c r="AE2468" i="39"/>
  <c r="AC2468" i="39"/>
  <c r="AA2468" i="39"/>
  <c r="AE2467" i="39"/>
  <c r="AC2467" i="39"/>
  <c r="AA2467" i="39"/>
  <c r="AE2466" i="39"/>
  <c r="AC2466" i="39"/>
  <c r="AA2466" i="39"/>
  <c r="F2466" i="39"/>
  <c r="AE2465" i="39"/>
  <c r="AC2465" i="39"/>
  <c r="AA2465" i="39"/>
  <c r="C2465" i="39"/>
  <c r="U2465"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67" i="39" l="1"/>
  <c r="U1767" i="39" s="1"/>
  <c r="F1768" i="39"/>
  <c r="V1767" i="39"/>
  <c r="C1574" i="39"/>
  <c r="U1574" i="39" s="1"/>
  <c r="F1575" i="39"/>
  <c r="V1574" i="39"/>
  <c r="F1245" i="39"/>
  <c r="V1244" i="39"/>
  <c r="C1244" i="39"/>
  <c r="U1244" i="39" s="1"/>
  <c r="V130" i="39"/>
  <c r="C130" i="39"/>
  <c r="U130" i="39" s="1"/>
  <c r="F131" i="39"/>
  <c r="F2209" i="39"/>
  <c r="F1496" i="39"/>
  <c r="C1495" i="39"/>
  <c r="U1495" i="39" s="1"/>
  <c r="V1495" i="39"/>
  <c r="V2201" i="39"/>
  <c r="C2201" i="39"/>
  <c r="U2201" i="39" s="1"/>
  <c r="C1096" i="39"/>
  <c r="U1096" i="39" s="1"/>
  <c r="F1097" i="39"/>
  <c r="V1096" i="39"/>
  <c r="C1065" i="39"/>
  <c r="U1065" i="39" s="1"/>
  <c r="F1066" i="39"/>
  <c r="V1065" i="39"/>
  <c r="V2354" i="39"/>
  <c r="F2355" i="39"/>
  <c r="C2354" i="39"/>
  <c r="U2354" i="39" s="1"/>
  <c r="F2080" i="39"/>
  <c r="V2079" i="39"/>
  <c r="C2079" i="39"/>
  <c r="U2079" i="39" s="1"/>
  <c r="F1125" i="39"/>
  <c r="V1124" i="39"/>
  <c r="C1124" i="39"/>
  <c r="U1124" i="39" s="1"/>
  <c r="F1324" i="39"/>
  <c r="C1323" i="39"/>
  <c r="U1323" i="39" s="1"/>
  <c r="V818" i="39"/>
  <c r="V1323" i="39"/>
  <c r="V976" i="39"/>
  <c r="V2466" i="39"/>
  <c r="V1380" i="39"/>
  <c r="V2270" i="39"/>
  <c r="V481" i="39"/>
  <c r="F819" i="39"/>
  <c r="C818" i="39"/>
  <c r="U818" i="39" s="1"/>
  <c r="V58" i="39"/>
  <c r="C58" i="39"/>
  <c r="U58" i="39" s="1"/>
  <c r="F59" i="39"/>
  <c r="C976" i="39"/>
  <c r="U976" i="39" s="1"/>
  <c r="F977" i="39"/>
  <c r="C1380" i="39"/>
  <c r="U1380" i="39" s="1"/>
  <c r="F1381" i="39"/>
  <c r="C2270" i="39"/>
  <c r="U2270" i="39" s="1"/>
  <c r="F2271" i="39"/>
  <c r="C2466" i="39"/>
  <c r="U2466" i="39" s="1"/>
  <c r="F2467" i="39"/>
  <c r="F482" i="39"/>
  <c r="C481" i="39"/>
  <c r="U481" i="39" s="1"/>
  <c r="AE2607" i="39"/>
  <c r="AC2607" i="39"/>
  <c r="AA2607" i="39"/>
  <c r="AE2605" i="39"/>
  <c r="AC2605" i="39"/>
  <c r="AA2605" i="39"/>
  <c r="AE2606" i="39"/>
  <c r="AC2606" i="39"/>
  <c r="AA2606" i="39"/>
  <c r="AE2604" i="39"/>
  <c r="AC2604" i="39"/>
  <c r="AA2604" i="39"/>
  <c r="AE318" i="39"/>
  <c r="AC318" i="39"/>
  <c r="AA318" i="39"/>
  <c r="F318" i="39"/>
  <c r="AE2461" i="39"/>
  <c r="AC2461" i="39"/>
  <c r="AA2461" i="39"/>
  <c r="AE2460" i="39"/>
  <c r="AC2460" i="39"/>
  <c r="AA2460" i="39"/>
  <c r="AE2464" i="39"/>
  <c r="AC2464" i="39"/>
  <c r="AA2464" i="39"/>
  <c r="AE2463" i="39"/>
  <c r="AC2463" i="39"/>
  <c r="AA2463" i="39"/>
  <c r="AE2462" i="39"/>
  <c r="AC2462" i="39"/>
  <c r="AA2462" i="39"/>
  <c r="AE2459" i="39"/>
  <c r="AC2459" i="39"/>
  <c r="AA2459" i="39"/>
  <c r="F2459" i="39"/>
  <c r="AE2458" i="39"/>
  <c r="AC2458" i="39"/>
  <c r="AA2458" i="39"/>
  <c r="C2458" i="39"/>
  <c r="U2458" i="39" s="1"/>
  <c r="AE2365" i="39"/>
  <c r="AC2365" i="39"/>
  <c r="AA2365" i="39"/>
  <c r="AE2366" i="39"/>
  <c r="AC2366" i="39"/>
  <c r="AA2366" i="39"/>
  <c r="AE2376" i="39"/>
  <c r="AC2376" i="39"/>
  <c r="AA2376" i="39"/>
  <c r="AE701" i="39"/>
  <c r="AC701" i="39"/>
  <c r="AA701" i="39"/>
  <c r="F1314" i="39"/>
  <c r="C1313" i="39"/>
  <c r="U1313" i="39" s="1"/>
  <c r="AE1313" i="39"/>
  <c r="AC1313" i="39"/>
  <c r="AA1313" i="39"/>
  <c r="AE1314" i="39"/>
  <c r="AC1314" i="39"/>
  <c r="AA1314" i="39"/>
  <c r="AE2675" i="39"/>
  <c r="AC2675" i="39"/>
  <c r="AA2675" i="39"/>
  <c r="F2675" i="39"/>
  <c r="AE2674" i="39"/>
  <c r="AC2674" i="39"/>
  <c r="AA2674" i="39"/>
  <c r="C2674" i="39"/>
  <c r="U2674" i="39" s="1"/>
  <c r="AE2370" i="39"/>
  <c r="AC2370" i="39"/>
  <c r="AA237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0" i="39"/>
  <c r="AE991" i="39"/>
  <c r="AE992" i="39"/>
  <c r="AE993"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282" i="39"/>
  <c r="AE1283" i="39"/>
  <c r="AE1284" i="39"/>
  <c r="AE1285" i="39"/>
  <c r="AE1286" i="39"/>
  <c r="AE1287" i="39"/>
  <c r="AE1288" i="39"/>
  <c r="AE1289" i="39"/>
  <c r="AE1290" i="39"/>
  <c r="AE1291" i="39"/>
  <c r="AE1292" i="39"/>
  <c r="AE1438" i="39"/>
  <c r="AE1439" i="39"/>
  <c r="AE1440" i="39"/>
  <c r="AE1441" i="39"/>
  <c r="AE1442" i="39"/>
  <c r="AE1443" i="39"/>
  <c r="AE1444" i="39"/>
  <c r="AE1445" i="39"/>
  <c r="AE1446" i="39"/>
  <c r="AE1447" i="39"/>
  <c r="AE1448" i="39"/>
  <c r="AE1449" i="39"/>
  <c r="AE1450" i="39"/>
  <c r="AE1451" i="39"/>
  <c r="AE1452" i="39"/>
  <c r="AE1453" i="39"/>
  <c r="AE1508" i="39"/>
  <c r="AE1509" i="39"/>
  <c r="AE1510" i="39"/>
  <c r="AE1511" i="39"/>
  <c r="AE1512" i="39"/>
  <c r="AE1513" i="39"/>
  <c r="AE1514" i="39"/>
  <c r="AE1515" i="39"/>
  <c r="AE1516" i="39"/>
  <c r="AE1517" i="39"/>
  <c r="AE1518" i="39"/>
  <c r="AE1519" i="39"/>
  <c r="AE1520" i="39"/>
  <c r="AE1521" i="39"/>
  <c r="AE1523" i="39"/>
  <c r="AE1524" i="39"/>
  <c r="AE1525" i="39"/>
  <c r="AE1526" i="39"/>
  <c r="AE1527" i="39"/>
  <c r="AE1528" i="39"/>
  <c r="AE1529" i="39"/>
  <c r="AE1530" i="39"/>
  <c r="AE1531" i="39"/>
  <c r="AE1532" i="39"/>
  <c r="AE1533" i="39"/>
  <c r="AE1534" i="39"/>
  <c r="AE1535" i="39"/>
  <c r="AE1536" i="39"/>
  <c r="AE1537" i="39"/>
  <c r="AE1599" i="39"/>
  <c r="AE1600" i="39"/>
  <c r="AE1601" i="39"/>
  <c r="AE1616" i="39"/>
  <c r="AE1617" i="39"/>
  <c r="AE1618" i="39"/>
  <c r="AE1619" i="39"/>
  <c r="AE1634" i="39"/>
  <c r="AE1635" i="39"/>
  <c r="AE1636" i="39"/>
  <c r="AE1637" i="39"/>
  <c r="AE1638" i="39"/>
  <c r="AE1639" i="39"/>
  <c r="AE1651" i="39"/>
  <c r="AE1652" i="39"/>
  <c r="AE1653" i="39"/>
  <c r="AE1654" i="39"/>
  <c r="AE1655" i="39"/>
  <c r="AE1656" i="39"/>
  <c r="AE1657" i="39"/>
  <c r="AE1658" i="39"/>
  <c r="AE1660" i="39"/>
  <c r="AE1661" i="39"/>
  <c r="AE1662" i="39"/>
  <c r="AE1663" i="39"/>
  <c r="AE1664" i="39"/>
  <c r="AE1665" i="39"/>
  <c r="AE1666" i="39"/>
  <c r="AE1667" i="39"/>
  <c r="AE1668" i="39"/>
  <c r="AE1669" i="39"/>
  <c r="AE1671" i="39"/>
  <c r="AE1672" i="39"/>
  <c r="AE1673" i="39"/>
  <c r="AE1674" i="39"/>
  <c r="AE1675" i="39"/>
  <c r="AE1676" i="39"/>
  <c r="AE1677" i="39"/>
  <c r="AE1678" i="39"/>
  <c r="AE1679" i="39"/>
  <c r="AE1680" i="39"/>
  <c r="AE1681" i="39"/>
  <c r="AE1682" i="39"/>
  <c r="AE1683"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51" i="39"/>
  <c r="AE2152" i="39"/>
  <c r="AE2153" i="39"/>
  <c r="AE2154" i="39"/>
  <c r="AE2155" i="39"/>
  <c r="AE2156" i="39"/>
  <c r="AE2181" i="39"/>
  <c r="AE2182" i="39"/>
  <c r="AE2183" i="39"/>
  <c r="AE2184" i="39"/>
  <c r="AE2185" i="39"/>
  <c r="AE2186" i="39"/>
  <c r="AE2264" i="39"/>
  <c r="AE2265" i="39"/>
  <c r="AE2266" i="39"/>
  <c r="AE2267" i="39"/>
  <c r="AE2297" i="39"/>
  <c r="AE2298" i="39"/>
  <c r="AE2299" i="39"/>
  <c r="AE2300" i="39"/>
  <c r="AE2301" i="39"/>
  <c r="AE2302" i="39"/>
  <c r="AE2303" i="39"/>
  <c r="AE2304" i="39"/>
  <c r="AE2305" i="39"/>
  <c r="AE2307" i="39"/>
  <c r="AE2308" i="39"/>
  <c r="AE2309" i="39"/>
  <c r="AE2310" i="39"/>
  <c r="AE2311" i="39"/>
  <c r="AE2312" i="39"/>
  <c r="AE2337" i="39"/>
  <c r="AE2338" i="39"/>
  <c r="AE2339" i="39"/>
  <c r="AE2340" i="39"/>
  <c r="AE2341" i="39"/>
  <c r="AE2362" i="39"/>
  <c r="AE2363" i="39"/>
  <c r="AE2364" i="39"/>
  <c r="AE2367" i="39"/>
  <c r="AE2369" i="39"/>
  <c r="AE2371" i="39"/>
  <c r="AE2372" i="39"/>
  <c r="AE2373" i="39"/>
  <c r="AE2374" i="39"/>
  <c r="AE2375"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3" i="39"/>
  <c r="AE2444" i="39"/>
  <c r="AE2445" i="39"/>
  <c r="AE2446" i="39"/>
  <c r="AE2447" i="39"/>
  <c r="AE2448" i="39"/>
  <c r="AE2449" i="39"/>
  <c r="AE2450" i="39"/>
  <c r="AE2451" i="39"/>
  <c r="AE2452" i="39"/>
  <c r="AE2453" i="39"/>
  <c r="AE2454" i="39"/>
  <c r="AE2455" i="39"/>
  <c r="AE2456" i="39"/>
  <c r="AE2457" i="39"/>
  <c r="AE2512" i="39"/>
  <c r="AE2513"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88" i="39"/>
  <c r="AE2589" i="39"/>
  <c r="AE2590" i="39"/>
  <c r="AE2591" i="39"/>
  <c r="AE2592" i="39"/>
  <c r="AE2593" i="39"/>
  <c r="AE2594" i="39"/>
  <c r="AE2595" i="39"/>
  <c r="AE2596" i="39"/>
  <c r="AE2597" i="39"/>
  <c r="AE2598" i="39"/>
  <c r="AE2600" i="39"/>
  <c r="AE2601" i="39"/>
  <c r="AE2602" i="39"/>
  <c r="AE2603" i="39"/>
  <c r="AE2608" i="39"/>
  <c r="AE2609" i="39"/>
  <c r="AE2610" i="39"/>
  <c r="AE2611" i="39"/>
  <c r="AE2612" i="39"/>
  <c r="AE2613" i="39"/>
  <c r="AE2614" i="39"/>
  <c r="AE2615" i="39"/>
  <c r="AE2616" i="39"/>
  <c r="AE2617" i="39"/>
  <c r="AE2618" i="39"/>
  <c r="AE2619" i="39"/>
  <c r="AE2620" i="39"/>
  <c r="AE2621" i="39"/>
  <c r="AE2622" i="39"/>
  <c r="AE2623" i="39"/>
  <c r="AE2624" i="39"/>
  <c r="AE2625" i="39"/>
  <c r="AE2626" i="39"/>
  <c r="AE2629" i="39"/>
  <c r="AE2630" i="39"/>
  <c r="AE2633" i="39"/>
  <c r="AE2636" i="39"/>
  <c r="AE2658" i="39"/>
  <c r="AE2659" i="39"/>
  <c r="AE2660" i="39"/>
  <c r="AE2661" i="39"/>
  <c r="AE2662" i="39"/>
  <c r="AE2663" i="39"/>
  <c r="AE2664" i="39"/>
  <c r="AE2665" i="39"/>
  <c r="AE2666" i="39"/>
  <c r="AE2667" i="39"/>
  <c r="AE2668" i="39"/>
  <c r="AE2669" i="39"/>
  <c r="AE2670" i="39"/>
  <c r="AE2671" i="39"/>
  <c r="AE2672" i="39"/>
  <c r="AE2673" i="39"/>
  <c r="AE2676" i="39"/>
  <c r="AE2677" i="39"/>
  <c r="AE2678" i="39"/>
  <c r="AE2679" i="39"/>
  <c r="AE2680" i="39"/>
  <c r="AE2681" i="39"/>
  <c r="AE2682" i="39"/>
  <c r="AE2683" i="39"/>
  <c r="AE2684" i="39"/>
  <c r="AE2685" i="39"/>
  <c r="AE2686" i="39"/>
  <c r="AE2687" i="39"/>
  <c r="AE2688" i="39"/>
  <c r="AE2689" i="39"/>
  <c r="AE2696" i="39"/>
  <c r="AE2697" i="39"/>
  <c r="AE2698" i="39"/>
  <c r="AE2699" i="39"/>
  <c r="AE2700" i="39"/>
  <c r="AE2701" i="39"/>
  <c r="AE2702"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68" i="39" l="1"/>
  <c r="U1768" i="39" s="1"/>
  <c r="V1768" i="39"/>
  <c r="F1769" i="39"/>
  <c r="F1576" i="39"/>
  <c r="V1575" i="39"/>
  <c r="C1575" i="39"/>
  <c r="U1575" i="39" s="1"/>
  <c r="C1245" i="39"/>
  <c r="U1245" i="39" s="1"/>
  <c r="F1246" i="39"/>
  <c r="V1245" i="39"/>
  <c r="V131" i="39"/>
  <c r="C131" i="39"/>
  <c r="U131" i="39" s="1"/>
  <c r="F132" i="39"/>
  <c r="F1497" i="39"/>
  <c r="F2210" i="39"/>
  <c r="V1496" i="39"/>
  <c r="C1496" i="39"/>
  <c r="U1496" i="39" s="1"/>
  <c r="V2202" i="39"/>
  <c r="C2202" i="39"/>
  <c r="U2202" i="39" s="1"/>
  <c r="F1098" i="39"/>
  <c r="V1097" i="39"/>
  <c r="C1097" i="39"/>
  <c r="U1097" i="39" s="1"/>
  <c r="C1066" i="39"/>
  <c r="U1066" i="39" s="1"/>
  <c r="F1067" i="39"/>
  <c r="V1066" i="39"/>
  <c r="F2356" i="39"/>
  <c r="C2355" i="39"/>
  <c r="U2355" i="39" s="1"/>
  <c r="V2355" i="39"/>
  <c r="F2081" i="39"/>
  <c r="C2080" i="39"/>
  <c r="U2080" i="39" s="1"/>
  <c r="V2080" i="39"/>
  <c r="C1324" i="39"/>
  <c r="U1324" i="39" s="1"/>
  <c r="C1125" i="39"/>
  <c r="U1125" i="39" s="1"/>
  <c r="F1126" i="39"/>
  <c r="V1125" i="39"/>
  <c r="F1325" i="39"/>
  <c r="V1324" i="39"/>
  <c r="V1314" i="39"/>
  <c r="V1381" i="39"/>
  <c r="V2271" i="39"/>
  <c r="V2675" i="39"/>
  <c r="V2459" i="39"/>
  <c r="V977" i="39"/>
  <c r="V482" i="39"/>
  <c r="V819" i="39"/>
  <c r="V529" i="39"/>
  <c r="V318" i="39"/>
  <c r="V2467" i="39"/>
  <c r="C819" i="39"/>
  <c r="U819" i="39" s="1"/>
  <c r="F820" i="39"/>
  <c r="V59" i="39"/>
  <c r="C59" i="39"/>
  <c r="U59" i="39" s="1"/>
  <c r="F60" i="39"/>
  <c r="F978" i="39"/>
  <c r="C977" i="39"/>
  <c r="U977" i="39" s="1"/>
  <c r="F1382" i="39"/>
  <c r="C1381" i="39"/>
  <c r="U1381" i="39" s="1"/>
  <c r="F1384" i="39"/>
  <c r="C2271" i="39"/>
  <c r="U2271" i="39" s="1"/>
  <c r="F2468" i="39"/>
  <c r="C2467" i="39"/>
  <c r="U2467" i="39" s="1"/>
  <c r="F483" i="39"/>
  <c r="C482" i="39"/>
  <c r="U482" i="39" s="1"/>
  <c r="C318" i="39"/>
  <c r="U318" i="39" s="1"/>
  <c r="F2460" i="39"/>
  <c r="C2459" i="39"/>
  <c r="U2459" i="39" s="1"/>
  <c r="C1314" i="39"/>
  <c r="U1314" i="39" s="1"/>
  <c r="C2675" i="39"/>
  <c r="U2675" i="39" s="1"/>
  <c r="F530" i="39"/>
  <c r="C529" i="39"/>
  <c r="U529" i="39" s="1"/>
  <c r="C1769" i="39" l="1"/>
  <c r="U1769" i="39" s="1"/>
  <c r="F1770" i="39"/>
  <c r="V1769" i="39"/>
  <c r="F1577" i="39"/>
  <c r="C1576" i="39"/>
  <c r="U1576" i="39" s="1"/>
  <c r="V1576" i="39"/>
  <c r="V1246" i="39"/>
  <c r="C1246" i="39"/>
  <c r="U1246" i="39" s="1"/>
  <c r="F1247" i="39"/>
  <c r="F133" i="39"/>
  <c r="C132" i="39"/>
  <c r="U132" i="39" s="1"/>
  <c r="V132" i="39"/>
  <c r="F2211" i="39"/>
  <c r="V1497" i="39"/>
  <c r="F1498" i="39"/>
  <c r="C1497" i="39"/>
  <c r="U1497" i="39" s="1"/>
  <c r="C2203" i="39"/>
  <c r="U2203" i="39" s="1"/>
  <c r="V2203" i="39"/>
  <c r="C1098" i="39"/>
  <c r="U1098" i="39" s="1"/>
  <c r="F1099" i="39"/>
  <c r="V1098" i="39"/>
  <c r="C1067" i="39"/>
  <c r="U1067" i="39" s="1"/>
  <c r="F1068" i="39"/>
  <c r="V1067" i="39"/>
  <c r="F2357" i="39"/>
  <c r="C2356" i="39"/>
  <c r="U2356" i="39" s="1"/>
  <c r="V2356" i="39"/>
  <c r="F2082" i="39"/>
  <c r="V2081" i="39"/>
  <c r="C2081" i="39"/>
  <c r="U2081" i="39" s="1"/>
  <c r="V1325" i="39"/>
  <c r="F1326" i="39"/>
  <c r="C1325" i="39"/>
  <c r="U1325" i="39" s="1"/>
  <c r="F1127" i="39"/>
  <c r="V1126" i="39"/>
  <c r="C1126" i="39"/>
  <c r="U1126" i="39" s="1"/>
  <c r="V2460" i="39"/>
  <c r="V2468" i="39"/>
  <c r="V820" i="39"/>
  <c r="V483" i="39"/>
  <c r="V1384" i="39"/>
  <c r="V1382" i="39"/>
  <c r="V978" i="39"/>
  <c r="V530" i="39"/>
  <c r="C820" i="39"/>
  <c r="U820" i="39" s="1"/>
  <c r="F821" i="39"/>
  <c r="V60" i="39"/>
  <c r="C60" i="39"/>
  <c r="U60" i="39" s="1"/>
  <c r="F61" i="39"/>
  <c r="C978" i="39"/>
  <c r="U978" i="39" s="1"/>
  <c r="F979" i="39"/>
  <c r="F1383" i="39"/>
  <c r="C1382" i="39"/>
  <c r="U1382" i="39" s="1"/>
  <c r="F1385" i="39"/>
  <c r="F1386" i="39"/>
  <c r="C1384" i="39"/>
  <c r="U1384" i="39" s="1"/>
  <c r="F2469" i="39"/>
  <c r="C2468" i="39"/>
  <c r="U2468" i="39" s="1"/>
  <c r="C483" i="39"/>
  <c r="U483" i="39" s="1"/>
  <c r="F484" i="39"/>
  <c r="F2461" i="39"/>
  <c r="C2460" i="39"/>
  <c r="U2460" i="39" s="1"/>
  <c r="F531" i="39"/>
  <c r="C530" i="39"/>
  <c r="U530" i="39" s="1"/>
  <c r="C1770" i="39" l="1"/>
  <c r="U1770" i="39" s="1"/>
  <c r="F1771" i="39"/>
  <c r="V1770" i="39"/>
  <c r="C1577" i="39"/>
  <c r="U1577" i="39" s="1"/>
  <c r="V1577" i="39"/>
  <c r="F1578" i="39"/>
  <c r="C1247" i="39"/>
  <c r="U1247" i="39" s="1"/>
  <c r="F1248" i="39"/>
  <c r="V1247" i="39"/>
  <c r="F134" i="39"/>
  <c r="C133" i="39"/>
  <c r="U133" i="39" s="1"/>
  <c r="V133" i="39"/>
  <c r="C1498" i="39"/>
  <c r="U1498" i="39" s="1"/>
  <c r="V1498" i="39"/>
  <c r="F1499" i="39"/>
  <c r="F2212" i="39"/>
  <c r="V2204" i="39"/>
  <c r="C2204" i="39"/>
  <c r="U2204" i="39" s="1"/>
  <c r="C1099" i="39"/>
  <c r="U1099" i="39" s="1"/>
  <c r="F1100" i="39"/>
  <c r="V1099" i="39"/>
  <c r="V1068" i="39"/>
  <c r="C1068" i="39"/>
  <c r="U1068" i="39" s="1"/>
  <c r="F1069" i="39"/>
  <c r="V2357" i="39"/>
  <c r="F2358" i="39"/>
  <c r="C2357" i="39"/>
  <c r="U2357" i="39" s="1"/>
  <c r="F1327" i="39"/>
  <c r="F2083" i="39"/>
  <c r="C2082" i="39"/>
  <c r="U2082" i="39" s="1"/>
  <c r="V2082" i="39"/>
  <c r="C1326" i="39"/>
  <c r="U1326" i="39" s="1"/>
  <c r="V1326" i="39"/>
  <c r="C1127" i="39"/>
  <c r="U1127" i="39" s="1"/>
  <c r="F1128" i="39"/>
  <c r="V1127" i="39"/>
  <c r="C821" i="39"/>
  <c r="U821" i="39" s="1"/>
  <c r="V1386" i="39"/>
  <c r="V1383" i="39"/>
  <c r="V484" i="39"/>
  <c r="V979" i="39"/>
  <c r="V1385" i="39"/>
  <c r="V531" i="39"/>
  <c r="V2461" i="39"/>
  <c r="V821" i="39"/>
  <c r="V2469" i="39"/>
  <c r="F822" i="39"/>
  <c r="V61" i="39"/>
  <c r="C61" i="39"/>
  <c r="U61" i="39" s="1"/>
  <c r="F62" i="39"/>
  <c r="C979" i="39"/>
  <c r="U979" i="39" s="1"/>
  <c r="F980" i="39"/>
  <c r="F1387" i="39"/>
  <c r="C1383" i="39"/>
  <c r="U1383" i="39" s="1"/>
  <c r="C1385" i="39"/>
  <c r="U1385" i="39" s="1"/>
  <c r="C1386" i="39"/>
  <c r="U1386" i="39" s="1"/>
  <c r="C2469" i="39"/>
  <c r="U2469" i="39" s="1"/>
  <c r="C484" i="39"/>
  <c r="U484" i="39" s="1"/>
  <c r="F485" i="39"/>
  <c r="F2462" i="39"/>
  <c r="C2461" i="39"/>
  <c r="U2461" i="39" s="1"/>
  <c r="C531" i="39"/>
  <c r="U531" i="39" s="1"/>
  <c r="F532" i="39"/>
  <c r="C1771" i="39" l="1"/>
  <c r="U1771" i="39" s="1"/>
  <c r="F1772" i="39"/>
  <c r="V1771" i="39"/>
  <c r="C1578" i="39"/>
  <c r="U1578" i="39" s="1"/>
  <c r="F1579" i="39"/>
  <c r="V1578" i="39"/>
  <c r="V1248" i="39"/>
  <c r="C1248" i="39"/>
  <c r="U1248" i="39" s="1"/>
  <c r="F2360" i="39"/>
  <c r="C134" i="39"/>
  <c r="U134" i="39" s="1"/>
  <c r="V134" i="39"/>
  <c r="F135" i="39"/>
  <c r="F2214" i="39"/>
  <c r="V1499" i="39"/>
  <c r="F1500" i="39"/>
  <c r="C1499" i="39"/>
  <c r="U1499" i="39" s="1"/>
  <c r="F2213" i="39"/>
  <c r="V2205" i="39"/>
  <c r="C2205" i="39"/>
  <c r="U2205" i="39" s="1"/>
  <c r="C1100" i="39"/>
  <c r="U1100" i="39" s="1"/>
  <c r="F1101" i="39"/>
  <c r="V1100" i="39"/>
  <c r="C1069" i="39"/>
  <c r="U1069" i="39" s="1"/>
  <c r="F1070" i="39"/>
  <c r="V1069" i="39"/>
  <c r="F1328" i="39"/>
  <c r="C1327" i="39"/>
  <c r="U1327" i="39" s="1"/>
  <c r="V1327" i="39"/>
  <c r="V2358" i="39"/>
  <c r="F2359" i="39"/>
  <c r="C2358" i="39"/>
  <c r="U2358" i="39" s="1"/>
  <c r="F2084" i="39"/>
  <c r="V2083" i="39"/>
  <c r="C2083" i="39"/>
  <c r="U2083" i="39" s="1"/>
  <c r="F1129" i="39"/>
  <c r="V1128" i="39"/>
  <c r="C1128" i="39"/>
  <c r="U1128" i="39" s="1"/>
  <c r="V485" i="39"/>
  <c r="V532" i="39"/>
  <c r="V1387" i="39"/>
  <c r="V980" i="39"/>
  <c r="V822" i="39"/>
  <c r="V2462" i="39"/>
  <c r="C822" i="39"/>
  <c r="U822" i="39" s="1"/>
  <c r="F823" i="39"/>
  <c r="C980" i="39"/>
  <c r="U980" i="39" s="1"/>
  <c r="V62" i="39"/>
  <c r="C62" i="39"/>
  <c r="U62" i="39" s="1"/>
  <c r="F63" i="39"/>
  <c r="F981" i="39"/>
  <c r="C1387" i="39"/>
  <c r="U1387" i="39" s="1"/>
  <c r="F1388" i="39"/>
  <c r="F486" i="39"/>
  <c r="C485" i="39"/>
  <c r="U485" i="39" s="1"/>
  <c r="F2463" i="39"/>
  <c r="C2462" i="39"/>
  <c r="U2462"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72" i="39" l="1"/>
  <c r="U1772" i="39" s="1"/>
  <c r="F1774" i="39"/>
  <c r="V1772" i="39"/>
  <c r="F1773" i="39"/>
  <c r="C1579" i="39"/>
  <c r="U1579" i="39" s="1"/>
  <c r="V1579" i="39"/>
  <c r="F1580" i="39"/>
  <c r="V2360" i="39"/>
  <c r="C2360" i="39"/>
  <c r="U2360" i="39" s="1"/>
  <c r="V135" i="39"/>
  <c r="F136" i="39"/>
  <c r="C135" i="39"/>
  <c r="U135" i="39" s="1"/>
  <c r="C2214" i="39"/>
  <c r="U2214" i="39" s="1"/>
  <c r="V2214" i="39"/>
  <c r="F1501" i="39"/>
  <c r="C1500" i="39"/>
  <c r="U1500" i="39" s="1"/>
  <c r="V1500" i="39"/>
  <c r="F2215" i="39"/>
  <c r="V2206" i="39"/>
  <c r="C2206" i="39"/>
  <c r="U2206" i="39" s="1"/>
  <c r="F1102" i="39"/>
  <c r="V1101" i="39"/>
  <c r="C1101" i="39"/>
  <c r="U1101" i="39" s="1"/>
  <c r="F1329" i="39"/>
  <c r="C1328" i="39"/>
  <c r="U1328" i="39" s="1"/>
  <c r="V1328" i="39"/>
  <c r="V1070" i="39"/>
  <c r="C1070" i="39"/>
  <c r="U1070" i="39" s="1"/>
  <c r="F1071" i="39"/>
  <c r="F2361" i="39"/>
  <c r="C2359" i="39"/>
  <c r="U2359" i="39" s="1"/>
  <c r="V2359" i="39"/>
  <c r="V2084" i="39"/>
  <c r="F2085" i="39"/>
  <c r="C2084" i="39"/>
  <c r="U2084" i="39" s="1"/>
  <c r="C1129" i="39"/>
  <c r="U1129" i="39" s="1"/>
  <c r="F1130" i="39"/>
  <c r="V1129" i="39"/>
  <c r="V2463" i="39"/>
  <c r="V1388" i="39"/>
  <c r="V486" i="39"/>
  <c r="V981" i="39"/>
  <c r="V823" i="39"/>
  <c r="V185" i="39"/>
  <c r="C823" i="39"/>
  <c r="U823" i="39" s="1"/>
  <c r="V533" i="39"/>
  <c r="F824" i="39"/>
  <c r="V63" i="39"/>
  <c r="C63" i="39"/>
  <c r="U63" i="39" s="1"/>
  <c r="F64" i="39"/>
  <c r="F982" i="39"/>
  <c r="C981" i="39"/>
  <c r="U981" i="39" s="1"/>
  <c r="F1389" i="39"/>
  <c r="C1388" i="39"/>
  <c r="U1388" i="39" s="1"/>
  <c r="F487" i="39"/>
  <c r="C486" i="39"/>
  <c r="U486" i="39" s="1"/>
  <c r="F2464" i="39"/>
  <c r="C2463" i="39"/>
  <c r="U2463" i="39" s="1"/>
  <c r="C533" i="39"/>
  <c r="U533" i="39" s="1"/>
  <c r="F534" i="39"/>
  <c r="C185" i="39"/>
  <c r="U185" i="39" s="1"/>
  <c r="F186" i="39"/>
  <c r="AC179" i="39"/>
  <c r="AA179"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F2677" i="39"/>
  <c r="AC2676" i="39"/>
  <c r="AA2676" i="39"/>
  <c r="C2676" i="39"/>
  <c r="U2676" i="39" s="1"/>
  <c r="C1773" i="39" l="1"/>
  <c r="U1773" i="39" s="1"/>
  <c r="F1775" i="39"/>
  <c r="V1773" i="39"/>
  <c r="C1774" i="39"/>
  <c r="U1774" i="39" s="1"/>
  <c r="V1774" i="39"/>
  <c r="F1581" i="39"/>
  <c r="C1580" i="39"/>
  <c r="U1580" i="39" s="1"/>
  <c r="V1580" i="39"/>
  <c r="V136" i="39"/>
  <c r="F137" i="39"/>
  <c r="C136" i="39"/>
  <c r="U136" i="39" s="1"/>
  <c r="F1502" i="39"/>
  <c r="C1501" i="39"/>
  <c r="U1501" i="39" s="1"/>
  <c r="V1501" i="39"/>
  <c r="F2216" i="39"/>
  <c r="C2207" i="39"/>
  <c r="U2207" i="39" s="1"/>
  <c r="V2207" i="39"/>
  <c r="C1329" i="39"/>
  <c r="U1329" i="39" s="1"/>
  <c r="V1329" i="39"/>
  <c r="F1330" i="39"/>
  <c r="F1103" i="39"/>
  <c r="C1102" i="39"/>
  <c r="U1102" i="39" s="1"/>
  <c r="V1102" i="39"/>
  <c r="C1071" i="39"/>
  <c r="U1071" i="39" s="1"/>
  <c r="F1072" i="39"/>
  <c r="V1071" i="39"/>
  <c r="C2361" i="39"/>
  <c r="U2361" i="39" s="1"/>
  <c r="V2361" i="39"/>
  <c r="F2086" i="39"/>
  <c r="V2085" i="39"/>
  <c r="C2085" i="39"/>
  <c r="U2085" i="39" s="1"/>
  <c r="F1131" i="39"/>
  <c r="V1130" i="39"/>
  <c r="C1130" i="39"/>
  <c r="U1130" i="39" s="1"/>
  <c r="V824" i="39"/>
  <c r="V487" i="39"/>
  <c r="V1389" i="39"/>
  <c r="V2677" i="39"/>
  <c r="V186" i="39"/>
  <c r="V982" i="39"/>
  <c r="V2464" i="39"/>
  <c r="V534" i="39"/>
  <c r="C982" i="39"/>
  <c r="U982" i="39" s="1"/>
  <c r="C824" i="39"/>
  <c r="U824" i="39" s="1"/>
  <c r="F825" i="39"/>
  <c r="F983" i="39"/>
  <c r="V64" i="39"/>
  <c r="C64" i="39"/>
  <c r="U64" i="39" s="1"/>
  <c r="F65" i="39"/>
  <c r="F1390" i="39"/>
  <c r="C1389" i="39"/>
  <c r="U1389" i="39" s="1"/>
  <c r="C487" i="39"/>
  <c r="U487" i="39" s="1"/>
  <c r="F488" i="39"/>
  <c r="C2464" i="39"/>
  <c r="U2464" i="39" s="1"/>
  <c r="C534" i="39"/>
  <c r="U534" i="39" s="1"/>
  <c r="C186" i="39"/>
  <c r="U186" i="39" s="1"/>
  <c r="F535" i="39"/>
  <c r="F187" i="39"/>
  <c r="C2677" i="39"/>
  <c r="U2677" i="39" s="1"/>
  <c r="F2678" i="39"/>
  <c r="C1775" i="39" l="1"/>
  <c r="U1775" i="39" s="1"/>
  <c r="F1776" i="39"/>
  <c r="V1775" i="39"/>
  <c r="C1581" i="39"/>
  <c r="U1581" i="39" s="1"/>
  <c r="V1581" i="39"/>
  <c r="F1582" i="39"/>
  <c r="F138" i="39"/>
  <c r="V137" i="39"/>
  <c r="C137" i="39"/>
  <c r="U137" i="39" s="1"/>
  <c r="F1503" i="39"/>
  <c r="C1502" i="39"/>
  <c r="U1502" i="39" s="1"/>
  <c r="V1502" i="39"/>
  <c r="F2217" i="39"/>
  <c r="V2208" i="39"/>
  <c r="C2208" i="39"/>
  <c r="U2208" i="39" s="1"/>
  <c r="V1330" i="39"/>
  <c r="C1330" i="39"/>
  <c r="U1330" i="39" s="1"/>
  <c r="F1331" i="39"/>
  <c r="C1103" i="39"/>
  <c r="U1103" i="39" s="1"/>
  <c r="F1104" i="39"/>
  <c r="V1103" i="39"/>
  <c r="V1072" i="39"/>
  <c r="C1072" i="39"/>
  <c r="U1072" i="39" s="1"/>
  <c r="F1073" i="39"/>
  <c r="C2086" i="39"/>
  <c r="U2086" i="39" s="1"/>
  <c r="V2086" i="39"/>
  <c r="C1131" i="39"/>
  <c r="U1131" i="39" s="1"/>
  <c r="F1132" i="39"/>
  <c r="V1131" i="39"/>
  <c r="V488" i="39"/>
  <c r="V187" i="39"/>
  <c r="V535" i="39"/>
  <c r="V983" i="39"/>
  <c r="V2678" i="39"/>
  <c r="V1390" i="39"/>
  <c r="V825" i="39"/>
  <c r="C825" i="39"/>
  <c r="U825" i="39" s="1"/>
  <c r="C983" i="39"/>
  <c r="U983" i="39" s="1"/>
  <c r="F984" i="39"/>
  <c r="F826" i="39"/>
  <c r="V65" i="39"/>
  <c r="C65" i="39"/>
  <c r="U65" i="39" s="1"/>
  <c r="F1391" i="39"/>
  <c r="C1390" i="39"/>
  <c r="U1390" i="39" s="1"/>
  <c r="F489" i="39"/>
  <c r="C488" i="39"/>
  <c r="U488" i="39" s="1"/>
  <c r="C535" i="39"/>
  <c r="U535" i="39" s="1"/>
  <c r="F536" i="39"/>
  <c r="C187" i="39"/>
  <c r="U187" i="39" s="1"/>
  <c r="F188" i="39"/>
  <c r="F2679" i="39"/>
  <c r="C2678" i="39"/>
  <c r="U2678" i="39" s="1"/>
  <c r="C1776" i="39" l="1"/>
  <c r="U1776" i="39" s="1"/>
  <c r="V1776" i="39"/>
  <c r="F1777" i="39"/>
  <c r="C1582" i="39"/>
  <c r="U1582" i="39" s="1"/>
  <c r="V1582" i="39"/>
  <c r="F1583" i="39"/>
  <c r="F139" i="39"/>
  <c r="C138" i="39"/>
  <c r="U138" i="39" s="1"/>
  <c r="V138" i="39"/>
  <c r="C1503" i="39"/>
  <c r="U1503" i="39" s="1"/>
  <c r="V1503" i="39"/>
  <c r="F1504" i="39"/>
  <c r="F2218" i="39"/>
  <c r="C2209" i="39"/>
  <c r="U2209" i="39" s="1"/>
  <c r="V2209" i="39"/>
  <c r="C1331" i="39"/>
  <c r="U1331" i="39" s="1"/>
  <c r="F1332" i="39"/>
  <c r="V1331" i="39"/>
  <c r="C1104" i="39"/>
  <c r="U1104" i="39" s="1"/>
  <c r="V1104" i="39"/>
  <c r="F1074" i="39"/>
  <c r="C1073" i="39"/>
  <c r="U1073" i="39" s="1"/>
  <c r="V1073" i="39"/>
  <c r="F1133" i="39"/>
  <c r="V1132" i="39"/>
  <c r="C1132" i="39"/>
  <c r="U1132" i="39" s="1"/>
  <c r="V1391" i="39"/>
  <c r="V536" i="39"/>
  <c r="V2679" i="39"/>
  <c r="V826" i="39"/>
  <c r="V984" i="39"/>
  <c r="V489" i="39"/>
  <c r="F985" i="39"/>
  <c r="V188" i="39"/>
  <c r="C984" i="39"/>
  <c r="U984" i="39" s="1"/>
  <c r="C826" i="39"/>
  <c r="U826" i="39" s="1"/>
  <c r="C1391" i="39"/>
  <c r="U1391" i="39" s="1"/>
  <c r="F1392" i="39"/>
  <c r="C489" i="39"/>
  <c r="U489" i="39" s="1"/>
  <c r="F490" i="39"/>
  <c r="C536" i="39"/>
  <c r="U536" i="39" s="1"/>
  <c r="F537" i="39"/>
  <c r="F189" i="39"/>
  <c r="C188" i="39"/>
  <c r="U188" i="39" s="1"/>
  <c r="C2679" i="39"/>
  <c r="U2679" i="39" s="1"/>
  <c r="F2680" i="39"/>
  <c r="C1777" i="39" l="1"/>
  <c r="U1777" i="39" s="1"/>
  <c r="F1778" i="39"/>
  <c r="V1777" i="39"/>
  <c r="V1583" i="39"/>
  <c r="C1583" i="39"/>
  <c r="U1583" i="39" s="1"/>
  <c r="F140" i="39"/>
  <c r="C139" i="39"/>
  <c r="U139" i="39" s="1"/>
  <c r="V139" i="39"/>
  <c r="V1504" i="39"/>
  <c r="C1504" i="39"/>
  <c r="U1504" i="39" s="1"/>
  <c r="F1505" i="39"/>
  <c r="F2219" i="39"/>
  <c r="C2210" i="39"/>
  <c r="U2210" i="39" s="1"/>
  <c r="V2210" i="39"/>
  <c r="C1332" i="39"/>
  <c r="U1332" i="39" s="1"/>
  <c r="F1333" i="39"/>
  <c r="V1332" i="39"/>
  <c r="C1074" i="39"/>
  <c r="U1074" i="39" s="1"/>
  <c r="F1075" i="39"/>
  <c r="V1074" i="39"/>
  <c r="C1133" i="39"/>
  <c r="U1133" i="39" s="1"/>
  <c r="F1134" i="39"/>
  <c r="V1133" i="39"/>
  <c r="C985" i="39"/>
  <c r="U985" i="39" s="1"/>
  <c r="F986" i="39"/>
  <c r="V189" i="39"/>
  <c r="V537" i="39"/>
  <c r="V985" i="39"/>
  <c r="V2680" i="39"/>
  <c r="V1392" i="39"/>
  <c r="V490" i="39"/>
  <c r="F1393" i="39"/>
  <c r="C1392" i="39"/>
  <c r="U1392" i="39" s="1"/>
  <c r="F491" i="39"/>
  <c r="C490" i="39"/>
  <c r="U490" i="39" s="1"/>
  <c r="F538" i="39"/>
  <c r="C537" i="39"/>
  <c r="U537" i="39" s="1"/>
  <c r="C189" i="39"/>
  <c r="U189" i="39" s="1"/>
  <c r="F190" i="39"/>
  <c r="F2681" i="39"/>
  <c r="C2680" i="39"/>
  <c r="U2680" i="39" s="1"/>
  <c r="C1778" i="39" l="1"/>
  <c r="U1778" i="39" s="1"/>
  <c r="F1779" i="39"/>
  <c r="V1778" i="39"/>
  <c r="C140" i="39"/>
  <c r="U140" i="39" s="1"/>
  <c r="V140" i="39"/>
  <c r="F141" i="39"/>
  <c r="F1506" i="39"/>
  <c r="C1505" i="39"/>
  <c r="U1505" i="39" s="1"/>
  <c r="V1505" i="39"/>
  <c r="F2220" i="39"/>
  <c r="C2211" i="39"/>
  <c r="U2211" i="39" s="1"/>
  <c r="V2211" i="39"/>
  <c r="V1333" i="39"/>
  <c r="F1334" i="39"/>
  <c r="C1333" i="39"/>
  <c r="U1333" i="39" s="1"/>
  <c r="F1076" i="39"/>
  <c r="V1075" i="39"/>
  <c r="C1075" i="39"/>
  <c r="U1075" i="39" s="1"/>
  <c r="F1135" i="39"/>
  <c r="V1134" i="39"/>
  <c r="C1134" i="39"/>
  <c r="U1134" i="39" s="1"/>
  <c r="V986" i="39"/>
  <c r="F987" i="39"/>
  <c r="C986" i="39"/>
  <c r="U986" i="39" s="1"/>
  <c r="V491" i="39"/>
  <c r="V1393" i="39"/>
  <c r="V2681" i="39"/>
  <c r="V190" i="39"/>
  <c r="V538" i="39"/>
  <c r="C1393" i="39"/>
  <c r="U1393" i="39" s="1"/>
  <c r="F1394" i="39"/>
  <c r="F492" i="39"/>
  <c r="C491" i="39"/>
  <c r="U491" i="39" s="1"/>
  <c r="F539" i="39"/>
  <c r="C538" i="39"/>
  <c r="U538" i="39" s="1"/>
  <c r="F191" i="39"/>
  <c r="C190" i="39"/>
  <c r="U190" i="39" s="1"/>
  <c r="C2681" i="39"/>
  <c r="U2681" i="39" s="1"/>
  <c r="F2682" i="39"/>
  <c r="C1779" i="39" l="1"/>
  <c r="U1779" i="39" s="1"/>
  <c r="F1780" i="39"/>
  <c r="V1779" i="39"/>
  <c r="C141" i="39"/>
  <c r="U141" i="39" s="1"/>
  <c r="F142" i="39"/>
  <c r="V141" i="39"/>
  <c r="F1507" i="39"/>
  <c r="F2221" i="39"/>
  <c r="C2212" i="39"/>
  <c r="U2212" i="39" s="1"/>
  <c r="V2212" i="39"/>
  <c r="V1334" i="39"/>
  <c r="C1334" i="39"/>
  <c r="U1334" i="39" s="1"/>
  <c r="F1335" i="39"/>
  <c r="C1076" i="39"/>
  <c r="U1076" i="39" s="1"/>
  <c r="F1077" i="39"/>
  <c r="V1076" i="39"/>
  <c r="C987" i="39"/>
  <c r="U987" i="39" s="1"/>
  <c r="C1135" i="39"/>
  <c r="U1135" i="39" s="1"/>
  <c r="F1136" i="39"/>
  <c r="V1135" i="39"/>
  <c r="V987" i="39"/>
  <c r="F988" i="39"/>
  <c r="V191" i="39"/>
  <c r="V492" i="39"/>
  <c r="V1394" i="39"/>
  <c r="V539" i="39"/>
  <c r="V2682" i="39"/>
  <c r="C1394" i="39"/>
  <c r="U1394" i="39" s="1"/>
  <c r="F1395" i="39"/>
  <c r="F493" i="39"/>
  <c r="C492" i="39"/>
  <c r="U492" i="39" s="1"/>
  <c r="F540" i="39"/>
  <c r="C539" i="39"/>
  <c r="U539" i="39" s="1"/>
  <c r="F192" i="39"/>
  <c r="C191" i="39"/>
  <c r="U191" i="39" s="1"/>
  <c r="F2683" i="39"/>
  <c r="C2682" i="39"/>
  <c r="U2682" i="39" s="1"/>
  <c r="AC2421" i="39"/>
  <c r="AA2421" i="39"/>
  <c r="F2401" i="39"/>
  <c r="AC2401" i="39"/>
  <c r="AA2401"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F2659" i="39"/>
  <c r="AC2658" i="39"/>
  <c r="AA2658" i="39"/>
  <c r="C2658" i="39"/>
  <c r="U2658" i="39" s="1"/>
  <c r="AC1912" i="39"/>
  <c r="AA1912" i="39"/>
  <c r="AC1922" i="39"/>
  <c r="AA1922" i="39"/>
  <c r="AC1925" i="39"/>
  <c r="AA1925" i="39"/>
  <c r="AC1913" i="39"/>
  <c r="AA1913"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4" i="39"/>
  <c r="AA1924" i="39"/>
  <c r="AC1923" i="39"/>
  <c r="AA1923" i="39"/>
  <c r="AC1921" i="39"/>
  <c r="AA1921" i="39"/>
  <c r="AC1920" i="39"/>
  <c r="AA1920" i="39"/>
  <c r="AC1919" i="39"/>
  <c r="AA1919" i="39"/>
  <c r="AC1918" i="39"/>
  <c r="AA1918" i="39"/>
  <c r="AC1917" i="39"/>
  <c r="AA1917" i="39"/>
  <c r="AC1916" i="39"/>
  <c r="AA1916" i="39"/>
  <c r="AC1915" i="39"/>
  <c r="AA1915" i="39"/>
  <c r="AC1914" i="39"/>
  <c r="AA1914"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F1881" i="39"/>
  <c r="AC1880" i="39"/>
  <c r="AA1880" i="39"/>
  <c r="C1880" i="39"/>
  <c r="U1880" i="39" s="1"/>
  <c r="C1780" i="39" l="1"/>
  <c r="U1780" i="39" s="1"/>
  <c r="F1781" i="39"/>
  <c r="V1780" i="39"/>
  <c r="C142" i="39"/>
  <c r="U142" i="39" s="1"/>
  <c r="F143" i="39"/>
  <c r="V142" i="39"/>
  <c r="C1506" i="39"/>
  <c r="U1506" i="39" s="1"/>
  <c r="V1506" i="39"/>
  <c r="F2222" i="39"/>
  <c r="V2213" i="39"/>
  <c r="C2213" i="39"/>
  <c r="U2213" i="39" s="1"/>
  <c r="V1335" i="39"/>
  <c r="F1336" i="39"/>
  <c r="C1335" i="39"/>
  <c r="U1335" i="39" s="1"/>
  <c r="F1078" i="39"/>
  <c r="V1077" i="39"/>
  <c r="C1077" i="39"/>
  <c r="U1077" i="39" s="1"/>
  <c r="F1137" i="39"/>
  <c r="V1136" i="39"/>
  <c r="C1136" i="39"/>
  <c r="U1136" i="39" s="1"/>
  <c r="F989" i="39"/>
  <c r="C988" i="39"/>
  <c r="U988" i="39" s="1"/>
  <c r="V988" i="39"/>
  <c r="V192" i="39"/>
  <c r="V493" i="39"/>
  <c r="V2659" i="39"/>
  <c r="V2683" i="39"/>
  <c r="V540" i="39"/>
  <c r="V1881" i="39"/>
  <c r="V2401" i="39"/>
  <c r="V1395" i="39"/>
  <c r="F1396" i="39"/>
  <c r="C1395" i="39"/>
  <c r="U1395" i="39" s="1"/>
  <c r="C493" i="39"/>
  <c r="U493" i="39" s="1"/>
  <c r="F494" i="39"/>
  <c r="C540" i="39"/>
  <c r="U540" i="39" s="1"/>
  <c r="F541" i="39"/>
  <c r="F193" i="39"/>
  <c r="C192" i="39"/>
  <c r="U192" i="39" s="1"/>
  <c r="C2683" i="39"/>
  <c r="U2683" i="39" s="1"/>
  <c r="F2684" i="39"/>
  <c r="F2402" i="39"/>
  <c r="C2659" i="39"/>
  <c r="U2659" i="39" s="1"/>
  <c r="F2660" i="39"/>
  <c r="C1881" i="39"/>
  <c r="U1881" i="39" s="1"/>
  <c r="F1882" i="39"/>
  <c r="C1781" i="39" l="1"/>
  <c r="U1781" i="39" s="1"/>
  <c r="F1783" i="39"/>
  <c r="F1782" i="39"/>
  <c r="V1781" i="39"/>
  <c r="F194" i="39"/>
  <c r="C143" i="39"/>
  <c r="U143" i="39" s="1"/>
  <c r="V143" i="39"/>
  <c r="F144" i="39"/>
  <c r="V1507" i="39"/>
  <c r="C1507" i="39"/>
  <c r="U1507" i="39" s="1"/>
  <c r="F2223" i="39"/>
  <c r="V2215" i="39"/>
  <c r="C2215" i="39"/>
  <c r="U2215" i="39" s="1"/>
  <c r="V1336" i="39"/>
  <c r="C1336" i="39"/>
  <c r="U1336" i="39" s="1"/>
  <c r="F1337" i="39"/>
  <c r="C2216" i="39"/>
  <c r="U2216" i="39" s="1"/>
  <c r="V2216" i="39"/>
  <c r="V989" i="39"/>
  <c r="C1078" i="39"/>
  <c r="U1078" i="39" s="1"/>
  <c r="F1079" i="39"/>
  <c r="V1078" i="39"/>
  <c r="C989" i="39"/>
  <c r="U989" i="39" s="1"/>
  <c r="C1137" i="39"/>
  <c r="U1137" i="39" s="1"/>
  <c r="F1138" i="39"/>
  <c r="V1137" i="39"/>
  <c r="V1882" i="39"/>
  <c r="V1396" i="39"/>
  <c r="V2660" i="39"/>
  <c r="V2402" i="39"/>
  <c r="V2684" i="39"/>
  <c r="V193" i="39"/>
  <c r="V541" i="39"/>
  <c r="V494" i="39"/>
  <c r="C1396" i="39"/>
  <c r="U1396" i="39" s="1"/>
  <c r="F1397" i="39"/>
  <c r="C494" i="39"/>
  <c r="U494" i="39" s="1"/>
  <c r="F495" i="39"/>
  <c r="C541" i="39"/>
  <c r="U541" i="39" s="1"/>
  <c r="F542" i="39"/>
  <c r="C193" i="39"/>
  <c r="U193" i="39" s="1"/>
  <c r="F2685" i="39"/>
  <c r="C2684" i="39"/>
  <c r="U2684" i="39" s="1"/>
  <c r="F2403" i="39"/>
  <c r="C2660" i="39"/>
  <c r="U2660" i="39" s="1"/>
  <c r="F2661" i="39"/>
  <c r="F1883" i="39"/>
  <c r="C1882" i="39"/>
  <c r="U1882" i="39" s="1"/>
  <c r="C1782" i="39" l="1"/>
  <c r="U1782" i="39" s="1"/>
  <c r="V1782" i="39"/>
  <c r="F1784" i="39"/>
  <c r="C1783" i="39"/>
  <c r="U1783" i="39" s="1"/>
  <c r="V1783" i="39"/>
  <c r="F195" i="39"/>
  <c r="C144" i="39"/>
  <c r="U144" i="39" s="1"/>
  <c r="V144" i="39"/>
  <c r="F145" i="39"/>
  <c r="F2224" i="39"/>
  <c r="V1337" i="39"/>
  <c r="C1337" i="39"/>
  <c r="U1337" i="39" s="1"/>
  <c r="F1338" i="39"/>
  <c r="C2217" i="39"/>
  <c r="U2217" i="39" s="1"/>
  <c r="V2217" i="39"/>
  <c r="V1079" i="39"/>
  <c r="F1080" i="39"/>
  <c r="C1079" i="39"/>
  <c r="U1079" i="39" s="1"/>
  <c r="F1139" i="39"/>
  <c r="V1138" i="39"/>
  <c r="C1138" i="39"/>
  <c r="U1138" i="39" s="1"/>
  <c r="V2403" i="39"/>
  <c r="V1397" i="39"/>
  <c r="V1883" i="39"/>
  <c r="V495" i="39"/>
  <c r="V2661" i="39"/>
  <c r="V2685" i="39"/>
  <c r="V542" i="39"/>
  <c r="C1397" i="39"/>
  <c r="U1397" i="39" s="1"/>
  <c r="F1398" i="39"/>
  <c r="F496" i="39"/>
  <c r="C495" i="39"/>
  <c r="U495" i="39" s="1"/>
  <c r="F543" i="39"/>
  <c r="C542" i="39"/>
  <c r="U542" i="39" s="1"/>
  <c r="C2685" i="39"/>
  <c r="U2685" i="39" s="1"/>
  <c r="F2686" i="39"/>
  <c r="C2661" i="39"/>
  <c r="U2661" i="39" s="1"/>
  <c r="F2662" i="39"/>
  <c r="F1884" i="39"/>
  <c r="C1883" i="39"/>
  <c r="U1883" i="39" s="1"/>
  <c r="C1784" i="39" l="1"/>
  <c r="U1784" i="39" s="1"/>
  <c r="V1784" i="39"/>
  <c r="F1785" i="39"/>
  <c r="F196" i="39"/>
  <c r="V145" i="39"/>
  <c r="F146" i="39"/>
  <c r="C145" i="39"/>
  <c r="U145" i="39" s="1"/>
  <c r="F2225" i="39"/>
  <c r="F1339" i="39"/>
  <c r="C1338" i="39"/>
  <c r="U1338" i="39" s="1"/>
  <c r="V1338" i="39"/>
  <c r="V2218" i="39"/>
  <c r="C2218" i="39"/>
  <c r="U2218" i="39" s="1"/>
  <c r="F1081" i="39"/>
  <c r="C1080" i="39"/>
  <c r="U1080" i="39" s="1"/>
  <c r="V1080" i="39"/>
  <c r="C1139" i="39"/>
  <c r="U1139" i="39" s="1"/>
  <c r="F1140" i="39"/>
  <c r="V1139" i="39"/>
  <c r="V1398" i="39"/>
  <c r="V543" i="39"/>
  <c r="V496" i="39"/>
  <c r="V1884" i="39"/>
  <c r="V194" i="39"/>
  <c r="V2662" i="39"/>
  <c r="V2686" i="39"/>
  <c r="F1399" i="39"/>
  <c r="C1398" i="39"/>
  <c r="U1398" i="39" s="1"/>
  <c r="F497" i="39"/>
  <c r="C496" i="39"/>
  <c r="U496" i="39" s="1"/>
  <c r="F544" i="39"/>
  <c r="C543" i="39"/>
  <c r="U543" i="39" s="1"/>
  <c r="C194" i="39"/>
  <c r="U194" i="39" s="1"/>
  <c r="F2687" i="39"/>
  <c r="C2686" i="39"/>
  <c r="U2686" i="39" s="1"/>
  <c r="C2662" i="39"/>
  <c r="U2662" i="39" s="1"/>
  <c r="F2663" i="39"/>
  <c r="C1884" i="39"/>
  <c r="U1884" i="39" s="1"/>
  <c r="F1885" i="39"/>
  <c r="C1785" i="39" l="1"/>
  <c r="U1785" i="39" s="1"/>
  <c r="F1786" i="39"/>
  <c r="V1785" i="39"/>
  <c r="F197" i="39"/>
  <c r="F147" i="39"/>
  <c r="V146" i="39"/>
  <c r="C146" i="39"/>
  <c r="U146" i="39" s="1"/>
  <c r="C1339" i="39"/>
  <c r="U1339" i="39" s="1"/>
  <c r="F2226" i="39"/>
  <c r="F1340" i="39"/>
  <c r="V1339" i="39"/>
  <c r="V2219" i="39"/>
  <c r="C2219" i="39"/>
  <c r="U2219" i="39" s="1"/>
  <c r="C1081" i="39"/>
  <c r="U1081" i="39" s="1"/>
  <c r="F1082" i="39"/>
  <c r="V1081" i="39"/>
  <c r="F1141" i="39"/>
  <c r="V1140" i="39"/>
  <c r="C1140" i="39"/>
  <c r="U1140" i="39" s="1"/>
  <c r="V2687" i="39"/>
  <c r="V544" i="39"/>
  <c r="V1885" i="39"/>
  <c r="V1399" i="39"/>
  <c r="V2663" i="39"/>
  <c r="V195" i="39"/>
  <c r="V497" i="39"/>
  <c r="F1400" i="39"/>
  <c r="C1399" i="39"/>
  <c r="U1399" i="39" s="1"/>
  <c r="C497" i="39"/>
  <c r="U497" i="39" s="1"/>
  <c r="F498" i="39"/>
  <c r="C544" i="39"/>
  <c r="U544" i="39" s="1"/>
  <c r="C195" i="39"/>
  <c r="U195" i="39" s="1"/>
  <c r="C2687" i="39"/>
  <c r="U2687" i="39" s="1"/>
  <c r="F2688" i="39"/>
  <c r="C2663" i="39"/>
  <c r="U2663" i="39" s="1"/>
  <c r="F2664" i="39"/>
  <c r="C1885" i="39"/>
  <c r="U1885" i="39" s="1"/>
  <c r="F1886" i="39"/>
  <c r="C1786" i="39" l="1"/>
  <c r="U1786" i="39" s="1"/>
  <c r="F1787" i="39"/>
  <c r="V1786" i="39"/>
  <c r="C147" i="39"/>
  <c r="U147" i="39" s="1"/>
  <c r="V147" i="39"/>
  <c r="V1340" i="39"/>
  <c r="C1340" i="39"/>
  <c r="U1340" i="39" s="1"/>
  <c r="F2227" i="39"/>
  <c r="V2221" i="39"/>
  <c r="C2221" i="39"/>
  <c r="U2221" i="39" s="1"/>
  <c r="C2220" i="39"/>
  <c r="U2220" i="39" s="1"/>
  <c r="V2220" i="39"/>
  <c r="F1083" i="39"/>
  <c r="V1082" i="39"/>
  <c r="C1082" i="39"/>
  <c r="U1082" i="39" s="1"/>
  <c r="C1141" i="39"/>
  <c r="U1141" i="39" s="1"/>
  <c r="F1142" i="39"/>
  <c r="V1141" i="39"/>
  <c r="V2664" i="39"/>
  <c r="V498" i="39"/>
  <c r="V1400" i="39"/>
  <c r="V2688" i="39"/>
  <c r="V196" i="39"/>
  <c r="V1886" i="39"/>
  <c r="F1401" i="39"/>
  <c r="C1400" i="39"/>
  <c r="U1400" i="39" s="1"/>
  <c r="F499" i="39"/>
  <c r="C498" i="39"/>
  <c r="U498" i="39" s="1"/>
  <c r="C196" i="39"/>
  <c r="U196" i="39" s="1"/>
  <c r="F2689" i="39"/>
  <c r="C2688" i="39"/>
  <c r="U2688" i="39" s="1"/>
  <c r="C2664" i="39"/>
  <c r="U2664" i="39" s="1"/>
  <c r="F2665" i="39"/>
  <c r="F1887" i="39"/>
  <c r="C1886" i="39"/>
  <c r="U1886" i="39" s="1"/>
  <c r="C1787" i="39" l="1"/>
  <c r="U1787" i="39" s="1"/>
  <c r="F1788" i="39"/>
  <c r="V1787" i="39"/>
  <c r="F2228" i="39"/>
  <c r="V2222" i="39"/>
  <c r="C2222" i="39"/>
  <c r="U2222" i="39" s="1"/>
  <c r="C1083" i="39"/>
  <c r="U1083" i="39" s="1"/>
  <c r="V1083" i="39"/>
  <c r="F1143" i="39"/>
  <c r="V1142" i="39"/>
  <c r="C1142" i="39"/>
  <c r="U1142" i="39" s="1"/>
  <c r="V1401" i="39"/>
  <c r="C1401" i="39"/>
  <c r="U1401" i="39" s="1"/>
  <c r="V499" i="39"/>
  <c r="V1887" i="39"/>
  <c r="V2665" i="39"/>
  <c r="V2689" i="39"/>
  <c r="V197" i="39"/>
  <c r="F1402" i="39"/>
  <c r="F500" i="39"/>
  <c r="C499" i="39"/>
  <c r="U499" i="39" s="1"/>
  <c r="F198" i="39"/>
  <c r="C197" i="39"/>
  <c r="U197" i="39" s="1"/>
  <c r="C2689" i="39"/>
  <c r="U2689" i="39" s="1"/>
  <c r="C2665" i="39"/>
  <c r="U2665" i="39" s="1"/>
  <c r="F2666" i="39"/>
  <c r="C1887" i="39"/>
  <c r="U1887" i="39" s="1"/>
  <c r="F1888" i="39"/>
  <c r="C1788" i="39" l="1"/>
  <c r="U1788" i="39" s="1"/>
  <c r="V1788" i="39"/>
  <c r="F1789" i="39"/>
  <c r="F2229" i="39"/>
  <c r="C2223" i="39"/>
  <c r="U2223" i="39" s="1"/>
  <c r="V2223" i="39"/>
  <c r="V2224" i="39"/>
  <c r="C2224" i="39"/>
  <c r="U2224" i="39" s="1"/>
  <c r="C1143" i="39"/>
  <c r="U1143" i="39" s="1"/>
  <c r="F1144" i="39"/>
  <c r="V1143" i="39"/>
  <c r="V198" i="39"/>
  <c r="V1402" i="39"/>
  <c r="V2666" i="39"/>
  <c r="V1888" i="39"/>
  <c r="C1402" i="39"/>
  <c r="U1402" i="39" s="1"/>
  <c r="F1403" i="39"/>
  <c r="V500" i="39"/>
  <c r="C500" i="39"/>
  <c r="U500" i="39" s="1"/>
  <c r="C198" i="39"/>
  <c r="U198" i="39" s="1"/>
  <c r="F199" i="39"/>
  <c r="C2666" i="39"/>
  <c r="U2666" i="39" s="1"/>
  <c r="F2667" i="39"/>
  <c r="F1889" i="39"/>
  <c r="C1888" i="39"/>
  <c r="U1888" i="39" s="1"/>
  <c r="F991" i="39"/>
  <c r="AA991" i="39"/>
  <c r="AC991" i="39"/>
  <c r="F765" i="39"/>
  <c r="AC741" i="39"/>
  <c r="AA741"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8" i="39"/>
  <c r="AA1658" i="39"/>
  <c r="AC1657" i="39"/>
  <c r="AA1657" i="39"/>
  <c r="AC1656" i="39"/>
  <c r="AA1656" i="39"/>
  <c r="AC1655" i="39"/>
  <c r="AA1655" i="39"/>
  <c r="AC1654" i="39"/>
  <c r="AA1654" i="39"/>
  <c r="AC1653" i="39"/>
  <c r="AA1653" i="39"/>
  <c r="AC1652" i="39"/>
  <c r="AA1652" i="39"/>
  <c r="F1652" i="39"/>
  <c r="AC1651" i="39"/>
  <c r="AA1651" i="39"/>
  <c r="C1651" i="39"/>
  <c r="U1651" i="39" s="1"/>
  <c r="AC343" i="39"/>
  <c r="AA343" i="39"/>
  <c r="AC370" i="39"/>
  <c r="AA370" i="39"/>
  <c r="AC371" i="39"/>
  <c r="AA371" i="39"/>
  <c r="AC2614" i="39"/>
  <c r="AA2614" i="39"/>
  <c r="AC2613" i="39"/>
  <c r="AA2613" i="39"/>
  <c r="AC2612" i="39"/>
  <c r="AA2612" i="39"/>
  <c r="AC2611" i="39"/>
  <c r="AA2611" i="39"/>
  <c r="AC2610" i="39"/>
  <c r="AA2610" i="39"/>
  <c r="F2610" i="39"/>
  <c r="AC2609" i="39"/>
  <c r="AA2609" i="39"/>
  <c r="C2609" i="39"/>
  <c r="U2609" i="39" s="1"/>
  <c r="AC2608" i="39"/>
  <c r="AA2608" i="39"/>
  <c r="AC2603" i="39"/>
  <c r="AA2603" i="39"/>
  <c r="AC2602" i="39"/>
  <c r="AA2602" i="39"/>
  <c r="AC2601" i="39"/>
  <c r="AA2601" i="39"/>
  <c r="AC2600" i="39"/>
  <c r="AA2600"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F2589" i="39"/>
  <c r="AC2588" i="39"/>
  <c r="AA2588" i="39"/>
  <c r="C2588" i="39"/>
  <c r="U2588" i="39" s="1"/>
  <c r="AC579" i="39"/>
  <c r="AA579" i="39"/>
  <c r="F577" i="39"/>
  <c r="AC577" i="39"/>
  <c r="AA577" i="39"/>
  <c r="AC581" i="39"/>
  <c r="AA581" i="39"/>
  <c r="AC580" i="39"/>
  <c r="AA580" i="39"/>
  <c r="AC578" i="39"/>
  <c r="AA578" i="39"/>
  <c r="AC576" i="39"/>
  <c r="AA576" i="39"/>
  <c r="C576" i="39"/>
  <c r="U576" i="39" s="1"/>
  <c r="AC992" i="39"/>
  <c r="AA992" i="39"/>
  <c r="F992" i="39"/>
  <c r="AC993" i="39"/>
  <c r="AA993" i="39"/>
  <c r="AC990" i="39"/>
  <c r="AA990" i="39"/>
  <c r="C990" i="39"/>
  <c r="U990"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38" i="39"/>
  <c r="AC2438" i="39"/>
  <c r="AA2438" i="39"/>
  <c r="AC2439" i="39"/>
  <c r="AA2439" i="39"/>
  <c r="AC2443" i="39"/>
  <c r="AA2443" i="39"/>
  <c r="AC2441" i="39"/>
  <c r="AA2441" i="39"/>
  <c r="AC2440" i="39"/>
  <c r="AA2440" i="39"/>
  <c r="AC2437" i="39"/>
  <c r="AA2437" i="39"/>
  <c r="C2437" i="39"/>
  <c r="U2437" i="39" s="1"/>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3" i="39"/>
  <c r="AA2513" i="39"/>
  <c r="F2513" i="39"/>
  <c r="AC2512" i="39"/>
  <c r="AA2512" i="39"/>
  <c r="C2512" i="39"/>
  <c r="U2512" i="39" s="1"/>
  <c r="AC2096" i="39"/>
  <c r="AA2096" i="39"/>
  <c r="AC2095" i="39"/>
  <c r="AA2095" i="39"/>
  <c r="AC2094" i="39"/>
  <c r="AA2094" i="39"/>
  <c r="AC2093" i="39"/>
  <c r="AA2093" i="39"/>
  <c r="AC2092" i="39"/>
  <c r="AA2092" i="39"/>
  <c r="AC2091" i="39"/>
  <c r="AA2091" i="39"/>
  <c r="AC2090" i="39"/>
  <c r="AA2090" i="39"/>
  <c r="AC2089" i="39"/>
  <c r="AA2089" i="39"/>
  <c r="AC2088" i="39"/>
  <c r="AA2088" i="39"/>
  <c r="F2088" i="39"/>
  <c r="AC2087" i="39"/>
  <c r="AA2087" i="39"/>
  <c r="C2087" i="39"/>
  <c r="U2087" i="39" s="1"/>
  <c r="AC1030" i="39"/>
  <c r="AA1030" i="39"/>
  <c r="AC738" i="39"/>
  <c r="AA738" i="39"/>
  <c r="AC737" i="39"/>
  <c r="AA737" i="39"/>
  <c r="AC736" i="39"/>
  <c r="AA736" i="39"/>
  <c r="AC735" i="39"/>
  <c r="AA735" i="39"/>
  <c r="AC734" i="39"/>
  <c r="AA734" i="39"/>
  <c r="AC733" i="39"/>
  <c r="AA733" i="39"/>
  <c r="F733" i="39"/>
  <c r="AC732" i="39"/>
  <c r="AA732" i="39"/>
  <c r="C732" i="39"/>
  <c r="U732" i="39" s="1"/>
  <c r="AC2311" i="39"/>
  <c r="AA2311" i="39"/>
  <c r="AC2309" i="39"/>
  <c r="AA2309" i="39"/>
  <c r="AC2304" i="39"/>
  <c r="AA2304" i="39"/>
  <c r="AC2301" i="39"/>
  <c r="AA2301" i="39"/>
  <c r="AC2300" i="39"/>
  <c r="AA2300" i="39"/>
  <c r="F2298" i="39"/>
  <c r="AC2298" i="39"/>
  <c r="AA2298" i="39"/>
  <c r="AC2312" i="39"/>
  <c r="AA2312" i="39"/>
  <c r="AC2310" i="39"/>
  <c r="AA2310" i="39"/>
  <c r="AC2308" i="39"/>
  <c r="AA2308" i="39"/>
  <c r="AC2307" i="39"/>
  <c r="AA2307" i="39"/>
  <c r="AC2305" i="39"/>
  <c r="AA2305" i="39"/>
  <c r="AC2303" i="39"/>
  <c r="AA2303" i="39"/>
  <c r="AC2302" i="39"/>
  <c r="AA2302" i="39"/>
  <c r="AC2299" i="39"/>
  <c r="AA2299" i="39"/>
  <c r="AC2297" i="39"/>
  <c r="AA2297" i="39"/>
  <c r="C2297" i="39"/>
  <c r="U2297" i="39" s="1"/>
  <c r="AC2457" i="39"/>
  <c r="AA2457" i="39"/>
  <c r="AC2456" i="39"/>
  <c r="AA2456" i="39"/>
  <c r="AC2455" i="39"/>
  <c r="AA2455" i="39"/>
  <c r="AC2454" i="39"/>
  <c r="AA2454" i="39"/>
  <c r="AC2453" i="39"/>
  <c r="AA2453" i="39"/>
  <c r="AC2452" i="39"/>
  <c r="AA2452" i="39"/>
  <c r="AC2451" i="39"/>
  <c r="AA2451" i="39"/>
  <c r="AC2450" i="39"/>
  <c r="AA2450" i="39"/>
  <c r="F2450" i="39"/>
  <c r="AC2449" i="39"/>
  <c r="AA2449" i="39"/>
  <c r="C2449" i="39"/>
  <c r="U2449" i="39" s="1"/>
  <c r="AC2448" i="39"/>
  <c r="AA2448" i="39"/>
  <c r="F2448" i="39"/>
  <c r="AC2447" i="39"/>
  <c r="AA2447" i="39"/>
  <c r="C2447" i="39"/>
  <c r="U2447" i="39" s="1"/>
  <c r="AC2446" i="39"/>
  <c r="AA2446" i="39"/>
  <c r="AC2445" i="39"/>
  <c r="AA2445" i="39"/>
  <c r="F2445" i="39"/>
  <c r="AC2444" i="39"/>
  <c r="AA2444" i="39"/>
  <c r="C2444" i="39"/>
  <c r="U2444" i="39" s="1"/>
  <c r="AC2436" i="39"/>
  <c r="AA2436" i="39"/>
  <c r="AC2435" i="39"/>
  <c r="AA2435" i="39"/>
  <c r="AC2434" i="39"/>
  <c r="AA2434" i="39"/>
  <c r="AC2433" i="39"/>
  <c r="AA2433" i="39"/>
  <c r="AC2432" i="39"/>
  <c r="AA2432" i="39"/>
  <c r="AC2431" i="39"/>
  <c r="AA2431" i="39"/>
  <c r="AC2430" i="39"/>
  <c r="AA2430" i="39"/>
  <c r="AC2429" i="39"/>
  <c r="AA2429" i="39"/>
  <c r="AC2428" i="39"/>
  <c r="AA2428" i="39"/>
  <c r="AC2427" i="39"/>
  <c r="AA2427" i="39"/>
  <c r="AC2426" i="39"/>
  <c r="AA2426" i="39"/>
  <c r="AC2425" i="39"/>
  <c r="AA2425" i="39"/>
  <c r="AC2424" i="39"/>
  <c r="AA2424" i="39"/>
  <c r="F2424" i="39"/>
  <c r="AC2423" i="39"/>
  <c r="AA2423" i="39"/>
  <c r="C2423" i="39"/>
  <c r="U2423" i="39" s="1"/>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F2001" i="39"/>
  <c r="AC2000" i="39"/>
  <c r="AA2000" i="39"/>
  <c r="C2000" i="39"/>
  <c r="U2000"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19" i="39"/>
  <c r="AA1619" i="39"/>
  <c r="AC1618" i="39"/>
  <c r="AA1618" i="39"/>
  <c r="F1618" i="39"/>
  <c r="AC1617" i="39"/>
  <c r="AA1617" i="39"/>
  <c r="F1617" i="39"/>
  <c r="AC1616" i="39"/>
  <c r="AA1616" i="39"/>
  <c r="C1616" i="39"/>
  <c r="U1616"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79" i="39"/>
  <c r="AA2379" i="39"/>
  <c r="AC2398" i="39"/>
  <c r="AA2398" i="39"/>
  <c r="F2398" i="39"/>
  <c r="F2399" i="39"/>
  <c r="C2397" i="39"/>
  <c r="U2397" i="39" s="1"/>
  <c r="AC2397" i="39"/>
  <c r="AA2397" i="39"/>
  <c r="AC2377" i="39"/>
  <c r="AA2377" i="39"/>
  <c r="AC2396" i="39"/>
  <c r="AA2396" i="39"/>
  <c r="AC2395" i="39"/>
  <c r="AA2395" i="39"/>
  <c r="AC2394" i="39"/>
  <c r="AA2394" i="39"/>
  <c r="AC2393" i="39"/>
  <c r="AA2393" i="39"/>
  <c r="AC2392" i="39"/>
  <c r="AA2392" i="39"/>
  <c r="AC2391" i="39"/>
  <c r="AA2391" i="39"/>
  <c r="AC2390" i="39"/>
  <c r="AA2390" i="39"/>
  <c r="AC2389" i="39"/>
  <c r="AA2389" i="39"/>
  <c r="AC2388" i="39"/>
  <c r="AA2388" i="39"/>
  <c r="AC2387" i="39"/>
  <c r="AA2387" i="39"/>
  <c r="AC2386" i="39"/>
  <c r="AA2386" i="39"/>
  <c r="AC2385" i="39"/>
  <c r="AA2385" i="39"/>
  <c r="AC2384" i="39"/>
  <c r="AA2384" i="39"/>
  <c r="AC2383" i="39"/>
  <c r="AA2383" i="39"/>
  <c r="AC2382" i="39"/>
  <c r="AA2382" i="39"/>
  <c r="AC2381" i="39"/>
  <c r="AA2381" i="39"/>
  <c r="AC2380" i="39"/>
  <c r="AA2380" i="39"/>
  <c r="AC2378" i="39"/>
  <c r="AA2378" i="39"/>
  <c r="AC2375" i="39"/>
  <c r="AA2375" i="39"/>
  <c r="AC2374" i="39"/>
  <c r="AA2374" i="39"/>
  <c r="AC2373" i="39"/>
  <c r="AA2373" i="39"/>
  <c r="AC2372" i="39"/>
  <c r="AA2372" i="39"/>
  <c r="AC2371" i="39"/>
  <c r="AA2371" i="39"/>
  <c r="AC2369" i="39"/>
  <c r="AA2369" i="39"/>
  <c r="AC2367" i="39"/>
  <c r="AA2367" i="39"/>
  <c r="AC2364" i="39"/>
  <c r="AA2364" i="39"/>
  <c r="AC2363" i="39"/>
  <c r="AA2363" i="39"/>
  <c r="F2363" i="39"/>
  <c r="AC2362" i="39"/>
  <c r="AA2362" i="39"/>
  <c r="C2362" i="39"/>
  <c r="U2362" i="39" s="1"/>
  <c r="AC379" i="39"/>
  <c r="AA379" i="39"/>
  <c r="AC378" i="39"/>
  <c r="AA378" i="39"/>
  <c r="AC1025" i="39"/>
  <c r="AA1025" i="39"/>
  <c r="AC1024" i="39"/>
  <c r="AA102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29" i="39"/>
  <c r="AA1029" i="39"/>
  <c r="AC1028" i="39"/>
  <c r="AA1028" i="39"/>
  <c r="AC1027" i="39"/>
  <c r="AA1027" i="39"/>
  <c r="AC1026" i="39"/>
  <c r="AA1026"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F1008" i="39"/>
  <c r="AC1007" i="39"/>
  <c r="AA1007" i="39"/>
  <c r="C1007" i="39"/>
  <c r="U1007" i="39" s="1"/>
  <c r="C1789" i="39" l="1"/>
  <c r="U1789" i="39" s="1"/>
  <c r="F1790" i="39"/>
  <c r="V1789" i="39"/>
  <c r="F2364" i="39"/>
  <c r="F2230" i="39"/>
  <c r="V2225" i="39"/>
  <c r="C2225" i="39"/>
  <c r="U2225" i="39" s="1"/>
  <c r="F37" i="39"/>
  <c r="F1145" i="39"/>
  <c r="V1144" i="39"/>
  <c r="C1144" i="39"/>
  <c r="U1144" i="39" s="1"/>
  <c r="V2424" i="39"/>
  <c r="V2445" i="39"/>
  <c r="V992" i="39"/>
  <c r="V2513" i="39"/>
  <c r="V2298" i="39"/>
  <c r="V2001" i="39"/>
  <c r="V2438" i="39"/>
  <c r="V1889" i="39"/>
  <c r="V2399" i="39"/>
  <c r="V477" i="39"/>
  <c r="V2667" i="39"/>
  <c r="V577" i="39"/>
  <c r="V2610" i="39"/>
  <c r="V2450" i="39"/>
  <c r="V583" i="39"/>
  <c r="V199" i="39"/>
  <c r="V246" i="39"/>
  <c r="V1008" i="39"/>
  <c r="V733" i="39"/>
  <c r="V991" i="39"/>
  <c r="V2363" i="39"/>
  <c r="V2398" i="39"/>
  <c r="V1617" i="39"/>
  <c r="V565" i="39"/>
  <c r="V1618" i="39"/>
  <c r="V2088" i="39"/>
  <c r="V1403" i="39"/>
  <c r="F1404" i="39"/>
  <c r="V1652" i="39"/>
  <c r="V765" i="39"/>
  <c r="V2589" i="39"/>
  <c r="V2448" i="39"/>
  <c r="C1403" i="39"/>
  <c r="U1403" i="39" s="1"/>
  <c r="V19" i="39"/>
  <c r="V36" i="39"/>
  <c r="C199" i="39"/>
  <c r="U199" i="39" s="1"/>
  <c r="F200" i="39"/>
  <c r="C2667" i="39"/>
  <c r="U2667" i="39" s="1"/>
  <c r="F2668" i="39"/>
  <c r="F766" i="39"/>
  <c r="C1889" i="39"/>
  <c r="U1889" i="39" s="1"/>
  <c r="F1890" i="39"/>
  <c r="C991" i="39"/>
  <c r="U991" i="39" s="1"/>
  <c r="F993" i="39"/>
  <c r="C1652" i="39"/>
  <c r="U1652" i="39" s="1"/>
  <c r="F1653" i="39"/>
  <c r="C2610" i="39"/>
  <c r="U2610" i="39" s="1"/>
  <c r="F2590" i="39"/>
  <c r="C2589" i="39"/>
  <c r="U2589" i="39" s="1"/>
  <c r="F2611" i="39"/>
  <c r="F578" i="39"/>
  <c r="F579" i="39"/>
  <c r="C992" i="39"/>
  <c r="U992" i="39" s="1"/>
  <c r="F478" i="39"/>
  <c r="C477" i="39"/>
  <c r="U477" i="39" s="1"/>
  <c r="F2515" i="39"/>
  <c r="F584" i="39"/>
  <c r="C583" i="39"/>
  <c r="U583" i="39" s="1"/>
  <c r="F2439" i="39"/>
  <c r="C2438" i="39"/>
  <c r="U2438" i="39" s="1"/>
  <c r="C2088" i="39"/>
  <c r="U2088" i="39" s="1"/>
  <c r="C2424" i="39"/>
  <c r="U2424" i="39" s="1"/>
  <c r="C2513" i="39"/>
  <c r="U2513" i="39" s="1"/>
  <c r="F2089" i="39"/>
  <c r="F734" i="39"/>
  <c r="C733" i="39"/>
  <c r="U733" i="39" s="1"/>
  <c r="F2301" i="39"/>
  <c r="C2298" i="39"/>
  <c r="U2298" i="39" s="1"/>
  <c r="F2299" i="39"/>
  <c r="C2450" i="39"/>
  <c r="U2450" i="39" s="1"/>
  <c r="F2451" i="39"/>
  <c r="C565" i="39"/>
  <c r="U565" i="39" s="1"/>
  <c r="F2446" i="39"/>
  <c r="C2448" i="39"/>
  <c r="U2448" i="39" s="1"/>
  <c r="C2445" i="39"/>
  <c r="U2445" i="39" s="1"/>
  <c r="F2425" i="39"/>
  <c r="C2001" i="39"/>
  <c r="U2001" i="39" s="1"/>
  <c r="F2002" i="39"/>
  <c r="F566" i="39"/>
  <c r="C36" i="39"/>
  <c r="U36" i="39" s="1"/>
  <c r="C19" i="39"/>
  <c r="U19" i="39" s="1"/>
  <c r="F20" i="39"/>
  <c r="F1619" i="39"/>
  <c r="C1617" i="39"/>
  <c r="U1617" i="39" s="1"/>
  <c r="C2399" i="39"/>
  <c r="U2399" i="39" s="1"/>
  <c r="F247" i="39"/>
  <c r="C1618" i="39"/>
  <c r="U1618" i="39" s="1"/>
  <c r="C246" i="39"/>
  <c r="U246" i="39" s="1"/>
  <c r="C2398" i="39"/>
  <c r="U2398" i="39" s="1"/>
  <c r="C2363" i="39"/>
  <c r="U2363" i="39" s="1"/>
  <c r="F1009" i="39"/>
  <c r="C1008" i="39"/>
  <c r="U1008" i="39" s="1"/>
  <c r="AC2702" i="39"/>
  <c r="AA2702" i="39"/>
  <c r="AC2701" i="39"/>
  <c r="AA2701" i="39"/>
  <c r="AC2700" i="39"/>
  <c r="AA2700" i="39"/>
  <c r="AC2699" i="39"/>
  <c r="AA2699" i="39"/>
  <c r="AC2698" i="39"/>
  <c r="AA2698" i="39"/>
  <c r="AC2697" i="39"/>
  <c r="AA2697" i="39"/>
  <c r="F2697" i="39"/>
  <c r="AC2696" i="39"/>
  <c r="AA2696" i="39"/>
  <c r="C2696" i="39"/>
  <c r="U2696" i="39" s="1"/>
  <c r="AC2636" i="39"/>
  <c r="AA2636" i="39"/>
  <c r="AC2633" i="39"/>
  <c r="AA2633" i="39"/>
  <c r="AC2630" i="39"/>
  <c r="AA2630" i="39"/>
  <c r="AC2629" i="39"/>
  <c r="AA2629"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F2616" i="39"/>
  <c r="AC2615" i="39"/>
  <c r="AA2615" i="39"/>
  <c r="C2615" i="39"/>
  <c r="U2615" i="39" s="1"/>
  <c r="AC2422" i="39"/>
  <c r="AA2422"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9" i="39"/>
  <c r="AA2409" i="39"/>
  <c r="AC2408" i="39"/>
  <c r="AA2408" i="39"/>
  <c r="AC2407" i="39"/>
  <c r="AA2407" i="39"/>
  <c r="AC2406" i="39"/>
  <c r="AA2406" i="39"/>
  <c r="AC2405" i="39"/>
  <c r="AA2405" i="39"/>
  <c r="AC2404" i="39"/>
  <c r="AA2404" i="39"/>
  <c r="AC2403" i="39"/>
  <c r="AA2403" i="39"/>
  <c r="AC2402" i="39"/>
  <c r="AA2402" i="39"/>
  <c r="AC2400" i="39"/>
  <c r="AA2400" i="39"/>
  <c r="C2400" i="39"/>
  <c r="U2400" i="39" s="1"/>
  <c r="AC2399" i="39"/>
  <c r="AA2399" i="39"/>
  <c r="AC2341" i="39"/>
  <c r="AA2341" i="39"/>
  <c r="AC2340" i="39"/>
  <c r="AA2340" i="39"/>
  <c r="AC2339" i="39"/>
  <c r="AA2339" i="39"/>
  <c r="AC2338" i="39"/>
  <c r="AA2338" i="39"/>
  <c r="F2338" i="39"/>
  <c r="AC2337" i="39"/>
  <c r="AA2337" i="39"/>
  <c r="C2337" i="39"/>
  <c r="U2337" i="39" s="1"/>
  <c r="AC2267" i="39"/>
  <c r="AA2267" i="39"/>
  <c r="AC2266" i="39"/>
  <c r="AA2266" i="39"/>
  <c r="AC2265" i="39"/>
  <c r="AA2265" i="39"/>
  <c r="F2265" i="39"/>
  <c r="AC2264" i="39"/>
  <c r="AA2264" i="39"/>
  <c r="C2264" i="39"/>
  <c r="U2264" i="39" s="1"/>
  <c r="AC2186" i="39"/>
  <c r="AA2186" i="39"/>
  <c r="AC2185" i="39"/>
  <c r="AA2185" i="39"/>
  <c r="AC2184" i="39"/>
  <c r="AA2184" i="39"/>
  <c r="AC2183" i="39"/>
  <c r="AA2183" i="39"/>
  <c r="AC2182" i="39"/>
  <c r="AA2182" i="39"/>
  <c r="F2182" i="39"/>
  <c r="AC2181" i="39"/>
  <c r="AA2181" i="39"/>
  <c r="C2181" i="39"/>
  <c r="U2181" i="39" s="1"/>
  <c r="AC2156" i="39"/>
  <c r="AA2156" i="39"/>
  <c r="AC2155" i="39"/>
  <c r="AA2155" i="39"/>
  <c r="AC2154" i="39"/>
  <c r="AA2154" i="39"/>
  <c r="AC2153" i="39"/>
  <c r="AA2153" i="39"/>
  <c r="AC2152" i="39"/>
  <c r="AA2152" i="39"/>
  <c r="F2152" i="39"/>
  <c r="AC2151" i="39"/>
  <c r="AA2151" i="39"/>
  <c r="C2151" i="39"/>
  <c r="U2151" i="39" s="1"/>
  <c r="AC2127" i="39"/>
  <c r="AA2127" i="39"/>
  <c r="F2127" i="39"/>
  <c r="AC2126" i="39"/>
  <c r="AA2126" i="39"/>
  <c r="C2126" i="39"/>
  <c r="U2126" i="39" s="1"/>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F2098" i="39"/>
  <c r="AC2097" i="39"/>
  <c r="AA2097" i="39"/>
  <c r="C2097" i="39"/>
  <c r="U2097" i="39" s="1"/>
  <c r="AC2066" i="39"/>
  <c r="AA2066" i="39"/>
  <c r="AC2065" i="39"/>
  <c r="AA2065" i="39"/>
  <c r="AC2064" i="39"/>
  <c r="AA2064" i="39"/>
  <c r="AC2063" i="39"/>
  <c r="AA2063" i="39"/>
  <c r="AC2062" i="39"/>
  <c r="AA2062" i="39"/>
  <c r="F2062" i="39"/>
  <c r="AC2061" i="39"/>
  <c r="AA2061" i="39"/>
  <c r="C2061" i="39"/>
  <c r="U2061" i="39" s="1"/>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F2042" i="39"/>
  <c r="AC2041" i="39"/>
  <c r="AA2041" i="39"/>
  <c r="C2041" i="39"/>
  <c r="U2041" i="39" s="1"/>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F2029" i="39"/>
  <c r="AC2028" i="39"/>
  <c r="AA2028" i="39"/>
  <c r="C2028" i="39"/>
  <c r="U2028" i="39" s="1"/>
  <c r="AC1999" i="39"/>
  <c r="AA1999" i="39"/>
  <c r="AC1998" i="39"/>
  <c r="AA1998" i="39"/>
  <c r="AC1997" i="39"/>
  <c r="AA1997" i="39"/>
  <c r="AC1996" i="39"/>
  <c r="AA1996" i="39"/>
  <c r="AC1995" i="39"/>
  <c r="AA1995" i="39"/>
  <c r="AC1994" i="39"/>
  <c r="AA1994" i="39"/>
  <c r="AC1993" i="39"/>
  <c r="AA1993" i="39"/>
  <c r="F1993" i="39"/>
  <c r="AC1992" i="39"/>
  <c r="AA1992" i="39"/>
  <c r="C1992" i="39"/>
  <c r="U1992" i="39" s="1"/>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F1975" i="39"/>
  <c r="AC1974" i="39"/>
  <c r="AA1974" i="39"/>
  <c r="C1974" i="39"/>
  <c r="U1974" i="39" s="1"/>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F1942" i="39"/>
  <c r="AC1941" i="39"/>
  <c r="AA1941" i="39"/>
  <c r="C1941" i="39"/>
  <c r="U1941" i="39" s="1"/>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F1672" i="39"/>
  <c r="AC1671" i="39"/>
  <c r="AA1671" i="39"/>
  <c r="U1671" i="39"/>
  <c r="AC1639" i="39"/>
  <c r="AA1639" i="39"/>
  <c r="AC1638" i="39"/>
  <c r="AA1638" i="39"/>
  <c r="AC1637" i="39"/>
  <c r="AA1637" i="39"/>
  <c r="AC1636" i="39"/>
  <c r="AA1636" i="39"/>
  <c r="AC1635" i="39"/>
  <c r="AA1635" i="39"/>
  <c r="F1635" i="39"/>
  <c r="AC1634" i="39"/>
  <c r="AA1634" i="39"/>
  <c r="C1634" i="39"/>
  <c r="U1634" i="39" s="1"/>
  <c r="AC1601" i="39"/>
  <c r="AA1601" i="39"/>
  <c r="AC1600" i="39"/>
  <c r="AA1600" i="39"/>
  <c r="F1600" i="39"/>
  <c r="AC1599" i="39"/>
  <c r="AA1599" i="39"/>
  <c r="C1599" i="39"/>
  <c r="U1599" i="39" s="1"/>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F1528" i="39"/>
  <c r="AC1527" i="39"/>
  <c r="AA1527" i="39"/>
  <c r="C1527" i="39"/>
  <c r="U1527" i="39" s="1"/>
  <c r="AC1526" i="39"/>
  <c r="AA1526" i="39"/>
  <c r="AC1525" i="39"/>
  <c r="AA1525" i="39"/>
  <c r="AC1524" i="39"/>
  <c r="AA1524" i="39"/>
  <c r="F1524" i="39"/>
  <c r="AC1523" i="39"/>
  <c r="AA1523" i="39"/>
  <c r="C1523" i="39"/>
  <c r="U1523" i="39" s="1"/>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F1509" i="39"/>
  <c r="AC1508" i="39"/>
  <c r="AA1508" i="39"/>
  <c r="C1508" i="39"/>
  <c r="U1508" i="39" s="1"/>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F1441" i="39"/>
  <c r="AC1440" i="39"/>
  <c r="AA1440" i="39"/>
  <c r="C1440" i="39"/>
  <c r="U1440" i="39" s="1"/>
  <c r="AC1439" i="39"/>
  <c r="AA1439" i="39"/>
  <c r="F1439" i="39"/>
  <c r="AC1438" i="39"/>
  <c r="AA1438" i="39"/>
  <c r="C1438" i="39"/>
  <c r="U1438" i="39" s="1"/>
  <c r="AC1292" i="39"/>
  <c r="AA1292" i="39"/>
  <c r="AC1291" i="39"/>
  <c r="AA1291" i="39"/>
  <c r="F1291" i="39"/>
  <c r="AC1290" i="39"/>
  <c r="AA1290" i="39"/>
  <c r="C1290" i="39"/>
  <c r="U1290" i="39" s="1"/>
  <c r="AC1289" i="39"/>
  <c r="AA1289" i="39"/>
  <c r="AC1288" i="39"/>
  <c r="AA1288" i="39"/>
  <c r="AC1287" i="39"/>
  <c r="AA1287" i="39"/>
  <c r="AC1286" i="39"/>
  <c r="AA1286" i="39"/>
  <c r="AC1285" i="39"/>
  <c r="AA1285" i="39"/>
  <c r="AC1284" i="39"/>
  <c r="AA1284" i="39"/>
  <c r="AC1283" i="39"/>
  <c r="AA1283" i="39"/>
  <c r="F1283" i="39"/>
  <c r="AC1282" i="39"/>
  <c r="AA1282" i="39"/>
  <c r="C1282" i="39"/>
  <c r="U1282" i="39" s="1"/>
  <c r="C1790" i="39" l="1"/>
  <c r="U1790" i="39" s="1"/>
  <c r="F1791" i="39"/>
  <c r="V1790" i="39"/>
  <c r="F2365" i="39"/>
  <c r="F2231" i="39"/>
  <c r="C2226" i="39"/>
  <c r="U2226" i="39" s="1"/>
  <c r="V2226" i="39"/>
  <c r="F38" i="39"/>
  <c r="C1145" i="39"/>
  <c r="U1145" i="39" s="1"/>
  <c r="F1146" i="39"/>
  <c r="V1145" i="39"/>
  <c r="C1404" i="39"/>
  <c r="U1404" i="39" s="1"/>
  <c r="F1405" i="39"/>
  <c r="F1601" i="39"/>
  <c r="V2301" i="39"/>
  <c r="V2098" i="39"/>
  <c r="V2338" i="39"/>
  <c r="V2364" i="39"/>
  <c r="V247" i="39"/>
  <c r="V734" i="39"/>
  <c r="V2590" i="39"/>
  <c r="V478" i="39"/>
  <c r="V2616" i="39"/>
  <c r="V2089" i="39"/>
  <c r="V2611" i="39"/>
  <c r="V1291" i="39"/>
  <c r="V2029" i="39"/>
  <c r="V1619" i="39"/>
  <c r="V2697" i="39"/>
  <c r="V1942" i="39"/>
  <c r="V1528" i="39"/>
  <c r="V1993" i="39"/>
  <c r="V2062" i="39"/>
  <c r="V2182" i="39"/>
  <c r="V2439" i="39"/>
  <c r="V1653" i="39"/>
  <c r="V566" i="39"/>
  <c r="V1009" i="39"/>
  <c r="V2042" i="39"/>
  <c r="V2002" i="39"/>
  <c r="V584" i="39"/>
  <c r="V2451" i="39"/>
  <c r="V2515" i="39"/>
  <c r="V993" i="39"/>
  <c r="V1439" i="39"/>
  <c r="V2265" i="39"/>
  <c r="V2425" i="39"/>
  <c r="V1404" i="39"/>
  <c r="V1283" i="39"/>
  <c r="V1672" i="39"/>
  <c r="V2299" i="39"/>
  <c r="V1635" i="39"/>
  <c r="V578" i="39"/>
  <c r="V1509" i="39"/>
  <c r="V1600" i="39"/>
  <c r="V1975" i="39"/>
  <c r="V1890" i="39"/>
  <c r="V1524" i="39"/>
  <c r="V2446" i="39"/>
  <c r="V1441" i="39"/>
  <c r="V2668" i="39"/>
  <c r="V579" i="39"/>
  <c r="V200" i="39"/>
  <c r="V2127" i="39"/>
  <c r="V2152" i="39"/>
  <c r="V766" i="39"/>
  <c r="V20" i="39"/>
  <c r="V37" i="39"/>
  <c r="C200" i="39"/>
  <c r="U200" i="39" s="1"/>
  <c r="F201" i="39"/>
  <c r="C2401" i="39"/>
  <c r="U2401" i="39" s="1"/>
  <c r="C2668" i="39"/>
  <c r="U2668" i="39" s="1"/>
  <c r="F2669" i="39"/>
  <c r="C1890" i="39"/>
  <c r="U1890" i="39" s="1"/>
  <c r="F1891" i="39"/>
  <c r="F767" i="39"/>
  <c r="C1653" i="39"/>
  <c r="U1653" i="39" s="1"/>
  <c r="F1654" i="39"/>
  <c r="F2612" i="39"/>
  <c r="C2611" i="39"/>
  <c r="U2611" i="39" s="1"/>
  <c r="C2590" i="39"/>
  <c r="U2590" i="39" s="1"/>
  <c r="F2591" i="39"/>
  <c r="C578" i="39"/>
  <c r="U578" i="39" s="1"/>
  <c r="C579" i="39"/>
  <c r="U579" i="39" s="1"/>
  <c r="F580" i="39"/>
  <c r="C993" i="39"/>
  <c r="U993" i="39" s="1"/>
  <c r="C478" i="39"/>
  <c r="U478" i="39" s="1"/>
  <c r="F479" i="39"/>
  <c r="C2515" i="39"/>
  <c r="U2515" i="39" s="1"/>
  <c r="C584" i="39"/>
  <c r="U584" i="39" s="1"/>
  <c r="F585" i="39"/>
  <c r="C2439" i="39"/>
  <c r="U2439" i="39" s="1"/>
  <c r="F2516" i="39"/>
  <c r="F2440" i="39"/>
  <c r="F2302" i="39"/>
  <c r="C2299" i="39"/>
  <c r="U2299" i="39" s="1"/>
  <c r="F2090" i="39"/>
  <c r="C2089" i="39"/>
  <c r="U2089" i="39" s="1"/>
  <c r="F2300" i="39"/>
  <c r="C734" i="39"/>
  <c r="U734" i="39" s="1"/>
  <c r="F735" i="39"/>
  <c r="C2301" i="39"/>
  <c r="U2301" i="39" s="1"/>
  <c r="F2452" i="39"/>
  <c r="C2451" i="39"/>
  <c r="U2451" i="39" s="1"/>
  <c r="C2446" i="39"/>
  <c r="U2446" i="39" s="1"/>
  <c r="C2425" i="39"/>
  <c r="U2425" i="39" s="1"/>
  <c r="F2426" i="39"/>
  <c r="F2003" i="39"/>
  <c r="C2002" i="39"/>
  <c r="U2002" i="39" s="1"/>
  <c r="F567" i="39"/>
  <c r="C566" i="39"/>
  <c r="U566" i="39" s="1"/>
  <c r="C37" i="39"/>
  <c r="U37" i="39" s="1"/>
  <c r="F21" i="39"/>
  <c r="C20" i="39"/>
  <c r="U20" i="39" s="1"/>
  <c r="C1619" i="39"/>
  <c r="U1619" i="39" s="1"/>
  <c r="F248" i="39"/>
  <c r="C247" i="39"/>
  <c r="U247" i="39" s="1"/>
  <c r="C2364" i="39"/>
  <c r="U2364" i="39" s="1"/>
  <c r="F1010" i="39"/>
  <c r="C1009" i="39"/>
  <c r="U1009" i="39" s="1"/>
  <c r="C1672" i="39"/>
  <c r="U1672" i="39" s="1"/>
  <c r="C1509" i="39"/>
  <c r="U1509" i="39" s="1"/>
  <c r="F1529" i="39"/>
  <c r="C1975" i="39"/>
  <c r="U1975" i="39" s="1"/>
  <c r="C2062" i="39"/>
  <c r="U2062" i="39" s="1"/>
  <c r="C2616" i="39"/>
  <c r="U2616" i="39" s="1"/>
  <c r="C1528" i="39"/>
  <c r="U1528" i="39" s="1"/>
  <c r="C1993" i="39"/>
  <c r="U1993" i="39" s="1"/>
  <c r="C2182" i="39"/>
  <c r="U2182" i="39" s="1"/>
  <c r="F1442" i="39"/>
  <c r="F2099" i="39"/>
  <c r="C2697" i="39"/>
  <c r="U2697" i="39" s="1"/>
  <c r="F1525" i="39"/>
  <c r="F1526" i="39"/>
  <c r="F2183" i="39"/>
  <c r="C2098" i="39"/>
  <c r="U2098" i="39" s="1"/>
  <c r="F1994" i="39"/>
  <c r="F1510" i="39"/>
  <c r="F2153" i="39"/>
  <c r="F1284" i="39"/>
  <c r="C1524" i="39"/>
  <c r="U1524" i="39" s="1"/>
  <c r="F1943" i="39"/>
  <c r="C1441" i="39"/>
  <c r="U1441" i="39" s="1"/>
  <c r="C2152" i="39"/>
  <c r="U2152" i="39" s="1"/>
  <c r="C1283" i="39"/>
  <c r="U1283" i="39" s="1"/>
  <c r="C1291" i="39"/>
  <c r="U1291" i="39" s="1"/>
  <c r="C1439" i="39"/>
  <c r="U1439" i="39" s="1"/>
  <c r="C2265" i="39"/>
  <c r="U2265" i="39" s="1"/>
  <c r="F2266" i="39"/>
  <c r="F1976" i="39"/>
  <c r="F1292" i="39"/>
  <c r="C1635" i="39"/>
  <c r="U1635" i="39" s="1"/>
  <c r="F1636" i="39"/>
  <c r="C1942" i="39"/>
  <c r="U1942" i="39" s="1"/>
  <c r="C2338" i="39"/>
  <c r="U2338" i="39" s="1"/>
  <c r="F2339" i="39"/>
  <c r="C2402" i="39"/>
  <c r="U2402" i="39" s="1"/>
  <c r="F1673" i="39"/>
  <c r="C1600" i="39"/>
  <c r="U1600" i="39" s="1"/>
  <c r="C2029" i="39"/>
  <c r="U2029" i="39" s="1"/>
  <c r="F2030" i="39"/>
  <c r="C2042" i="39"/>
  <c r="U2042" i="39" s="1"/>
  <c r="F2043" i="39"/>
  <c r="F2063" i="39"/>
  <c r="C2127" i="39"/>
  <c r="U2127" i="39" s="1"/>
  <c r="F2617" i="39"/>
  <c r="F2698" i="39"/>
  <c r="C1791" i="39" l="1"/>
  <c r="U1791" i="39" s="1"/>
  <c r="F1792" i="39"/>
  <c r="V1791" i="39"/>
  <c r="F1148" i="39"/>
  <c r="C2365" i="39"/>
  <c r="U2365" i="39" s="1"/>
  <c r="F2366" i="39"/>
  <c r="V2365" i="39"/>
  <c r="F2442" i="39"/>
  <c r="F2232" i="39"/>
  <c r="V2227" i="39"/>
  <c r="C2227" i="39"/>
  <c r="U2227" i="39" s="1"/>
  <c r="F39" i="39"/>
  <c r="F1147" i="39"/>
  <c r="V1146" i="39"/>
  <c r="C1146" i="39"/>
  <c r="U1146" i="39" s="1"/>
  <c r="C1405" i="39"/>
  <c r="U1405" i="39" s="1"/>
  <c r="F1406" i="39"/>
  <c r="V1405" i="39"/>
  <c r="V2591" i="39"/>
  <c r="V2302" i="39"/>
  <c r="V1442" i="39"/>
  <c r="V2266" i="39"/>
  <c r="V2612" i="39"/>
  <c r="V1510" i="39"/>
  <c r="V1601" i="39"/>
  <c r="V2099" i="39"/>
  <c r="V1010" i="39"/>
  <c r="V1943" i="39"/>
  <c r="V1284" i="39"/>
  <c r="V1994" i="39"/>
  <c r="V2669" i="39"/>
  <c r="V2617" i="39"/>
  <c r="V2043" i="39"/>
  <c r="V2030" i="39"/>
  <c r="V1636" i="39"/>
  <c r="V1292" i="39"/>
  <c r="V2698" i="39"/>
  <c r="V2153" i="39"/>
  <c r="V585" i="39"/>
  <c r="V2063" i="39"/>
  <c r="V2183" i="39"/>
  <c r="V1526" i="39"/>
  <c r="V2452" i="39"/>
  <c r="V1976" i="39"/>
  <c r="V1654" i="39"/>
  <c r="V2003" i="39"/>
  <c r="V479" i="39"/>
  <c r="V1525" i="39"/>
  <c r="V2339" i="39"/>
  <c r="V248" i="39"/>
  <c r="V2440" i="39"/>
  <c r="V567" i="39"/>
  <c r="V767" i="39"/>
  <c r="V2426" i="39"/>
  <c r="V1891" i="39"/>
  <c r="V1529" i="39"/>
  <c r="V735" i="39"/>
  <c r="V580" i="39"/>
  <c r="V2516" i="39"/>
  <c r="V2090" i="39"/>
  <c r="V1673" i="39"/>
  <c r="V2300" i="39"/>
  <c r="V201" i="39"/>
  <c r="V21" i="39"/>
  <c r="V38" i="39"/>
  <c r="F202" i="39"/>
  <c r="C201" i="39"/>
  <c r="U201" i="39" s="1"/>
  <c r="F2670" i="39"/>
  <c r="C2669" i="39"/>
  <c r="U2669" i="39" s="1"/>
  <c r="F768" i="39"/>
  <c r="C1891" i="39"/>
  <c r="U1891" i="39" s="1"/>
  <c r="F1892" i="39"/>
  <c r="F1655" i="39"/>
  <c r="C1654" i="39"/>
  <c r="U1654" i="39" s="1"/>
  <c r="C2612" i="39"/>
  <c r="U2612" i="39" s="1"/>
  <c r="F2613" i="39"/>
  <c r="F2592" i="39"/>
  <c r="C2591" i="39"/>
  <c r="U2591" i="39" s="1"/>
  <c r="F581" i="39"/>
  <c r="C580" i="39"/>
  <c r="U580" i="39" s="1"/>
  <c r="F586" i="39"/>
  <c r="C479" i="39"/>
  <c r="U479" i="39" s="1"/>
  <c r="C585" i="39"/>
  <c r="U585" i="39" s="1"/>
  <c r="C2516" i="39"/>
  <c r="U2516" i="39" s="1"/>
  <c r="F2517" i="39"/>
  <c r="F2441" i="39"/>
  <c r="C2440" i="39"/>
  <c r="U2440" i="39" s="1"/>
  <c r="C2302" i="39"/>
  <c r="U2302" i="39" s="1"/>
  <c r="F2304" i="39"/>
  <c r="F2303" i="39"/>
  <c r="C2300" i="39"/>
  <c r="U2300" i="39" s="1"/>
  <c r="F2091" i="39"/>
  <c r="C2090" i="39"/>
  <c r="U2090" i="39" s="1"/>
  <c r="F736" i="39"/>
  <c r="C735" i="39"/>
  <c r="U735" i="39" s="1"/>
  <c r="F2453" i="39"/>
  <c r="C2452" i="39"/>
  <c r="U2452" i="39" s="1"/>
  <c r="F2427" i="39"/>
  <c r="C2426" i="39"/>
  <c r="U2426" i="39" s="1"/>
  <c r="F2004" i="39"/>
  <c r="C2003" i="39"/>
  <c r="U2003" i="39" s="1"/>
  <c r="C567" i="39"/>
  <c r="U567" i="39" s="1"/>
  <c r="F568" i="39"/>
  <c r="C38" i="39"/>
  <c r="U38" i="39" s="1"/>
  <c r="F22" i="39"/>
  <c r="C21" i="39"/>
  <c r="U21" i="39" s="1"/>
  <c r="C248" i="39"/>
  <c r="U248" i="39" s="1"/>
  <c r="F249" i="39"/>
  <c r="C1010" i="39"/>
  <c r="U1010" i="39" s="1"/>
  <c r="F1011" i="39"/>
  <c r="F1530" i="39"/>
  <c r="C1529" i="39"/>
  <c r="U1529" i="39" s="1"/>
  <c r="C2099" i="39"/>
  <c r="U2099" i="39" s="1"/>
  <c r="C1526" i="39"/>
  <c r="U1526" i="39" s="1"/>
  <c r="C1525" i="39"/>
  <c r="U1525" i="39" s="1"/>
  <c r="F1511" i="39"/>
  <c r="C1994" i="39"/>
  <c r="U1994" i="39" s="1"/>
  <c r="C1601" i="39"/>
  <c r="U1601" i="39" s="1"/>
  <c r="F1443" i="39"/>
  <c r="C1442" i="39"/>
  <c r="U1442" i="39" s="1"/>
  <c r="F1285" i="39"/>
  <c r="F2100" i="39"/>
  <c r="F1944" i="39"/>
  <c r="F2184" i="39"/>
  <c r="C2183" i="39"/>
  <c r="U2183" i="39" s="1"/>
  <c r="C1943" i="39"/>
  <c r="U1943" i="39" s="1"/>
  <c r="F2155" i="39"/>
  <c r="C1510" i="39"/>
  <c r="U1510" i="39" s="1"/>
  <c r="C2153" i="39"/>
  <c r="U2153" i="39" s="1"/>
  <c r="F2154" i="39"/>
  <c r="F1995" i="39"/>
  <c r="C1284" i="39"/>
  <c r="U1284" i="39" s="1"/>
  <c r="F1512" i="39"/>
  <c r="C1976" i="39"/>
  <c r="U1976" i="39" s="1"/>
  <c r="F1977" i="39"/>
  <c r="F2267" i="39"/>
  <c r="C2266" i="39"/>
  <c r="U2266" i="39" s="1"/>
  <c r="F1637" i="39"/>
  <c r="C1636" i="39"/>
  <c r="U1636" i="39" s="1"/>
  <c r="F2699" i="39"/>
  <c r="C2698" i="39"/>
  <c r="U2698" i="39" s="1"/>
  <c r="F2404" i="39"/>
  <c r="C2403" i="39"/>
  <c r="U2403" i="39" s="1"/>
  <c r="C2063" i="39"/>
  <c r="U2063" i="39" s="1"/>
  <c r="F2064" i="39"/>
  <c r="C2339" i="39"/>
  <c r="U2339" i="39" s="1"/>
  <c r="F2340" i="39"/>
  <c r="C1292" i="39"/>
  <c r="U1292" i="39" s="1"/>
  <c r="C1673" i="39"/>
  <c r="U1673" i="39" s="1"/>
  <c r="F1674" i="39"/>
  <c r="F2044" i="39"/>
  <c r="C2043" i="39"/>
  <c r="U2043" i="39" s="1"/>
  <c r="C2617" i="39"/>
  <c r="U2617" i="39" s="1"/>
  <c r="F2618" i="39"/>
  <c r="F2031" i="39"/>
  <c r="C2030" i="39"/>
  <c r="U2030" i="39" s="1"/>
  <c r="C1792" i="39" l="1"/>
  <c r="U1792" i="39" s="1"/>
  <c r="F1794" i="39"/>
  <c r="V1792" i="39"/>
  <c r="F1793" i="39"/>
  <c r="C1148" i="39"/>
  <c r="U1148" i="39" s="1"/>
  <c r="V1148" i="39"/>
  <c r="F2306" i="39"/>
  <c r="C2366" i="39"/>
  <c r="U2366" i="39" s="1"/>
  <c r="F2367" i="39"/>
  <c r="V2366" i="39"/>
  <c r="V2442" i="39"/>
  <c r="C2442" i="39"/>
  <c r="U2442" i="39" s="1"/>
  <c r="F2233" i="39"/>
  <c r="C2228" i="39"/>
  <c r="U2228" i="39" s="1"/>
  <c r="V2228" i="39"/>
  <c r="F40" i="39"/>
  <c r="F1407" i="39"/>
  <c r="C1147" i="39"/>
  <c r="U1147" i="39" s="1"/>
  <c r="F1149" i="39"/>
  <c r="V1147" i="39"/>
  <c r="C1406" i="39"/>
  <c r="U1406" i="39" s="1"/>
  <c r="V1406" i="39"/>
  <c r="V2304" i="39"/>
  <c r="V1011" i="39"/>
  <c r="V249" i="39"/>
  <c r="V2303" i="39"/>
  <c r="V2613" i="39"/>
  <c r="V1512" i="39"/>
  <c r="V2404" i="39"/>
  <c r="V2441" i="39"/>
  <c r="V2670" i="39"/>
  <c r="V1511" i="39"/>
  <c r="V2004" i="39"/>
  <c r="V1655" i="39"/>
  <c r="V2267" i="39"/>
  <c r="V1530" i="39"/>
  <c r="V2044" i="39"/>
  <c r="V2340" i="39"/>
  <c r="V2154" i="39"/>
  <c r="V2699" i="39"/>
  <c r="V2427" i="39"/>
  <c r="V2031" i="39"/>
  <c r="V2453" i="39"/>
  <c r="V2517" i="39"/>
  <c r="V1995" i="39"/>
  <c r="V768" i="39"/>
  <c r="V2184" i="39"/>
  <c r="V581" i="39"/>
  <c r="V202" i="39"/>
  <c r="V1285" i="39"/>
  <c r="V1443" i="39"/>
  <c r="V2064" i="39"/>
  <c r="V568" i="39"/>
  <c r="V1892" i="39"/>
  <c r="V1944" i="39"/>
  <c r="V736" i="39"/>
  <c r="V1977" i="39"/>
  <c r="V2592" i="39"/>
  <c r="V1674" i="39"/>
  <c r="V586" i="39"/>
  <c r="V1637" i="39"/>
  <c r="V2155" i="39"/>
  <c r="V2618" i="39"/>
  <c r="V2100" i="39"/>
  <c r="V2091" i="39"/>
  <c r="V22" i="39"/>
  <c r="V39" i="39"/>
  <c r="F203" i="39"/>
  <c r="C202" i="39"/>
  <c r="U202" i="39" s="1"/>
  <c r="F2671" i="39"/>
  <c r="C2670" i="39"/>
  <c r="U2670" i="39" s="1"/>
  <c r="F1893" i="39"/>
  <c r="C1892" i="39"/>
  <c r="U1892" i="39" s="1"/>
  <c r="F769" i="39"/>
  <c r="C2613" i="39"/>
  <c r="U2613" i="39" s="1"/>
  <c r="F2614" i="39"/>
  <c r="F1656" i="39"/>
  <c r="C1655" i="39"/>
  <c r="U1655" i="39" s="1"/>
  <c r="F2593" i="39"/>
  <c r="C2592" i="39"/>
  <c r="U2592" i="39" s="1"/>
  <c r="C581" i="39"/>
  <c r="U581" i="39" s="1"/>
  <c r="C586" i="39"/>
  <c r="U586" i="39" s="1"/>
  <c r="F587" i="39"/>
  <c r="C2517" i="39"/>
  <c r="U2517" i="39" s="1"/>
  <c r="F2518" i="39"/>
  <c r="C2441" i="39"/>
  <c r="U2441" i="39" s="1"/>
  <c r="F2443" i="39"/>
  <c r="F2305" i="39"/>
  <c r="C2304" i="39"/>
  <c r="U2304" i="39" s="1"/>
  <c r="C2303" i="39"/>
  <c r="U2303" i="39" s="1"/>
  <c r="F2092" i="39"/>
  <c r="C2091" i="39"/>
  <c r="U2091" i="39" s="1"/>
  <c r="C736" i="39"/>
  <c r="U736" i="39" s="1"/>
  <c r="F737" i="39"/>
  <c r="F2454" i="39"/>
  <c r="C2453" i="39"/>
  <c r="U2453" i="39" s="1"/>
  <c r="F2428" i="39"/>
  <c r="C2427" i="39"/>
  <c r="U2427" i="39" s="1"/>
  <c r="F2005" i="39"/>
  <c r="C2004" i="39"/>
  <c r="U2004" i="39" s="1"/>
  <c r="C568" i="39"/>
  <c r="U568" i="39" s="1"/>
  <c r="F569" i="39"/>
  <c r="C39" i="39"/>
  <c r="U39" i="39" s="1"/>
  <c r="F23" i="39"/>
  <c r="C22" i="39"/>
  <c r="U22" i="39" s="1"/>
  <c r="C249" i="39"/>
  <c r="U249" i="39" s="1"/>
  <c r="F250" i="39"/>
  <c r="F1012" i="39"/>
  <c r="C1011" i="39"/>
  <c r="U1011" i="39" s="1"/>
  <c r="C1530" i="39"/>
  <c r="U1530" i="39" s="1"/>
  <c r="F1531" i="39"/>
  <c r="F1513" i="39"/>
  <c r="F1996" i="39"/>
  <c r="F2156" i="39"/>
  <c r="F1444" i="39"/>
  <c r="C1511" i="39"/>
  <c r="U1511" i="39" s="1"/>
  <c r="C2184" i="39"/>
  <c r="U2184" i="39" s="1"/>
  <c r="C1944" i="39"/>
  <c r="U1944" i="39" s="1"/>
  <c r="C1443" i="39"/>
  <c r="U1443" i="39" s="1"/>
  <c r="C1285" i="39"/>
  <c r="U1285" i="39" s="1"/>
  <c r="F1286" i="39"/>
  <c r="C2154" i="39"/>
  <c r="U2154" i="39" s="1"/>
  <c r="F2101" i="39"/>
  <c r="C2100" i="39"/>
  <c r="U2100" i="39" s="1"/>
  <c r="F2185" i="39"/>
  <c r="C2155" i="39"/>
  <c r="U2155" i="39" s="1"/>
  <c r="F1945" i="39"/>
  <c r="C1512" i="39"/>
  <c r="U1512" i="39" s="1"/>
  <c r="F1514" i="39"/>
  <c r="C1995" i="39"/>
  <c r="U1995" i="39" s="1"/>
  <c r="C2699" i="39"/>
  <c r="U2699" i="39" s="1"/>
  <c r="F2700" i="39"/>
  <c r="C1637" i="39"/>
  <c r="U1637" i="39" s="1"/>
  <c r="F1638" i="39"/>
  <c r="F2619" i="39"/>
  <c r="C2618" i="39"/>
  <c r="U2618" i="39" s="1"/>
  <c r="C2267" i="39"/>
  <c r="U2267" i="39" s="1"/>
  <c r="C1977" i="39"/>
  <c r="U1977" i="39" s="1"/>
  <c r="F1978" i="39"/>
  <c r="F1675" i="39"/>
  <c r="C1674" i="39"/>
  <c r="U1674" i="39" s="1"/>
  <c r="C2044" i="39"/>
  <c r="U2044" i="39" s="1"/>
  <c r="F2045" i="39"/>
  <c r="F2405" i="39"/>
  <c r="C2404" i="39"/>
  <c r="U2404" i="39" s="1"/>
  <c r="C2031" i="39"/>
  <c r="U2031" i="39" s="1"/>
  <c r="F2032" i="39"/>
  <c r="F2065" i="39"/>
  <c r="C2064" i="39"/>
  <c r="U2064" i="39" s="1"/>
  <c r="F2341" i="39"/>
  <c r="C2340" i="39"/>
  <c r="U2340" i="39" s="1"/>
  <c r="C1793" i="39" l="1"/>
  <c r="U1793" i="39" s="1"/>
  <c r="F1795" i="39"/>
  <c r="V1793" i="39"/>
  <c r="C1794" i="39"/>
  <c r="U1794" i="39" s="1"/>
  <c r="V1794" i="39"/>
  <c r="F2308" i="39"/>
  <c r="F2307" i="39"/>
  <c r="C2367" i="39"/>
  <c r="U2367" i="39" s="1"/>
  <c r="V2367" i="39"/>
  <c r="F2368" i="39"/>
  <c r="F2234" i="39"/>
  <c r="V2230" i="39"/>
  <c r="C2230" i="39"/>
  <c r="U2230" i="39" s="1"/>
  <c r="V2229" i="39"/>
  <c r="C2229" i="39"/>
  <c r="U2229" i="39" s="1"/>
  <c r="V1407" i="39"/>
  <c r="F1408" i="39"/>
  <c r="C1407" i="39"/>
  <c r="U1407" i="39" s="1"/>
  <c r="F41" i="39"/>
  <c r="F1150" i="39"/>
  <c r="V1149" i="39"/>
  <c r="C1149" i="39"/>
  <c r="U1149" i="39" s="1"/>
  <c r="V1893" i="39"/>
  <c r="V2518" i="39"/>
  <c r="V1012" i="39"/>
  <c r="V1444" i="39"/>
  <c r="V769" i="39"/>
  <c r="V2614" i="39"/>
  <c r="V2700" i="39"/>
  <c r="V2671" i="39"/>
  <c r="V2156" i="39"/>
  <c r="V1638" i="39"/>
  <c r="V1996" i="39"/>
  <c r="V2005" i="39"/>
  <c r="V2045" i="39"/>
  <c r="V1978" i="39"/>
  <c r="V737" i="39"/>
  <c r="V203" i="39"/>
  <c r="V2593" i="39"/>
  <c r="V2619" i="39"/>
  <c r="V2101" i="39"/>
  <c r="V2065" i="39"/>
  <c r="V2305" i="39"/>
  <c r="V2443" i="39"/>
  <c r="V587" i="39"/>
  <c r="V1513" i="39"/>
  <c r="V1945" i="39"/>
  <c r="V2428" i="39"/>
  <c r="V2185" i="39"/>
  <c r="V2454" i="39"/>
  <c r="V2032" i="39"/>
  <c r="V250" i="39"/>
  <c r="V569" i="39"/>
  <c r="V1514" i="39"/>
  <c r="V1675" i="39"/>
  <c r="V1286" i="39"/>
  <c r="V1531" i="39"/>
  <c r="V2092" i="39"/>
  <c r="V2405" i="39"/>
  <c r="V2341" i="39"/>
  <c r="V1656" i="39"/>
  <c r="V23" i="39"/>
  <c r="V40" i="39"/>
  <c r="F204" i="39"/>
  <c r="C203" i="39"/>
  <c r="U203" i="39" s="1"/>
  <c r="F2672" i="39"/>
  <c r="C2671" i="39"/>
  <c r="U2671" i="39" s="1"/>
  <c r="F770" i="39"/>
  <c r="F1894" i="39"/>
  <c r="C1893" i="39"/>
  <c r="U1893" i="39" s="1"/>
  <c r="C2614" i="39"/>
  <c r="U2614" i="39" s="1"/>
  <c r="C1656" i="39"/>
  <c r="U1656" i="39" s="1"/>
  <c r="F1657" i="39"/>
  <c r="F2594" i="39"/>
  <c r="C2593" i="39"/>
  <c r="U2593" i="39" s="1"/>
  <c r="F588" i="39"/>
  <c r="C587" i="39"/>
  <c r="U587" i="39" s="1"/>
  <c r="C2518" i="39"/>
  <c r="U2518" i="39" s="1"/>
  <c r="F2519" i="39"/>
  <c r="C2305" i="39"/>
  <c r="U2305" i="39" s="1"/>
  <c r="C2443" i="39"/>
  <c r="U2443" i="39" s="1"/>
  <c r="F2093" i="39"/>
  <c r="C2092" i="39"/>
  <c r="U2092" i="39" s="1"/>
  <c r="F738" i="39"/>
  <c r="C737" i="39"/>
  <c r="U737" i="39" s="1"/>
  <c r="F2455" i="39"/>
  <c r="C2454" i="39"/>
  <c r="U2454" i="39" s="1"/>
  <c r="C2428" i="39"/>
  <c r="U2428" i="39" s="1"/>
  <c r="F2429" i="39"/>
  <c r="F2006" i="39"/>
  <c r="C2005" i="39"/>
  <c r="U2005" i="39" s="1"/>
  <c r="C569" i="39"/>
  <c r="U569" i="39" s="1"/>
  <c r="F570" i="39"/>
  <c r="C40" i="39"/>
  <c r="U40" i="39" s="1"/>
  <c r="C23" i="39"/>
  <c r="U23" i="39" s="1"/>
  <c r="F24" i="39"/>
  <c r="F251" i="39"/>
  <c r="C250" i="39"/>
  <c r="U250" i="39" s="1"/>
  <c r="C1012" i="39"/>
  <c r="U1012" i="39" s="1"/>
  <c r="F1013" i="39"/>
  <c r="F1532" i="39"/>
  <c r="C1531" i="39"/>
  <c r="U1531" i="39" s="1"/>
  <c r="F1515" i="39"/>
  <c r="C1513" i="39"/>
  <c r="U1513" i="39" s="1"/>
  <c r="F1997" i="39"/>
  <c r="C1996" i="39"/>
  <c r="U1996" i="39" s="1"/>
  <c r="C2156" i="39"/>
  <c r="U2156" i="39" s="1"/>
  <c r="F1445" i="39"/>
  <c r="C1444" i="39"/>
  <c r="U1444" i="39" s="1"/>
  <c r="F1516" i="39"/>
  <c r="C1514" i="39"/>
  <c r="U1514" i="39" s="1"/>
  <c r="C2185" i="39"/>
  <c r="U2185" i="39" s="1"/>
  <c r="F2186" i="39"/>
  <c r="F1287" i="39"/>
  <c r="C1286" i="39"/>
  <c r="U1286" i="39" s="1"/>
  <c r="F2102" i="39"/>
  <c r="C2101" i="39"/>
  <c r="U2101" i="39" s="1"/>
  <c r="F1946" i="39"/>
  <c r="C1945" i="39"/>
  <c r="U1945" i="39" s="1"/>
  <c r="F1979" i="39"/>
  <c r="C1978" i="39"/>
  <c r="U1978" i="39" s="1"/>
  <c r="F2046" i="39"/>
  <c r="C2045" i="39"/>
  <c r="U2045" i="39" s="1"/>
  <c r="F1639" i="39"/>
  <c r="C1638" i="39"/>
  <c r="U1638" i="39" s="1"/>
  <c r="C2619" i="39"/>
  <c r="U2619" i="39" s="1"/>
  <c r="F2620" i="39"/>
  <c r="C2700" i="39"/>
  <c r="U2700" i="39" s="1"/>
  <c r="F2701" i="39"/>
  <c r="C2065" i="39"/>
  <c r="U2065" i="39" s="1"/>
  <c r="F2066" i="39"/>
  <c r="C2341" i="39"/>
  <c r="U2341" i="39" s="1"/>
  <c r="F2033" i="39"/>
  <c r="C2032" i="39"/>
  <c r="U2032" i="39" s="1"/>
  <c r="C1675" i="39"/>
  <c r="U1675" i="39" s="1"/>
  <c r="F1676" i="39"/>
  <c r="C2405" i="39"/>
  <c r="U2405" i="39" s="1"/>
  <c r="F2406" i="39"/>
  <c r="F1796" i="39" l="1"/>
  <c r="C1795" i="39"/>
  <c r="U1795" i="39" s="1"/>
  <c r="V1795" i="39"/>
  <c r="F2309" i="39"/>
  <c r="C2306" i="39"/>
  <c r="U2306" i="39" s="1"/>
  <c r="V2306" i="39"/>
  <c r="F2369" i="39"/>
  <c r="C2368" i="39"/>
  <c r="U2368" i="39" s="1"/>
  <c r="V2368" i="39"/>
  <c r="F2235" i="39"/>
  <c r="V2231" i="39"/>
  <c r="C2231" i="39"/>
  <c r="U2231" i="39" s="1"/>
  <c r="C1408" i="39"/>
  <c r="U1408" i="39" s="1"/>
  <c r="F1409" i="39"/>
  <c r="V1408" i="39"/>
  <c r="F42" i="39"/>
  <c r="C1150" i="39"/>
  <c r="U1150" i="39" s="1"/>
  <c r="F1151" i="39"/>
  <c r="V1150" i="39"/>
  <c r="V1515" i="39"/>
  <c r="V2093" i="39"/>
  <c r="V770" i="39"/>
  <c r="V1532" i="39"/>
  <c r="V2102" i="39"/>
  <c r="V738" i="39"/>
  <c r="V251" i="39"/>
  <c r="V1445" i="39"/>
  <c r="V2033" i="39"/>
  <c r="V1894" i="39"/>
  <c r="V2620" i="39"/>
  <c r="V2672" i="39"/>
  <c r="V1639" i="39"/>
  <c r="V1287" i="39"/>
  <c r="V204" i="39"/>
  <c r="V2006" i="39"/>
  <c r="V2594" i="39"/>
  <c r="V2406" i="39"/>
  <c r="V1013" i="39"/>
  <c r="V1516" i="39"/>
  <c r="V1979" i="39"/>
  <c r="V2701" i="39"/>
  <c r="V2429" i="39"/>
  <c r="V1657" i="39"/>
  <c r="V2307" i="39"/>
  <c r="V588" i="39"/>
  <c r="V1997" i="39"/>
  <c r="V1676" i="39"/>
  <c r="V570" i="39"/>
  <c r="V2066" i="39"/>
  <c r="V2186" i="39"/>
  <c r="V2519" i="39"/>
  <c r="V2046" i="39"/>
  <c r="V1946" i="39"/>
  <c r="V2455" i="39"/>
  <c r="V41" i="39"/>
  <c r="V24" i="39"/>
  <c r="C204" i="39"/>
  <c r="U204" i="39" s="1"/>
  <c r="F205" i="39"/>
  <c r="F2673" i="39"/>
  <c r="F771" i="39"/>
  <c r="C1894" i="39"/>
  <c r="U1894" i="39" s="1"/>
  <c r="F1895" i="39"/>
  <c r="F2595" i="39"/>
  <c r="C2594" i="39"/>
  <c r="U2594" i="39" s="1"/>
  <c r="C1657" i="39"/>
  <c r="U1657" i="39" s="1"/>
  <c r="F1658" i="39"/>
  <c r="F589" i="39"/>
  <c r="C588" i="39"/>
  <c r="U588" i="39" s="1"/>
  <c r="F2520" i="39"/>
  <c r="C2519" i="39"/>
  <c r="U2519" i="39" s="1"/>
  <c r="C2307" i="39"/>
  <c r="U2307" i="39" s="1"/>
  <c r="F2094" i="39"/>
  <c r="C2093" i="39"/>
  <c r="U2093" i="39" s="1"/>
  <c r="C738" i="39"/>
  <c r="U738" i="39" s="1"/>
  <c r="C2455" i="39"/>
  <c r="U2455" i="39" s="1"/>
  <c r="F2456" i="39"/>
  <c r="F2430" i="39"/>
  <c r="C2429" i="39"/>
  <c r="U2429" i="39" s="1"/>
  <c r="F2007" i="39"/>
  <c r="C2006" i="39"/>
  <c r="U2006" i="39" s="1"/>
  <c r="F571" i="39"/>
  <c r="C570" i="39"/>
  <c r="U570" i="39" s="1"/>
  <c r="C41" i="39"/>
  <c r="U41" i="39" s="1"/>
  <c r="C24" i="39"/>
  <c r="U24" i="39" s="1"/>
  <c r="F25" i="39"/>
  <c r="C251" i="39"/>
  <c r="U251" i="39" s="1"/>
  <c r="F252" i="39"/>
  <c r="F1014" i="39"/>
  <c r="C1013" i="39"/>
  <c r="U1013" i="39" s="1"/>
  <c r="C1532" i="39"/>
  <c r="U1532" i="39" s="1"/>
  <c r="F1533" i="39"/>
  <c r="C1515" i="39"/>
  <c r="U1515" i="39" s="1"/>
  <c r="F1517" i="39"/>
  <c r="C1997" i="39"/>
  <c r="U1997" i="39" s="1"/>
  <c r="F1998" i="39"/>
  <c r="C1445" i="39"/>
  <c r="U1445" i="39" s="1"/>
  <c r="F1446" i="39"/>
  <c r="F1518" i="39"/>
  <c r="C1946" i="39"/>
  <c r="U1946" i="39" s="1"/>
  <c r="C1516" i="39"/>
  <c r="U1516" i="39" s="1"/>
  <c r="C2186" i="39"/>
  <c r="U2186" i="39" s="1"/>
  <c r="F1947" i="39"/>
  <c r="C2102" i="39"/>
  <c r="U2102" i="39" s="1"/>
  <c r="F2103" i="39"/>
  <c r="F1288" i="39"/>
  <c r="C1287" i="39"/>
  <c r="U1287" i="39" s="1"/>
  <c r="F1677" i="39"/>
  <c r="C1676" i="39"/>
  <c r="U1676" i="39" s="1"/>
  <c r="C1639" i="39"/>
  <c r="U1639" i="39" s="1"/>
  <c r="C2066" i="39"/>
  <c r="U2066" i="39" s="1"/>
  <c r="F2702" i="39"/>
  <c r="C2701" i="39"/>
  <c r="U2701" i="39" s="1"/>
  <c r="F2621" i="39"/>
  <c r="C2620" i="39"/>
  <c r="U2620" i="39" s="1"/>
  <c r="C1979" i="39"/>
  <c r="U1979" i="39" s="1"/>
  <c r="F1980" i="39"/>
  <c r="F2047" i="39"/>
  <c r="C2046" i="39"/>
  <c r="U2046" i="39" s="1"/>
  <c r="F2407" i="39"/>
  <c r="C2406" i="39"/>
  <c r="U2406" i="39" s="1"/>
  <c r="C2033" i="39"/>
  <c r="U2033" i="39" s="1"/>
  <c r="F2034" i="39"/>
  <c r="C1796" i="39" l="1"/>
  <c r="U1796" i="39" s="1"/>
  <c r="V1796" i="39"/>
  <c r="F1797" i="39"/>
  <c r="F2370" i="39"/>
  <c r="C2369" i="39"/>
  <c r="U2369" i="39" s="1"/>
  <c r="V2369" i="39"/>
  <c r="F2236" i="39"/>
  <c r="V2188" i="39"/>
  <c r="C2188" i="39"/>
  <c r="U2188" i="39" s="1"/>
  <c r="C2232" i="39"/>
  <c r="U2232" i="39" s="1"/>
  <c r="V2232" i="39"/>
  <c r="C1409" i="39"/>
  <c r="U1409" i="39" s="1"/>
  <c r="V1409" i="39"/>
  <c r="F1410" i="39"/>
  <c r="F43" i="39"/>
  <c r="F1152" i="39"/>
  <c r="V1151" i="39"/>
  <c r="C1151" i="39"/>
  <c r="U1151" i="39" s="1"/>
  <c r="F1659" i="39"/>
  <c r="V589" i="39"/>
  <c r="V1446" i="39"/>
  <c r="V2520" i="39"/>
  <c r="V571" i="39"/>
  <c r="V205" i="39"/>
  <c r="V1998" i="39"/>
  <c r="V2034" i="39"/>
  <c r="V1658" i="39"/>
  <c r="V2595" i="39"/>
  <c r="V1288" i="39"/>
  <c r="V252" i="39"/>
  <c r="V2407" i="39"/>
  <c r="V2007" i="39"/>
  <c r="V1517" i="39"/>
  <c r="V2094" i="39"/>
  <c r="V1518" i="39"/>
  <c r="V2047" i="39"/>
  <c r="V1677" i="39"/>
  <c r="V2456" i="39"/>
  <c r="V1947" i="39"/>
  <c r="V1533" i="39"/>
  <c r="V2308" i="39"/>
  <c r="V771" i="39"/>
  <c r="V2430" i="39"/>
  <c r="V1895" i="39"/>
  <c r="V2309" i="39"/>
  <c r="V2702" i="39"/>
  <c r="V2673" i="39"/>
  <c r="V1980" i="39"/>
  <c r="V2103" i="39"/>
  <c r="V2621" i="39"/>
  <c r="V1014" i="39"/>
  <c r="V25" i="39"/>
  <c r="V42" i="39"/>
  <c r="C205" i="39"/>
  <c r="U205" i="39" s="1"/>
  <c r="F206" i="39"/>
  <c r="C2672" i="39"/>
  <c r="U2672" i="39" s="1"/>
  <c r="F772" i="39"/>
  <c r="C1895" i="39"/>
  <c r="U1895" i="39" s="1"/>
  <c r="F1896" i="39"/>
  <c r="F2596" i="39"/>
  <c r="C2595" i="39"/>
  <c r="U2595" i="39" s="1"/>
  <c r="C1658" i="39"/>
  <c r="U1658" i="39" s="1"/>
  <c r="C589" i="39"/>
  <c r="U589" i="39" s="1"/>
  <c r="C2308" i="39"/>
  <c r="U2308" i="39" s="1"/>
  <c r="F2311" i="39"/>
  <c r="F2310" i="39"/>
  <c r="F2521" i="39"/>
  <c r="C2520" i="39"/>
  <c r="U2520" i="39" s="1"/>
  <c r="C2309" i="39"/>
  <c r="U2309" i="39" s="1"/>
  <c r="F2095" i="39"/>
  <c r="C2094" i="39"/>
  <c r="U2094" i="39" s="1"/>
  <c r="F2457" i="39"/>
  <c r="C2456" i="39"/>
  <c r="U2456" i="39" s="1"/>
  <c r="F2431" i="39"/>
  <c r="C2430" i="39"/>
  <c r="U2430" i="39" s="1"/>
  <c r="F2008" i="39"/>
  <c r="C2007" i="39"/>
  <c r="U2007" i="39" s="1"/>
  <c r="C571" i="39"/>
  <c r="U571" i="39" s="1"/>
  <c r="F572" i="39"/>
  <c r="C42" i="39"/>
  <c r="U42" i="39" s="1"/>
  <c r="F26" i="39"/>
  <c r="C25" i="39"/>
  <c r="U25" i="39" s="1"/>
  <c r="C252" i="39"/>
  <c r="U252" i="39" s="1"/>
  <c r="F253" i="39"/>
  <c r="C1014" i="39"/>
  <c r="U1014" i="39" s="1"/>
  <c r="F1015" i="39"/>
  <c r="C1533" i="39"/>
  <c r="U1533" i="39" s="1"/>
  <c r="F1534" i="39"/>
  <c r="F1519" i="39"/>
  <c r="C1517" i="39"/>
  <c r="U1517" i="39" s="1"/>
  <c r="F1999" i="39"/>
  <c r="C1998" i="39"/>
  <c r="U1998" i="39" s="1"/>
  <c r="F1447" i="39"/>
  <c r="C1446" i="39"/>
  <c r="U1446" i="39" s="1"/>
  <c r="C1947" i="39"/>
  <c r="U1947" i="39" s="1"/>
  <c r="F1948" i="39"/>
  <c r="C1518" i="39"/>
  <c r="U1518" i="39" s="1"/>
  <c r="F1520" i="39"/>
  <c r="F2104" i="39"/>
  <c r="C2103" i="39"/>
  <c r="U2103" i="39" s="1"/>
  <c r="F1289" i="39"/>
  <c r="C1288" i="39"/>
  <c r="U1288" i="39" s="1"/>
  <c r="C2702" i="39"/>
  <c r="U2702" i="39" s="1"/>
  <c r="F1981" i="39"/>
  <c r="C1980" i="39"/>
  <c r="U1980" i="39" s="1"/>
  <c r="F2048" i="39"/>
  <c r="C2047" i="39"/>
  <c r="U2047" i="39" s="1"/>
  <c r="C2407" i="39"/>
  <c r="U2407" i="39" s="1"/>
  <c r="F2408" i="39"/>
  <c r="F2035" i="39"/>
  <c r="C2034" i="39"/>
  <c r="U2034" i="39" s="1"/>
  <c r="C2621" i="39"/>
  <c r="U2621" i="39" s="1"/>
  <c r="F2622" i="39"/>
  <c r="F1678" i="39"/>
  <c r="C1677" i="39"/>
  <c r="U1677" i="39" s="1"/>
  <c r="F1798" i="39" l="1"/>
  <c r="C1797" i="39"/>
  <c r="U1797" i="39" s="1"/>
  <c r="V1797" i="39"/>
  <c r="F2371" i="39"/>
  <c r="C2370" i="39"/>
  <c r="U2370" i="39" s="1"/>
  <c r="V2370" i="39"/>
  <c r="F2237" i="39"/>
  <c r="V2233" i="39"/>
  <c r="C2233" i="39"/>
  <c r="U2233" i="39" s="1"/>
  <c r="C1410" i="39"/>
  <c r="U1410" i="39" s="1"/>
  <c r="F1411" i="39"/>
  <c r="V1410" i="39"/>
  <c r="F44" i="39"/>
  <c r="C1152" i="39"/>
  <c r="U1152" i="39" s="1"/>
  <c r="F1153" i="39"/>
  <c r="V1152" i="39"/>
  <c r="F1660" i="39"/>
  <c r="C1659" i="39"/>
  <c r="U1659" i="39" s="1"/>
  <c r="V1659" i="39"/>
  <c r="V1534" i="39"/>
  <c r="V253" i="39"/>
  <c r="V206" i="39"/>
  <c r="V1981" i="39"/>
  <c r="V2104" i="39"/>
  <c r="V1015" i="39"/>
  <c r="V2048" i="39"/>
  <c r="V1289" i="39"/>
  <c r="V2521" i="39"/>
  <c r="V2431" i="39"/>
  <c r="V2596" i="39"/>
  <c r="V1948" i="39"/>
  <c r="V1520" i="39"/>
  <c r="V2311" i="39"/>
  <c r="V572" i="39"/>
  <c r="V2622" i="39"/>
  <c r="V2457" i="39"/>
  <c r="V1896" i="39"/>
  <c r="V2035" i="39"/>
  <c r="V2408" i="39"/>
  <c r="V1999" i="39"/>
  <c r="V1678" i="39"/>
  <c r="V1519" i="39"/>
  <c r="V2310" i="39"/>
  <c r="V1447" i="39"/>
  <c r="V2008" i="39"/>
  <c r="V2095" i="39"/>
  <c r="V772" i="39"/>
  <c r="V26" i="39"/>
  <c r="F207" i="39"/>
  <c r="C206" i="39"/>
  <c r="U206" i="39" s="1"/>
  <c r="C2673" i="39"/>
  <c r="U2673" i="39" s="1"/>
  <c r="F1897" i="39"/>
  <c r="C1896" i="39"/>
  <c r="U1896" i="39" s="1"/>
  <c r="F2597" i="39"/>
  <c r="C2596" i="39"/>
  <c r="U2596" i="39" s="1"/>
  <c r="C2311" i="39"/>
  <c r="U2311" i="39" s="1"/>
  <c r="C2310" i="39"/>
  <c r="U2310" i="39" s="1"/>
  <c r="F2312" i="39"/>
  <c r="C2521" i="39"/>
  <c r="U2521" i="39" s="1"/>
  <c r="F2522" i="39"/>
  <c r="F2096" i="39"/>
  <c r="C2095" i="39"/>
  <c r="U2095" i="39" s="1"/>
  <c r="C2457" i="39"/>
  <c r="U2457" i="39" s="1"/>
  <c r="F2432" i="39"/>
  <c r="C2431" i="39"/>
  <c r="U2431" i="39" s="1"/>
  <c r="F2009" i="39"/>
  <c r="C2008" i="39"/>
  <c r="U2008" i="39" s="1"/>
  <c r="F573" i="39"/>
  <c r="C572" i="39"/>
  <c r="U572" i="39" s="1"/>
  <c r="C26" i="39"/>
  <c r="U26" i="39" s="1"/>
  <c r="F27" i="39"/>
  <c r="C253" i="39"/>
  <c r="U253" i="39" s="1"/>
  <c r="F254" i="39"/>
  <c r="F1016" i="39"/>
  <c r="C1015" i="39"/>
  <c r="U1015" i="39" s="1"/>
  <c r="F1535" i="39"/>
  <c r="C1534" i="39"/>
  <c r="U1534" i="39" s="1"/>
  <c r="C1519" i="39"/>
  <c r="U1519" i="39" s="1"/>
  <c r="F1521" i="39"/>
  <c r="C1999" i="39"/>
  <c r="U1999" i="39" s="1"/>
  <c r="C1948" i="39"/>
  <c r="U1948" i="39" s="1"/>
  <c r="F1448" i="39"/>
  <c r="C1447" i="39"/>
  <c r="U1447" i="39" s="1"/>
  <c r="F1949" i="39"/>
  <c r="C1520" i="39"/>
  <c r="U1520" i="39" s="1"/>
  <c r="C1289" i="39"/>
  <c r="U1289" i="39" s="1"/>
  <c r="F2105" i="39"/>
  <c r="C2104" i="39"/>
  <c r="U2104" i="39" s="1"/>
  <c r="C2035" i="39"/>
  <c r="U2035" i="39" s="1"/>
  <c r="F2036" i="39"/>
  <c r="C2048" i="39"/>
  <c r="U2048" i="39" s="1"/>
  <c r="F2049" i="39"/>
  <c r="F2409" i="39"/>
  <c r="C2408" i="39"/>
  <c r="U2408" i="39" s="1"/>
  <c r="F1679" i="39"/>
  <c r="C1678" i="39"/>
  <c r="U1678" i="39" s="1"/>
  <c r="C1981" i="39"/>
  <c r="U1981" i="39" s="1"/>
  <c r="F1982" i="39"/>
  <c r="C2622" i="39"/>
  <c r="U2622" i="39" s="1"/>
  <c r="F2623" i="39"/>
  <c r="C1798" i="39" l="1"/>
  <c r="U1798" i="39" s="1"/>
  <c r="F1799" i="39"/>
  <c r="V1798" i="39"/>
  <c r="F2372" i="39"/>
  <c r="V2371" i="39"/>
  <c r="C2371" i="39"/>
  <c r="U2371" i="39" s="1"/>
  <c r="F2627" i="39"/>
  <c r="F1522" i="39"/>
  <c r="F2238" i="39"/>
  <c r="F2599" i="39"/>
  <c r="C2234" i="39"/>
  <c r="U2234" i="39" s="1"/>
  <c r="V2234" i="39"/>
  <c r="F1412" i="39"/>
  <c r="V1411" i="39"/>
  <c r="C1411" i="39"/>
  <c r="U1411" i="39" s="1"/>
  <c r="F45" i="39"/>
  <c r="F1154" i="39"/>
  <c r="V1153" i="39"/>
  <c r="C1153" i="39"/>
  <c r="U1153" i="39" s="1"/>
  <c r="V1660" i="39"/>
  <c r="F1661" i="39"/>
  <c r="V1535" i="39"/>
  <c r="V2009" i="39"/>
  <c r="V2036" i="39"/>
  <c r="V1521" i="39"/>
  <c r="V1949" i="39"/>
  <c r="V207" i="39"/>
  <c r="V2312" i="39"/>
  <c r="V2432" i="39"/>
  <c r="V2623" i="39"/>
  <c r="V1982" i="39"/>
  <c r="V1679" i="39"/>
  <c r="V1448" i="39"/>
  <c r="V2597" i="39"/>
  <c r="V2096" i="39"/>
  <c r="V2522" i="39"/>
  <c r="V2409" i="39"/>
  <c r="V254" i="39"/>
  <c r="V2105" i="39"/>
  <c r="V1016" i="39"/>
  <c r="V2049" i="39"/>
  <c r="V573" i="39"/>
  <c r="V1897" i="39"/>
  <c r="V27" i="39"/>
  <c r="V43" i="39"/>
  <c r="C207" i="39"/>
  <c r="U207" i="39" s="1"/>
  <c r="F208" i="39"/>
  <c r="C1897" i="39"/>
  <c r="U1897" i="39" s="1"/>
  <c r="F1898" i="39"/>
  <c r="C2597" i="39"/>
  <c r="U2597" i="39" s="1"/>
  <c r="F2598" i="39"/>
  <c r="C1660" i="39"/>
  <c r="U1660" i="39" s="1"/>
  <c r="C2522" i="39"/>
  <c r="U2522" i="39" s="1"/>
  <c r="F2523" i="39"/>
  <c r="C2312" i="39"/>
  <c r="U2312" i="39" s="1"/>
  <c r="C2096" i="39"/>
  <c r="U2096" i="39" s="1"/>
  <c r="F2433" i="39"/>
  <c r="C2432" i="39"/>
  <c r="U2432" i="39" s="1"/>
  <c r="F2010" i="39"/>
  <c r="C2009" i="39"/>
  <c r="U2009" i="39" s="1"/>
  <c r="F574" i="39"/>
  <c r="C573" i="39"/>
  <c r="U573" i="39" s="1"/>
  <c r="C43" i="39"/>
  <c r="U43" i="39" s="1"/>
  <c r="F28" i="39"/>
  <c r="C27" i="39"/>
  <c r="U27" i="39" s="1"/>
  <c r="F255" i="39"/>
  <c r="C254" i="39"/>
  <c r="U254" i="39" s="1"/>
  <c r="C1016" i="39"/>
  <c r="U1016" i="39" s="1"/>
  <c r="F1017" i="39"/>
  <c r="C1535" i="39"/>
  <c r="U1535" i="39" s="1"/>
  <c r="F1536" i="39"/>
  <c r="C1521" i="39"/>
  <c r="U1521" i="39" s="1"/>
  <c r="C1448" i="39"/>
  <c r="U1448" i="39" s="1"/>
  <c r="F1449" i="39"/>
  <c r="F1950" i="39"/>
  <c r="C1949" i="39"/>
  <c r="U1949" i="39" s="1"/>
  <c r="F2106" i="39"/>
  <c r="C2105" i="39"/>
  <c r="U2105" i="39" s="1"/>
  <c r="C2623" i="39"/>
  <c r="U2623" i="39" s="1"/>
  <c r="F2624" i="39"/>
  <c r="C1679" i="39"/>
  <c r="U1679" i="39" s="1"/>
  <c r="F1680" i="39"/>
  <c r="F2410" i="39"/>
  <c r="C2409" i="39"/>
  <c r="U2409" i="39" s="1"/>
  <c r="F2050" i="39"/>
  <c r="C2049" i="39"/>
  <c r="U2049" i="39" s="1"/>
  <c r="F2037" i="39"/>
  <c r="C2036" i="39"/>
  <c r="U2036" i="39" s="1"/>
  <c r="C1982" i="39"/>
  <c r="U1982" i="39" s="1"/>
  <c r="F1983" i="39"/>
  <c r="F1800" i="39" l="1"/>
  <c r="V1799" i="39"/>
  <c r="C1799" i="39"/>
  <c r="U1799" i="39" s="1"/>
  <c r="F2373" i="39"/>
  <c r="C2372" i="39"/>
  <c r="U2372" i="39" s="1"/>
  <c r="V2372" i="39"/>
  <c r="C2627" i="39"/>
  <c r="U2627" i="39" s="1"/>
  <c r="V2627" i="39"/>
  <c r="F2628" i="39"/>
  <c r="C1522" i="39"/>
  <c r="U1522" i="39" s="1"/>
  <c r="V1522" i="39"/>
  <c r="F2239" i="39"/>
  <c r="V2599" i="39"/>
  <c r="C2599" i="39"/>
  <c r="U2599" i="39" s="1"/>
  <c r="C2237" i="39"/>
  <c r="U2237" i="39" s="1"/>
  <c r="V2237" i="39"/>
  <c r="V2235" i="39"/>
  <c r="C2235" i="39"/>
  <c r="U2235" i="39" s="1"/>
  <c r="V1412" i="39"/>
  <c r="C1412" i="39"/>
  <c r="U1412" i="39" s="1"/>
  <c r="F1413" i="39"/>
  <c r="F46" i="39"/>
  <c r="C1154" i="39"/>
  <c r="U1154" i="39" s="1"/>
  <c r="F1155" i="39"/>
  <c r="V1154" i="39"/>
  <c r="V1661" i="39"/>
  <c r="F1662" i="39"/>
  <c r="V2523" i="39"/>
  <c r="V1983" i="39"/>
  <c r="V255" i="39"/>
  <c r="V574" i="39"/>
  <c r="V2624" i="39"/>
  <c r="V1017" i="39"/>
  <c r="V2037" i="39"/>
  <c r="V1449" i="39"/>
  <c r="V2050" i="39"/>
  <c r="V2106" i="39"/>
  <c r="V2410" i="39"/>
  <c r="V1680" i="39"/>
  <c r="V2010" i="39"/>
  <c r="V208" i="39"/>
  <c r="V2598" i="39"/>
  <c r="V1950" i="39"/>
  <c r="V1898" i="39"/>
  <c r="V1536" i="39"/>
  <c r="V2433" i="39"/>
  <c r="V28" i="39"/>
  <c r="F209" i="39"/>
  <c r="C208" i="39"/>
  <c r="U208" i="39" s="1"/>
  <c r="F1899" i="39"/>
  <c r="C1898" i="39"/>
  <c r="U1898" i="39" s="1"/>
  <c r="F2600" i="39"/>
  <c r="C2598" i="39"/>
  <c r="U2598" i="39" s="1"/>
  <c r="C1661" i="39"/>
  <c r="U1661" i="39" s="1"/>
  <c r="C2523" i="39"/>
  <c r="U2523" i="39" s="1"/>
  <c r="F2524" i="39"/>
  <c r="F2434" i="39"/>
  <c r="C2433" i="39"/>
  <c r="U2433" i="39" s="1"/>
  <c r="C2010" i="39"/>
  <c r="U2010" i="39" s="1"/>
  <c r="F2011" i="39"/>
  <c r="C574" i="39"/>
  <c r="U574" i="39" s="1"/>
  <c r="F575" i="39"/>
  <c r="F29" i="39"/>
  <c r="C28" i="39"/>
  <c r="U28" i="39" s="1"/>
  <c r="F256" i="39"/>
  <c r="F1018" i="39"/>
  <c r="C255" i="39"/>
  <c r="U255" i="39" s="1"/>
  <c r="C1017" i="39"/>
  <c r="U1017" i="39" s="1"/>
  <c r="C1536" i="39"/>
  <c r="U1536" i="39" s="1"/>
  <c r="F1537" i="39"/>
  <c r="C1449" i="39"/>
  <c r="U1449" i="39" s="1"/>
  <c r="F1450" i="39"/>
  <c r="C1950" i="39"/>
  <c r="U1950" i="39" s="1"/>
  <c r="F1951" i="39"/>
  <c r="C2106" i="39"/>
  <c r="U2106" i="39" s="1"/>
  <c r="F2107" i="39"/>
  <c r="F2625" i="39"/>
  <c r="C2624" i="39"/>
  <c r="U2624" i="39" s="1"/>
  <c r="F2411" i="39"/>
  <c r="C2410" i="39"/>
  <c r="U2410" i="39" s="1"/>
  <c r="F1984" i="39"/>
  <c r="C1983" i="39"/>
  <c r="U1983" i="39" s="1"/>
  <c r="F1681" i="39"/>
  <c r="C1680" i="39"/>
  <c r="U1680" i="39" s="1"/>
  <c r="C2037" i="39"/>
  <c r="U2037" i="39" s="1"/>
  <c r="F2038" i="39"/>
  <c r="F2051" i="39"/>
  <c r="C2050" i="39"/>
  <c r="U2050" i="39" s="1"/>
  <c r="F1801" i="39" l="1"/>
  <c r="C1800" i="39"/>
  <c r="U1800" i="39" s="1"/>
  <c r="V1800" i="39"/>
  <c r="F2374" i="39"/>
  <c r="V2373" i="39"/>
  <c r="C2373" i="39"/>
  <c r="U2373" i="39" s="1"/>
  <c r="V2628" i="39"/>
  <c r="C2628" i="39"/>
  <c r="U2628" i="39" s="1"/>
  <c r="F2240" i="39"/>
  <c r="V2236" i="39"/>
  <c r="C2236" i="39"/>
  <c r="U2236" i="39" s="1"/>
  <c r="V2238" i="39"/>
  <c r="C2238" i="39"/>
  <c r="U2238" i="39" s="1"/>
  <c r="C1413" i="39"/>
  <c r="U1413" i="39" s="1"/>
  <c r="F1414" i="39"/>
  <c r="V1413" i="39"/>
  <c r="F47" i="39"/>
  <c r="F1156" i="39"/>
  <c r="V1155" i="39"/>
  <c r="C1155" i="39"/>
  <c r="U1155" i="39" s="1"/>
  <c r="V1662" i="39"/>
  <c r="F1663" i="39"/>
  <c r="V1899" i="39"/>
  <c r="V256" i="39"/>
  <c r="V1537" i="39"/>
  <c r="V2625" i="39"/>
  <c r="V2107" i="39"/>
  <c r="V2051" i="39"/>
  <c r="V1951" i="39"/>
  <c r="V2434" i="39"/>
  <c r="V2411" i="39"/>
  <c r="V2038" i="39"/>
  <c r="V575" i="39"/>
  <c r="V1681" i="39"/>
  <c r="V2011" i="39"/>
  <c r="V2524" i="39"/>
  <c r="V1450" i="39"/>
  <c r="V2600" i="39"/>
  <c r="V1984" i="39"/>
  <c r="V209" i="39"/>
  <c r="V1018" i="39"/>
  <c r="V44" i="39"/>
  <c r="V29" i="39"/>
  <c r="C209" i="39"/>
  <c r="U209" i="39" s="1"/>
  <c r="F210" i="39"/>
  <c r="F1900" i="39"/>
  <c r="C1899" i="39"/>
  <c r="U1899" i="39" s="1"/>
  <c r="C2600" i="39"/>
  <c r="U2600" i="39" s="1"/>
  <c r="F2601" i="39"/>
  <c r="C1662" i="39"/>
  <c r="U1662" i="39" s="1"/>
  <c r="C2524" i="39"/>
  <c r="U2524" i="39" s="1"/>
  <c r="F2525" i="39"/>
  <c r="F2435" i="39"/>
  <c r="C2434" i="39"/>
  <c r="U2434" i="39" s="1"/>
  <c r="F2012" i="39"/>
  <c r="C2011" i="39"/>
  <c r="U2011" i="39" s="1"/>
  <c r="C575" i="39"/>
  <c r="U575" i="39" s="1"/>
  <c r="C44" i="39"/>
  <c r="U44" i="39" s="1"/>
  <c r="F30" i="39"/>
  <c r="C29" i="39"/>
  <c r="U29" i="39" s="1"/>
  <c r="F257" i="39"/>
  <c r="F1019" i="39"/>
  <c r="C1018" i="39"/>
  <c r="U1018" i="39" s="1"/>
  <c r="C256" i="39"/>
  <c r="U256" i="39" s="1"/>
  <c r="C1537" i="39"/>
  <c r="U1537" i="39" s="1"/>
  <c r="F1451" i="39"/>
  <c r="C1450" i="39"/>
  <c r="U1450" i="39" s="1"/>
  <c r="F1952" i="39"/>
  <c r="C1951" i="39"/>
  <c r="U1951" i="39" s="1"/>
  <c r="C2107" i="39"/>
  <c r="U2107" i="39" s="1"/>
  <c r="F2108" i="39"/>
  <c r="F2412" i="39"/>
  <c r="C2411" i="39"/>
  <c r="U2411" i="39" s="1"/>
  <c r="F2626" i="39"/>
  <c r="C2625" i="39"/>
  <c r="U2625" i="39" s="1"/>
  <c r="C1681" i="39"/>
  <c r="U1681" i="39" s="1"/>
  <c r="F1682" i="39"/>
  <c r="C2051" i="39"/>
  <c r="U2051" i="39" s="1"/>
  <c r="F2052" i="39"/>
  <c r="C1984" i="39"/>
  <c r="U1984" i="39" s="1"/>
  <c r="F1985" i="39"/>
  <c r="F2039" i="39"/>
  <c r="C2038" i="39"/>
  <c r="U2038" i="39" s="1"/>
  <c r="F1802" i="39" l="1"/>
  <c r="C1801" i="39"/>
  <c r="U1801" i="39" s="1"/>
  <c r="V1801" i="39"/>
  <c r="F2375" i="39"/>
  <c r="V2374" i="39"/>
  <c r="C2374" i="39"/>
  <c r="U2374" i="39" s="1"/>
  <c r="F2376" i="39"/>
  <c r="V2240" i="39"/>
  <c r="C2240" i="39"/>
  <c r="U2240" i="39" s="1"/>
  <c r="F2241" i="39"/>
  <c r="F2631" i="39"/>
  <c r="C2239" i="39"/>
  <c r="U2239" i="39" s="1"/>
  <c r="V2239" i="39"/>
  <c r="V1414" i="39"/>
  <c r="C1414" i="39"/>
  <c r="U1414" i="39" s="1"/>
  <c r="F1415" i="39"/>
  <c r="F48" i="39"/>
  <c r="C1156" i="39"/>
  <c r="U1156" i="39" s="1"/>
  <c r="F1157" i="39"/>
  <c r="V1156" i="39"/>
  <c r="V1663" i="39"/>
  <c r="F1664" i="39"/>
  <c r="V1451" i="39"/>
  <c r="V2525" i="39"/>
  <c r="V1019" i="39"/>
  <c r="V2108" i="39"/>
  <c r="V1952" i="39"/>
  <c r="V2412" i="39"/>
  <c r="V1900" i="39"/>
  <c r="V2039" i="39"/>
  <c r="V210" i="39"/>
  <c r="V2626" i="39"/>
  <c r="V2012" i="39"/>
  <c r="V1682" i="39"/>
  <c r="V257" i="39"/>
  <c r="V1985" i="39"/>
  <c r="V2601" i="39"/>
  <c r="V2435" i="39"/>
  <c r="V2052" i="39"/>
  <c r="V30" i="39"/>
  <c r="F211" i="39"/>
  <c r="C210" i="39"/>
  <c r="U210" i="39" s="1"/>
  <c r="F1901" i="39"/>
  <c r="C1900" i="39"/>
  <c r="U1900" i="39" s="1"/>
  <c r="F2602" i="39"/>
  <c r="C2601" i="39"/>
  <c r="U2601" i="39" s="1"/>
  <c r="C1663" i="39"/>
  <c r="U1663" i="39" s="1"/>
  <c r="C577" i="39"/>
  <c r="U577" i="39" s="1"/>
  <c r="C2525" i="39"/>
  <c r="U2525" i="39" s="1"/>
  <c r="F2526" i="39"/>
  <c r="F2436" i="39"/>
  <c r="C2435" i="39"/>
  <c r="U2435" i="39" s="1"/>
  <c r="C2012" i="39"/>
  <c r="U2012" i="39" s="1"/>
  <c r="F2013" i="39"/>
  <c r="F31" i="39"/>
  <c r="C30" i="39"/>
  <c r="U30" i="39" s="1"/>
  <c r="F258" i="39"/>
  <c r="C1019" i="39"/>
  <c r="U1019" i="39" s="1"/>
  <c r="F1020" i="39"/>
  <c r="C257" i="39"/>
  <c r="U257" i="39" s="1"/>
  <c r="C1451" i="39"/>
  <c r="U1451" i="39" s="1"/>
  <c r="F1452" i="39"/>
  <c r="F1953" i="39"/>
  <c r="C1952" i="39"/>
  <c r="U1952" i="39" s="1"/>
  <c r="F2109" i="39"/>
  <c r="C2108" i="39"/>
  <c r="U2108" i="39" s="1"/>
  <c r="F2629" i="39"/>
  <c r="C2626" i="39"/>
  <c r="U2626" i="39" s="1"/>
  <c r="C2052" i="39"/>
  <c r="U2052" i="39" s="1"/>
  <c r="F2053" i="39"/>
  <c r="F2413" i="39"/>
  <c r="C2412" i="39"/>
  <c r="U2412" i="39" s="1"/>
  <c r="C2039" i="39"/>
  <c r="U2039" i="39" s="1"/>
  <c r="F2040" i="39"/>
  <c r="F1986" i="39"/>
  <c r="C1985" i="39"/>
  <c r="U1985" i="39" s="1"/>
  <c r="F1683" i="39"/>
  <c r="C1682" i="39"/>
  <c r="U1682" i="39" s="1"/>
  <c r="F1803" i="39" l="1"/>
  <c r="C1802" i="39"/>
  <c r="U1802" i="39" s="1"/>
  <c r="V1802" i="39"/>
  <c r="F2377" i="39"/>
  <c r="V2375" i="39"/>
  <c r="C2375" i="39"/>
  <c r="U2375" i="39" s="1"/>
  <c r="C2376" i="39"/>
  <c r="U2376" i="39" s="1"/>
  <c r="V2376" i="39"/>
  <c r="C2241" i="39"/>
  <c r="U2241" i="39" s="1"/>
  <c r="V2241" i="39"/>
  <c r="F2242" i="39"/>
  <c r="V2631" i="39"/>
  <c r="C2631" i="39"/>
  <c r="U2631" i="39" s="1"/>
  <c r="C1415" i="39"/>
  <c r="U1415" i="39" s="1"/>
  <c r="V1415" i="39"/>
  <c r="F1416" i="39"/>
  <c r="F49" i="39"/>
  <c r="F1158" i="39"/>
  <c r="V1157" i="39"/>
  <c r="C1157" i="39"/>
  <c r="U1157" i="39" s="1"/>
  <c r="V1664" i="39"/>
  <c r="F1665" i="39"/>
  <c r="V2109" i="39"/>
  <c r="V1953" i="39"/>
  <c r="V1986" i="39"/>
  <c r="V2436" i="39"/>
  <c r="V2526" i="39"/>
  <c r="V2040" i="39"/>
  <c r="V2629" i="39"/>
  <c r="V258" i="39"/>
  <c r="V1901" i="39"/>
  <c r="V211" i="39"/>
  <c r="V1452" i="39"/>
  <c r="V2013" i="39"/>
  <c r="V2413" i="39"/>
  <c r="V2053" i="39"/>
  <c r="V1020" i="39"/>
  <c r="V1683" i="39"/>
  <c r="V2602" i="39"/>
  <c r="V45" i="39"/>
  <c r="V31" i="39"/>
  <c r="C211" i="39"/>
  <c r="U211" i="39" s="1"/>
  <c r="F212" i="39"/>
  <c r="F2604" i="39"/>
  <c r="F2603" i="39"/>
  <c r="C2602" i="39"/>
  <c r="U2602" i="39" s="1"/>
  <c r="F1902" i="39"/>
  <c r="C1901" i="39"/>
  <c r="U1901" i="39" s="1"/>
  <c r="C1664" i="39"/>
  <c r="U1664" i="39" s="1"/>
  <c r="C2526" i="39"/>
  <c r="U2526" i="39" s="1"/>
  <c r="F2527" i="39"/>
  <c r="C2436" i="39"/>
  <c r="U2436" i="39" s="1"/>
  <c r="F2014" i="39"/>
  <c r="C2013" i="39"/>
  <c r="U2013" i="39" s="1"/>
  <c r="C45" i="39"/>
  <c r="U45" i="39" s="1"/>
  <c r="C31" i="39"/>
  <c r="U31" i="39" s="1"/>
  <c r="F32" i="39"/>
  <c r="F259" i="39"/>
  <c r="F1021" i="39"/>
  <c r="C1020" i="39"/>
  <c r="U1020" i="39" s="1"/>
  <c r="C258" i="39"/>
  <c r="U258" i="39" s="1"/>
  <c r="F1453" i="39"/>
  <c r="C1452" i="39"/>
  <c r="U1452" i="39" s="1"/>
  <c r="F1954" i="39"/>
  <c r="C1953" i="39"/>
  <c r="U1953" i="39" s="1"/>
  <c r="C2109" i="39"/>
  <c r="U2109" i="39" s="1"/>
  <c r="F2110" i="39"/>
  <c r="C2413" i="39"/>
  <c r="U2413" i="39" s="1"/>
  <c r="F2414" i="39"/>
  <c r="C2040" i="39"/>
  <c r="U2040" i="39" s="1"/>
  <c r="C1683" i="39"/>
  <c r="U1683" i="39" s="1"/>
  <c r="C2629" i="39"/>
  <c r="U2629" i="39" s="1"/>
  <c r="F2630" i="39"/>
  <c r="F2054" i="39"/>
  <c r="C2053" i="39"/>
  <c r="U2053" i="39" s="1"/>
  <c r="C1986" i="39"/>
  <c r="U1986" i="39" s="1"/>
  <c r="F1987" i="39"/>
  <c r="F1805" i="39" l="1"/>
  <c r="F1804" i="39"/>
  <c r="V1803" i="39"/>
  <c r="C1803" i="39"/>
  <c r="U1803" i="39" s="1"/>
  <c r="V2377" i="39"/>
  <c r="F2378" i="39"/>
  <c r="C2377" i="39"/>
  <c r="U2377" i="39" s="1"/>
  <c r="C2242" i="39"/>
  <c r="U2242" i="39" s="1"/>
  <c r="V2242" i="39"/>
  <c r="F2243" i="39"/>
  <c r="F2632" i="39"/>
  <c r="F1417" i="39"/>
  <c r="V1416" i="39"/>
  <c r="C1416" i="39"/>
  <c r="U1416" i="39" s="1"/>
  <c r="F50" i="39"/>
  <c r="C1158" i="39"/>
  <c r="U1158" i="39" s="1"/>
  <c r="F1159" i="39"/>
  <c r="V1158" i="39"/>
  <c r="V1665" i="39"/>
  <c r="F1666" i="39"/>
  <c r="V2014" i="39"/>
  <c r="V2054" i="39"/>
  <c r="V2527" i="39"/>
  <c r="V2110" i="39"/>
  <c r="V212" i="39"/>
  <c r="V1954" i="39"/>
  <c r="V1021" i="39"/>
  <c r="V2604" i="39"/>
  <c r="V2414" i="39"/>
  <c r="V259" i="39"/>
  <c r="V2630" i="39"/>
  <c r="V1453" i="39"/>
  <c r="V1902" i="39"/>
  <c r="V2603" i="39"/>
  <c r="V1987" i="39"/>
  <c r="V46" i="39"/>
  <c r="V32" i="39"/>
  <c r="C212" i="39"/>
  <c r="U212" i="39" s="1"/>
  <c r="F213" i="39"/>
  <c r="F2605" i="39"/>
  <c r="F2606" i="39"/>
  <c r="C2604" i="39"/>
  <c r="U2604" i="39" s="1"/>
  <c r="C2603" i="39"/>
  <c r="U2603" i="39" s="1"/>
  <c r="C1902" i="39"/>
  <c r="U1902" i="39" s="1"/>
  <c r="F1903" i="39"/>
  <c r="C1665" i="39"/>
  <c r="U1665" i="39" s="1"/>
  <c r="C2527" i="39"/>
  <c r="U2527" i="39" s="1"/>
  <c r="F2528" i="39"/>
  <c r="C2014" i="39"/>
  <c r="U2014" i="39" s="1"/>
  <c r="F2015" i="39"/>
  <c r="F33" i="39"/>
  <c r="C32" i="39"/>
  <c r="U32" i="39" s="1"/>
  <c r="F260" i="39"/>
  <c r="F1022" i="39"/>
  <c r="F1024" i="39"/>
  <c r="C1021" i="39"/>
  <c r="U1021" i="39" s="1"/>
  <c r="C259" i="39"/>
  <c r="U259" i="39" s="1"/>
  <c r="C1453" i="39"/>
  <c r="U1453" i="39" s="1"/>
  <c r="C1954" i="39"/>
  <c r="U1954" i="39" s="1"/>
  <c r="C2110" i="39"/>
  <c r="U2110" i="39" s="1"/>
  <c r="F2111" i="39"/>
  <c r="F2415" i="39"/>
  <c r="C2414" i="39"/>
  <c r="U2414" i="39" s="1"/>
  <c r="C2630" i="39"/>
  <c r="U2630" i="39" s="1"/>
  <c r="C2054" i="39"/>
  <c r="U2054" i="39" s="1"/>
  <c r="F2055" i="39"/>
  <c r="C1987" i="39"/>
  <c r="U1987" i="39" s="1"/>
  <c r="F1988" i="39"/>
  <c r="F1806" i="39" l="1"/>
  <c r="C1804" i="39"/>
  <c r="U1804" i="39" s="1"/>
  <c r="V1804" i="39"/>
  <c r="C1805" i="39"/>
  <c r="U1805" i="39" s="1"/>
  <c r="V1805" i="39"/>
  <c r="C2378" i="39"/>
  <c r="U2378" i="39" s="1"/>
  <c r="F2379" i="39"/>
  <c r="V2378" i="39"/>
  <c r="F2244" i="39"/>
  <c r="V2243" i="39"/>
  <c r="C2243" i="39"/>
  <c r="U2243" i="39" s="1"/>
  <c r="V2632" i="39"/>
  <c r="C2632" i="39"/>
  <c r="U2632" i="39" s="1"/>
  <c r="F2633" i="39"/>
  <c r="F2635" i="39"/>
  <c r="F1418" i="39"/>
  <c r="C1417" i="39"/>
  <c r="U1417" i="39" s="1"/>
  <c r="V1417" i="39"/>
  <c r="F1160" i="39"/>
  <c r="V1159" i="39"/>
  <c r="C1159" i="39"/>
  <c r="U1159" i="39" s="1"/>
  <c r="F1667" i="39"/>
  <c r="V1666" i="39"/>
  <c r="V1022" i="39"/>
  <c r="V1903" i="39"/>
  <c r="V2015" i="39"/>
  <c r="V2055" i="39"/>
  <c r="V2606" i="39"/>
  <c r="V2605" i="39"/>
  <c r="V1024" i="39"/>
  <c r="V260" i="39"/>
  <c r="V2528" i="39"/>
  <c r="V2415" i="39"/>
  <c r="V2111" i="39"/>
  <c r="V213" i="39"/>
  <c r="V1988" i="39"/>
  <c r="V47" i="39"/>
  <c r="V33" i="39"/>
  <c r="C213" i="39"/>
  <c r="U213" i="39" s="1"/>
  <c r="F214" i="39"/>
  <c r="C2606" i="39"/>
  <c r="U2606" i="39" s="1"/>
  <c r="F2608" i="39"/>
  <c r="F2607" i="39"/>
  <c r="C2605" i="39"/>
  <c r="U2605" i="39" s="1"/>
  <c r="F1904" i="39"/>
  <c r="C1903" i="39"/>
  <c r="U1903" i="39" s="1"/>
  <c r="C1666" i="39"/>
  <c r="U1666" i="39" s="1"/>
  <c r="F2529" i="39"/>
  <c r="C2528" i="39"/>
  <c r="U2528" i="39" s="1"/>
  <c r="F2016" i="39"/>
  <c r="C2015" i="39"/>
  <c r="U2015" i="39" s="1"/>
  <c r="F34" i="39"/>
  <c r="C33" i="39"/>
  <c r="U33" i="39" s="1"/>
  <c r="C46" i="39"/>
  <c r="U46" i="39" s="1"/>
  <c r="F261" i="39"/>
  <c r="F1023" i="39"/>
  <c r="C1022" i="39"/>
  <c r="U1022" i="39" s="1"/>
  <c r="F1025" i="39"/>
  <c r="C1024" i="39"/>
  <c r="U1024" i="39" s="1"/>
  <c r="C260" i="39"/>
  <c r="U260" i="39" s="1"/>
  <c r="F2112" i="39"/>
  <c r="C2111" i="39"/>
  <c r="U2111" i="39" s="1"/>
  <c r="F1989" i="39"/>
  <c r="C1988" i="39"/>
  <c r="U1988" i="39" s="1"/>
  <c r="F2416" i="39"/>
  <c r="C2415" i="39"/>
  <c r="U2415" i="39" s="1"/>
  <c r="C2055" i="39"/>
  <c r="U2055" i="39" s="1"/>
  <c r="F2056" i="39"/>
  <c r="F1807" i="39" l="1"/>
  <c r="C1806" i="39"/>
  <c r="U1806" i="39" s="1"/>
  <c r="V1806" i="39"/>
  <c r="F2380" i="39"/>
  <c r="V2379" i="39"/>
  <c r="C2379" i="39"/>
  <c r="U2379" i="39" s="1"/>
  <c r="F2637" i="39"/>
  <c r="F2245" i="39"/>
  <c r="C2244" i="39"/>
  <c r="U2244" i="39" s="1"/>
  <c r="V2244" i="39"/>
  <c r="C2635" i="39"/>
  <c r="U2635" i="39" s="1"/>
  <c r="C2633" i="39"/>
  <c r="U2633" i="39" s="1"/>
  <c r="V2633" i="39"/>
  <c r="F2634" i="39"/>
  <c r="V2635" i="39"/>
  <c r="V1163" i="39"/>
  <c r="C1163" i="39"/>
  <c r="U1163" i="39" s="1"/>
  <c r="C1418" i="39"/>
  <c r="U1418" i="39" s="1"/>
  <c r="F1419" i="39"/>
  <c r="V1418" i="39"/>
  <c r="F1668" i="39"/>
  <c r="V1667" i="39"/>
  <c r="C1160" i="39"/>
  <c r="U1160" i="39" s="1"/>
  <c r="V1160" i="39"/>
  <c r="V1989" i="39"/>
  <c r="V1023" i="39"/>
  <c r="V261" i="39"/>
  <c r="V2529" i="39"/>
  <c r="V2112" i="39"/>
  <c r="V2608" i="39"/>
  <c r="V214" i="39"/>
  <c r="V2016" i="39"/>
  <c r="V1025" i="39"/>
  <c r="V1904" i="39"/>
  <c r="V2607" i="39"/>
  <c r="V2056" i="39"/>
  <c r="V2416" i="39"/>
  <c r="V34" i="39"/>
  <c r="F215" i="39"/>
  <c r="C214" i="39"/>
  <c r="U214" i="39" s="1"/>
  <c r="C2608" i="39"/>
  <c r="U2608" i="39" s="1"/>
  <c r="C2607" i="39"/>
  <c r="U2607" i="39" s="1"/>
  <c r="F1905" i="39"/>
  <c r="C1904" i="39"/>
  <c r="U1904" i="39" s="1"/>
  <c r="C1667" i="39"/>
  <c r="U1667" i="39" s="1"/>
  <c r="C2529" i="39"/>
  <c r="U2529" i="39" s="1"/>
  <c r="F2530" i="39"/>
  <c r="F2017" i="39"/>
  <c r="C2016" i="39"/>
  <c r="U2016" i="39" s="1"/>
  <c r="C34" i="39"/>
  <c r="U34" i="39" s="1"/>
  <c r="C47" i="39"/>
  <c r="U47" i="39" s="1"/>
  <c r="F262" i="39"/>
  <c r="C1023" i="39"/>
  <c r="U1023" i="39" s="1"/>
  <c r="F1026" i="39"/>
  <c r="C1025" i="39"/>
  <c r="U1025" i="39" s="1"/>
  <c r="C261" i="39"/>
  <c r="U261" i="39" s="1"/>
  <c r="F2113" i="39"/>
  <c r="C2112" i="39"/>
  <c r="U2112" i="39" s="1"/>
  <c r="C1989" i="39"/>
  <c r="U1989" i="39" s="1"/>
  <c r="F1990" i="39"/>
  <c r="F2417" i="39"/>
  <c r="C2416" i="39"/>
  <c r="U2416" i="39" s="1"/>
  <c r="C2056" i="39"/>
  <c r="U2056" i="39" s="1"/>
  <c r="F2057" i="39"/>
  <c r="C1807" i="39" l="1"/>
  <c r="U1807" i="39" s="1"/>
  <c r="F1808" i="39"/>
  <c r="V1807" i="39"/>
  <c r="F2381" i="39"/>
  <c r="V2380" i="39"/>
  <c r="C2380" i="39"/>
  <c r="U2380" i="39" s="1"/>
  <c r="C2637" i="39"/>
  <c r="U2637" i="39" s="1"/>
  <c r="V2637" i="39"/>
  <c r="F2638" i="39"/>
  <c r="F2246" i="39"/>
  <c r="V2245" i="39"/>
  <c r="C2245" i="39"/>
  <c r="U2245" i="39" s="1"/>
  <c r="F2636" i="39"/>
  <c r="V2634" i="39"/>
  <c r="C2634" i="39"/>
  <c r="U2634" i="39" s="1"/>
  <c r="V1161" i="39"/>
  <c r="U1161" i="39"/>
  <c r="C1419" i="39"/>
  <c r="U1419" i="39" s="1"/>
  <c r="F1420" i="39"/>
  <c r="V1419" i="39"/>
  <c r="F1669" i="39"/>
  <c r="V1668" i="39"/>
  <c r="V262" i="39"/>
  <c r="V1990" i="39"/>
  <c r="V1026" i="39"/>
  <c r="V2017" i="39"/>
  <c r="V2057" i="39"/>
  <c r="V215" i="39"/>
  <c r="V1905" i="39"/>
  <c r="V2113" i="39"/>
  <c r="V2530" i="39"/>
  <c r="V2417" i="39"/>
  <c r="C1905" i="39"/>
  <c r="U1905" i="39" s="1"/>
  <c r="F1906" i="39"/>
  <c r="C1668" i="39"/>
  <c r="U1668" i="39" s="1"/>
  <c r="F2531" i="39"/>
  <c r="C2530" i="39"/>
  <c r="U2530" i="39" s="1"/>
  <c r="F1030" i="39"/>
  <c r="C2017" i="39"/>
  <c r="U2017" i="39" s="1"/>
  <c r="F2018" i="39"/>
  <c r="F263" i="39"/>
  <c r="F1027" i="39"/>
  <c r="C1026" i="39"/>
  <c r="U1026" i="39" s="1"/>
  <c r="C262" i="39"/>
  <c r="U262" i="39" s="1"/>
  <c r="C2113" i="39"/>
  <c r="U2113" i="39" s="1"/>
  <c r="F2114" i="39"/>
  <c r="F2058" i="39"/>
  <c r="C2057" i="39"/>
  <c r="U2057" i="39" s="1"/>
  <c r="C2417" i="39"/>
  <c r="U2417" i="39" s="1"/>
  <c r="F2418" i="39"/>
  <c r="C1990" i="39"/>
  <c r="U1990" i="39" s="1"/>
  <c r="F1991" i="39"/>
  <c r="F1809" i="39" l="1"/>
  <c r="C1808" i="39"/>
  <c r="U1808" i="39" s="1"/>
  <c r="V1808" i="39"/>
  <c r="V2381" i="39"/>
  <c r="C2381" i="39"/>
  <c r="U2381" i="39" s="1"/>
  <c r="F2382" i="39"/>
  <c r="V2638" i="39"/>
  <c r="C2638" i="39"/>
  <c r="U2638" i="39" s="1"/>
  <c r="F2247" i="39"/>
  <c r="C2246" i="39"/>
  <c r="U2246" i="39" s="1"/>
  <c r="V2246" i="39"/>
  <c r="V2636" i="39"/>
  <c r="C2636" i="39"/>
  <c r="U2636" i="39" s="1"/>
  <c r="F1421" i="39"/>
  <c r="C1420" i="39"/>
  <c r="U1420" i="39" s="1"/>
  <c r="V1420" i="39"/>
  <c r="V1669" i="39"/>
  <c r="V1991" i="39"/>
  <c r="V2418" i="39"/>
  <c r="V2531" i="39"/>
  <c r="V1027" i="39"/>
  <c r="V2018" i="39"/>
  <c r="V1030" i="39"/>
  <c r="V263" i="39"/>
  <c r="V2114" i="39"/>
  <c r="V2058" i="39"/>
  <c r="V1906" i="39"/>
  <c r="C215" i="39"/>
  <c r="U215" i="39" s="1"/>
  <c r="F1907" i="39"/>
  <c r="C1906" i="39"/>
  <c r="U1906" i="39" s="1"/>
  <c r="C1669" i="39"/>
  <c r="U1669" i="39" s="1"/>
  <c r="C2531" i="39"/>
  <c r="U2531" i="39" s="1"/>
  <c r="F2532" i="39"/>
  <c r="C1030" i="39"/>
  <c r="U1030" i="39" s="1"/>
  <c r="C2018" i="39"/>
  <c r="U2018" i="39" s="1"/>
  <c r="F2019" i="39"/>
  <c r="F264" i="39"/>
  <c r="F1028" i="39"/>
  <c r="F1032" i="39"/>
  <c r="C1027" i="39"/>
  <c r="U1027" i="39" s="1"/>
  <c r="F1033" i="39"/>
  <c r="F1031" i="39"/>
  <c r="C263" i="39"/>
  <c r="U263" i="39" s="1"/>
  <c r="F2115" i="39"/>
  <c r="C2114" i="39"/>
  <c r="U2114" i="39" s="1"/>
  <c r="F2419" i="39"/>
  <c r="C2418" i="39"/>
  <c r="U2418" i="39" s="1"/>
  <c r="C1991" i="39"/>
  <c r="U1991" i="39" s="1"/>
  <c r="C2058" i="39"/>
  <c r="U2058" i="39" s="1"/>
  <c r="F2059" i="39"/>
  <c r="C1809" i="39" l="1"/>
  <c r="U1809" i="39" s="1"/>
  <c r="F1810" i="39"/>
  <c r="V1809" i="39"/>
  <c r="V2382" i="39"/>
  <c r="F2383" i="39"/>
  <c r="C2382" i="39"/>
  <c r="U2382" i="39" s="1"/>
  <c r="F2248" i="39"/>
  <c r="C2247" i="39"/>
  <c r="U2247" i="39" s="1"/>
  <c r="V2247" i="39"/>
  <c r="C1421" i="39"/>
  <c r="U1421" i="39" s="1"/>
  <c r="V1421" i="39"/>
  <c r="F1422" i="39"/>
  <c r="V1028" i="39"/>
  <c r="V2059" i="39"/>
  <c r="V2019" i="39"/>
  <c r="V2532" i="39"/>
  <c r="V1907" i="39"/>
  <c r="V2115" i="39"/>
  <c r="V1033" i="39"/>
  <c r="V264" i="39"/>
  <c r="V2419" i="39"/>
  <c r="V1031" i="39"/>
  <c r="V1032" i="39"/>
  <c r="V48" i="39"/>
  <c r="C1907" i="39"/>
  <c r="U1907" i="39" s="1"/>
  <c r="F1908" i="39"/>
  <c r="F2533" i="39"/>
  <c r="C2532" i="39"/>
  <c r="U2532" i="39" s="1"/>
  <c r="F2020" i="39"/>
  <c r="C2019" i="39"/>
  <c r="U2019" i="39" s="1"/>
  <c r="F265" i="39"/>
  <c r="C1028" i="39"/>
  <c r="U1028" i="39" s="1"/>
  <c r="F1034" i="39"/>
  <c r="F1029" i="39"/>
  <c r="C1032" i="39"/>
  <c r="U1032" i="39" s="1"/>
  <c r="C1031" i="39"/>
  <c r="U1031" i="39" s="1"/>
  <c r="C1033" i="39"/>
  <c r="U1033" i="39" s="1"/>
  <c r="C264" i="39"/>
  <c r="U264" i="39" s="1"/>
  <c r="F2116" i="39"/>
  <c r="C2115" i="39"/>
  <c r="U2115" i="39" s="1"/>
  <c r="C2419" i="39"/>
  <c r="U2419" i="39" s="1"/>
  <c r="F2420" i="39"/>
  <c r="F2060" i="39"/>
  <c r="C2059" i="39"/>
  <c r="U2059" i="39" s="1"/>
  <c r="F1811" i="39" l="1"/>
  <c r="C1810" i="39"/>
  <c r="U1810" i="39" s="1"/>
  <c r="V1810" i="39"/>
  <c r="V2383" i="39"/>
  <c r="F2384" i="39"/>
  <c r="C2383" i="39"/>
  <c r="U2383" i="39" s="1"/>
  <c r="F2249" i="39"/>
  <c r="C2248" i="39"/>
  <c r="U2248" i="39" s="1"/>
  <c r="V2248" i="39"/>
  <c r="F1423" i="39"/>
  <c r="C1422" i="39"/>
  <c r="U1422" i="39" s="1"/>
  <c r="V1422" i="39"/>
  <c r="V1034" i="39"/>
  <c r="V2060" i="39"/>
  <c r="V1029" i="39"/>
  <c r="V1908" i="39"/>
  <c r="V265" i="39"/>
  <c r="V2020" i="39"/>
  <c r="V2420" i="39"/>
  <c r="V2116" i="39"/>
  <c r="V2533" i="39"/>
  <c r="F2421" i="39"/>
  <c r="F1909" i="39"/>
  <c r="C1908" i="39"/>
  <c r="U1908" i="39" s="1"/>
  <c r="C2533" i="39"/>
  <c r="U2533" i="39" s="1"/>
  <c r="F2534" i="39"/>
  <c r="F266" i="39"/>
  <c r="C2020" i="39"/>
  <c r="U2020" i="39" s="1"/>
  <c r="C48" i="39"/>
  <c r="U48" i="39" s="1"/>
  <c r="C1029" i="39"/>
  <c r="U1029" i="39" s="1"/>
  <c r="F1035" i="39"/>
  <c r="F1036" i="39"/>
  <c r="C1034" i="39"/>
  <c r="U1034" i="39" s="1"/>
  <c r="C265" i="39"/>
  <c r="U265" i="39" s="1"/>
  <c r="C2116" i="39"/>
  <c r="U2116" i="39" s="1"/>
  <c r="F2117" i="39"/>
  <c r="F2422" i="39"/>
  <c r="C2420" i="39"/>
  <c r="U2420" i="39" s="1"/>
  <c r="C2060" i="39"/>
  <c r="U2060" i="39" s="1"/>
  <c r="C1811" i="39" l="1"/>
  <c r="U1811" i="39" s="1"/>
  <c r="F1812" i="39"/>
  <c r="V1811" i="39"/>
  <c r="V2384" i="39"/>
  <c r="F2385" i="39"/>
  <c r="C2384" i="39"/>
  <c r="U2384" i="39" s="1"/>
  <c r="F2250" i="39"/>
  <c r="C2249" i="39"/>
  <c r="U2249" i="39" s="1"/>
  <c r="V2249" i="39"/>
  <c r="F1424" i="39"/>
  <c r="C1423" i="39"/>
  <c r="U1423" i="39" s="1"/>
  <c r="V1423" i="39"/>
  <c r="V2421" i="39"/>
  <c r="V1035" i="39"/>
  <c r="V2117" i="39"/>
  <c r="V266" i="39"/>
  <c r="V1909" i="39"/>
  <c r="V1036" i="39"/>
  <c r="V2422" i="39"/>
  <c r="V2534" i="39"/>
  <c r="C2421" i="39"/>
  <c r="U2421" i="39" s="1"/>
  <c r="F1912" i="39"/>
  <c r="C1909" i="39"/>
  <c r="U1909" i="39" s="1"/>
  <c r="F1910" i="39"/>
  <c r="C2534" i="39"/>
  <c r="U2534" i="39" s="1"/>
  <c r="F2535" i="39"/>
  <c r="F267" i="39"/>
  <c r="F1038" i="39"/>
  <c r="C1036" i="39"/>
  <c r="U1036" i="39" s="1"/>
  <c r="F1037" i="39"/>
  <c r="C1035" i="39"/>
  <c r="U1035" i="39" s="1"/>
  <c r="C266" i="39"/>
  <c r="U266" i="39" s="1"/>
  <c r="C2117" i="39"/>
  <c r="U2117" i="39" s="1"/>
  <c r="F2118" i="39"/>
  <c r="C2422" i="39"/>
  <c r="U2422" i="39" s="1"/>
  <c r="F1813" i="39" l="1"/>
  <c r="C1812" i="39"/>
  <c r="U1812" i="39" s="1"/>
  <c r="V1812" i="39"/>
  <c r="V2385" i="39"/>
  <c r="F2386" i="39"/>
  <c r="C2385" i="39"/>
  <c r="U2385" i="39" s="1"/>
  <c r="F2251" i="39"/>
  <c r="C2250" i="39"/>
  <c r="U2250" i="39" s="1"/>
  <c r="V2250" i="39"/>
  <c r="C1424" i="39"/>
  <c r="U1424" i="39" s="1"/>
  <c r="F1425" i="39"/>
  <c r="V1424" i="39"/>
  <c r="V2118" i="39"/>
  <c r="V1910" i="39"/>
  <c r="V2535" i="39"/>
  <c r="V1912" i="39"/>
  <c r="V267" i="39"/>
  <c r="V1037" i="39"/>
  <c r="V1038" i="39"/>
  <c r="C1912" i="39"/>
  <c r="U1912" i="39" s="1"/>
  <c r="F1913" i="39"/>
  <c r="F1911" i="39"/>
  <c r="C1910" i="39"/>
  <c r="U1910" i="39" s="1"/>
  <c r="C2535" i="39"/>
  <c r="U2535" i="39" s="1"/>
  <c r="F2536" i="39"/>
  <c r="F268" i="39"/>
  <c r="F1039" i="39"/>
  <c r="C1037" i="39"/>
  <c r="U1037" i="39" s="1"/>
  <c r="F1040" i="39"/>
  <c r="C1038" i="39"/>
  <c r="U1038" i="39" s="1"/>
  <c r="C267" i="39"/>
  <c r="U267" i="39" s="1"/>
  <c r="F2119" i="39"/>
  <c r="C2118" i="39"/>
  <c r="U2118" i="39" s="1"/>
  <c r="C1813" i="39" l="1"/>
  <c r="U1813" i="39" s="1"/>
  <c r="F1814" i="39"/>
  <c r="V1813" i="39"/>
  <c r="V2386" i="39"/>
  <c r="F2387" i="39"/>
  <c r="C2386" i="39"/>
  <c r="U2386" i="39" s="1"/>
  <c r="F2252" i="39"/>
  <c r="V2251" i="39"/>
  <c r="C2251" i="39"/>
  <c r="U2251" i="39" s="1"/>
  <c r="V1425" i="39"/>
  <c r="F1426" i="39"/>
  <c r="C1425" i="39"/>
  <c r="U1425" i="39" s="1"/>
  <c r="V2119" i="39"/>
  <c r="V1911" i="39"/>
  <c r="V268" i="39"/>
  <c r="V2536" i="39"/>
  <c r="V1913" i="39"/>
  <c r="V1040" i="39"/>
  <c r="V1039" i="39"/>
  <c r="C1911" i="39"/>
  <c r="U1911" i="39" s="1"/>
  <c r="F1914" i="39"/>
  <c r="C1913" i="39"/>
  <c r="U1913" i="39" s="1"/>
  <c r="C2536" i="39"/>
  <c r="U2536" i="39" s="1"/>
  <c r="F2537" i="39"/>
  <c r="F269" i="39"/>
  <c r="C1040" i="39"/>
  <c r="U1040" i="39" s="1"/>
  <c r="F1042" i="39"/>
  <c r="F1041" i="39"/>
  <c r="C1039" i="39"/>
  <c r="U1039" i="39" s="1"/>
  <c r="C268" i="39"/>
  <c r="U268" i="39" s="1"/>
  <c r="C2119" i="39"/>
  <c r="U2119" i="39" s="1"/>
  <c r="F2120" i="39"/>
  <c r="F1815" i="39" l="1"/>
  <c r="C1814" i="39"/>
  <c r="U1814" i="39" s="1"/>
  <c r="V1814" i="39"/>
  <c r="V2387" i="39"/>
  <c r="F2388" i="39"/>
  <c r="C2387" i="39"/>
  <c r="U2387" i="39" s="1"/>
  <c r="F2253" i="39"/>
  <c r="C2252" i="39"/>
  <c r="U2252" i="39" s="1"/>
  <c r="V2252" i="39"/>
  <c r="C1426" i="39"/>
  <c r="U1426" i="39" s="1"/>
  <c r="F1427" i="39"/>
  <c r="V1426" i="39"/>
  <c r="V2537" i="39"/>
  <c r="V2120" i="39"/>
  <c r="V1042" i="39"/>
  <c r="V269" i="39"/>
  <c r="V1914" i="39"/>
  <c r="V1041" i="39"/>
  <c r="F1915" i="39"/>
  <c r="C1914" i="39"/>
  <c r="U1914" i="39" s="1"/>
  <c r="C2537" i="39"/>
  <c r="U2537" i="39" s="1"/>
  <c r="F2538" i="39"/>
  <c r="C1042" i="39"/>
  <c r="U1042" i="39" s="1"/>
  <c r="C1041" i="39"/>
  <c r="U1041" i="39" s="1"/>
  <c r="F1043" i="39"/>
  <c r="C269" i="39"/>
  <c r="U269" i="39" s="1"/>
  <c r="C2120" i="39"/>
  <c r="U2120" i="39" s="1"/>
  <c r="F2121" i="39"/>
  <c r="F1817" i="39" l="1"/>
  <c r="C1815" i="39"/>
  <c r="U1815" i="39" s="1"/>
  <c r="F1816" i="39"/>
  <c r="V1815" i="39"/>
  <c r="F2389" i="39"/>
  <c r="V2388" i="39"/>
  <c r="C2388" i="39"/>
  <c r="U2388" i="39" s="1"/>
  <c r="C1427" i="39"/>
  <c r="U1427" i="39" s="1"/>
  <c r="F1428" i="39"/>
  <c r="F2254" i="39"/>
  <c r="C2253" i="39"/>
  <c r="U2253" i="39" s="1"/>
  <c r="V2253" i="39"/>
  <c r="V1427" i="39"/>
  <c r="V1043" i="39"/>
  <c r="V1915" i="39"/>
  <c r="V2121" i="39"/>
  <c r="V2538" i="39"/>
  <c r="C1915" i="39"/>
  <c r="U1915" i="39" s="1"/>
  <c r="F1916" i="39"/>
  <c r="C2538" i="39"/>
  <c r="U2538" i="39" s="1"/>
  <c r="F2539" i="39"/>
  <c r="C1043" i="39"/>
  <c r="U1043" i="39" s="1"/>
  <c r="C2121" i="39"/>
  <c r="U2121" i="39" s="1"/>
  <c r="F2122" i="39"/>
  <c r="F1818" i="39" l="1"/>
  <c r="C1816" i="39"/>
  <c r="U1816" i="39" s="1"/>
  <c r="V1816" i="39"/>
  <c r="C1817" i="39"/>
  <c r="U1817" i="39" s="1"/>
  <c r="V1817" i="39"/>
  <c r="V2389" i="39"/>
  <c r="F2390" i="39"/>
  <c r="C2389" i="39"/>
  <c r="U2389" i="39" s="1"/>
  <c r="F1429" i="39"/>
  <c r="C1428" i="39"/>
  <c r="U1428" i="39" s="1"/>
  <c r="V1428" i="39"/>
  <c r="F2255" i="39"/>
  <c r="C2254" i="39"/>
  <c r="U2254" i="39" s="1"/>
  <c r="V2254" i="39"/>
  <c r="V2539" i="39"/>
  <c r="V1916" i="39"/>
  <c r="V2122" i="39"/>
  <c r="C1916" i="39"/>
  <c r="U1916" i="39" s="1"/>
  <c r="F1917" i="39"/>
  <c r="F2540" i="39"/>
  <c r="C2539" i="39"/>
  <c r="U2539" i="39" s="1"/>
  <c r="F2123" i="39"/>
  <c r="C2122" i="39"/>
  <c r="U2122" i="39" s="1"/>
  <c r="F1819" i="39" l="1"/>
  <c r="C1818" i="39"/>
  <c r="U1818" i="39" s="1"/>
  <c r="V1818" i="39"/>
  <c r="C2390" i="39"/>
  <c r="U2390" i="39" s="1"/>
  <c r="V2390" i="39"/>
  <c r="F2391" i="39"/>
  <c r="V1429" i="39"/>
  <c r="F1430" i="39"/>
  <c r="C1429" i="39"/>
  <c r="U1429" i="39" s="1"/>
  <c r="F2256" i="39"/>
  <c r="C2255" i="39"/>
  <c r="U2255" i="39" s="1"/>
  <c r="V2255" i="39"/>
  <c r="V1917" i="39"/>
  <c r="V2123" i="39"/>
  <c r="V2540" i="39"/>
  <c r="F1918" i="39"/>
  <c r="C1917" i="39"/>
  <c r="U1917" i="39" s="1"/>
  <c r="C2540" i="39"/>
  <c r="U2540" i="39" s="1"/>
  <c r="F2541" i="39"/>
  <c r="C2123" i="39"/>
  <c r="U2123" i="39" s="1"/>
  <c r="F2124" i="39"/>
  <c r="C1819" i="39" l="1"/>
  <c r="U1819" i="39" s="1"/>
  <c r="F1820" i="39"/>
  <c r="V1819" i="39"/>
  <c r="V2391" i="39"/>
  <c r="C2391" i="39"/>
  <c r="U2391" i="39" s="1"/>
  <c r="F2392" i="39"/>
  <c r="V1430" i="39"/>
  <c r="F1431" i="39"/>
  <c r="C1430" i="39"/>
  <c r="U1430" i="39" s="1"/>
  <c r="F2257" i="39"/>
  <c r="C2256" i="39"/>
  <c r="U2256" i="39" s="1"/>
  <c r="V2256" i="39"/>
  <c r="V2124" i="39"/>
  <c r="V1918" i="39"/>
  <c r="V2541" i="39"/>
  <c r="C1918" i="39"/>
  <c r="U1918" i="39" s="1"/>
  <c r="F1919" i="39"/>
  <c r="C2541" i="39"/>
  <c r="U2541" i="39" s="1"/>
  <c r="F2542" i="39"/>
  <c r="C2124" i="39"/>
  <c r="U2124" i="39" s="1"/>
  <c r="F2125" i="39"/>
  <c r="F1821" i="39" l="1"/>
  <c r="C1820" i="39"/>
  <c r="U1820" i="39" s="1"/>
  <c r="V1820" i="39"/>
  <c r="C2392" i="39"/>
  <c r="U2392" i="39" s="1"/>
  <c r="F2393" i="39"/>
  <c r="V2392" i="39"/>
  <c r="V1431" i="39"/>
  <c r="F1432" i="39"/>
  <c r="C1431" i="39"/>
  <c r="U1431" i="39" s="1"/>
  <c r="F2258" i="39"/>
  <c r="V2257" i="39"/>
  <c r="C2257" i="39"/>
  <c r="U2257" i="39" s="1"/>
  <c r="V1919" i="39"/>
  <c r="V2125" i="39"/>
  <c r="V2542" i="39"/>
  <c r="F1920" i="39"/>
  <c r="C1919" i="39"/>
  <c r="U1919" i="39" s="1"/>
  <c r="F2543" i="39"/>
  <c r="C2542" i="39"/>
  <c r="U2542" i="39" s="1"/>
  <c r="C2125" i="39"/>
  <c r="U2125" i="39" s="1"/>
  <c r="F1823" i="39" l="1"/>
  <c r="C1821" i="39"/>
  <c r="U1821" i="39" s="1"/>
  <c r="F1822" i="39"/>
  <c r="V1821" i="39"/>
  <c r="C2393" i="39"/>
  <c r="U2393" i="39" s="1"/>
  <c r="F2394" i="39"/>
  <c r="V2393" i="39"/>
  <c r="V1432" i="39"/>
  <c r="C1432" i="39"/>
  <c r="U1432" i="39" s="1"/>
  <c r="F1433" i="39"/>
  <c r="F2259" i="39"/>
  <c r="V2258" i="39"/>
  <c r="C2258" i="39"/>
  <c r="U2258" i="39" s="1"/>
  <c r="V1920" i="39"/>
  <c r="V2543" i="39"/>
  <c r="V49" i="39"/>
  <c r="C1920" i="39"/>
  <c r="U1920" i="39" s="1"/>
  <c r="F1921" i="39"/>
  <c r="C2543" i="39"/>
  <c r="U2543" i="39" s="1"/>
  <c r="F2544" i="39"/>
  <c r="F1824" i="39" l="1"/>
  <c r="C1822" i="39"/>
  <c r="U1822" i="39" s="1"/>
  <c r="V1822" i="39"/>
  <c r="C1823" i="39"/>
  <c r="U1823" i="39" s="1"/>
  <c r="V1823" i="39"/>
  <c r="C2394" i="39"/>
  <c r="U2394" i="39" s="1"/>
  <c r="F2395" i="39"/>
  <c r="V2394" i="39"/>
  <c r="V1433" i="39"/>
  <c r="F1434" i="39"/>
  <c r="C1433" i="39"/>
  <c r="U1433" i="39" s="1"/>
  <c r="F2260" i="39"/>
  <c r="C2259" i="39"/>
  <c r="U2259" i="39" s="1"/>
  <c r="V2259" i="39"/>
  <c r="V1921" i="39"/>
  <c r="V2544" i="39"/>
  <c r="V50" i="39"/>
  <c r="F1922" i="39"/>
  <c r="C1921" i="39"/>
  <c r="U1921" i="39" s="1"/>
  <c r="C2544" i="39"/>
  <c r="U2544" i="39" s="1"/>
  <c r="F2545" i="39"/>
  <c r="F1825" i="39" l="1"/>
  <c r="C1824" i="39"/>
  <c r="U1824" i="39" s="1"/>
  <c r="V1824" i="39"/>
  <c r="F2396" i="39"/>
  <c r="C2395" i="39"/>
  <c r="U2395" i="39" s="1"/>
  <c r="V2395" i="39"/>
  <c r="F1435" i="39"/>
  <c r="V1434" i="39"/>
  <c r="C1434" i="39"/>
  <c r="U1434" i="39" s="1"/>
  <c r="F2261" i="39"/>
  <c r="V2260" i="39"/>
  <c r="C2260" i="39"/>
  <c r="U2260" i="39" s="1"/>
  <c r="V2545" i="39"/>
  <c r="V1922" i="39"/>
  <c r="C1922" i="39"/>
  <c r="U1922" i="39" s="1"/>
  <c r="F1923" i="39"/>
  <c r="C2545" i="39"/>
  <c r="U2545" i="39" s="1"/>
  <c r="F2546" i="39"/>
  <c r="C1825" i="39" l="1"/>
  <c r="U1825" i="39" s="1"/>
  <c r="F1826" i="39"/>
  <c r="V1825" i="39"/>
  <c r="V2396" i="39"/>
  <c r="C2396" i="39"/>
  <c r="U2396" i="39" s="1"/>
  <c r="F1436" i="39"/>
  <c r="V1435" i="39"/>
  <c r="C1435" i="39"/>
  <c r="U1435" i="39" s="1"/>
  <c r="F2262" i="39"/>
  <c r="C2261" i="39"/>
  <c r="U2261" i="39" s="1"/>
  <c r="V2261" i="39"/>
  <c r="V2546" i="39"/>
  <c r="V1923" i="39"/>
  <c r="C1923" i="39"/>
  <c r="U1923" i="39" s="1"/>
  <c r="F1924" i="39"/>
  <c r="F2547" i="39"/>
  <c r="C2546" i="39"/>
  <c r="U2546" i="39" s="1"/>
  <c r="C49" i="39"/>
  <c r="U49" i="39" s="1"/>
  <c r="F1827" i="39" l="1"/>
  <c r="C1826" i="39"/>
  <c r="U1826" i="39" s="1"/>
  <c r="V1826" i="39"/>
  <c r="F1437" i="39"/>
  <c r="C1436" i="39"/>
  <c r="U1436" i="39" s="1"/>
  <c r="V1436" i="39"/>
  <c r="F2263" i="39"/>
  <c r="C2262" i="39"/>
  <c r="U2262" i="39" s="1"/>
  <c r="V2262" i="39"/>
  <c r="V1924" i="39"/>
  <c r="V2547" i="39"/>
  <c r="C1924" i="39"/>
  <c r="U1924" i="39" s="1"/>
  <c r="F1925" i="39"/>
  <c r="F2548" i="39"/>
  <c r="C2547" i="39"/>
  <c r="U2547" i="39" s="1"/>
  <c r="C50" i="39"/>
  <c r="U50" i="39" s="1"/>
  <c r="C1827" i="39" l="1"/>
  <c r="U1827" i="39" s="1"/>
  <c r="F1828" i="39"/>
  <c r="V1827" i="39"/>
  <c r="C1437" i="39"/>
  <c r="U1437" i="39" s="1"/>
  <c r="V1437" i="39"/>
  <c r="V2263" i="39"/>
  <c r="C2263" i="39"/>
  <c r="U2263" i="39" s="1"/>
  <c r="V2548" i="39"/>
  <c r="V1925" i="39"/>
  <c r="F1926" i="39"/>
  <c r="C1925" i="39"/>
  <c r="U1925" i="39" s="1"/>
  <c r="C2548" i="39"/>
  <c r="U2548" i="39" s="1"/>
  <c r="F2549" i="39"/>
  <c r="F1829" i="39" l="1"/>
  <c r="C1828" i="39"/>
  <c r="U1828" i="39" s="1"/>
  <c r="V1828" i="39"/>
  <c r="V2549" i="39"/>
  <c r="V1926" i="39"/>
  <c r="F1927" i="39"/>
  <c r="C1926" i="39"/>
  <c r="U1926" i="39" s="1"/>
  <c r="C2549" i="39"/>
  <c r="U2549" i="39" s="1"/>
  <c r="F2550" i="39"/>
  <c r="C1829" i="39" l="1"/>
  <c r="U1829" i="39" s="1"/>
  <c r="F1830" i="39"/>
  <c r="V1829" i="39"/>
  <c r="V2550" i="39"/>
  <c r="V1927" i="39"/>
  <c r="F1928" i="39"/>
  <c r="C1927" i="39"/>
  <c r="U1927" i="39" s="1"/>
  <c r="F2551" i="39"/>
  <c r="C2550" i="39"/>
  <c r="U2550" i="39" s="1"/>
  <c r="F1831" i="39" l="1"/>
  <c r="C1830" i="39"/>
  <c r="U1830" i="39" s="1"/>
  <c r="V1830" i="39"/>
  <c r="V2551" i="39"/>
  <c r="V1928" i="39"/>
  <c r="F1929" i="39"/>
  <c r="C1928" i="39"/>
  <c r="U1928" i="39" s="1"/>
  <c r="F2552" i="39"/>
  <c r="C2551" i="39"/>
  <c r="U2551" i="39" s="1"/>
  <c r="C1831" i="39" l="1"/>
  <c r="U1831" i="39" s="1"/>
  <c r="F1832" i="39"/>
  <c r="V1831" i="39"/>
  <c r="V2552" i="39"/>
  <c r="V1929" i="39"/>
  <c r="F1930" i="39"/>
  <c r="C1929" i="39"/>
  <c r="U1929" i="39" s="1"/>
  <c r="C2552" i="39"/>
  <c r="U2552" i="39" s="1"/>
  <c r="F2553" i="39"/>
  <c r="F1833" i="39" l="1"/>
  <c r="F1834" i="39"/>
  <c r="C1832" i="39"/>
  <c r="U1832" i="39" s="1"/>
  <c r="V1832" i="39"/>
  <c r="V1930" i="39"/>
  <c r="V2553" i="39"/>
  <c r="F1931" i="39"/>
  <c r="C1930" i="39"/>
  <c r="U1930" i="39" s="1"/>
  <c r="C2553" i="39"/>
  <c r="U2553" i="39" s="1"/>
  <c r="F2554" i="39"/>
  <c r="F2555" i="39"/>
  <c r="C1834" i="39" l="1"/>
  <c r="U1834" i="39" s="1"/>
  <c r="V1834" i="39"/>
  <c r="F1835" i="39"/>
  <c r="C1833" i="39"/>
  <c r="U1833" i="39" s="1"/>
  <c r="V1833" i="39"/>
  <c r="V2554" i="39"/>
  <c r="V1931" i="39"/>
  <c r="V2555" i="39"/>
  <c r="F1932" i="39"/>
  <c r="C1931" i="39"/>
  <c r="U1931" i="39" s="1"/>
  <c r="C2555" i="39"/>
  <c r="U2555" i="39" s="1"/>
  <c r="F2556" i="39"/>
  <c r="C2554" i="39"/>
  <c r="U2554" i="39" s="1"/>
  <c r="C1835" i="39" l="1"/>
  <c r="U1835" i="39" s="1"/>
  <c r="F1836" i="39"/>
  <c r="V1835" i="39"/>
  <c r="V1932" i="39"/>
  <c r="V2556" i="39"/>
  <c r="F1933" i="39"/>
  <c r="C1932" i="39"/>
  <c r="U1932" i="39" s="1"/>
  <c r="C2556" i="39"/>
  <c r="U2556" i="39" s="1"/>
  <c r="F2557" i="39"/>
  <c r="F1837" i="39" l="1"/>
  <c r="C1836" i="39"/>
  <c r="U1836" i="39" s="1"/>
  <c r="V1836" i="39"/>
  <c r="V1933" i="39"/>
  <c r="V2557" i="39"/>
  <c r="F1934" i="39"/>
  <c r="C1933" i="39"/>
  <c r="U1933" i="39" s="1"/>
  <c r="F2558" i="39"/>
  <c r="C2557" i="39"/>
  <c r="U2557" i="39" s="1"/>
  <c r="C1837" i="39" l="1"/>
  <c r="U1837" i="39" s="1"/>
  <c r="F1838" i="39"/>
  <c r="V1837" i="39"/>
  <c r="V1934" i="39"/>
  <c r="V2558" i="39"/>
  <c r="F1935" i="39"/>
  <c r="C1934" i="39"/>
  <c r="U1934" i="39" s="1"/>
  <c r="F2559" i="39"/>
  <c r="C2558" i="39"/>
  <c r="U2558" i="39" s="1"/>
  <c r="F1839" i="39" l="1"/>
  <c r="C1838" i="39"/>
  <c r="U1838" i="39" s="1"/>
  <c r="V1838" i="39"/>
  <c r="V2559" i="39"/>
  <c r="V1935" i="39"/>
  <c r="F1936" i="39"/>
  <c r="C1935" i="39"/>
  <c r="U1935" i="39" s="1"/>
  <c r="F2560" i="39"/>
  <c r="C2559" i="39"/>
  <c r="U2559" i="39" s="1"/>
  <c r="C1839" i="39" l="1"/>
  <c r="U1839" i="39" s="1"/>
  <c r="F1840" i="39"/>
  <c r="V1839" i="39"/>
  <c r="V2560" i="39"/>
  <c r="V1936" i="39"/>
  <c r="F1937" i="39"/>
  <c r="C1936" i="39"/>
  <c r="U1936" i="39" s="1"/>
  <c r="C2560" i="39"/>
  <c r="U2560" i="39" s="1"/>
  <c r="F2561" i="39"/>
  <c r="F1841" i="39" l="1"/>
  <c r="C1840" i="39"/>
  <c r="U1840" i="39" s="1"/>
  <c r="V1840" i="39"/>
  <c r="V2561" i="39"/>
  <c r="V1937" i="39"/>
  <c r="F1938" i="39"/>
  <c r="C1937" i="39"/>
  <c r="U1937" i="39" s="1"/>
  <c r="F2562" i="39"/>
  <c r="C2561" i="39"/>
  <c r="U2561" i="39" s="1"/>
  <c r="C1841" i="39" l="1"/>
  <c r="U1841" i="39" s="1"/>
  <c r="F1842" i="39"/>
  <c r="V1841" i="39"/>
  <c r="V1938" i="39"/>
  <c r="V2562" i="39"/>
  <c r="F1939" i="39"/>
  <c r="C1938" i="39"/>
  <c r="U1938" i="39" s="1"/>
  <c r="C2562" i="39"/>
  <c r="U2562" i="39" s="1"/>
  <c r="F2563" i="39"/>
  <c r="F1843" i="39" l="1"/>
  <c r="C1842" i="39"/>
  <c r="U1842" i="39" s="1"/>
  <c r="V1842" i="39"/>
  <c r="V2563" i="39"/>
  <c r="V1939" i="39"/>
  <c r="F1940" i="39"/>
  <c r="C1939" i="39"/>
  <c r="U1939" i="39" s="1"/>
  <c r="F2564" i="39"/>
  <c r="C2563" i="39"/>
  <c r="U2563" i="39" s="1"/>
  <c r="C1843" i="39" l="1"/>
  <c r="U1843" i="39" s="1"/>
  <c r="F1844" i="39"/>
  <c r="V1843" i="39"/>
  <c r="V2564" i="39"/>
  <c r="V1940" i="39"/>
  <c r="C1940" i="39"/>
  <c r="U1940" i="39" s="1"/>
  <c r="C2564" i="39"/>
  <c r="U2564" i="39" s="1"/>
  <c r="F2565" i="39"/>
  <c r="F1845" i="39" l="1"/>
  <c r="C1844" i="39"/>
  <c r="U1844" i="39" s="1"/>
  <c r="V1844" i="39"/>
  <c r="V2565" i="39"/>
  <c r="F2566" i="39"/>
  <c r="C2565" i="39"/>
  <c r="U2565" i="39" s="1"/>
  <c r="F1847" i="39" l="1"/>
  <c r="C1845" i="39"/>
  <c r="U1845" i="39" s="1"/>
  <c r="F1846" i="39"/>
  <c r="V1845" i="39"/>
  <c r="V2566" i="39"/>
  <c r="C2566" i="39"/>
  <c r="U2566" i="39" s="1"/>
  <c r="F2567" i="39"/>
  <c r="F1848" i="39" l="1"/>
  <c r="C1846" i="39"/>
  <c r="U1846" i="39" s="1"/>
  <c r="V1846" i="39"/>
  <c r="C1847" i="39"/>
  <c r="U1847" i="39" s="1"/>
  <c r="V1847" i="39"/>
  <c r="V2567" i="39"/>
  <c r="F2568" i="39"/>
  <c r="C2567" i="39"/>
  <c r="U2567" i="39" s="1"/>
  <c r="F1849" i="39" l="1"/>
  <c r="C1848" i="39"/>
  <c r="U1848" i="39" s="1"/>
  <c r="V1848" i="39"/>
  <c r="V2568" i="39"/>
  <c r="F2569" i="39"/>
  <c r="C2568" i="39"/>
  <c r="U2568" i="39" s="1"/>
  <c r="C1849" i="39" l="1"/>
  <c r="U1849" i="39" s="1"/>
  <c r="F1850" i="39"/>
  <c r="V1849" i="39"/>
  <c r="V2569" i="39"/>
  <c r="C2569" i="39"/>
  <c r="U2569" i="39" s="1"/>
  <c r="F2570" i="39"/>
  <c r="F1851" i="39" l="1"/>
  <c r="C1850" i="39"/>
  <c r="U1850" i="39" s="1"/>
  <c r="V1850" i="39"/>
  <c r="V2570" i="39"/>
  <c r="C2570" i="39"/>
  <c r="U2570" i="39" s="1"/>
  <c r="F2571" i="39"/>
  <c r="C1851" i="39" l="1"/>
  <c r="U1851" i="39" s="1"/>
  <c r="F1852" i="39"/>
  <c r="V1851" i="39"/>
  <c r="V2571" i="39"/>
  <c r="C2571" i="39"/>
  <c r="U2571" i="39" s="1"/>
  <c r="F2572" i="39"/>
  <c r="F1853" i="39" l="1"/>
  <c r="C1852" i="39"/>
  <c r="U1852" i="39" s="1"/>
  <c r="V1852" i="39"/>
  <c r="V2572" i="39"/>
  <c r="C2572" i="39"/>
  <c r="U2572" i="39" s="1"/>
  <c r="F2573" i="39"/>
  <c r="C1853" i="39" l="1"/>
  <c r="U1853" i="39" s="1"/>
  <c r="F1854" i="39"/>
  <c r="V1853" i="39"/>
  <c r="V2573" i="39"/>
  <c r="C2573" i="39"/>
  <c r="U2573" i="39" s="1"/>
  <c r="F2574" i="39"/>
  <c r="F1855" i="39" l="1"/>
  <c r="C1854" i="39"/>
  <c r="U1854" i="39" s="1"/>
  <c r="V1854" i="39"/>
  <c r="V2574" i="39"/>
  <c r="F2575" i="39"/>
  <c r="C2574" i="39"/>
  <c r="U2574" i="39" s="1"/>
  <c r="C1855" i="39" l="1"/>
  <c r="U1855" i="39" s="1"/>
  <c r="F1856" i="39"/>
  <c r="V1855" i="39"/>
  <c r="V2575" i="39"/>
  <c r="F2576" i="39"/>
  <c r="C2575" i="39"/>
  <c r="U2575" i="39" s="1"/>
  <c r="F1857" i="39" l="1"/>
  <c r="C1856" i="39"/>
  <c r="U1856" i="39" s="1"/>
  <c r="V1856" i="39"/>
  <c r="V2576" i="39"/>
  <c r="C2576" i="39"/>
  <c r="U2576" i="39" s="1"/>
  <c r="F2577" i="39"/>
  <c r="C1857" i="39" l="1"/>
  <c r="U1857" i="39" s="1"/>
  <c r="F1858" i="39"/>
  <c r="V1857" i="39"/>
  <c r="V2577" i="39"/>
  <c r="C2577" i="39"/>
  <c r="U2577" i="39" s="1"/>
  <c r="F2578" i="39"/>
  <c r="C316" i="39"/>
  <c r="U316" i="39" s="1"/>
  <c r="F1859" i="39" l="1"/>
  <c r="F1860" i="39"/>
  <c r="C1858" i="39"/>
  <c r="U1858" i="39" s="1"/>
  <c r="V1858" i="39"/>
  <c r="V2578" i="39"/>
  <c r="C2578" i="39"/>
  <c r="U2578"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0" i="39" l="1"/>
  <c r="U1860" i="39" s="1"/>
  <c r="V1860" i="39"/>
  <c r="F1861" i="39"/>
  <c r="C1859" i="39"/>
  <c r="U1859" i="39" s="1"/>
  <c r="V1859" i="39"/>
  <c r="V671" i="39"/>
  <c r="F672" i="39"/>
  <c r="C671" i="39"/>
  <c r="U671" i="39" s="1"/>
  <c r="C1861" i="39" l="1"/>
  <c r="U1861" i="39" s="1"/>
  <c r="F1862" i="39"/>
  <c r="V1861" i="39"/>
  <c r="V672" i="39"/>
  <c r="F673" i="39"/>
  <c r="C672" i="39"/>
  <c r="U672" i="39" s="1"/>
  <c r="F1863" i="39" l="1"/>
  <c r="C1862" i="39"/>
  <c r="U1862" i="39" s="1"/>
  <c r="V1862" i="39"/>
  <c r="V673" i="39"/>
  <c r="F674" i="39"/>
  <c r="C673" i="39"/>
  <c r="U673" i="39" s="1"/>
  <c r="C1863" i="39" l="1"/>
  <c r="U1863" i="39" s="1"/>
  <c r="F1864" i="39"/>
  <c r="V1863" i="39"/>
  <c r="V674" i="39"/>
  <c r="F675" i="39"/>
  <c r="C674" i="39"/>
  <c r="U674" i="39" s="1"/>
  <c r="F1865" i="39" l="1"/>
  <c r="C1864" i="39"/>
  <c r="U1864" i="39" s="1"/>
  <c r="V1864" i="39"/>
  <c r="V675" i="39"/>
  <c r="F676" i="39"/>
  <c r="C675" i="39"/>
  <c r="U675" i="39" s="1"/>
  <c r="F172" i="39"/>
  <c r="F171" i="39"/>
  <c r="F341" i="39"/>
  <c r="C340" i="39"/>
  <c r="U340" i="39" s="1"/>
  <c r="A2" i="39"/>
  <c r="C1865" i="39" l="1"/>
  <c r="U1865" i="39" s="1"/>
  <c r="F1866" i="39"/>
  <c r="V1865" i="39"/>
  <c r="F342" i="39"/>
  <c r="V172" i="39"/>
  <c r="V341" i="39"/>
  <c r="V171" i="39"/>
  <c r="V676" i="39"/>
  <c r="F677" i="39"/>
  <c r="C676" i="39"/>
  <c r="U676" i="39" s="1"/>
  <c r="F173" i="39"/>
  <c r="C172" i="39"/>
  <c r="U172" i="39" s="1"/>
  <c r="C341" i="39"/>
  <c r="U341" i="39" s="1"/>
  <c r="F1867" i="39" l="1"/>
  <c r="C1866" i="39"/>
  <c r="U1866" i="39" s="1"/>
  <c r="V1866" i="39"/>
  <c r="F343" i="39"/>
  <c r="V173" i="39"/>
  <c r="V342" i="39"/>
  <c r="V677" i="39"/>
  <c r="F678" i="39"/>
  <c r="C342" i="39"/>
  <c r="U342" i="39" s="1"/>
  <c r="C677" i="39"/>
  <c r="U677" i="39" s="1"/>
  <c r="F174" i="39"/>
  <c r="B22" i="37"/>
  <c r="B21" i="37"/>
  <c r="B26" i="37"/>
  <c r="B27" i="37"/>
  <c r="C1867" i="39" l="1"/>
  <c r="U1867" i="39" s="1"/>
  <c r="F1868" i="39"/>
  <c r="V1867"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69" i="39" l="1"/>
  <c r="C1868" i="39"/>
  <c r="U1868" i="39" s="1"/>
  <c r="V1868"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69" i="39" l="1"/>
  <c r="U1869" i="39" s="1"/>
  <c r="F1870" i="39"/>
  <c r="V1869"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1" i="39" l="1"/>
  <c r="C1870" i="39"/>
  <c r="U1870" i="39" s="1"/>
  <c r="V1870"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C347" i="39"/>
  <c r="U347" i="39" s="1"/>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1871" i="39" l="1"/>
  <c r="U1871" i="39" s="1"/>
  <c r="F1872" i="39"/>
  <c r="V1871"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73" i="39" l="1"/>
  <c r="C1872" i="39"/>
  <c r="U1872" i="39" s="1"/>
  <c r="V1872"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73" i="39" l="1"/>
  <c r="U1873" i="39" s="1"/>
  <c r="F1874" i="39"/>
  <c r="V1873"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75" i="39" l="1"/>
  <c r="C1874" i="39"/>
  <c r="U1874" i="39" s="1"/>
  <c r="V1874"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75" i="39" l="1"/>
  <c r="U1875" i="39" s="1"/>
  <c r="F1876" i="39"/>
  <c r="V1875"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77" i="39" l="1"/>
  <c r="C1876" i="39"/>
  <c r="U1876" i="39" s="1"/>
  <c r="V1876"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77" i="39" l="1"/>
  <c r="U1877" i="39" s="1"/>
  <c r="F1878" i="39"/>
  <c r="V1877"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79" i="39" l="1"/>
  <c r="C1878" i="39"/>
  <c r="U1878" i="39" s="1"/>
  <c r="V1878"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79" i="39" l="1"/>
  <c r="U1879" i="39" s="1"/>
  <c r="V1879"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<sst xmlns="http://schemas.openxmlformats.org/spreadsheetml/2006/main" count="57120" uniqueCount="11365">
  <si>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</si>
  <si>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</si>
  <si>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</si>
  <si>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</si>
  <si>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</si>
  <si>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</si>
  <si>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</si>
  <si>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</si>
  <si>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</si>
  <si>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</si>
  <si>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</si>
  <si>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</si>
  <si>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</si>
  <si>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</si>
  <si>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</si>
  <si>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</si>
  <si>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</si>
  <si>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</si>
  <si>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</si>
  <si>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</si>
  <si>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</si>
  <si>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</si>
  <si>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</si>
  <si>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</si>
  <si>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</si>
  <si>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</si>
  <si>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</si>
  <si>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</si>
  <si>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</si>
  <si>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</si>
  <si>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</si>
  <si>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</si>
  <si>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</si>
  <si>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</si>
  <si>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</si>
  <si>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</si>
  <si>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</si>
  <si>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</si>
  <si>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</si>
  <si>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</si>
  <si>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</si>
  <si>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</si>
  <si>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</si>
  <si>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</si>
  <si>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</si>
  <si>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</si>
  <si>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</si>
  <si>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</si>
  <si>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</si>
  <si>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</si>
  <si>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</si>
  <si>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</si>
  <si>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</si>
  <si>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</si>
  <si>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</si>
  <si>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</si>
  <si>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</si>
  <si>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</si>
  <si>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</si>
  <si>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</si>
  <si>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</si>
  <si>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</si>
  <si>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</si>
  <si>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</si>
  <si>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</si>
  <si>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</si>
  <si>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</si>
  <si>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</si>
  <si>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</si>
  <si>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</si>
  <si>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</si>
  <si>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</si>
  <si>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</si>
  <si>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</si>
  <si>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</si>
  <si>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</si>
  <si>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</si>
  <si>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</si>
  <si>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</si>
  <si>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</si>
  <si>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</si>
  <si>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</si>
  <si>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</si>
  <si>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</si>
  <si>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</si>
  <si>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</si>
  <si>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</si>
  <si>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</si>
  <si>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</si>
  <si>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</si>
  <si>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</si>
  <si>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</si>
  <si>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</si>
  <si>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</si>
  <si>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</si>
  <si>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</si>
  <si>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</si>
  <si>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</si>
  <si>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</si>
  <si>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</si>
  <si>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</si>
  <si>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</si>
  <si>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</si>
  <si>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</si>
  <si>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</si>
  <si>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</si>
  <si>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</si>
  <si>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</si>
  <si>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</si>
  <si>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</si>
  <si>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</si>
  <si>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</si>
  <si>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</si>
  <si>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</si>
  <si>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</si>
  <si>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</si>
  <si>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</si>
  <si>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</si>
  <si>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</si>
  <si>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</si>
  <si>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</si>
  <si>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</si>
  <si>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</si>
  <si>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</si>
  <si>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</si>
  <si>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</si>
  <si>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</si>
  <si>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</si>
  <si>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</si>
  <si>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</si>
  <si>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</si>
  <si>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</si>
  <si>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</si>
  <si>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</si>
  <si>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</si>
  <si>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</si>
  <si>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</si>
  <si>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</si>
  <si>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</si>
  <si>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</si>
  <si>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</si>
  <si>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</si>
  <si>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</si>
  <si>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</si>
  <si>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</si>
  <si>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</si>
  <si>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</si>
  <si>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</si>
  <si>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</si>
  <si>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</si>
  <si>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</si>
  <si>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</si>
  <si>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</si>
  <si>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</si>
  <si>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</si>
  <si>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</si>
  <si>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</si>
  <si>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</si>
  <si>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</si>
  <si>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</si>
  <si>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</si>
  <si>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</si>
  <si>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</si>
  <si>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</si>
  <si>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</si>
  <si>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</si>
  <si>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</si>
  <si>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</si>
  <si>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</si>
  <si>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</si>
  <si>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</si>
  <si>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</si>
  <si>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</si>
  <si>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</si>
  <si>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</si>
  <si>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</si>
  <si>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</si>
  <si>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</si>
  <si>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</si>
  <si>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</si>
  <si>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</si>
  <si>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</si>
  <si>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</si>
  <si>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</si>
  <si>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</si>
  <si>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</si>
  <si>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</si>
  <si>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</si>
  <si>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</si>
  <si>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</si>
  <si>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</si>
  <si>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</si>
  <si>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</si>
  <si>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</si>
  <si>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</si>
  <si>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</si>
  <si>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</si>
  <si>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</si>
  <si>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</si>
  <si>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</si>
  <si>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</si>
  <si>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</si>
  <si>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</si>
  <si>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</si>
  <si>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</si>
  <si>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</si>
  <si>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</si>
  <si>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</si>
  <si>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</si>
  <si>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</si>
  <si>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</si>
  <si>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</si>
  <si>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</si>
  <si>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</si>
  <si>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</si>
  <si>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</si>
  <si>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</si>
  <si>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</si>
  <si>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</si>
  <si>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</si>
  <si>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</si>
  <si>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</si>
  <si>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</si>
  <si>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</si>
  <si>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</si>
  <si>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</si>
  <si>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</si>
  <si>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</si>
  <si>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</si>
  <si>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</si>
  <si>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</si>
  <si>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</si>
  <si>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</si>
  <si>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</si>
  <si>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</si>
  <si>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</si>
  <si>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</si>
  <si>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</si>
  <si>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</si>
  <si>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</si>
  <si>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</si>
  <si>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</si>
  <si>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</si>
  <si>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</si>
  <si>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</si>
  <si>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</si>
  <si>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</si>
  <si>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</si>
  <si>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</si>
  <si>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</si>
  <si>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</si>
  <si>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</si>
  <si>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</si>
  <si>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</si>
  <si>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</si>
  <si>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</si>
  <si>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</si>
  <si>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</si>
  <si>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</si>
  <si>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</si>
  <si>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</si>
  <si>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</si>
  <si>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</si>
  <si>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</si>
  <si>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</si>
  <si>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</si>
  <si>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</si>
  <si>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</si>
  <si>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</si>
  <si>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</si>
  <si>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</si>
  <si>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</si>
  <si>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</si>
  <si>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</si>
  <si>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</si>
  <si>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</si>
  <si>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</si>
  <si>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</si>
  <si>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</si>
  <si>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</si>
  <si>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</si>
  <si>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</si>
  <si>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</si>
  <si>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</si>
  <si>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</si>
  <si>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</si>
  <si>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</si>
  <si>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</si>
  <si>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</si>
  <si>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</si>
  <si>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</si>
  <si>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</si>
  <si>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</si>
  <si>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</si>
  <si>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</si>
  <si>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</si>
  <si>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</si>
  <si>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</si>
  <si>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</si>
  <si>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</si>
  <si>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</si>
  <si>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</si>
  <si>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</si>
  <si>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</si>
  <si>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</si>
  <si>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</si>
  <si>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</si>
  <si>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</si>
  <si>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</si>
  <si>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</si>
  <si>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</si>
  <si>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</si>
  <si>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</si>
  <si>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</si>
  <si>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</si>
  <si>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</si>
  <si>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</si>
  <si>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</si>
  <si>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</si>
  <si>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</si>
  <si>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</si>
  <si>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</si>
  <si>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</si>
  <si>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</si>
  <si>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</si>
  <si>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</si>
  <si>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</si>
  <si>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</si>
  <si>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</si>
  <si>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</si>
  <si>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</si>
  <si>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</si>
  <si>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</si>
  <si>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</si>
  <si>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</si>
  <si>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</si>
  <si>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</si>
  <si>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</si>
  <si>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</si>
  <si>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</si>
  <si>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</si>
  <si>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</si>
  <si>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</si>
  <si>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</si>
  <si>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</si>
  <si>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</si>
  <si>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</si>
  <si>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</si>
  <si>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</si>
  <si>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</si>
  <si>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</si>
  <si>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</si>
  <si>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</si>
  <si>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</si>
  <si>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</si>
  <si>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</si>
  <si>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</si>
  <si>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</si>
  <si>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</si>
  <si>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</si>
  <si>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</si>
  <si>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</si>
  <si>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</si>
  <si>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</si>
  <si>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</si>
  <si>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</si>
  <si>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</si>
  <si>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</si>
  <si>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</si>
  <si>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</si>
  <si>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</si>
  <si>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</si>
  <si>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</si>
  <si>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</si>
  <si>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</si>
  <si>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</si>
  <si>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</si>
  <si>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</si>
  <si>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</si>
  <si>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</si>
  <si>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</si>
  <si>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</si>
  <si>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</si>
  <si>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</si>
  <si>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</si>
  <si>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</si>
  <si>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</si>
  <si>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</si>
  <si>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</si>
  <si>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</si>
  <si>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</si>
  <si>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</si>
  <si>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</si>
  <si>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</si>
  <si>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</si>
  <si>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</si>
  <si>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</si>
  <si>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</si>
  <si>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</si>
  <si>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</si>
  <si>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</si>
  <si>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</si>
  <si>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</si>
  <si>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</si>
  <si>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</si>
  <si>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</si>
  <si>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</si>
  <si>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</si>
  <si>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</si>
  <si>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</si>
  <si>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</si>
  <si>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</si>
  <si>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</si>
  <si>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</si>
  <si>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</si>
  <si>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</si>
  <si>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</si>
  <si>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</si>
  <si>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</si>
  <si>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</si>
  <si>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</si>
  <si>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</si>
  <si>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</si>
  <si>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</si>
  <si>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</si>
  <si>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</si>
  <si>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</si>
  <si>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</si>
  <si>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</si>
  <si>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</si>
  <si>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</si>
  <si>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</si>
  <si>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</si>
  <si>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</si>
  <si>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</si>
  <si>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</si>
  <si>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</si>
  <si>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</si>
  <si>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</si>
  <si>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</si>
  <si>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</si>
  <si>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</si>
  <si>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</si>
  <si>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</si>
  <si>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</si>
  <si>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</si>
  <si>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</si>
  <si>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</si>
  <si>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</si>
  <si>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</si>
  <si>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</si>
  <si>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</si>
  <si>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</si>
  <si>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</si>
  <si>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</si>
  <si>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</si>
  <si>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</si>
  <si>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</si>
  <si>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</si>
  <si>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</si>
  <si>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</si>
  <si>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</si>
  <si>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</si>
  <si>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</si>
  <si>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</si>
  <si>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</si>
  <si>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</si>
  <si>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</si>
  <si>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</si>
  <si>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</si>
  <si>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</si>
  <si>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</si>
  <si>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</si>
  <si>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</si>
  <si>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</si>
  <si>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</si>
  <si>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</si>
  <si>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</si>
  <si>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</si>
  <si>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</si>
  <si>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</si>
  <si>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</si>
  <si>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</si>
  <si>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</si>
  <si>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</si>
  <si>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</si>
  <si>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</si>
  <si>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</si>
  <si>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</si>
  <si>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</si>
  <si>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</si>
  <si>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</si>
  <si>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</si>
  <si>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</si>
  <si>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</si>
  <si>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</si>
  <si>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</si>
  <si>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</si>
  <si>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</si>
  <si>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</si>
  <si>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</si>
  <si>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</si>
  <si>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</si>
  <si>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</si>
  <si>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</si>
  <si>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</si>
  <si>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</si>
  <si>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</si>
  <si>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</si>
  <si>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</si>
  <si>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</si>
  <si>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</si>
  <si>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</si>
  <si>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</si>
  <si>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</si>
  <si>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</si>
  <si>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</si>
  <si>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</si>
  <si>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</si>
  <si>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</si>
  <si>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</si>
  <si>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</si>
  <si>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</si>
  <si>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</si>
  <si>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</si>
  <si>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</si>
  <si>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</si>
  <si>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</si>
  <si>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</si>
  <si>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</si>
  <si>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</si>
  <si>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</si>
  <si>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</si>
  <si>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</si>
  <si>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</si>
  <si>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</si>
  <si>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</si>
  <si>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</si>
  <si>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</si>
  <si>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</si>
  <si>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</si>
  <si>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</si>
  <si>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</si>
  <si>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</si>
  <si>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</si>
  <si>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</si>
  <si>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</si>
  <si>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</si>
  <si>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</si>
  <si>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</si>
  <si>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</si>
  <si>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</si>
  <si>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</si>
  <si>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</si>
  <si>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</si>
  <si>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</si>
  <si>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</si>
  <si>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</si>
  <si>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</si>
  <si>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</si>
  <si>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</si>
  <si>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</si>
  <si>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</si>
  <si>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</si>
  <si>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</si>
  <si>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</si>
  <si>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</si>
  <si>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</si>
  <si>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</si>
  <si>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</si>
  <si>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</si>
  <si>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</si>
  <si>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</si>
  <si>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</si>
  <si>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</si>
  <si>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</si>
  <si>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</si>
  <si>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</si>
  <si>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</si>
  <si>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</si>
  <si>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</si>
  <si>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</si>
  <si>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</si>
  <si>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</si>
  <si>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</si>
  <si>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</si>
  <si>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</si>
  <si>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</si>
  <si>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</si>
  <si>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</si>
  <si>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</si>
  <si>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</si>
  <si>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</si>
  <si>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</si>
  <si>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</si>
  <si>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</si>
  <si>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</si>
  <si>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</si>
  <si>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</si>
  <si>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</si>
  <si>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</si>
  <si>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</si>
  <si>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</si>
  <si>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</si>
  <si>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</si>
  <si>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</si>
  <si>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</si>
  <si>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</si>
  <si>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</si>
  <si>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</si>
  <si>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</si>
  <si>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</si>
  <si>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</si>
  <si>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</si>
  <si>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</si>
  <si>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</si>
  <si>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</si>
  <si>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</si>
  <si>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</si>
  <si>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</si>
  <si>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</si>
  <si>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</si>
  <si>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</si>
  <si>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</si>
  <si>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</si>
  <si>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</si>
  <si>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</si>
  <si>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</si>
  <si>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</si>
  <si>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</si>
  <si>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</si>
  <si>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</si>
  <si>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</si>
  <si>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</si>
  <si>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</si>
  <si>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</si>
  <si>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</si>
  <si>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</si>
  <si>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</si>
  <si>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</si>
  <si>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</si>
  <si>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</si>
  <si>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</si>
  <si>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</si>
  <si>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</si>
  <si>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</si>
  <si>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</si>
  <si>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</si>
  <si>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</si>
  <si>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</si>
  <si>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</si>
  <si>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</si>
  <si>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</si>
  <si>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</si>
  <si>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</si>
  <si>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</si>
  <si>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</si>
  <si>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</si>
  <si>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</si>
  <si>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</si>
  <si>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</si>
  <si>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</si>
  <si>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</si>
  <si>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</si>
  <si>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</si>
  <si>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</si>
  <si>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</si>
  <si>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</si>
  <si>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</si>
  <si>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</si>
  <si>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</si>
  <si>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</si>
  <si>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</si>
  <si>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</si>
  <si>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</si>
  <si>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</si>
  <si>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</si>
  <si>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</si>
  <si>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</si>
  <si>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</si>
  <si>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</si>
  <si>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</si>
  <si>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</si>
  <si>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</si>
  <si>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</si>
  <si>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</si>
  <si>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</si>
  <si>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</si>
  <si>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</si>
  <si>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</si>
  <si>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</si>
  <si>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</si>
  <si>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</si>
  <si>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</si>
  <si>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</si>
  <si>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</si>
  <si>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</si>
  <si>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</si>
  <si>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</si>
  <si>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</si>
  <si>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</si>
  <si>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</si>
  <si>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</si>
  <si>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</si>
  <si>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</si>
  <si>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</si>
  <si>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</si>
  <si>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</si>
  <si>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</si>
  <si>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</si>
  <si>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</si>
  <si>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</si>
  <si>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</si>
  <si>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</si>
  <si>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</si>
  <si>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</si>
  <si>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</si>
  <si>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</si>
  <si>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</si>
  <si>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</si>
  <si>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</si>
  <si>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</si>
  <si>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</si>
  <si>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</si>
  <si>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</si>
  <si>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</si>
  <si>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</si>
  <si>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</si>
  <si>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</si>
  <si>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</si>
  <si>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</si>
  <si>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</si>
  <si>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</si>
  <si>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</si>
  <si>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</si>
  <si>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</si>
  <si>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</si>
  <si>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</si>
  <si>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</si>
  <si>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</si>
  <si>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</si>
  <si>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</si>
  <si>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</si>
  <si>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</si>
  <si>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</si>
  <si>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</si>
  <si>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</si>
  <si>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</si>
  <si>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</si>
  <si>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</si>
  <si>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</si>
  <si>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</si>
  <si>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</si>
  <si>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</si>
  <si>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</si>
  <si>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</si>
  <si>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</si>
  <si>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</si>
  <si>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</si>
  <si>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</si>
  <si>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</si>
  <si>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</si>
  <si>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</si>
  <si>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</si>
  <si>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</si>
  <si>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</si>
  <si>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</si>
  <si>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</si>
  <si>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</si>
  <si>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</si>
  <si>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</si>
  <si>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</si>
  <si>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</si>
  <si>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</si>
  <si>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</si>
  <si>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</si>
  <si>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</si>
  <si>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</si>
  <si>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</si>
  <si>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</si>
  <si>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</si>
  <si>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</si>
  <si>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</si>
  <si>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</si>
  <si>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</si>
  <si>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</si>
  <si>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</si>
  <si>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</si>
  <si>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</si>
  <si>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</si>
  <si>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</si>
  <si>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</si>
  <si>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</si>
  <si>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</si>
  <si>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</si>
  <si>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</si>
  <si>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</si>
  <si>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</si>
  <si>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</si>
  <si>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</si>
  <si>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</si>
  <si>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</si>
  <si>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</si>
  <si>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</si>
  <si>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</si>
  <si>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</si>
  <si>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</si>
  <si>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</si>
  <si>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</si>
  <si>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</si>
  <si>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</si>
  <si>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</si>
  <si>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</si>
  <si>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</si>
  <si>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</si>
  <si>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</si>
  <si>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</si>
  <si>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</si>
  <si>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</si>
  <si>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</si>
  <si>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</si>
  <si>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</si>
  <si>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</si>
  <si>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</si>
  <si>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</si>
  <si>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</si>
  <si>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</si>
  <si>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</si>
  <si>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</si>
  <si>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</si>
  <si>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</si>
  <si>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</si>
  <si>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</si>
  <si>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</si>
  <si>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</si>
  <si>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</si>
  <si>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</si>
  <si>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</si>
  <si>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</si>
  <si>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</si>
  <si>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</si>
  <si>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</si>
  <si>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</si>
  <si>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</si>
  <si>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</si>
  <si>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</si>
  <si>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</si>
  <si>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</si>
  <si>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</si>
  <si>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</si>
  <si>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</si>
  <si>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</si>
  <si>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</si>
  <si>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</si>
  <si>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</si>
  <si>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</si>
  <si>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</si>
  <si>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</si>
  <si>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</si>
  <si>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</si>
  <si>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</si>
  <si>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</si>
  <si>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</si>
  <si>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</si>
  <si>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</si>
  <si>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</si>
  <si>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</si>
  <si>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</si>
  <si>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</si>
  <si>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</si>
  <si>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</si>
  <si>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</si>
  <si>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</si>
  <si>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</si>
  <si>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</si>
  <si>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</si>
  <si>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</si>
  <si>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</si>
  <si>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</si>
  <si>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</si>
  <si>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</si>
  <si>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</si>
  <si>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</si>
  <si>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</si>
  <si>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</si>
  <si>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</si>
  <si>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</si>
  <si>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</si>
  <si>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</si>
  <si>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</si>
  <si>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</si>
  <si>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</si>
  <si>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</si>
  <si>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</si>
  <si>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</si>
  <si>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</si>
  <si>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</si>
  <si>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</si>
  <si>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</si>
  <si>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</si>
  <si>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</si>
  <si>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</si>
  <si>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</si>
  <si>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</si>
  <si>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</si>
  <si>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</si>
  <si>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</si>
  <si>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</si>
  <si>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</si>
  <si>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</si>
  <si>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</si>
  <si>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</si>
  <si>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</si>
  <si>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</si>
  <si>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</si>
  <si>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</si>
  <si>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</si>
  <si>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</si>
  <si>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</si>
  <si>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</si>
  <si>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</si>
  <si>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</si>
  <si>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</si>
  <si>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</si>
  <si>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</si>
  <si>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</si>
  <si>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</si>
  <si>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</si>
  <si>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</si>
  <si>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</si>
  <si>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</si>
  <si>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</si>
  <si>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</si>
  <si>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</si>
  <si>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</si>
  <si>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</si>
  <si>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</si>
  <si>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</si>
  <si>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</si>
  <si>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</si>
  <si>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</si>
  <si>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</si>
  <si>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</si>
  <si>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</si>
  <si>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</si>
  <si>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</si>
  <si>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</si>
  <si>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</si>
  <si>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</si>
  <si>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</si>
  <si>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</si>
  <si>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</si>
  <si>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</si>
  <si>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</si>
  <si>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</si>
  <si>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</si>
  <si>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</si>
  <si>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</si>
  <si>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</si>
  <si>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</si>
  <si>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</si>
  <si>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</si>
  <si>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</si>
  <si>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</si>
  <si>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</si>
  <si>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</si>
  <si>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</si>
  <si>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</si>
  <si>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</si>
  <si>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</si>
  <si>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</si>
  <si>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</si>
  <si>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</si>
  <si>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</si>
  <si>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</si>
  <si>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</si>
  <si>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</si>
  <si>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</si>
  <si>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</si>
  <si>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</si>
  <si>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</si>
  <si>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</si>
  <si>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</si>
  <si>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</si>
  <si>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</si>
  <si>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</si>
  <si>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</si>
  <si>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</si>
  <si>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</si>
  <si>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</si>
  <si>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</si>
  <si>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</si>
  <si>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</si>
  <si>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</si>
  <si>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</si>
  <si>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</si>
  <si>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</si>
  <si>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</si>
  <si>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</si>
  <si>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</si>
  <si>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</si>
  <si>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</si>
  <si>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</si>
  <si>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</si>
  <si>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</si>
  <si>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</si>
  <si>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</si>
  <si>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</si>
  <si>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</si>
  <si>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</si>
  <si>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</si>
  <si>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</si>
  <si>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</si>
  <si>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</si>
  <si>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</si>
  <si>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</si>
  <si>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</si>
  <si>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</si>
  <si>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</si>
  <si>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</si>
  <si>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</si>
  <si>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</si>
  <si>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</si>
  <si>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</si>
  <si>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</si>
  <si>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</si>
  <si>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</si>
  <si>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</si>
  <si>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</si>
  <si>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</si>
  <si>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</si>
  <si>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</si>
  <si>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</si>
  <si>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</si>
  <si>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</si>
  <si>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</si>
  <si>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</si>
  <si>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</si>
  <si>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</si>
  <si>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</si>
  <si>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</si>
  <si>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</si>
  <si>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</si>
  <si>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</si>
  <si>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</si>
  <si>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</si>
  <si>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</si>
  <si>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</si>
  <si>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</si>
  <si>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</si>
  <si>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</si>
  <si>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</si>
  <si>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</si>
  <si>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</si>
  <si>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</si>
  <si>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</si>
  <si>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</si>
  <si>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</si>
  <si>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</si>
  <si>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</si>
  <si>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</si>
  <si>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</si>
  <si>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</si>
  <si>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</si>
  <si>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</si>
  <si>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</si>
  <si>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</si>
  <si>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</si>
  <si>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</si>
  <si>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</si>
  <si>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</si>
  <si>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</si>
  <si>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</si>
  <si>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</si>
  <si>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</si>
  <si>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</si>
  <si>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</si>
  <si>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</si>
  <si>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</si>
  <si>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</si>
  <si>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</si>
  <si>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</si>
  <si>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</si>
  <si>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</si>
  <si>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</si>
  <si>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</si>
  <si>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</si>
  <si>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</si>
  <si>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</si>
  <si>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</si>
  <si>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</si>
  <si>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</si>
  <si>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</si>
  <si>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</si>
  <si>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</si>
  <si>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</si>
  <si>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</si>
  <si>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</si>
  <si>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</si>
  <si>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</si>
  <si>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</si>
  <si>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</si>
  <si>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</si>
  <si>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</si>
  <si>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</si>
  <si>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</si>
  <si>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</si>
  <si>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</si>
  <si>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</si>
  <si>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</si>
  <si>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</si>
  <si>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</si>
  <si>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</si>
  <si>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</si>
  <si>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</si>
  <si>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</si>
  <si>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</si>
  <si>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</si>
  <si>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</si>
  <si>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</si>
  <si>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</si>
  <si>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</si>
  <si>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</si>
  <si>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</si>
  <si>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</si>
  <si>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</si>
  <si>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</si>
  <si>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</si>
  <si>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</si>
  <si>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</si>
  <si>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</si>
  <si>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</si>
  <si>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</si>
  <si>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</si>
  <si>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</si>
  <si>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</si>
  <si>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</si>
  <si>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</si>
  <si>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</si>
  <si>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</si>
  <si>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</si>
  <si>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</si>
  <si>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</si>
  <si>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</si>
  <si>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</si>
  <si>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</si>
  <si>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</si>
  <si>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</si>
  <si>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</si>
  <si>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</si>
  <si>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</si>
  <si>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</si>
  <si>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</si>
  <si>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</si>
  <si>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</si>
  <si>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</si>
  <si>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</si>
  <si>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</si>
  <si>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</si>
  <si>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</si>
  <si>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</si>
  <si>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</si>
  <si>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</si>
  <si>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</si>
  <si>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</si>
  <si>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</si>
  <si>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</si>
  <si>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</si>
  <si>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</si>
  <si>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</si>
  <si>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</si>
  <si>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</si>
  <si>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</si>
  <si>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</si>
  <si>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</si>
  <si>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</si>
  <si>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</si>
  <si>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</si>
  <si>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</si>
  <si>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</si>
  <si>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</si>
  <si>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</si>
  <si>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</si>
  <si>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</si>
  <si>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</si>
  <si>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</si>
  <si>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</si>
  <si>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</si>
  <si>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</si>
  <si>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</si>
  <si>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</si>
  <si>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</si>
  <si>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</si>
  <si>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</si>
  <si>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</si>
  <si>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</si>
  <si>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</si>
  <si>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</si>
  <si>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</si>
  <si>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</si>
  <si>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</si>
  <si>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</si>
  <si>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</si>
  <si>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</si>
  <si>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</si>
  <si>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</si>
  <si>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</si>
  <si>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</si>
  <si>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</si>
  <si>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</si>
  <si>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</si>
  <si>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</si>
  <si>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</si>
  <si>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</si>
  <si>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</si>
  <si>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</si>
  <si>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</si>
  <si>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</si>
  <si>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</si>
  <si>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</si>
  <si>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</si>
  <si>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</si>
  <si>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</si>
  <si>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</si>
  <si>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</si>
  <si>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</si>
  <si>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</si>
  <si>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</si>
  <si>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</si>
  <si>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</si>
  <si>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</si>
  <si>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</si>
  <si>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</si>
  <si>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</si>
  <si>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</si>
  <si>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</si>
  <si>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</si>
  <si>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</si>
  <si>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</si>
  <si>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</si>
  <si>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</si>
  <si>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</si>
  <si>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</si>
  <si>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</si>
  <si>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</si>
  <si>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</si>
  <si>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</si>
  <si>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</si>
  <si>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</si>
  <si>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</si>
  <si>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</si>
  <si>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</si>
  <si>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</si>
  <si>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</si>
  <si>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</si>
  <si>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</si>
  <si>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</si>
  <si>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</si>
  <si>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</si>
  <si>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</si>
  <si>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</si>
  <si>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</si>
  <si>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</si>
  <si>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</si>
  <si>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</si>
  <si>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</si>
  <si>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</si>
  <si>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</si>
  <si>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</si>
  <si>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</si>
  <si>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</si>
  <si>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</si>
  <si>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</si>
  <si>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</si>
  <si>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</si>
  <si>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</si>
  <si>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</si>
  <si>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</si>
  <si>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</si>
  <si>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</si>
  <si>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</si>
  <si>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</si>
  <si>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</si>
  <si>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</si>
  <si>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</si>
  <si>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</si>
  <si>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</si>
  <si>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</si>
  <si>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</si>
  <si>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</si>
  <si>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</si>
  <si>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</si>
  <si>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</si>
  <si>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</si>
  <si>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</si>
  <si>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</si>
  <si>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</si>
  <si>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</si>
  <si>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</si>
  <si>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</si>
  <si>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</si>
  <si>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</si>
  <si>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</si>
  <si>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</si>
  <si>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</si>
  <si>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</si>
  <si>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</si>
  <si>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</si>
  <si>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</si>
  <si>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</si>
  <si>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</si>
  <si>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</si>
  <si>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</si>
  <si>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</si>
  <si>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</si>
  <si>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</si>
  <si>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</si>
  <si>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</si>
  <si>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</si>
  <si>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</si>
  <si>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</si>
  <si>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</si>
  <si>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</si>
  <si>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</si>
  <si>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</si>
  <si>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</si>
  <si>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</si>
  <si>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</si>
  <si>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</si>
  <si>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</si>
  <si>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</si>
  <si>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</si>
  <si>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</si>
  <si>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</si>
  <si>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</si>
  <si>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</si>
  <si>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</si>
  <si>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</si>
  <si>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</si>
  <si>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</si>
  <si>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</si>
  <si>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</si>
  <si>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</si>
  <si>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</si>
  <si>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</si>
  <si>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</si>
  <si>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</si>
  <si>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</si>
  <si>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</si>
  <si>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</si>
  <si>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</si>
  <si>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</si>
  <si>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</si>
  <si>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</si>
  <si>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</si>
  <si>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</si>
  <si>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</si>
  <si>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</si>
  <si>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</si>
  <si>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</si>
  <si>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</si>
  <si>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</si>
  <si>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</si>
  <si>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</si>
  <si>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</si>
  <si>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</si>
  <si>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</si>
  <si>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</si>
  <si>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</si>
  <si>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</si>
  <si>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</si>
  <si>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</si>
  <si>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</si>
  <si>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</si>
  <si>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</si>
  <si>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</si>
  <si>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</si>
  <si>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</si>
  <si>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</si>
  <si>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</si>
  <si>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</si>
  <si>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</si>
  <si>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</si>
  <si>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</si>
  <si>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</si>
  <si>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</si>
  <si>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</si>
  <si>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</si>
  <si>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</si>
  <si>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</si>
  <si>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</si>
  <si>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</si>
  <si>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</si>
  <si>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</si>
  <si>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</si>
  <si>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</si>
  <si>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</si>
  <si>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</si>
  <si>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</si>
  <si>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</si>
  <si>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</si>
  <si>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</si>
  <si>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</si>
  <si>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</si>
  <si>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</si>
  <si>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</si>
  <si>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</si>
  <si>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</si>
  <si>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</si>
  <si>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</si>
  <si>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</si>
  <si>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</si>
  <si>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</si>
  <si>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</si>
  <si>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</si>
  <si>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</si>
  <si>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</si>
  <si>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</si>
  <si>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</si>
  <si>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</si>
  <si>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</si>
  <si>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</si>
  <si>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</si>
  <si>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</si>
  <si>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</si>
  <si>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</si>
  <si>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</si>
  <si>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</si>
  <si>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</si>
  <si>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</si>
  <si>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</si>
  <si>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</si>
  <si>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</si>
  <si>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</si>
  <si>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</si>
  <si>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</si>
  <si>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</si>
  <si>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</si>
  <si>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</si>
  <si>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</si>
  <si>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</si>
  <si>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</si>
  <si>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</si>
  <si>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</si>
  <si>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</si>
  <si>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</si>
  <si>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</si>
  <si>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</si>
  <si>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</si>
  <si>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</si>
  <si>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</si>
  <si>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</si>
  <si>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</si>
  <si>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</si>
  <si>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</si>
  <si>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</si>
  <si>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</si>
  <si>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</si>
  <si>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</si>
  <si>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</si>
  <si>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</si>
  <si>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</si>
  <si>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</si>
  <si>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</si>
  <si>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</si>
  <si>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</si>
  <si>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</si>
  <si>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</si>
  <si>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</si>
  <si>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</si>
  <si>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</si>
  <si>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</si>
  <si>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</si>
  <si>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</si>
  <si>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</si>
  <si>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</si>
  <si>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</si>
  <si>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</si>
  <si>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</si>
  <si>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</si>
  <si>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</si>
  <si>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</si>
  <si>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</si>
  <si>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</si>
  <si>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</si>
  <si>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</si>
  <si>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</si>
  <si>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</si>
  <si>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</si>
  <si>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</si>
  <si>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</si>
  <si>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</si>
  <si>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</si>
  <si>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</si>
  <si>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</si>
  <si>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</si>
  <si>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</si>
  <si>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</si>
  <si>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</si>
  <si>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</si>
  <si>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</si>
  <si>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</si>
  <si>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</si>
  <si>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</si>
  <si>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</si>
  <si>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</si>
  <si>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</si>
  <si>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</si>
  <si>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</si>
  <si>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</si>
  <si>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</si>
  <si>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</si>
  <si>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</si>
  <si>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</si>
  <si>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</si>
  <si>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</si>
  <si>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</si>
  <si>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</si>
  <si>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</si>
  <si>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</si>
  <si>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</si>
  <si>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</si>
  <si>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</si>
  <si>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</si>
  <si>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</si>
  <si>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</si>
  <si>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</si>
  <si>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</si>
  <si>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</si>
  <si>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</si>
  <si>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</si>
  <si>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</si>
  <si>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</si>
  <si>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</si>
  <si>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</si>
  <si>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</si>
  <si>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</si>
  <si>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</si>
  <si>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</si>
  <si>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</si>
  <si>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</si>
  <si>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</si>
  <si>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</si>
  <si>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</si>
  <si>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</si>
  <si>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</si>
  <si>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</si>
  <si>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</si>
  <si>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</si>
  <si>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</si>
  <si>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</si>
  <si>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</si>
  <si>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</si>
  <si>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</si>
  <si>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</si>
  <si>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</si>
  <si>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</si>
  <si>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</si>
  <si>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</si>
  <si>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</si>
  <si>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</si>
  <si>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</si>
  <si>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</si>
  <si>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</si>
  <si>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</si>
  <si>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</si>
  <si>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</si>
  <si>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</si>
  <si>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</si>
  <si>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</si>
  <si>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</si>
  <si>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</si>
  <si>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</si>
  <si>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</si>
  <si>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</si>
  <si>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</si>
  <si>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</si>
  <si>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</si>
  <si>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</si>
  <si>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</si>
  <si>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</si>
  <si>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</si>
  <si>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</si>
  <si>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</si>
  <si>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</si>
  <si>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</si>
  <si>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</si>
  <si>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</si>
  <si>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</si>
  <si>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</si>
  <si>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</si>
  <si>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</si>
  <si>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</si>
  <si>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</si>
  <si>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</si>
  <si>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</si>
  <si>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</si>
  <si>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</si>
  <si>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</si>
  <si>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</si>
  <si>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</si>
  <si>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</si>
  <si>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</si>
  <si>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</si>
  <si>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</si>
  <si>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</si>
  <si>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</si>
  <si>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</si>
  <si>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</si>
  <si>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</si>
  <si>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</si>
  <si>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</si>
  <si>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</si>
  <si>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</si>
  <si>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</si>
  <si>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</si>
  <si>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</si>
  <si>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</si>
  <si>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</si>
  <si>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</si>
  <si>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</si>
  <si>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</si>
  <si>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</si>
  <si>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</si>
  <si>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</si>
  <si>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</si>
  <si>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</si>
  <si>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</si>
  <si>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</si>
  <si>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</si>
  <si>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</si>
  <si>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</si>
  <si>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</si>
  <si>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</si>
  <si>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</si>
  <si>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</si>
  <si>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</si>
  <si>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</si>
  <si>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</si>
  <si>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</si>
  <si>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</si>
  <si>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</si>
  <si>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</si>
  <si>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</si>
  <si>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</si>
  <si>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</si>
  <si>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</si>
  <si>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</si>
  <si>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</si>
  <si>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</si>
  <si>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</si>
  <si>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</si>
  <si>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</si>
  <si>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</si>
  <si>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</si>
  <si>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</si>
  <si>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</si>
  <si>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</si>
  <si>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</si>
  <si>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</si>
  <si>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</si>
  <si>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</si>
  <si>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</si>
  <si>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</si>
  <si>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</si>
  <si>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</si>
  <si>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</si>
  <si>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</si>
  <si>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</si>
  <si>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</si>
  <si>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</si>
  <si>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</si>
  <si>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</si>
  <si>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</si>
  <si>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</si>
  <si>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</si>
  <si>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</si>
  <si>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</si>
  <si>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</si>
  <si>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</si>
  <si>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</si>
  <si>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</si>
  <si>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</si>
  <si>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</si>
  <si>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</si>
  <si>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</si>
  <si>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</si>
  <si>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</si>
  <si>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</si>
  <si>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</si>
  <si>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</si>
  <si>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</si>
  <si>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</si>
  <si>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</si>
  <si>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</si>
  <si>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</si>
  <si>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</si>
  <si>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</si>
  <si>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</si>
  <si>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</si>
  <si>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</si>
  <si>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</si>
  <si>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</si>
  <si>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</si>
  <si>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</si>
  <si>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</si>
  <si>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</si>
  <si>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</si>
  <si>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</si>
  <si>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</si>
  <si>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</si>
  <si>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</si>
  <si>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</si>
  <si>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</si>
  <si>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</si>
  <si>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</si>
  <si>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</si>
  <si>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</si>
  <si>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</si>
  <si>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</si>
  <si>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</si>
  <si>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</si>
  <si>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</si>
  <si>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</si>
  <si>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</si>
  <si>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</si>
  <si>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</si>
  <si>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</si>
  <si>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</si>
  <si>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</si>
  <si>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</si>
  <si>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</si>
  <si>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</si>
  <si>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</si>
  <si>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</si>
  <si>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</si>
  <si>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</si>
  <si>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</si>
  <si>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</si>
  <si>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</si>
  <si>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</si>
  <si>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</si>
  <si>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</si>
  <si>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</si>
  <si>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</si>
  <si>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</si>
  <si>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</si>
  <si>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</si>
  <si>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</si>
  <si>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</si>
  <si>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</si>
  <si>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</si>
  <si>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</si>
  <si>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</si>
  <si>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</si>
  <si>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</si>
  <si>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</si>
  <si>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</si>
  <si>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</si>
  <si>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</si>
  <si>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</si>
  <si>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</si>
  <si>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</si>
  <si>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</si>
  <si>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</si>
  <si>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</si>
  <si>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</si>
  <si>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</si>
  <si>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</si>
  <si>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</si>
  <si>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</si>
  <si>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</si>
  <si>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</si>
  <si>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</si>
  <si>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</si>
  <si>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</si>
  <si>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</si>
  <si>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</si>
  <si>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</si>
  <si>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</si>
  <si>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</si>
  <si>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</si>
  <si>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</si>
  <si>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</si>
  <si>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</si>
  <si>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</si>
  <si>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</si>
  <si>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</si>
  <si>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</si>
  <si>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</si>
  <si>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</si>
  <si>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</si>
  <si>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</si>
  <si>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</si>
  <si>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</si>
  <si>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</si>
  <si>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</si>
  <si>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</si>
  <si>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</si>
  <si>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</si>
  <si>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</si>
  <si>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</si>
  <si>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</si>
  <si>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</si>
  <si>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</si>
  <si>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</si>
  <si>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</si>
  <si>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</si>
  <si>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</si>
  <si>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</si>
  <si>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</si>
  <si>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</si>
  <si>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</si>
  <si>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</si>
  <si>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</si>
  <si>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</si>
  <si>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</si>
  <si>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</si>
  <si>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</si>
  <si>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</si>
  <si>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</si>
  <si>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</si>
  <si>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</si>
  <si>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</si>
  <si>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</si>
  <si>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</si>
  <si>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</si>
  <si>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</si>
  <si>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</si>
  <si>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</si>
  <si>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</si>
  <si>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</si>
  <si>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</si>
  <si>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</si>
  <si>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</si>
  <si>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</si>
  <si>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</si>
  <si>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</si>
  <si>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</si>
  <si>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</si>
  <si>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</si>
  <si>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</si>
  <si>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</si>
  <si>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</si>
  <si>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</si>
  <si>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</si>
  <si>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</si>
  <si>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</si>
  <si>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</si>
  <si>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</si>
  <si>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</si>
  <si>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</si>
  <si>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</si>
  <si>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</si>
  <si>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</si>
  <si>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</si>
  <si>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</si>
  <si>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</si>
  <si>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</si>
  <si>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</si>
  <si>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</si>
  <si>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</si>
  <si>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</si>
  <si>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</si>
  <si>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</si>
  <si>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</si>
  <si>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</si>
  <si>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</si>
  <si>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</si>
  <si>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</si>
  <si>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</si>
  <si>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</si>
  <si>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</si>
  <si>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</si>
  <si>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</si>
  <si>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</si>
  <si>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</si>
  <si>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</si>
  <si>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</si>
  <si>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</si>
  <si>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</si>
  <si>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</si>
  <si>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</si>
  <si>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</si>
  <si>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</si>
  <si>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</si>
  <si>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</si>
  <si>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</si>
  <si>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</si>
  <si>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</si>
  <si>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</si>
  <si>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</si>
  <si>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</si>
  <si>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</si>
  <si>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</si>
  <si>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</si>
  <si>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</si>
  <si>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</si>
  <si>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</si>
  <si>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</si>
  <si>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</si>
  <si>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</si>
  <si>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</si>
  <si>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</si>
  <si>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</si>
  <si>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</si>
  <si>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</si>
  <si>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</si>
  <si>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</si>
  <si>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</si>
  <si>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</si>
  <si>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</si>
  <si>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</si>
  <si>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</si>
  <si>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</si>
  <si>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</si>
  <si>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</si>
  <si>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</si>
  <si>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</si>
  <si>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</si>
  <si>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</si>
  <si>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</si>
  <si>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</si>
  <si>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</si>
  <si>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</si>
  <si>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</si>
  <si>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</si>
  <si>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</si>
  <si>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</si>
  <si>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</si>
  <si>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</si>
  <si>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</si>
  <si>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</si>
  <si>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</si>
  <si>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</si>
  <si>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</si>
  <si>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</si>
  <si>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</si>
  <si>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</si>
  <si>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</si>
  <si>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</si>
  <si>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</si>
  <si>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</si>
  <si>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</si>
  <si>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</si>
  <si>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</si>
  <si>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</si>
  <si>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</si>
  <si>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</si>
  <si>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</si>
  <si>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</si>
  <si>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</si>
  <si>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</si>
  <si>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</si>
  <si>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</si>
  <si>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</si>
  <si>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</si>
  <si>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</si>
  <si>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</si>
  <si>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</si>
  <si>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</si>
  <si>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</si>
  <si>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</si>
  <si>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</si>
  <si>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</si>
  <si>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</si>
  <si>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</si>
  <si>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</si>
  <si>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</si>
  <si>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</si>
  <si>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</si>
  <si>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</si>
  <si>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</si>
  <si>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</si>
  <si>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</si>
  <si>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</si>
  <si>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</si>
  <si>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</si>
  <si>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</si>
  <si>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</si>
  <si>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</si>
  <si>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</si>
  <si>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</si>
  <si>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</si>
  <si>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</si>
  <si>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</si>
  <si>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</si>
  <si>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</si>
  <si>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</si>
  <si>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</si>
  <si>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</si>
  <si>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</si>
  <si>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</si>
  <si>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</si>
  <si>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</si>
  <si>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</si>
  <si>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</si>
  <si>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</si>
  <si>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</si>
  <si>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</si>
  <si>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</si>
  <si>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</si>
  <si>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</si>
  <si>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</si>
  <si>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</si>
  <si>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</si>
  <si>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</si>
  <si>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</si>
  <si>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</si>
  <si>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</si>
  <si>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</si>
  <si>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</si>
  <si>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</si>
  <si>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</si>
  <si>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</si>
  <si>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</si>
  <si>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</si>
  <si>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</si>
  <si>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</si>
  <si>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</si>
  <si>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</si>
  <si>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</si>
  <si>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</si>
  <si>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</si>
  <si>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</si>
  <si>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</si>
  <si>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</si>
  <si>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</si>
  <si>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</si>
  <si>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</si>
  <si>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</si>
  <si>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</si>
  <si>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</si>
  <si>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</si>
  <si>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</si>
  <si>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</si>
  <si>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</si>
  <si>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</si>
  <si>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</si>
  <si>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</si>
  <si>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</si>
  <si>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</si>
  <si>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</si>
  <si>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</si>
  <si>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</si>
  <si>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</si>
  <si>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</si>
  <si>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</si>
  <si>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</si>
  <si>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</si>
  <si>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</si>
  <si>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</si>
  <si>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</si>
  <si>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</si>
  <si>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</si>
  <si>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</si>
  <si>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</si>
  <si>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</si>
  <si>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</si>
  <si>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</si>
  <si>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</si>
  <si>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</si>
  <si>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</si>
  <si>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</si>
  <si>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</si>
  <si>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</si>
  <si>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</si>
  <si>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</si>
  <si>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</si>
  <si>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</si>
  <si>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</si>
  <si>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</si>
  <si>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</si>
  <si>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</si>
  <si>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</si>
  <si>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</si>
  <si>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</si>
  <si>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</si>
  <si>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</si>
  <si>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</si>
  <si>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</si>
  <si>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</si>
  <si>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</si>
  <si>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</si>
  <si>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</si>
  <si>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</si>
  <si>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</si>
  <si>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</si>
  <si>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</si>
  <si>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</si>
  <si>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</si>
  <si>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</si>
  <si>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</si>
  <si>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</si>
  <si>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</si>
  <si>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</si>
  <si>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</si>
  <si>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</si>
  <si>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</si>
  <si>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</si>
  <si>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</si>
  <si>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</si>
  <si>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</si>
  <si>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</si>
  <si>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</si>
  <si>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</si>
  <si>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</si>
  <si>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</si>
  <si>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</si>
  <si>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</si>
  <si>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</si>
  <si>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</si>
  <si>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</si>
  <si>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</si>
  <si>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</si>
  <si>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</si>
  <si>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</si>
  <si>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</si>
  <si>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</si>
  <si>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</si>
  <si>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</si>
  <si>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</si>
  <si>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</si>
  <si>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</si>
  <si>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</si>
  <si>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</si>
  <si>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</si>
  <si>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</si>
  <si>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</si>
  <si>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</si>
  <si>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</si>
  <si>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</si>
  <si>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</si>
  <si>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</si>
  <si>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</si>
  <si>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</si>
  <si>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</si>
  <si>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</si>
  <si>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</si>
  <si>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</si>
  <si>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</si>
  <si>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</si>
  <si>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</si>
  <si>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</si>
  <si>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</si>
  <si>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</si>
  <si>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</si>
  <si>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</si>
  <si>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</si>
  <si>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</si>
  <si>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</si>
  <si>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</si>
  <si>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</si>
  <si>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</si>
  <si>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</si>
  <si>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</si>
  <si>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</si>
  <si>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</si>
  <si>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</si>
  <si>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</si>
  <si>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</si>
  <si>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</si>
  <si>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</si>
  <si>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</si>
  <si>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</si>
  <si>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</si>
  <si>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</si>
  <si>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</si>
  <si>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</si>
  <si>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</si>
  <si>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</si>
  <si>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</si>
  <si>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</si>
  <si>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</si>
  <si>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</si>
  <si>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</si>
  <si>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</si>
  <si>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</si>
  <si>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</si>
  <si>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</si>
  <si>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</si>
  <si>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</si>
  <si>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</si>
  <si>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</si>
  <si>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</si>
  <si>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</si>
  <si>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</si>
  <si>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</si>
  <si>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</si>
  <si>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</si>
  <si>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</si>
  <si>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</si>
  <si>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</si>
  <si>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</si>
  <si>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</si>
  <si>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</si>
  <si>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</si>
  <si>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</si>
  <si>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</si>
  <si>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</si>
  <si>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</si>
  <si>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</si>
  <si>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</si>
  <si>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</si>
  <si>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</si>
  <si>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</si>
  <si>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</si>
  <si>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</si>
  <si>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</si>
  <si>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</si>
  <si>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</si>
  <si>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</si>
  <si>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</si>
  <si>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</si>
  <si>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</si>
  <si>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</si>
  <si>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</si>
  <si>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</si>
  <si>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</si>
  <si>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</si>
  <si>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</si>
  <si>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</si>
  <si>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</si>
  <si>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</si>
  <si>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</si>
  <si>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</si>
  <si>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</si>
  <si>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</si>
  <si>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</si>
  <si>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</si>
  <si>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</si>
  <si>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</si>
  <si>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</si>
  <si>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</si>
  <si>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</si>
  <si>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</si>
  <si>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</si>
  <si>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</si>
  <si>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</si>
  <si>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</si>
  <si>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</si>
  <si>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</si>
  <si>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</si>
  <si>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</si>
  <si>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</si>
  <si>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</si>
  <si>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</si>
  <si>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</si>
  <si>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</si>
  <si>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</si>
  <si>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</si>
  <si>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</si>
  <si>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</si>
  <si>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</si>
  <si>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</si>
  <si>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</si>
  <si>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</si>
  <si>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</si>
  <si>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</si>
  <si>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</si>
  <si>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</si>
  <si>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</si>
  <si>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</si>
  <si>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</si>
  <si>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</si>
  <si>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</si>
  <si>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</si>
  <si>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</si>
  <si>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</si>
  <si>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</si>
  <si>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</si>
  <si>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</si>
  <si>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</si>
  <si>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</si>
  <si>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</si>
  <si>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</si>
  <si>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</si>
  <si>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</si>
  <si>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</si>
  <si>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</si>
  <si>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</si>
  <si>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</si>
  <si>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</si>
  <si>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</si>
  <si>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</si>
  <si>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</si>
  <si>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</si>
  <si>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</si>
  <si>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</si>
  <si>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</si>
  <si>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</si>
  <si>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</si>
  <si>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</si>
  <si>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</si>
  <si>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</si>
  <si>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</si>
  <si>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</si>
  <si>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</si>
  <si>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</si>
  <si>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</si>
  <si>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</si>
  <si>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</si>
  <si>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</si>
  <si>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</si>
  <si>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</si>
  <si>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</si>
  <si>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</si>
  <si>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</si>
  <si>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</si>
  <si>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</si>
  <si>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</si>
  <si>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</si>
  <si>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</si>
  <si>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</si>
  <si>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</si>
  <si>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</si>
  <si>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</si>
  <si>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</si>
  <si>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</si>
  <si>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</si>
  <si>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</si>
  <si>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</si>
  <si>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</si>
  <si>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</si>
  <si>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</si>
  <si>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</si>
  <si>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</si>
  <si>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</si>
  <si>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</si>
  <si>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</si>
  <si>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</si>
  <si>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</si>
  <si>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</si>
  <si>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</si>
  <si>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</si>
  <si>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</si>
  <si>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</si>
  <si>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</si>
  <si>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</si>
  <si>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</si>
  <si>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</si>
  <si>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</si>
  <si>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</si>
  <si>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</si>
  <si>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</si>
  <si>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</si>
  <si>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</si>
  <si>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</si>
  <si>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</si>
  <si>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</si>
  <si>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</si>
  <si>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</si>
  <si>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</si>
  <si>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</si>
  <si>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</si>
  <si>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</si>
  <si>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</si>
  <si>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</si>
  <si>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</si>
  <si>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</si>
  <si>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</si>
  <si>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</si>
  <si>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</si>
  <si>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</si>
  <si>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</si>
  <si>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</si>
  <si>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</si>
  <si>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</si>
  <si>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</si>
  <si>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</si>
  <si>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</si>
  <si>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</si>
  <si>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</si>
  <si>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</si>
  <si>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</si>
  <si>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</si>
  <si>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</si>
  <si>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</si>
  <si>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</si>
  <si>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</si>
  <si>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</si>
  <si>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</si>
  <si>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</si>
  <si>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</si>
  <si>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</si>
  <si>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</si>
  <si>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</si>
  <si>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</si>
  <si>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</si>
  <si>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</si>
  <si>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</si>
  <si>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</si>
  <si>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</si>
  <si>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</si>
  <si>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</si>
  <si>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</si>
  <si>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</si>
  <si>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</si>
  <si>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</si>
  <si>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</si>
  <si>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</si>
  <si>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</si>
  <si>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</si>
  <si>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</si>
  <si>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</si>
  <si>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</si>
  <si>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</si>
  <si>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</si>
  <si>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</si>
  <si>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</si>
  <si>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</si>
  <si>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</si>
  <si>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</si>
  <si>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</si>
  <si>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</si>
  <si>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</si>
  <si>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</si>
  <si>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</si>
  <si>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</si>
  <si>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</si>
  <si>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</si>
  <si>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</si>
  <si>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</si>
  <si>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</si>
  <si>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</si>
  <si>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</si>
  <si>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</si>
  <si>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</si>
  <si>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</si>
  <si>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</si>
  <si>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</si>
  <si>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</si>
  <si>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</si>
  <si>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</si>
  <si>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</si>
  <si>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</si>
  <si>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</si>
  <si>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</si>
  <si>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</si>
  <si>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</si>
  <si>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</si>
  <si>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</si>
  <si>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</si>
  <si>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</si>
  <si>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</si>
  <si>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</si>
  <si>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</si>
  <si>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</si>
  <si>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</si>
  <si>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</si>
  <si>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</si>
  <si>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</si>
  <si>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</si>
  <si>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</si>
  <si>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</si>
  <si>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</si>
  <si>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</si>
  <si>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</si>
  <si>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</si>
  <si>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</si>
  <si>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</si>
  <si>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</si>
  <si>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</si>
  <si>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</si>
  <si>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</si>
  <si>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</si>
  <si>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</si>
  <si>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</si>
  <si>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</si>
  <si>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</si>
  <si>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</si>
  <si>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</si>
  <si>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</si>
  <si>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</si>
  <si>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</si>
  <si>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</si>
  <si>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</si>
  <si>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</si>
  <si>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</si>
  <si>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</si>
  <si>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</si>
  <si>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</si>
  <si>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</si>
  <si>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</si>
  <si>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</si>
  <si>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</si>
  <si>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</si>
  <si>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</si>
  <si>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</si>
  <si>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</si>
  <si>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</si>
  <si>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</si>
  <si>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</si>
  <si>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</si>
  <si>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</si>
  <si>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</si>
  <si>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</si>
  <si>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</si>
  <si>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</si>
  <si>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</si>
  <si>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</si>
  <si>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</si>
  <si>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</si>
  <si>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</si>
  <si>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</si>
  <si>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</si>
  <si>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</si>
  <si>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</si>
  <si>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</si>
  <si>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</si>
  <si>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</si>
  <si>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</si>
  <si>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</si>
  <si>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</si>
  <si>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</si>
  <si>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</si>
  <si>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</si>
  <si>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</si>
  <si>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</si>
  <si>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</si>
  <si>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</si>
  <si>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</si>
  <si>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</si>
  <si>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</si>
  <si>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</si>
  <si>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</si>
  <si>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</si>
  <si>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</si>
  <si>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</si>
  <si>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</si>
  <si>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</si>
  <si>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</si>
  <si>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</si>
  <si>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</si>
  <si>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</si>
  <si>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</si>
  <si>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</si>
  <si>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</si>
  <si>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</si>
  <si>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</si>
  <si>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</si>
  <si>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</si>
  <si>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</si>
  <si>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</si>
  <si>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</si>
  <si>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</si>
  <si>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</si>
  <si>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</si>
  <si>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</si>
  <si>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</si>
  <si>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</si>
  <si>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</si>
  <si>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</si>
  <si>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</si>
  <si>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</si>
  <si>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</si>
  <si>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</si>
  <si>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</si>
  <si>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</si>
  <si>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</si>
  <si>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</si>
  <si>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</si>
  <si>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</si>
  <si>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</si>
  <si>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</si>
  <si>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</si>
  <si>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</si>
  <si>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</si>
  <si>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</si>
  <si>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</si>
  <si>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</si>
  <si>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</si>
  <si>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</si>
  <si>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</si>
  <si>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</si>
  <si>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</si>
  <si>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</si>
  <si>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</si>
  <si>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</si>
  <si>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</si>
  <si>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</si>
  <si>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</si>
  <si>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</si>
  <si>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</si>
  <si>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</si>
  <si>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</si>
  <si>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</si>
  <si>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</si>
  <si>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</si>
  <si>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</si>
  <si>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</si>
  <si>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</si>
  <si>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</si>
  <si>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</si>
  <si>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</si>
  <si>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</si>
  <si>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</si>
  <si>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</si>
  <si>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</si>
  <si>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</si>
  <si>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</si>
  <si>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</si>
  <si>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</si>
  <si>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</si>
  <si>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</si>
  <si>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</si>
  <si>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</si>
  <si>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</si>
  <si>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</si>
  <si>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</si>
  <si>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</si>
  <si>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</si>
  <si>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</si>
  <si>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</si>
  <si>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</si>
  <si>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</si>
  <si>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</si>
  <si>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</si>
  <si>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</si>
  <si>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</si>
  <si>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</si>
  <si>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</si>
  <si>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</si>
  <si>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</si>
  <si>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</si>
  <si>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</si>
  <si>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</si>
  <si>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</si>
  <si>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</si>
  <si>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</si>
  <si>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</si>
  <si>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</si>
  <si>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</si>
  <si>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</si>
  <si>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</si>
  <si>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</si>
  <si>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</si>
  <si>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</si>
  <si>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</si>
  <si>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</si>
  <si>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</si>
  <si>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</si>
  <si>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</si>
  <si>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</si>
  <si>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</si>
  <si>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</si>
  <si>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</si>
  <si>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</si>
  <si>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</si>
  <si>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</si>
  <si>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</si>
  <si>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</si>
  <si>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</si>
  <si>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</si>
  <si>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</si>
  <si>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</si>
  <si>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</si>
  <si>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</si>
  <si>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</si>
  <si>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</si>
  <si>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</si>
  <si>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</si>
  <si>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</si>
  <si>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</si>
  <si>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</si>
  <si>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</si>
  <si>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</si>
  <si>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</si>
  <si>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</si>
  <si>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</si>
  <si>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</si>
  <si>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</si>
  <si>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</si>
  <si>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</si>
  <si>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</si>
  <si>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</si>
  <si>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</si>
  <si>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</si>
  <si>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</si>
  <si>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</si>
  <si>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</si>
  <si>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</si>
  <si>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</si>
  <si>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</si>
  <si>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</si>
  <si>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</si>
  <si>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</si>
  <si>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</si>
  <si>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</si>
  <si>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</si>
  <si>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</si>
  <si>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</si>
  <si>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</si>
  <si>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</si>
  <si>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</si>
  <si>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</si>
  <si>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</si>
  <si>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</si>
  <si>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</si>
  <si>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</si>
  <si>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</si>
  <si>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</si>
  <si>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</si>
  <si>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</si>
  <si>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</si>
  <si>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</si>
  <si>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</si>
  <si>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</si>
  <si>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</si>
  <si>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</si>
  <si>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</si>
  <si>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</si>
  <si>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</si>
  <si>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</si>
  <si>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</si>
  <si>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</si>
  <si>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</si>
  <si>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</si>
  <si>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</si>
  <si>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</si>
  <si>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</si>
  <si>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</si>
  <si>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</si>
  <si>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</si>
  <si>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</si>
  <si>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</si>
  <si>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</si>
  <si>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</si>
  <si>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</si>
  <si>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</si>
  <si>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</si>
  <si>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</si>
  <si>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</si>
  <si>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</si>
  <si>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</si>
  <si>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</si>
  <si>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</si>
  <si>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</si>
  <si>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</si>
  <si>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</si>
  <si>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</si>
  <si>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</si>
  <si>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</si>
  <si>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</si>
  <si>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</si>
  <si>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</si>
  <si>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</si>
  <si>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</si>
  <si>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</si>
  <si>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</si>
  <si>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</si>
  <si>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</si>
  <si>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</si>
  <si>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</si>
  <si>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</si>
  <si>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</si>
  <si>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</si>
  <si>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</si>
  <si>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</si>
  <si>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</si>
  <si>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</si>
  <si>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</si>
  <si>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</si>
  <si>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</si>
  <si>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</si>
  <si>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</si>
  <si>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</si>
  <si>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</si>
  <si>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</si>
  <si>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</si>
  <si>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</si>
  <si>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</si>
  <si>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</si>
  <si>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</si>
  <si>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</si>
  <si>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</si>
  <si>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</si>
  <si>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</si>
  <si>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</si>
  <si>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</si>
  <si>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</si>
  <si>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</si>
  <si>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</si>
  <si>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</si>
  <si>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</si>
  <si>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</si>
  <si>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</si>
  <si>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</si>
  <si>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</si>
  <si>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</si>
  <si>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</si>
  <si>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</si>
  <si>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</si>
  <si>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</si>
  <si>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</si>
  <si>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</si>
  <si>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</si>
  <si>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</si>
  <si>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</si>
  <si>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</si>
  <si>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</si>
  <si>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</si>
  <si>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</si>
  <si>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</si>
  <si>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</si>
  <si>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</si>
  <si>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</si>
  <si>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</si>
  <si>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</si>
  <si>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</si>
  <si>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</si>
  <si>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</si>
  <si>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</si>
  <si>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</si>
  <si>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</si>
  <si>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</si>
  <si>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</si>
  <si>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</si>
  <si>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</si>
  <si>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</si>
  <si>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</si>
  <si>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</si>
  <si>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</si>
  <si>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</si>
  <si>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</si>
  <si>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</si>
  <si>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</si>
  <si>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</si>
  <si>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</si>
  <si>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</si>
  <si>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</si>
  <si>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</si>
  <si>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</si>
  <si>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</si>
  <si>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</si>
  <si>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</si>
  <si>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</si>
  <si>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</si>
  <si>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</si>
  <si>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</si>
  <si>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</si>
  <si>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</si>
  <si>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</si>
  <si>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</si>
  <si>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</si>
  <si>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</si>
  <si>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</si>
  <si>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</si>
  <si>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</si>
  <si>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</si>
  <si>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</si>
  <si>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</si>
  <si>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</si>
  <si>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</si>
  <si>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</si>
  <si>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</si>
  <si>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</si>
  <si>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</si>
  <si>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</si>
  <si>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</si>
  <si>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</si>
  <si>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</si>
  <si>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</si>
  <si>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</si>
  <si>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</si>
  <si>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</si>
  <si>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</si>
  <si>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</si>
  <si>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</si>
  <si>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</si>
  <si>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</si>
  <si>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</si>
  <si>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</si>
  <si>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</si>
  <si>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</si>
  <si>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</si>
  <si>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</si>
  <si>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</si>
  <si>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</si>
  <si>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</si>
  <si>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</si>
  <si>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</si>
  <si>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</si>
  <si>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</si>
  <si>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</si>
  <si>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</si>
  <si>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</si>
  <si>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</si>
  <si>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</si>
  <si>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</si>
  <si>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</si>
  <si>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</si>
  <si>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</si>
  <si>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</si>
  <si>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</si>
  <si>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</si>
  <si>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</si>
  <si>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</si>
  <si>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</si>
  <si>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</si>
  <si>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</si>
  <si>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</si>
  <si>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</si>
  <si>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</si>
  <si>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</si>
  <si>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</si>
  <si>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</si>
  <si>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</si>
  <si>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</si>
  <si>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</si>
  <si>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</si>
  <si>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</si>
  <si>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</si>
  <si>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</si>
  <si>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</si>
  <si>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</si>
  <si>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</si>
  <si>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</si>
  <si>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</si>
  <si>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</si>
  <si>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</si>
  <si>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</si>
  <si>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</si>
  <si>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</si>
  <si>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</si>
  <si>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</si>
  <si>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</si>
  <si>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</si>
  <si>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</si>
  <si>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</si>
  <si>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</si>
  <si>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</si>
  <si>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</si>
  <si>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</si>
  <si>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</si>
  <si>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</si>
  <si>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</si>
  <si>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</si>
  <si>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</si>
  <si>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</si>
  <si>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</si>
  <si>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</si>
  <si>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</si>
  <si>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</si>
  <si>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</si>
  <si>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</si>
  <si>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</si>
  <si>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</si>
  <si>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</si>
  <si>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</si>
  <si>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</si>
  <si>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</si>
  <si>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</si>
  <si>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</si>
  <si>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</si>
  <si>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</si>
  <si>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</si>
  <si>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</si>
  <si>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</si>
  <si>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</si>
  <si>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</si>
  <si>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</si>
  <si>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</si>
  <si>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</si>
  <si>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</si>
  <si>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</si>
  <si>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</si>
  <si>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</si>
  <si>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</si>
  <si>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</si>
  <si>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</si>
  <si>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</si>
  <si>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</si>
  <si>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</si>
  <si>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</si>
  <si>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</si>
  <si>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</si>
  <si>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</si>
  <si>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</si>
  <si>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</si>
  <si>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</si>
  <si>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</si>
  <si>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</si>
  <si>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</si>
  <si>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</si>
  <si>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</si>
  <si>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</si>
  <si>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</si>
  <si>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</si>
  <si>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</si>
  <si>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</si>
  <si>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</si>
  <si>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</si>
  <si>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</si>
  <si>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</si>
  <si>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</si>
  <si>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</si>
  <si>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</si>
  <si>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</si>
  <si>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</si>
  <si>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</si>
  <si>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</si>
  <si>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</si>
  <si>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</si>
  <si>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</si>
  <si>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</si>
  <si>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</si>
  <si>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</si>
  <si>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</si>
  <si>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</si>
  <si>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</si>
  <si>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</si>
  <si>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</si>
  <si>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</si>
  <si>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</si>
  <si>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</si>
  <si>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</si>
  <si>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</si>
  <si>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</si>
  <si>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</si>
  <si>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</si>
  <si>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</si>
  <si>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</si>
  <si>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</si>
  <si>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</si>
  <si>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</si>
  <si>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</si>
  <si>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</si>
  <si>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</si>
  <si>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</si>
  <si>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</si>
  <si>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</si>
  <si>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</si>
  <si>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</si>
  <si>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</si>
  <si>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</si>
  <si>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</si>
  <si>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</si>
  <si>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</si>
  <si>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</si>
  <si>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</si>
  <si>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</si>
  <si>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</si>
  <si>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</si>
  <si>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</si>
  <si>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</si>
  <si>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</si>
  <si>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</si>
  <si>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</si>
  <si>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</si>
  <si>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</si>
  <si>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</si>
  <si>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</si>
  <si>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</si>
  <si>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</si>
  <si>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</si>
  <si>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</si>
  <si>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</si>
  <si>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</si>
  <si>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</si>
  <si>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</si>
  <si>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</si>
  <si>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</si>
  <si>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</si>
  <si>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</si>
  <si>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</si>
  <si>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</si>
  <si>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</si>
  <si>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</si>
  <si>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</si>
  <si>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</si>
  <si>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</si>
  <si>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</si>
  <si>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</si>
  <si>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</si>
  <si>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</si>
  <si>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</si>
  <si>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</si>
  <si>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</si>
  <si>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</si>
  <si>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</si>
  <si>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</si>
  <si>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</si>
  <si>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</si>
  <si>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</si>
  <si>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</si>
  <si>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</si>
  <si>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</si>
  <si>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</si>
  <si>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</si>
  <si>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</si>
  <si>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</si>
  <si>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</si>
  <si>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</si>
  <si>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</si>
  <si>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</si>
  <si>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</si>
  <si>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</si>
  <si>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</si>
  <si>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</si>
  <si>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</si>
  <si>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</si>
  <si>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</si>
  <si>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</si>
  <si>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</si>
  <si>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</si>
  <si>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</si>
  <si>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</si>
  <si>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</si>
  <si>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</si>
  <si>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</si>
  <si>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</si>
  <si>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</si>
  <si>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</si>
  <si>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</si>
  <si>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</si>
  <si>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</si>
  <si>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</si>
  <si>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</si>
  <si>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</si>
  <si>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</si>
  <si>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</si>
  <si>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</si>
  <si>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</si>
  <si>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</si>
  <si>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</si>
  <si>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</si>
  <si>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</si>
  <si>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</si>
  <si>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</si>
  <si>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</si>
  <si>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</si>
  <si>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</si>
  <si>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</si>
  <si>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</si>
  <si>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</si>
  <si>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</si>
  <si>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</si>
  <si>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</si>
  <si>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</si>
  <si>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</si>
  <si>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</si>
  <si>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</si>
  <si>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</si>
  <si>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</si>
  <si>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</si>
  <si>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</si>
  <si>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</si>
  <si>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</si>
  <si>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</si>
  <si>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</si>
  <si>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</si>
  <si>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</si>
  <si>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</si>
  <si>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</si>
  <si>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</si>
  <si>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</si>
  <si>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</si>
  <si>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</si>
  <si>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</si>
  <si>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</si>
  <si>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</si>
  <si>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</si>
  <si>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</si>
  <si>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</si>
  <si>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</si>
  <si>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</si>
  <si>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</si>
  <si>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</si>
  <si>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</si>
  <si>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</si>
  <si>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</si>
  <si>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</si>
  <si>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</si>
  <si>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</si>
  <si>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</si>
  <si>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</si>
  <si>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</si>
  <si>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</si>
  <si>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</si>
  <si>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</si>
  <si>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</si>
  <si>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</si>
  <si>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</si>
  <si>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</si>
  <si>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</si>
  <si>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</si>
  <si>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</si>
  <si>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</si>
  <si>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</si>
  <si>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</si>
  <si>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</si>
  <si>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</si>
  <si>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</si>
  <si>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</si>
  <si>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</si>
  <si>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</si>
  <si>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</si>
  <si>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</si>
  <si>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</si>
  <si>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</si>
  <si>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</si>
  <si>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</si>
  <si>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</si>
  <si>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</si>
  <si>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</si>
  <si>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</si>
  <si>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</si>
  <si>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</si>
  <si>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</si>
  <si>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</si>
  <si>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</si>
  <si>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</si>
  <si>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</si>
  <si>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</si>
  <si>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</si>
  <si>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</si>
  <si>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</si>
  <si>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</si>
  <si>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</si>
  <si>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</si>
  <si>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</si>
  <si>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</si>
  <si>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</si>
  <si>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</si>
  <si>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</si>
  <si>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</si>
  <si>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</si>
  <si>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</si>
  <si>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</si>
  <si>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</si>
  <si>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</si>
  <si>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</si>
  <si>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</si>
  <si>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</si>
  <si>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</si>
  <si>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</si>
  <si>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</si>
  <si>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</si>
  <si>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</si>
  <si>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</si>
  <si>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</si>
  <si>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</si>
  <si>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</si>
  <si>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</si>
  <si>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</si>
  <si>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</si>
  <si>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</si>
  <si>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</si>
  <si>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</si>
  <si>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</si>
  <si>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</si>
  <si>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</si>
  <si>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</si>
  <si>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</si>
  <si>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</si>
  <si>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</si>
  <si>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</si>
  <si>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</si>
  <si>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</si>
  <si>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</si>
  <si>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</si>
  <si>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</si>
  <si>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</si>
  <si>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</si>
  <si>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</si>
  <si>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</si>
  <si>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</si>
  <si>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</si>
  <si>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</si>
  <si>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</si>
  <si>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</si>
  <si>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</si>
  <si>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</si>
  <si>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</si>
  <si>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</si>
  <si>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</si>
  <si>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</si>
  <si>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</si>
  <si>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</si>
  <si>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</si>
  <si>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</si>
  <si>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</si>
  <si>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</si>
  <si>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</si>
  <si>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</si>
  <si>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</si>
  <si>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</si>
  <si>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</si>
  <si>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</si>
  <si>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</si>
  <si>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</si>
  <si>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</si>
  <si>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</si>
  <si>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</si>
  <si>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</si>
  <si>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</si>
  <si>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</si>
  <si>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</si>
  <si>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</si>
  <si>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</si>
  <si>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</si>
  <si>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</si>
  <si>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</si>
  <si>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</si>
  <si>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</si>
  <si>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</si>
  <si>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</si>
  <si>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</si>
  <si>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</si>
  <si>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</si>
  <si>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</si>
  <si>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</si>
  <si>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</si>
  <si>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</si>
  <si>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</si>
  <si>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</si>
  <si>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</si>
  <si>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</si>
  <si>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</si>
  <si>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</si>
  <si>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</si>
  <si>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</si>
  <si>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</si>
  <si>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</si>
  <si>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</si>
  <si>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</si>
  <si>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</si>
  <si>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</si>
  <si>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</si>
  <si>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</si>
  <si>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</si>
  <si>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</si>
  <si>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</si>
  <si>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</si>
  <si>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</si>
  <si>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</si>
  <si>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</si>
  <si>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</si>
  <si>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</si>
  <si>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</si>
  <si>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</si>
  <si>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</si>
  <si>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</si>
  <si>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</si>
  <si>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</si>
  <si>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</si>
  <si>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</si>
  <si>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</si>
  <si>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</si>
  <si>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</si>
  <si>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</si>
  <si>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</si>
  <si>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</si>
  <si>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</si>
  <si>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</si>
  <si>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</si>
  <si>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</si>
  <si>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</si>
  <si>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</si>
  <si>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</si>
  <si>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</si>
  <si>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</si>
  <si>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</si>
  <si>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</si>
  <si>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</si>
  <si>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</si>
  <si>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</si>
  <si>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</si>
  <si>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</si>
  <si>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</si>
  <si>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</si>
  <si>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</si>
  <si>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</si>
  <si>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</si>
  <si>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</si>
  <si>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</si>
  <si>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</si>
  <si>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</si>
  <si>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</si>
  <si>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</si>
  <si>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</si>
  <si>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</si>
  <si>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</si>
  <si>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</si>
  <si>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</si>
  <si>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</si>
  <si>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</si>
  <si>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</si>
  <si>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</si>
  <si>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</si>
  <si>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</si>
  <si>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</si>
  <si>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</si>
  <si>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</si>
  <si>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</si>
  <si>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</si>
  <si>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</si>
  <si>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</si>
  <si>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</si>
  <si>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</si>
  <si>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</si>
  <si>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</si>
  <si>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</si>
  <si>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</si>
  <si>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</si>
  <si>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</si>
  <si>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</si>
  <si>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</si>
  <si>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</si>
  <si>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</si>
  <si>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</si>
  <si>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</si>
  <si>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</si>
  <si>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</si>
  <si>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</si>
  <si>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</si>
  <si>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</si>
  <si>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</si>
  <si>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</si>
  <si>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</si>
  <si>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</si>
  <si>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</si>
  <si>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</si>
  <si>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</si>
  <si>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</si>
  <si>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</si>
  <si>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</si>
  <si>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</si>
  <si>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</si>
  <si>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</si>
  <si>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</si>
  <si>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</si>
  <si>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</si>
  <si>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</si>
  <si>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</si>
  <si>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</si>
  <si>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</si>
  <si>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</si>
  <si>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</si>
  <si>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</si>
  <si>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</si>
  <si>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</si>
  <si>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</si>
  <si>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</si>
  <si>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</si>
  <si>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</si>
  <si>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</si>
  <si>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</si>
  <si>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</si>
  <si>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</si>
  <si>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</si>
  <si>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</si>
  <si>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</si>
  <si>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</si>
  <si>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</si>
  <si>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</si>
  <si>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</si>
  <si>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</si>
  <si>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</si>
  <si>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</si>
  <si>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</si>
  <si>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</si>
  <si>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</si>
  <si>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</si>
  <si>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</si>
  <si>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</si>
  <si>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</si>
  <si>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</si>
  <si>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</si>
  <si>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</si>
  <si>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</si>
  <si>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</si>
  <si>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</si>
  <si>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</si>
  <si>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</si>
  <si>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</si>
  <si>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</si>
  <si>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</si>
  <si>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</si>
  <si>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</si>
  <si>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</si>
  <si>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</si>
  <si>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</si>
  <si>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</si>
  <si>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</si>
  <si>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</si>
  <si>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</si>
  <si>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</si>
  <si>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</si>
  <si>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</si>
  <si>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</si>
  <si>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</si>
  <si>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</si>
  <si>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</si>
  <si>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</si>
  <si>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</si>
  <si>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</si>
  <si>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</si>
  <si>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</si>
  <si>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</si>
  <si>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</si>
  <si>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</si>
  <si>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</si>
  <si>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</si>
  <si>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</si>
  <si>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</si>
  <si>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</si>
  <si>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</si>
  <si>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</si>
  <si>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</si>
  <si>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</si>
  <si>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</si>
  <si>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</si>
  <si>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</si>
  <si>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</si>
  <si>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</si>
  <si>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</si>
  <si>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</si>
  <si>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</si>
  <si>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</si>
  <si>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</si>
  <si>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</si>
  <si>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</si>
  <si>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</si>
  <si>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</si>
  <si>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</si>
  <si>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</si>
  <si>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</si>
  <si>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</si>
  <si>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</si>
  <si>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</si>
  <si>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</si>
  <si>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</si>
  <si>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</si>
  <si>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</si>
  <si>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</si>
  <si>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</si>
  <si>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</si>
  <si>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</si>
  <si>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</si>
  <si>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</si>
  <si>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</si>
  <si>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</si>
  <si>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</si>
  <si>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</si>
  <si>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</si>
  <si>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</si>
  <si>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</si>
  <si>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</si>
  <si>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</si>
  <si>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</si>
  <si>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</si>
  <si>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</si>
  <si>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</si>
  <si>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</si>
  <si>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</si>
  <si>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</si>
  <si>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</si>
  <si>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</si>
  <si>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</si>
  <si>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</si>
  <si>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</si>
  <si>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</si>
  <si>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</si>
  <si>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</si>
  <si>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</si>
  <si>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</si>
  <si>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</si>
  <si>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</si>
  <si>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</si>
  <si>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</si>
  <si>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</si>
  <si>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</si>
  <si>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</si>
  <si>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</si>
  <si>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</si>
  <si>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</si>
  <si>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</si>
  <si>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</si>
  <si>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</si>
  <si>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</si>
  <si>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</si>
  <si>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</si>
  <si>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</si>
  <si>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</si>
  <si>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</si>
  <si>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</si>
  <si>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</si>
  <si>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</si>
  <si>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</si>
  <si>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</si>
  <si>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</si>
  <si>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</si>
  <si>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</si>
  <si>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</si>
  <si>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</si>
  <si>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</si>
  <si>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</si>
  <si>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</si>
  <si>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</si>
  <si>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</si>
  <si>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</si>
  <si>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</si>
  <si>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</si>
  <si>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</si>
  <si>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</si>
  <si>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</si>
  <si>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</si>
  <si>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</si>
  <si>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</si>
  <si>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</si>
  <si>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</si>
  <si>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</si>
  <si>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</si>
  <si>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</si>
  <si>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</si>
  <si>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</si>
  <si>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</si>
  <si>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</si>
  <si>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</si>
  <si>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</si>
  <si>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</si>
  <si>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</si>
  <si>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</si>
  <si>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</si>
  <si>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</si>
  <si>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</si>
  <si>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</si>
  <si>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</si>
  <si>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</si>
  <si>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</si>
  <si>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</si>
  <si>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</si>
  <si>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</si>
  <si>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</si>
  <si>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</si>
  <si>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</si>
  <si>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</si>
  <si>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</si>
  <si>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</si>
  <si>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</si>
  <si>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</si>
  <si>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</si>
  <si>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</si>
  <si>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</si>
  <si>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</si>
  <si>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</si>
  <si>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</si>
  <si>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</si>
  <si>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</si>
  <si>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</si>
  <si>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</si>
  <si>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</si>
  <si>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</si>
  <si>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</si>
  <si>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</si>
  <si>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</si>
  <si>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</si>
  <si>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</si>
  <si>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</si>
  <si>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</si>
  <si>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</si>
  <si>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</si>
  <si>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</si>
  <si>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</si>
  <si>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</si>
  <si>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</si>
  <si>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</si>
  <si>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</si>
  <si>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</si>
  <si>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</si>
  <si>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</si>
  <si>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</si>
  <si>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</si>
  <si>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</si>
  <si>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</si>
  <si>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</si>
  <si>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</si>
  <si>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</si>
  <si>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</si>
  <si>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</si>
  <si>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</si>
  <si>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</si>
  <si>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</si>
  <si>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</si>
  <si>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</si>
  <si>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</si>
  <si>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</si>
  <si>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</si>
  <si>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</si>
  <si>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</si>
  <si>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</si>
  <si>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</si>
  <si>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</si>
  <si>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</si>
  <si>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</si>
  <si>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</si>
  <si>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</si>
  <si>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</si>
  <si>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</si>
  <si>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</si>
  <si>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</si>
  <si>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</si>
  <si>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</si>
  <si>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</si>
  <si>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</si>
  <si>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</si>
  <si>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</si>
  <si>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</si>
  <si>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</si>
  <si>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</si>
  <si>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</si>
  <si>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</si>
  <si>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</si>
  <si>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</si>
  <si>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</si>
  <si>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</si>
  <si>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</si>
  <si>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</si>
  <si>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</si>
  <si>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</si>
  <si>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</si>
  <si>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</si>
  <si>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</si>
  <si>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</si>
  <si>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</si>
  <si>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</si>
  <si>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</si>
  <si>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</si>
  <si>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</si>
  <si>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</si>
  <si>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</si>
  <si>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</si>
  <si>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</si>
  <si>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</si>
  <si>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</si>
  <si>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</si>
  <si>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</si>
  <si>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</si>
  <si>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</si>
  <si>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</si>
  <si>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</si>
  <si>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</si>
  <si>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</si>
  <si>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</si>
  <si>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</si>
  <si>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</si>
  <si>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</si>
  <si>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</si>
  <si>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</si>
  <si>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</si>
  <si>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</si>
  <si>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</si>
  <si>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</si>
  <si>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</si>
  <si>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</si>
  <si>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</si>
  <si>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</si>
  <si>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</si>
  <si>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</si>
  <si>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</si>
  <si>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</si>
  <si>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</si>
  <si>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</si>
  <si>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</si>
  <si>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</si>
  <si>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</si>
  <si>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</si>
  <si>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</si>
  <si>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</si>
  <si>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</si>
  <si>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</si>
  <si>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</si>
  <si>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</si>
  <si>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</si>
  <si>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</si>
  <si>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</si>
  <si>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</si>
  <si>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</si>
  <si>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</si>
  <si>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</si>
  <si>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</si>
  <si>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</si>
  <si>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</si>
  <si>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</si>
  <si>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</si>
  <si>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</si>
  <si>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</si>
  <si>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</si>
  <si>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</si>
  <si>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</si>
  <si>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</si>
  <si>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</si>
  <si>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</si>
  <si>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</si>
  <si>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</si>
  <si>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</si>
  <si>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</si>
  <si>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</si>
  <si>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</si>
  <si>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</si>
  <si>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</si>
  <si>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</si>
  <si>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</si>
  <si>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</si>
  <si>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</si>
  <si>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</si>
  <si>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</si>
  <si>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</si>
  <si>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</si>
  <si>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</si>
  <si>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</si>
  <si>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</si>
  <si>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</si>
  <si>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</si>
  <si>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</si>
  <si>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</si>
  <si>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</si>
  <si>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</si>
  <si>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</si>
  <si>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</si>
  <si>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</si>
  <si>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</si>
  <si>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</si>
  <si>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</si>
  <si>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</si>
  <si>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</si>
  <si>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</si>
  <si>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</si>
  <si>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</si>
  <si>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</si>
  <si>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</si>
  <si>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</si>
  <si>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</si>
  <si>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</si>
  <si>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</si>
  <si>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</si>
  <si>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</si>
  <si>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</si>
  <si>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</si>
  <si>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</si>
  <si>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</si>
  <si>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</si>
  <si>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</si>
  <si>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</si>
  <si>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</si>
  <si>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</si>
  <si>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</si>
  <si>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</si>
  <si>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</si>
  <si>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</si>
  <si>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</si>
  <si>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</si>
  <si>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</si>
  <si>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</si>
  <si>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</si>
  <si>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</si>
  <si>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</si>
  <si>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</si>
  <si>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</si>
  <si>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</si>
  <si>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</si>
  <si>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</si>
  <si>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</si>
  <si>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</si>
  <si>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</si>
  <si>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</si>
  <si>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</si>
  <si>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</si>
  <si>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</si>
  <si>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</si>
  <si>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</si>
  <si>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</si>
  <si>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</si>
  <si>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</si>
  <si>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</si>
  <si>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</si>
  <si>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</si>
  <si>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</si>
  <si>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</si>
  <si>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</si>
  <si>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</si>
  <si>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</si>
  <si>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</si>
  <si>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</si>
  <si>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</si>
  <si>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</si>
  <si>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</si>
  <si>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</si>
  <si>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</si>
  <si>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</si>
  <si>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</si>
  <si>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</si>
  <si>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</si>
  <si>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</si>
  <si>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</si>
  <si>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</si>
  <si>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</si>
  <si>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</si>
  <si>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</si>
  <si>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</si>
  <si>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</si>
  <si>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</si>
  <si>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</si>
  <si>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</si>
  <si>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</si>
  <si>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</si>
  <si>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</si>
  <si>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</si>
  <si>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</si>
  <si>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</si>
  <si>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</si>
  <si>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</si>
  <si>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</si>
  <si>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</si>
  <si>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</si>
  <si>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</si>
  <si>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</si>
  <si>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</si>
  <si>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</si>
  <si>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</si>
  <si>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</si>
  <si>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</si>
  <si>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</si>
  <si>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</si>
  <si>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</si>
  <si>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</si>
  <si>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</si>
  <si>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</si>
  <si>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</si>
  <si>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</si>
  <si>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</si>
  <si>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</si>
  <si>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</si>
  <si>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</si>
  <si>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</si>
  <si>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</si>
  <si>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</si>
  <si>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</si>
  <si>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</si>
  <si>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</si>
  <si>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</si>
  <si>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</si>
  <si>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</si>
  <si>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</si>
  <si>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</si>
  <si>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</si>
  <si>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</si>
  <si>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</si>
  <si>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</si>
  <si>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</si>
  <si>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</si>
  <si>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</si>
  <si>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</si>
  <si>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</si>
  <si>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</si>
  <si>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</si>
  <si>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</si>
  <si>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</si>
  <si>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</si>
  <si>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</si>
  <si>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</si>
  <si>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</si>
  <si>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</si>
  <si>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</si>
  <si>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</si>
  <si>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</si>
  <si>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</si>
  <si>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</si>
  <si>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</si>
  <si>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</si>
  <si>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</si>
  <si>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</si>
  <si>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</si>
  <si>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</si>
  <si>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</si>
  <si>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</si>
  <si>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</si>
  <si>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</si>
  <si>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</si>
  <si>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</si>
  <si>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</si>
  <si>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</si>
  <si>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</si>
  <si>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</si>
  <si>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</si>
  <si>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</si>
  <si>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</si>
  <si>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</si>
  <si>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</si>
  <si>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</si>
  <si>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</si>
  <si>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</si>
  <si>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</si>
  <si>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</si>
  <si>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</si>
  <si>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</si>
  <si>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</si>
  <si>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</si>
  <si>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</si>
  <si>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</si>
  <si>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</si>
  <si>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</si>
  <si>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</si>
  <si>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</si>
  <si>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</si>
  <si>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</si>
  <si>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</si>
  <si>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</si>
  <si>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</si>
  <si>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</si>
  <si>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</si>
  <si>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</si>
  <si>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</si>
  <si>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</si>
  <si>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</si>
  <si>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</si>
  <si>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</si>
  <si>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</si>
  <si>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</si>
  <si>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</si>
  <si>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</si>
  <si>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</si>
  <si>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</si>
  <si>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</si>
  <si>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</si>
  <si>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</si>
  <si>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</si>
  <si>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</si>
  <si>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</si>
  <si>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</si>
  <si>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</si>
  <si>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</si>
  <si>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</si>
  <si>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</si>
  <si>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</si>
  <si>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</si>
  <si>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</si>
  <si>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</si>
  <si>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</si>
  <si>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</si>
  <si>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</si>
  <si>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</si>
  <si>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</si>
  <si>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</si>
  <si>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</si>
  <si>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</si>
  <si>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</si>
  <si>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</si>
  <si>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</si>
  <si>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</si>
  <si>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</si>
  <si>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</si>
  <si>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</si>
  <si>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</si>
  <si>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</si>
  <si>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</si>
  <si>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</si>
  <si>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</si>
  <si>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</si>
  <si>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</si>
  <si>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</si>
  <si>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</si>
  <si>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</si>
  <si>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</si>
  <si>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</si>
  <si>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</si>
  <si>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</si>
  <si>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</si>
  <si>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</si>
  <si>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</si>
  <si>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</si>
  <si>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</si>
  <si>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</si>
  <si>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</si>
  <si>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</si>
  <si>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</si>
  <si>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</si>
  <si>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</si>
  <si>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</si>
  <si>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</si>
  <si>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</si>
  <si>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</si>
  <si>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</si>
  <si>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</si>
  <si>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</si>
  <si>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</si>
  <si>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</si>
  <si>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</si>
  <si>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</si>
  <si>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</si>
  <si>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</si>
  <si>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</si>
  <si>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</si>
  <si>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</si>
  <si>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</si>
  <si>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</si>
  <si>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</si>
  <si>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</si>
  <si>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</si>
  <si>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</si>
  <si>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</si>
  <si>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</si>
  <si>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</si>
  <si>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</si>
  <si>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</si>
  <si>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</si>
  <si>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</si>
  <si>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</si>
  <si>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</si>
  <si>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</si>
  <si>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</si>
  <si>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</si>
  <si>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</si>
  <si>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</si>
  <si>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</si>
  <si>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</si>
  <si>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</si>
  <si>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</si>
  <si>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</si>
  <si>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</si>
  <si>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</si>
  <si>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</si>
  <si>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</si>
  <si>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</si>
  <si>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</si>
  <si>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</si>
  <si>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</si>
  <si>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</si>
  <si>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</si>
  <si>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</si>
  <si>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</si>
  <si>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</si>
  <si>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</si>
  <si>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</si>
  <si>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</si>
  <si>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</si>
  <si>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</si>
  <si>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</si>
  <si>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</si>
  <si>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</si>
  <si>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</si>
  <si>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</si>
  <si>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</si>
  <si>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</si>
  <si>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</si>
  <si>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</si>
  <si>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</si>
  <si>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</si>
  <si>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</si>
  <si>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</si>
  <si>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</si>
  <si>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</si>
  <si>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</si>
  <si>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</si>
  <si>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</si>
  <si>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</si>
  <si>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</si>
  <si>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</si>
  <si>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</si>
  <si>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</si>
  <si>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</si>
  <si>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</si>
  <si>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</si>
  <si>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</si>
  <si>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</si>
  <si>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</si>
  <si>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</si>
  <si>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</si>
  <si>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</si>
  <si>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</si>
  <si>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</si>
  <si>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</si>
  <si>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</si>
  <si>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</si>
  <si>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</si>
  <si>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</si>
  <si>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</si>
  <si>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</si>
  <si>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</si>
  <si>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</si>
  <si>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</si>
  <si>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</si>
  <si>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</si>
  <si>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</si>
  <si>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</si>
  <si>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</si>
  <si>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</si>
  <si>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</si>
  <si>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</si>
  <si>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</si>
  <si>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</si>
  <si>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</si>
  <si>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</si>
  <si>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</si>
  <si>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</si>
  <si>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</si>
  <si>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</si>
  <si>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</si>
  <si>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</si>
  <si>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</si>
  <si>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</si>
  <si>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</si>
  <si>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</si>
  <si>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</si>
  <si>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</si>
  <si>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</si>
  <si>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</si>
  <si>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</si>
  <si>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</si>
  <si>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</si>
  <si>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</si>
  <si>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</si>
  <si>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</si>
  <si>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</si>
  <si>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</si>
  <si>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</si>
  <si>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</si>
  <si>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</si>
  <si>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</si>
  <si>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</si>
  <si>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</si>
  <si>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</si>
  <si>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</si>
  <si>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</si>
  <si>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</si>
  <si>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</si>
  <si>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</si>
  <si>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</si>
  <si>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</si>
  <si>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</si>
  <si>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</si>
  <si>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</si>
  <si>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</si>
  <si>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</si>
  <si>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</si>
  <si>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</si>
  <si>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</si>
  <si>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</si>
  <si>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</si>
  <si>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</si>
  <si>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</si>
  <si>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</si>
  <si>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</si>
  <si>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</si>
  <si>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</si>
  <si>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</si>
  <si>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</si>
  <si>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</si>
  <si>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</si>
  <si>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</si>
  <si>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</si>
  <si>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</si>
  <si>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</si>
  <si>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</si>
  <si>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</si>
  <si>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</si>
  <si>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</si>
  <si>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</si>
  <si>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</si>
  <si>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</si>
  <si>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</si>
  <si>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</si>
  <si>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</si>
  <si>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</si>
  <si>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</si>
  <si>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</si>
  <si>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</si>
  <si>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</si>
  <si>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</si>
  <si>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</si>
  <si>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</si>
  <si>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</si>
  <si>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</si>
  <si>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</si>
  <si>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</si>
  <si>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</si>
  <si>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</si>
  <si>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</si>
  <si>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</si>
  <si>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</si>
  <si>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</si>
  <si>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</si>
  <si>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</si>
  <si>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</si>
  <si>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</si>
  <si>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</si>
  <si>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</si>
  <si>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</si>
  <si>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</si>
  <si>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</si>
  <si>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</si>
  <si>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</si>
  <si>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</si>
  <si>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</si>
  <si>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</si>
  <si>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</si>
  <si>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</si>
  <si>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</si>
  <si>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</si>
  <si>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</si>
  <si>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</si>
  <si>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</si>
  <si>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</si>
  <si>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</si>
  <si>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</si>
  <si>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</si>
  <si>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</si>
  <si>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</si>
  <si>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</si>
  <si>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</si>
  <si>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</si>
  <si>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</si>
  <si>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</si>
  <si>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</si>
  <si>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</si>
  <si>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</si>
  <si>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</si>
  <si>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</si>
  <si>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</si>
  <si>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</si>
  <si>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</si>
  <si>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</si>
  <si>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</si>
  <si>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</si>
  <si>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</si>
  <si>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</si>
  <si>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</si>
  <si>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</si>
  <si>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</si>
  <si>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</si>
  <si>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</si>
  <si>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</si>
  <si>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</si>
  <si>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</si>
  <si>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</si>
  <si>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</si>
  <si>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</si>
  <si>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</si>
  <si>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</si>
  <si>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</si>
  <si>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</si>
  <si>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</si>
  <si>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</si>
  <si>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</si>
  <si>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</si>
  <si>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</si>
  <si>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</si>
  <si>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</si>
  <si>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</si>
  <si>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</si>
  <si>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</si>
  <si>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</si>
  <si>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</si>
  <si>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</si>
  <si>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</si>
  <si>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</si>
  <si>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</si>
  <si>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</si>
  <si>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</si>
  <si>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</si>
  <si>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</si>
  <si>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</si>
  <si>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</si>
  <si>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</si>
  <si>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</si>
  <si>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</si>
  <si>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</si>
  <si>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</si>
  <si>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</si>
  <si>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</si>
  <si>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</si>
  <si>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</si>
  <si>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</si>
  <si>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</si>
  <si>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</si>
  <si>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</si>
  <si>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</si>
  <si>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</si>
  <si>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</si>
  <si>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</si>
  <si>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</si>
  <si>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</si>
  <si>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</si>
  <si>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</si>
  <si>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</si>
  <si>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</si>
  <si>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</si>
  <si>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</si>
  <si>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</si>
  <si>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</si>
  <si>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</si>
  <si>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</si>
  <si>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</si>
  <si>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</si>
  <si>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</si>
  <si>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</si>
  <si>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</si>
  <si>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</si>
  <si>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</si>
  <si>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</si>
  <si>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</si>
  <si>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</si>
  <si>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</si>
  <si>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</si>
  <si>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</si>
  <si>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</si>
  <si>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</si>
  <si>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</si>
  <si>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</si>
  <si>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</si>
  <si>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</si>
  <si>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</si>
  <si>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</si>
  <si>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</si>
  <si>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</si>
  <si>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</si>
  <si>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</si>
  <si>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</si>
  <si>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</si>
  <si>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</si>
  <si>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</si>
  <si>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</si>
  <si>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</si>
  <si>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</si>
  <si>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</si>
  <si>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</si>
  <si>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</si>
  <si>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</si>
  <si>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</si>
  <si>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</si>
  <si>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</si>
  <si>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</si>
  <si>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</si>
  <si>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</si>
  <si>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</si>
  <si>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</si>
  <si>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</si>
  <si>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</si>
  <si>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</si>
  <si>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</si>
  <si>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</si>
  <si>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</si>
  <si>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</si>
  <si>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</si>
  <si>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</si>
  <si>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</si>
  <si>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</si>
  <si>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</si>
  <si>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</si>
  <si>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</si>
  <si>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</si>
  <si>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</si>
  <si>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</si>
  <si>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</si>
  <si>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</si>
  <si>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</si>
  <si>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</si>
  <si>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</si>
  <si>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</si>
  <si>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</si>
  <si>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</si>
  <si>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</si>
  <si>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</si>
  <si>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</si>
  <si>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</si>
  <si>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</si>
  <si>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</si>
  <si>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</si>
  <si>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</si>
  <si>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</si>
  <si>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</si>
  <si>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</si>
  <si>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</si>
  <si>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</si>
  <si>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</si>
  <si>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</si>
  <si>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</si>
  <si>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</si>
  <si>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</si>
  <si>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</si>
  <si>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</si>
  <si>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</si>
  <si>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</si>
  <si>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</si>
  <si>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</si>
  <si>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</si>
  <si>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</si>
  <si>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</si>
  <si>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</si>
  <si>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</si>
  <si>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</si>
  <si>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</si>
  <si>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</si>
  <si>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</si>
  <si>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</si>
  <si>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</si>
  <si>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</si>
  <si>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</si>
  <si>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</si>
  <si>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</si>
  <si>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</si>
  <si>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</si>
  <si>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</si>
  <si>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</si>
  <si>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</si>
  <si>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</si>
  <si>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</si>
  <si>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</si>
  <si>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</si>
  <si>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</si>
  <si>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</si>
  <si>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</si>
  <si>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</si>
  <si>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</si>
  <si>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</si>
  <si>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</si>
  <si>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</si>
  <si>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</si>
  <si>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</si>
  <si>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</si>
  <si>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</si>
  <si>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</si>
  <si>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</si>
  <si>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</si>
  <si>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</si>
  <si>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</si>
  <si>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</si>
  <si>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</si>
  <si>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</si>
  <si>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</si>
  <si>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</si>
  <si>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</si>
  <si>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</si>
  <si>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</si>
  <si>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</si>
  <si>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</si>
  <si>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</si>
  <si>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</si>
  <si>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</si>
  <si>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</si>
  <si>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</si>
  <si>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</si>
  <si>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</si>
  <si>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</si>
  <si>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</si>
  <si>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</si>
  <si>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</si>
  <si>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</si>
  <si>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</si>
  <si>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</si>
  <si>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</si>
  <si>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</si>
  <si>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</si>
  <si>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</si>
  <si>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</si>
  <si>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</si>
  <si>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</si>
  <si>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</si>
  <si>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</si>
  <si>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</si>
  <si>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</si>
  <si>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</si>
  <si>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</si>
  <si>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</si>
  <si>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</si>
  <si>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</si>
  <si>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</si>
  <si>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</si>
  <si>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</si>
  <si>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</si>
  <si>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</si>
  <si>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</si>
  <si>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</si>
  <si>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</si>
  <si>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</si>
  <si>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</si>
  <si>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</si>
  <si>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</si>
  <si>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</si>
  <si>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</si>
  <si>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</si>
  <si>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</si>
  <si>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</si>
  <si>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</si>
  <si>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</si>
  <si>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</si>
  <si>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</si>
  <si>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</si>
  <si>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</si>
  <si>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</si>
  <si>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</si>
  <si>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</si>
  <si>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</si>
  <si>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</si>
  <si>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</si>
  <si>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</si>
  <si>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</si>
  <si>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</si>
  <si>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</si>
  <si>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</si>
  <si>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</si>
  <si>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</si>
  <si>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</si>
  <si>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</si>
  <si>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</si>
  <si>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</si>
  <si>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</si>
  <si>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</si>
  <si>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</si>
  <si>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</si>
  <si>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</si>
  <si>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</si>
  <si>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</si>
  <si>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</si>
  <si>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</si>
  <si>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</si>
  <si>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</si>
  <si>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</si>
  <si>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</si>
  <si>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</si>
  <si>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</si>
  <si>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</si>
  <si>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</si>
  <si>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</si>
  <si>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</si>
  <si>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</si>
  <si>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</si>
  <si>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</si>
  <si>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</si>
  <si>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</si>
  <si>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</si>
  <si>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</si>
  <si>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</si>
  <si>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</si>
  <si>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</si>
  <si>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</si>
  <si>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</si>
  <si>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</si>
  <si>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</si>
  <si>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</si>
  <si>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</si>
  <si>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</si>
  <si>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</si>
  <si>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</si>
  <si>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</si>
  <si>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</si>
  <si>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</si>
  <si>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</si>
  <si>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</si>
  <si>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</si>
  <si>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</si>
  <si>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</si>
  <si>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</si>
  <si>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</si>
  <si>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</si>
  <si>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</si>
  <si>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</si>
  <si>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</si>
  <si>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</si>
  <si>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</si>
  <si>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</si>
  <si>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</si>
  <si>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</si>
  <si>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</si>
  <si>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</si>
  <si>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</si>
  <si>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</si>
  <si>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</si>
  <si>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</si>
  <si>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</si>
  <si>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</si>
  <si>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</si>
  <si>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</si>
  <si>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</si>
  <si>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</si>
  <si>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</si>
  <si>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</si>
  <si>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</si>
  <si>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</si>
  <si>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</si>
  <si>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</si>
  <si>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</si>
  <si>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</si>
  <si>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</si>
  <si>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</si>
  <si>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</si>
  <si>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</si>
  <si>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</si>
  <si>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</si>
  <si>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</si>
  <si>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</si>
  <si>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</si>
  <si>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</si>
  <si>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</si>
  <si>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</si>
  <si>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</si>
  <si>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</si>
  <si>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</si>
  <si>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</si>
  <si>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</si>
  <si>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</si>
  <si>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</si>
  <si>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</si>
  <si>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</si>
  <si>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</si>
  <si>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</si>
  <si>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</si>
  <si>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</si>
  <si>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</si>
  <si>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</si>
  <si>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</si>
  <si>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</si>
  <si>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</si>
  <si>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</si>
  <si>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</si>
  <si>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</si>
  <si>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</si>
  <si>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</si>
  <si>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</si>
  <si>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</si>
  <si>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</si>
  <si>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</si>
  <si>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</si>
  <si>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</si>
  <si>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</si>
  <si>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</si>
  <si>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</si>
  <si>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</si>
  <si>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</si>
  <si>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</si>
  <si>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</si>
  <si>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</si>
  <si>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</si>
  <si>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</si>
  <si>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</si>
  <si>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</si>
  <si>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</si>
  <si>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</si>
  <si>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</si>
  <si>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</si>
  <si>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</si>
  <si>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</si>
  <si>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</si>
  <si>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</si>
  <si>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</si>
  <si>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</si>
  <si>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</si>
  <si>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</si>
  <si>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</si>
  <si>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</si>
  <si>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</si>
  <si>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</si>
  <si>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</si>
  <si>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</si>
  <si>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</si>
  <si>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</si>
  <si>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</si>
  <si>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</si>
  <si>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</si>
  <si>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</si>
  <si>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</si>
  <si>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</si>
  <si>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</si>
  <si>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</si>
  <si>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</si>
  <si>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</si>
  <si>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</si>
  <si>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</si>
  <si>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</si>
  <si>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</si>
  <si>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</si>
  <si>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</si>
  <si>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</si>
  <si>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</si>
  <si>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</si>
  <si>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</si>
  <si>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</si>
  <si>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</si>
  <si>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</si>
  <si>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</si>
  <si>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</si>
  <si>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</si>
  <si>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</si>
  <si>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</si>
  <si>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</si>
  <si>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</si>
  <si>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</si>
  <si>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</si>
  <si>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</si>
  <si>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</si>
  <si>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</si>
  <si>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</si>
  <si>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</si>
  <si>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</si>
  <si>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</si>
  <si>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</si>
  <si>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</si>
  <si>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</si>
  <si>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</si>
  <si>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</si>
  <si>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</si>
  <si>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</si>
  <si>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</si>
  <si>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</si>
  <si>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</si>
  <si>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</si>
  <si>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</si>
  <si>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</si>
  <si>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</si>
  <si>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</si>
  <si>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</si>
  <si>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</si>
  <si>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</si>
  <si>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</si>
  <si>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</si>
  <si>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</si>
  <si>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</si>
  <si>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</si>
  <si>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</si>
  <si>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</si>
  <si>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</si>
  <si>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</si>
  <si>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</si>
  <si>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</si>
  <si>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</si>
  <si>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</si>
  <si>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</si>
  <si>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</si>
  <si>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</si>
  <si>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</si>
  <si>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</si>
  <si>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</si>
  <si>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</si>
  <si>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</si>
  <si>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</si>
  <si>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</si>
  <si>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</si>
  <si>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</si>
  <si>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</si>
  <si>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</si>
  <si>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</si>
  <si>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</si>
  <si>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</si>
  <si>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</si>
  <si>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</si>
  <si>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</si>
  <si>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</si>
  <si>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</si>
  <si>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</si>
  <si>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</si>
  <si>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</si>
  <si>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</si>
  <si>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</si>
  <si>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</si>
  <si>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</si>
  <si>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</si>
  <si>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</si>
  <si>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</si>
  <si>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</si>
  <si>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</si>
  <si>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</si>
  <si>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</si>
  <si>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</si>
  <si>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</si>
  <si>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</si>
  <si>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</si>
  <si>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</si>
  <si>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</si>
  <si>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</si>
  <si>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</si>
  <si>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</si>
  <si>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</si>
  <si>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</si>
  <si>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</si>
  <si>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</si>
  <si>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</si>
  <si>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</si>
  <si>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</si>
  <si>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</si>
  <si>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</si>
  <si>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</si>
  <si>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</si>
  <si>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</si>
  <si>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</si>
  <si>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</si>
  <si>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</si>
  <si>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</si>
  <si>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</si>
  <si>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</si>
  <si>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</si>
  <si>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</si>
  <si>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</si>
  <si>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</si>
  <si>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</si>
  <si>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</si>
  <si>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</si>
  <si>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</si>
  <si>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</si>
  <si>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</si>
  <si>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</si>
  <si>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</si>
  <si>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</si>
  <si>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</si>
  <si>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</si>
  <si>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</si>
  <si>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</si>
  <si>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</si>
  <si>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</si>
  <si>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</si>
  <si>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</si>
  <si>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</si>
  <si>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</si>
  <si>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</si>
  <si>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</si>
  <si>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</si>
  <si>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</si>
  <si>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</si>
  <si>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</si>
  <si>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</si>
  <si>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</si>
  <si>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</si>
  <si>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</si>
  <si>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</si>
  <si>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</si>
  <si>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</si>
  <si>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</si>
  <si>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</si>
  <si>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</si>
  <si>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</si>
  <si>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</si>
  <si>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</si>
  <si>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</si>
  <si>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</si>
  <si>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</si>
  <si>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</si>
  <si>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</si>
  <si>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</si>
  <si>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</si>
  <si>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</si>
  <si>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</si>
  <si>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</si>
  <si>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</si>
  <si>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</si>
  <si>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</si>
  <si>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</si>
  <si>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</si>
  <si>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</si>
  <si>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</si>
  <si>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</si>
  <si>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</si>
  <si>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</si>
  <si>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</si>
  <si>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</si>
  <si>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</si>
  <si>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</si>
  <si>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</si>
  <si>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</si>
  <si>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</si>
  <si>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</si>
  <si>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</si>
  <si>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</si>
  <si>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</si>
  <si>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</si>
  <si>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</si>
  <si>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</si>
  <si>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</si>
  <si>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</si>
  <si>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</si>
  <si>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</si>
  <si>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</si>
  <si>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</si>
  <si>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</si>
  <si>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</si>
  <si>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</si>
  <si>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</si>
  <si>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</si>
  <si>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</si>
  <si>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</si>
  <si>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</si>
  <si>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</si>
  <si>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</si>
  <si>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</si>
  <si>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</si>
  <si>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</si>
  <si>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</si>
  <si>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</si>
  <si>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</si>
  <si>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</si>
  <si>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</si>
  <si>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</si>
  <si>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</si>
  <si>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</si>
  <si>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</si>
  <si>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</si>
  <si>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</si>
  <si>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</si>
  <si>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</si>
  <si>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</si>
  <si>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</si>
  <si>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</si>
  <si>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</si>
  <si>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</si>
  <si>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</si>
  <si>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</si>
  <si>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</si>
  <si>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</si>
  <si>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</si>
  <si>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</si>
  <si>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</si>
  <si>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</si>
  <si>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</si>
  <si>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</si>
  <si>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</si>
  <si>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</si>
  <si>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</si>
  <si>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</si>
  <si>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</si>
  <si>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</si>
  <si>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</si>
  <si>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</si>
  <si>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</si>
  <si>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</si>
  <si>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</si>
  <si>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</si>
  <si>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</si>
  <si>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</si>
  <si>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</si>
  <si>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</si>
  <si>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</si>
  <si>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</si>
  <si>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</si>
  <si>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</si>
  <si>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</si>
  <si>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</si>
  <si>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</si>
  <si>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</si>
  <si>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</si>
  <si>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</si>
  <si>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</si>
  <si>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</si>
  <si>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</si>
  <si>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</si>
  <si>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</si>
  <si>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</si>
  <si>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</si>
  <si>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</si>
  <si>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</si>
  <si>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</si>
  <si>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</si>
  <si>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</si>
  <si>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</si>
  <si>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</si>
  <si>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</si>
  <si>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</si>
  <si>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</si>
  <si>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</si>
  <si>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</si>
  <si>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</si>
  <si>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</si>
  <si>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</si>
  <si>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</si>
  <si>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</si>
  <si>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</si>
  <si>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</si>
  <si>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</si>
  <si>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</si>
  <si>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</si>
  <si>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</si>
  <si>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</si>
  <si>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</si>
  <si>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</si>
  <si>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</si>
  <si>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</si>
  <si>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</si>
  <si>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</si>
  <si>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</si>
  <si>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</si>
  <si>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</si>
  <si>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</si>
  <si>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</si>
  <si>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</si>
  <si>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</si>
  <si>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</si>
  <si>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</si>
  <si>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</si>
  <si>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</si>
  <si>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</si>
  <si>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</si>
  <si>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</si>
  <si>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</si>
  <si>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</si>
  <si>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</si>
  <si>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</si>
  <si>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</si>
  <si>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</si>
  <si>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</si>
  <si>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</si>
  <si>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</si>
  <si>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</si>
  <si>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</si>
  <si>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</si>
  <si>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</si>
  <si>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</si>
  <si>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</si>
  <si>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</si>
  <si>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</si>
  <si>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</si>
  <si>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</si>
  <si>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</si>
  <si>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</si>
  <si>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</si>
  <si>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</si>
  <si>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</si>
  <si>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</si>
  <si>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</si>
  <si>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</si>
  <si>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</si>
  <si>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</si>
  <si>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</si>
  <si>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</si>
  <si>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</si>
  <si>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</si>
  <si>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</si>
  <si>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</si>
  <si>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</si>
  <si>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</si>
  <si>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</si>
  <si>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</si>
  <si>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</si>
  <si>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</si>
  <si>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</si>
  <si>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</si>
  <si>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</si>
  <si>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</si>
  <si>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</si>
  <si>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</si>
  <si>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</si>
  <si>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</si>
  <si>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</si>
  <si>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</si>
  <si>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</si>
  <si>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</si>
  <si>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</si>
  <si>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</si>
  <si>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</si>
  <si>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</si>
  <si>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</si>
  <si>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</si>
  <si>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</si>
  <si>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</si>
  <si>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</si>
  <si>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</si>
  <si>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</si>
  <si>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</si>
  <si>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</si>
  <si>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</si>
  <si>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</si>
  <si>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</si>
  <si>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</si>
  <si>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</si>
  <si>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</si>
  <si>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</si>
  <si>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</si>
  <si>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</si>
  <si>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</si>
  <si>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</si>
  <si>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</si>
  <si>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</si>
  <si>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</si>
  <si>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</si>
  <si>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</si>
  <si>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</si>
  <si>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</si>
  <si>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</si>
  <si>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</si>
  <si>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</si>
  <si>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</si>
  <si>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</si>
  <si>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</si>
  <si>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</si>
  <si>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</si>
  <si>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</si>
  <si>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</si>
  <si>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</si>
  <si>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</si>
  <si>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</si>
  <si>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</si>
  <si>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</si>
  <si>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</si>
  <si>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</si>
  <si>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</si>
  <si>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</si>
  <si>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</si>
  <si>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</si>
  <si>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</si>
  <si>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</si>
  <si>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</si>
  <si>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</si>
  <si>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</si>
  <si>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</si>
  <si>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</si>
  <si>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</si>
  <si>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</si>
  <si>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</si>
  <si>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</si>
  <si>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</si>
  <si>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</si>
  <si>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</si>
  <si>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</si>
  <si>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</si>
  <si>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</si>
  <si>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</si>
  <si>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</si>
  <si>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</si>
  <si>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</si>
  <si>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</si>
  <si>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</si>
  <si>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</si>
  <si>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</si>
  <si>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</si>
  <si>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</si>
  <si>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</si>
  <si>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</si>
  <si>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</si>
  <si>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</si>
  <si>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</si>
  <si>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</si>
  <si>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</si>
  <si>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</si>
  <si>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</si>
  <si>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</si>
  <si>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</si>
  <si>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</si>
  <si>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</si>
  <si>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</si>
  <si>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</si>
  <si>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</si>
  <si>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</si>
  <si>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</si>
  <si>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</si>
  <si>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</si>
  <si>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</si>
  <si>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</si>
  <si>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</si>
  <si>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</si>
  <si>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</si>
  <si>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</si>
  <si>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</si>
  <si>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</si>
  <si>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</si>
  <si>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</si>
  <si>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</si>
  <si>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</si>
  <si>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</si>
  <si>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</si>
  <si>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</si>
  <si>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</si>
  <si>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</si>
  <si>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</si>
  <si>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</si>
  <si>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</si>
  <si>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</si>
  <si>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</si>
  <si>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</si>
  <si>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</si>
  <si>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</si>
  <si>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</si>
  <si>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</si>
  <si>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</si>
  <si>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</si>
  <si>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</si>
  <si>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</si>
  <si>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</si>
  <si>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</si>
  <si>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</si>
  <si>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</si>
  <si>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</si>
  <si>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</si>
  <si>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</si>
  <si>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</si>
  <si>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</si>
  <si>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</si>
  <si>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</si>
  <si>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</si>
  <si>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</si>
  <si>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</si>
  <si>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</si>
  <si>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</si>
  <si>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</si>
  <si>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</si>
  <si>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</si>
  <si>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</si>
  <si>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</si>
  <si>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</si>
  <si>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</si>
  <si>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</si>
  <si>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</si>
  <si>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</si>
  <si>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</si>
  <si>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</si>
  <si>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</si>
  <si>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</si>
  <si>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</si>
  <si>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</si>
  <si>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</si>
  <si>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</si>
  <si>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</si>
  <si>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</si>
  <si>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</si>
  <si>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</si>
  <si>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</si>
  <si>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</si>
  <si>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</si>
  <si>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</si>
  <si>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</si>
  <si>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</si>
  <si>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</si>
  <si>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</si>
  <si>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</si>
  <si>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</si>
  <si>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</si>
  <si>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</si>
  <si>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</si>
  <si>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</si>
  <si>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</si>
  <si>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</si>
  <si>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</si>
  <si>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</si>
  <si>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</si>
  <si>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</si>
  <si>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</si>
  <si>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</si>
  <si>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</si>
  <si>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</si>
  <si>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</si>
  <si>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</si>
  <si>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</si>
  <si>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</si>
  <si>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</si>
  <si>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</si>
  <si>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</si>
  <si>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</si>
  <si>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</si>
  <si>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</si>
  <si>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</si>
  <si>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</si>
  <si>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</si>
  <si>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</si>
  <si>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</si>
  <si>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</si>
  <si>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</si>
  <si>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</si>
  <si>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</si>
  <si>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</si>
  <si>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</si>
  <si>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</si>
  <si>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</si>
  <si>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</si>
  <si>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</si>
  <si>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</si>
  <si>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</si>
  <si>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</si>
  <si>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</si>
  <si>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</si>
  <si>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</si>
  <si>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</si>
  <si>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</si>
  <si>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</si>
  <si>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</si>
  <si>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</si>
  <si>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</si>
  <si>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</si>
  <si>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</si>
  <si>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</si>
  <si>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</si>
  <si>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</si>
  <si>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</si>
  <si>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</si>
  <si>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</si>
  <si>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</si>
  <si>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</si>
  <si>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</si>
  <si>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</si>
  <si>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</si>
  <si>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</si>
  <si>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</si>
  <si>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</si>
  <si>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</si>
  <si>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</si>
  <si>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</si>
  <si>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</si>
  <si>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</si>
  <si>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</si>
  <si>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</si>
  <si>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</si>
  <si>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</si>
  <si>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</si>
  <si>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</si>
  <si>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</si>
  <si>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</si>
  <si>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</si>
  <si>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</si>
  <si>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</si>
  <si>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</si>
  <si>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</si>
  <si>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</si>
  <si>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</si>
  <si>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</si>
  <si>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</si>
  <si>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</si>
  <si>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</si>
  <si>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</si>
  <si>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</si>
  <si>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</si>
  <si>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</si>
  <si>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</si>
  <si>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</si>
  <si>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</si>
  <si>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</si>
  <si>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</si>
  <si>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</si>
  <si>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</si>
  <si>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</si>
  <si>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</si>
  <si>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</si>
  <si>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</si>
  <si>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</si>
  <si>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</si>
  <si>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</si>
  <si>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</si>
  <si>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</si>
  <si>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</si>
  <si>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</si>
  <si>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</si>
  <si>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</si>
  <si>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</si>
  <si>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</si>
  <si>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</si>
  <si>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</si>
  <si>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</si>
  <si>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</si>
  <si>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</si>
  <si>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</si>
  <si>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</si>
  <si>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</si>
  <si>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</si>
  <si>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</si>
  <si>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</si>
  <si>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</si>
  <si>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</si>
  <si>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</si>
  <si>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</si>
  <si>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</si>
  <si>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</si>
  <si>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</si>
  <si>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</si>
  <si>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</si>
  <si>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</si>
  <si>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</si>
  <si>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</si>
  <si>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</si>
  <si>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</si>
  <si>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</si>
  <si>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</si>
  <si>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</si>
  <si>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</si>
  <si>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</si>
  <si>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</si>
  <si>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</si>
  <si>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</si>
  <si>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</si>
  <si>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</si>
  <si>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</si>
  <si>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</si>
  <si>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</si>
  <si>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</si>
  <si>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</si>
  <si>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</si>
  <si>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</si>
  <si>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</si>
  <si>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</si>
  <si>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</si>
  <si>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</si>
  <si>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</si>
  <si>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</si>
  <si>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</si>
  <si>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</si>
  <si>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</si>
  <si>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</si>
  <si>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</si>
  <si>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</si>
  <si>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</si>
  <si>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</si>
  <si>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</si>
  <si>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</si>
  <si>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</si>
  <si>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</si>
  <si>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</si>
  <si>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</si>
  <si>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</si>
  <si>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</si>
  <si>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</si>
  <si>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</si>
  <si>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</si>
  <si>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</si>
  <si>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</si>
  <si>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</si>
  <si>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</si>
  <si>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</si>
  <si>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</si>
  <si>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</si>
  <si>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</si>
  <si>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</si>
  <si>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</si>
  <si>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</si>
  <si>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</si>
  <si>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</si>
  <si>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</si>
  <si>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</si>
  <si>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</si>
  <si>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</si>
  <si>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</si>
  <si>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</si>
  <si>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</si>
  <si>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</si>
  <si>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</si>
  <si>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</si>
  <si>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</si>
  <si>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</si>
  <si>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</si>
  <si>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</si>
  <si>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</si>
  <si>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</si>
  <si>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</si>
  <si>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</si>
  <si>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</si>
  <si>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</si>
  <si>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</si>
  <si>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</si>
  <si>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</si>
  <si>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</si>
  <si>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</si>
  <si>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</si>
  <si>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</si>
  <si>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</si>
  <si>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</si>
  <si>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</si>
  <si>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</si>
  <si>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</si>
  <si>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</si>
  <si>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</si>
  <si>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</si>
  <si>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</si>
  <si>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</si>
  <si>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</si>
  <si>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</si>
  <si>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</si>
  <si>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</si>
  <si>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</si>
  <si>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</si>
  <si>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</si>
  <si>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</si>
  <si>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</si>
  <si>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</si>
  <si>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</si>
  <si>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</si>
  <si>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</si>
  <si>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</si>
  <si>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</si>
  <si>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</si>
  <si>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</si>
  <si>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</si>
  <si>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</si>
  <si>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</si>
  <si>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</si>
  <si>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</si>
  <si>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</si>
  <si>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</si>
  <si>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</si>
  <si>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</si>
  <si>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</si>
  <si>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</si>
  <si>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</si>
  <si>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</si>
  <si>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</si>
  <si>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</si>
  <si>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</si>
  <si>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</si>
  <si>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</si>
  <si>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</si>
  <si>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</si>
  <si>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</si>
  <si>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</si>
  <si>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</si>
  <si>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</si>
  <si>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</si>
  <si>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</si>
  <si>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</si>
  <si>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</si>
  <si>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</si>
  <si>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</si>
  <si>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</si>
  <si>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</si>
  <si>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</si>
  <si>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</si>
  <si>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</si>
  <si>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</si>
  <si>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</si>
  <si>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</si>
  <si>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</si>
  <si>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</si>
  <si>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</si>
  <si>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</si>
  <si>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</si>
  <si>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</si>
  <si>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</si>
  <si>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</si>
  <si>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</si>
  <si>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</si>
  <si>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</si>
  <si>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</si>
  <si>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</si>
  <si>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</si>
  <si>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</si>
  <si>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</si>
  <si>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</si>
  <si>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</si>
  <si>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</si>
  <si>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</si>
  <si>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</si>
  <si>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</si>
  <si>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</si>
  <si>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</si>
  <si>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</si>
  <si>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</si>
  <si>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</si>
  <si>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</si>
  <si>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</si>
  <si>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</si>
  <si>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</si>
  <si>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</si>
  <si>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</si>
  <si>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</si>
  <si>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</si>
  <si>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</si>
  <si>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</si>
  <si>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</si>
  <si>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</si>
  <si>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</si>
  <si>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</si>
  <si>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</si>
  <si>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</si>
  <si>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</si>
  <si>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</si>
  <si>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</si>
  <si>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</si>
  <si>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</si>
  <si>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</si>
  <si>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</si>
  <si>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</si>
  <si>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</si>
  <si>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</si>
  <si>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</si>
  <si>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</si>
  <si>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</si>
  <si>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</si>
  <si>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</si>
  <si>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</si>
  <si>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</si>
  <si>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</si>
  <si>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</si>
  <si>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</si>
  <si>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</si>
  <si>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</si>
  <si>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</si>
  <si>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</si>
  <si>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</si>
  <si>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</si>
  <si>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</si>
  <si>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</si>
  <si>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</si>
  <si>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</si>
  <si>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</si>
  <si>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</si>
  <si>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</si>
  <si>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</si>
  <si>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</si>
  <si>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</si>
  <si>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</si>
  <si>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</si>
  <si>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</si>
  <si>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</si>
  <si>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</si>
  <si>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</si>
  <si>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</si>
  <si>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</si>
  <si>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</si>
  <si>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</si>
  <si>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</si>
  <si>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</si>
  <si>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</si>
  <si>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</si>
  <si>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</si>
  <si>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</si>
  <si>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</si>
  <si>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</si>
  <si>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</si>
  <si>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</si>
  <si>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</si>
  <si>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</si>
  <si>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</si>
  <si>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</si>
  <si>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</si>
  <si>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</si>
  <si>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</si>
  <si>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</si>
  <si>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</si>
  <si>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</si>
  <si>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</si>
  <si>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</si>
  <si>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</si>
  <si>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</si>
  <si>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</si>
  <si>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</si>
  <si>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</si>
  <si>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</si>
  <si>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</si>
  <si>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</si>
  <si>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</si>
  <si>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</si>
  <si>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</si>
  <si>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</si>
  <si>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</si>
  <si>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</si>
  <si>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</si>
  <si>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</si>
  <si>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</si>
  <si>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</si>
  <si>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</si>
  <si>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</si>
  <si>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</si>
  <si>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</si>
  <si>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</si>
  <si>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</si>
  <si>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</si>
  <si>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</si>
  <si>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</si>
  <si>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</si>
  <si>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</si>
  <si>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</si>
  <si>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</si>
  <si>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</si>
  <si>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</si>
  <si>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</si>
  <si>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</si>
  <si>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</si>
  <si>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</si>
  <si>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</si>
  <si>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</si>
  <si>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</si>
  <si>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</si>
  <si>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</si>
  <si>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</si>
  <si>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</si>
  <si>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</si>
  <si>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</si>
  <si>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</si>
  <si>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</si>
  <si>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</si>
  <si>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</si>
  <si>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</si>
  <si>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</si>
  <si>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</si>
  <si>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</si>
  <si>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</si>
  <si>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</si>
  <si>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</si>
  <si>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</si>
  <si>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</si>
  <si>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</si>
  <si>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</si>
  <si>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</si>
  <si>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</si>
  <si>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</si>
  <si>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</si>
  <si>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</si>
  <si>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</si>
  <si>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</si>
  <si>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</si>
  <si>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</si>
  <si>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</si>
  <si>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</si>
  <si>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</si>
  <si>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</si>
  <si>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</si>
  <si>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</si>
  <si>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</si>
  <si>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</si>
  <si>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</si>
  <si>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</si>
  <si>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</si>
  <si>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</si>
  <si>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</si>
  <si>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</si>
  <si>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</si>
  <si>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</si>
  <si>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</si>
  <si>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</si>
  <si>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</si>
  <si>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</si>
  <si>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</si>
  <si>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</si>
  <si>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</si>
  <si>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</si>
  <si>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</si>
  <si>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</si>
  <si>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</si>
  <si>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</si>
  <si>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</si>
  <si>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</si>
  <si>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</si>
  <si>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</si>
  <si>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</si>
  <si>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</si>
  <si>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</si>
  <si>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</si>
  <si>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</si>
  <si>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</si>
  <si>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</si>
  <si>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</si>
  <si>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</si>
  <si>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</si>
  <si>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</si>
  <si>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</si>
  <si>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</si>
  <si>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</si>
  <si>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</si>
  <si>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</si>
  <si>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</si>
  <si>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</si>
  <si>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</si>
  <si>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</si>
  <si>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</si>
  <si>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</si>
  <si>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</si>
  <si>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</si>
  <si>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</si>
  <si>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</si>
  <si>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</si>
  <si>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</si>
  <si>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</si>
  <si>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</si>
  <si>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</si>
  <si>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</si>
  <si>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</si>
  <si>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</si>
  <si>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</si>
  <si>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</si>
  <si>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</si>
  <si>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</si>
  <si>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</si>
  <si>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</si>
  <si>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</si>
  <si>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</si>
  <si>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</si>
  <si>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</si>
  <si>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</si>
  <si>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</si>
  <si>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</si>
  <si>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</si>
  <si>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</si>
  <si>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</si>
  <si>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</si>
  <si>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</si>
  <si>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</si>
  <si>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</si>
  <si>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</si>
  <si>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</si>
  <si>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</si>
  <si>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</si>
  <si>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</si>
  <si>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</si>
  <si>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</si>
  <si>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</si>
  <si>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</si>
  <si>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</si>
  <si>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</si>
  <si>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</si>
  <si>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</si>
  <si>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</si>
  <si>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</si>
  <si>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</si>
  <si>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</si>
  <si>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</si>
  <si>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</si>
  <si>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</si>
  <si>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</si>
  <si>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</si>
  <si>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</si>
  <si>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</si>
  <si>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</si>
  <si>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</si>
  <si>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</si>
  <si>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</si>
  <si>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</si>
  <si>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</si>
  <si>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</si>
  <si>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</si>
  <si>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</si>
  <si>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</si>
  <si>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</si>
  <si>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</si>
  <si>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</si>
  <si>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</si>
  <si>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</si>
  <si>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</si>
  <si>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</si>
  <si>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</si>
  <si>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</si>
  <si>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</si>
  <si>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</si>
  <si>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</si>
  <si>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</si>
  <si>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</si>
  <si>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</si>
  <si>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</si>
  <si>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</si>
  <si>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</si>
  <si>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</si>
  <si>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</si>
  <si>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</si>
  <si>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</si>
  <si>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</si>
  <si>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</si>
  <si>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</si>
  <si>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</si>
  <si>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</si>
  <si>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</si>
  <si>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</si>
  <si>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</si>
  <si>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</si>
  <si>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</si>
  <si>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</si>
  <si>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</si>
  <si>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</si>
  <si>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</si>
  <si>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</si>
  <si>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</si>
  <si>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</si>
  <si>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</si>
  <si>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</si>
  <si>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</si>
  <si>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</si>
  <si>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</si>
  <si>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</si>
  <si>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</si>
  <si>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</si>
  <si>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</si>
  <si>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</si>
  <si>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</si>
  <si>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</si>
  <si>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</si>
  <si>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</si>
  <si>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</si>
  <si>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</si>
  <si>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</si>
  <si>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</si>
  <si>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</si>
  <si>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</si>
  <si>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</si>
  <si>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</si>
  <si>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</si>
  <si>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</si>
  <si>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</si>
  <si>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</si>
  <si>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</si>
  <si>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</si>
  <si>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</si>
  <si>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</si>
  <si>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</si>
  <si>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</si>
  <si>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</si>
  <si>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</si>
  <si>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</si>
  <si>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</si>
  <si>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</si>
  <si>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</si>
  <si>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</si>
  <si>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</si>
  <si>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</si>
  <si>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</si>
  <si>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</si>
  <si>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</si>
  <si>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</si>
  <si>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</si>
  <si>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</si>
  <si>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</si>
  <si>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</si>
  <si>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</si>
  <si>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</si>
  <si>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</si>
  <si>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</si>
  <si>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</si>
  <si>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</si>
  <si>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</si>
  <si>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</si>
  <si>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</si>
  <si>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</si>
  <si>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</si>
  <si>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</si>
  <si>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</si>
  <si>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</si>
  <si>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</si>
  <si>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</si>
  <si>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</si>
  <si>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</si>
  <si>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</si>
  <si>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</si>
  <si>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</si>
  <si>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</si>
  <si>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</si>
  <si>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</si>
  <si>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</si>
  <si>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</si>
  <si>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</si>
  <si>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</si>
  <si>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</si>
  <si>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</si>
  <si>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</si>
  <si>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</si>
  <si>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</si>
  <si>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</si>
  <si>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</si>
  <si>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</si>
  <si>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</si>
  <si>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</si>
  <si>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</si>
  <si>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</si>
  <si>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</si>
  <si>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</si>
  <si>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</si>
  <si>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</si>
  <si>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</si>
  <si>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</si>
  <si>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</si>
  <si>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</si>
  <si>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</si>
  <si>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</si>
  <si>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</si>
  <si>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</si>
  <si>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</si>
  <si>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</si>
  <si>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</si>
  <si>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</si>
  <si>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</si>
  <si>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</si>
  <si>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</si>
  <si>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</si>
  <si>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</si>
  <si>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</si>
  <si>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</si>
  <si>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</si>
  <si>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</si>
  <si>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</si>
  <si>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</si>
  <si>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</si>
  <si>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</si>
  <si>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</si>
  <si>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</si>
  <si>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</si>
  <si>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</si>
  <si>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</si>
  <si>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</si>
  <si>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</si>
  <si>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</si>
  <si>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</si>
  <si>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</si>
  <si>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</si>
  <si>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</si>
  <si>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</si>
  <si>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</si>
  <si>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</si>
  <si>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</si>
  <si>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</si>
  <si>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</si>
  <si>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</si>
  <si>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</si>
  <si>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</si>
  <si>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</si>
  <si>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</si>
  <si>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</si>
  <si>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</si>
  <si>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</si>
  <si>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</si>
  <si>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</si>
  <si>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</si>
  <si>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</si>
  <si>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</si>
  <si>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</si>
  <si>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</si>
  <si>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</si>
  <si>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</si>
  <si>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</si>
  <si>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</si>
  <si>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</si>
  <si>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</si>
  <si>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</si>
  <si>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</si>
  <si>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</si>
  <si>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</si>
  <si>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</si>
  <si>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</si>
  <si>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</si>
  <si>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</si>
  <si>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</si>
  <si>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</si>
  <si>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</si>
  <si>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</si>
  <si>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</si>
  <si>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</si>
  <si>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</si>
  <si>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</si>
  <si>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</si>
  <si>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</si>
  <si>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</si>
  <si>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</si>
  <si>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</si>
  <si>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</si>
  <si>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</si>
  <si>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</si>
  <si>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</si>
  <si>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</si>
  <si>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</si>
  <si>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</si>
  <si>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</si>
  <si>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</si>
  <si>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</si>
  <si>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</si>
  <si>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</si>
  <si>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</si>
  <si>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</si>
  <si>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</si>
  <si>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</si>
  <si>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</si>
  <si>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</si>
  <si>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</si>
  <si>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</si>
  <si>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</si>
  <si>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</si>
  <si>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</si>
  <si>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</si>
  <si>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</si>
  <si>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</si>
  <si>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</si>
  <si>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</si>
  <si>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</si>
  <si>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</si>
  <si>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</si>
  <si>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</si>
  <si>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</si>
  <si>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</si>
  <si>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</si>
  <si>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</si>
  <si>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</si>
  <si>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</si>
  <si>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</si>
  <si>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</si>
  <si>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</si>
  <si>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</si>
  <si>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</si>
  <si>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</si>
  <si>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</si>
  <si>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</si>
  <si>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</si>
  <si>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</si>
  <si>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</si>
  <si>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</si>
  <si>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</si>
  <si>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</si>
  <si>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</si>
  <si>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</si>
  <si>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</si>
  <si>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</si>
  <si>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</si>
  <si>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</si>
  <si>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</si>
  <si>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</si>
  <si>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</si>
  <si>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</si>
  <si>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</si>
  <si>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</si>
  <si>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</si>
  <si>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</si>
  <si>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</si>
  <si>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</si>
  <si>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</si>
  <si>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</si>
  <si>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</si>
  <si>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</si>
  <si>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</si>
  <si>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</si>
  <si>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</si>
  <si>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</si>
  <si>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</si>
  <si>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</si>
  <si>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</si>
  <si>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</si>
  <si>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</si>
  <si>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</si>
  <si>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</si>
  <si>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</si>
  <si>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</si>
  <si>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</si>
  <si>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</si>
  <si>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</si>
  <si>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</si>
  <si>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</si>
  <si>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</si>
  <si>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</si>
  <si>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</si>
  <si>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</si>
  <si>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</si>
  <si>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</si>
  <si>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</si>
  <si>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</si>
  <si>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</si>
  <si>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</si>
  <si>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</si>
  <si>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</si>
  <si>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</si>
  <si>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</si>
  <si>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</si>
  <si>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</si>
  <si>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</si>
  <si>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</si>
  <si>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</si>
  <si>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</si>
  <si>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</si>
  <si>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</si>
  <si>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</si>
  <si>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</si>
  <si>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</si>
  <si>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</si>
  <si>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</si>
  <si>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</si>
  <si>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</si>
  <si>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</si>
  <si>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</si>
  <si>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</si>
  <si>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</si>
  <si>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</si>
  <si>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</si>
  <si>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</si>
  <si>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</si>
  <si>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</si>
  <si>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</si>
  <si>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</si>
  <si>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</si>
  <si>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</si>
  <si>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</si>
  <si>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</si>
  <si>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</si>
  <si>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</si>
  <si>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</si>
  <si>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</si>
  <si>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</si>
  <si>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</si>
  <si>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</si>
  <si>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</si>
  <si>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</si>
  <si>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</si>
  <si>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</si>
  <si>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</si>
  <si>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</si>
  <si>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</si>
  <si>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</si>
  <si>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</si>
  <si>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</si>
  <si>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</si>
  <si>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</si>
  <si>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</si>
  <si>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</si>
  <si>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</si>
  <si>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</si>
  <si>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</si>
  <si>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</si>
  <si>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</si>
  <si>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</si>
  <si>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</si>
  <si>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</si>
  <si>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</si>
  <si>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</si>
  <si>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</si>
  <si>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</si>
  <si>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</si>
  <si>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</si>
  <si>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</si>
  <si>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</si>
  <si>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</si>
  <si>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</si>
  <si>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</si>
  <si>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</si>
  <si>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</si>
  <si>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</si>
  <si>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</si>
  <si>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</si>
  <si>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</si>
  <si>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</si>
  <si>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</si>
  <si>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</si>
  <si>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</si>
  <si>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</si>
  <si>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</si>
  <si>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</si>
  <si>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</si>
  <si>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</si>
  <si>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</si>
  <si>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</si>
  <si>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</si>
  <si>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</si>
  <si>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</si>
  <si>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</si>
  <si>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</si>
  <si>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</si>
  <si>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</si>
  <si>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</si>
  <si>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</si>
  <si>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</si>
  <si>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</si>
  <si>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</si>
  <si>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</si>
  <si>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</si>
  <si>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</si>
  <si>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</si>
  <si>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</si>
  <si>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</si>
  <si>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</si>
  <si>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</si>
  <si>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</si>
  <si>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</si>
  <si>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</si>
  <si>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</si>
  <si>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</si>
  <si>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</si>
  <si>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</si>
  <si>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</si>
  <si>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</si>
  <si>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</si>
  <si>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</si>
  <si>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</si>
  <si>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</si>
  <si>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</si>
  <si>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</si>
  <si>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</si>
  <si>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</si>
  <si>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</si>
  <si>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</si>
  <si>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</si>
  <si>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</si>
  <si>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</si>
  <si>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</si>
  <si>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</si>
  <si>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</si>
  <si>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</si>
  <si>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</si>
  <si>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</si>
  <si>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</si>
  <si>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</si>
  <si>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</si>
  <si>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</si>
  <si>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</si>
  <si>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</si>
  <si>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</si>
  <si>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</si>
  <si>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</si>
  <si>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</si>
  <si>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</si>
  <si>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</si>
  <si>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</si>
  <si>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</si>
  <si>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</si>
  <si>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</si>
  <si>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</si>
  <si>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</si>
  <si>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</si>
  <si>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</si>
  <si>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</si>
  <si>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</si>
  <si>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</si>
  <si>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</si>
  <si>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</si>
  <si>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</si>
  <si>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</si>
  <si>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</si>
  <si>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</si>
  <si>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</si>
  <si>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</si>
  <si>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</si>
  <si>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</si>
  <si>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</si>
  <si>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</si>
  <si>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</si>
  <si>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</si>
  <si>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</si>
  <si>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</si>
  <si>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</si>
  <si>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</si>
  <si>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</si>
  <si>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</si>
  <si>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</si>
  <si>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</si>
  <si>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</si>
  <si>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</si>
  <si>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</si>
  <si>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</si>
  <si>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</si>
  <si>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</si>
  <si>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</si>
  <si>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</si>
  <si>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</si>
  <si>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</si>
  <si>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</si>
  <si>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</si>
  <si>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</si>
  <si>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</si>
  <si>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</si>
  <si>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</si>
  <si>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</si>
  <si>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</si>
  <si>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</si>
  <si>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</si>
  <si>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</si>
  <si>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</si>
  <si>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</si>
  <si>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</si>
  <si>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</si>
  <si>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</si>
  <si>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</si>
  <si>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</si>
  <si>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</si>
  <si>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</si>
  <si>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</si>
  <si>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</si>
  <si>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</si>
  <si>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</si>
  <si>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</si>
  <si>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</si>
  <si>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</si>
  <si>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</si>
  <si>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</si>
  <si>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</si>
  <si>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</si>
  <si>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</si>
  <si>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</si>
  <si>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</si>
  <si>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</si>
  <si>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</si>
  <si>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</si>
  <si>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</si>
  <si>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</si>
  <si>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</si>
  <si>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</si>
  <si>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</si>
  <si>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</si>
  <si>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</si>
  <si>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</si>
  <si>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</si>
  <si>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</si>
  <si>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</si>
  <si>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</si>
  <si>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</si>
  <si>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</si>
  <si>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</si>
  <si>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</si>
  <si>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</si>
  <si>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</si>
  <si>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</si>
  <si>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</si>
  <si>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</si>
  <si>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</si>
  <si>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</si>
  <si>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</si>
  <si>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</si>
  <si>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</si>
  <si>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</si>
  <si>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</si>
  <si>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</si>
  <si>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</si>
  <si>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</si>
  <si>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</si>
  <si>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</si>
  <si>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</si>
  <si>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</si>
  <si>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</si>
  <si>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</si>
  <si>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</si>
  <si>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</si>
  <si>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</si>
  <si>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</si>
  <si>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</si>
  <si>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</si>
  <si>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</si>
  <si>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</si>
  <si>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</si>
  <si>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</si>
  <si>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</si>
  <si>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</si>
  <si>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</si>
  <si>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</si>
  <si>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</si>
  <si>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</si>
  <si>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</si>
  <si>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</si>
  <si>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</si>
  <si>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</si>
  <si>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</si>
  <si>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</si>
  <si>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</si>
  <si>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</si>
  <si>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</si>
  <si>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</si>
  <si>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</si>
  <si>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</si>
  <si>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</si>
  <si>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</si>
  <si>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</si>
  <si>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</si>
  <si>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</si>
  <si>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</si>
  <si>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</si>
  <si>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</si>
  <si>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</si>
  <si>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</si>
  <si>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</si>
  <si>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</si>
  <si>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</si>
  <si>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</si>
  <si>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</si>
  <si>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</si>
  <si>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</si>
  <si>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</si>
  <si>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</si>
  <si>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</si>
  <si>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</si>
  <si>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</si>
  <si>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</si>
  <si>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</si>
  <si>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</si>
  <si>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</si>
  <si>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</si>
  <si>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</si>
  <si>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</si>
  <si>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</si>
  <si>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</si>
  <si>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</si>
  <si>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</si>
  <si>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</si>
  <si>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</si>
  <si>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</si>
  <si>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</si>
  <si>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</si>
  <si>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</si>
  <si>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</si>
  <si>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</si>
  <si>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</si>
  <si>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</si>
  <si>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</si>
  <si>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</si>
  <si>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</si>
  <si>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</si>
  <si>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</si>
  <si>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</si>
  <si>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</si>
  <si>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</si>
  <si>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</si>
  <si>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</si>
  <si>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</si>
  <si>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</si>
  <si>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</si>
  <si>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</si>
  <si>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</si>
  <si>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</si>
  <si>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</si>
  <si>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</si>
  <si>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</si>
  <si>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</si>
  <si>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</si>
  <si>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</si>
  <si>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</si>
  <si>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</si>
  <si>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</si>
  <si>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</si>
  <si>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</si>
  <si>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</si>
  <si>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</si>
  <si>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</si>
  <si>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</si>
  <si>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</si>
  <si>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</si>
  <si>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</si>
  <si>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</si>
  <si>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</si>
  <si>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</si>
  <si>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</si>
  <si>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</si>
  <si>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</si>
  <si>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</si>
  <si>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</si>
  <si>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</si>
  <si>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</si>
  <si>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</si>
  <si>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</si>
  <si>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</si>
  <si>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</si>
  <si>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</si>
  <si>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</si>
  <si>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</si>
  <si>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</si>
  <si>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</si>
  <si>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</si>
  <si>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</si>
  <si>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</si>
  <si>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</si>
  <si>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</si>
  <si>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</si>
  <si>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</si>
  <si>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</si>
  <si>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</si>
  <si>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</si>
  <si>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</si>
  <si>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</si>
  <si>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</si>
  <si>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</si>
  <si>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</si>
  <si>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</si>
  <si>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</si>
  <si>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</si>
  <si>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</si>
  <si>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</si>
  <si>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</si>
  <si>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</si>
  <si>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</si>
  <si>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</si>
  <si>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</si>
  <si>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</si>
  <si>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</si>
  <si>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</si>
  <si>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</si>
  <si>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</si>
  <si>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</si>
  <si>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</si>
  <si>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</si>
  <si>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</si>
  <si>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</si>
  <si>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</si>
  <si>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</si>
  <si>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</si>
  <si>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</si>
  <si>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</si>
  <si>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</si>
  <si>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</si>
  <si>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</si>
  <si>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</si>
  <si>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</si>
  <si>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</si>
  <si>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</si>
  <si>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</si>
  <si>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</si>
  <si>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</si>
  <si>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</si>
  <si>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</si>
  <si>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</si>
  <si>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</si>
  <si>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</si>
  <si>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</si>
  <si>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</si>
  <si>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</si>
  <si>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</si>
  <si>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</si>
  <si>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</si>
  <si>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</si>
  <si>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</si>
  <si>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</si>
  <si>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</si>
  <si>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</si>
  <si>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</si>
  <si>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</si>
  <si>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</si>
  <si>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</si>
  <si>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</si>
  <si>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</si>
  <si>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</si>
  <si>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</si>
  <si>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</si>
  <si>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</si>
  <si>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</si>
  <si>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</si>
  <si>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</si>
  <si>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</si>
  <si>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</si>
  <si>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</si>
  <si>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</si>
  <si>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</si>
  <si>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</si>
  <si>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</si>
  <si>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</si>
  <si>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</si>
  <si>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</si>
  <si>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</si>
  <si>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</si>
  <si>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</si>
  <si>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</si>
  <si>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</si>
  <si>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</si>
  <si>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</si>
  <si>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</si>
  <si>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</si>
  <si>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</si>
  <si>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</si>
  <si>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</si>
  <si>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</si>
  <si>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</si>
  <si>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</si>
  <si>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</si>
  <si>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</si>
  <si>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</si>
  <si>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</si>
  <si>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</si>
  <si>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</si>
  <si>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</si>
  <si>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</si>
  <si>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</si>
  <si>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</si>
  <si>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</si>
  <si>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</si>
  <si>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</si>
  <si>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</si>
  <si>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</si>
  <si>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</si>
  <si>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</si>
  <si>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</si>
  <si>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</si>
  <si>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</si>
  <si>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</si>
  <si>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</si>
  <si>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</si>
  <si>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</si>
  <si>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</si>
  <si>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</si>
  <si>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</si>
  <si>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</si>
  <si>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</si>
  <si>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</si>
  <si>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</si>
  <si>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</si>
  <si>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</si>
  <si>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</si>
  <si>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</si>
  <si>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</si>
  <si>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</si>
  <si>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</si>
  <si>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</si>
  <si>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</si>
  <si>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</si>
  <si>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</si>
  <si>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</si>
  <si>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</si>
  <si>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</si>
  <si>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</si>
  <si>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</si>
  <si>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</si>
  <si>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</si>
  <si>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</si>
  <si>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</si>
  <si>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</si>
  <si>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</si>
  <si>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</si>
  <si>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</si>
  <si>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</si>
  <si>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</si>
  <si>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</si>
  <si>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</si>
  <si>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</si>
  <si>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</si>
  <si>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</si>
  <si>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</si>
  <si>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</si>
  <si>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</si>
  <si>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</si>
  <si>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</si>
  <si>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</si>
  <si>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</si>
  <si>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</si>
  <si>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</si>
  <si>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</si>
  <si>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</si>
  <si>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</si>
  <si>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</si>
  <si>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</si>
  <si>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</si>
  <si>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</si>
  <si>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</si>
  <si>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</si>
  <si>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</si>
  <si>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</si>
  <si>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</si>
  <si>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</si>
  <si>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</si>
  <si>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</si>
  <si>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</si>
  <si>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</si>
  <si>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</si>
  <si>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</si>
  <si>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</si>
  <si>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</si>
  <si>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</si>
  <si>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</si>
  <si>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</si>
  <si>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</si>
  <si>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</si>
  <si>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</si>
  <si>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</si>
  <si>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</si>
  <si>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</si>
  <si>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</si>
  <si>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</si>
  <si>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</si>
  <si>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</si>
  <si>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</si>
  <si>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</si>
  <si>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</si>
  <si>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</si>
  <si>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</si>
  <si>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</si>
  <si>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</si>
  <si>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</si>
  <si>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</si>
  <si>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</si>
  <si>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</si>
  <si>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</si>
  <si>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</si>
  <si>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</si>
  <si>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</si>
  <si>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</si>
  <si>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</si>
  <si>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</si>
  <si>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</si>
  <si>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</si>
  <si>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</si>
  <si>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</si>
  <si>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</si>
  <si>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</si>
  <si>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</si>
  <si>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</si>
  <si>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</si>
  <si>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</si>
  <si>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</si>
  <si>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</si>
  <si>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</si>
  <si>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</si>
  <si>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</si>
  <si>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</si>
  <si>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</si>
  <si>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</si>
  <si>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</si>
  <si>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</si>
  <si>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</si>
  <si>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</si>
  <si>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</si>
  <si>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</si>
  <si>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</si>
  <si>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</si>
  <si>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</si>
  <si>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</si>
  <si>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</si>
  <si>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</si>
  <si>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</si>
  <si>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</si>
  <si>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</si>
  <si>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</si>
  <si>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</si>
  <si>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</si>
  <si>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</si>
  <si>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</si>
  <si>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</si>
  <si>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</si>
  <si>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</si>
  <si>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</si>
  <si>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</si>
  <si>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</si>
  <si>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</si>
  <si>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</si>
  <si>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</si>
  <si>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</si>
  <si>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</si>
  <si>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</si>
  <si>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</si>
  <si>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</si>
  <si>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</si>
  <si>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</si>
  <si>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</si>
  <si>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</si>
  <si>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</si>
  <si>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</si>
  <si>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</si>
  <si>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</si>
  <si>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</si>
  <si>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</si>
  <si>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</si>
  <si>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</si>
  <si>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</si>
  <si>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</si>
  <si>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</si>
  <si>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</si>
  <si>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</si>
  <si>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</si>
  <si>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</si>
  <si>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</si>
  <si>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</si>
  <si>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</si>
  <si>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</si>
  <si>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</si>
  <si>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</si>
  <si>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</si>
  <si>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</si>
  <si>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</si>
  <si>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</si>
  <si>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</si>
  <si>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</si>
  <si>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</si>
  <si>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</si>
  <si>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</si>
  <si>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</si>
  <si>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</si>
  <si>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</si>
  <si>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</si>
  <si>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</si>
  <si>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</si>
  <si>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</si>
  <si>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</si>
  <si>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</si>
  <si>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</si>
  <si>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</si>
  <si>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</si>
  <si>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</si>
  <si>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</si>
  <si>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</si>
  <si>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</si>
  <si>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</si>
  <si>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</si>
  <si>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</si>
  <si>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</si>
  <si>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</si>
  <si>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</si>
  <si>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</si>
  <si>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</si>
  <si>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</si>
  <si>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</si>
  <si>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</si>
  <si>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</si>
  <si>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</si>
  <si>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</si>
  <si>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</si>
  <si>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</si>
  <si>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</si>
  <si>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</si>
  <si>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</si>
  <si>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</si>
  <si>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</si>
  <si>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</si>
  <si>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</si>
  <si>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</si>
  <si>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</si>
  <si>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</si>
  <si>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</si>
  <si>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</si>
  <si>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</si>
  <si>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</si>
  <si>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</si>
  <si>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</si>
  <si>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</si>
  <si>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</si>
  <si>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</si>
  <si>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</si>
  <si>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</si>
  <si>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</si>
  <si>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</si>
  <si>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</si>
  <si>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</si>
  <si>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</si>
  <si>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</si>
  <si>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</si>
  <si>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</si>
  <si>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</si>
  <si>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</si>
  <si>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</si>
  <si>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</si>
  <si>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</si>
  <si>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</si>
  <si>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</si>
  <si>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</si>
  <si>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</si>
  <si>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</si>
  <si>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</si>
  <si>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</si>
  <si>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</si>
  <si>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</si>
  <si>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</si>
  <si>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</si>
  <si>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</si>
  <si>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</si>
  <si>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</si>
  <si>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</si>
  <si>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</si>
  <si>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</si>
  <si>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</si>
  <si>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</si>
  <si>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</si>
  <si>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</si>
  <si>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</si>
  <si>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</si>
  <si>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</si>
  <si>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</si>
  <si>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</si>
  <si>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</si>
  <si>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</si>
  <si>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</si>
  <si>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</si>
  <si>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</si>
  <si>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</si>
  <si>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</si>
  <si>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</si>
  <si>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</si>
  <si>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</si>
  <si>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</si>
  <si>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</si>
  <si>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</si>
  <si>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</si>
  <si>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</si>
  <si>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</si>
  <si>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</si>
  <si>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</si>
  <si>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</si>
  <si>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</si>
  <si>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</si>
  <si>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</si>
  <si>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</si>
  <si>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</si>
  <si>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</si>
  <si>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</si>
  <si>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</si>
  <si>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</si>
  <si>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</si>
  <si>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</si>
  <si>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</si>
  <si>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</si>
  <si>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</si>
  <si>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</si>
  <si>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</si>
  <si>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</si>
  <si>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</si>
  <si>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</si>
  <si>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</si>
  <si>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</si>
  <si>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</si>
  <si>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</si>
  <si>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</si>
  <si>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</si>
  <si>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</si>
  <si>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</si>
  <si>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</si>
  <si>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</si>
  <si>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</si>
  <si>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</si>
  <si>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</si>
  <si>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</si>
  <si>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</si>
  <si>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</si>
  <si>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</si>
  <si>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</si>
  <si>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</si>
  <si>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</si>
  <si>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</si>
  <si>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</si>
  <si>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</si>
  <si>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</si>
  <si>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</si>
  <si>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</si>
  <si>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</si>
  <si>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</si>
  <si>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</si>
  <si>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</si>
  <si>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</si>
  <si>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</si>
  <si>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</si>
  <si>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</si>
  <si>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</si>
  <si>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</si>
  <si>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</si>
  <si>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</si>
  <si>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</si>
  <si>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</si>
  <si>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</si>
  <si>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</si>
  <si>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</si>
  <si>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</si>
  <si>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</si>
  <si>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</si>
  <si>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</si>
  <si>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</si>
  <si>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</si>
  <si>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</si>
  <si>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</si>
  <si>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</si>
  <si>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</si>
  <si>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</si>
  <si>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</si>
  <si>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</si>
  <si>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</si>
  <si>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</si>
  <si>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</si>
  <si>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</si>
  <si>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</si>
  <si>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</si>
  <si>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</si>
  <si>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</si>
  <si>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</si>
  <si>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</si>
  <si>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</si>
  <si>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</si>
  <si>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</si>
  <si>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</si>
  <si>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</si>
  <si>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</si>
  <si>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</si>
  <si>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</si>
  <si>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</si>
  <si>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</si>
  <si>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</si>
  <si>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</si>
  <si>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</si>
  <si>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</si>
  <si>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</si>
  <si>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</si>
  <si>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</si>
  <si>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</si>
  <si>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</si>
  <si>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</si>
  <si>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</si>
  <si>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</si>
  <si>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</si>
  <si>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</si>
  <si>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</si>
  <si>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</si>
  <si>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</si>
  <si>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</si>
  <si>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</si>
  <si>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</si>
  <si>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</si>
  <si>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</si>
  <si>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</si>
  <si>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</si>
  <si>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</si>
  <si>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</si>
  <si>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</si>
  <si>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</si>
  <si>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</si>
  <si>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</si>
  <si>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</si>
  <si>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</si>
  <si>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</si>
  <si>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</si>
  <si>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</si>
  <si>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</si>
  <si>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</si>
  <si>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</si>
  <si>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</si>
  <si>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</si>
  <si>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</si>
  <si>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</si>
  <si>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</si>
  <si>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</si>
  <si>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</si>
  <si>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</si>
  <si>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</si>
  <si>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</si>
  <si>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</si>
  <si>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</si>
  <si>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</si>
  <si>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</si>
  <si>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</si>
  <si>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</si>
  <si>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</si>
  <si>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</si>
  <si>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</si>
  <si>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</si>
  <si>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</si>
  <si>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</si>
  <si>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</si>
  <si>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</si>
  <si>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</si>
  <si>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</si>
  <si>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</si>
  <si>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</si>
  <si>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</si>
  <si>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</si>
  <si>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</si>
  <si>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</si>
  <si>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</si>
  <si>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</si>
  <si>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</si>
  <si>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</si>
  <si>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</si>
  <si>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</si>
  <si>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</si>
  <si>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</si>
  <si>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</si>
  <si>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</si>
  <si>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</si>
  <si>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</si>
  <si>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</si>
  <si>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</si>
  <si>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</si>
  <si>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</si>
  <si>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</si>
  <si>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</si>
  <si>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</si>
  <si>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</si>
  <si>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</si>
  <si>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</si>
  <si>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</si>
  <si>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</si>
  <si>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</si>
  <si>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</si>
  <si>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</si>
  <si>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</si>
  <si>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</si>
  <si>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</si>
  <si>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</si>
  <si>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</si>
  <si>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</si>
  <si>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</si>
  <si>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</si>
  <si>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</si>
  <si>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</si>
  <si>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</si>
  <si>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</si>
  <si>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</si>
  <si>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</si>
  <si>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</si>
  <si>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</si>
  <si>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</si>
  <si>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</si>
  <si>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</si>
  <si>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</si>
  <si>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</si>
  <si>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</si>
  <si>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</si>
  <si>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</si>
  <si>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</si>
  <si>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</si>
  <si>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</si>
  <si>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</si>
  <si>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</si>
  <si>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</si>
  <si>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</si>
  <si>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</si>
  <si>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</si>
  <si>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</si>
  <si>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</si>
  <si>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</si>
  <si>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</si>
  <si>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</si>
  <si>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</si>
  <si>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</si>
  <si>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</si>
  <si>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</si>
  <si>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</si>
  <si>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</si>
  <si>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</si>
  <si>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</si>
  <si>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</si>
  <si>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</si>
  <si>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</si>
  <si>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</si>
  <si>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</si>
  <si>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</si>
  <si>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</si>
  <si>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</si>
  <si>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</si>
  <si>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</si>
  <si>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</si>
  <si>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</si>
  <si>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</si>
  <si>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</si>
  <si>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</si>
  <si>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</si>
  <si>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</si>
  <si>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</si>
  <si>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</si>
  <si>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</si>
  <si>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</si>
  <si>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</si>
  <si>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</si>
  <si>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</si>
  <si>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</si>
  <si>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</si>
  <si>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</si>
  <si>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</si>
  <si>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</si>
  <si>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</si>
  <si>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</si>
  <si>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</si>
  <si>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</si>
  <si>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</si>
  <si>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</si>
  <si>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</si>
  <si>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</si>
  <si>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</si>
  <si>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</si>
  <si>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</si>
  <si>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</si>
  <si>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</si>
  <si>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</si>
  <si>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</si>
  <si>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</si>
  <si>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</si>
  <si>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</si>
  <si>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</si>
  <si>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</si>
  <si>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</si>
  <si>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</si>
  <si>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</si>
  <si>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</si>
  <si>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</si>
  <si>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</si>
  <si>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</si>
  <si>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</si>
  <si>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</si>
  <si>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</si>
  <si>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</si>
  <si>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</si>
  <si>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</si>
  <si>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</si>
  <si>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</si>
  <si>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</si>
  <si>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</si>
  <si>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</si>
  <si>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</si>
  <si>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</si>
  <si>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</si>
  <si>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</si>
  <si>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</si>
  <si>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</si>
  <si>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</si>
  <si>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</si>
  <si>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</si>
  <si>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</si>
  <si>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</si>
  <si>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</si>
  <si>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</si>
  <si>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</si>
  <si>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</si>
  <si>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</si>
  <si>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</si>
  <si>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</si>
  <si>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</si>
  <si>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</si>
  <si>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</si>
  <si>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</si>
  <si>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</si>
  <si>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</si>
  <si>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</si>
  <si>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</si>
  <si>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</si>
  <si>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</si>
  <si>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</si>
  <si>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</si>
  <si>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</si>
  <si>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</si>
  <si>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</si>
  <si>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</si>
  <si>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</si>
  <si>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</si>
  <si>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</si>
  <si>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</si>
  <si>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</si>
  <si>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</si>
  <si>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</si>
  <si>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</si>
  <si>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</si>
  <si>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</si>
  <si>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</si>
  <si>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</si>
  <si>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</si>
  <si>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</si>
  <si>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</si>
  <si>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</si>
  <si>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</si>
  <si>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</si>
  <si>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</si>
  <si>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</si>
  <si>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</si>
  <si>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</si>
  <si>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</si>
  <si>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</si>
  <si>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</si>
  <si>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</si>
  <si>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</si>
  <si>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</si>
  <si>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</si>
  <si>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</si>
  <si>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</si>
  <si>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</si>
  <si>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</si>
  <si>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</si>
  <si>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</si>
  <si>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</si>
  <si>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</si>
  <si>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</si>
  <si>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</si>
  <si>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</si>
  <si>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</si>
  <si>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</si>
  <si>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</si>
  <si>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</si>
  <si>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</si>
  <si>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</si>
  <si>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</si>
  <si>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</si>
  <si>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</si>
  <si>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</si>
  <si>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</si>
  <si>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</si>
  <si>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</si>
  <si>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</si>
  <si>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</si>
  <si>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</si>
  <si>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</si>
  <si>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</si>
  <si>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</si>
  <si>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</si>
  <si>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</si>
  <si>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</si>
  <si>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</si>
  <si>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</si>
  <si>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</si>
  <si>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</si>
  <si>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</si>
  <si>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</si>
  <si>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</si>
  <si>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</si>
  <si>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</si>
  <si>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</si>
  <si>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</si>
  <si>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</si>
  <si>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</si>
  <si>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</si>
  <si>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</si>
  <si>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</si>
  <si>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</si>
  <si>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</si>
  <si>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</si>
  <si>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</si>
  <si>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</si>
  <si>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</si>
  <si>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</si>
  <si>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</si>
  <si>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</si>
  <si>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</si>
  <si>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</si>
  <si>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</si>
  <si>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</si>
  <si>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</si>
  <si>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</si>
  <si>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</si>
  <si>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</si>
  <si>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</si>
  <si>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</si>
  <si>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</si>
  <si>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</si>
  <si>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</si>
  <si>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</si>
  <si>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</si>
  <si>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</si>
  <si>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</si>
  <si>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</si>
  <si>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</si>
  <si>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</si>
  <si>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</si>
  <si>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</si>
  <si>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</si>
  <si>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</si>
  <si>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</si>
  <si>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</si>
  <si>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</si>
  <si>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</si>
  <si>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</si>
  <si>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</si>
  <si>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</si>
  <si>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</si>
  <si>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</si>
  <si>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</si>
  <si>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</si>
  <si>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</si>
  <si>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</si>
  <si>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</si>
  <si>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</si>
  <si>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</si>
  <si>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</si>
  <si>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</si>
  <si>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</si>
  <si>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</si>
  <si>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</si>
  <si>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</si>
  <si>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</si>
  <si>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</si>
  <si>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</si>
  <si>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</si>
  <si>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</si>
  <si>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</si>
  <si>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</si>
  <si>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</si>
  <si>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</si>
  <si>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</si>
  <si>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</si>
  <si>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</si>
  <si>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</si>
  <si>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</si>
  <si>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</si>
  <si>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</si>
  <si>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</si>
  <si>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</si>
  <si>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</si>
  <si>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</si>
  <si>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</si>
  <si>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</si>
  <si>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</si>
  <si>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</si>
  <si>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</si>
  <si>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</si>
  <si>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</si>
  <si>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</si>
  <si>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</si>
  <si>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</si>
  <si>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</si>
  <si>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</si>
  <si>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</si>
  <si>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</si>
  <si>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</si>
  <si>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</si>
  <si>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</si>
  <si>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</si>
  <si>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</si>
  <si>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</si>
  <si>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</si>
  <si>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</si>
  <si>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</si>
  <si>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</si>
  <si>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</si>
  <si>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</si>
  <si>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</si>
  <si>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</si>
  <si>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</si>
  <si>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</si>
  <si>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</si>
  <si>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</si>
  <si>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</si>
  <si>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</si>
  <si>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</si>
  <si>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</si>
  <si>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</si>
  <si>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</si>
  <si>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</si>
  <si>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</si>
  <si>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</si>
  <si>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</si>
  <si>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</si>
  <si>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</si>
  <si>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</si>
  <si>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</si>
  <si>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</si>
  <si>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</si>
  <si>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</si>
  <si>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</si>
  <si>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</si>
  <si>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</si>
  <si>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</si>
  <si>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</si>
  <si>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</si>
  <si>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</si>
  <si>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</si>
  <si>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</si>
  <si>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</si>
  <si>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</si>
  <si>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</si>
  <si>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</si>
  <si>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</si>
  <si>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</si>
  <si>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</si>
  <si>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</si>
  <si>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</si>
  <si>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</si>
  <si>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</si>
  <si>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</si>
  <si>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</si>
  <si>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</si>
  <si>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</si>
  <si>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</si>
  <si>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</si>
  <si>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</si>
  <si>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</si>
  <si>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</si>
  <si>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</si>
  <si>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</si>
  <si>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</si>
  <si>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</si>
  <si>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</si>
  <si>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</si>
  <si>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</si>
  <si>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</si>
  <si>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</si>
  <si>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</si>
  <si>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</si>
  <si>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</si>
  <si>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</si>
  <si>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</si>
  <si>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</si>
  <si>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</si>
  <si>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</si>
  <si>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</si>
  <si>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</si>
  <si>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</si>
  <si>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</si>
  <si>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</si>
  <si>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</si>
  <si>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</si>
  <si>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</si>
  <si>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</si>
  <si>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</si>
  <si>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</si>
  <si>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</si>
  <si>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</si>
  <si>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</si>
  <si>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</si>
  <si>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</si>
  <si>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</si>
  <si>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</si>
  <si>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</si>
  <si>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</si>
  <si>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</si>
  <si>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</si>
  <si>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</si>
  <si>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</si>
  <si>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</si>
  <si>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</si>
  <si>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</si>
  <si>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</si>
  <si>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</si>
  <si>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</si>
  <si>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</si>
  <si>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</si>
  <si>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</si>
  <si>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</si>
  <si>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</si>
  <si>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</si>
  <si>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</si>
  <si>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</si>
  <si>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</si>
  <si>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</si>
  <si>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</si>
  <si>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</si>
  <si>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</si>
  <si>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</si>
  <si>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</si>
  <si>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</si>
  <si>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</si>
  <si>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</si>
  <si>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</si>
  <si>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</si>
  <si>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</si>
  <si>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</si>
  <si>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</si>
  <si>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</si>
  <si>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</si>
  <si>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</si>
  <si>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</si>
  <si>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</si>
  <si>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</si>
  <si>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</si>
  <si>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</si>
  <si>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</si>
  <si>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</si>
  <si>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</si>
  <si>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</si>
  <si>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</si>
  <si>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</si>
  <si>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</si>
  <si>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</si>
  <si>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</si>
  <si>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</si>
  <si>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</si>
  <si>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</si>
  <si>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</si>
  <si>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</si>
  <si>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</si>
  <si>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</si>
  <si>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</si>
  <si>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</si>
  <si>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</si>
  <si>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</si>
  <si>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</si>
  <si>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</si>
  <si>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</si>
  <si>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</si>
  <si>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</si>
  <si>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</si>
  <si>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</si>
  <si>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</si>
  <si>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</si>
  <si>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</si>
  <si>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</si>
  <si>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</si>
  <si>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</si>
  <si>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</si>
  <si>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</si>
  <si>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</si>
  <si>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</si>
  <si>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</si>
  <si>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</si>
  <si>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</si>
  <si>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</si>
  <si>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</si>
  <si>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</si>
  <si>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</si>
  <si>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</si>
  <si>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</si>
  <si>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</si>
  <si>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</si>
  <si>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</si>
  <si>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</si>
  <si>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</si>
  <si>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</si>
  <si>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</si>
  <si>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</si>
  <si>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</si>
  <si>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</si>
  <si>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</si>
  <si>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</si>
  <si>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</si>
  <si>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</si>
  <si>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</si>
  <si>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</si>
  <si>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</si>
  <si>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</si>
  <si>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</si>
  <si>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</si>
  <si>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</si>
  <si>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</si>
  <si>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</si>
  <si>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</si>
  <si>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</si>
  <si>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</si>
  <si>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</si>
  <si>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</si>
  <si>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</si>
  <si>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</si>
  <si>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</si>
  <si>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</si>
  <si>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</si>
  <si>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</si>
  <si>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</si>
  <si>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</si>
  <si>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</si>
  <si>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</si>
  <si>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</si>
  <si>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</si>
  <si>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</si>
  <si>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</si>
  <si>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</si>
  <si>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</si>
  <si>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</si>
  <si>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</si>
  <si>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</si>
  <si>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</si>
  <si>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</si>
  <si>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</si>
  <si>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</si>
  <si>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</si>
  <si>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</si>
  <si>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</si>
  <si>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</si>
  <si>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</si>
  <si>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</si>
  <si>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</si>
  <si>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</si>
  <si>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</si>
  <si>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</si>
  <si>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</si>
  <si>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</si>
  <si>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</si>
  <si>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</si>
  <si>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</si>
  <si>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</si>
  <si>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</si>
  <si>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</si>
  <si>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</si>
  <si>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</si>
  <si>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</si>
  <si>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</si>
  <si>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</si>
  <si>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</si>
  <si>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</si>
  <si>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</si>
  <si>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</si>
  <si>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</si>
  <si>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</si>
  <si>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</si>
  <si>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</si>
  <si>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</si>
  <si>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</si>
  <si>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</si>
  <si>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</si>
  <si>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</si>
  <si>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</si>
  <si>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</si>
  <si>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</si>
  <si>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</si>
  <si>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</si>
  <si>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</si>
  <si>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</si>
  <si>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</si>
  <si>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</si>
  <si>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</si>
  <si>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</si>
  <si>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</si>
  <si>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</si>
  <si>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</si>
  <si>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</si>
  <si>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</si>
  <si>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</si>
  <si>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</si>
  <si>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</si>
  <si>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</si>
  <si>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</si>
  <si>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</si>
  <si>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</si>
  <si>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</si>
  <si>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</si>
  <si>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</si>
  <si>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</si>
  <si>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</si>
  <si>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</si>
  <si>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</si>
  <si>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</si>
  <si>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</si>
  <si>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</si>
  <si>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</si>
  <si>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</si>
  <si>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</si>
  <si>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</si>
  <si>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</si>
  <si>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</si>
  <si>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</si>
  <si>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</si>
  <si>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</si>
  <si>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</si>
  <si>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</si>
  <si>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</si>
  <si>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</si>
  <si>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</si>
  <si>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</si>
  <si>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</si>
  <si>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</si>
  <si>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</si>
  <si>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</si>
  <si>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</si>
  <si>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</si>
  <si>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</si>
  <si>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</si>
  <si>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</si>
  <si>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</si>
  <si>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</si>
  <si>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</si>
  <si>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</si>
  <si>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</si>
  <si>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</si>
  <si>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</si>
  <si>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</si>
  <si>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</si>
  <si>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</si>
  <si>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</si>
  <si>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</si>
  <si>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</si>
  <si>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</si>
  <si>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</si>
  <si>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</si>
  <si>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</si>
  <si>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</si>
  <si>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</si>
  <si>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</si>
  <si>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</si>
  <si>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</si>
  <si>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</si>
  <si>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</si>
  <si>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</si>
  <si>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</si>
  <si>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</si>
  <si>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</si>
  <si>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</si>
  <si>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</si>
  <si>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</si>
  <si>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</si>
  <si>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</si>
  <si>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</si>
  <si>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</si>
  <si>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</si>
  <si>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</si>
  <si>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</si>
  <si>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</si>
  <si>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</si>
  <si>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</si>
  <si>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</si>
  <si>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</si>
  <si>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</si>
  <si>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</si>
  <si>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</si>
  <si>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</si>
  <si>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</si>
  <si>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</si>
  <si>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</si>
  <si>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</si>
  <si>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</si>
  <si>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</si>
  <si>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</si>
  <si>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</si>
  <si>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</si>
  <si>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</si>
  <si>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</si>
  <si>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</si>
  <si>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</si>
  <si>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</si>
  <si>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</si>
  <si>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</si>
  <si>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</si>
  <si>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</si>
  <si>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</si>
  <si>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</si>
  <si>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</si>
  <si>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</si>
  <si>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</si>
  <si>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</si>
  <si>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</si>
  <si>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</si>
  <si>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</si>
  <si>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</si>
  <si>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</si>
  <si>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</si>
  <si>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</si>
  <si>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</si>
  <si>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</si>
  <si>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</si>
  <si>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</si>
  <si>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</si>
  <si>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</si>
  <si>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</si>
  <si>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</si>
  <si>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</si>
  <si>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</si>
  <si>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</si>
  <si>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</si>
  <si>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</si>
  <si>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</si>
  <si>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</si>
  <si>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</si>
  <si>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</si>
  <si>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</si>
  <si>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</si>
  <si>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</si>
  <si>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</si>
  <si>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</si>
  <si>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</si>
  <si>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</si>
  <si>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</si>
  <si>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</si>
  <si>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</si>
  <si>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</si>
  <si>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</si>
  <si>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</si>
  <si>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</si>
  <si>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</si>
  <si>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</si>
  <si>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</si>
  <si>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</si>
  <si>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</si>
  <si>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</si>
  <si>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</si>
  <si>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</si>
  <si>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</si>
  <si>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</si>
  <si>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</si>
  <si>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</si>
  <si>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</si>
  <si>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</si>
  <si>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</si>
  <si>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</si>
  <si>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</si>
  <si>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</si>
  <si>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</si>
  <si>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</si>
  <si>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</si>
  <si>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</si>
  <si>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</si>
  <si>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</si>
  <si>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</si>
  <si>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</si>
  <si>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</si>
  <si>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</si>
  <si>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</si>
  <si>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</si>
  <si>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</si>
  <si>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</si>
  <si>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</si>
  <si>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</si>
  <si>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</si>
  <si>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</si>
  <si>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</si>
  <si>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</si>
  <si>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</si>
  <si>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</si>
  <si>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</si>
  <si>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</si>
  <si>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</si>
  <si>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</si>
  <si>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</si>
  <si>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</si>
  <si>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</si>
  <si>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</si>
  <si>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</si>
  <si>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</si>
  <si>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</si>
  <si>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</si>
  <si>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</si>
  <si>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</si>
  <si>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</si>
  <si>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</si>
  <si>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</si>
  <si>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</si>
  <si>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</si>
  <si>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</si>
  <si>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</si>
  <si>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</si>
  <si>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</si>
  <si>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</si>
  <si>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</si>
  <si>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</si>
  <si>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</si>
  <si>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</si>
  <si>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</si>
  <si>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</si>
  <si>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</si>
  <si>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</si>
  <si>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</si>
  <si>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</si>
  <si>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</si>
  <si>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</si>
  <si>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</si>
  <si>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</si>
  <si>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</si>
  <si>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</si>
  <si>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</si>
  <si>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</si>
  <si>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</si>
  <si>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</si>
  <si>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</si>
  <si>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</si>
  <si>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</si>
  <si>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</si>
  <si>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</si>
  <si>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</si>
  <si>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</si>
  <si>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</si>
  <si>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</si>
  <si>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</si>
  <si>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</si>
  <si>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</si>
  <si>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</si>
  <si>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</si>
  <si>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</si>
  <si>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</si>
  <si>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</si>
  <si>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</si>
  <si>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</si>
  <si>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</si>
  <si>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</si>
  <si>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</si>
  <si>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</si>
  <si>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</si>
  <si>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</si>
  <si>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</si>
  <si>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</si>
  <si>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</si>
  <si>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</si>
  <si>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</si>
  <si>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</si>
  <si>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</si>
  <si>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</si>
  <si>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</si>
  <si>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</si>
  <si>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</si>
  <si>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</si>
  <si>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</si>
  <si>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</si>
  <si>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</si>
  <si>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</si>
  <si>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</si>
  <si>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</si>
  <si>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</si>
  <si>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</si>
  <si>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</si>
  <si>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</si>
  <si>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</si>
  <si>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</si>
  <si>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</si>
  <si>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</si>
  <si>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</si>
  <si>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</si>
  <si>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</si>
  <si>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</si>
  <si>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</si>
  <si>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</si>
  <si>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</si>
  <si>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</si>
  <si>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</si>
  <si>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</si>
  <si>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</si>
  <si>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</si>
  <si>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</si>
  <si>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</si>
  <si>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</si>
  <si>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</si>
  <si>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</si>
  <si>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</si>
  <si>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</si>
  <si>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</si>
  <si>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</si>
  <si>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</si>
  <si>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</si>
  <si>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</si>
  <si>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</si>
  <si>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</si>
  <si>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</si>
  <si>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</si>
  <si>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</si>
  <si>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</si>
  <si>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</si>
  <si>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</si>
  <si>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</si>
  <si>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</si>
  <si>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</si>
  <si>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</si>
  <si>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</si>
  <si>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</si>
  <si>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</si>
  <si>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</si>
  <si>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</si>
  <si>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</si>
  <si>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</si>
  <si>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</si>
  <si>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</si>
  <si>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</si>
  <si>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</si>
  <si>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</si>
  <si>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</si>
  <si>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</si>
  <si>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</si>
  <si>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</si>
  <si>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</si>
  <si>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</si>
  <si>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</si>
  <si>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</si>
  <si>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</si>
  <si>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</si>
  <si>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</si>
  <si>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</si>
  <si>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</si>
  <si>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</si>
  <si>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</si>
  <si>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</si>
  <si>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</si>
  <si>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</si>
  <si>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</si>
  <si>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</si>
  <si>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</si>
  <si>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</si>
  <si>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</si>
  <si>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</si>
  <si>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</si>
  <si>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</si>
  <si>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</si>
  <si>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</si>
  <si>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</si>
  <si>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</si>
  <si>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</si>
  <si>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</si>
  <si>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</si>
  <si>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</si>
  <si>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</si>
  <si>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</si>
  <si>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</si>
  <si>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</si>
  <si>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</si>
  <si>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</si>
  <si>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</si>
  <si>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</si>
  <si>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</si>
  <si>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</si>
  <si>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</si>
  <si>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</si>
  <si>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</si>
  <si>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</si>
  <si>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</si>
  <si>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</si>
  <si>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</si>
  <si>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</si>
  <si>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</si>
  <si>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</si>
  <si>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</si>
  <si>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</si>
  <si>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</si>
  <si>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</si>
  <si>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</si>
  <si>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</si>
  <si>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</si>
  <si>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</si>
  <si>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</si>
  <si>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</si>
  <si>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</si>
  <si>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</si>
  <si>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</si>
  <si>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</si>
  <si>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</si>
  <si>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</si>
  <si>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</si>
  <si>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</si>
  <si>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</si>
  <si>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</si>
  <si>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</si>
  <si>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</si>
  <si>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</si>
  <si>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</si>
  <si>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</si>
  <si>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</si>
  <si>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</si>
  <si>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</si>
  <si>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</si>
  <si>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</si>
  <si>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</si>
  <si>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</si>
  <si>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</si>
  <si>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</si>
  <si>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</si>
  <si>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</si>
  <si>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</si>
  <si>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</si>
  <si>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</si>
  <si>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</si>
  <si>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</si>
  <si>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</si>
  <si>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</si>
  <si>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</si>
  <si>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</si>
  <si>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</si>
  <si>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</si>
  <si>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</si>
  <si>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</si>
  <si>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</si>
  <si>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</si>
  <si>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</si>
  <si>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</si>
  <si>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</si>
  <si>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</si>
  <si>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</si>
  <si>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</si>
  <si>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</si>
  <si>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</si>
  <si>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</si>
  <si>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</si>
  <si>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</si>
  <si>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</si>
  <si>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</si>
  <si>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</si>
  <si>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</si>
  <si>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</si>
  <si>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</si>
  <si>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</si>
  <si>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</si>
  <si>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</si>
  <si>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</si>
  <si>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</si>
  <si>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</si>
  <si>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</si>
  <si>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</si>
  <si>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</si>
  <si>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</si>
  <si>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</si>
  <si>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</si>
  <si>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</si>
  <si>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</si>
  <si>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</si>
  <si>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</si>
  <si>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</si>
  <si>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</si>
  <si>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</si>
  <si>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</si>
  <si>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</si>
  <si>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</si>
  <si>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</si>
  <si>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</si>
  <si>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</si>
  <si>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</si>
  <si>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</si>
  <si>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</si>
  <si>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</si>
  <si>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</si>
  <si>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</si>
  <si>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</si>
  <si>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</si>
  <si>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</si>
  <si>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</si>
  <si>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</si>
  <si>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</si>
  <si>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</si>
  <si>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</si>
  <si>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</si>
  <si>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</si>
  <si>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</si>
  <si>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</si>
  <si>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</si>
  <si>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</si>
  <si>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</si>
  <si>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</si>
  <si>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</si>
  <si>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</si>
  <si>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</si>
  <si>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</si>
  <si>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</si>
  <si>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</si>
  <si>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</si>
  <si>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</si>
  <si>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</si>
  <si>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</si>
  <si>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</si>
  <si>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</si>
  <si>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</si>
  <si>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</si>
  <si>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</si>
  <si>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</si>
  <si>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</si>
  <si>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</si>
  <si>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</si>
  <si>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</si>
  <si>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</si>
  <si>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</si>
  <si>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</si>
  <si>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</si>
  <si>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</si>
  <si>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</si>
  <si>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</si>
  <si>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</si>
  <si>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</si>
  <si>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</si>
  <si>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</si>
  <si>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</si>
  <si>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</si>
  <si>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</si>
  <si>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</si>
  <si>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</si>
  <si>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</si>
  <si>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</si>
  <si>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</si>
  <si>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</si>
  <si>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</si>
  <si>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</si>
  <si>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</si>
  <si>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</si>
  <si>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</si>
  <si>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</si>
  <si>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</si>
  <si>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</si>
  <si>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</si>
  <si>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</si>
  <si>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</si>
  <si>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</si>
  <si>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</si>
  <si>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</si>
  <si>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</si>
  <si>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</si>
  <si>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</si>
  <si>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</si>
  <si>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</si>
  <si>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</si>
  <si>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</si>
  <si>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</si>
  <si>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</si>
  <si>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</si>
  <si>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</si>
  <si>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</si>
  <si>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</si>
  <si>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</si>
  <si>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</si>
  <si>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</si>
  <si>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</si>
  <si>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</si>
  <si>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</si>
  <si>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</si>
  <si>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</si>
  <si>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</si>
  <si>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</si>
  <si>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</si>
  <si>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</si>
  <si>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</si>
  <si>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</si>
  <si>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</si>
  <si>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</si>
  <si>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</si>
  <si>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</si>
  <si>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</si>
  <si>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</si>
  <si>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</si>
  <si>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</si>
  <si>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</si>
  <si>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</si>
  <si>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</si>
  <si>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</si>
  <si>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</si>
  <si>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</si>
  <si>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</si>
  <si>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</si>
  <si>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</si>
  <si>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</si>
  <si>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</si>
  <si>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</si>
  <si>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</si>
  <si>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</si>
  <si>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</si>
  <si>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</si>
  <si>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</si>
  <si>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</si>
  <si>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</si>
  <si>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</si>
  <si>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</si>
  <si>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</si>
  <si>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</si>
  <si>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</si>
  <si>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</si>
  <si>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</si>
  <si>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</si>
  <si>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</si>
  <si>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</si>
  <si>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</si>
  <si>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</si>
  <si>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</si>
  <si>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</si>
  <si>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</si>
  <si>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</si>
  <si>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</si>
  <si>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</si>
  <si>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</si>
  <si>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</si>
  <si>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</si>
  <si>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</si>
  <si>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</si>
  <si>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</si>
  <si>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</si>
  <si>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</si>
  <si>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</si>
  <si>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</si>
  <si>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</si>
  <si>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</si>
  <si>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</si>
  <si>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</si>
  <si>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</si>
  <si>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</si>
  <si>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</si>
  <si>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</si>
  <si>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</si>
  <si>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</si>
  <si>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</si>
  <si>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</si>
  <si>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</si>
  <si>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</si>
  <si>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</si>
  <si>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</si>
  <si>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</si>
  <si>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</si>
  <si>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</si>
  <si>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</si>
  <si>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</si>
  <si>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</si>
  <si>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</si>
  <si>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</si>
  <si>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</si>
  <si>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</si>
  <si>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</si>
  <si>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</si>
  <si>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</si>
  <si>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</si>
  <si>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</si>
  <si>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</si>
  <si>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</si>
  <si>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</si>
  <si>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</si>
  <si>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</si>
  <si>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</si>
  <si>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</si>
  <si>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</si>
  <si>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</si>
  <si>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</si>
  <si>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</si>
  <si>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</si>
  <si>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</si>
  <si>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</si>
  <si>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</si>
  <si>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</si>
  <si>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</si>
  <si>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</si>
  <si>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</si>
  <si>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</si>
  <si>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</si>
  <si>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</si>
  <si>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</si>
  <si>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</si>
  <si>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</si>
  <si>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</si>
  <si>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</si>
  <si>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</si>
  <si>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</si>
  <si>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</si>
  <si>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</si>
  <si>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</si>
  <si>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</si>
  <si>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</si>
  <si>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</si>
  <si>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</si>
  <si>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</si>
  <si>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</si>
  <si>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</si>
  <si>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</si>
  <si>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</si>
  <si>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</si>
  <si>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</si>
  <si>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</si>
  <si>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</si>
  <si>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</si>
  <si>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</si>
  <si>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</si>
  <si>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</si>
  <si>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</si>
  <si>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</si>
  <si>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</si>
  <si>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</si>
  <si>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</si>
  <si>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</si>
  <si>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</si>
  <si>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</si>
  <si>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</si>
  <si>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</si>
  <si>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</si>
  <si>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</si>
  <si>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</si>
  <si>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</si>
  <si>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</si>
  <si>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</si>
  <si>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</si>
  <si>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</si>
  <si>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</si>
  <si>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</si>
  <si>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</si>
  <si>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</si>
  <si>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</si>
  <si>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</si>
  <si>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</si>
  <si>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</si>
  <si>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</si>
  <si>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</si>
  <si>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</si>
  <si>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</si>
  <si>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</si>
  <si>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</si>
  <si>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</si>
  <si>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</si>
  <si>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</si>
  <si>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</si>
  <si>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</si>
  <si>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</si>
  <si>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</si>
  <si>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</si>
  <si>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</si>
  <si>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</si>
  <si>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</si>
  <si>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</si>
  <si>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</si>
  <si>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</si>
  <si>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</si>
  <si>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</si>
  <si>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</si>
  <si>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</si>
  <si>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</si>
  <si>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</si>
  <si>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</si>
  <si>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</si>
  <si>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</si>
  <si>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</si>
  <si>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</si>
  <si>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</si>
  <si>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</si>
  <si>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</si>
  <si>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</si>
  <si>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</si>
  <si>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</si>
  <si>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</si>
  <si>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</si>
  <si>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</si>
  <si>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</si>
  <si>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</si>
  <si>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</si>
  <si>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</si>
  <si>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</si>
  <si>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</si>
  <si>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</si>
  <si>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</si>
  <si>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</si>
  <si>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</si>
  <si>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</si>
  <si>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</si>
  <si>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</si>
  <si>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</si>
  <si>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</si>
  <si>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</si>
  <si>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</si>
  <si>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</si>
  <si>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</si>
  <si>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</si>
  <si>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</si>
  <si>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</si>
  <si>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</si>
  <si>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</si>
  <si>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</si>
  <si>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</si>
  <si>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</si>
  <si>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</si>
  <si>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</si>
  <si>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</si>
  <si>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</si>
  <si>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</si>
  <si>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</si>
  <si>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</si>
  <si>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</si>
  <si>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</si>
  <si>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</si>
  <si>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</si>
  <si>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</si>
  <si>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</si>
  <si>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</si>
  <si>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</si>
  <si>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</si>
  <si>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</si>
  <si>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</si>
  <si>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</si>
  <si>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</si>
  <si>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</si>
  <si>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</si>
  <si>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</si>
  <si>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</si>
  <si>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</si>
  <si>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</si>
  <si>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</si>
  <si>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</si>
  <si>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</si>
  <si>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</si>
  <si>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</si>
  <si>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</si>
  <si>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</si>
  <si>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</si>
  <si>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</si>
  <si>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</si>
  <si>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</si>
  <si>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</si>
  <si>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</si>
  <si>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</si>
  <si>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</si>
  <si>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</si>
  <si>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</si>
  <si>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</si>
  <si>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</si>
  <si>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</si>
  <si>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</si>
  <si>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</si>
  <si>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</si>
  <si>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</si>
  <si>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</si>
  <si>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</si>
  <si>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</si>
  <si>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</si>
  <si>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</si>
  <si>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</si>
  <si>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</si>
  <si>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</si>
  <si>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</si>
  <si>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</si>
  <si>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</si>
  <si>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</si>
  <si>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</si>
  <si>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</si>
  <si>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</si>
  <si>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</si>
  <si>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</si>
  <si>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</si>
  <si>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</si>
  <si>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</si>
  <si>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</si>
  <si>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</si>
  <si>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</si>
  <si>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</si>
  <si>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</si>
  <si>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</si>
  <si>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</si>
  <si>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</si>
  <si>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</si>
  <si>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</si>
  <si>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</si>
  <si>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</si>
  <si>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</si>
  <si>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</si>
  <si>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</si>
  <si>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</si>
  <si>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</si>
  <si>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</si>
  <si>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</si>
  <si>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</si>
  <si>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</si>
  <si>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</si>
  <si>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</si>
  <si>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</si>
  <si>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</si>
  <si>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</si>
  <si>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</si>
  <si>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</si>
  <si>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</si>
  <si>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</si>
  <si>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</si>
  <si>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</si>
  <si>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</si>
  <si>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</si>
  <si>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</si>
  <si>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</si>
  <si>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</si>
  <si>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</si>
  <si>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</si>
  <si>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</si>
  <si>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</si>
  <si>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</si>
  <si>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</si>
  <si>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</si>
  <si>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</si>
  <si>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</si>
  <si>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</si>
  <si>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</si>
  <si>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</si>
  <si>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</si>
  <si>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</si>
  <si>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</si>
  <si>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</si>
  <si>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</si>
  <si>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</si>
  <si>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</si>
  <si>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</si>
  <si>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</si>
  <si>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</si>
  <si>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</si>
  <si>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</si>
  <si>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</si>
  <si>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</si>
  <si>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</si>
  <si>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</si>
  <si>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</si>
  <si>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</si>
  <si>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</si>
  <si>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</si>
  <si>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</si>
  <si>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</si>
  <si>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</si>
  <si>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</si>
  <si>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</si>
  <si>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</si>
  <si>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</si>
  <si>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</si>
  <si>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</si>
  <si>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</si>
  <si>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</si>
  <si>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</si>
  <si>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</si>
  <si>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</si>
  <si>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</si>
  <si>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</si>
  <si>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</si>
  <si>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</si>
  <si>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</si>
  <si>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</si>
  <si>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</si>
  <si>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</si>
  <si>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</si>
  <si>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</si>
  <si>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</si>
  <si>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</si>
  <si>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</si>
  <si>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</si>
  <si>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</si>
  <si>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</si>
  <si>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</si>
  <si>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</si>
  <si>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</si>
  <si>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</si>
  <si>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</si>
  <si>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</si>
  <si>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</si>
  <si>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</si>
  <si>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</si>
  <si>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</si>
  <si>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</si>
  <si>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</si>
  <si>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</si>
  <si>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</si>
  <si>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</si>
  <si>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</si>
  <si>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</si>
  <si>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</si>
  <si>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</si>
  <si>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</si>
  <si>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</si>
  <si>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</si>
  <si>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</si>
  <si>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</si>
  <si>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</si>
  <si>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</si>
  <si>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</si>
  <si>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</si>
  <si>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</si>
  <si>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</si>
  <si>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</si>
  <si>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</si>
  <si>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</si>
  <si>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</si>
  <si>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</si>
  <si>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</si>
  <si>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</si>
  <si>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</si>
  <si>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</si>
  <si>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</si>
  <si>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</si>
  <si>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</si>
  <si>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</si>
  <si>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</si>
  <si>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</si>
  <si>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</si>
  <si>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</si>
  <si>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</si>
  <si>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</si>
  <si>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</si>
  <si>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</si>
  <si>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</si>
  <si>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</si>
  <si>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</si>
  <si>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</si>
  <si>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</si>
  <si>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</si>
  <si>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</si>
  <si>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</si>
  <si>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</si>
  <si>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</si>
  <si>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</si>
  <si>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</si>
  <si>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</si>
  <si>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</si>
  <si>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</si>
  <si>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</si>
  <si>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</si>
  <si>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</si>
  <si>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</si>
  <si>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</si>
  <si>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</si>
  <si>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</si>
  <si>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</si>
  <si>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</si>
  <si>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</si>
  <si>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</si>
  <si>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</si>
  <si>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</si>
  <si>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</si>
  <si>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</si>
  <si>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</si>
  <si>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</si>
  <si>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</si>
  <si>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</si>
  <si>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</si>
  <si>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</si>
  <si>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</si>
  <si>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</si>
  <si>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</si>
  <si>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</si>
  <si>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</si>
  <si>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</si>
  <si>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</si>
  <si>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</si>
  <si>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</si>
  <si>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</si>
  <si>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</si>
  <si>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</si>
  <si>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</si>
  <si>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</si>
  <si>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</si>
  <si>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</si>
  <si>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</si>
  <si>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</si>
  <si>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</si>
  <si>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</si>
  <si>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</si>
  <si>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</si>
  <si>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</si>
  <si>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</si>
  <si>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</si>
  <si>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</si>
  <si>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</si>
  <si>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</si>
  <si>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</si>
  <si>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</si>
  <si>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</si>
  <si>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</si>
  <si>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</si>
  <si>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</si>
  <si>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</si>
  <si>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</si>
  <si>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</si>
  <si>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</si>
  <si>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</si>
  <si>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</si>
  <si>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</si>
  <si>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</si>
  <si>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</si>
  <si>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</si>
  <si>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</si>
  <si>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</si>
  <si>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</si>
  <si>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</si>
  <si>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</si>
  <si>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</si>
  <si>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</si>
  <si>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</si>
  <si>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</si>
  <si>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</si>
  <si>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</si>
  <si>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</si>
  <si>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</si>
  <si>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</si>
  <si>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</si>
  <si>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</si>
  <si>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</si>
  <si>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</si>
  <si>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</si>
  <si>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</si>
  <si>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</si>
  <si>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</si>
  <si>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</si>
  <si>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</si>
  <si>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</si>
  <si>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</si>
  <si>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</si>
  <si>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</si>
  <si>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</si>
  <si>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</si>
  <si>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</si>
  <si>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</si>
  <si>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</si>
  <si>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</si>
  <si>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</si>
  <si>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</si>
  <si>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</si>
  <si>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</si>
  <si>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</si>
  <si>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</si>
  <si>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</si>
  <si>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</si>
  <si>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</si>
  <si>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</si>
  <si>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</si>
  <si>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</si>
  <si>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</si>
  <si>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</si>
  <si>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</si>
  <si>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</si>
  <si>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</si>
  <si>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</si>
  <si>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</si>
  <si>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</si>
  <si>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</si>
  <si>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</si>
  <si>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</si>
  <si>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</si>
  <si>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</si>
  <si>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</si>
  <si>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</si>
  <si>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</si>
  <si>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</si>
  <si>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</si>
  <si>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</si>
  <si>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</si>
  <si>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</si>
  <si>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</si>
  <si>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</si>
  <si>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</si>
  <si>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</si>
  <si>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</si>
  <si>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</si>
  <si>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</si>
  <si>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</si>
  <si>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</si>
  <si>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</si>
  <si>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</si>
  <si>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</si>
  <si>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</si>
  <si>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</si>
  <si>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</si>
  <si>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</si>
  <si>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</si>
  <si>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</si>
  <si>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</si>
  <si>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</si>
  <si>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</si>
  <si>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</si>
  <si>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</si>
  <si>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</si>
  <si>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</si>
  <si>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</si>
  <si>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</si>
  <si>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</si>
  <si>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</si>
  <si>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</si>
  <si>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</si>
  <si>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</si>
  <si>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</si>
  <si>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</si>
  <si>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</si>
  <si>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</si>
  <si>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</si>
  <si>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</si>
  <si>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</si>
  <si>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</si>
  <si>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</si>
  <si>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</si>
  <si>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</si>
  <si>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</si>
  <si>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</si>
  <si>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</si>
  <si>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</si>
  <si>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</si>
  <si>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</si>
  <si>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</si>
  <si>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</si>
  <si>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</si>
  <si>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</si>
  <si>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</si>
  <si>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</si>
  <si>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</si>
  <si>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</si>
  <si>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</si>
  <si>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</si>
  <si>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</si>
  <si>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</si>
  <si>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</si>
  <si>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</si>
  <si>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</si>
  <si>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</si>
  <si>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</si>
  <si>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</si>
  <si>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</si>
  <si>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</si>
  <si>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</si>
  <si>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</si>
  <si>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</si>
  <si>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</si>
  <si>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</si>
  <si>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</si>
  <si>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</si>
  <si>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</si>
  <si>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</si>
  <si>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</si>
  <si>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</si>
  <si>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</si>
  <si>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</si>
  <si>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</si>
  <si>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</si>
  <si>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</si>
  <si>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</si>
  <si>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</si>
  <si>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</si>
  <si>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</si>
  <si>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</si>
  <si>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</si>
  <si>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</si>
  <si>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</si>
  <si>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</si>
  <si>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</si>
  <si>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</si>
  <si>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</si>
  <si>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</si>
  <si>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</si>
  <si>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</si>
  <si>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</si>
  <si>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</si>
  <si>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</si>
  <si>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</si>
  <si>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</si>
  <si>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</si>
  <si>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</si>
  <si>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</si>
  <si>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</si>
  <si>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</si>
  <si>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</si>
  <si>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</si>
  <si>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</si>
  <si>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</si>
  <si>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</si>
  <si>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</si>
  <si>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</si>
  <si>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</si>
  <si>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</si>
  <si>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</si>
  <si>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</si>
  <si>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</si>
  <si>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</si>
  <si>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</si>
  <si>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</si>
  <si>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</si>
  <si>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</si>
  <si>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</si>
  <si>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</si>
  <si>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</si>
  <si>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</si>
  <si>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</si>
  <si>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</si>
  <si>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</si>
  <si>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</si>
  <si>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</si>
  <si>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</si>
  <si>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</si>
  <si>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</si>
  <si>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</si>
  <si>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</si>
  <si>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</si>
  <si>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</si>
  <si>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</si>
  <si>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</si>
  <si>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</si>
  <si>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</si>
  <si>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</si>
  <si>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</si>
  <si>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</si>
  <si>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</si>
  <si>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</si>
  <si>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</si>
  <si>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</si>
  <si>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</si>
  <si>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</si>
  <si>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</si>
  <si>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</si>
  <si>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</si>
  <si>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</si>
  <si>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</si>
  <si>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</si>
  <si>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</si>
  <si>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</si>
  <si>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</si>
  <si>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</si>
  <si>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</si>
  <si>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</si>
  <si>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</si>
  <si>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</si>
  <si>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</si>
  <si>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</si>
  <si>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</si>
  <si>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</si>
  <si>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</si>
  <si>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</si>
  <si>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</si>
  <si>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</si>
  <si>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</si>
  <si>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</si>
  <si>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</si>
  <si>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</si>
  <si>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</si>
  <si>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</si>
  <si>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</si>
  <si>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</si>
  <si>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</si>
  <si>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</si>
  <si>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</si>
  <si>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</si>
  <si>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</si>
  <si>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</si>
  <si>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</si>
  <si>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</si>
  <si>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</si>
  <si>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</si>
  <si>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</si>
  <si>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</si>
  <si>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</si>
  <si>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</si>
  <si>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</si>
  <si>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</si>
  <si>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</si>
  <si>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</si>
  <si>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</si>
  <si>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</si>
  <si>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</si>
  <si>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</si>
  <si>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</si>
  <si>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</si>
  <si>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</si>
  <si>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</si>
  <si>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</si>
  <si>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</si>
  <si>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</si>
  <si>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</si>
  <si>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</si>
  <si>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</si>
  <si>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</si>
  <si>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</si>
  <si>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</si>
  <si>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</si>
  <si>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</si>
  <si>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</si>
  <si>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</si>
  <si>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</si>
  <si>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</si>
  <si>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</si>
  <si>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</si>
  <si>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</si>
  <si>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</si>
  <si>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</si>
  <si>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</si>
  <si>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</si>
  <si>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</si>
  <si>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</si>
  <si>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</si>
  <si>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</si>
  <si>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</si>
  <si>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</si>
  <si>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</si>
  <si>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</si>
  <si>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</si>
  <si>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</si>
  <si>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</si>
  <si>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</si>
  <si>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</si>
  <si>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</si>
  <si>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</si>
  <si>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</si>
  <si>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</si>
  <si>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</si>
  <si>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</si>
  <si>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</si>
  <si>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</si>
  <si>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</si>
  <si>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</si>
  <si>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</si>
  <si>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</si>
  <si>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</si>
  <si>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</si>
  <si>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</si>
  <si>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</si>
  <si>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</si>
  <si>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</si>
  <si>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</si>
  <si>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</si>
  <si>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</si>
  <si>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</si>
  <si>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</si>
  <si>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</si>
  <si>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</si>
  <si>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</si>
  <si>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</si>
  <si>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</si>
  <si>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</si>
  <si>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</si>
  <si>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</si>
  <si>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</si>
  <si>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</si>
  <si>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</si>
  <si>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</si>
  <si>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</si>
  <si>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</si>
  <si>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</si>
  <si>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</si>
  <si>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</si>
  <si>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</si>
  <si>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</si>
  <si>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</si>
  <si>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</si>
  <si>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</si>
  <si>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</si>
  <si>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</si>
  <si>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</si>
  <si>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</si>
  <si>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</si>
  <si>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</si>
  <si>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</si>
  <si>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</si>
  <si>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</si>
  <si>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</si>
  <si>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</si>
  <si>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</si>
  <si>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</si>
  <si>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</si>
  <si>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</si>
  <si>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</si>
  <si>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</si>
  <si>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</si>
  <si>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</si>
  <si>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</si>
  <si>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</si>
  <si>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</si>
  <si>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</si>
  <si>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</si>
  <si>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</si>
  <si>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</si>
  <si>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</si>
  <si>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</si>
  <si>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</si>
  <si>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</si>
  <si>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</si>
  <si>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</si>
  <si>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</si>
  <si>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</si>
  <si>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</si>
  <si>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</si>
  <si>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</si>
  <si>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</si>
  <si>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</si>
  <si>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</si>
  <si>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</si>
  <si>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</si>
  <si>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</si>
  <si>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</si>
  <si>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</si>
  <si>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</si>
  <si>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</si>
  <si>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</si>
  <si>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</si>
  <si>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</si>
  <si>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</si>
  <si>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</si>
  <si>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</si>
  <si>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</si>
  <si>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</si>
  <si>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</si>
  <si>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</si>
  <si>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</si>
  <si>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</si>
  <si>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</si>
  <si>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</si>
  <si>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</si>
  <si>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</si>
  <si>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</si>
  <si>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</si>
  <si>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</si>
  <si>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</si>
  <si>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</si>
  <si>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</si>
  <si>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</si>
  <si>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</si>
  <si>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</si>
  <si>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</si>
  <si>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</si>
  <si>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</si>
  <si>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</si>
  <si>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</si>
  <si>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</si>
  <si>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</si>
  <si>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</si>
  <si>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</si>
  <si>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</si>
  <si>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</si>
  <si>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</si>
  <si>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</si>
  <si>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</si>
  <si>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</si>
  <si>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</si>
  <si>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</si>
  <si>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</si>
  <si>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</si>
  <si>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</si>
  <si>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</si>
  <si>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</si>
  <si>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</si>
  <si>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</si>
  <si>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</si>
  <si>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</si>
  <si>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</si>
  <si>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</si>
  <si>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</si>
  <si>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</si>
  <si>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</si>
  <si>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</si>
  <si>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</si>
  <si>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</si>
  <si>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</si>
  <si>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</si>
  <si>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</si>
  <si>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</si>
  <si>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</si>
  <si>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</si>
  <si>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</si>
  <si>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</si>
  <si>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</si>
  <si>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</si>
  <si>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</si>
  <si>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</si>
  <si>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</si>
  <si>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</si>
  <si>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</si>
  <si>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</si>
  <si>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</si>
  <si>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</si>
  <si>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</si>
  <si>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</si>
  <si>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</si>
  <si>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</si>
  <si>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</si>
  <si>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</si>
  <si>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</si>
  <si>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</si>
  <si>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</si>
  <si>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</si>
  <si>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</si>
  <si>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</si>
  <si>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</si>
  <si>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</si>
  <si>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</si>
  <si>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</si>
  <si>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</si>
  <si>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</si>
  <si>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</si>
  <si>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</si>
  <si>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</si>
  <si>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</si>
  <si>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</si>
  <si>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</si>
  <si>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</si>
  <si>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</si>
  <si>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</si>
  <si>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</si>
  <si>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</si>
  <si>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</si>
  <si>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</si>
  <si>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</si>
  <si>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</si>
  <si>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</si>
  <si>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</si>
  <si>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</si>
  <si>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</si>
  <si>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</si>
  <si>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</si>
  <si>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</si>
  <si>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</si>
  <si>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</si>
  <si>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</si>
  <si>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</si>
  <si>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</si>
  <si>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</si>
  <si>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</si>
  <si>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</si>
  <si>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</si>
  <si>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</si>
  <si>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</si>
  <si>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</si>
  <si>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</si>
  <si>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</si>
  <si>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</si>
  <si>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</si>
  <si>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</si>
  <si>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</si>
  <si>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</si>
  <si>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</si>
  <si>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</si>
  <si>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</si>
  <si>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</si>
  <si>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</si>
  <si>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</si>
  <si>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</si>
  <si>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</si>
  <si>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</si>
  <si>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</si>
  <si>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</si>
  <si>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</si>
  <si>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</si>
  <si>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</si>
  <si>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</si>
  <si>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</si>
  <si>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</si>
  <si>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</si>
  <si>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</si>
  <si>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</si>
  <si>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</si>
  <si>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</si>
  <si>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</si>
  <si>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</si>
  <si>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</si>
  <si>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</si>
  <si>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</si>
  <si>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</si>
  <si>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</si>
  <si>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</si>
  <si>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</si>
  <si>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</si>
  <si>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</si>
  <si>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</si>
  <si>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</si>
  <si>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</si>
  <si>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</si>
  <si>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</si>
  <si>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</si>
  <si>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</si>
  <si>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</si>
  <si>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</si>
  <si>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</si>
  <si>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</si>
  <si>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</si>
  <si>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</si>
  <si>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</si>
  <si>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</si>
  <si>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</si>
  <si>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</si>
  <si>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</si>
  <si>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</si>
  <si>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</si>
  <si>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</si>
  <si>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</si>
  <si>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</si>
  <si>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</si>
  <si>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</si>
  <si>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</si>
  <si>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</si>
  <si>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</si>
  <si>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</si>
  <si>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</si>
  <si>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</si>
  <si>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</si>
  <si>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</si>
  <si>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</si>
  <si>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</si>
  <si>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</si>
  <si>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</si>
  <si>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</si>
  <si>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</si>
  <si>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</si>
  <si>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</si>
  <si>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</si>
  <si>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</si>
  <si>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</si>
  <si>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</si>
  <si>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</si>
  <si>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</si>
  <si>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</si>
  <si>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</si>
  <si>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</si>
  <si>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</si>
  <si>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</si>
  <si>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</si>
  <si>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</si>
  <si>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</si>
  <si>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</si>
  <si>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</si>
  <si>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</si>
  <si>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</si>
  <si>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</si>
  <si>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</si>
  <si>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</si>
  <si>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</si>
  <si>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</si>
  <si>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</si>
  <si>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</si>
  <si>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</si>
  <si>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</si>
  <si>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</si>
  <si>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</si>
  <si>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</si>
  <si>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</si>
  <si>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</si>
  <si>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</si>
  <si>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</si>
  <si>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</si>
  <si>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</si>
  <si>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</si>
  <si>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</si>
  <si>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</si>
  <si>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</si>
  <si>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</si>
  <si>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</si>
  <si>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</si>
  <si>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</si>
  <si>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</si>
  <si>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</si>
  <si>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</si>
  <si>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</si>
  <si>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</si>
  <si>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</si>
  <si>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</si>
  <si>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</si>
  <si>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</si>
  <si>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</si>
  <si>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</si>
  <si>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</si>
  <si>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</si>
  <si>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</si>
  <si>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</si>
  <si>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</si>
  <si>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</si>
  <si>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</si>
  <si>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</si>
  <si>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</si>
  <si>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</si>
  <si>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</si>
  <si>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</si>
  <si>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</si>
  <si>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</si>
  <si>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</si>
  <si>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</si>
  <si>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</si>
  <si>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</si>
  <si>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</si>
  <si>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</si>
  <si>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</si>
  <si>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</si>
  <si>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</si>
  <si>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</si>
  <si>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</si>
  <si>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</si>
  <si>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</si>
  <si>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</si>
  <si>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</si>
  <si>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</si>
  <si>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</si>
  <si>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</si>
  <si>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</si>
  <si>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</si>
  <si>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</si>
  <si>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</si>
  <si>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</si>
  <si>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</si>
  <si>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</si>
  <si>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</si>
  <si>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</si>
  <si>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</si>
  <si>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</si>
  <si>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</si>
  <si>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</si>
  <si>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</si>
  <si>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</si>
  <si>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</si>
  <si>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</si>
  <si>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</si>
  <si>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</si>
  <si>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</si>
  <si>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</si>
  <si>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</si>
  <si>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</si>
  <si>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</si>
  <si>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</si>
  <si>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</si>
  <si>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</si>
  <si>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</si>
  <si>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</si>
  <si>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</si>
  <si>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</si>
  <si>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</si>
  <si>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</si>
  <si>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</si>
  <si>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</si>
  <si>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</si>
  <si>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</si>
  <si>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</si>
  <si>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</si>
  <si>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</si>
  <si>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</si>
  <si>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</si>
  <si>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</si>
  <si>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</si>
  <si>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</si>
  <si>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</si>
  <si>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</si>
  <si>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</si>
  <si>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</si>
  <si>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</si>
  <si>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</si>
  <si>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</si>
  <si>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</si>
  <si>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</si>
  <si>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</si>
  <si>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</si>
  <si>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</si>
  <si>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</si>
  <si>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</si>
  <si>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</si>
  <si>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</si>
  <si>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</si>
  <si>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</si>
  <si>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</si>
  <si>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</si>
  <si>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</si>
  <si>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</si>
  <si>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</si>
  <si>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</si>
  <si>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</si>
  <si>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</si>
  <si>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</si>
  <si>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</si>
  <si>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</si>
  <si>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</si>
  <si>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</si>
  <si>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</si>
  <si>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</si>
  <si>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</si>
  <si>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</si>
  <si>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</si>
  <si>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</si>
  <si>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</si>
  <si>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</si>
  <si>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</si>
  <si>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</si>
  <si>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</si>
  <si>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</si>
  <si>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</si>
  <si>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</si>
  <si>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</si>
  <si>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</si>
  <si>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</si>
  <si>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</si>
  <si>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</si>
  <si>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</si>
  <si>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</si>
  <si>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</si>
  <si>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</si>
  <si>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</si>
  <si>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</si>
  <si>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</si>
  <si>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</si>
  <si>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</si>
  <si>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</si>
  <si>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</si>
  <si>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</si>
  <si>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</si>
  <si>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</si>
  <si>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</si>
  <si>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</si>
  <si>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</si>
  <si>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</si>
  <si>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</si>
  <si>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</si>
  <si>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</si>
  <si>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</si>
  <si>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</si>
  <si>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</si>
  <si>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</si>
  <si>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</si>
  <si>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</si>
  <si>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</si>
  <si>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</si>
  <si>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</si>
  <si>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</si>
  <si>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</si>
  <si>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</si>
  <si>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</si>
  <si>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</si>
  <si>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</si>
  <si>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</si>
  <si>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</si>
  <si>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</si>
  <si>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</si>
  <si>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</si>
  <si>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</si>
  <si>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</si>
  <si>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</si>
  <si>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</si>
  <si>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</si>
  <si>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</si>
  <si>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</si>
  <si>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</si>
  <si>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</si>
  <si>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</si>
  <si>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</si>
  <si>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</si>
  <si>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</si>
  <si>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</si>
  <si>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</si>
  <si>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</si>
  <si>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</si>
  <si>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</si>
  <si>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</si>
  <si>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</si>
  <si>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</si>
  <si>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</si>
  <si>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</si>
  <si>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</si>
  <si>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</si>
  <si>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</si>
  <si>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</si>
  <si>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</si>
  <si>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</si>
  <si>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</si>
  <si>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</si>
  <si>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</si>
  <si>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</si>
  <si>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</si>
  <si>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</si>
  <si>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</si>
  <si>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</si>
  <si>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</si>
  <si>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</si>
  <si>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</si>
  <si>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</si>
  <si>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</si>
  <si>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</si>
  <si>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</si>
  <si>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</si>
  <si>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</si>
  <si>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</si>
  <si>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</si>
  <si>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</si>
  <si>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</si>
  <si>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</si>
  <si>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</si>
  <si>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</si>
  <si>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</si>
  <si>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</si>
  <si>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</si>
  <si>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</si>
  <si>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</si>
  <si>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</si>
  <si>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</si>
  <si>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</si>
  <si>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</si>
  <si>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</si>
  <si>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</si>
  <si>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</si>
  <si>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</si>
  <si>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</si>
  <si>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</si>
  <si>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</si>
  <si>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</si>
  <si>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</si>
  <si>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</si>
  <si>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</si>
  <si>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</si>
  <si>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</si>
  <si>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</si>
  <si>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</si>
  <si>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</si>
  <si>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</si>
  <si>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</si>
  <si>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</si>
  <si>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</si>
  <si>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</si>
  <si>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</si>
  <si>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</si>
  <si>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</si>
  <si>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</si>
  <si>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</si>
  <si>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</si>
  <si>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</si>
  <si>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</si>
  <si>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</si>
  <si>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</si>
  <si>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</si>
  <si>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</si>
  <si>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</si>
  <si>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</si>
  <si>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</si>
  <si>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</si>
  <si>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</si>
  <si>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</si>
  <si>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</si>
  <si>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</si>
  <si>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</si>
  <si>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</si>
  <si>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</si>
  <si>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</si>
  <si>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</si>
  <si>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</si>
  <si>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</si>
  <si>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</si>
  <si>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</si>
  <si>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</si>
  <si>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</si>
  <si>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</si>
  <si>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</si>
  <si>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</si>
  <si>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</si>
  <si>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</si>
  <si>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</si>
  <si>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</si>
  <si>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</si>
  <si>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</si>
  <si>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</si>
  <si>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</si>
  <si>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</si>
  <si>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</si>
  <si>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</si>
  <si>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</si>
  <si>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</si>
  <si>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</si>
  <si>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</si>
  <si>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</si>
  <si>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</si>
  <si>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</si>
  <si>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</si>
  <si>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</si>
  <si>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</si>
  <si>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</si>
  <si>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</si>
  <si>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</si>
  <si>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</si>
  <si>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</si>
  <si>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</si>
  <si>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</si>
  <si>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</si>
  <si>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</si>
  <si>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</si>
  <si>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</si>
  <si>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</si>
  <si>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</si>
  <si>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</si>
  <si>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</si>
  <si>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</si>
  <si>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</si>
  <si>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</si>
  <si>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</si>
  <si>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</si>
  <si>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</si>
  <si>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</si>
  <si>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</si>
  <si>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</si>
  <si>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</si>
  <si>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</si>
  <si>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</si>
  <si>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</si>
  <si>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</si>
  <si>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</si>
  <si>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</si>
  <si>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</si>
  <si>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</si>
  <si>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</si>
  <si>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</si>
  <si>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</si>
  <si>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</si>
  <si>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</si>
  <si>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</si>
  <si>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</si>
  <si>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</si>
  <si>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</si>
  <si>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</si>
  <si>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</si>
  <si>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</si>
  <si>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</si>
  <si>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</si>
  <si>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</si>
  <si>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</si>
  <si>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</si>
  <si>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</si>
  <si>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</si>
  <si>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</si>
  <si>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</si>
  <si>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</si>
  <si>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</si>
  <si>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</si>
  <si>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</si>
  <si>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</si>
  <si>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</si>
  <si>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</si>
  <si>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</si>
  <si>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</si>
  <si>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</si>
  <si>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</si>
  <si>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</si>
  <si>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</si>
  <si>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</si>
  <si>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</si>
  <si>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</si>
  <si>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</si>
  <si>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</si>
  <si>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</si>
  <si>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</si>
  <si>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</si>
  <si>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</si>
  <si>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</si>
  <si>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</si>
  <si>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</si>
  <si>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</si>
  <si>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</si>
  <si>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</si>
  <si>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</si>
  <si>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</si>
  <si>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</si>
  <si>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</si>
  <si>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</si>
  <si>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</si>
  <si>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</si>
  <si>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</si>
  <si>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</si>
  <si>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</si>
  <si>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</si>
  <si>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</si>
  <si>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</si>
  <si>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</si>
  <si>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</si>
  <si>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</si>
  <si>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</si>
  <si>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</si>
  <si>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</si>
  <si>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</si>
  <si>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</si>
  <si>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</si>
  <si>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</si>
  <si>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</si>
  <si>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</si>
  <si>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</si>
  <si>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</si>
  <si>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</si>
  <si>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</si>
  <si>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</si>
  <si>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</si>
  <si>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</si>
  <si>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</si>
  <si>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</si>
  <si>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</si>
  <si>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</si>
  <si>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</si>
  <si>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</si>
  <si>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</si>
  <si>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</si>
  <si>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</si>
  <si>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</si>
  <si>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</si>
  <si>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</si>
  <si>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</si>
  <si>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</si>
  <si>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</si>
  <si>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</si>
  <si>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</si>
  <si>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</si>
  <si>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</si>
  <si>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</si>
  <si>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</si>
  <si>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</si>
  <si>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</si>
  <si>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</si>
  <si>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</si>
  <si>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</si>
  <si>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</si>
  <si>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</si>
  <si>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</si>
  <si>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</si>
  <si>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</si>
  <si>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</si>
  <si>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</si>
  <si>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</si>
  <si>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</si>
  <si>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</si>
  <si>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</si>
  <si>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</si>
  <si>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</si>
  <si>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</si>
  <si>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</si>
  <si>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</si>
  <si>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</si>
  <si>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</si>
  <si>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</si>
  <si>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</si>
  <si>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</si>
  <si>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</si>
  <si>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</si>
  <si>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</si>
  <si>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</si>
  <si>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</si>
  <si>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</si>
  <si>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</si>
  <si>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</si>
  <si>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</si>
  <si>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</si>
  <si>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</si>
  <si>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</si>
  <si>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</si>
  <si>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</si>
  <si>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</si>
  <si>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</si>
  <si>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</si>
  <si>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</si>
  <si>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</si>
  <si>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</si>
  <si>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</si>
  <si>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</si>
  <si>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</si>
  <si>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</si>
  <si>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</si>
  <si>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</si>
  <si>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</si>
  <si>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</si>
  <si>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</si>
  <si>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</si>
  <si>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</si>
  <si>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</si>
  <si>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</si>
  <si>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</si>
  <si>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</si>
  <si>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</si>
  <si>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</si>
  <si>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</si>
  <si>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</si>
  <si>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</si>
  <si>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</si>
  <si>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</si>
  <si>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</si>
  <si>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</si>
  <si>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</si>
  <si>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</si>
  <si>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</si>
  <si>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</si>
  <si>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</si>
  <si>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</si>
  <si>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</si>
  <si>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</si>
  <si>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</si>
  <si>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</si>
  <si>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</si>
  <si>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</si>
  <si>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</si>
  <si>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</si>
  <si>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</si>
  <si>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</si>
  <si>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</si>
  <si>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</si>
  <si>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</si>
  <si>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</si>
  <si>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</si>
  <si>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</si>
  <si>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</si>
  <si>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</si>
  <si>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</si>
  <si>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</si>
  <si>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</si>
  <si>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</si>
  <si>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</si>
  <si>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</si>
  <si>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</si>
  <si>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</si>
  <si>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</si>
  <si>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</si>
  <si>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</si>
  <si>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</si>
  <si>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</si>
  <si>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</si>
  <si>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</si>
  <si>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</si>
  <si>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</si>
  <si>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</si>
  <si>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</si>
  <si>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</si>
  <si>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</si>
  <si>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</si>
  <si>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</si>
  <si>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</si>
  <si>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</si>
  <si>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</si>
  <si>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</si>
  <si>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</si>
  <si>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</si>
  <si>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</si>
  <si>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</si>
  <si>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</si>
  <si>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</si>
  <si>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</si>
  <si>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</si>
  <si>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</si>
  <si>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</si>
  <si>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</si>
  <si>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</si>
  <si>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</si>
  <si>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</si>
  <si>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</si>
  <si>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</si>
  <si>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</si>
  <si>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</si>
  <si>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</si>
  <si>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</si>
  <si>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</si>
  <si>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</si>
  <si>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</si>
  <si>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</si>
  <si>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</si>
  <si>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</si>
  <si>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</si>
  <si>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</si>
  <si>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</si>
  <si>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</si>
  <si>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</si>
  <si>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</si>
  <si>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</si>
  <si>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</si>
  <si>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</si>
  <si>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</si>
  <si>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</si>
  <si>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</si>
  <si>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</si>
  <si>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</si>
  <si>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</si>
  <si>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</si>
  <si>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</si>
  <si>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</si>
  <si>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</si>
  <si>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</si>
  <si>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</si>
  <si>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</si>
  <si>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</si>
  <si>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</si>
  <si>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</si>
  <si>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</si>
  <si>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</si>
  <si>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</si>
  <si>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</si>
  <si>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</si>
  <si>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</si>
  <si>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</si>
  <si>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</si>
  <si>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</si>
  <si>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</si>
  <si>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</si>
  <si>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</si>
  <si>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</si>
  <si>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</si>
  <si>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</si>
  <si>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</si>
  <si>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</si>
  <si>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</si>
  <si>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</si>
  <si>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</si>
  <si>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</si>
  <si>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</si>
  <si>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</si>
  <si>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</si>
  <si>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</si>
  <si>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</si>
  <si>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</si>
  <si>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</si>
  <si>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</si>
  <si>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</si>
  <si>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</si>
  <si>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</si>
  <si>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</si>
  <si>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</si>
  <si>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</si>
  <si>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</si>
  <si>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</si>
  <si>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</si>
  <si>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</si>
  <si>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</si>
  <si>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</si>
  <si>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</si>
  <si>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</si>
  <si>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</si>
  <si>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</si>
  <si>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</si>
  <si>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</si>
  <si>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</si>
  <si>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</si>
  <si>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</si>
  <si>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</si>
  <si>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</si>
  <si>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</si>
  <si>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</si>
  <si>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</si>
  <si>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</si>
  <si>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</si>
  <si>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</si>
  <si>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</si>
  <si>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</si>
  <si>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</si>
  <si>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</si>
  <si>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</si>
  <si>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</si>
  <si>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</si>
  <si>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</si>
  <si>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</si>
  <si>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</si>
  <si>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</si>
  <si>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</si>
  <si>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</si>
  <si>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</si>
  <si>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</si>
  <si>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</si>
  <si>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</si>
  <si>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</si>
  <si>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</si>
  <si>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</si>
  <si>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</si>
  <si>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</si>
  <si>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</si>
  <si>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</si>
  <si>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</si>
  <si>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</si>
  <si>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</si>
  <si>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</si>
  <si>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</si>
  <si>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</si>
  <si>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</si>
  <si>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</si>
  <si>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</si>
  <si>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</si>
  <si>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</si>
  <si>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</si>
  <si>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</si>
  <si>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</si>
  <si>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</si>
  <si>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</si>
  <si>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</si>
  <si>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</si>
  <si>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</si>
  <si>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</si>
  <si>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</si>
  <si>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</si>
  <si>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</si>
  <si>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</si>
  <si>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</si>
  <si>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</si>
  <si>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</si>
  <si>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</si>
  <si>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</si>
  <si>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</si>
  <si>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</si>
  <si>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</si>
  <si>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</si>
  <si>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</si>
  <si>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</si>
  <si>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</si>
  <si>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</si>
  <si>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</si>
  <si>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</si>
  <si>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</si>
  <si>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</si>
  <si>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</si>
  <si>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</si>
  <si>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</si>
  <si>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</si>
  <si>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</si>
  <si>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</si>
  <si>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</si>
  <si>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</si>
  <si>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</si>
  <si>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</si>
  <si>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</si>
  <si>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</si>
  <si>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</si>
  <si>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</si>
  <si>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</si>
  <si>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</si>
  <si>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</si>
  <si>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</si>
  <si>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</si>
  <si>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</si>
  <si>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</si>
  <si>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</si>
  <si>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</si>
  <si>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</si>
  <si>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</si>
  <si>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</si>
  <si>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</si>
  <si>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</si>
  <si>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</si>
  <si>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</si>
  <si>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</si>
  <si>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</si>
  <si>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</si>
  <si>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</si>
  <si>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</si>
  <si>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</si>
  <si>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</si>
  <si>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</si>
  <si>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</si>
  <si>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</si>
  <si>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</si>
  <si>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</si>
  <si>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</si>
  <si>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</si>
  <si>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</si>
  <si>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</si>
  <si>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</si>
  <si>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</si>
  <si>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</si>
  <si>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</si>
  <si>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</si>
  <si>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</si>
  <si>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</si>
  <si>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</si>
  <si>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</si>
  <si>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</si>
  <si>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</si>
  <si>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</si>
  <si>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</si>
  <si>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</si>
  <si>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</si>
  <si>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</si>
  <si>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</si>
  <si>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</si>
  <si>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</si>
  <si>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</si>
  <si>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</si>
  <si>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</si>
  <si>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</si>
  <si>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</si>
  <si>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</si>
  <si>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</si>
  <si>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</si>
  <si>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</si>
  <si>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</si>
  <si>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</si>
  <si>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</si>
  <si>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</si>
  <si>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</si>
  <si>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</si>
  <si>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</si>
  <si>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</si>
  <si>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</si>
  <si>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</si>
  <si>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</si>
  <si>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</si>
  <si>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</si>
  <si>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</si>
  <si>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</si>
  <si>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</si>
  <si>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</si>
  <si>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</si>
  <si>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</si>
  <si>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</si>
  <si>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</si>
  <si>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</si>
  <si>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</si>
  <si>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</si>
  <si>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</si>
  <si>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</si>
  <si>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</si>
  <si>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</si>
  <si>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</si>
  <si>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</si>
  <si>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</si>
  <si>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</si>
  <si>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</si>
  <si>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</si>
  <si>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</si>
  <si>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</si>
  <si>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</si>
  <si>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</si>
  <si>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</si>
  <si>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</si>
  <si>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</si>
  <si>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</si>
  <si>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</si>
  <si>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</si>
  <si>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</si>
  <si>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</si>
  <si>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</si>
  <si>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</si>
  <si>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</si>
  <si>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</si>
  <si>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</si>
  <si>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</si>
  <si>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</si>
  <si>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</si>
  <si>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</si>
  <si>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</si>
  <si>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</si>
  <si>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</si>
  <si>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</si>
  <si>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</si>
  <si>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</si>
  <si>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</si>
  <si>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</si>
  <si>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</si>
  <si>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</si>
  <si>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</si>
  <si>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</si>
  <si>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</si>
  <si>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</si>
  <si>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</si>
  <si>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</si>
  <si>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</si>
  <si>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</si>
  <si>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</si>
  <si>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</si>
  <si>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</si>
  <si>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</si>
  <si>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</si>
  <si>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</si>
  <si>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</si>
  <si>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</si>
  <si>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</si>
  <si>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</si>
  <si>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</si>
  <si>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</si>
  <si>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</si>
  <si>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</si>
  <si>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</si>
  <si>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</si>
  <si>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</si>
  <si>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</si>
  <si>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</si>
  <si>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</si>
  <si>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</si>
  <si>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</si>
  <si>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</si>
  <si>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</si>
  <si>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</si>
  <si>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</si>
  <si>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</si>
  <si>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</si>
  <si>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</si>
  <si>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</si>
  <si>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</si>
  <si>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</si>
  <si>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</si>
  <si>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</si>
  <si>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</si>
  <si>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</si>
  <si>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</si>
  <si>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</si>
  <si>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</si>
  <si>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</si>
  <si>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</si>
  <si>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</si>
  <si>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</si>
  <si>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</si>
  <si>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</si>
  <si>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</si>
  <si>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</si>
  <si>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</si>
  <si>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</si>
  <si>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</si>
  <si>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</si>
  <si>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</si>
  <si>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</si>
  <si>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</si>
  <si>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</si>
  <si>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</si>
  <si>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</si>
  <si>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</si>
  <si>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</si>
  <si>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</si>
  <si>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</si>
  <si>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</si>
  <si>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</si>
  <si>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</si>
  <si>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</si>
  <si>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</si>
  <si>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</si>
  <si>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</si>
  <si>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</si>
  <si>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</si>
  <si>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</si>
  <si>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</si>
  <si>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</si>
  <si>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</si>
  <si>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</si>
  <si>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</si>
  <si>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</si>
  <si>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</si>
  <si>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</si>
  <si>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</si>
  <si>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</si>
  <si>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</si>
  <si>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</si>
  <si>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</si>
  <si>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</si>
  <si>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</si>
  <si>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</si>
  <si>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</si>
  <si>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</si>
  <si>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</si>
  <si>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</si>
  <si>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</si>
  <si>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</si>
  <si>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</si>
  <si>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</si>
  <si>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</si>
  <si>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</si>
  <si>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</si>
  <si>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</si>
  <si>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</si>
  <si>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</si>
  <si>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</si>
  <si>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</si>
  <si>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</si>
  <si>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</si>
  <si>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</si>
  <si>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</si>
  <si>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</si>
  <si>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</si>
  <si>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</si>
  <si>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</si>
  <si>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</si>
  <si>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</si>
  <si>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</si>
  <si>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</si>
  <si>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</si>
  <si>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</si>
  <si>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</si>
  <si>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</si>
  <si>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</si>
  <si>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</si>
  <si>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</si>
  <si>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</si>
  <si>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</si>
  <si>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</si>
  <si>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</si>
  <si>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</si>
  <si>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</si>
  <si>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</si>
  <si>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</si>
  <si>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</si>
  <si>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</si>
  <si>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</si>
  <si>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</si>
  <si>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</si>
  <si>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</si>
  <si>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</si>
  <si>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</si>
  <si>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</si>
  <si>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</si>
  <si>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</si>
  <si>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</si>
  <si>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</si>
  <si>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</si>
  <si>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</si>
  <si>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</si>
  <si>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</si>
  <si>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</si>
  <si>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</si>
  <si>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</si>
  <si>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</si>
  <si>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</si>
  <si>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</si>
  <si>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</si>
  <si>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</si>
  <si>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</si>
  <si>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</si>
  <si>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</si>
  <si>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</si>
  <si>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</si>
  <si>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</si>
  <si>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</si>
  <si>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</si>
  <si>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</si>
  <si>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</si>
  <si>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</si>
  <si>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</si>
  <si>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</si>
  <si>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</si>
  <si>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</si>
  <si>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</si>
  <si>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</si>
  <si>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</si>
  <si>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</si>
  <si>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</si>
  <si>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</si>
  <si>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</si>
  <si>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</si>
  <si>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</si>
  <si>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</si>
  <si>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</si>
  <si>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</si>
  <si>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</si>
  <si>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</si>
  <si>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</si>
  <si>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</si>
  <si>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</si>
  <si>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</si>
  <si>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</si>
  <si>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</si>
  <si>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</si>
  <si>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</si>
  <si>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</si>
  <si>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</si>
  <si>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</si>
  <si>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</si>
  <si>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</si>
  <si>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</si>
  <si>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</si>
  <si>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</si>
  <si>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</si>
  <si>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</si>
  <si>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</si>
  <si>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</si>
  <si>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</si>
  <si>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</si>
  <si>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</si>
  <si>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</si>
  <si>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</si>
  <si>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</si>
  <si>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</si>
  <si>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</si>
  <si>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</si>
  <si>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</si>
  <si>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</si>
  <si>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</si>
  <si>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</si>
  <si>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</si>
  <si>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</si>
  <si>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</si>
  <si>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</si>
  <si>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</si>
  <si>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</si>
  <si>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</si>
  <si>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</si>
  <si>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</si>
  <si>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</si>
  <si>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</si>
  <si>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</si>
  <si>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</si>
  <si>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</si>
  <si>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</si>
  <si>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</si>
  <si>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</si>
  <si>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</si>
  <si>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</si>
  <si>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</si>
  <si>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</si>
  <si>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</si>
  <si>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</si>
  <si>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</si>
  <si>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</si>
  <si>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</si>
  <si>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</si>
  <si>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</si>
  <si>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</si>
  <si>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</si>
  <si>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</si>
  <si>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</si>
  <si>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</si>
  <si>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</si>
  <si>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</si>
  <si>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</si>
  <si>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</si>
  <si>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</si>
  <si>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</si>
  <si>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</si>
  <si>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</si>
  <si>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</si>
  <si>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</si>
  <si>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</si>
  <si>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</si>
  <si>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</si>
  <si>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</si>
  <si>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</si>
  <si>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</si>
  <si>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</si>
  <si>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</si>
  <si>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</si>
  <si>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</si>
  <si>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</si>
  <si>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</si>
  <si>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</si>
  <si>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</si>
  <si>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</si>
  <si>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</si>
  <si>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</si>
  <si>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</si>
  <si>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</si>
  <si>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</si>
  <si>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</si>
  <si>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</si>
  <si>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</si>
  <si>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</si>
  <si>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</si>
  <si>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</si>
  <si>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</si>
  <si>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</si>
  <si>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</si>
  <si>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</si>
  <si>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</si>
  <si>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</si>
  <si>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</si>
  <si>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</si>
  <si>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</si>
  <si>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</si>
  <si>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</si>
  <si>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</si>
  <si>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</si>
  <si>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</si>
  <si>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</si>
  <si>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</si>
  <si>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</si>
  <si>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</si>
  <si>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</si>
  <si>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</si>
  <si>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</si>
  <si>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</si>
  <si>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</si>
  <si>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</si>
  <si>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</si>
  <si>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</si>
  <si>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</si>
  <si>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</si>
  <si>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</si>
  <si>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</si>
  <si>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</si>
  <si>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</si>
  <si>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</si>
  <si>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</si>
  <si>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</si>
  <si>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</si>
  <si>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</si>
  <si>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</si>
  <si>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</si>
  <si>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</si>
  <si>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</si>
  <si>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</si>
  <si>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</si>
  <si>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</si>
  <si>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</si>
  <si>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</si>
  <si>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</si>
  <si>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</si>
  <si>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</si>
  <si>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</si>
  <si>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</si>
  <si>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</si>
  <si>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</si>
  <si>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</si>
  <si>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</si>
  <si>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</si>
  <si>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</si>
  <si>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</si>
  <si>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</si>
  <si>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</si>
  <si>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</si>
  <si>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</si>
  <si>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</si>
  <si>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</si>
  <si>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</si>
  <si>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</si>
  <si>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</si>
  <si>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</si>
  <si>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</si>
  <si>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</si>
  <si>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</si>
  <si>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</si>
  <si>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</si>
  <si>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</si>
  <si>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</si>
  <si>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</si>
  <si>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</si>
  <si>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</si>
  <si>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</si>
  <si>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</si>
  <si>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</si>
  <si>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</si>
  <si>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</si>
  <si>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</si>
  <si>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</si>
  <si>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</si>
  <si>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</si>
  <si>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</si>
  <si>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</si>
  <si>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</si>
  <si>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</si>
  <si>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</si>
  <si>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</si>
  <si>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</si>
  <si>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</si>
  <si>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</si>
  <si>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</si>
  <si>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</si>
  <si>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</si>
  <si>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</si>
  <si>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</si>
  <si>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</si>
  <si>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</si>
  <si>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</si>
  <si>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</si>
  <si>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</si>
  <si>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</si>
  <si>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</si>
  <si>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</si>
  <si>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</si>
  <si>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</si>
  <si>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</si>
  <si>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</si>
  <si>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</si>
  <si>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</si>
  <si>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</si>
  <si>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</si>
  <si>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</si>
  <si>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</si>
  <si>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</si>
  <si>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</si>
  <si>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</si>
  <si>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</si>
  <si>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</si>
  <si>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</si>
  <si>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</si>
  <si>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</si>
  <si>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</si>
  <si>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</si>
  <si>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</si>
  <si>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</si>
  <si>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</si>
  <si>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</si>
  <si>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</si>
  <si>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</si>
  <si>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</si>
  <si>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</si>
  <si>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</si>
  <si>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</si>
  <si>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</si>
  <si>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</si>
  <si>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</si>
  <si>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</si>
  <si>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</si>
  <si>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</si>
  <si>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</si>
  <si>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</si>
  <si>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</si>
  <si>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</si>
  <si>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</si>
  <si>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</si>
  <si>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</si>
  <si>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</si>
  <si>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</si>
  <si>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</si>
  <si>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</si>
  <si>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</si>
  <si>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</si>
  <si>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</si>
  <si>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</si>
  <si>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</si>
  <si>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</si>
  <si>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</si>
  <si>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</si>
  <si>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</si>
  <si>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</si>
  <si>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</si>
  <si>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</si>
  <si>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</si>
  <si>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</si>
  <si>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</si>
  <si>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</si>
  <si>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</si>
  <si>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</si>
  <si>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</si>
  <si>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</si>
  <si>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</si>
  <si>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</si>
  <si>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</si>
  <si>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</si>
  <si>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</si>
  <si>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</si>
  <si>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</si>
  <si>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</si>
  <si>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</si>
  <si>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</si>
  <si>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</si>
  <si>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</si>
  <si>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</si>
  <si>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</si>
  <si>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</si>
  <si>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</si>
  <si>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</si>
  <si>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</si>
  <si>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</si>
  <si>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</si>
  <si>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</si>
  <si>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</si>
  <si>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</si>
  <si>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</si>
  <si>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</si>
  <si>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</si>
  <si>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</si>
  <si>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</si>
  <si>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</si>
  <si>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</si>
  <si>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</si>
  <si>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</si>
  <si>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</si>
  <si>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</si>
  <si>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</si>
  <si>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</si>
  <si>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</si>
  <si>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</si>
  <si>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</si>
  <si>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</si>
  <si>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</si>
  <si>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</si>
  <si>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</si>
  <si>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</si>
  <si>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</si>
  <si>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</si>
  <si>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</si>
  <si>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</si>
  <si>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</si>
  <si>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</si>
  <si>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</si>
  <si>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</si>
  <si>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</si>
  <si>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</si>
  <si>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</si>
  <si>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</si>
  <si>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</si>
  <si>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</si>
  <si>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</si>
  <si>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</si>
  <si>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</si>
  <si>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</si>
  <si>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</si>
  <si>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</si>
  <si>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</si>
  <si>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</si>
  <si>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</si>
  <si>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</si>
  <si>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</si>
  <si>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</si>
  <si>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</si>
  <si>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</si>
  <si>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</si>
  <si>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</si>
  <si>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</si>
  <si>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</si>
  <si>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</si>
  <si>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</si>
  <si>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</si>
  <si>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</si>
  <si>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</si>
  <si>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</si>
  <si>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</si>
  <si>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</si>
  <si>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</si>
  <si>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</si>
  <si>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</si>
  <si>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</si>
  <si>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</si>
  <si>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</si>
  <si>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</si>
  <si>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</si>
  <si>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</si>
  <si>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</si>
  <si>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</si>
  <si>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</si>
  <si>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</si>
  <si>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</si>
  <si>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</si>
  <si>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</si>
  <si>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</si>
  <si>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</si>
  <si>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</si>
  <si>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</si>
  <si>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</si>
  <si>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</si>
  <si>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</si>
  <si>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</si>
  <si>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</si>
  <si>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</si>
  <si>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</si>
  <si>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</si>
  <si>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</si>
  <si>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</si>
  <si>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</si>
  <si>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</si>
  <si>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</si>
  <si>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</si>
  <si>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</si>
  <si>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</si>
  <si>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</si>
  <si>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</si>
  <si>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</si>
  <si>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</si>
  <si>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</si>
  <si>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</si>
  <si>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</si>
  <si>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</si>
  <si>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</si>
  <si>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</si>
  <si>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</si>
  <si>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</si>
  <si>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</si>
  <si>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</si>
  <si>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</si>
  <si>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</si>
  <si>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</si>
  <si>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</si>
  <si>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</si>
  <si>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</si>
  <si>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</si>
  <si>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</si>
  <si>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</si>
  <si>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</si>
  <si>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</si>
  <si>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</si>
  <si>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</si>
  <si>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</si>
  <si>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</si>
  <si>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</si>
  <si>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</si>
  <si>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</si>
  <si>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</si>
  <si>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</si>
  <si>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</si>
  <si>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</si>
  <si>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</si>
  <si>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</si>
  <si>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</si>
  <si>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</si>
  <si>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</si>
  <si>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</si>
  <si>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</si>
  <si>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</si>
  <si>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</si>
  <si>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</si>
  <si>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</si>
  <si>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</si>
  <si>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</si>
  <si>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</si>
  <si>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</si>
  <si>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</si>
  <si>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</si>
  <si>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</si>
  <si>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</si>
  <si>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</si>
  <si>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</si>
  <si>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</si>
  <si>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</si>
  <si>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</si>
  <si>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</si>
  <si>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</si>
  <si>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</si>
  <si>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</si>
  <si>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</si>
  <si>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</si>
  <si>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</si>
  <si>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</si>
  <si>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</si>
  <si>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</si>
  <si>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</si>
  <si>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</si>
  <si>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</si>
  <si>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</si>
  <si>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</si>
  <si>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</si>
  <si>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</si>
  <si>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</si>
  <si>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</si>
  <si>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</si>
  <si>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</si>
  <si>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</si>
  <si>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</si>
  <si>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</si>
  <si>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</si>
  <si>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</si>
  <si>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</si>
  <si>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</si>
  <si>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</si>
  <si>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</si>
  <si>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</si>
  <si>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</si>
  <si>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</si>
  <si>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</si>
  <si>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</si>
  <si>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</si>
  <si>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</si>
  <si>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</si>
  <si>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</si>
  <si>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</si>
  <si>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</si>
  <si>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</si>
  <si>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</si>
  <si>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</si>
  <si>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</si>
  <si>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</si>
  <si>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</si>
  <si>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</si>
  <si>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</si>
  <si>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</si>
  <si>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</si>
  <si>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</si>
  <si>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</si>
  <si>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</si>
  <si>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</si>
  <si>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</si>
  <si>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</si>
  <si>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</si>
  <si>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</si>
  <si>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d.especificar</t>
  </si>
  <si>
    <t>ids.arquivo.nome</t>
  </si>
  <si>
    <t>Declara que o elemento deve ser da classe IFC especificada (ex. IfcWall).</t>
  </si>
  <si>
    <t>Declara que o elemento da classe IFC especificada deve ser do tipo predefinido (ex. PARTITIONING).</t>
  </si>
  <si>
    <t>Declara que os elementos devem ter um atributo com o nome especificado (ex. Name).</t>
  </si>
  <si>
    <t>Declara o que a regra se aplica ao elementos que tenham o PropertySet específicado (Pset_WallCommon).</t>
  </si>
  <si>
    <t>Declara o nome do material que deve ter a entidade (ex. Concreto).</t>
  </si>
  <si>
    <t>Declara a classe das entidades que devem estar incluídas (ex. IfcSpace)</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</si>
  <si>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</si>
  <si>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</si>
  <si>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</si>
  <si>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</si>
  <si>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</si>
  <si>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</si>
  <si>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</si>
  <si>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</si>
  <si>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</si>
  <si>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</si>
  <si>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</si>
  <si>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</si>
  <si>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</si>
  <si>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</si>
  <si>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</si>
  <si>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</si>
  <si>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</si>
  <si>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</si>
  <si>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</si>
  <si>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</si>
  <si>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</si>
  <si>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</si>
  <si>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</si>
  <si>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</si>
  <si>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</si>
  <si>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</si>
  <si>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</si>
  <si>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</si>
  <si>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</si>
  <si>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</si>
  <si>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</si>
  <si>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</si>
  <si>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</si>
  <si>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</si>
  <si>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</si>
  <si>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</si>
  <si>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</si>
  <si>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</si>
  <si>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</si>
  <si>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</si>
  <si>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</si>
  <si>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</si>
  <si>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</si>
  <si>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</si>
  <si>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</si>
  <si>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</si>
  <si>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</si>
  <si>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</si>
  <si>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</si>
  <si>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</si>
  <si>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</si>
  <si>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</si>
  <si>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</si>
  <si>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</si>
  <si>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</si>
  <si>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</si>
  <si>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</si>
  <si>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</si>
  <si>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</si>
  <si>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</si>
  <si>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</si>
  <si>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</si>
  <si>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</si>
  <si>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</si>
  <si>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</si>
  <si>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</si>
  <si>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</si>
  <si>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</si>
  <si>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</si>
  <si>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</si>
  <si>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</si>
  <si>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</si>
  <si>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</si>
  <si>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</si>
  <si>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</si>
  <si>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</si>
  <si>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</si>
  <si>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</si>
  <si>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</si>
  <si>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</si>
  <si>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que o elemento com o atributo especificado deve ter o valor específico (ex. JP1).</t>
  </si>
  <si>
    <t>Declara el Sistema de Classificação que deve estar especificado para os objetos (ex. ABNT 15965 3E).</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</si>
  <si>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</si>
  <si>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</si>
  <si>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</si>
  <si>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</si>
  <si>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</si>
  <si>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</si>
  <si>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</si>
  <si>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</si>
  <si>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</si>
  <si>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</si>
  <si>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</si>
  <si>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ids.arquivo.descrição</t>
  </si>
  <si>
    <t>Declara uma descrição para o conteúdo do IDS.</t>
  </si>
  <si>
    <t>ids.arquivo.data.criação</t>
  </si>
  <si>
    <t>Declara a Data de atualização.</t>
  </si>
  <si>
    <t>Declara a Data de criação.</t>
  </si>
  <si>
    <t>ids.arquivo.especificações</t>
  </si>
  <si>
    <t>ids.arquivo.especificação</t>
  </si>
  <si>
    <t>Declara que é uma seção de Especificações a serem avaliadas.</t>
  </si>
  <si>
    <t>Declara que é a seção de uma Especificação a ser avaliada.</t>
  </si>
  <si>
    <t>Declara um conjunto de requerimentos a serem avaliados.</t>
  </si>
  <si>
    <t xml:space="preserve">Declara um valor simples. Usa tipo de dado e </t>
  </si>
  <si>
    <t>Declara onde a regra deve ser aplicada. Usa ids:entity.</t>
  </si>
  <si>
    <t xml:space="preserve">Declara um valor de cardinalidade mínima. </t>
  </si>
  <si>
    <t xml:space="preserve">Declara um valor de cardinalidade máxima. </t>
  </si>
  <si>
    <t>"[ xs:minInclusive  , value ]"</t>
  </si>
  <si>
    <t>"[ xs:maxInclusive , value ]"</t>
  </si>
  <si>
    <t xml:space="preserve">Declara que abre os valores de cardinalidade mínima e máxima. </t>
  </si>
  <si>
    <t>Declara um valor extremo de mínima.</t>
  </si>
  <si>
    <t>Declara um valor extremo de máxima.</t>
  </si>
  <si>
    <t>"Nome do arquivo.ids"</t>
  </si>
  <si>
    <t>"[ &lt;ids:specification&gt; , name= , ifcVersion=  ]"</t>
  </si>
  <si>
    <t>"[ &lt;ids:material&gt; , &lt;/ids:material&gt; ]"</t>
  </si>
  <si>
    <t>"[ &lt;ids:entity&gt; , &lt;/ids:entity&gt; ]"</t>
  </si>
  <si>
    <t>"[ &lt;ids:creationDate&gt; , &lt;/ids:creationDate&gt; ]"</t>
  </si>
  <si>
    <t>"[ &lt;ids:date&gt; , &lt;/ids:date&gt; ]"</t>
  </si>
  <si>
    <t>"[ &lt;ids:author&gt; , &lt;/ids:author&gt; ]"</t>
  </si>
  <si>
    <t>"[ &lt;ids:description&gt; , &lt;/ids:description&gt;    ]"</t>
  </si>
  <si>
    <t>"[ &lt;ids:specifications&gt; , &lt;/ids:specifications&gt; ]"</t>
  </si>
  <si>
    <t>"[ &lt;ids:title&gt; , &lt;/ids:title&gt; ]"</t>
  </si>
  <si>
    <t>"[ &lt;ids:applicability&gt; , &lt;/ids:applicability&gt; ]"</t>
  </si>
  <si>
    <t>"[ &lt;ids:requirements&gt; , &lt;/ids:requirements&gt; ]"</t>
  </si>
  <si>
    <t>ids.esp.atributo.nome</t>
  </si>
  <si>
    <t>ids.esp.atributo.valor</t>
  </si>
  <si>
    <t>ids.esp.classificador</t>
  </si>
  <si>
    <t>ids.esp.classificador.valor</t>
  </si>
  <si>
    <t>ids.esp.entidade.classe</t>
  </si>
  <si>
    <t>ids.esp.entidade.tipo</t>
  </si>
  <si>
    <t>ids.esp.material.valor</t>
  </si>
  <si>
    <t>ids.esp.parte.de.entidade</t>
  </si>
  <si>
    <t>ids.esp.parte.de.relativa</t>
  </si>
  <si>
    <t>ids.esp.propriedade.conjunto</t>
  </si>
  <si>
    <t>ids.esp.propriedade.nome</t>
  </si>
  <si>
    <t>ids.esp.propriedade.valor</t>
  </si>
  <si>
    <t>ids.esp.aplicada.em</t>
  </si>
  <si>
    <t>ids.esp.requerida</t>
  </si>
  <si>
    <t>ids.esp.valor.simple</t>
  </si>
  <si>
    <t>ids.esp.cardinalidade</t>
  </si>
  <si>
    <t>ids.esp.cardinalidade.mínima</t>
  </si>
  <si>
    <t>ids.esp.cardinalidade.máxima</t>
  </si>
  <si>
    <t>ids.esp.extremo.mínimo</t>
  </si>
  <si>
    <t>ids.esp.extremo.máximo</t>
  </si>
  <si>
    <t>" - "</t>
  </si>
  <si>
    <t>"[ &lt;ids:simpleValue&gt; , &lt;/ids:simpleValue&gt; ]"</t>
  </si>
  <si>
    <t>"[ &lt;ids:maxOccurs&gt; , &lt;/ids:maxOccurs&gt; ]"</t>
  </si>
  <si>
    <t>"[ &lt;ids:minOccurs&gt; , &lt;/ids:minOccurs&gt; ]"</t>
  </si>
  <si>
    <t>"[ &lt;ids:cardinality&gt; , &lt;/ids:cardinality&gt;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</si>
</sst>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46220.650171990739</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02"/>
  <sheetViews>
    <sheetView tabSelected="1" zoomScale="220" zoomScaleNormal="220" workbookViewId="0">
      <pane ySplit="1" topLeftCell="A817" activePane="bottomLeft" state="frozen"/>
      <selection pane="bottomLeft" activeCell="G914" sqref="G914"/>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24"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11220</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11220</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11221</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11222</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11223</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11224</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11225</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11226</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11227</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11228</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11229</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11230</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11231</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11232</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11233</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11234</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11235</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11236</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11237</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11238</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11239</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11240</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11241</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11242</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11243</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11244</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11245</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11246</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11247</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11248</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11249</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11250</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19"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11251</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11252</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11253</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11254</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11255</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11253</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8"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11256</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11257</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11258</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11259</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11260</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66"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1"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89" si="513">IF(AB875="null", "null", "categoria.revit")</f>
        <v>categoria.revit</v>
      </c>
      <c r="AB875" s="19" t="s">
        <v>2103</v>
      </c>
      <c r="AC875" s="18" t="str">
        <f t="shared" ref="AC875:AC889" si="514">IF(AD875="null", "null", "classe.ifc")</f>
        <v>classe.ifc</v>
      </c>
      <c r="AD875" s="19" t="s">
        <v>2068</v>
      </c>
      <c r="AE875" s="18" t="str">
        <f t="shared" ref="AE875:AE889"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_xlfn.CONCAT("é.",G890)</f>
        <v>é.ids.arquivo.autor</v>
      </c>
      <c r="E890" s="8" t="s">
        <v>28</v>
      </c>
      <c r="F890" s="40" t="s">
        <v>11208</v>
      </c>
      <c r="G890" s="16" t="s">
        <v>11205</v>
      </c>
      <c r="H890" s="34" t="s">
        <v>1581</v>
      </c>
      <c r="I890" s="92" t="str">
        <f>IF(OR(J890="Functional",K890="InverseFunctional"),"Functional","null")</f>
        <v>null</v>
      </c>
      <c r="J890" s="80" t="s">
        <v>0</v>
      </c>
      <c r="K890" s="80" t="s">
        <v>0</v>
      </c>
      <c r="L890" s="80" t="s">
        <v>0</v>
      </c>
      <c r="M890" s="80" t="s">
        <v>0</v>
      </c>
      <c r="N890" s="80" t="s">
        <v>0</v>
      </c>
      <c r="O890" s="80" t="s">
        <v>0</v>
      </c>
      <c r="P890" s="80" t="s">
        <v>0</v>
      </c>
      <c r="Q890" s="80" t="s">
        <v>0</v>
      </c>
      <c r="R890" s="84" t="s">
        <v>0</v>
      </c>
      <c r="S890" s="10" t="s">
        <v>1</v>
      </c>
      <c r="T890" s="10" t="s">
        <v>10221</v>
      </c>
      <c r="U890" s="5" t="str">
        <f>_xlfn.CONCAT("Propriedade destinada a ",MID(C890,FIND("p.",C890,1)+2,100),": ",D890)</f>
        <v>Propriedade destinada a especificar: é.ids.arquivo.autor</v>
      </c>
      <c r="V890" s="5" t="str">
        <f>_xlfn.CONCAT("Dado para ",MID(F890,FIND("d.",F890,1)+2,100),":  ",G890, "  Deve ser formatado como (",H890, ")")</f>
        <v>Dado para especificar:  ids.arquivo.autor  Deve ser formatado como (rdfs:Literal  or  xsd:string)</v>
      </c>
      <c r="W890" s="69" t="s">
        <v>11308</v>
      </c>
      <c r="X890" s="17" t="str">
        <f t="shared" si="494"/>
        <v>d.espec.100</v>
      </c>
      <c r="Y890" s="17" t="str">
        <f t="shared" si="495"/>
        <v>Ação de especificar</v>
      </c>
      <c r="Z890" s="62" t="str">
        <f>_xlfn.TRANSLATE(W890,"pt","es")</f>
        <v>Declara el nombre del autor o de la organización responsable.</v>
      </c>
      <c r="AA890" s="18" t="str">
        <f>IF(AB890="null", "null", "categoria.revit")</f>
        <v>null</v>
      </c>
      <c r="AB890" s="19" t="s">
        <v>0</v>
      </c>
      <c r="AC890" s="18" t="str">
        <f>IF(AD890="null", "null", "classe.ifc")</f>
        <v>null</v>
      </c>
      <c r="AD890" s="19" t="s">
        <v>0</v>
      </c>
      <c r="AE890" s="18" t="str">
        <f>IF(AF890="null", "null", "propriedade")</f>
        <v>propriedade</v>
      </c>
      <c r="AF890" s="75" t="s">
        <v>11334</v>
      </c>
      <c r="AG890" s="38" t="str">
        <f>_xlfn.TRANSLATE(W890,"pt","en")</f>
        <v>Declares the name of the author or the responsible organization.</v>
      </c>
    </row>
    <row r="891" spans="1:33" ht="6" customHeight="1" x14ac:dyDescent="0.4">
      <c r="A891" s="4">
        <f>ROW()</f>
        <v>891</v>
      </c>
      <c r="B891" s="9" t="s">
        <v>27</v>
      </c>
      <c r="C891" s="44" t="str">
        <f>SUBSTITUTE(F891,"d.","p.")</f>
        <v>p.especificar</v>
      </c>
      <c r="D891" s="6" t="str">
        <f t="shared" ref="D891" si="517">_xlfn.CONCAT("é.",G891)</f>
        <v>é.ids.arquivo.nome</v>
      </c>
      <c r="E891" s="8" t="s">
        <v>28</v>
      </c>
      <c r="F891" s="34" t="str">
        <f>F890</f>
        <v>d.especificar</v>
      </c>
      <c r="G891" s="16" t="s">
        <v>11209</v>
      </c>
      <c r="H891" s="34" t="s">
        <v>1581</v>
      </c>
      <c r="I891" s="92" t="str">
        <f t="shared" ref="I891" si="518">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 t="shared" ref="U891" si="519">_xlfn.CONCAT("Propriedade destinada a ",MID(C891,FIND("p.",C891,1)+2,100),": ",D891)</f>
        <v>Propriedade destinada a especificar: é.ids.arquivo.nome</v>
      </c>
      <c r="V891" s="5" t="str">
        <f t="shared" ref="V891" si="520">_xlfn.CONCAT("Dado para ",MID(F891,FIND("d.",F891,1)+2,100),":  ",G891, "  Deve ser formatado como (",H891, ")")</f>
        <v>Dado para especificar:  ids.arquivo.nome  Deve ser formatado como (rdfs:Literal  or  xsd:string)</v>
      </c>
      <c r="W891" s="69" t="s">
        <v>11307</v>
      </c>
      <c r="X891" s="17" t="str">
        <f t="shared" si="494"/>
        <v>d.espec.101</v>
      </c>
      <c r="Y891" s="17" t="str">
        <f t="shared" si="495"/>
        <v>Ação de especificar</v>
      </c>
      <c r="Z891" s="62" t="str">
        <f t="shared" ref="Z891" si="521">_xlfn.TRANSLATE(W891,"pt","es")</f>
        <v>Declara el nombre del archivo de especificación IDS. (Ej: muros de hormigón. ids)</v>
      </c>
      <c r="AA891" s="18" t="str">
        <f t="shared" ref="AA891" si="522">IF(AB891="null", "null", "categoria.revit")</f>
        <v>null</v>
      </c>
      <c r="AB891" s="19" t="s">
        <v>0</v>
      </c>
      <c r="AC891" s="18" t="str">
        <f t="shared" ref="AC891" si="523">IF(AD891="null", "null", "classe.ifc")</f>
        <v>null</v>
      </c>
      <c r="AD891" s="19" t="s">
        <v>0</v>
      </c>
      <c r="AE891" s="18" t="str">
        <f t="shared" ref="AE891" si="524">IF(AF891="null", "null", "propriedade")</f>
        <v>propriedade</v>
      </c>
      <c r="AF891" s="75" t="s">
        <v>11328</v>
      </c>
      <c r="AG891" s="38" t="str">
        <f t="shared" ref="AG891:AG918" si="525">_xlfn.TRANSLATE(W891,"pt","en")</f>
        <v>Declares the Name of the IDS specification file. (Ex: Concrete walls.ids)</v>
      </c>
    </row>
    <row r="892" spans="1:33" ht="6" customHeight="1" x14ac:dyDescent="0.4">
      <c r="A892" s="4">
        <f>ROW()</f>
        <v>892</v>
      </c>
      <c r="B892" s="9" t="s">
        <v>27</v>
      </c>
      <c r="C892" s="44" t="str">
        <f>SUBSTITUTE(F892,"d.","p.")</f>
        <v>p.especificar</v>
      </c>
      <c r="D892" s="6" t="str">
        <f>_xlfn.CONCAT("é.",G892)</f>
        <v>é.ids.arquivo.data</v>
      </c>
      <c r="E892" s="8" t="s">
        <v>28</v>
      </c>
      <c r="F892" s="34" t="str">
        <f t="shared" ref="F892:F913" si="526">F891</f>
        <v>d.especificar</v>
      </c>
      <c r="G892" s="16" t="s">
        <v>11204</v>
      </c>
      <c r="H892" s="34" t="s">
        <v>1581</v>
      </c>
      <c r="I892" s="92" t="str">
        <f>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10221</v>
      </c>
      <c r="U892" s="5" t="str">
        <f>_xlfn.CONCAT("Propriedade destinada a ",MID(C892,FIND("p.",C892,1)+2,100),": ",D892)</f>
        <v>Propriedade destinada a especificar: é.ids.arquivo.data</v>
      </c>
      <c r="V892" s="5" t="str">
        <f>_xlfn.CONCAT("Dado para ",MID(F892,FIND("d.",F892,1)+2,100),":  ",G892, "  Deve ser formatado como (",H892, ")")</f>
        <v>Dado para especificar:  ids.arquivo.data  Deve ser formatado como (rdfs:Literal  or  xsd:string)</v>
      </c>
      <c r="W892" s="69" t="s">
        <v>11312</v>
      </c>
      <c r="X892" s="17" t="str">
        <f t="shared" si="494"/>
        <v>d.espec.102</v>
      </c>
      <c r="Y892" s="17" t="str">
        <f t="shared" si="495"/>
        <v>Ação de especificar</v>
      </c>
      <c r="Z892" s="62" t="str">
        <f>_xlfn.TRANSLATE(W892,"pt","es")</f>
        <v>Declara la fecha de actualización.</v>
      </c>
      <c r="AA892" s="18" t="str">
        <f>IF(AB892="null", "null", "categoria.revit")</f>
        <v>null</v>
      </c>
      <c r="AB892" s="19" t="s">
        <v>0</v>
      </c>
      <c r="AC892" s="18" t="str">
        <f>IF(AD892="null", "null", "classe.ifc")</f>
        <v>null</v>
      </c>
      <c r="AD892" s="19" t="s">
        <v>0</v>
      </c>
      <c r="AE892" s="18" t="str">
        <f>IF(AF892="null", "null", "propriedade")</f>
        <v>propriedade</v>
      </c>
      <c r="AF892" s="75" t="s">
        <v>11333</v>
      </c>
      <c r="AG892" s="38" t="str">
        <f t="shared" si="525"/>
        <v>Declares the Updated Date.</v>
      </c>
    </row>
    <row r="893" spans="1:33" ht="6" customHeight="1" x14ac:dyDescent="0.4">
      <c r="A893" s="4">
        <f>ROW()</f>
        <v>893</v>
      </c>
      <c r="B893" s="9" t="s">
        <v>27</v>
      </c>
      <c r="C893" s="44" t="str">
        <f>SUBSTITUTE(F893,"d.","p.")</f>
        <v>p.especificar</v>
      </c>
      <c r="D893" s="6" t="str">
        <f>_xlfn.CONCAT("é.",G893)</f>
        <v>é.ids.arquivo.data.criação</v>
      </c>
      <c r="E893" s="8" t="s">
        <v>28</v>
      </c>
      <c r="F893" s="34" t="str">
        <f t="shared" si="526"/>
        <v>d.especificar</v>
      </c>
      <c r="G893" s="16" t="s">
        <v>11311</v>
      </c>
      <c r="H893" s="34" t="s">
        <v>1581</v>
      </c>
      <c r="I893" s="92" t="str">
        <f>IF(OR(J893="Functional",K893="InverseFunctional"),"Functional","null")</f>
        <v>null</v>
      </c>
      <c r="J893" s="80" t="s">
        <v>0</v>
      </c>
      <c r="K893" s="80" t="s">
        <v>0</v>
      </c>
      <c r="L893" s="80" t="s">
        <v>0</v>
      </c>
      <c r="M893" s="80" t="s">
        <v>0</v>
      </c>
      <c r="N893" s="80" t="s">
        <v>0</v>
      </c>
      <c r="O893" s="80" t="s">
        <v>0</v>
      </c>
      <c r="P893" s="80" t="s">
        <v>0</v>
      </c>
      <c r="Q893" s="80" t="s">
        <v>0</v>
      </c>
      <c r="R893" s="84" t="s">
        <v>0</v>
      </c>
      <c r="S893" s="10" t="s">
        <v>1</v>
      </c>
      <c r="T893" s="10" t="s">
        <v>10221</v>
      </c>
      <c r="U893" s="5" t="str">
        <f>_xlfn.CONCAT("Propriedade destinada a ",MID(C893,FIND("p.",C893,1)+2,100),": ",D893)</f>
        <v>Propriedade destinada a especificar: é.ids.arquivo.data.criação</v>
      </c>
      <c r="V893" s="5" t="str">
        <f>_xlfn.CONCAT("Dado para ",MID(F893,FIND("d.",F893,1)+2,100),":  ",G893, "  Deve ser formatado como (",H893, ")")</f>
        <v>Dado para especificar:  ids.arquivo.data.criação  Deve ser formatado como (rdfs:Literal  or  xsd:string)</v>
      </c>
      <c r="W893" s="69" t="s">
        <v>11313</v>
      </c>
      <c r="X893" s="17" t="str">
        <f t="shared" si="494"/>
        <v>d.espec.103</v>
      </c>
      <c r="Y893" s="17" t="str">
        <f t="shared" si="495"/>
        <v>Ação de especificar</v>
      </c>
      <c r="Z893" s="62" t="str">
        <f>_xlfn.TRANSLATE(W893,"pt","es")</f>
        <v>Declara la fecha de creación.</v>
      </c>
      <c r="AA893" s="18" t="str">
        <f>IF(AB893="null", "null", "categoria.revit")</f>
        <v>null</v>
      </c>
      <c r="AB893" s="19" t="s">
        <v>0</v>
      </c>
      <c r="AC893" s="18" t="str">
        <f>IF(AD893="null", "null", "classe.ifc")</f>
        <v>null</v>
      </c>
      <c r="AD893" s="19" t="s">
        <v>0</v>
      </c>
      <c r="AE893" s="18" t="str">
        <f>IF(AF893="null", "null", "propriedade")</f>
        <v>propriedade</v>
      </c>
      <c r="AF893" s="75" t="s">
        <v>11332</v>
      </c>
      <c r="AG893" s="38" t="str">
        <f t="shared" si="525"/>
        <v>Declares the Creation Date.</v>
      </c>
    </row>
    <row r="894" spans="1:33" ht="6" customHeight="1" x14ac:dyDescent="0.4">
      <c r="A894" s="4">
        <f>ROW()</f>
        <v>894</v>
      </c>
      <c r="B894" s="9" t="s">
        <v>27</v>
      </c>
      <c r="C894" s="44" t="str">
        <f>SUBSTITUTE(F894,"d.","p.")</f>
        <v>p.especificar</v>
      </c>
      <c r="D894" s="6" t="str">
        <f>_xlfn.CONCAT("é.",G894)</f>
        <v>é.ids.arquivo.descrição</v>
      </c>
      <c r="E894" s="8" t="s">
        <v>28</v>
      </c>
      <c r="F894" s="34" t="str">
        <f t="shared" si="526"/>
        <v>d.especificar</v>
      </c>
      <c r="G894" s="16" t="s">
        <v>11309</v>
      </c>
      <c r="H894" s="34" t="s">
        <v>1581</v>
      </c>
      <c r="I894" s="92" t="str">
        <f>IF(OR(J894="Functional",K894="InverseFunctional"),"Functional","null")</f>
        <v>null</v>
      </c>
      <c r="J894" s="80" t="s">
        <v>0</v>
      </c>
      <c r="K894" s="80" t="s">
        <v>0</v>
      </c>
      <c r="L894" s="80" t="s">
        <v>0</v>
      </c>
      <c r="M894" s="80" t="s">
        <v>0</v>
      </c>
      <c r="N894" s="80" t="s">
        <v>0</v>
      </c>
      <c r="O894" s="80" t="s">
        <v>0</v>
      </c>
      <c r="P894" s="80" t="s">
        <v>0</v>
      </c>
      <c r="Q894" s="80" t="s">
        <v>0</v>
      </c>
      <c r="R894" s="84" t="s">
        <v>0</v>
      </c>
      <c r="S894" s="10" t="s">
        <v>1</v>
      </c>
      <c r="T894" s="10" t="s">
        <v>10221</v>
      </c>
      <c r="U894" s="5" t="str">
        <f>_xlfn.CONCAT("Propriedade destinada a ",MID(C894,FIND("p.",C894,1)+2,100),": ",D894)</f>
        <v>Propriedade destinada a especificar: é.ids.arquivo.descrição</v>
      </c>
      <c r="V894" s="5" t="str">
        <f>_xlfn.CONCAT("Dado para ",MID(F894,FIND("d.",F894,1)+2,100),":  ",G894, "  Deve ser formatado como (",H894, ")")</f>
        <v>Dado para especificar:  ids.arquivo.descrição  Deve ser formatado como (rdfs:Literal  or  xsd:string)</v>
      </c>
      <c r="W894" s="69" t="s">
        <v>11310</v>
      </c>
      <c r="X894" s="17" t="str">
        <f t="shared" si="494"/>
        <v>d.espec.104</v>
      </c>
      <c r="Y894" s="17" t="str">
        <f t="shared" si="495"/>
        <v>Ação de especificar</v>
      </c>
      <c r="Z894" s="62" t="str">
        <f>_xlfn.TRANSLATE(W894,"pt","es")</f>
        <v>Declara una descripción del contenido del IDS.</v>
      </c>
      <c r="AA894" s="18" t="str">
        <f>IF(AB894="null", "null", "categoria.revit")</f>
        <v>null</v>
      </c>
      <c r="AB894" s="19" t="s">
        <v>0</v>
      </c>
      <c r="AC894" s="18" t="str">
        <f>IF(AD894="null", "null", "classe.ifc")</f>
        <v>null</v>
      </c>
      <c r="AD894" s="19" t="s">
        <v>0</v>
      </c>
      <c r="AE894" s="18" t="str">
        <f>IF(AF894="null", "null", "propriedade")</f>
        <v>propriedade</v>
      </c>
      <c r="AF894" s="75" t="s">
        <v>11335</v>
      </c>
      <c r="AG894" s="38" t="str">
        <f t="shared" si="525"/>
        <v>Declares a description for the content of the IDS.</v>
      </c>
    </row>
    <row r="895" spans="1:33" ht="6" customHeight="1" x14ac:dyDescent="0.4">
      <c r="A895" s="4">
        <f>ROW()</f>
        <v>895</v>
      </c>
      <c r="B895" s="9" t="s">
        <v>27</v>
      </c>
      <c r="C895" s="44" t="str">
        <f t="shared" ref="C895:C918" si="527">SUBSTITUTE(F895,"d.","p.")</f>
        <v>p.especificar</v>
      </c>
      <c r="D895" s="6" t="str">
        <f t="shared" ref="D895:D918" si="528">_xlfn.CONCAT("é.",G895)</f>
        <v>é.ids.arquivo.especificações</v>
      </c>
      <c r="E895" s="8" t="s">
        <v>28</v>
      </c>
      <c r="F895" s="34" t="str">
        <f t="shared" si="526"/>
        <v>d.especificar</v>
      </c>
      <c r="G895" s="16" t="s">
        <v>11314</v>
      </c>
      <c r="H895" s="34" t="s">
        <v>1581</v>
      </c>
      <c r="I895" s="92" t="str">
        <f t="shared" ref="I895:I918" si="529">IF(OR(J895="Functional",K895="InverseFunctional"),"Functional","null")</f>
        <v>null</v>
      </c>
      <c r="J895" s="80" t="s">
        <v>0</v>
      </c>
      <c r="K895" s="80" t="s">
        <v>0</v>
      </c>
      <c r="L895" s="80" t="s">
        <v>0</v>
      </c>
      <c r="M895" s="80" t="s">
        <v>0</v>
      </c>
      <c r="N895" s="80" t="s">
        <v>0</v>
      </c>
      <c r="O895" s="80" t="s">
        <v>0</v>
      </c>
      <c r="P895" s="80" t="s">
        <v>0</v>
      </c>
      <c r="Q895" s="80" t="s">
        <v>0</v>
      </c>
      <c r="R895" s="84" t="s">
        <v>0</v>
      </c>
      <c r="S895" s="10" t="s">
        <v>1</v>
      </c>
      <c r="T895" s="10" t="s">
        <v>10221</v>
      </c>
      <c r="U895" s="5" t="str">
        <f t="shared" ref="U895:U918" si="530">_xlfn.CONCAT("Propriedade destinada a ",MID(C895,FIND("p.",C895,1)+2,100),": ",D895)</f>
        <v>Propriedade destinada a especificar: é.ids.arquivo.especificações</v>
      </c>
      <c r="V895" s="5" t="str">
        <f t="shared" ref="V895:V918" si="531">_xlfn.CONCAT("Dado para ",MID(F895,FIND("d.",F895,1)+2,100),":  ",G895, "  Deve ser formatado como (",H895, ")")</f>
        <v>Dado para especificar:  ids.arquivo.especificações  Deve ser formatado como (rdfs:Literal  or  xsd:string)</v>
      </c>
      <c r="W895" s="69" t="s">
        <v>11316</v>
      </c>
      <c r="X895" s="17" t="str">
        <f t="shared" si="494"/>
        <v>d.espec.105</v>
      </c>
      <c r="Y895" s="17" t="str">
        <f t="shared" si="495"/>
        <v>Ação de especificar</v>
      </c>
      <c r="Z895" s="62" t="str">
        <f t="shared" ref="Z895:Z918" si="532">_xlfn.TRANSLATE(W895,"pt","es")</f>
        <v>Declara que es una sección de las Especificaciones a evaluar.</v>
      </c>
      <c r="AA895" s="18" t="str">
        <f t="shared" ref="AA895:AA918" si="533">IF(AB895="null", "null", "categoria.revit")</f>
        <v>null</v>
      </c>
      <c r="AB895" s="19" t="s">
        <v>0</v>
      </c>
      <c r="AC895" s="18" t="str">
        <f t="shared" ref="AC895:AC918" si="534">IF(AD895="null", "null", "classe.ifc")</f>
        <v>null</v>
      </c>
      <c r="AD895" s="19" t="s">
        <v>0</v>
      </c>
      <c r="AE895" s="18" t="str">
        <f t="shared" ref="AE895:AE918" si="535">IF(AF895="null", "null", "propriedade")</f>
        <v>propriedade</v>
      </c>
      <c r="AF895" s="75" t="s">
        <v>11336</v>
      </c>
      <c r="AG895" s="38" t="str">
        <f t="shared" si="525"/>
        <v>Declares that it is a section of Specifications to be evaluated.</v>
      </c>
    </row>
    <row r="896" spans="1:33" ht="6" customHeight="1" x14ac:dyDescent="0.4">
      <c r="A896" s="4">
        <f>ROW()</f>
        <v>896</v>
      </c>
      <c r="B896" s="9" t="s">
        <v>27</v>
      </c>
      <c r="C896" s="44" t="str">
        <f t="shared" si="527"/>
        <v>p.especificar</v>
      </c>
      <c r="D896" s="6" t="str">
        <f t="shared" si="528"/>
        <v>é.ids.arquivo.especificação</v>
      </c>
      <c r="E896" s="8" t="s">
        <v>28</v>
      </c>
      <c r="F896" s="34" t="str">
        <f t="shared" si="526"/>
        <v>d.especificar</v>
      </c>
      <c r="G896" s="16" t="s">
        <v>11315</v>
      </c>
      <c r="H896" s="34" t="s">
        <v>1581</v>
      </c>
      <c r="I896" s="92" t="str">
        <f t="shared" si="529"/>
        <v>null</v>
      </c>
      <c r="J896" s="80" t="s">
        <v>0</v>
      </c>
      <c r="K896" s="80" t="s">
        <v>0</v>
      </c>
      <c r="L896" s="80" t="s">
        <v>0</v>
      </c>
      <c r="M896" s="80" t="s">
        <v>0</v>
      </c>
      <c r="N896" s="80" t="s">
        <v>0</v>
      </c>
      <c r="O896" s="80" t="s">
        <v>0</v>
      </c>
      <c r="P896" s="80" t="s">
        <v>0</v>
      </c>
      <c r="Q896" s="80" t="s">
        <v>0</v>
      </c>
      <c r="R896" s="84" t="s">
        <v>0</v>
      </c>
      <c r="S896" s="10" t="s">
        <v>1</v>
      </c>
      <c r="T896" s="10" t="s">
        <v>10221</v>
      </c>
      <c r="U896" s="5" t="str">
        <f t="shared" si="530"/>
        <v>Propriedade destinada a especificar: é.ids.arquivo.especificação</v>
      </c>
      <c r="V896" s="5" t="str">
        <f t="shared" si="531"/>
        <v>Dado para especificar:  ids.arquivo.especificação  Deve ser formatado como (rdfs:Literal  or  xsd:string)</v>
      </c>
      <c r="W896" s="69" t="s">
        <v>11317</v>
      </c>
      <c r="X896" s="17" t="str">
        <f t="shared" si="494"/>
        <v>d.espec.106</v>
      </c>
      <c r="Y896" s="17" t="str">
        <f t="shared" si="495"/>
        <v>Ação de especificar</v>
      </c>
      <c r="Z896" s="62" t="str">
        <f t="shared" si="532"/>
        <v>Declara que es la sección de una Especificación que debe ser evaluada.</v>
      </c>
      <c r="AA896" s="18" t="str">
        <f t="shared" si="533"/>
        <v>null</v>
      </c>
      <c r="AB896" s="19" t="s">
        <v>0</v>
      </c>
      <c r="AC896" s="18" t="str">
        <f t="shared" si="534"/>
        <v>null</v>
      </c>
      <c r="AD896" s="19" t="s">
        <v>0</v>
      </c>
      <c r="AE896" s="18" t="str">
        <f t="shared" si="535"/>
        <v>propriedade</v>
      </c>
      <c r="AF896" s="75" t="s">
        <v>11329</v>
      </c>
      <c r="AG896" s="38" t="str">
        <f t="shared" si="525"/>
        <v>Declares that it is the section of a Specification to be evaluated.</v>
      </c>
    </row>
    <row r="897" spans="1:33" s="7" customFormat="1" ht="6" customHeight="1" x14ac:dyDescent="0.2">
      <c r="A897" s="4">
        <f>ROW()</f>
        <v>897</v>
      </c>
      <c r="B897" s="9" t="s">
        <v>27</v>
      </c>
      <c r="C897" s="44" t="str">
        <f t="shared" si="527"/>
        <v>p.especificar</v>
      </c>
      <c r="D897" s="6" t="str">
        <f t="shared" si="528"/>
        <v>é.ids.arquivo.título</v>
      </c>
      <c r="E897" s="8" t="s">
        <v>28</v>
      </c>
      <c r="F897" s="34" t="str">
        <f t="shared" si="526"/>
        <v>d.especificar</v>
      </c>
      <c r="G897" s="16" t="s">
        <v>11207</v>
      </c>
      <c r="H897" s="34" t="s">
        <v>1581</v>
      </c>
      <c r="I897" s="92" t="str">
        <f t="shared" si="529"/>
        <v>null</v>
      </c>
      <c r="J897" s="80" t="s">
        <v>0</v>
      </c>
      <c r="K897" s="80" t="s">
        <v>0</v>
      </c>
      <c r="L897" s="80" t="s">
        <v>0</v>
      </c>
      <c r="M897" s="80" t="s">
        <v>0</v>
      </c>
      <c r="N897" s="80" t="s">
        <v>0</v>
      </c>
      <c r="O897" s="80" t="s">
        <v>0</v>
      </c>
      <c r="P897" s="80" t="s">
        <v>0</v>
      </c>
      <c r="Q897" s="80" t="s">
        <v>0</v>
      </c>
      <c r="R897" s="84" t="s">
        <v>0</v>
      </c>
      <c r="S897" s="10" t="s">
        <v>1</v>
      </c>
      <c r="T897" s="10" t="s">
        <v>10221</v>
      </c>
      <c r="U897" s="5" t="str">
        <f t="shared" si="530"/>
        <v>Propriedade destinada a especificar: é.ids.arquivo.título</v>
      </c>
      <c r="V897" s="5" t="str">
        <f t="shared" si="531"/>
        <v>Dado para especificar:  ids.arquivo.título  Deve ser formatado como (rdfs:Literal  or  xsd:string)</v>
      </c>
      <c r="W897" s="69" t="s">
        <v>11306</v>
      </c>
      <c r="X897" s="17" t="str">
        <f t="shared" si="494"/>
        <v>d.espec.107</v>
      </c>
      <c r="Y897" s="17" t="str">
        <f t="shared" si="495"/>
        <v>Ação de especificar</v>
      </c>
      <c r="Z897" s="62" t="str">
        <f t="shared" si="532"/>
        <v>Declara el título del archivo de especificación IDS. (Ej: Muros de hormigón)</v>
      </c>
      <c r="AA897" s="18" t="str">
        <f t="shared" si="533"/>
        <v>null</v>
      </c>
      <c r="AB897" s="19" t="s">
        <v>0</v>
      </c>
      <c r="AC897" s="18" t="str">
        <f t="shared" si="534"/>
        <v>null</v>
      </c>
      <c r="AD897" s="19" t="s">
        <v>0</v>
      </c>
      <c r="AE897" s="18" t="str">
        <f t="shared" si="535"/>
        <v>propriedade</v>
      </c>
      <c r="AF897" s="75" t="s">
        <v>11337</v>
      </c>
      <c r="AG897" s="38" t="str">
        <f t="shared" si="525"/>
        <v>Declares the Title of the IDS specification file. (Ex: Concrete walls)</v>
      </c>
    </row>
    <row r="898" spans="1:33" s="7" customFormat="1" ht="6" customHeight="1" x14ac:dyDescent="0.2">
      <c r="A898" s="4">
        <f>ROW()</f>
        <v>898</v>
      </c>
      <c r="B898" s="9" t="s">
        <v>27</v>
      </c>
      <c r="C898" s="44" t="str">
        <f t="shared" si="527"/>
        <v>p.especificar</v>
      </c>
      <c r="D898" s="6" t="str">
        <f t="shared" si="528"/>
        <v>é.ids.arquivo.versão</v>
      </c>
      <c r="E898" s="8" t="s">
        <v>28</v>
      </c>
      <c r="F898" s="34" t="str">
        <f t="shared" si="526"/>
        <v>d.especificar</v>
      </c>
      <c r="G898" s="16" t="s">
        <v>11206</v>
      </c>
      <c r="H898" s="34" t="s">
        <v>1581</v>
      </c>
      <c r="I898" s="92" t="str">
        <f t="shared" si="529"/>
        <v>null</v>
      </c>
      <c r="J898" s="80" t="s">
        <v>0</v>
      </c>
      <c r="K898" s="80" t="s">
        <v>0</v>
      </c>
      <c r="L898" s="80" t="s">
        <v>0</v>
      </c>
      <c r="M898" s="80" t="s">
        <v>0</v>
      </c>
      <c r="N898" s="80" t="s">
        <v>0</v>
      </c>
      <c r="O898" s="80" t="s">
        <v>0</v>
      </c>
      <c r="P898" s="80" t="s">
        <v>0</v>
      </c>
      <c r="Q898" s="80" t="s">
        <v>0</v>
      </c>
      <c r="R898" s="84" t="s">
        <v>0</v>
      </c>
      <c r="S898" s="10" t="s">
        <v>1</v>
      </c>
      <c r="T898" s="10" t="s">
        <v>10221</v>
      </c>
      <c r="U898" s="5" t="str">
        <f t="shared" si="530"/>
        <v>Propriedade destinada a especificar: é.ids.arquivo.versão</v>
      </c>
      <c r="V898" s="5" t="str">
        <f t="shared" si="531"/>
        <v>Dado para especificar:  ids.arquivo.versão  Deve ser formatado como (rdfs:Literal  or  xsd:string)</v>
      </c>
      <c r="W898" s="69" t="s">
        <v>11295</v>
      </c>
      <c r="X898" s="17" t="str">
        <f t="shared" si="494"/>
        <v>d.espec.108</v>
      </c>
      <c r="Y898" s="17" t="str">
        <f t="shared" si="495"/>
        <v>Ação de especificar</v>
      </c>
      <c r="Z898" s="62" t="str">
        <f t="shared" si="532"/>
        <v>Declara la versión específica del IFC. ifcVersion='IFC3X4'.</v>
      </c>
      <c r="AA898" s="18" t="str">
        <f t="shared" si="533"/>
        <v>null</v>
      </c>
      <c r="AB898" s="19" t="s">
        <v>0</v>
      </c>
      <c r="AC898" s="18" t="str">
        <f t="shared" si="534"/>
        <v>null</v>
      </c>
      <c r="AD898" s="19" t="s">
        <v>0</v>
      </c>
      <c r="AE898" s="18" t="str">
        <f t="shared" si="535"/>
        <v>propriedade</v>
      </c>
      <c r="AF898" s="75" t="s">
        <v>11360</v>
      </c>
      <c r="AG898" s="38" t="str">
        <f t="shared" si="525"/>
        <v>Declares the specific version of the IFC. ifcVersion='IFC3X4'.</v>
      </c>
    </row>
    <row r="899" spans="1:33" ht="6" customHeight="1" x14ac:dyDescent="0.4">
      <c r="A899" s="4">
        <f>ROW()</f>
        <v>899</v>
      </c>
      <c r="B899" s="9" t="s">
        <v>27</v>
      </c>
      <c r="C899" s="44" t="str">
        <f t="shared" si="527"/>
        <v>p.especificar</v>
      </c>
      <c r="D899" s="6" t="str">
        <f t="shared" si="528"/>
        <v>é.ids.esp.atributo.nome</v>
      </c>
      <c r="E899" s="8" t="s">
        <v>28</v>
      </c>
      <c r="F899" s="34" t="str">
        <f t="shared" si="526"/>
        <v>d.especificar</v>
      </c>
      <c r="G899" s="16" t="s">
        <v>11340</v>
      </c>
      <c r="H899" s="34" t="s">
        <v>1581</v>
      </c>
      <c r="I899" s="92" t="str">
        <f t="shared" si="529"/>
        <v>null</v>
      </c>
      <c r="J899" s="80" t="s">
        <v>0</v>
      </c>
      <c r="K899" s="80" t="s">
        <v>0</v>
      </c>
      <c r="L899" s="80" t="s">
        <v>0</v>
      </c>
      <c r="M899" s="80" t="s">
        <v>0</v>
      </c>
      <c r="N899" s="80" t="s">
        <v>0</v>
      </c>
      <c r="O899" s="80" t="s">
        <v>0</v>
      </c>
      <c r="P899" s="80" t="s">
        <v>0</v>
      </c>
      <c r="Q899" s="80" t="s">
        <v>0</v>
      </c>
      <c r="R899" s="84" t="s">
        <v>0</v>
      </c>
      <c r="S899" s="10" t="s">
        <v>1</v>
      </c>
      <c r="T899" s="10" t="s">
        <v>10221</v>
      </c>
      <c r="U899" s="5" t="str">
        <f t="shared" si="530"/>
        <v>Propriedade destinada a especificar: é.ids.esp.atributo.nome</v>
      </c>
      <c r="V899" s="5" t="str">
        <f t="shared" si="531"/>
        <v>Dado para especificar:  ids.esp.atributo.nome  Deve ser formatado como (rdfs:Literal  or  xsd:string)</v>
      </c>
      <c r="W899" s="69" t="s">
        <v>11212</v>
      </c>
      <c r="X899" s="17" t="str">
        <f t="shared" ref="X899:X962" si="536">IF(F898&lt;&gt;F899,_xlfn.CONCAT(RIGHT(LEFT(F899,7),7),".100"),_xlfn.CONCAT(RIGHT(LEFT(F899,7),7),".",SUM(VALUE(RIGHT(X898,3)),1)))</f>
        <v>d.espec.109</v>
      </c>
      <c r="Y899" s="17" t="str">
        <f t="shared" ref="Y899:Y962" si="537">_xlfn.CONCAT("Ação de ", SUBSTITUTE(F899, "d.",  ""))</f>
        <v>Ação de especificar</v>
      </c>
      <c r="Z899" s="62" t="str">
        <f t="shared" si="532"/>
        <v>Declara que los elementos deben tener un atributo con el nombre especificado (por ejemplo, Nombre).</v>
      </c>
      <c r="AA899" s="18" t="str">
        <f t="shared" si="533"/>
        <v>null</v>
      </c>
      <c r="AB899" s="19" t="s">
        <v>0</v>
      </c>
      <c r="AC899" s="18" t="str">
        <f t="shared" si="534"/>
        <v>null</v>
      </c>
      <c r="AD899" s="19" t="s">
        <v>0</v>
      </c>
      <c r="AE899" s="18" t="str">
        <f t="shared" si="535"/>
        <v>propriedade</v>
      </c>
      <c r="AF899" s="75" t="s">
        <v>11360</v>
      </c>
      <c r="AG899" s="38" t="str">
        <f t="shared" si="525"/>
        <v>Declares that elements must have an attribute with the specified name (e.g. Name).</v>
      </c>
    </row>
    <row r="900" spans="1:33" ht="6" customHeight="1" x14ac:dyDescent="0.4">
      <c r="A900" s="4">
        <f>ROW()</f>
        <v>900</v>
      </c>
      <c r="B900" s="9" t="s">
        <v>27</v>
      </c>
      <c r="C900" s="44" t="str">
        <f t="shared" si="527"/>
        <v>p.especificar</v>
      </c>
      <c r="D900" s="6" t="str">
        <f t="shared" si="528"/>
        <v>é.ids.esp.atributo.valor</v>
      </c>
      <c r="E900" s="8" t="s">
        <v>28</v>
      </c>
      <c r="F900" s="34" t="str">
        <f t="shared" si="526"/>
        <v>d.especificar</v>
      </c>
      <c r="G900" s="16" t="s">
        <v>11341</v>
      </c>
      <c r="H900" s="34" t="s">
        <v>1581</v>
      </c>
      <c r="I900" s="92" t="str">
        <f t="shared" si="529"/>
        <v>null</v>
      </c>
      <c r="J900" s="80" t="s">
        <v>0</v>
      </c>
      <c r="K900" s="80" t="s">
        <v>0</v>
      </c>
      <c r="L900" s="80" t="s">
        <v>0</v>
      </c>
      <c r="M900" s="80" t="s">
        <v>0</v>
      </c>
      <c r="N900" s="80" t="s">
        <v>0</v>
      </c>
      <c r="O900" s="80" t="s">
        <v>0</v>
      </c>
      <c r="P900" s="80" t="s">
        <v>0</v>
      </c>
      <c r="Q900" s="80" t="s">
        <v>0</v>
      </c>
      <c r="R900" s="84" t="s">
        <v>0</v>
      </c>
      <c r="S900" s="10" t="s">
        <v>1</v>
      </c>
      <c r="T900" s="10" t="s">
        <v>10221</v>
      </c>
      <c r="U900" s="5" t="str">
        <f t="shared" si="530"/>
        <v>Propriedade destinada a especificar: é.ids.esp.atributo.valor</v>
      </c>
      <c r="V900" s="5" t="str">
        <f t="shared" si="531"/>
        <v>Dado para especificar:  ids.esp.atributo.valor  Deve ser formatado como (rdfs:Literal  or  xsd:string)</v>
      </c>
      <c r="W900" s="69" t="s">
        <v>11296</v>
      </c>
      <c r="X900" s="17" t="str">
        <f t="shared" si="536"/>
        <v>d.espec.110</v>
      </c>
      <c r="Y900" s="17" t="str">
        <f t="shared" si="537"/>
        <v>Ação de especificar</v>
      </c>
      <c r="Z900" s="62" t="str">
        <f t="shared" si="532"/>
        <v>Declara que el elemento con el atributo especificado debe tener el valor específico (por ejemplo, JP1).</v>
      </c>
      <c r="AA900" s="18" t="str">
        <f t="shared" si="533"/>
        <v>null</v>
      </c>
      <c r="AB900" s="19" t="s">
        <v>0</v>
      </c>
      <c r="AC900" s="18" t="str">
        <f t="shared" si="534"/>
        <v>null</v>
      </c>
      <c r="AD900" s="19" t="s">
        <v>0</v>
      </c>
      <c r="AE900" s="18" t="str">
        <f t="shared" si="535"/>
        <v>propriedade</v>
      </c>
      <c r="AF900" s="75" t="s">
        <v>11360</v>
      </c>
      <c r="AG900" s="38" t="str">
        <f t="shared" si="525"/>
        <v>Declares that the element with the specified attribute must have the specific value (e.g. JP1).</v>
      </c>
    </row>
    <row r="901" spans="1:33" ht="6" customHeight="1" x14ac:dyDescent="0.4">
      <c r="A901" s="4">
        <f>ROW()</f>
        <v>901</v>
      </c>
      <c r="B901" s="9" t="s">
        <v>27</v>
      </c>
      <c r="C901" s="44" t="str">
        <f t="shared" si="527"/>
        <v>p.especificar</v>
      </c>
      <c r="D901" s="6" t="str">
        <f t="shared" si="528"/>
        <v>é.ids.esp.classificador</v>
      </c>
      <c r="E901" s="8" t="s">
        <v>28</v>
      </c>
      <c r="F901" s="34" t="str">
        <f t="shared" si="526"/>
        <v>d.especificar</v>
      </c>
      <c r="G901" s="16" t="s">
        <v>11342</v>
      </c>
      <c r="H901" s="34" t="s">
        <v>1581</v>
      </c>
      <c r="I901" s="92" t="str">
        <f t="shared" si="529"/>
        <v>null</v>
      </c>
      <c r="J901" s="80" t="s">
        <v>0</v>
      </c>
      <c r="K901" s="80" t="s">
        <v>0</v>
      </c>
      <c r="L901" s="80" t="s">
        <v>0</v>
      </c>
      <c r="M901" s="80" t="s">
        <v>0</v>
      </c>
      <c r="N901" s="80" t="s">
        <v>0</v>
      </c>
      <c r="O901" s="80" t="s">
        <v>0</v>
      </c>
      <c r="P901" s="80" t="s">
        <v>0</v>
      </c>
      <c r="Q901" s="80" t="s">
        <v>0</v>
      </c>
      <c r="R901" s="84" t="s">
        <v>0</v>
      </c>
      <c r="S901" s="10" t="s">
        <v>1</v>
      </c>
      <c r="T901" s="10" t="s">
        <v>10221</v>
      </c>
      <c r="U901" s="5" t="str">
        <f t="shared" si="530"/>
        <v>Propriedade destinada a especificar: é.ids.esp.classificador</v>
      </c>
      <c r="V901" s="5" t="str">
        <f t="shared" si="531"/>
        <v>Dado para especificar:  ids.esp.classificador  Deve ser formatado como (rdfs:Literal  or  xsd:string)</v>
      </c>
      <c r="W901" s="69" t="s">
        <v>11297</v>
      </c>
      <c r="X901" s="17" t="str">
        <f t="shared" si="536"/>
        <v>d.espec.111</v>
      </c>
      <c r="Y901" s="17" t="str">
        <f t="shared" si="537"/>
        <v>Ação de especificar</v>
      </c>
      <c r="Z901" s="62" t="str">
        <f t="shared" si="532"/>
        <v>Declara el Sistema de Clasificación que debe especificarse para objetos (por ejemplo, ABNT 15965 3E).</v>
      </c>
      <c r="AA901" s="18" t="str">
        <f t="shared" si="533"/>
        <v>null</v>
      </c>
      <c r="AB901" s="19" t="s">
        <v>0</v>
      </c>
      <c r="AC901" s="18" t="str">
        <f t="shared" si="534"/>
        <v>null</v>
      </c>
      <c r="AD901" s="19" t="s">
        <v>0</v>
      </c>
      <c r="AE901" s="18" t="str">
        <f t="shared" si="535"/>
        <v>propriedade</v>
      </c>
      <c r="AF901" s="75" t="s">
        <v>11360</v>
      </c>
      <c r="AG901" s="38" t="str">
        <f t="shared" si="525"/>
        <v>Declares the Classification System that must be specified for objects (e.g. ABNT 15965 3E).</v>
      </c>
    </row>
    <row r="902" spans="1:33" ht="6" customHeight="1" x14ac:dyDescent="0.4">
      <c r="A902" s="4">
        <f>ROW()</f>
        <v>902</v>
      </c>
      <c r="B902" s="9" t="s">
        <v>27</v>
      </c>
      <c r="C902" s="44" t="str">
        <f t="shared" si="527"/>
        <v>p.especificar</v>
      </c>
      <c r="D902" s="6" t="str">
        <f t="shared" si="528"/>
        <v>é.ids.esp.classificador.valor</v>
      </c>
      <c r="E902" s="8" t="s">
        <v>28</v>
      </c>
      <c r="F902" s="34" t="str">
        <f t="shared" si="526"/>
        <v>d.especificar</v>
      </c>
      <c r="G902" s="16" t="s">
        <v>11343</v>
      </c>
      <c r="H902" s="34" t="s">
        <v>1581</v>
      </c>
      <c r="I902" s="92" t="str">
        <f t="shared" si="529"/>
        <v>null</v>
      </c>
      <c r="J902" s="80" t="s">
        <v>0</v>
      </c>
      <c r="K902" s="80" t="s">
        <v>0</v>
      </c>
      <c r="L902" s="80" t="s">
        <v>0</v>
      </c>
      <c r="M902" s="80" t="s">
        <v>0</v>
      </c>
      <c r="N902" s="80" t="s">
        <v>0</v>
      </c>
      <c r="O902" s="80" t="s">
        <v>0</v>
      </c>
      <c r="P902" s="80" t="s">
        <v>0</v>
      </c>
      <c r="Q902" s="80" t="s">
        <v>0</v>
      </c>
      <c r="R902" s="84" t="s">
        <v>0</v>
      </c>
      <c r="S902" s="10" t="s">
        <v>1</v>
      </c>
      <c r="T902" s="10" t="s">
        <v>10221</v>
      </c>
      <c r="U902" s="5" t="str">
        <f t="shared" si="530"/>
        <v>Propriedade destinada a especificar: é.ids.esp.classificador.valor</v>
      </c>
      <c r="V902" s="5" t="str">
        <f t="shared" si="531"/>
        <v>Dado para especificar:  ids.esp.classificador.valor  Deve ser formatado como (rdfs:Literal  or  xsd:string)</v>
      </c>
      <c r="W902" s="69" t="s">
        <v>11298</v>
      </c>
      <c r="X902" s="17" t="str">
        <f t="shared" si="536"/>
        <v>d.espec.112</v>
      </c>
      <c r="Y902" s="17" t="str">
        <f t="shared" si="537"/>
        <v>Ação de especificar</v>
      </c>
      <c r="Z902" s="62" t="str">
        <f t="shared" si="532"/>
        <v>Declara el valor del código que debe especificarse (por ejemplo, 3E.14.02.02).</v>
      </c>
      <c r="AA902" s="18" t="str">
        <f t="shared" si="533"/>
        <v>null</v>
      </c>
      <c r="AB902" s="19" t="s">
        <v>0</v>
      </c>
      <c r="AC902" s="18" t="str">
        <f t="shared" si="534"/>
        <v>null</v>
      </c>
      <c r="AD902" s="19" t="s">
        <v>0</v>
      </c>
      <c r="AE902" s="18" t="str">
        <f t="shared" si="535"/>
        <v>propriedade</v>
      </c>
      <c r="AF902" s="75" t="s">
        <v>11360</v>
      </c>
      <c r="AG902" s="38" t="str">
        <f t="shared" si="525"/>
        <v>Declares the value of the code that should be specified (e.g. 3E.14.02.02).</v>
      </c>
    </row>
    <row r="903" spans="1:33" ht="6" customHeight="1" x14ac:dyDescent="0.4">
      <c r="A903" s="4">
        <f>ROW()</f>
        <v>903</v>
      </c>
      <c r="B903" s="9" t="s">
        <v>27</v>
      </c>
      <c r="C903" s="44" t="str">
        <f t="shared" si="527"/>
        <v>p.especificar</v>
      </c>
      <c r="D903" s="6" t="str">
        <f t="shared" si="528"/>
        <v>é.ids.esp.entidade.classe</v>
      </c>
      <c r="E903" s="8" t="s">
        <v>28</v>
      </c>
      <c r="F903" s="34" t="str">
        <f t="shared" si="526"/>
        <v>d.especificar</v>
      </c>
      <c r="G903" s="16" t="s">
        <v>11344</v>
      </c>
      <c r="H903" s="34" t="s">
        <v>1581</v>
      </c>
      <c r="I903" s="92" t="str">
        <f t="shared" si="529"/>
        <v>null</v>
      </c>
      <c r="J903" s="80" t="s">
        <v>0</v>
      </c>
      <c r="K903" s="80" t="s">
        <v>0</v>
      </c>
      <c r="L903" s="80" t="s">
        <v>0</v>
      </c>
      <c r="M903" s="80" t="s">
        <v>0</v>
      </c>
      <c r="N903" s="80" t="s">
        <v>0</v>
      </c>
      <c r="O903" s="80" t="s">
        <v>0</v>
      </c>
      <c r="P903" s="80" t="s">
        <v>0</v>
      </c>
      <c r="Q903" s="80" t="s">
        <v>0</v>
      </c>
      <c r="R903" s="84" t="s">
        <v>0</v>
      </c>
      <c r="S903" s="10" t="s">
        <v>1</v>
      </c>
      <c r="T903" s="10" t="s">
        <v>10221</v>
      </c>
      <c r="U903" s="5" t="str">
        <f t="shared" si="530"/>
        <v>Propriedade destinada a especificar: é.ids.esp.entidade.classe</v>
      </c>
      <c r="V903" s="5" t="str">
        <f t="shared" si="531"/>
        <v>Dado para especificar:  ids.esp.entidade.classe  Deve ser formatado como (rdfs:Literal  or  xsd:string)</v>
      </c>
      <c r="W903" s="69" t="s">
        <v>11210</v>
      </c>
      <c r="X903" s="17" t="str">
        <f t="shared" si="536"/>
        <v>d.espec.113</v>
      </c>
      <c r="Y903" s="17" t="str">
        <f t="shared" si="537"/>
        <v>Ação de especificar</v>
      </c>
      <c r="Z903" s="62" t="str">
        <f t="shared" si="532"/>
        <v>Declara que el elemento debe pertenecer a la clase IFC especificada (por ejemplo, IfcWall).</v>
      </c>
      <c r="AA903" s="18" t="str">
        <f t="shared" si="533"/>
        <v>null</v>
      </c>
      <c r="AB903" s="19" t="s">
        <v>0</v>
      </c>
      <c r="AC903" s="18" t="str">
        <f t="shared" si="534"/>
        <v>null</v>
      </c>
      <c r="AD903" s="19" t="s">
        <v>0</v>
      </c>
      <c r="AE903" s="18" t="str">
        <f t="shared" si="535"/>
        <v>propriedade</v>
      </c>
      <c r="AF903" s="75" t="s">
        <v>11360</v>
      </c>
      <c r="AG903" s="38" t="str">
        <f t="shared" si="525"/>
        <v>Declares that the element must be of the specified IFC class (e.g. IfcWall).</v>
      </c>
    </row>
    <row r="904" spans="1:33" ht="6" customHeight="1" x14ac:dyDescent="0.4">
      <c r="A904" s="4">
        <f>ROW()</f>
        <v>904</v>
      </c>
      <c r="B904" s="9" t="s">
        <v>27</v>
      </c>
      <c r="C904" s="44" t="str">
        <f t="shared" si="527"/>
        <v>p.especificar</v>
      </c>
      <c r="D904" s="6" t="str">
        <f t="shared" si="528"/>
        <v>é.ids.esp.entidade.tipo</v>
      </c>
      <c r="E904" s="8" t="s">
        <v>28</v>
      </c>
      <c r="F904" s="34" t="str">
        <f t="shared" si="526"/>
        <v>d.especificar</v>
      </c>
      <c r="G904" s="16" t="s">
        <v>11345</v>
      </c>
      <c r="H904" s="34" t="s">
        <v>1581</v>
      </c>
      <c r="I904" s="92" t="str">
        <f t="shared" si="529"/>
        <v>null</v>
      </c>
      <c r="J904" s="80" t="s">
        <v>0</v>
      </c>
      <c r="K904" s="80" t="s">
        <v>0</v>
      </c>
      <c r="L904" s="80" t="s">
        <v>0</v>
      </c>
      <c r="M904" s="80" t="s">
        <v>0</v>
      </c>
      <c r="N904" s="80" t="s">
        <v>0</v>
      </c>
      <c r="O904" s="80" t="s">
        <v>0</v>
      </c>
      <c r="P904" s="80" t="s">
        <v>0</v>
      </c>
      <c r="Q904" s="80" t="s">
        <v>0</v>
      </c>
      <c r="R904" s="84" t="s">
        <v>0</v>
      </c>
      <c r="S904" s="10" t="s">
        <v>1</v>
      </c>
      <c r="T904" s="10" t="s">
        <v>10221</v>
      </c>
      <c r="U904" s="5" t="str">
        <f t="shared" si="530"/>
        <v>Propriedade destinada a especificar: é.ids.esp.entidade.tipo</v>
      </c>
      <c r="V904" s="5" t="str">
        <f t="shared" si="531"/>
        <v>Dado para especificar:  ids.esp.entidade.tipo  Deve ser formatado como (rdfs:Literal  or  xsd:string)</v>
      </c>
      <c r="W904" s="69" t="s">
        <v>11211</v>
      </c>
      <c r="X904" s="17" t="str">
        <f t="shared" si="536"/>
        <v>d.espec.114</v>
      </c>
      <c r="Y904" s="17" t="str">
        <f t="shared" si="537"/>
        <v>Ação de especificar</v>
      </c>
      <c r="Z904" s="62" t="str">
        <f t="shared" si="532"/>
        <v>Declara que el elemento de la clase IFC especificada debe ser del tipo por defecto (por ejemplo, PARTITIONING).</v>
      </c>
      <c r="AA904" s="18" t="str">
        <f t="shared" si="533"/>
        <v>null</v>
      </c>
      <c r="AB904" s="19" t="s">
        <v>0</v>
      </c>
      <c r="AC904" s="18" t="str">
        <f t="shared" si="534"/>
        <v>null</v>
      </c>
      <c r="AD904" s="19" t="s">
        <v>0</v>
      </c>
      <c r="AE904" s="18" t="str">
        <f t="shared" si="535"/>
        <v>propriedade</v>
      </c>
      <c r="AF904" s="75" t="s">
        <v>11360</v>
      </c>
      <c r="AG904" s="38" t="str">
        <f t="shared" si="525"/>
        <v>Declares that the element of the specified IFC class must be of the default type (e.g. PARTITIONING).</v>
      </c>
    </row>
    <row r="905" spans="1:33" ht="6" customHeight="1" x14ac:dyDescent="0.4">
      <c r="A905" s="4">
        <f>ROW()</f>
        <v>905</v>
      </c>
      <c r="B905" s="9" t="s">
        <v>27</v>
      </c>
      <c r="C905" s="44" t="str">
        <f t="shared" si="527"/>
        <v>p.especificar</v>
      </c>
      <c r="D905" s="6" t="str">
        <f t="shared" si="528"/>
        <v>é.ids.esp.material.valor</v>
      </c>
      <c r="E905" s="8" t="s">
        <v>28</v>
      </c>
      <c r="F905" s="34" t="str">
        <f t="shared" si="526"/>
        <v>d.especificar</v>
      </c>
      <c r="G905" s="16" t="s">
        <v>11346</v>
      </c>
      <c r="H905" s="34" t="s">
        <v>1581</v>
      </c>
      <c r="I905" s="92" t="str">
        <f t="shared" si="529"/>
        <v>null</v>
      </c>
      <c r="J905" s="80" t="s">
        <v>0</v>
      </c>
      <c r="K905" s="80" t="s">
        <v>0</v>
      </c>
      <c r="L905" s="80" t="s">
        <v>0</v>
      </c>
      <c r="M905" s="80" t="s">
        <v>0</v>
      </c>
      <c r="N905" s="80" t="s">
        <v>0</v>
      </c>
      <c r="O905" s="80" t="s">
        <v>0</v>
      </c>
      <c r="P905" s="80" t="s">
        <v>0</v>
      </c>
      <c r="Q905" s="80" t="s">
        <v>0</v>
      </c>
      <c r="R905" s="84" t="s">
        <v>0</v>
      </c>
      <c r="S905" s="10" t="s">
        <v>1</v>
      </c>
      <c r="T905" s="10" t="s">
        <v>10221</v>
      </c>
      <c r="U905" s="5" t="str">
        <f t="shared" si="530"/>
        <v>Propriedade destinada a especificar: é.ids.esp.material.valor</v>
      </c>
      <c r="V905" s="5" t="str">
        <f t="shared" si="531"/>
        <v>Dado para especificar:  ids.esp.material.valor  Deve ser formatado como (rdfs:Literal  or  xsd:string)</v>
      </c>
      <c r="W905" s="69" t="s">
        <v>11214</v>
      </c>
      <c r="X905" s="17" t="str">
        <f t="shared" si="536"/>
        <v>d.espec.115</v>
      </c>
      <c r="Y905" s="17" t="str">
        <f t="shared" si="537"/>
        <v>Ação de especificar</v>
      </c>
      <c r="Z905" s="62" t="str">
        <f t="shared" si="532"/>
        <v>Declara el nombre del material que la entidad debe tener (por ejemplo, Concreto).</v>
      </c>
      <c r="AA905" s="18" t="str">
        <f t="shared" si="533"/>
        <v>null</v>
      </c>
      <c r="AB905" s="19" t="s">
        <v>0</v>
      </c>
      <c r="AC905" s="18" t="str">
        <f t="shared" si="534"/>
        <v>null</v>
      </c>
      <c r="AD905" s="19" t="s">
        <v>0</v>
      </c>
      <c r="AE905" s="18" t="str">
        <f t="shared" si="535"/>
        <v>propriedade</v>
      </c>
      <c r="AF905" s="75" t="s">
        <v>11330</v>
      </c>
      <c r="AG905" s="38" t="str">
        <f t="shared" si="525"/>
        <v>Declares the name of the material that the entity must have (e.g. Concrete).</v>
      </c>
    </row>
    <row r="906" spans="1:33" ht="6" customHeight="1" x14ac:dyDescent="0.4">
      <c r="A906" s="4">
        <f>ROW()</f>
        <v>906</v>
      </c>
      <c r="B906" s="9" t="s">
        <v>27</v>
      </c>
      <c r="C906" s="44" t="str">
        <f t="shared" si="527"/>
        <v>p.especificar</v>
      </c>
      <c r="D906" s="6" t="str">
        <f t="shared" si="528"/>
        <v>é.ids.esp.parte.de.entidade</v>
      </c>
      <c r="E906" s="8" t="s">
        <v>28</v>
      </c>
      <c r="F906" s="34" t="str">
        <f t="shared" si="526"/>
        <v>d.especificar</v>
      </c>
      <c r="G906" s="16" t="s">
        <v>11347</v>
      </c>
      <c r="H906" s="34" t="s">
        <v>1581</v>
      </c>
      <c r="I906" s="92" t="str">
        <f t="shared" si="529"/>
        <v>null</v>
      </c>
      <c r="J906" s="80" t="s">
        <v>0</v>
      </c>
      <c r="K906" s="80" t="s">
        <v>0</v>
      </c>
      <c r="L906" s="80" t="s">
        <v>0</v>
      </c>
      <c r="M906" s="80" t="s">
        <v>0</v>
      </c>
      <c r="N906" s="80" t="s">
        <v>0</v>
      </c>
      <c r="O906" s="80" t="s">
        <v>0</v>
      </c>
      <c r="P906" s="80" t="s">
        <v>0</v>
      </c>
      <c r="Q906" s="80" t="s">
        <v>0</v>
      </c>
      <c r="R906" s="84" t="s">
        <v>0</v>
      </c>
      <c r="S906" s="10" t="s">
        <v>1</v>
      </c>
      <c r="T906" s="10" t="s">
        <v>10221</v>
      </c>
      <c r="U906" s="5" t="str">
        <f t="shared" si="530"/>
        <v>Propriedade destinada a especificar: é.ids.esp.parte.de.entidade</v>
      </c>
      <c r="V906" s="5" t="str">
        <f t="shared" si="531"/>
        <v>Dado para especificar:  ids.esp.parte.de.entidade  Deve ser formatado como (rdfs:Literal  or  xsd:string)</v>
      </c>
      <c r="W906" s="69" t="s">
        <v>11215</v>
      </c>
      <c r="X906" s="17" t="str">
        <f t="shared" si="536"/>
        <v>d.espec.116</v>
      </c>
      <c r="Y906" s="17" t="str">
        <f t="shared" si="537"/>
        <v>Ação de especificar</v>
      </c>
      <c r="Z906" s="62" t="str">
        <f t="shared" si="532"/>
        <v>Declara la clase de entidades que deben incluirse (por ejemplo, IfcSpace)</v>
      </c>
      <c r="AA906" s="18" t="str">
        <f t="shared" si="533"/>
        <v>null</v>
      </c>
      <c r="AB906" s="19" t="s">
        <v>0</v>
      </c>
      <c r="AC906" s="18" t="str">
        <f t="shared" si="534"/>
        <v>null</v>
      </c>
      <c r="AD906" s="19" t="s">
        <v>0</v>
      </c>
      <c r="AE906" s="18" t="str">
        <f t="shared" si="535"/>
        <v>propriedade</v>
      </c>
      <c r="AF906" s="75" t="s">
        <v>11331</v>
      </c>
      <c r="AG906" s="38" t="str">
        <f t="shared" si="525"/>
        <v>Declares the class of entities that should be included (e.g. IfcSpace)</v>
      </c>
    </row>
    <row r="907" spans="1:33" ht="6" customHeight="1" x14ac:dyDescent="0.4">
      <c r="A907" s="4">
        <f>ROW()</f>
        <v>907</v>
      </c>
      <c r="B907" s="9" t="s">
        <v>27</v>
      </c>
      <c r="C907" s="44" t="str">
        <f t="shared" si="527"/>
        <v>p.especificar</v>
      </c>
      <c r="D907" s="6" t="str">
        <f t="shared" si="528"/>
        <v>é.ids.esp.parte.de.relativa</v>
      </c>
      <c r="E907" s="8" t="s">
        <v>28</v>
      </c>
      <c r="F907" s="34" t="str">
        <f t="shared" si="526"/>
        <v>d.especificar</v>
      </c>
      <c r="G907" s="16" t="s">
        <v>11348</v>
      </c>
      <c r="H907" s="34" t="s">
        <v>1581</v>
      </c>
      <c r="I907" s="92" t="str">
        <f t="shared" si="529"/>
        <v>null</v>
      </c>
      <c r="J907" s="80" t="s">
        <v>0</v>
      </c>
      <c r="K907" s="80" t="s">
        <v>0</v>
      </c>
      <c r="L907" s="80" t="s">
        <v>0</v>
      </c>
      <c r="M907" s="80" t="s">
        <v>0</v>
      </c>
      <c r="N907" s="80" t="s">
        <v>0</v>
      </c>
      <c r="O907" s="80" t="s">
        <v>0</v>
      </c>
      <c r="P907" s="80" t="s">
        <v>0</v>
      </c>
      <c r="Q907" s="80" t="s">
        <v>0</v>
      </c>
      <c r="R907" s="84" t="s">
        <v>0</v>
      </c>
      <c r="S907" s="10" t="s">
        <v>1</v>
      </c>
      <c r="T907" s="10" t="s">
        <v>10221</v>
      </c>
      <c r="U907" s="5" t="str">
        <f t="shared" si="530"/>
        <v>Propriedade destinada a especificar: é.ids.esp.parte.de.relativa</v>
      </c>
      <c r="V907" s="5" t="str">
        <f t="shared" si="531"/>
        <v>Dado para especificar:  ids.esp.parte.de.relativa  Deve ser formatado como (rdfs:Literal  or  xsd:string)</v>
      </c>
      <c r="W907" s="69" t="s">
        <v>11299</v>
      </c>
      <c r="X907" s="17" t="str">
        <f t="shared" si="536"/>
        <v>d.espec.117</v>
      </c>
      <c r="Y907" s="17" t="str">
        <f t="shared" si="537"/>
        <v>Ação de especificar</v>
      </c>
      <c r="Z907" s="62" t="str">
        <f t="shared" si="532"/>
        <v>Declara la clase general a la que debe pertenecer el objeto especificado (por ejemplo, RelContainedInSpatialStructure)</v>
      </c>
      <c r="AA907" s="18" t="str">
        <f t="shared" si="533"/>
        <v>null</v>
      </c>
      <c r="AB907" s="19" t="s">
        <v>0</v>
      </c>
      <c r="AC907" s="18" t="str">
        <f t="shared" si="534"/>
        <v>null</v>
      </c>
      <c r="AD907" s="19" t="s">
        <v>0</v>
      </c>
      <c r="AE907" s="18" t="str">
        <f t="shared" si="535"/>
        <v>propriedade</v>
      </c>
      <c r="AF907" s="75" t="s">
        <v>11360</v>
      </c>
      <c r="AG907" s="38" t="str">
        <f t="shared" si="525"/>
        <v>Declares the overarching class that the specified object should be from (e.g. RelContainedInSpatialStructure)</v>
      </c>
    </row>
    <row r="908" spans="1:33" ht="6" customHeight="1" x14ac:dyDescent="0.4">
      <c r="A908" s="4">
        <f>ROW()</f>
        <v>908</v>
      </c>
      <c r="B908" s="9" t="s">
        <v>27</v>
      </c>
      <c r="C908" s="44" t="str">
        <f t="shared" si="527"/>
        <v>p.especificar</v>
      </c>
      <c r="D908" s="6" t="str">
        <f t="shared" si="528"/>
        <v>é.ids.esp.propriedade.conjunto</v>
      </c>
      <c r="E908" s="8" t="s">
        <v>28</v>
      </c>
      <c r="F908" s="34" t="str">
        <f t="shared" si="526"/>
        <v>d.especificar</v>
      </c>
      <c r="G908" s="16" t="s">
        <v>11349</v>
      </c>
      <c r="H908" s="34" t="s">
        <v>1581</v>
      </c>
      <c r="I908" s="92" t="str">
        <f t="shared" si="529"/>
        <v>null</v>
      </c>
      <c r="J908" s="80" t="s">
        <v>0</v>
      </c>
      <c r="K908" s="80" t="s">
        <v>0</v>
      </c>
      <c r="L908" s="80" t="s">
        <v>0</v>
      </c>
      <c r="M908" s="80" t="s">
        <v>0</v>
      </c>
      <c r="N908" s="80" t="s">
        <v>0</v>
      </c>
      <c r="O908" s="80" t="s">
        <v>0</v>
      </c>
      <c r="P908" s="80" t="s">
        <v>0</v>
      </c>
      <c r="Q908" s="80" t="s">
        <v>0</v>
      </c>
      <c r="R908" s="84" t="s">
        <v>0</v>
      </c>
      <c r="S908" s="10" t="s">
        <v>1</v>
      </c>
      <c r="T908" s="10" t="s">
        <v>10221</v>
      </c>
      <c r="U908" s="5" t="str">
        <f t="shared" si="530"/>
        <v>Propriedade destinada a especificar: é.ids.esp.propriedade.conjunto</v>
      </c>
      <c r="V908" s="5" t="str">
        <f t="shared" si="531"/>
        <v>Dado para especificar:  ids.esp.propriedade.conjunto  Deve ser formatado como (rdfs:Literal  or  xsd:string)</v>
      </c>
      <c r="W908" s="69" t="s">
        <v>11213</v>
      </c>
      <c r="X908" s="17" t="str">
        <f t="shared" si="536"/>
        <v>d.espec.118</v>
      </c>
      <c r="Y908" s="17" t="str">
        <f t="shared" si="537"/>
        <v>Ação de especificar</v>
      </c>
      <c r="Z908" s="62" t="str">
        <f t="shared" si="532"/>
        <v>Declara que la regla se aplica a los elementos que tienen el PropertySet (Pset_WallCommon) especificado.</v>
      </c>
      <c r="AA908" s="18" t="str">
        <f t="shared" si="533"/>
        <v>null</v>
      </c>
      <c r="AB908" s="19" t="s">
        <v>0</v>
      </c>
      <c r="AC908" s="18" t="str">
        <f t="shared" si="534"/>
        <v>null</v>
      </c>
      <c r="AD908" s="19" t="s">
        <v>0</v>
      </c>
      <c r="AE908" s="18" t="str">
        <f t="shared" si="535"/>
        <v>propriedade</v>
      </c>
      <c r="AF908" s="75" t="s">
        <v>11360</v>
      </c>
      <c r="AG908" s="38" t="str">
        <f t="shared" si="525"/>
        <v>Declares that the rule applies to elements that have the specified PropertySet (Pset_WallCommon).</v>
      </c>
    </row>
    <row r="909" spans="1:33" ht="6" customHeight="1" x14ac:dyDescent="0.4">
      <c r="A909" s="4">
        <f>ROW()</f>
        <v>909</v>
      </c>
      <c r="B909" s="9" t="s">
        <v>27</v>
      </c>
      <c r="C909" s="44" t="str">
        <f t="shared" si="527"/>
        <v>p.especificar</v>
      </c>
      <c r="D909" s="6" t="str">
        <f t="shared" si="528"/>
        <v>é.ids.esp.propriedade.nome</v>
      </c>
      <c r="E909" s="8" t="s">
        <v>28</v>
      </c>
      <c r="F909" s="34" t="str">
        <f t="shared" si="526"/>
        <v>d.especificar</v>
      </c>
      <c r="G909" s="16" t="s">
        <v>11350</v>
      </c>
      <c r="H909" s="34" t="s">
        <v>1581</v>
      </c>
      <c r="I909" s="92" t="str">
        <f t="shared" si="529"/>
        <v>null</v>
      </c>
      <c r="J909" s="80" t="s">
        <v>0</v>
      </c>
      <c r="K909" s="80" t="s">
        <v>0</v>
      </c>
      <c r="L909" s="80" t="s">
        <v>0</v>
      </c>
      <c r="M909" s="80" t="s">
        <v>0</v>
      </c>
      <c r="N909" s="80" t="s">
        <v>0</v>
      </c>
      <c r="O909" s="80" t="s">
        <v>0</v>
      </c>
      <c r="P909" s="80" t="s">
        <v>0</v>
      </c>
      <c r="Q909" s="80" t="s">
        <v>0</v>
      </c>
      <c r="R909" s="84" t="s">
        <v>0</v>
      </c>
      <c r="S909" s="10" t="s">
        <v>1</v>
      </c>
      <c r="T909" s="10" t="s">
        <v>10221</v>
      </c>
      <c r="U909" s="5" t="str">
        <f t="shared" si="530"/>
        <v>Propriedade destinada a especificar: é.ids.esp.propriedade.nome</v>
      </c>
      <c r="V909" s="5" t="str">
        <f t="shared" si="531"/>
        <v>Dado para especificar:  ids.esp.propriedade.nome  Deve ser formatado como (rdfs:Literal  or  xsd:string)</v>
      </c>
      <c r="W909" s="69" t="s">
        <v>11300</v>
      </c>
      <c r="X909" s="17" t="str">
        <f t="shared" si="536"/>
        <v>d.espec.119</v>
      </c>
      <c r="Y909" s="17" t="str">
        <f t="shared" si="537"/>
        <v>Ação de especificar</v>
      </c>
      <c r="Z909" s="62" t="str">
        <f t="shared" si="532"/>
        <v>Declara que la propiedad específica (por ejemplo, LoadBearing) debe ser recuperada.</v>
      </c>
      <c r="AA909" s="18" t="str">
        <f t="shared" si="533"/>
        <v>null</v>
      </c>
      <c r="AB909" s="19" t="s">
        <v>0</v>
      </c>
      <c r="AC909" s="18" t="str">
        <f t="shared" si="534"/>
        <v>null</v>
      </c>
      <c r="AD909" s="19" t="s">
        <v>0</v>
      </c>
      <c r="AE909" s="18" t="str">
        <f t="shared" si="535"/>
        <v>propriedade</v>
      </c>
      <c r="AF909" s="75" t="s">
        <v>11360</v>
      </c>
      <c r="AG909" s="38" t="str">
        <f t="shared" si="525"/>
        <v>Declares that the specific property (e.g. LoadBearing) should be fetched.</v>
      </c>
    </row>
    <row r="910" spans="1:33" ht="6" customHeight="1" x14ac:dyDescent="0.4">
      <c r="A910" s="4">
        <f>ROW()</f>
        <v>910</v>
      </c>
      <c r="B910" s="9" t="s">
        <v>27</v>
      </c>
      <c r="C910" s="44" t="str">
        <f t="shared" si="527"/>
        <v>p.especificar</v>
      </c>
      <c r="D910" s="6" t="str">
        <f t="shared" si="528"/>
        <v>é.ids.esp.propriedade.valor</v>
      </c>
      <c r="E910" s="8" t="s">
        <v>28</v>
      </c>
      <c r="F910" s="34" t="str">
        <f t="shared" si="526"/>
        <v>d.especificar</v>
      </c>
      <c r="G910" s="16" t="s">
        <v>11351</v>
      </c>
      <c r="H910" s="34" t="s">
        <v>1581</v>
      </c>
      <c r="I910" s="92" t="str">
        <f t="shared" si="529"/>
        <v>null</v>
      </c>
      <c r="J910" s="80" t="s">
        <v>0</v>
      </c>
      <c r="K910" s="80" t="s">
        <v>0</v>
      </c>
      <c r="L910" s="80" t="s">
        <v>0</v>
      </c>
      <c r="M910" s="80" t="s">
        <v>0</v>
      </c>
      <c r="N910" s="80" t="s">
        <v>0</v>
      </c>
      <c r="O910" s="80" t="s">
        <v>0</v>
      </c>
      <c r="P910" s="80" t="s">
        <v>0</v>
      </c>
      <c r="Q910" s="80" t="s">
        <v>0</v>
      </c>
      <c r="R910" s="84" t="s">
        <v>0</v>
      </c>
      <c r="S910" s="10" t="s">
        <v>1</v>
      </c>
      <c r="T910" s="10" t="s">
        <v>10221</v>
      </c>
      <c r="U910" s="5" t="str">
        <f t="shared" si="530"/>
        <v>Propriedade destinada a especificar: é.ids.esp.propriedade.valor</v>
      </c>
      <c r="V910" s="5" t="str">
        <f t="shared" si="531"/>
        <v>Dado para especificar:  ids.esp.propriedade.valor  Deve ser formatado como (rdfs:Literal  or  xsd:string)</v>
      </c>
      <c r="W910" s="69" t="s">
        <v>11301</v>
      </c>
      <c r="X910" s="17" t="str">
        <f t="shared" si="536"/>
        <v>d.espec.120</v>
      </c>
      <c r="Y910" s="17" t="str">
        <f t="shared" si="537"/>
        <v>Ação de especificar</v>
      </c>
      <c r="Z910" s="62" t="str">
        <f t="shared" si="532"/>
        <v>Declara qué valor debe tener la propiedad (por ejemplo, VERDADERO).</v>
      </c>
      <c r="AA910" s="18" t="str">
        <f t="shared" si="533"/>
        <v>null</v>
      </c>
      <c r="AB910" s="19" t="s">
        <v>0</v>
      </c>
      <c r="AC910" s="18" t="str">
        <f t="shared" si="534"/>
        <v>null</v>
      </c>
      <c r="AD910" s="19" t="s">
        <v>0</v>
      </c>
      <c r="AE910" s="18" t="str">
        <f t="shared" si="535"/>
        <v>propriedade</v>
      </c>
      <c r="AF910" s="75" t="s">
        <v>11360</v>
      </c>
      <c r="AG910" s="38" t="str">
        <f t="shared" si="525"/>
        <v>Declares what value the property should have (e.g. TRUE).</v>
      </c>
    </row>
    <row r="911" spans="1:33" ht="6" customHeight="1" x14ac:dyDescent="0.4">
      <c r="A911" s="4">
        <f>ROW()</f>
        <v>911</v>
      </c>
      <c r="B911" s="9" t="s">
        <v>27</v>
      </c>
      <c r="C911" s="44" t="str">
        <f t="shared" si="527"/>
        <v>p.especificar</v>
      </c>
      <c r="D911" s="6" t="str">
        <f t="shared" si="528"/>
        <v>é.ids.esp.aplicada.em</v>
      </c>
      <c r="E911" s="8" t="s">
        <v>28</v>
      </c>
      <c r="F911" s="34" t="str">
        <f t="shared" si="526"/>
        <v>d.especificar</v>
      </c>
      <c r="G911" s="16" t="s">
        <v>11352</v>
      </c>
      <c r="H911" s="34" t="s">
        <v>1581</v>
      </c>
      <c r="I911" s="92" t="str">
        <f t="shared" si="529"/>
        <v>null</v>
      </c>
      <c r="J911" s="80" t="s">
        <v>0</v>
      </c>
      <c r="K911" s="80" t="s">
        <v>0</v>
      </c>
      <c r="L911" s="80" t="s">
        <v>0</v>
      </c>
      <c r="M911" s="80" t="s">
        <v>0</v>
      </c>
      <c r="N911" s="80" t="s">
        <v>0</v>
      </c>
      <c r="O911" s="80" t="s">
        <v>0</v>
      </c>
      <c r="P911" s="80" t="s">
        <v>0</v>
      </c>
      <c r="Q911" s="80" t="s">
        <v>0</v>
      </c>
      <c r="R911" s="84" t="s">
        <v>0</v>
      </c>
      <c r="S911" s="10" t="s">
        <v>1</v>
      </c>
      <c r="T911" s="10" t="s">
        <v>10221</v>
      </c>
      <c r="U911" s="5" t="str">
        <f t="shared" si="530"/>
        <v>Propriedade destinada a especificar: é.ids.esp.aplicada.em</v>
      </c>
      <c r="V911" s="5" t="str">
        <f t="shared" si="531"/>
        <v>Dado para especificar:  ids.esp.aplicada.em  Deve ser formatado como (rdfs:Literal  or  xsd:string)</v>
      </c>
      <c r="W911" s="69" t="s">
        <v>11320</v>
      </c>
      <c r="X911" s="17" t="str">
        <f t="shared" si="536"/>
        <v>d.espec.121</v>
      </c>
      <c r="Y911" s="17" t="str">
        <f t="shared" si="537"/>
        <v>Ação de especificar</v>
      </c>
      <c r="Z911" s="62" t="str">
        <f t="shared" si="532"/>
        <v>Declara dónde debe aplicarse la regla. Utiliza ids:entity.</v>
      </c>
      <c r="AA911" s="18" t="str">
        <f t="shared" si="533"/>
        <v>null</v>
      </c>
      <c r="AB911" s="19" t="s">
        <v>0</v>
      </c>
      <c r="AC911" s="18" t="str">
        <f t="shared" si="534"/>
        <v>null</v>
      </c>
      <c r="AD911" s="19" t="s">
        <v>0</v>
      </c>
      <c r="AE911" s="18" t="str">
        <f t="shared" si="535"/>
        <v>propriedade</v>
      </c>
      <c r="AF911" s="75" t="s">
        <v>11338</v>
      </c>
      <c r="AG911" s="38" t="str">
        <f t="shared" si="525"/>
        <v>Declares where the rule should be applied. Uses ids:entity.</v>
      </c>
    </row>
    <row r="912" spans="1:33" ht="6" customHeight="1" x14ac:dyDescent="0.4">
      <c r="A912" s="4">
        <f>ROW()</f>
        <v>912</v>
      </c>
      <c r="B912" s="9" t="s">
        <v>27</v>
      </c>
      <c r="C912" s="44" t="str">
        <f t="shared" si="527"/>
        <v>p.especificar</v>
      </c>
      <c r="D912" s="6" t="str">
        <f t="shared" si="528"/>
        <v>é.ids.esp.requerida</v>
      </c>
      <c r="E912" s="8" t="s">
        <v>28</v>
      </c>
      <c r="F912" s="34" t="str">
        <f t="shared" si="526"/>
        <v>d.especificar</v>
      </c>
      <c r="G912" s="16" t="s">
        <v>11353</v>
      </c>
      <c r="H912" s="34" t="s">
        <v>1581</v>
      </c>
      <c r="I912" s="92" t="str">
        <f t="shared" si="529"/>
        <v>null</v>
      </c>
      <c r="J912" s="80" t="s">
        <v>0</v>
      </c>
      <c r="K912" s="80" t="s">
        <v>0</v>
      </c>
      <c r="L912" s="80" t="s">
        <v>0</v>
      </c>
      <c r="M912" s="80" t="s">
        <v>0</v>
      </c>
      <c r="N912" s="80" t="s">
        <v>0</v>
      </c>
      <c r="O912" s="80" t="s">
        <v>0</v>
      </c>
      <c r="P912" s="80" t="s">
        <v>0</v>
      </c>
      <c r="Q912" s="80" t="s">
        <v>0</v>
      </c>
      <c r="R912" s="84" t="s">
        <v>0</v>
      </c>
      <c r="S912" s="10" t="s">
        <v>1</v>
      </c>
      <c r="T912" s="10" t="s">
        <v>10221</v>
      </c>
      <c r="U912" s="5" t="str">
        <f t="shared" si="530"/>
        <v>Propriedade destinada a especificar: é.ids.esp.requerida</v>
      </c>
      <c r="V912" s="5" t="str">
        <f t="shared" si="531"/>
        <v>Dado para especificar:  ids.esp.requerida  Deve ser formatado como (rdfs:Literal  or  xsd:string)</v>
      </c>
      <c r="W912" s="69" t="s">
        <v>11318</v>
      </c>
      <c r="X912" s="17" t="str">
        <f t="shared" si="536"/>
        <v>d.espec.122</v>
      </c>
      <c r="Y912" s="17" t="str">
        <f t="shared" si="537"/>
        <v>Ação de especificar</v>
      </c>
      <c r="Z912" s="62" t="str">
        <f t="shared" si="532"/>
        <v>Declara un conjunto de requisitos a evaluar.</v>
      </c>
      <c r="AA912" s="18" t="str">
        <f t="shared" si="533"/>
        <v>null</v>
      </c>
      <c r="AB912" s="19" t="s">
        <v>0</v>
      </c>
      <c r="AC912" s="18" t="str">
        <f t="shared" si="534"/>
        <v>null</v>
      </c>
      <c r="AD912" s="19" t="s">
        <v>0</v>
      </c>
      <c r="AE912" s="18" t="str">
        <f t="shared" si="535"/>
        <v>propriedade</v>
      </c>
      <c r="AF912" s="75" t="s">
        <v>11339</v>
      </c>
      <c r="AG912" s="38" t="str">
        <f t="shared" si="525"/>
        <v>Declares a set of requirements to be evaluated.</v>
      </c>
    </row>
    <row r="913" spans="1:33" ht="6" customHeight="1" x14ac:dyDescent="0.4">
      <c r="A913" s="4">
        <f>ROW()</f>
        <v>913</v>
      </c>
      <c r="B913" s="9" t="s">
        <v>27</v>
      </c>
      <c r="C913" s="44" t="str">
        <f t="shared" si="527"/>
        <v>p.especificar</v>
      </c>
      <c r="D913" s="6" t="str">
        <f t="shared" si="528"/>
        <v>é.ids.esp.valor.simple</v>
      </c>
      <c r="E913" s="8" t="s">
        <v>28</v>
      </c>
      <c r="F913" s="34" t="str">
        <f t="shared" si="526"/>
        <v>d.especificar</v>
      </c>
      <c r="G913" s="16" t="s">
        <v>11354</v>
      </c>
      <c r="H913" s="34" t="s">
        <v>1581</v>
      </c>
      <c r="I913" s="92" t="str">
        <f t="shared" si="529"/>
        <v>null</v>
      </c>
      <c r="J913" s="80" t="s">
        <v>0</v>
      </c>
      <c r="K913" s="80" t="s">
        <v>0</v>
      </c>
      <c r="L913" s="80" t="s">
        <v>0</v>
      </c>
      <c r="M913" s="80" t="s">
        <v>0</v>
      </c>
      <c r="N913" s="80" t="s">
        <v>0</v>
      </c>
      <c r="O913" s="80" t="s">
        <v>0</v>
      </c>
      <c r="P913" s="80" t="s">
        <v>0</v>
      </c>
      <c r="Q913" s="80" t="s">
        <v>0</v>
      </c>
      <c r="R913" s="84" t="s">
        <v>0</v>
      </c>
      <c r="S913" s="10" t="s">
        <v>1</v>
      </c>
      <c r="T913" s="10" t="s">
        <v>10221</v>
      </c>
      <c r="U913" s="5" t="str">
        <f t="shared" si="530"/>
        <v>Propriedade destinada a especificar: é.ids.esp.valor.simple</v>
      </c>
      <c r="V913" s="5" t="str">
        <f t="shared" si="531"/>
        <v>Dado para especificar:  ids.esp.valor.simple  Deve ser formatado como (rdfs:Literal  or  xsd:string)</v>
      </c>
      <c r="W913" s="69" t="s">
        <v>11319</v>
      </c>
      <c r="X913" s="17" t="str">
        <f t="shared" si="536"/>
        <v>d.espec.123</v>
      </c>
      <c r="Y913" s="17" t="str">
        <f t="shared" si="537"/>
        <v>Ação de especificar</v>
      </c>
      <c r="Z913" s="62" t="str">
        <f t="shared" si="532"/>
        <v>Declara un valor simple. Utiliza el tipo de dato y</v>
      </c>
      <c r="AA913" s="18" t="str">
        <f t="shared" si="533"/>
        <v>null</v>
      </c>
      <c r="AB913" s="19" t="s">
        <v>0</v>
      </c>
      <c r="AC913" s="18" t="str">
        <f t="shared" si="534"/>
        <v>null</v>
      </c>
      <c r="AD913" s="19" t="s">
        <v>0</v>
      </c>
      <c r="AE913" s="18" t="str">
        <f t="shared" si="535"/>
        <v>propriedade</v>
      </c>
      <c r="AF913" s="75" t="s">
        <v>11361</v>
      </c>
      <c r="AG913" s="38" t="str">
        <f t="shared" si="525"/>
        <v>Declares a simple value. Uses data type and</v>
      </c>
    </row>
    <row r="914" spans="1:33" ht="6" customHeight="1" x14ac:dyDescent="0.4">
      <c r="A914" s="4">
        <f>ROW()</f>
        <v>914</v>
      </c>
      <c r="B914" s="9" t="s">
        <v>27</v>
      </c>
      <c r="C914" s="44" t="str">
        <f t="shared" si="527"/>
        <v>p.especificar</v>
      </c>
      <c r="D914" s="6" t="str">
        <f t="shared" si="528"/>
        <v>é.ids.esp.cardinalidade</v>
      </c>
      <c r="E914" s="8" t="s">
        <v>28</v>
      </c>
      <c r="F914" s="34" t="str">
        <f>F912</f>
        <v>d.especificar</v>
      </c>
      <c r="G914" s="16" t="s">
        <v>11355</v>
      </c>
      <c r="H914" s="34" t="s">
        <v>1581</v>
      </c>
      <c r="I914" s="92" t="str">
        <f t="shared" si="529"/>
        <v>null</v>
      </c>
      <c r="J914" s="80" t="s">
        <v>0</v>
      </c>
      <c r="K914" s="80" t="s">
        <v>0</v>
      </c>
      <c r="L914" s="80" t="s">
        <v>0</v>
      </c>
      <c r="M914" s="80" t="s">
        <v>0</v>
      </c>
      <c r="N914" s="80" t="s">
        <v>0</v>
      </c>
      <c r="O914" s="80" t="s">
        <v>0</v>
      </c>
      <c r="P914" s="80" t="s">
        <v>0</v>
      </c>
      <c r="Q914" s="80" t="s">
        <v>0</v>
      </c>
      <c r="R914" s="84" t="s">
        <v>0</v>
      </c>
      <c r="S914" s="10" t="s">
        <v>1</v>
      </c>
      <c r="T914" s="10" t="s">
        <v>10221</v>
      </c>
      <c r="U914" s="5" t="str">
        <f t="shared" si="530"/>
        <v>Propriedade destinada a especificar: é.ids.esp.cardinalidade</v>
      </c>
      <c r="V914" s="5" t="str">
        <f t="shared" si="531"/>
        <v>Dado para especificar:  ids.esp.cardinalidade  Deve ser formatado como (rdfs:Literal  or  xsd:string)</v>
      </c>
      <c r="W914" s="69" t="s">
        <v>11325</v>
      </c>
      <c r="X914" s="17" t="str">
        <f t="shared" si="536"/>
        <v>d.espec.124</v>
      </c>
      <c r="Y914" s="17" t="str">
        <f t="shared" si="537"/>
        <v>Ação de especificar</v>
      </c>
      <c r="Z914" s="62" t="str">
        <f t="shared" si="532"/>
        <v>Declara que abre los valores de cardinalidad mínima y máxima.</v>
      </c>
      <c r="AA914" s="18" t="str">
        <f t="shared" si="533"/>
        <v>null</v>
      </c>
      <c r="AB914" s="19" t="s">
        <v>0</v>
      </c>
      <c r="AC914" s="18" t="str">
        <f t="shared" si="534"/>
        <v>null</v>
      </c>
      <c r="AD914" s="19" t="s">
        <v>0</v>
      </c>
      <c r="AE914" s="18" t="str">
        <f t="shared" si="535"/>
        <v>propriedade</v>
      </c>
      <c r="AF914" s="75" t="s">
        <v>11364</v>
      </c>
      <c r="AG914" s="38" t="str">
        <f t="shared" si="525"/>
        <v>Declares that it opens the minimum and maximum cardinality values.</v>
      </c>
    </row>
    <row r="915" spans="1:33" ht="6" customHeight="1" x14ac:dyDescent="0.4">
      <c r="A915" s="4">
        <f>ROW()</f>
        <v>915</v>
      </c>
      <c r="B915" s="9" t="s">
        <v>27</v>
      </c>
      <c r="C915" s="44" t="str">
        <f t="shared" si="527"/>
        <v>p.especificar</v>
      </c>
      <c r="D915" s="6" t="str">
        <f t="shared" si="528"/>
        <v>é.ids.esp.cardinalidade.mínima</v>
      </c>
      <c r="E915" s="8" t="s">
        <v>28</v>
      </c>
      <c r="F915" s="34" t="str">
        <f>F913</f>
        <v>d.especificar</v>
      </c>
      <c r="G915" s="16" t="s">
        <v>11356</v>
      </c>
      <c r="H915" s="34" t="s">
        <v>1581</v>
      </c>
      <c r="I915" s="92" t="str">
        <f t="shared" si="529"/>
        <v>null</v>
      </c>
      <c r="J915" s="80" t="s">
        <v>0</v>
      </c>
      <c r="K915" s="80" t="s">
        <v>0</v>
      </c>
      <c r="L915" s="80" t="s">
        <v>0</v>
      </c>
      <c r="M915" s="80" t="s">
        <v>0</v>
      </c>
      <c r="N915" s="80" t="s">
        <v>0</v>
      </c>
      <c r="O915" s="80" t="s">
        <v>0</v>
      </c>
      <c r="P915" s="80" t="s">
        <v>0</v>
      </c>
      <c r="Q915" s="80" t="s">
        <v>0</v>
      </c>
      <c r="R915" s="84" t="s">
        <v>0</v>
      </c>
      <c r="S915" s="10" t="s">
        <v>1</v>
      </c>
      <c r="T915" s="10" t="s">
        <v>10221</v>
      </c>
      <c r="U915" s="5" t="str">
        <f t="shared" si="530"/>
        <v>Propriedade destinada a especificar: é.ids.esp.cardinalidade.mínima</v>
      </c>
      <c r="V915" s="5" t="str">
        <f t="shared" si="531"/>
        <v>Dado para especificar:  ids.esp.cardinalidade.mínima  Deve ser formatado como (rdfs:Literal  or  xsd:string)</v>
      </c>
      <c r="W915" s="69" t="s">
        <v>11321</v>
      </c>
      <c r="X915" s="17" t="str">
        <f t="shared" si="536"/>
        <v>d.espec.125</v>
      </c>
      <c r="Y915" s="17" t="str">
        <f t="shared" si="537"/>
        <v>Ação de especificar</v>
      </c>
      <c r="Z915" s="62" t="str">
        <f t="shared" si="532"/>
        <v>Declara un valor mínimo de cardinalidad.</v>
      </c>
      <c r="AA915" s="18" t="str">
        <f t="shared" si="533"/>
        <v>null</v>
      </c>
      <c r="AB915" s="19" t="s">
        <v>0</v>
      </c>
      <c r="AC915" s="18" t="str">
        <f t="shared" si="534"/>
        <v>null</v>
      </c>
      <c r="AD915" s="19" t="s">
        <v>0</v>
      </c>
      <c r="AE915" s="18" t="str">
        <f t="shared" si="535"/>
        <v>propriedade</v>
      </c>
      <c r="AF915" s="75" t="s">
        <v>11363</v>
      </c>
      <c r="AG915" s="38" t="str">
        <f t="shared" si="525"/>
        <v>Declares a minimum cardinality value.</v>
      </c>
    </row>
    <row r="916" spans="1:33" ht="6" customHeight="1" x14ac:dyDescent="0.4">
      <c r="A916" s="4">
        <f>ROW()</f>
        <v>916</v>
      </c>
      <c r="B916" s="9" t="s">
        <v>27</v>
      </c>
      <c r="C916" s="44" t="str">
        <f t="shared" si="527"/>
        <v>p.especificar</v>
      </c>
      <c r="D916" s="6" t="str">
        <f t="shared" si="528"/>
        <v>é.ids.esp.cardinalidade.máxima</v>
      </c>
      <c r="E916" s="8" t="s">
        <v>28</v>
      </c>
      <c r="F916" s="34" t="str">
        <f t="shared" ref="F916:F918" si="538">F915</f>
        <v>d.especificar</v>
      </c>
      <c r="G916" s="16" t="s">
        <v>11357</v>
      </c>
      <c r="H916" s="34" t="s">
        <v>1581</v>
      </c>
      <c r="I916" s="92" t="str">
        <f t="shared" si="529"/>
        <v>null</v>
      </c>
      <c r="J916" s="80" t="s">
        <v>0</v>
      </c>
      <c r="K916" s="80" t="s">
        <v>0</v>
      </c>
      <c r="L916" s="80" t="s">
        <v>0</v>
      </c>
      <c r="M916" s="80" t="s">
        <v>0</v>
      </c>
      <c r="N916" s="80" t="s">
        <v>0</v>
      </c>
      <c r="O916" s="80" t="s">
        <v>0</v>
      </c>
      <c r="P916" s="80" t="s">
        <v>0</v>
      </c>
      <c r="Q916" s="80" t="s">
        <v>0</v>
      </c>
      <c r="R916" s="84" t="s">
        <v>0</v>
      </c>
      <c r="S916" s="10" t="s">
        <v>1</v>
      </c>
      <c r="T916" s="10" t="s">
        <v>10221</v>
      </c>
      <c r="U916" s="5" t="str">
        <f t="shared" si="530"/>
        <v>Propriedade destinada a especificar: é.ids.esp.cardinalidade.máxima</v>
      </c>
      <c r="V916" s="5" t="str">
        <f t="shared" si="531"/>
        <v>Dado para especificar:  ids.esp.cardinalidade.máxima  Deve ser formatado como (rdfs:Literal  or  xsd:string)</v>
      </c>
      <c r="W916" s="69" t="s">
        <v>11322</v>
      </c>
      <c r="X916" s="17" t="str">
        <f t="shared" si="536"/>
        <v>d.espec.126</v>
      </c>
      <c r="Y916" s="17" t="str">
        <f t="shared" si="537"/>
        <v>Ação de especificar</v>
      </c>
      <c r="Z916" s="62" t="str">
        <f t="shared" si="532"/>
        <v>Declara un valor de cardinalidad máxima.</v>
      </c>
      <c r="AA916" s="18" t="str">
        <f t="shared" si="533"/>
        <v>null</v>
      </c>
      <c r="AB916" s="19" t="s">
        <v>0</v>
      </c>
      <c r="AC916" s="18" t="str">
        <f t="shared" si="534"/>
        <v>null</v>
      </c>
      <c r="AD916" s="19" t="s">
        <v>0</v>
      </c>
      <c r="AE916" s="18" t="str">
        <f t="shared" si="535"/>
        <v>propriedade</v>
      </c>
      <c r="AF916" s="75" t="s">
        <v>11362</v>
      </c>
      <c r="AG916" s="38" t="str">
        <f t="shared" si="525"/>
        <v>Declares a maximum cardinality value.</v>
      </c>
    </row>
    <row r="917" spans="1:33" ht="6" customHeight="1" x14ac:dyDescent="0.4">
      <c r="A917" s="4">
        <f>ROW()</f>
        <v>917</v>
      </c>
      <c r="B917" s="9" t="s">
        <v>27</v>
      </c>
      <c r="C917" s="44" t="str">
        <f t="shared" si="527"/>
        <v>p.especificar</v>
      </c>
      <c r="D917" s="6" t="str">
        <f t="shared" si="528"/>
        <v>é.ids.esp.extremo.mínimo</v>
      </c>
      <c r="E917" s="8" t="s">
        <v>28</v>
      </c>
      <c r="F917" s="34" t="str">
        <f t="shared" si="538"/>
        <v>d.especificar</v>
      </c>
      <c r="G917" s="16" t="s">
        <v>11358</v>
      </c>
      <c r="H917" s="34" t="s">
        <v>1581</v>
      </c>
      <c r="I917" s="92" t="str">
        <f t="shared" si="529"/>
        <v>null</v>
      </c>
      <c r="J917" s="80" t="s">
        <v>0</v>
      </c>
      <c r="K917" s="80" t="s">
        <v>0</v>
      </c>
      <c r="L917" s="80" t="s">
        <v>0</v>
      </c>
      <c r="M917" s="80" t="s">
        <v>0</v>
      </c>
      <c r="N917" s="80" t="s">
        <v>0</v>
      </c>
      <c r="O917" s="80" t="s">
        <v>0</v>
      </c>
      <c r="P917" s="80" t="s">
        <v>0</v>
      </c>
      <c r="Q917" s="80" t="s">
        <v>0</v>
      </c>
      <c r="R917" s="84" t="s">
        <v>0</v>
      </c>
      <c r="S917" s="10" t="s">
        <v>1</v>
      </c>
      <c r="T917" s="10" t="s">
        <v>10221</v>
      </c>
      <c r="U917" s="5" t="str">
        <f t="shared" si="530"/>
        <v>Propriedade destinada a especificar: é.ids.esp.extremo.mínimo</v>
      </c>
      <c r="V917" s="5" t="str">
        <f t="shared" si="531"/>
        <v>Dado para especificar:  ids.esp.extremo.mínimo  Deve ser formatado como (rdfs:Literal  or  xsd:string)</v>
      </c>
      <c r="W917" s="69" t="s">
        <v>11326</v>
      </c>
      <c r="X917" s="17" t="str">
        <f t="shared" si="536"/>
        <v>d.espec.127</v>
      </c>
      <c r="Y917" s="17" t="str">
        <f t="shared" si="537"/>
        <v>Ação de especificar</v>
      </c>
      <c r="Z917" s="62" t="str">
        <f t="shared" si="532"/>
        <v>Declara un valor extremo de mínimo.</v>
      </c>
      <c r="AA917" s="18" t="str">
        <f t="shared" si="533"/>
        <v>null</v>
      </c>
      <c r="AB917" s="19" t="s">
        <v>0</v>
      </c>
      <c r="AC917" s="18" t="str">
        <f t="shared" si="534"/>
        <v>null</v>
      </c>
      <c r="AD917" s="19" t="s">
        <v>0</v>
      </c>
      <c r="AE917" s="18" t="str">
        <f t="shared" si="535"/>
        <v>propriedade</v>
      </c>
      <c r="AF917" s="75" t="s">
        <v>11323</v>
      </c>
      <c r="AG917" s="38" t="str">
        <f t="shared" si="525"/>
        <v>Declares an extreme value of minimum.</v>
      </c>
    </row>
    <row r="918" spans="1:33" ht="6" customHeight="1" x14ac:dyDescent="0.4">
      <c r="A918" s="4">
        <f>ROW()</f>
        <v>918</v>
      </c>
      <c r="B918" s="9" t="s">
        <v>27</v>
      </c>
      <c r="C918" s="44" t="str">
        <f t="shared" si="527"/>
        <v>p.especificar</v>
      </c>
      <c r="D918" s="6" t="str">
        <f t="shared" si="528"/>
        <v>é.ids.esp.extremo.máximo</v>
      </c>
      <c r="E918" s="8" t="s">
        <v>28</v>
      </c>
      <c r="F918" s="34" t="str">
        <f t="shared" si="538"/>
        <v>d.especificar</v>
      </c>
      <c r="G918" s="16" t="s">
        <v>11359</v>
      </c>
      <c r="H918" s="34" t="s">
        <v>1581</v>
      </c>
      <c r="I918" s="92" t="str">
        <f t="shared" si="529"/>
        <v>null</v>
      </c>
      <c r="J918" s="80" t="s">
        <v>0</v>
      </c>
      <c r="K918" s="80" t="s">
        <v>0</v>
      </c>
      <c r="L918" s="80" t="s">
        <v>0</v>
      </c>
      <c r="M918" s="80" t="s">
        <v>0</v>
      </c>
      <c r="N918" s="80" t="s">
        <v>0</v>
      </c>
      <c r="O918" s="80" t="s">
        <v>0</v>
      </c>
      <c r="P918" s="80" t="s">
        <v>0</v>
      </c>
      <c r="Q918" s="80" t="s">
        <v>0</v>
      </c>
      <c r="R918" s="84" t="s">
        <v>0</v>
      </c>
      <c r="S918" s="10" t="s">
        <v>1</v>
      </c>
      <c r="T918" s="10" t="s">
        <v>10221</v>
      </c>
      <c r="U918" s="5" t="str">
        <f t="shared" si="530"/>
        <v>Propriedade destinada a especificar: é.ids.esp.extremo.máximo</v>
      </c>
      <c r="V918" s="5" t="str">
        <f t="shared" si="531"/>
        <v>Dado para especificar:  ids.esp.extremo.máximo  Deve ser formatado como (rdfs:Literal  or  xsd:string)</v>
      </c>
      <c r="W918" s="69" t="s">
        <v>11327</v>
      </c>
      <c r="X918" s="17" t="str">
        <f t="shared" si="536"/>
        <v>d.espec.128</v>
      </c>
      <c r="Y918" s="17" t="str">
        <f t="shared" si="537"/>
        <v>Ação de especificar</v>
      </c>
      <c r="Z918" s="62" t="str">
        <f t="shared" si="532"/>
        <v>Declara un valor extremo de máximo.</v>
      </c>
      <c r="AA918" s="18" t="str">
        <f t="shared" si="533"/>
        <v>null</v>
      </c>
      <c r="AB918" s="19" t="s">
        <v>0</v>
      </c>
      <c r="AC918" s="18" t="str">
        <f t="shared" si="534"/>
        <v>null</v>
      </c>
      <c r="AD918" s="19" t="s">
        <v>0</v>
      </c>
      <c r="AE918" s="18" t="str">
        <f t="shared" si="535"/>
        <v>propriedade</v>
      </c>
      <c r="AF918" s="75" t="s">
        <v>11324</v>
      </c>
      <c r="AG918" s="38" t="str">
        <f t="shared" si="525"/>
        <v>Declares an extreme value of maximum.</v>
      </c>
    </row>
    <row r="919" spans="1:33" ht="6" customHeight="1" x14ac:dyDescent="0.4">
      <c r="A919" s="4">
        <f>ROW()</f>
        <v>919</v>
      </c>
      <c r="B919" s="9" t="s">
        <v>27</v>
      </c>
      <c r="C919" s="43" t="str">
        <f t="shared" si="473"/>
        <v>p.estacionar</v>
      </c>
      <c r="D919" s="6" t="str">
        <f t="shared" ref="D919:D952" si="539">_xlfn.CONCAT("é.",G919)</f>
        <v>é.área.de.vaga.de.garagem.de.unidade.autônoma</v>
      </c>
      <c r="E919" s="8" t="s">
        <v>28</v>
      </c>
      <c r="F919" s="41" t="s">
        <v>7105</v>
      </c>
      <c r="G919" s="13" t="s">
        <v>2165</v>
      </c>
      <c r="H919" s="34" t="s">
        <v>35</v>
      </c>
      <c r="I919" s="92" t="str">
        <f t="shared" si="511"/>
        <v>null</v>
      </c>
      <c r="J919" s="80" t="s">
        <v>0</v>
      </c>
      <c r="K919" s="80" t="s">
        <v>0</v>
      </c>
      <c r="L919" s="80" t="s">
        <v>0</v>
      </c>
      <c r="M919" s="80" t="s">
        <v>0</v>
      </c>
      <c r="N919" s="80" t="s">
        <v>0</v>
      </c>
      <c r="O919" s="80" t="s">
        <v>0</v>
      </c>
      <c r="P919" s="80" t="s">
        <v>0</v>
      </c>
      <c r="Q919" s="80" t="s">
        <v>0</v>
      </c>
      <c r="R919" s="84" t="s">
        <v>0</v>
      </c>
      <c r="S919" s="10" t="s">
        <v>1</v>
      </c>
      <c r="T919" s="10" t="s">
        <v>10221</v>
      </c>
      <c r="U919" s="5" t="str">
        <f t="shared" ref="U919:U952" si="540">_xlfn.CONCAT("Propriedade destinada a ",MID(C919,FIND("p.",C919,1)+2,100),": ",D919)</f>
        <v>Propriedade destinada a estacionar: é.área.de.vaga.de.garagem.de.unidade.autônoma</v>
      </c>
      <c r="V919" s="5" t="str">
        <f t="shared" ref="V919:V952" si="541">_xlfn.CONCAT("Dado para ",MID(F919,FIND("d.",F919,1)+2,100),":  ",G919, "  Deve ser formatado como (",H919, ")")</f>
        <v>Dado para estacionar:  área.de.vaga.de.garagem.de.unidade.autônoma  Deve ser formatado como (xsd:double)</v>
      </c>
      <c r="W919" s="69" t="s">
        <v>5319</v>
      </c>
      <c r="X919" s="17" t="str">
        <f t="shared" si="536"/>
        <v>d.estac.100</v>
      </c>
      <c r="Y919" s="17" t="str">
        <f t="shared" si="537"/>
        <v>Ação de estacionar</v>
      </c>
      <c r="Z919" s="62" t="s">
        <v>7133</v>
      </c>
      <c r="AA919" s="18" t="str">
        <f t="shared" ref="AA919:AA952" si="542">IF(AB919="null", "null", "categoria.revit")</f>
        <v>null</v>
      </c>
      <c r="AB919" s="19" t="s">
        <v>0</v>
      </c>
      <c r="AC919" s="18" t="str">
        <f t="shared" ref="AC919:AC952" si="543">IF(AD919="null", "null", "classe.ifc")</f>
        <v>null</v>
      </c>
      <c r="AD919" s="19" t="s">
        <v>0</v>
      </c>
      <c r="AE919" s="18" t="str">
        <f t="shared" ref="AE919:AE952" si="544">IF(AF919="null", "null", "propriedade")</f>
        <v>null</v>
      </c>
      <c r="AF919" s="75" t="s">
        <v>0</v>
      </c>
      <c r="AG919" s="38" t="s">
        <v>8142</v>
      </c>
    </row>
    <row r="920" spans="1:33" ht="6" customHeight="1" x14ac:dyDescent="0.4">
      <c r="A920" s="4">
        <f>ROW()</f>
        <v>920</v>
      </c>
      <c r="B920" s="9" t="s">
        <v>27</v>
      </c>
      <c r="C920" s="44" t="str">
        <f t="shared" ref="C920:C952" si="545">SUBSTITUTE(F920,"d.","p.")</f>
        <v>p.estacionar</v>
      </c>
      <c r="D920" s="6" t="str">
        <f t="shared" si="539"/>
        <v>é.área.de.vaga.de.garagem.de.uso.comum</v>
      </c>
      <c r="E920" s="8" t="s">
        <v>28</v>
      </c>
      <c r="F920" s="34" t="str">
        <f>F919</f>
        <v>d.estacionar</v>
      </c>
      <c r="G920" s="13" t="s">
        <v>2166</v>
      </c>
      <c r="H920" s="34" t="s">
        <v>35</v>
      </c>
      <c r="I920" s="92" t="str">
        <f t="shared" si="511"/>
        <v>null</v>
      </c>
      <c r="J920" s="80" t="s">
        <v>0</v>
      </c>
      <c r="K920" s="80" t="s">
        <v>0</v>
      </c>
      <c r="L920" s="80" t="s">
        <v>0</v>
      </c>
      <c r="M920" s="80" t="s">
        <v>0</v>
      </c>
      <c r="N920" s="80" t="s">
        <v>0</v>
      </c>
      <c r="O920" s="80" t="s">
        <v>0</v>
      </c>
      <c r="P920" s="80" t="s">
        <v>0</v>
      </c>
      <c r="Q920" s="80" t="s">
        <v>0</v>
      </c>
      <c r="R920" s="84" t="s">
        <v>0</v>
      </c>
      <c r="S920" s="10" t="s">
        <v>1</v>
      </c>
      <c r="T920" s="10" t="s">
        <v>10221</v>
      </c>
      <c r="U920" s="5" t="str">
        <f t="shared" si="540"/>
        <v>Propriedade destinada a estacionar: é.área.de.vaga.de.garagem.de.uso.comum</v>
      </c>
      <c r="V920" s="5" t="str">
        <f t="shared" si="541"/>
        <v>Dado para estacionar:  área.de.vaga.de.garagem.de.uso.comum  Deve ser formatado como (xsd:double)</v>
      </c>
      <c r="W920" s="69" t="s">
        <v>5320</v>
      </c>
      <c r="X920" s="17" t="str">
        <f t="shared" si="536"/>
        <v>d.estac.101</v>
      </c>
      <c r="Y920" s="17" t="str">
        <f t="shared" si="537"/>
        <v>Ação de estacionar</v>
      </c>
      <c r="Z920" s="62" t="s">
        <v>7134</v>
      </c>
      <c r="AA920" s="18" t="str">
        <f t="shared" si="542"/>
        <v>null</v>
      </c>
      <c r="AB920" s="19" t="s">
        <v>0</v>
      </c>
      <c r="AC920" s="18" t="str">
        <f t="shared" si="543"/>
        <v>null</v>
      </c>
      <c r="AD920" s="19" t="s">
        <v>0</v>
      </c>
      <c r="AE920" s="18" t="str">
        <f t="shared" si="544"/>
        <v>null</v>
      </c>
      <c r="AF920" s="75" t="s">
        <v>0</v>
      </c>
      <c r="AG920" s="38" t="s">
        <v>8143</v>
      </c>
    </row>
    <row r="921" spans="1:33" ht="6" customHeight="1" x14ac:dyDescent="0.4">
      <c r="A921" s="4">
        <f>ROW()</f>
        <v>921</v>
      </c>
      <c r="B921" s="9" t="s">
        <v>27</v>
      </c>
      <c r="C921" s="44" t="str">
        <f t="shared" si="545"/>
        <v>p.estacionar</v>
      </c>
      <c r="D921" s="6" t="str">
        <f t="shared" si="539"/>
        <v>é.área.de.vaga.de.garagem.vinculada.à.unidade.autônoma</v>
      </c>
      <c r="E921" s="8" t="s">
        <v>28</v>
      </c>
      <c r="F921" s="34" t="str">
        <f t="shared" ref="F921:F936" si="546">F920</f>
        <v>d.estacionar</v>
      </c>
      <c r="G921" s="13" t="s">
        <v>1563</v>
      </c>
      <c r="H921" s="34" t="s">
        <v>35</v>
      </c>
      <c r="I921" s="92" t="str">
        <f t="shared" si="511"/>
        <v>null</v>
      </c>
      <c r="J921" s="80" t="s">
        <v>0</v>
      </c>
      <c r="K921" s="80" t="s">
        <v>0</v>
      </c>
      <c r="L921" s="80" t="s">
        <v>0</v>
      </c>
      <c r="M921" s="80" t="s">
        <v>0</v>
      </c>
      <c r="N921" s="80" t="s">
        <v>0</v>
      </c>
      <c r="O921" s="80" t="s">
        <v>0</v>
      </c>
      <c r="P921" s="80" t="s">
        <v>0</v>
      </c>
      <c r="Q921" s="80" t="s">
        <v>0</v>
      </c>
      <c r="R921" s="84" t="s">
        <v>0</v>
      </c>
      <c r="S921" s="10" t="s">
        <v>1</v>
      </c>
      <c r="T921" s="10" t="s">
        <v>10221</v>
      </c>
      <c r="U921" s="5" t="str">
        <f t="shared" si="540"/>
        <v>Propriedade destinada a estacionar: é.área.de.vaga.de.garagem.vinculada.à.unidade.autônoma</v>
      </c>
      <c r="V921" s="5" t="str">
        <f t="shared" si="541"/>
        <v>Dado para estacionar:  área.de.vaga.de.garagem.vinculada.à.unidade.autônoma  Deve ser formatado como (xsd:double)</v>
      </c>
      <c r="W921" s="69" t="s">
        <v>5321</v>
      </c>
      <c r="X921" s="17" t="str">
        <f t="shared" si="536"/>
        <v>d.estac.102</v>
      </c>
      <c r="Y921" s="17" t="str">
        <f t="shared" si="537"/>
        <v>Ação de estacionar</v>
      </c>
      <c r="Z921" s="62" t="s">
        <v>7135</v>
      </c>
      <c r="AA921" s="18" t="str">
        <f t="shared" si="542"/>
        <v>null</v>
      </c>
      <c r="AB921" s="19" t="s">
        <v>0</v>
      </c>
      <c r="AC921" s="18" t="str">
        <f t="shared" si="543"/>
        <v>null</v>
      </c>
      <c r="AD921" s="19" t="s">
        <v>0</v>
      </c>
      <c r="AE921" s="18" t="str">
        <f t="shared" si="544"/>
        <v>null</v>
      </c>
      <c r="AF921" s="75" t="s">
        <v>0</v>
      </c>
      <c r="AG921" s="38" t="s">
        <v>8144</v>
      </c>
    </row>
    <row r="922" spans="1:33" ht="6" customHeight="1" x14ac:dyDescent="0.4">
      <c r="A922" s="4">
        <f>ROW()</f>
        <v>922</v>
      </c>
      <c r="B922" s="9" t="s">
        <v>27</v>
      </c>
      <c r="C922" s="44" t="str">
        <f t="shared" si="545"/>
        <v>p.estacionar</v>
      </c>
      <c r="D922" s="6" t="str">
        <f t="shared" si="539"/>
        <v>é.comprimento.da.vaga</v>
      </c>
      <c r="E922" s="8" t="s">
        <v>28</v>
      </c>
      <c r="F922" s="34" t="str">
        <f t="shared" si="546"/>
        <v>d.estacionar</v>
      </c>
      <c r="G922" s="14" t="s">
        <v>7122</v>
      </c>
      <c r="H922" s="34" t="s">
        <v>35</v>
      </c>
      <c r="I922" s="92" t="str">
        <f t="shared" si="511"/>
        <v>null</v>
      </c>
      <c r="J922" s="82" t="s">
        <v>0</v>
      </c>
      <c r="K922" s="82" t="s">
        <v>0</v>
      </c>
      <c r="L922" s="82" t="s">
        <v>0</v>
      </c>
      <c r="M922" s="82" t="s">
        <v>0</v>
      </c>
      <c r="N922" s="80" t="s">
        <v>0</v>
      </c>
      <c r="O922" s="82" t="s">
        <v>0</v>
      </c>
      <c r="P922" s="82" t="s">
        <v>0</v>
      </c>
      <c r="Q922" s="82" t="s">
        <v>0</v>
      </c>
      <c r="R922" s="84" t="s">
        <v>0</v>
      </c>
      <c r="S922" s="10" t="s">
        <v>1</v>
      </c>
      <c r="T922" s="10" t="s">
        <v>10221</v>
      </c>
      <c r="U922" s="5" t="str">
        <f t="shared" si="540"/>
        <v>Propriedade destinada a estacionar: é.comprimento.da.vaga</v>
      </c>
      <c r="V922" s="5" t="str">
        <f t="shared" si="541"/>
        <v>Dado para estacionar:  comprimento.da.vaga  Deve ser formatado como (xsd:double)</v>
      </c>
      <c r="W922" s="69" t="s">
        <v>7147</v>
      </c>
      <c r="X922" s="17" t="str">
        <f t="shared" si="536"/>
        <v>d.estac.103</v>
      </c>
      <c r="Y922" s="17" t="str">
        <f t="shared" si="537"/>
        <v>Ação de estacionar</v>
      </c>
      <c r="Z922" s="62" t="s">
        <v>7136</v>
      </c>
      <c r="AA922" s="18" t="str">
        <f t="shared" si="542"/>
        <v>null</v>
      </c>
      <c r="AB922" s="19" t="s">
        <v>0</v>
      </c>
      <c r="AC922" s="18" t="str">
        <f t="shared" si="543"/>
        <v>null</v>
      </c>
      <c r="AD922" s="19" t="s">
        <v>0</v>
      </c>
      <c r="AE922" s="18" t="str">
        <f t="shared" si="544"/>
        <v>null</v>
      </c>
      <c r="AF922" s="75" t="s">
        <v>0</v>
      </c>
      <c r="AG922" s="38" t="s">
        <v>8145</v>
      </c>
    </row>
    <row r="923" spans="1:33" ht="6" customHeight="1" x14ac:dyDescent="0.4">
      <c r="A923" s="4">
        <f>ROW()</f>
        <v>923</v>
      </c>
      <c r="B923" s="9" t="s">
        <v>27</v>
      </c>
      <c r="C923" s="44" t="str">
        <f t="shared" si="545"/>
        <v>p.estacionar</v>
      </c>
      <c r="D923" s="6" t="str">
        <f t="shared" si="539"/>
        <v>é.diâmetro.de.giro</v>
      </c>
      <c r="E923" s="8" t="s">
        <v>28</v>
      </c>
      <c r="F923" s="34" t="str">
        <f t="shared" si="546"/>
        <v>d.estacionar</v>
      </c>
      <c r="G923" s="14" t="s">
        <v>7109</v>
      </c>
      <c r="H923" s="34" t="s">
        <v>35</v>
      </c>
      <c r="I923" s="92" t="str">
        <f t="shared" si="511"/>
        <v>null</v>
      </c>
      <c r="J923" s="82" t="s">
        <v>0</v>
      </c>
      <c r="K923" s="82" t="s">
        <v>0</v>
      </c>
      <c r="L923" s="82" t="s">
        <v>0</v>
      </c>
      <c r="M923" s="82" t="s">
        <v>0</v>
      </c>
      <c r="N923" s="80" t="s">
        <v>0</v>
      </c>
      <c r="O923" s="82" t="s">
        <v>0</v>
      </c>
      <c r="P923" s="82" t="s">
        <v>0</v>
      </c>
      <c r="Q923" s="82" t="s">
        <v>0</v>
      </c>
      <c r="R923" s="84" t="s">
        <v>0</v>
      </c>
      <c r="S923" s="10" t="s">
        <v>1</v>
      </c>
      <c r="T923" s="10" t="s">
        <v>10221</v>
      </c>
      <c r="U923" s="5" t="str">
        <f t="shared" si="540"/>
        <v>Propriedade destinada a estacionar: é.diâmetro.de.giro</v>
      </c>
      <c r="V923" s="5" t="str">
        <f t="shared" si="541"/>
        <v>Dado para estacionar:  diâmetro.de.giro  Deve ser formatado como (xsd:double)</v>
      </c>
      <c r="W923" s="69" t="s">
        <v>7146</v>
      </c>
      <c r="X923" s="17" t="str">
        <f t="shared" si="536"/>
        <v>d.estac.104</v>
      </c>
      <c r="Y923" s="17" t="str">
        <f t="shared" si="537"/>
        <v>Ação de estacionar</v>
      </c>
      <c r="Z923" s="62" t="s">
        <v>7137</v>
      </c>
      <c r="AA923" s="18" t="str">
        <f t="shared" si="542"/>
        <v>null</v>
      </c>
      <c r="AB923" s="19" t="s">
        <v>0</v>
      </c>
      <c r="AC923" s="18" t="str">
        <f t="shared" si="543"/>
        <v>null</v>
      </c>
      <c r="AD923" s="19" t="s">
        <v>0</v>
      </c>
      <c r="AE923" s="18" t="str">
        <f t="shared" si="544"/>
        <v>null</v>
      </c>
      <c r="AF923" s="75" t="s">
        <v>0</v>
      </c>
      <c r="AG923" s="38" t="s">
        <v>8146</v>
      </c>
    </row>
    <row r="924" spans="1:33" ht="6" customHeight="1" x14ac:dyDescent="0.4">
      <c r="A924" s="4">
        <f>ROW()</f>
        <v>924</v>
      </c>
      <c r="B924" s="9" t="s">
        <v>27</v>
      </c>
      <c r="C924" s="44" t="str">
        <f t="shared" ref="C924" si="547">SUBSTITUTE(F924,"d.","p.")</f>
        <v>p.estacionar</v>
      </c>
      <c r="D924" s="6" t="str">
        <f t="shared" ref="D924" si="548">_xlfn.CONCAT("é.",G924)</f>
        <v>é.largura.do.corredor.de.circulação</v>
      </c>
      <c r="E924" s="8" t="s">
        <v>28</v>
      </c>
      <c r="F924" s="34" t="str">
        <f>F922</f>
        <v>d.estacionar</v>
      </c>
      <c r="G924" s="14" t="s">
        <v>7143</v>
      </c>
      <c r="H924" s="34" t="s">
        <v>35</v>
      </c>
      <c r="I924" s="92" t="str">
        <f t="shared" si="511"/>
        <v>null</v>
      </c>
      <c r="J924" s="82" t="s">
        <v>0</v>
      </c>
      <c r="K924" s="82" t="s">
        <v>0</v>
      </c>
      <c r="L924" s="82" t="s">
        <v>0</v>
      </c>
      <c r="M924" s="82" t="s">
        <v>0</v>
      </c>
      <c r="N924" s="80" t="s">
        <v>0</v>
      </c>
      <c r="O924" s="82" t="s">
        <v>0</v>
      </c>
      <c r="P924" s="82" t="s">
        <v>0</v>
      </c>
      <c r="Q924" s="82" t="s">
        <v>0</v>
      </c>
      <c r="R924" s="84" t="s">
        <v>0</v>
      </c>
      <c r="S924" s="10" t="s">
        <v>1</v>
      </c>
      <c r="T924" s="10" t="s">
        <v>10221</v>
      </c>
      <c r="U924" s="5" t="str">
        <f t="shared" ref="U924" si="549">_xlfn.CONCAT("Propriedade destinada a ",MID(C924,FIND("p.",C924,1)+2,100),": ",D924)</f>
        <v>Propriedade destinada a estacionar: é.largura.do.corredor.de.circulação</v>
      </c>
      <c r="V924" s="5" t="str">
        <f t="shared" ref="V924" si="550">_xlfn.CONCAT("Dado para ",MID(F924,FIND("d.",F924,1)+2,100),":  ",G924, "  Deve ser formatado como (",H924, ")")</f>
        <v>Dado para estacionar:  largura.do.corredor.de.circulação  Deve ser formatado como (xsd:double)</v>
      </c>
      <c r="W924" s="69" t="s">
        <v>7144</v>
      </c>
      <c r="X924" s="17" t="str">
        <f t="shared" si="536"/>
        <v>d.estac.105</v>
      </c>
      <c r="Y924" s="17" t="str">
        <f t="shared" si="537"/>
        <v>Ação de estacionar</v>
      </c>
      <c r="Z924" s="62" t="s">
        <v>7160</v>
      </c>
      <c r="AA924" s="18" t="str">
        <f t="shared" si="542"/>
        <v>null</v>
      </c>
      <c r="AB924" s="19" t="s">
        <v>0</v>
      </c>
      <c r="AC924" s="18" t="str">
        <f t="shared" si="543"/>
        <v>null</v>
      </c>
      <c r="AD924" s="19" t="s">
        <v>0</v>
      </c>
      <c r="AE924" s="18" t="str">
        <f t="shared" si="544"/>
        <v>null</v>
      </c>
      <c r="AF924" s="75" t="s">
        <v>0</v>
      </c>
      <c r="AG924" s="38" t="s">
        <v>8147</v>
      </c>
    </row>
    <row r="925" spans="1:33" ht="6" customHeight="1" x14ac:dyDescent="0.4">
      <c r="A925" s="4">
        <f>ROW()</f>
        <v>925</v>
      </c>
      <c r="B925" s="9" t="s">
        <v>27</v>
      </c>
      <c r="C925" s="44" t="str">
        <f t="shared" si="545"/>
        <v>p.estacionar</v>
      </c>
      <c r="D925" s="6" t="str">
        <f t="shared" si="539"/>
        <v>é.largura.da.vaga</v>
      </c>
      <c r="E925" s="8" t="s">
        <v>28</v>
      </c>
      <c r="F925" s="34" t="str">
        <f>F923</f>
        <v>d.estacionar</v>
      </c>
      <c r="G925" s="14" t="s">
        <v>7121</v>
      </c>
      <c r="H925" s="34" t="s">
        <v>35</v>
      </c>
      <c r="I925" s="92" t="str">
        <f t="shared" si="511"/>
        <v>null</v>
      </c>
      <c r="J925" s="82" t="s">
        <v>0</v>
      </c>
      <c r="K925" s="82" t="s">
        <v>0</v>
      </c>
      <c r="L925" s="82" t="s">
        <v>0</v>
      </c>
      <c r="M925" s="82" t="s">
        <v>0</v>
      </c>
      <c r="N925" s="80" t="s">
        <v>0</v>
      </c>
      <c r="O925" s="82" t="s">
        <v>0</v>
      </c>
      <c r="P925" s="82" t="s">
        <v>0</v>
      </c>
      <c r="Q925" s="82" t="s">
        <v>0</v>
      </c>
      <c r="R925" s="84" t="s">
        <v>0</v>
      </c>
      <c r="S925" s="10" t="s">
        <v>1</v>
      </c>
      <c r="T925" s="10" t="s">
        <v>10221</v>
      </c>
      <c r="U925" s="5" t="str">
        <f t="shared" si="540"/>
        <v>Propriedade destinada a estacionar: é.largura.da.vaga</v>
      </c>
      <c r="V925" s="5" t="str">
        <f t="shared" si="541"/>
        <v>Dado para estacionar:  largura.da.vaga  Deve ser formatado como (xsd:double)</v>
      </c>
      <c r="W925" s="69" t="s">
        <v>7145</v>
      </c>
      <c r="X925" s="17" t="str">
        <f t="shared" si="536"/>
        <v>d.estac.106</v>
      </c>
      <c r="Y925" s="17" t="str">
        <f t="shared" si="537"/>
        <v>Ação de estacionar</v>
      </c>
      <c r="Z925" s="62" t="s">
        <v>7161</v>
      </c>
      <c r="AA925" s="18" t="str">
        <f t="shared" si="542"/>
        <v>null</v>
      </c>
      <c r="AB925" s="19" t="s">
        <v>0</v>
      </c>
      <c r="AC925" s="18" t="str">
        <f t="shared" si="543"/>
        <v>null</v>
      </c>
      <c r="AD925" s="19" t="s">
        <v>0</v>
      </c>
      <c r="AE925" s="18" t="str">
        <f t="shared" si="544"/>
        <v>null</v>
      </c>
      <c r="AF925" s="75" t="s">
        <v>0</v>
      </c>
      <c r="AG925" s="38" t="s">
        <v>8148</v>
      </c>
    </row>
    <row r="926" spans="1:33" ht="6" customHeight="1" x14ac:dyDescent="0.4">
      <c r="A926" s="4">
        <f>ROW()</f>
        <v>926</v>
      </c>
      <c r="B926" s="9" t="s">
        <v>27</v>
      </c>
      <c r="C926" s="44" t="str">
        <f t="shared" si="545"/>
        <v>p.estacionar</v>
      </c>
      <c r="D926" s="6" t="str">
        <f t="shared" si="539"/>
        <v>é.raio.de.giro</v>
      </c>
      <c r="E926" s="8" t="s">
        <v>28</v>
      </c>
      <c r="F926" s="34" t="str">
        <f t="shared" si="546"/>
        <v>d.estacionar</v>
      </c>
      <c r="G926" s="14" t="s">
        <v>7106</v>
      </c>
      <c r="H926" s="34" t="s">
        <v>35</v>
      </c>
      <c r="I926" s="92" t="str">
        <f t="shared" si="511"/>
        <v>null</v>
      </c>
      <c r="J926" s="82" t="s">
        <v>0</v>
      </c>
      <c r="K926" s="82" t="s">
        <v>0</v>
      </c>
      <c r="L926" s="82" t="s">
        <v>0</v>
      </c>
      <c r="M926" s="82" t="s">
        <v>0</v>
      </c>
      <c r="N926" s="80" t="s">
        <v>0</v>
      </c>
      <c r="O926" s="82" t="s">
        <v>0</v>
      </c>
      <c r="P926" s="82" t="s">
        <v>0</v>
      </c>
      <c r="Q926" s="82" t="s">
        <v>0</v>
      </c>
      <c r="R926" s="84" t="s">
        <v>0</v>
      </c>
      <c r="S926" s="10" t="s">
        <v>1</v>
      </c>
      <c r="T926" s="10" t="s">
        <v>10221</v>
      </c>
      <c r="U926" s="5" t="str">
        <f t="shared" si="540"/>
        <v>Propriedade destinada a estacionar: é.raio.de.giro</v>
      </c>
      <c r="V926" s="5" t="str">
        <f t="shared" si="541"/>
        <v>Dado para estacionar:  raio.de.giro  Deve ser formatado como (xsd:double)</v>
      </c>
      <c r="W926" s="69" t="s">
        <v>7148</v>
      </c>
      <c r="X926" s="17" t="str">
        <f t="shared" si="536"/>
        <v>d.estac.107</v>
      </c>
      <c r="Y926" s="17" t="str">
        <f t="shared" si="537"/>
        <v>Ação de estacionar</v>
      </c>
      <c r="Z926" s="62" t="s">
        <v>7162</v>
      </c>
      <c r="AA926" s="18" t="str">
        <f t="shared" si="542"/>
        <v>null</v>
      </c>
      <c r="AB926" s="19" t="s">
        <v>0</v>
      </c>
      <c r="AC926" s="18" t="str">
        <f t="shared" si="543"/>
        <v>null</v>
      </c>
      <c r="AD926" s="19" t="s">
        <v>0</v>
      </c>
      <c r="AE926" s="18" t="str">
        <f t="shared" si="544"/>
        <v>null</v>
      </c>
      <c r="AF926" s="75" t="s">
        <v>0</v>
      </c>
      <c r="AG926" s="38" t="s">
        <v>8149</v>
      </c>
    </row>
    <row r="927" spans="1:33" ht="6" customHeight="1" x14ac:dyDescent="0.4">
      <c r="A927" s="4">
        <f>ROW()</f>
        <v>927</v>
      </c>
      <c r="B927" s="9" t="s">
        <v>27</v>
      </c>
      <c r="C927" s="44" t="str">
        <f t="shared" si="545"/>
        <v>p.estacionar</v>
      </c>
      <c r="D927" s="6" t="str">
        <f t="shared" si="539"/>
        <v>é.vaga.ângulo.00</v>
      </c>
      <c r="E927" s="8" t="s">
        <v>28</v>
      </c>
      <c r="F927" s="34" t="str">
        <f t="shared" si="546"/>
        <v>d.estacionar</v>
      </c>
      <c r="G927" s="14" t="s">
        <v>7126</v>
      </c>
      <c r="H927" s="34" t="s">
        <v>35</v>
      </c>
      <c r="I927" s="92" t="str">
        <f t="shared" si="511"/>
        <v>null</v>
      </c>
      <c r="J927" s="82" t="s">
        <v>0</v>
      </c>
      <c r="K927" s="82" t="s">
        <v>0</v>
      </c>
      <c r="L927" s="82" t="s">
        <v>0</v>
      </c>
      <c r="M927" s="82" t="s">
        <v>0</v>
      </c>
      <c r="N927" s="80" t="s">
        <v>0</v>
      </c>
      <c r="O927" s="82" t="s">
        <v>0</v>
      </c>
      <c r="P927" s="82" t="s">
        <v>0</v>
      </c>
      <c r="Q927" s="82" t="s">
        <v>0</v>
      </c>
      <c r="R927" s="84" t="s">
        <v>0</v>
      </c>
      <c r="S927" s="10" t="s">
        <v>1</v>
      </c>
      <c r="T927" s="10" t="s">
        <v>10221</v>
      </c>
      <c r="U927" s="5" t="str">
        <f t="shared" si="540"/>
        <v>Propriedade destinada a estacionar: é.vaga.ângulo.00</v>
      </c>
      <c r="V927" s="5" t="str">
        <f t="shared" si="541"/>
        <v>Dado para estacionar:  vaga.ângulo.00  Deve ser formatado como (xsd:double)</v>
      </c>
      <c r="W927" s="69" t="s">
        <v>7128</v>
      </c>
      <c r="X927" s="17" t="str">
        <f t="shared" si="536"/>
        <v>d.estac.108</v>
      </c>
      <c r="Y927" s="17" t="str">
        <f t="shared" si="537"/>
        <v>Ação de estacionar</v>
      </c>
      <c r="Z927" s="62" t="s">
        <v>7163</v>
      </c>
      <c r="AA927" s="18" t="str">
        <f t="shared" si="542"/>
        <v>null</v>
      </c>
      <c r="AB927" s="19" t="s">
        <v>0</v>
      </c>
      <c r="AC927" s="18" t="str">
        <f t="shared" si="543"/>
        <v>null</v>
      </c>
      <c r="AD927" s="19" t="s">
        <v>0</v>
      </c>
      <c r="AE927" s="18" t="str">
        <f t="shared" si="544"/>
        <v>null</v>
      </c>
      <c r="AF927" s="75" t="s">
        <v>0</v>
      </c>
      <c r="AG927" s="38" t="s">
        <v>8150</v>
      </c>
    </row>
    <row r="928" spans="1:33" ht="6" customHeight="1" x14ac:dyDescent="0.4">
      <c r="A928" s="4">
        <f>ROW()</f>
        <v>928</v>
      </c>
      <c r="B928" s="9" t="s">
        <v>27</v>
      </c>
      <c r="C928" s="44" t="str">
        <f t="shared" si="545"/>
        <v>p.estacionar</v>
      </c>
      <c r="D928" s="6" t="str">
        <f t="shared" si="539"/>
        <v>é.vaga.ângulo.30</v>
      </c>
      <c r="E928" s="8" t="s">
        <v>28</v>
      </c>
      <c r="F928" s="34" t="str">
        <f>F926</f>
        <v>d.estacionar</v>
      </c>
      <c r="G928" s="14" t="s">
        <v>7127</v>
      </c>
      <c r="H928" s="34" t="s">
        <v>35</v>
      </c>
      <c r="I928" s="92" t="str">
        <f t="shared" si="511"/>
        <v>null</v>
      </c>
      <c r="J928" s="82" t="s">
        <v>0</v>
      </c>
      <c r="K928" s="82" t="s">
        <v>0</v>
      </c>
      <c r="L928" s="82" t="s">
        <v>0</v>
      </c>
      <c r="M928" s="82" t="s">
        <v>0</v>
      </c>
      <c r="N928" s="80" t="s">
        <v>0</v>
      </c>
      <c r="O928" s="82" t="s">
        <v>0</v>
      </c>
      <c r="P928" s="82" t="s">
        <v>0</v>
      </c>
      <c r="Q928" s="82" t="s">
        <v>0</v>
      </c>
      <c r="R928" s="84" t="s">
        <v>0</v>
      </c>
      <c r="S928" s="10" t="s">
        <v>1</v>
      </c>
      <c r="T928" s="10" t="s">
        <v>10221</v>
      </c>
      <c r="U928" s="5" t="str">
        <f t="shared" si="540"/>
        <v>Propriedade destinada a estacionar: é.vaga.ângulo.30</v>
      </c>
      <c r="V928" s="5" t="str">
        <f t="shared" si="541"/>
        <v>Dado para estacionar:  vaga.ângulo.30  Deve ser formatado como (xsd:double)</v>
      </c>
      <c r="W928" s="69" t="s">
        <v>7129</v>
      </c>
      <c r="X928" s="17" t="str">
        <f t="shared" si="536"/>
        <v>d.estac.109</v>
      </c>
      <c r="Y928" s="17" t="str">
        <f t="shared" si="537"/>
        <v>Ação de estacionar</v>
      </c>
      <c r="Z928" s="62" t="s">
        <v>7164</v>
      </c>
      <c r="AA928" s="18" t="str">
        <f t="shared" si="542"/>
        <v>null</v>
      </c>
      <c r="AB928" s="19" t="s">
        <v>0</v>
      </c>
      <c r="AC928" s="18" t="str">
        <f t="shared" si="543"/>
        <v>null</v>
      </c>
      <c r="AD928" s="19" t="s">
        <v>0</v>
      </c>
      <c r="AE928" s="18" t="str">
        <f t="shared" si="544"/>
        <v>null</v>
      </c>
      <c r="AF928" s="75" t="s">
        <v>0</v>
      </c>
      <c r="AG928" s="38" t="s">
        <v>8151</v>
      </c>
    </row>
    <row r="929" spans="1:33" ht="6" customHeight="1" x14ac:dyDescent="0.4">
      <c r="A929" s="4">
        <f>ROW()</f>
        <v>929</v>
      </c>
      <c r="B929" s="9" t="s">
        <v>27</v>
      </c>
      <c r="C929" s="44" t="str">
        <f t="shared" si="545"/>
        <v>p.estacionar</v>
      </c>
      <c r="D929" s="6" t="str">
        <f t="shared" si="539"/>
        <v>é.vaga.ângulo.45</v>
      </c>
      <c r="E929" s="8" t="s">
        <v>28</v>
      </c>
      <c r="F929" s="34" t="str">
        <f>F927</f>
        <v>d.estacionar</v>
      </c>
      <c r="G929" s="14" t="s">
        <v>7123</v>
      </c>
      <c r="H929" s="34" t="s">
        <v>35</v>
      </c>
      <c r="I929" s="92" t="str">
        <f t="shared" si="511"/>
        <v>null</v>
      </c>
      <c r="J929" s="82" t="s">
        <v>0</v>
      </c>
      <c r="K929" s="82" t="s">
        <v>0</v>
      </c>
      <c r="L929" s="82" t="s">
        <v>0</v>
      </c>
      <c r="M929" s="82" t="s">
        <v>0</v>
      </c>
      <c r="N929" s="80" t="s">
        <v>0</v>
      </c>
      <c r="O929" s="82" t="s">
        <v>0</v>
      </c>
      <c r="P929" s="82" t="s">
        <v>0</v>
      </c>
      <c r="Q929" s="82" t="s">
        <v>0</v>
      </c>
      <c r="R929" s="84" t="s">
        <v>0</v>
      </c>
      <c r="S929" s="10" t="s">
        <v>1</v>
      </c>
      <c r="T929" s="10" t="s">
        <v>10221</v>
      </c>
      <c r="U929" s="5" t="str">
        <f t="shared" si="540"/>
        <v>Propriedade destinada a estacionar: é.vaga.ângulo.45</v>
      </c>
      <c r="V929" s="5" t="str">
        <f t="shared" si="541"/>
        <v>Dado para estacionar:  vaga.ângulo.45  Deve ser formatado como (xsd:double)</v>
      </c>
      <c r="W929" s="69" t="s">
        <v>7130</v>
      </c>
      <c r="X929" s="17" t="str">
        <f t="shared" si="536"/>
        <v>d.estac.110</v>
      </c>
      <c r="Y929" s="17" t="str">
        <f t="shared" si="537"/>
        <v>Ação de estacionar</v>
      </c>
      <c r="Z929" s="62" t="s">
        <v>7165</v>
      </c>
      <c r="AA929" s="18" t="str">
        <f t="shared" si="542"/>
        <v>null</v>
      </c>
      <c r="AB929" s="19" t="s">
        <v>0</v>
      </c>
      <c r="AC929" s="18" t="str">
        <f t="shared" si="543"/>
        <v>null</v>
      </c>
      <c r="AD929" s="19" t="s">
        <v>0</v>
      </c>
      <c r="AE929" s="18" t="str">
        <f t="shared" si="544"/>
        <v>null</v>
      </c>
      <c r="AF929" s="75" t="s">
        <v>0</v>
      </c>
      <c r="AG929" s="38" t="s">
        <v>8152</v>
      </c>
    </row>
    <row r="930" spans="1:33" ht="6" customHeight="1" x14ac:dyDescent="0.4">
      <c r="A930" s="4">
        <f>ROW()</f>
        <v>930</v>
      </c>
      <c r="B930" s="9" t="s">
        <v>27</v>
      </c>
      <c r="C930" s="44" t="str">
        <f t="shared" si="545"/>
        <v>p.estacionar</v>
      </c>
      <c r="D930" s="6" t="str">
        <f t="shared" si="539"/>
        <v>é.vaga.ângulo.60</v>
      </c>
      <c r="E930" s="8" t="s">
        <v>28</v>
      </c>
      <c r="F930" s="34" t="str">
        <f t="shared" si="546"/>
        <v>d.estacionar</v>
      </c>
      <c r="G930" s="14" t="s">
        <v>7124</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40"/>
        <v>Propriedade destinada a estacionar: é.vaga.ângulo.60</v>
      </c>
      <c r="V930" s="5" t="str">
        <f t="shared" si="541"/>
        <v>Dado para estacionar:  vaga.ângulo.60  Deve ser formatado como (xsd:double)</v>
      </c>
      <c r="W930" s="69" t="s">
        <v>7131</v>
      </c>
      <c r="X930" s="17" t="str">
        <f t="shared" si="536"/>
        <v>d.estac.111</v>
      </c>
      <c r="Y930" s="17" t="str">
        <f t="shared" si="537"/>
        <v>Ação de estacionar</v>
      </c>
      <c r="Z930" s="62" t="s">
        <v>7166</v>
      </c>
      <c r="AA930" s="18" t="str">
        <f t="shared" si="542"/>
        <v>null</v>
      </c>
      <c r="AB930" s="19" t="s">
        <v>0</v>
      </c>
      <c r="AC930" s="18" t="str">
        <f t="shared" si="543"/>
        <v>null</v>
      </c>
      <c r="AD930" s="19" t="s">
        <v>0</v>
      </c>
      <c r="AE930" s="18" t="str">
        <f t="shared" si="544"/>
        <v>null</v>
      </c>
      <c r="AF930" s="75" t="s">
        <v>0</v>
      </c>
      <c r="AG930" s="38" t="s">
        <v>8153</v>
      </c>
    </row>
    <row r="931" spans="1:33" ht="6" customHeight="1" x14ac:dyDescent="0.4">
      <c r="A931" s="4">
        <f>ROW()</f>
        <v>931</v>
      </c>
      <c r="B931" s="9" t="s">
        <v>27</v>
      </c>
      <c r="C931" s="44" t="str">
        <f t="shared" si="545"/>
        <v>p.estacionar</v>
      </c>
      <c r="D931" s="6" t="str">
        <f t="shared" si="539"/>
        <v>é.vaga.ângulo.90</v>
      </c>
      <c r="E931" s="8" t="s">
        <v>28</v>
      </c>
      <c r="F931" s="34" t="str">
        <f t="shared" si="546"/>
        <v>d.estacionar</v>
      </c>
      <c r="G931" s="14" t="s">
        <v>7125</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40"/>
        <v>Propriedade destinada a estacionar: é.vaga.ângulo.90</v>
      </c>
      <c r="V931" s="5" t="str">
        <f t="shared" si="541"/>
        <v>Dado para estacionar:  vaga.ângulo.90  Deve ser formatado como (xsd:double)</v>
      </c>
      <c r="W931" s="69" t="s">
        <v>7132</v>
      </c>
      <c r="X931" s="17" t="str">
        <f t="shared" si="536"/>
        <v>d.estac.112</v>
      </c>
      <c r="Y931" s="17" t="str">
        <f t="shared" si="537"/>
        <v>Ação de estacionar</v>
      </c>
      <c r="Z931" s="62" t="s">
        <v>7167</v>
      </c>
      <c r="AA931" s="18" t="str">
        <f t="shared" si="542"/>
        <v>null</v>
      </c>
      <c r="AB931" s="19" t="s">
        <v>0</v>
      </c>
      <c r="AC931" s="18" t="str">
        <f t="shared" si="543"/>
        <v>null</v>
      </c>
      <c r="AD931" s="19" t="s">
        <v>0</v>
      </c>
      <c r="AE931" s="18" t="str">
        <f t="shared" si="544"/>
        <v>null</v>
      </c>
      <c r="AF931" s="75" t="s">
        <v>0</v>
      </c>
      <c r="AG931" s="38" t="s">
        <v>8154</v>
      </c>
    </row>
    <row r="932" spans="1:33" ht="6" customHeight="1" x14ac:dyDescent="0.4">
      <c r="A932" s="4">
        <f>ROW()</f>
        <v>932</v>
      </c>
      <c r="B932" s="9" t="s">
        <v>27</v>
      </c>
      <c r="C932" s="44" t="str">
        <f t="shared" si="545"/>
        <v>p.estacionar</v>
      </c>
      <c r="D932" s="6" t="str">
        <f t="shared" si="539"/>
        <v>é.vaga.de.carga</v>
      </c>
      <c r="E932" s="8" t="s">
        <v>28</v>
      </c>
      <c r="F932" s="34" t="str">
        <f t="shared" si="546"/>
        <v>d.estacionar</v>
      </c>
      <c r="G932" s="13" t="s">
        <v>7116</v>
      </c>
      <c r="H932" s="34" t="s">
        <v>1581</v>
      </c>
      <c r="I932" s="92" t="str">
        <f t="shared" si="511"/>
        <v>null</v>
      </c>
      <c r="J932" s="80" t="s">
        <v>0</v>
      </c>
      <c r="K932" s="80" t="s">
        <v>0</v>
      </c>
      <c r="L932" s="80" t="s">
        <v>0</v>
      </c>
      <c r="M932" s="80" t="s">
        <v>0</v>
      </c>
      <c r="N932" s="80" t="s">
        <v>0</v>
      </c>
      <c r="O932" s="80" t="s">
        <v>0</v>
      </c>
      <c r="P932" s="80" t="s">
        <v>0</v>
      </c>
      <c r="Q932" s="80" t="s">
        <v>0</v>
      </c>
      <c r="R932" s="84" t="s">
        <v>0</v>
      </c>
      <c r="S932" s="10" t="s">
        <v>1</v>
      </c>
      <c r="T932" s="10" t="s">
        <v>10221</v>
      </c>
      <c r="U932" s="5" t="str">
        <f t="shared" si="540"/>
        <v>Propriedade destinada a estacionar: é.vaga.de.carga</v>
      </c>
      <c r="V932" s="5" t="str">
        <f t="shared" si="541"/>
        <v>Dado para estacionar:  vaga.de.carga  Deve ser formatado como (rdfs:Literal  or  xsd:string)</v>
      </c>
      <c r="W932" s="62" t="s">
        <v>7115</v>
      </c>
      <c r="X932" s="17" t="str">
        <f t="shared" si="536"/>
        <v>d.estac.113</v>
      </c>
      <c r="Y932" s="17" t="str">
        <f t="shared" si="537"/>
        <v>Ação de estacionar</v>
      </c>
      <c r="Z932" s="62" t="s">
        <v>7138</v>
      </c>
      <c r="AA932" s="18" t="str">
        <f t="shared" si="542"/>
        <v>categoria.revit</v>
      </c>
      <c r="AB932" s="57" t="s">
        <v>7114</v>
      </c>
      <c r="AC932" s="18" t="str">
        <f t="shared" si="543"/>
        <v>classe.ifc</v>
      </c>
      <c r="AD932" s="57" t="s">
        <v>3920</v>
      </c>
      <c r="AE932" s="18" t="str">
        <f t="shared" si="544"/>
        <v>propriedade</v>
      </c>
      <c r="AF932" s="75" t="s">
        <v>7117</v>
      </c>
      <c r="AG932" s="38" t="s">
        <v>8155</v>
      </c>
    </row>
    <row r="933" spans="1:33" ht="6" customHeight="1" x14ac:dyDescent="0.4">
      <c r="A933" s="4">
        <f>ROW()</f>
        <v>933</v>
      </c>
      <c r="B933" s="9" t="s">
        <v>27</v>
      </c>
      <c r="C933" s="44" t="str">
        <f t="shared" si="545"/>
        <v>p.estacionar</v>
      </c>
      <c r="D933" s="6" t="str">
        <f t="shared" si="539"/>
        <v>é.vaga.de.carro</v>
      </c>
      <c r="E933" s="8" t="s">
        <v>28</v>
      </c>
      <c r="F933" s="34" t="str">
        <f t="shared" si="546"/>
        <v>d.estacionar</v>
      </c>
      <c r="G933" s="13" t="s">
        <v>7107</v>
      </c>
      <c r="H933" s="34" t="s">
        <v>1581</v>
      </c>
      <c r="I933" s="92" t="str">
        <f t="shared" si="511"/>
        <v>null</v>
      </c>
      <c r="J933" s="80" t="s">
        <v>0</v>
      </c>
      <c r="K933" s="80" t="s">
        <v>0</v>
      </c>
      <c r="L933" s="80" t="s">
        <v>0</v>
      </c>
      <c r="M933" s="80" t="s">
        <v>0</v>
      </c>
      <c r="N933" s="80" t="s">
        <v>0</v>
      </c>
      <c r="O933" s="80" t="s">
        <v>0</v>
      </c>
      <c r="P933" s="80" t="s">
        <v>0</v>
      </c>
      <c r="Q933" s="80" t="s">
        <v>0</v>
      </c>
      <c r="R933" s="84" t="s">
        <v>0</v>
      </c>
      <c r="S933" s="10" t="s">
        <v>1</v>
      </c>
      <c r="T933" s="10" t="s">
        <v>10221</v>
      </c>
      <c r="U933" s="5" t="str">
        <f t="shared" si="540"/>
        <v>Propriedade destinada a estacionar: é.vaga.de.carro</v>
      </c>
      <c r="V933" s="5" t="str">
        <f t="shared" si="541"/>
        <v>Dado para estacionar:  vaga.de.carro  Deve ser formatado como (rdfs:Literal  or  xsd:string)</v>
      </c>
      <c r="W933" s="62" t="s">
        <v>7110</v>
      </c>
      <c r="X933" s="17" t="str">
        <f t="shared" si="536"/>
        <v>d.estac.114</v>
      </c>
      <c r="Y933" s="17" t="str">
        <f t="shared" si="537"/>
        <v>Ação de estacionar</v>
      </c>
      <c r="Z933" s="62" t="s">
        <v>7139</v>
      </c>
      <c r="AA933" s="18" t="str">
        <f t="shared" si="542"/>
        <v>categoria.revit</v>
      </c>
      <c r="AB933" s="57" t="s">
        <v>7114</v>
      </c>
      <c r="AC933" s="18" t="str">
        <f t="shared" si="543"/>
        <v>classe.ifc</v>
      </c>
      <c r="AD933" s="57" t="s">
        <v>3920</v>
      </c>
      <c r="AE933" s="18" t="str">
        <f t="shared" si="544"/>
        <v>propriedade</v>
      </c>
      <c r="AF933" s="75" t="s">
        <v>7113</v>
      </c>
      <c r="AG933" s="38" t="s">
        <v>8156</v>
      </c>
    </row>
    <row r="934" spans="1:33" ht="6" customHeight="1" x14ac:dyDescent="0.4">
      <c r="A934" s="4">
        <f>ROW()</f>
        <v>934</v>
      </c>
      <c r="B934" s="9" t="s">
        <v>27</v>
      </c>
      <c r="C934" s="44" t="str">
        <f t="shared" si="545"/>
        <v>p.estacionar</v>
      </c>
      <c r="D934" s="6" t="str">
        <f t="shared" si="539"/>
        <v>é.vaga.de.idoso</v>
      </c>
      <c r="E934" s="8" t="s">
        <v>28</v>
      </c>
      <c r="F934" s="34" t="str">
        <f t="shared" si="546"/>
        <v>d.estacionar</v>
      </c>
      <c r="G934" s="13" t="s">
        <v>7118</v>
      </c>
      <c r="H934" s="34" t="s">
        <v>1581</v>
      </c>
      <c r="I934" s="92" t="str">
        <f t="shared" si="511"/>
        <v>null</v>
      </c>
      <c r="J934" s="80" t="s">
        <v>0</v>
      </c>
      <c r="K934" s="80" t="s">
        <v>0</v>
      </c>
      <c r="L934" s="80" t="s">
        <v>0</v>
      </c>
      <c r="M934" s="80" t="s">
        <v>0</v>
      </c>
      <c r="N934" s="80" t="s">
        <v>0</v>
      </c>
      <c r="O934" s="80" t="s">
        <v>0</v>
      </c>
      <c r="P934" s="80" t="s">
        <v>0</v>
      </c>
      <c r="Q934" s="80" t="s">
        <v>0</v>
      </c>
      <c r="R934" s="84" t="s">
        <v>0</v>
      </c>
      <c r="S934" s="10" t="s">
        <v>1</v>
      </c>
      <c r="T934" s="10" t="s">
        <v>10221</v>
      </c>
      <c r="U934" s="5" t="str">
        <f t="shared" si="540"/>
        <v>Propriedade destinada a estacionar: é.vaga.de.idoso</v>
      </c>
      <c r="V934" s="5" t="str">
        <f t="shared" si="541"/>
        <v>Dado para estacionar:  vaga.de.idoso  Deve ser formatado como (rdfs:Literal  or  xsd:string)</v>
      </c>
      <c r="W934" s="62" t="s">
        <v>7119</v>
      </c>
      <c r="X934" s="17" t="str">
        <f t="shared" si="536"/>
        <v>d.estac.115</v>
      </c>
      <c r="Y934" s="17" t="str">
        <f t="shared" si="537"/>
        <v>Ação de estacionar</v>
      </c>
      <c r="Z934" s="62" t="s">
        <v>7140</v>
      </c>
      <c r="AA934" s="18" t="str">
        <f t="shared" si="542"/>
        <v>categoria.revit</v>
      </c>
      <c r="AB934" s="57" t="s">
        <v>7114</v>
      </c>
      <c r="AC934" s="18" t="str">
        <f t="shared" si="543"/>
        <v>classe.ifc</v>
      </c>
      <c r="AD934" s="57" t="s">
        <v>3920</v>
      </c>
      <c r="AE934" s="18" t="str">
        <f t="shared" si="544"/>
        <v>propriedade</v>
      </c>
      <c r="AF934" s="75" t="s">
        <v>7120</v>
      </c>
      <c r="AG934" s="38" t="s">
        <v>8157</v>
      </c>
    </row>
    <row r="935" spans="1:33" ht="6" customHeight="1" x14ac:dyDescent="0.4">
      <c r="A935" s="4">
        <f>ROW()</f>
        <v>935</v>
      </c>
      <c r="B935" s="9" t="s">
        <v>27</v>
      </c>
      <c r="C935" s="44" t="str">
        <f t="shared" si="545"/>
        <v>p.estacionar</v>
      </c>
      <c r="D935" s="6" t="str">
        <f t="shared" si="539"/>
        <v>é.vaga.de.moto</v>
      </c>
      <c r="E935" s="8" t="s">
        <v>28</v>
      </c>
      <c r="F935" s="34" t="str">
        <f t="shared" si="546"/>
        <v>d.estacionar</v>
      </c>
      <c r="G935" s="13" t="s">
        <v>7108</v>
      </c>
      <c r="H935" s="34" t="s">
        <v>1581</v>
      </c>
      <c r="I935" s="92" t="str">
        <f t="shared" si="511"/>
        <v>null</v>
      </c>
      <c r="J935" s="80" t="s">
        <v>0</v>
      </c>
      <c r="K935" s="80" t="s">
        <v>0</v>
      </c>
      <c r="L935" s="80" t="s">
        <v>0</v>
      </c>
      <c r="M935" s="80" t="s">
        <v>0</v>
      </c>
      <c r="N935" s="80" t="s">
        <v>0</v>
      </c>
      <c r="O935" s="80" t="s">
        <v>0</v>
      </c>
      <c r="P935" s="80" t="s">
        <v>0</v>
      </c>
      <c r="Q935" s="80" t="s">
        <v>0</v>
      </c>
      <c r="R935" s="84" t="s">
        <v>0</v>
      </c>
      <c r="S935" s="10" t="s">
        <v>1</v>
      </c>
      <c r="T935" s="10" t="s">
        <v>10221</v>
      </c>
      <c r="U935" s="5" t="str">
        <f t="shared" si="540"/>
        <v>Propriedade destinada a estacionar: é.vaga.de.moto</v>
      </c>
      <c r="V935" s="5" t="str">
        <f t="shared" si="541"/>
        <v>Dado para estacionar:  vaga.de.moto  Deve ser formatado como (rdfs:Literal  or  xsd:string)</v>
      </c>
      <c r="W935" s="62" t="s">
        <v>7111</v>
      </c>
      <c r="X935" s="17" t="str">
        <f t="shared" si="536"/>
        <v>d.estac.116</v>
      </c>
      <c r="Y935" s="17" t="str">
        <f t="shared" si="537"/>
        <v>Ação de estacionar</v>
      </c>
      <c r="Z935" s="62" t="s">
        <v>7141</v>
      </c>
      <c r="AA935" s="18" t="str">
        <f t="shared" si="542"/>
        <v>categoria.revit</v>
      </c>
      <c r="AB935" s="57" t="s">
        <v>7114</v>
      </c>
      <c r="AC935" s="18" t="str">
        <f t="shared" si="543"/>
        <v>classe.ifc</v>
      </c>
      <c r="AD935" s="57" t="s">
        <v>3920</v>
      </c>
      <c r="AE935" s="18" t="str">
        <f t="shared" si="544"/>
        <v>propriedade</v>
      </c>
      <c r="AF935" s="75" t="s">
        <v>7113</v>
      </c>
      <c r="AG935" s="38" t="s">
        <v>8158</v>
      </c>
    </row>
    <row r="936" spans="1:33" ht="6" customHeight="1" x14ac:dyDescent="0.4">
      <c r="A936" s="4">
        <f>ROW()</f>
        <v>936</v>
      </c>
      <c r="B936" s="9" t="s">
        <v>27</v>
      </c>
      <c r="C936" s="44" t="str">
        <f t="shared" si="545"/>
        <v>p.estacionar</v>
      </c>
      <c r="D936" s="6" t="str">
        <f t="shared" si="539"/>
        <v>é.vaga.reservada</v>
      </c>
      <c r="E936" s="8" t="s">
        <v>28</v>
      </c>
      <c r="F936" s="34" t="str">
        <f t="shared" si="546"/>
        <v>d.estacionar</v>
      </c>
      <c r="G936" s="13" t="s">
        <v>3895</v>
      </c>
      <c r="H936" s="33" t="s">
        <v>1581</v>
      </c>
      <c r="I936" s="92" t="str">
        <f t="shared" si="511"/>
        <v>null</v>
      </c>
      <c r="J936" s="80" t="s">
        <v>0</v>
      </c>
      <c r="K936" s="80" t="s">
        <v>0</v>
      </c>
      <c r="L936" s="80" t="s">
        <v>0</v>
      </c>
      <c r="M936" s="80" t="s">
        <v>0</v>
      </c>
      <c r="N936" s="80" t="s">
        <v>0</v>
      </c>
      <c r="O936" s="80" t="s">
        <v>0</v>
      </c>
      <c r="P936" s="80" t="s">
        <v>0</v>
      </c>
      <c r="Q936" s="80" t="s">
        <v>0</v>
      </c>
      <c r="R936" s="84" t="s">
        <v>0</v>
      </c>
      <c r="S936" s="10" t="s">
        <v>1</v>
      </c>
      <c r="T936" s="10" t="s">
        <v>10221</v>
      </c>
      <c r="U936" s="5" t="str">
        <f t="shared" si="540"/>
        <v>Propriedade destinada a estacionar: é.vaga.reservada</v>
      </c>
      <c r="V936" s="5" t="str">
        <f t="shared" si="541"/>
        <v>Dado para estacionar:  vaga.reservada  Deve ser formatado como (rdfs:Literal  or  xsd:string)</v>
      </c>
      <c r="W936" s="69" t="s">
        <v>7112</v>
      </c>
      <c r="X936" s="17" t="str">
        <f t="shared" si="536"/>
        <v>d.estac.117</v>
      </c>
      <c r="Y936" s="17" t="str">
        <f t="shared" si="537"/>
        <v>Ação de estacionar</v>
      </c>
      <c r="Z936" s="62" t="s">
        <v>7142</v>
      </c>
      <c r="AA936" s="18" t="str">
        <f t="shared" si="542"/>
        <v>categoria.revit</v>
      </c>
      <c r="AB936" s="57" t="s">
        <v>7114</v>
      </c>
      <c r="AC936" s="18" t="str">
        <f t="shared" si="543"/>
        <v>classe.ifc</v>
      </c>
      <c r="AD936" s="57" t="s">
        <v>3920</v>
      </c>
      <c r="AE936" s="18" t="str">
        <f t="shared" si="544"/>
        <v>propriedade</v>
      </c>
      <c r="AF936" s="75" t="s">
        <v>7113</v>
      </c>
      <c r="AG936" s="38" t="s">
        <v>8159</v>
      </c>
    </row>
    <row r="937" spans="1:33" s="65" customFormat="1" ht="6" customHeight="1" x14ac:dyDescent="0.4">
      <c r="A937" s="4">
        <f>ROW()</f>
        <v>937</v>
      </c>
      <c r="B937" s="9" t="s">
        <v>27</v>
      </c>
      <c r="C937" s="43" t="str">
        <f t="shared" si="545"/>
        <v>p.esterilizar</v>
      </c>
      <c r="D937" s="6" t="str">
        <f t="shared" si="539"/>
        <v>é.autoclave</v>
      </c>
      <c r="E937" s="8" t="s">
        <v>28</v>
      </c>
      <c r="F937" s="41" t="s">
        <v>7361</v>
      </c>
      <c r="G937" s="54" t="s">
        <v>7323</v>
      </c>
      <c r="H937" s="33" t="s">
        <v>1581</v>
      </c>
      <c r="I937" s="92" t="str">
        <f t="shared" si="511"/>
        <v>null</v>
      </c>
      <c r="J937" s="80" t="s">
        <v>0</v>
      </c>
      <c r="K937" s="80" t="s">
        <v>0</v>
      </c>
      <c r="L937" s="80" t="s">
        <v>0</v>
      </c>
      <c r="M937" s="80" t="s">
        <v>0</v>
      </c>
      <c r="N937" s="80" t="s">
        <v>0</v>
      </c>
      <c r="O937" s="80" t="s">
        <v>0</v>
      </c>
      <c r="P937" s="80" t="s">
        <v>0</v>
      </c>
      <c r="Q937" s="80" t="s">
        <v>0</v>
      </c>
      <c r="R937" s="84" t="s">
        <v>0</v>
      </c>
      <c r="S937" s="10" t="s">
        <v>1</v>
      </c>
      <c r="T937" s="10" t="s">
        <v>10221</v>
      </c>
      <c r="U937" s="5" t="str">
        <f t="shared" si="540"/>
        <v>Propriedade destinada a esterilizar: é.autoclave</v>
      </c>
      <c r="V937" s="5" t="str">
        <f t="shared" si="541"/>
        <v>Dado para esterilizar:  autoclave  Deve ser formatado como (rdfs:Literal  or  xsd:string)</v>
      </c>
      <c r="W937" s="70" t="s">
        <v>7341</v>
      </c>
      <c r="X937" s="17" t="str">
        <f t="shared" si="536"/>
        <v>d.ester.100</v>
      </c>
      <c r="Y937" s="17" t="str">
        <f t="shared" si="537"/>
        <v>Ação de esterilizar</v>
      </c>
      <c r="Z937" s="62" t="s">
        <v>9571</v>
      </c>
      <c r="AA937" s="18" t="str">
        <f t="shared" si="542"/>
        <v>categoria.revit</v>
      </c>
      <c r="AB937" s="19" t="s">
        <v>2132</v>
      </c>
      <c r="AC937" s="18" t="str">
        <f t="shared" si="543"/>
        <v>classe.ifc</v>
      </c>
      <c r="AD937" s="19" t="s">
        <v>2072</v>
      </c>
      <c r="AE937" s="18" t="str">
        <f t="shared" si="544"/>
        <v>null</v>
      </c>
      <c r="AF937" s="75" t="s">
        <v>0</v>
      </c>
      <c r="AG937" s="38" t="s">
        <v>11261</v>
      </c>
    </row>
    <row r="938" spans="1:33" s="65" customFormat="1" ht="6" customHeight="1" x14ac:dyDescent="0.4">
      <c r="A938" s="4">
        <f>ROW()</f>
        <v>938</v>
      </c>
      <c r="B938" s="9" t="s">
        <v>27</v>
      </c>
      <c r="C938" s="44" t="str">
        <f t="shared" si="545"/>
        <v>p.esterilizar</v>
      </c>
      <c r="D938" s="6" t="str">
        <f t="shared" si="539"/>
        <v>é.concentração.segura</v>
      </c>
      <c r="E938" s="8" t="s">
        <v>28</v>
      </c>
      <c r="F938" s="34" t="str">
        <f t="shared" ref="F938:F952" si="551">F937</f>
        <v>d.esterilizar</v>
      </c>
      <c r="G938" s="35" t="s">
        <v>7335</v>
      </c>
      <c r="H938" s="33" t="s">
        <v>1581</v>
      </c>
      <c r="I938" s="92" t="str">
        <f t="shared" si="511"/>
        <v>null</v>
      </c>
      <c r="J938" s="80" t="s">
        <v>0</v>
      </c>
      <c r="K938" s="80" t="s">
        <v>0</v>
      </c>
      <c r="L938" s="80" t="s">
        <v>0</v>
      </c>
      <c r="M938" s="80" t="s">
        <v>0</v>
      </c>
      <c r="N938" s="80" t="s">
        <v>0</v>
      </c>
      <c r="O938" s="80" t="s">
        <v>0</v>
      </c>
      <c r="P938" s="80" t="s">
        <v>0</v>
      </c>
      <c r="Q938" s="80" t="s">
        <v>0</v>
      </c>
      <c r="R938" s="84" t="s">
        <v>0</v>
      </c>
      <c r="S938" s="10" t="s">
        <v>1</v>
      </c>
      <c r="T938" s="10" t="s">
        <v>10221</v>
      </c>
      <c r="U938" s="5" t="str">
        <f t="shared" si="540"/>
        <v>Propriedade destinada a esterilizar: é.concentração.segura</v>
      </c>
      <c r="V938" s="5" t="str">
        <f t="shared" si="541"/>
        <v>Dado para esterilizar:  concentração.segura  Deve ser formatado como (rdfs:Literal  or  xsd:string)</v>
      </c>
      <c r="W938" s="70" t="s">
        <v>11302</v>
      </c>
      <c r="X938" s="17" t="str">
        <f t="shared" si="536"/>
        <v>d.ester.101</v>
      </c>
      <c r="Y938" s="17" t="str">
        <f t="shared" si="537"/>
        <v>Ação de esterilizar</v>
      </c>
      <c r="Z938" s="62" t="s">
        <v>9572</v>
      </c>
      <c r="AA938" s="18" t="str">
        <f t="shared" si="542"/>
        <v>categoria.revit</v>
      </c>
      <c r="AB938" s="19" t="s">
        <v>2132</v>
      </c>
      <c r="AC938" s="18" t="str">
        <f t="shared" si="543"/>
        <v>classe.ifc</v>
      </c>
      <c r="AD938" s="19" t="s">
        <v>2072</v>
      </c>
      <c r="AE938" s="18" t="str">
        <f t="shared" si="544"/>
        <v>null</v>
      </c>
      <c r="AF938" s="75" t="s">
        <v>0</v>
      </c>
      <c r="AG938" s="38" t="s">
        <v>11291</v>
      </c>
    </row>
    <row r="939" spans="1:33" s="65" customFormat="1" ht="6" customHeight="1" x14ac:dyDescent="0.4">
      <c r="A939" s="4">
        <f>ROW()</f>
        <v>939</v>
      </c>
      <c r="B939" s="9" t="s">
        <v>27</v>
      </c>
      <c r="C939" s="44" t="str">
        <f t="shared" si="545"/>
        <v>p.esterilizar</v>
      </c>
      <c r="D939" s="6" t="str">
        <f t="shared" si="539"/>
        <v>é.descontaminador.a.gás</v>
      </c>
      <c r="E939" s="8" t="s">
        <v>28</v>
      </c>
      <c r="F939" s="34" t="str">
        <f t="shared" si="551"/>
        <v>d.esterilizar</v>
      </c>
      <c r="G939" s="54" t="s">
        <v>7326</v>
      </c>
      <c r="H939" s="33" t="s">
        <v>1581</v>
      </c>
      <c r="I939" s="92" t="str">
        <f t="shared" si="511"/>
        <v>null</v>
      </c>
      <c r="J939" s="80" t="s">
        <v>0</v>
      </c>
      <c r="K939" s="80" t="s">
        <v>0</v>
      </c>
      <c r="L939" s="80" t="s">
        <v>0</v>
      </c>
      <c r="M939" s="80" t="s">
        <v>0</v>
      </c>
      <c r="N939" s="80" t="s">
        <v>0</v>
      </c>
      <c r="O939" s="80" t="s">
        <v>0</v>
      </c>
      <c r="P939" s="80" t="s">
        <v>0</v>
      </c>
      <c r="Q939" s="80" t="s">
        <v>0</v>
      </c>
      <c r="R939" s="84" t="s">
        <v>0</v>
      </c>
      <c r="S939" s="10" t="s">
        <v>1</v>
      </c>
      <c r="T939" s="10" t="s">
        <v>10221</v>
      </c>
      <c r="U939" s="5" t="str">
        <f t="shared" si="540"/>
        <v>Propriedade destinada a esterilizar: é.descontaminador.a.gás</v>
      </c>
      <c r="V939" s="5" t="str">
        <f t="shared" si="541"/>
        <v>Dado para esterilizar:  descontaminador.a.gás  Deve ser formatado como (rdfs:Literal  or  xsd:string)</v>
      </c>
      <c r="W939" s="70" t="s">
        <v>7336</v>
      </c>
      <c r="X939" s="17" t="str">
        <f t="shared" si="536"/>
        <v>d.ester.102</v>
      </c>
      <c r="Y939" s="17" t="str">
        <f t="shared" si="537"/>
        <v>Ação de esterilizar</v>
      </c>
      <c r="Z939" s="62" t="s">
        <v>9573</v>
      </c>
      <c r="AA939" s="18" t="str">
        <f t="shared" si="542"/>
        <v>categoria.revit</v>
      </c>
      <c r="AB939" s="19" t="s">
        <v>2132</v>
      </c>
      <c r="AC939" s="18" t="str">
        <f t="shared" si="543"/>
        <v>classe.ifc</v>
      </c>
      <c r="AD939" s="19" t="s">
        <v>2072</v>
      </c>
      <c r="AE939" s="18" t="str">
        <f t="shared" si="544"/>
        <v>null</v>
      </c>
      <c r="AF939" s="75" t="s">
        <v>0</v>
      </c>
      <c r="AG939" s="38" t="s">
        <v>11262</v>
      </c>
    </row>
    <row r="940" spans="1:33" s="65" customFormat="1" ht="6" customHeight="1" x14ac:dyDescent="0.4">
      <c r="A940" s="4">
        <f>ROW()</f>
        <v>940</v>
      </c>
      <c r="B940" s="9" t="s">
        <v>27</v>
      </c>
      <c r="C940" s="44" t="str">
        <f t="shared" si="545"/>
        <v>p.esterilizar</v>
      </c>
      <c r="D940" s="6" t="str">
        <f t="shared" si="539"/>
        <v>é.descontaminador.de.efluente</v>
      </c>
      <c r="E940" s="8" t="s">
        <v>28</v>
      </c>
      <c r="F940" s="34" t="str">
        <f t="shared" si="551"/>
        <v>d.esterilizar</v>
      </c>
      <c r="G940" s="54" t="s">
        <v>7339</v>
      </c>
      <c r="H940" s="33"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40"/>
        <v>Propriedade destinada a esterilizar: é.descontaminador.de.efluente</v>
      </c>
      <c r="V940" s="5" t="str">
        <f t="shared" si="541"/>
        <v>Dado para esterilizar:  descontaminador.de.efluente  Deve ser formatado como (rdfs:Literal  or  xsd:string)</v>
      </c>
      <c r="W940" s="70" t="s">
        <v>7340</v>
      </c>
      <c r="X940" s="17" t="str">
        <f t="shared" si="536"/>
        <v>d.ester.103</v>
      </c>
      <c r="Y940" s="17" t="str">
        <f t="shared" si="537"/>
        <v>Ação de esterilizar</v>
      </c>
      <c r="Z940" s="62" t="s">
        <v>9574</v>
      </c>
      <c r="AA940" s="18" t="str">
        <f t="shared" si="542"/>
        <v>categoria.revit</v>
      </c>
      <c r="AB940" s="19" t="s">
        <v>2132</v>
      </c>
      <c r="AC940" s="18" t="str">
        <f t="shared" si="543"/>
        <v>classe.ifc</v>
      </c>
      <c r="AD940" s="19" t="s">
        <v>2072</v>
      </c>
      <c r="AE940" s="18" t="str">
        <f t="shared" si="544"/>
        <v>null</v>
      </c>
      <c r="AF940" s="75" t="s">
        <v>0</v>
      </c>
      <c r="AG940" s="38" t="s">
        <v>11263</v>
      </c>
    </row>
    <row r="941" spans="1:33" s="65" customFormat="1" ht="6" customHeight="1" x14ac:dyDescent="0.4">
      <c r="A941" s="4">
        <f>ROW()</f>
        <v>941</v>
      </c>
      <c r="B941" s="9" t="s">
        <v>27</v>
      </c>
      <c r="C941" s="44" t="str">
        <f t="shared" si="545"/>
        <v>p.esterilizar</v>
      </c>
      <c r="D941" s="6" t="str">
        <f t="shared" si="539"/>
        <v>é.estufa.de.calor.seco</v>
      </c>
      <c r="E941" s="8" t="s">
        <v>28</v>
      </c>
      <c r="F941" s="34" t="str">
        <f t="shared" si="551"/>
        <v>d.esterilizar</v>
      </c>
      <c r="G941" s="54" t="s">
        <v>7324</v>
      </c>
      <c r="H941" s="33"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40"/>
        <v>Propriedade destinada a esterilizar: é.estufa.de.calor.seco</v>
      </c>
      <c r="V941" s="5" t="str">
        <f t="shared" si="541"/>
        <v>Dado para esterilizar:  estufa.de.calor.seco  Deve ser formatado como (rdfs:Literal  or  xsd:string)</v>
      </c>
      <c r="W941" s="70" t="s">
        <v>7338</v>
      </c>
      <c r="X941" s="17" t="str">
        <f t="shared" si="536"/>
        <v>d.ester.104</v>
      </c>
      <c r="Y941" s="17" t="str">
        <f t="shared" si="537"/>
        <v>Ação de esterilizar</v>
      </c>
      <c r="Z941" s="62" t="s">
        <v>9575</v>
      </c>
      <c r="AA941" s="18" t="str">
        <f t="shared" si="542"/>
        <v>categoria.revit</v>
      </c>
      <c r="AB941" s="19" t="s">
        <v>2132</v>
      </c>
      <c r="AC941" s="18" t="str">
        <f t="shared" si="543"/>
        <v>classe.ifc</v>
      </c>
      <c r="AD941" s="19" t="s">
        <v>2072</v>
      </c>
      <c r="AE941" s="18" t="str">
        <f t="shared" si="544"/>
        <v>null</v>
      </c>
      <c r="AF941" s="75" t="s">
        <v>0</v>
      </c>
      <c r="AG941" s="38" t="s">
        <v>11264</v>
      </c>
    </row>
    <row r="942" spans="1:33" s="65" customFormat="1" ht="6" customHeight="1" x14ac:dyDescent="0.4">
      <c r="A942" s="4">
        <f>ROW()</f>
        <v>942</v>
      </c>
      <c r="B942" s="9" t="s">
        <v>27</v>
      </c>
      <c r="C942" s="44" t="str">
        <f t="shared" si="545"/>
        <v>p.esterilizar</v>
      </c>
      <c r="D942" s="6" t="str">
        <f t="shared" si="539"/>
        <v>é.faixa.de.concentração</v>
      </c>
      <c r="E942" s="8" t="s">
        <v>28</v>
      </c>
      <c r="F942" s="34" t="str">
        <f t="shared" si="551"/>
        <v>d.esterilizar</v>
      </c>
      <c r="G942" s="35" t="s">
        <v>7332</v>
      </c>
      <c r="H942" s="33"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40"/>
        <v>Propriedade destinada a esterilizar: é.faixa.de.concentração</v>
      </c>
      <c r="V942" s="5" t="str">
        <f t="shared" si="541"/>
        <v>Dado para esterilizar:  faixa.de.concentração  Deve ser formatado como (rdfs:Literal  or  xsd:string)</v>
      </c>
      <c r="W942" s="70" t="s">
        <v>11303</v>
      </c>
      <c r="X942" s="17" t="str">
        <f t="shared" si="536"/>
        <v>d.ester.105</v>
      </c>
      <c r="Y942" s="17" t="str">
        <f t="shared" si="537"/>
        <v>Ação de esterilizar</v>
      </c>
      <c r="Z942" s="62" t="s">
        <v>9576</v>
      </c>
      <c r="AA942" s="18" t="str">
        <f t="shared" si="542"/>
        <v>categoria.revit</v>
      </c>
      <c r="AB942" s="19" t="s">
        <v>2132</v>
      </c>
      <c r="AC942" s="18" t="str">
        <f t="shared" si="543"/>
        <v>classe.ifc</v>
      </c>
      <c r="AD942" s="19" t="s">
        <v>2072</v>
      </c>
      <c r="AE942" s="18" t="str">
        <f t="shared" si="544"/>
        <v>null</v>
      </c>
      <c r="AF942" s="75" t="s">
        <v>0</v>
      </c>
      <c r="AG942" s="38" t="s">
        <v>11292</v>
      </c>
    </row>
    <row r="943" spans="1:33" s="65" customFormat="1" ht="6" customHeight="1" x14ac:dyDescent="0.4">
      <c r="A943" s="4">
        <f>ROW()</f>
        <v>943</v>
      </c>
      <c r="B943" s="9" t="s">
        <v>27</v>
      </c>
      <c r="C943" s="44" t="str">
        <f t="shared" si="545"/>
        <v>p.esterilizar</v>
      </c>
      <c r="D943" s="6" t="str">
        <f t="shared" si="539"/>
        <v>é.filtro.hepa</v>
      </c>
      <c r="E943" s="8" t="s">
        <v>28</v>
      </c>
      <c r="F943" s="34" t="str">
        <f t="shared" si="551"/>
        <v>d.esterilizar</v>
      </c>
      <c r="G943" s="54" t="s">
        <v>7321</v>
      </c>
      <c r="H943" s="33"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40"/>
        <v>Propriedade destinada a esterilizar: é.filtro.hepa</v>
      </c>
      <c r="V943" s="5" t="str">
        <f t="shared" si="541"/>
        <v>Dado para esterilizar:  filtro.hepa  Deve ser formatado como (rdfs:Literal  or  xsd:string)</v>
      </c>
      <c r="W943" s="70" t="s">
        <v>7343</v>
      </c>
      <c r="X943" s="17" t="str">
        <f t="shared" si="536"/>
        <v>d.ester.106</v>
      </c>
      <c r="Y943" s="17" t="str">
        <f t="shared" si="537"/>
        <v>Ação de esterilizar</v>
      </c>
      <c r="Z943" s="62" t="s">
        <v>9577</v>
      </c>
      <c r="AA943" s="18" t="str">
        <f t="shared" si="542"/>
        <v>categoria.revit</v>
      </c>
      <c r="AB943" s="19" t="s">
        <v>2132</v>
      </c>
      <c r="AC943" s="18" t="str">
        <f t="shared" si="543"/>
        <v>classe.ifc</v>
      </c>
      <c r="AD943" s="19" t="s">
        <v>2072</v>
      </c>
      <c r="AE943" s="18" t="str">
        <f t="shared" si="544"/>
        <v>null</v>
      </c>
      <c r="AF943" s="75" t="s">
        <v>0</v>
      </c>
      <c r="AG943" s="38" t="s">
        <v>11265</v>
      </c>
    </row>
    <row r="944" spans="1:33" s="65" customFormat="1" ht="6" customHeight="1" x14ac:dyDescent="0.4">
      <c r="A944" s="4">
        <f>ROW()</f>
        <v>944</v>
      </c>
      <c r="B944" s="9" t="s">
        <v>27</v>
      </c>
      <c r="C944" s="44" t="str">
        <f t="shared" si="545"/>
        <v>p.esterilizar</v>
      </c>
      <c r="D944" s="6" t="str">
        <f t="shared" si="539"/>
        <v>é.filtro.ulpa</v>
      </c>
      <c r="E944" s="8" t="s">
        <v>28</v>
      </c>
      <c r="F944" s="34" t="str">
        <f t="shared" si="551"/>
        <v>d.esterilizar</v>
      </c>
      <c r="G944" s="54" t="s">
        <v>7322</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40"/>
        <v>Propriedade destinada a esterilizar: é.filtro.ulpa</v>
      </c>
      <c r="V944" s="5" t="str">
        <f t="shared" si="541"/>
        <v>Dado para esterilizar:  filtro.ulpa  Deve ser formatado como (rdfs:Literal  or  xsd:string)</v>
      </c>
      <c r="W944" s="70" t="s">
        <v>7342</v>
      </c>
      <c r="X944" s="17" t="str">
        <f t="shared" si="536"/>
        <v>d.ester.107</v>
      </c>
      <c r="Y944" s="17" t="str">
        <f t="shared" si="537"/>
        <v>Ação de esterilizar</v>
      </c>
      <c r="Z944" s="62" t="s">
        <v>9578</v>
      </c>
      <c r="AA944" s="18" t="str">
        <f t="shared" si="542"/>
        <v>categoria.revit</v>
      </c>
      <c r="AB944" s="19" t="s">
        <v>2132</v>
      </c>
      <c r="AC944" s="18" t="str">
        <f t="shared" si="543"/>
        <v>classe.ifc</v>
      </c>
      <c r="AD944" s="19" t="s">
        <v>2072</v>
      </c>
      <c r="AE944" s="18" t="str">
        <f t="shared" si="544"/>
        <v>null</v>
      </c>
      <c r="AF944" s="75" t="s">
        <v>0</v>
      </c>
      <c r="AG944" s="38" t="s">
        <v>11266</v>
      </c>
    </row>
    <row r="945" spans="1:33" s="65" customFormat="1" ht="6" customHeight="1" x14ac:dyDescent="0.4">
      <c r="A945" s="4">
        <f>ROW()</f>
        <v>945</v>
      </c>
      <c r="B945" s="9" t="s">
        <v>27</v>
      </c>
      <c r="C945" s="44" t="str">
        <f t="shared" si="545"/>
        <v>p.esterilizar</v>
      </c>
      <c r="D945" s="6" t="str">
        <f t="shared" si="539"/>
        <v>é.radiação.uv</v>
      </c>
      <c r="E945" s="8" t="s">
        <v>28</v>
      </c>
      <c r="F945" s="34" t="str">
        <f t="shared" si="551"/>
        <v>d.esterilizar</v>
      </c>
      <c r="G945" s="54" t="s">
        <v>7325</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40"/>
        <v>Propriedade destinada a esterilizar: é.radiação.uv</v>
      </c>
      <c r="V945" s="5" t="str">
        <f t="shared" si="541"/>
        <v>Dado para esterilizar:  radiação.uv  Deve ser formatado como (rdfs:Literal  or  xsd:string)</v>
      </c>
      <c r="W945" s="70" t="s">
        <v>7344</v>
      </c>
      <c r="X945" s="17" t="str">
        <f t="shared" si="536"/>
        <v>d.ester.108</v>
      </c>
      <c r="Y945" s="17" t="str">
        <f t="shared" si="537"/>
        <v>Ação de esterilizar</v>
      </c>
      <c r="Z945" s="62" t="s">
        <v>9579</v>
      </c>
      <c r="AA945" s="18" t="str">
        <f t="shared" si="542"/>
        <v>categoria.revit</v>
      </c>
      <c r="AB945" s="19" t="s">
        <v>2132</v>
      </c>
      <c r="AC945" s="18" t="str">
        <f t="shared" si="543"/>
        <v>classe.ifc</v>
      </c>
      <c r="AD945" s="19" t="s">
        <v>2072</v>
      </c>
      <c r="AE945" s="18" t="str">
        <f t="shared" si="544"/>
        <v>null</v>
      </c>
      <c r="AF945" s="75" t="s">
        <v>0</v>
      </c>
      <c r="AG945" s="38" t="s">
        <v>11267</v>
      </c>
    </row>
    <row r="946" spans="1:33" s="65" customFormat="1" ht="6" customHeight="1" x14ac:dyDescent="0.4">
      <c r="A946" s="4">
        <f>ROW()</f>
        <v>946</v>
      </c>
      <c r="B946" s="9" t="s">
        <v>27</v>
      </c>
      <c r="C946" s="44" t="str">
        <f t="shared" si="545"/>
        <v>p.esterilizar</v>
      </c>
      <c r="D946" s="6" t="str">
        <f t="shared" si="539"/>
        <v>é.tempo.de.esterilização</v>
      </c>
      <c r="E946" s="8" t="s">
        <v>28</v>
      </c>
      <c r="F946" s="34" t="str">
        <f t="shared" si="551"/>
        <v>d.esterilizar</v>
      </c>
      <c r="G946" s="35" t="s">
        <v>7333</v>
      </c>
      <c r="H946" s="33" t="s">
        <v>306</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40"/>
        <v>Propriedade destinada a esterilizar: é.tempo.de.esterilização</v>
      </c>
      <c r="V946" s="5" t="str">
        <f t="shared" si="541"/>
        <v>Dado para esterilizar:  tempo.de.esterilização  Deve ser formatado como (xsd:duration)</v>
      </c>
      <c r="W946" s="70" t="s">
        <v>11304</v>
      </c>
      <c r="X946" s="17" t="str">
        <f t="shared" si="536"/>
        <v>d.ester.109</v>
      </c>
      <c r="Y946" s="17" t="str">
        <f t="shared" si="537"/>
        <v>Ação de esterilizar</v>
      </c>
      <c r="Z946" s="62" t="s">
        <v>9580</v>
      </c>
      <c r="AA946" s="18" t="str">
        <f t="shared" si="542"/>
        <v>categoria.revit</v>
      </c>
      <c r="AB946" s="19" t="s">
        <v>2132</v>
      </c>
      <c r="AC946" s="18" t="str">
        <f t="shared" si="543"/>
        <v>classe.ifc</v>
      </c>
      <c r="AD946" s="19" t="s">
        <v>2072</v>
      </c>
      <c r="AE946" s="18" t="str">
        <f t="shared" si="544"/>
        <v>propriedade</v>
      </c>
      <c r="AF946" s="75" t="s">
        <v>7337</v>
      </c>
      <c r="AG946" s="38" t="s">
        <v>11293</v>
      </c>
    </row>
    <row r="947" spans="1:33" s="65" customFormat="1" ht="6" customHeight="1" x14ac:dyDescent="0.4">
      <c r="A947" s="4">
        <f>ROW()</f>
        <v>947</v>
      </c>
      <c r="B947" s="9" t="s">
        <v>27</v>
      </c>
      <c r="C947" s="44" t="str">
        <f t="shared" si="545"/>
        <v>p.esterilizar</v>
      </c>
      <c r="D947" s="6" t="str">
        <f t="shared" si="539"/>
        <v>é.vhp.câmara.de.descontaminação</v>
      </c>
      <c r="E947" s="8" t="s">
        <v>28</v>
      </c>
      <c r="F947" s="34" t="str">
        <f t="shared" si="551"/>
        <v>d.esterilizar</v>
      </c>
      <c r="G947" s="54" t="s">
        <v>7327</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40"/>
        <v>Propriedade destinada a esterilizar: é.vhp.câmara.de.descontaminação</v>
      </c>
      <c r="V947" s="5" t="str">
        <f t="shared" si="541"/>
        <v>Dado para esterilizar:  vhp.câmara.de.descontaminação  Deve ser formatado como (rdfs:Literal  or  xsd:string)</v>
      </c>
      <c r="W947" s="70" t="s">
        <v>7347</v>
      </c>
      <c r="X947" s="17" t="str">
        <f t="shared" si="536"/>
        <v>d.ester.110</v>
      </c>
      <c r="Y947" s="17" t="str">
        <f t="shared" si="537"/>
        <v>Ação de esterilizar</v>
      </c>
      <c r="Z947" s="62" t="s">
        <v>9581</v>
      </c>
      <c r="AA947" s="18" t="str">
        <f t="shared" si="542"/>
        <v>categoria.revit</v>
      </c>
      <c r="AB947" s="19" t="s">
        <v>2132</v>
      </c>
      <c r="AC947" s="18" t="str">
        <f t="shared" si="543"/>
        <v>classe.ifc</v>
      </c>
      <c r="AD947" s="19" t="s">
        <v>2072</v>
      </c>
      <c r="AE947" s="18" t="str">
        <f t="shared" si="544"/>
        <v>null</v>
      </c>
      <c r="AF947" s="75" t="s">
        <v>0</v>
      </c>
      <c r="AG947" s="38" t="s">
        <v>11268</v>
      </c>
    </row>
    <row r="948" spans="1:33" s="65" customFormat="1" ht="6" customHeight="1" x14ac:dyDescent="0.4">
      <c r="A948" s="4">
        <f>ROW()</f>
        <v>948</v>
      </c>
      <c r="B948" s="9" t="s">
        <v>27</v>
      </c>
      <c r="C948" s="44" t="str">
        <f t="shared" si="545"/>
        <v>p.esterilizar</v>
      </c>
      <c r="D948" s="6" t="str">
        <f t="shared" si="539"/>
        <v>é.vhp.estacionário</v>
      </c>
      <c r="E948" s="8" t="s">
        <v>28</v>
      </c>
      <c r="F948" s="34" t="str">
        <f t="shared" si="551"/>
        <v>d.esterilizar</v>
      </c>
      <c r="G948" s="54" t="s">
        <v>7328</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40"/>
        <v>Propriedade destinada a esterilizar: é.vhp.estacionário</v>
      </c>
      <c r="V948" s="5" t="str">
        <f t="shared" si="541"/>
        <v>Dado para esterilizar:  vhp.estacionário  Deve ser formatado como (rdfs:Literal  or  xsd:string)</v>
      </c>
      <c r="W948" s="70" t="s">
        <v>7345</v>
      </c>
      <c r="X948" s="17" t="str">
        <f t="shared" si="536"/>
        <v>d.ester.111</v>
      </c>
      <c r="Y948" s="17" t="str">
        <f t="shared" si="537"/>
        <v>Ação de esterilizar</v>
      </c>
      <c r="Z948" s="62" t="s">
        <v>9582</v>
      </c>
      <c r="AA948" s="18" t="str">
        <f t="shared" si="542"/>
        <v>categoria.revit</v>
      </c>
      <c r="AB948" s="19" t="s">
        <v>2132</v>
      </c>
      <c r="AC948" s="18" t="str">
        <f t="shared" si="543"/>
        <v>classe.ifc</v>
      </c>
      <c r="AD948" s="19" t="s">
        <v>2072</v>
      </c>
      <c r="AE948" s="18" t="str">
        <f t="shared" si="544"/>
        <v>null</v>
      </c>
      <c r="AF948" s="75" t="s">
        <v>0</v>
      </c>
      <c r="AG948" s="38" t="s">
        <v>11269</v>
      </c>
    </row>
    <row r="949" spans="1:33" s="65" customFormat="1" ht="6" customHeight="1" x14ac:dyDescent="0.4">
      <c r="A949" s="4">
        <f>ROW()</f>
        <v>949</v>
      </c>
      <c r="B949" s="9" t="s">
        <v>27</v>
      </c>
      <c r="C949" s="44" t="str">
        <f t="shared" si="545"/>
        <v>p.esterilizar</v>
      </c>
      <c r="D949" s="6" t="str">
        <f t="shared" si="539"/>
        <v>é.vhp.portatil</v>
      </c>
      <c r="E949" s="8" t="s">
        <v>28</v>
      </c>
      <c r="F949" s="34" t="str">
        <f t="shared" si="551"/>
        <v>d.esterilizar</v>
      </c>
      <c r="G949" s="54" t="s">
        <v>7329</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40"/>
        <v>Propriedade destinada a esterilizar: é.vhp.portatil</v>
      </c>
      <c r="V949" s="5" t="str">
        <f t="shared" si="541"/>
        <v>Dado para esterilizar:  vhp.portatil  Deve ser formatado como (rdfs:Literal  or  xsd:string)</v>
      </c>
      <c r="W949" s="70" t="s">
        <v>7345</v>
      </c>
      <c r="X949" s="17" t="str">
        <f t="shared" si="536"/>
        <v>d.ester.112</v>
      </c>
      <c r="Y949" s="17" t="str">
        <f t="shared" si="537"/>
        <v>Ação de esterilizar</v>
      </c>
      <c r="Z949" s="62" t="s">
        <v>9582</v>
      </c>
      <c r="AA949" s="18" t="str">
        <f t="shared" si="542"/>
        <v>categoria.revit</v>
      </c>
      <c r="AB949" s="19" t="s">
        <v>2132</v>
      </c>
      <c r="AC949" s="18" t="str">
        <f t="shared" si="543"/>
        <v>classe.ifc</v>
      </c>
      <c r="AD949" s="19" t="s">
        <v>2072</v>
      </c>
      <c r="AE949" s="18" t="str">
        <f t="shared" si="544"/>
        <v>null</v>
      </c>
      <c r="AF949" s="75" t="s">
        <v>0</v>
      </c>
      <c r="AG949" s="38" t="s">
        <v>11269</v>
      </c>
    </row>
    <row r="950" spans="1:33" s="65" customFormat="1" ht="6" customHeight="1" x14ac:dyDescent="0.4">
      <c r="A950" s="4">
        <f>ROW()</f>
        <v>950</v>
      </c>
      <c r="B950" s="9" t="s">
        <v>27</v>
      </c>
      <c r="C950" s="44" t="str">
        <f t="shared" si="545"/>
        <v>p.esterilizar</v>
      </c>
      <c r="D950" s="6" t="str">
        <f t="shared" si="539"/>
        <v>é.vhp.portatil.caixa.de.passagem</v>
      </c>
      <c r="E950" s="8" t="s">
        <v>28</v>
      </c>
      <c r="F950" s="34" t="str">
        <f t="shared" si="551"/>
        <v>d.esterilizar</v>
      </c>
      <c r="G950" s="54" t="s">
        <v>7330</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40"/>
        <v>Propriedade destinada a esterilizar: é.vhp.portatil.caixa.de.passagem</v>
      </c>
      <c r="V950" s="5" t="str">
        <f t="shared" si="541"/>
        <v>Dado para esterilizar:  vhp.portatil.caixa.de.passagem  Deve ser formatado como (rdfs:Literal  or  xsd:string)</v>
      </c>
      <c r="W950" s="70" t="s">
        <v>7362</v>
      </c>
      <c r="X950" s="17" t="str">
        <f t="shared" si="536"/>
        <v>d.ester.113</v>
      </c>
      <c r="Y950" s="17" t="str">
        <f t="shared" si="537"/>
        <v>Ação de esterilizar</v>
      </c>
      <c r="Z950" s="62" t="s">
        <v>9583</v>
      </c>
      <c r="AA950" s="18" t="str">
        <f t="shared" si="542"/>
        <v>categoria.revit</v>
      </c>
      <c r="AB950" s="19" t="s">
        <v>2132</v>
      </c>
      <c r="AC950" s="18" t="str">
        <f t="shared" si="543"/>
        <v>classe.ifc</v>
      </c>
      <c r="AD950" s="19" t="s">
        <v>2072</v>
      </c>
      <c r="AE950" s="18" t="str">
        <f t="shared" si="544"/>
        <v>null</v>
      </c>
      <c r="AF950" s="75" t="s">
        <v>0</v>
      </c>
      <c r="AG950" s="38" t="s">
        <v>11270</v>
      </c>
    </row>
    <row r="951" spans="1:33" s="65" customFormat="1" ht="6" customHeight="1" x14ac:dyDescent="0.4">
      <c r="A951" s="4">
        <f>ROW()</f>
        <v>951</v>
      </c>
      <c r="B951" s="9" t="s">
        <v>27</v>
      </c>
      <c r="C951" s="44" t="str">
        <f t="shared" si="545"/>
        <v>p.esterilizar</v>
      </c>
      <c r="D951" s="6" t="str">
        <f t="shared" si="539"/>
        <v>é.vhp.portatil.robótico</v>
      </c>
      <c r="E951" s="8" t="s">
        <v>28</v>
      </c>
      <c r="F951" s="34" t="str">
        <f t="shared" si="551"/>
        <v>d.esterilizar</v>
      </c>
      <c r="G951" s="54" t="s">
        <v>7331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40"/>
        <v>Propriedade destinada a esterilizar: é.vhp.portatil.robótico</v>
      </c>
      <c r="V951" s="5" t="str">
        <f t="shared" si="541"/>
        <v>Dado para esterilizar:  vhp.portatil.robótico  Deve ser formatado como (rdfs:Literal  or  xsd:string)</v>
      </c>
      <c r="W951" s="70" t="s">
        <v>7346</v>
      </c>
      <c r="X951" s="17" t="str">
        <f t="shared" si="536"/>
        <v>d.ester.114</v>
      </c>
      <c r="Y951" s="17" t="str">
        <f t="shared" si="537"/>
        <v>Ação de esterilizar</v>
      </c>
      <c r="Z951" s="62" t="s">
        <v>9584</v>
      </c>
      <c r="AA951" s="18" t="str">
        <f t="shared" si="542"/>
        <v>categoria.revit</v>
      </c>
      <c r="AB951" s="19" t="s">
        <v>2132</v>
      </c>
      <c r="AC951" s="18" t="str">
        <f t="shared" si="543"/>
        <v>classe.ifc</v>
      </c>
      <c r="AD951" s="19" t="s">
        <v>2072</v>
      </c>
      <c r="AE951" s="18" t="str">
        <f t="shared" si="544"/>
        <v>null</v>
      </c>
      <c r="AF951" s="75" t="s">
        <v>0</v>
      </c>
      <c r="AG951" s="38" t="s">
        <v>11271</v>
      </c>
    </row>
    <row r="952" spans="1:33" s="65" customFormat="1" ht="6" customHeight="1" x14ac:dyDescent="0.4">
      <c r="A952" s="4">
        <f>ROW()</f>
        <v>952</v>
      </c>
      <c r="B952" s="9" t="s">
        <v>27</v>
      </c>
      <c r="C952" s="44" t="str">
        <f t="shared" si="545"/>
        <v>p.esterilizar</v>
      </c>
      <c r="D952" s="6" t="str">
        <f t="shared" si="539"/>
        <v>é.volume.de.esterilização.efetivo</v>
      </c>
      <c r="E952" s="8" t="s">
        <v>28</v>
      </c>
      <c r="F952" s="34" t="str">
        <f t="shared" si="551"/>
        <v>d.esterilizar</v>
      </c>
      <c r="G952" s="35" t="s">
        <v>7334</v>
      </c>
      <c r="H952" s="34" t="s">
        <v>35</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40"/>
        <v>Propriedade destinada a esterilizar: é.volume.de.esterilização.efetivo</v>
      </c>
      <c r="V952" s="5" t="str">
        <f t="shared" si="541"/>
        <v>Dado para esterilizar:  volume.de.esterilização.efetivo  Deve ser formatado como (xsd:double)</v>
      </c>
      <c r="W952" s="70" t="s">
        <v>11305</v>
      </c>
      <c r="X952" s="17" t="str">
        <f t="shared" si="536"/>
        <v>d.ester.115</v>
      </c>
      <c r="Y952" s="17" t="str">
        <f t="shared" si="537"/>
        <v>Ação de esterilizar</v>
      </c>
      <c r="Z952" s="62" t="s">
        <v>9585</v>
      </c>
      <c r="AA952" s="18" t="str">
        <f t="shared" si="542"/>
        <v>categoria.revit</v>
      </c>
      <c r="AB952" s="19" t="s">
        <v>2132</v>
      </c>
      <c r="AC952" s="18" t="str">
        <f t="shared" si="543"/>
        <v>classe.ifc</v>
      </c>
      <c r="AD952" s="19" t="s">
        <v>2072</v>
      </c>
      <c r="AE952" s="18" t="str">
        <f t="shared" si="544"/>
        <v>propriedade</v>
      </c>
      <c r="AF952" s="75" t="s">
        <v>1898</v>
      </c>
      <c r="AG952" s="38" t="s">
        <v>11294</v>
      </c>
    </row>
    <row r="953" spans="1:33" ht="6" customHeight="1" x14ac:dyDescent="0.4">
      <c r="A953" s="4">
        <f>ROW()</f>
        <v>953</v>
      </c>
      <c r="B953" s="9" t="s">
        <v>27</v>
      </c>
      <c r="C953" s="44" t="str">
        <f>SUBSTITUTE(F953,"d.","p.")</f>
        <v>p.esterilizar</v>
      </c>
      <c r="D953" s="6" t="str">
        <f>_xlfn.CONCAT("é.",G953)</f>
        <v>é.produto.industrial</v>
      </c>
      <c r="E953" s="8" t="s">
        <v>28</v>
      </c>
      <c r="F953" s="34" t="str">
        <f t="shared" ref="F953:F954" si="552">F952</f>
        <v>d.esterilizar</v>
      </c>
      <c r="G953" s="13" t="s">
        <v>6662</v>
      </c>
      <c r="H953" s="34"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_xlfn.CONCAT("Propriedade destinada a ",MID(C953,FIND("p.",C953,1)+2,100),": ",D953)</f>
        <v>Propriedade destinada a esterilizar: é.produto.industrial</v>
      </c>
      <c r="V953" s="5" t="str">
        <f>_xlfn.CONCAT("Dado para ",MID(F953,FIND("d.",F953,1)+2,100),":  ",G953, "  Deve ser formatado como (",H953, ")")</f>
        <v>Dado para esterilizar:  produto.industrial  Deve ser formatado como (rdfs:Literal  or  xsd:string)</v>
      </c>
      <c r="W953" s="69" t="s">
        <v>6664</v>
      </c>
      <c r="X953" s="17" t="str">
        <f t="shared" si="536"/>
        <v>d.ester.116</v>
      </c>
      <c r="Y953" s="17" t="str">
        <f t="shared" si="537"/>
        <v>Ação de esterilizar</v>
      </c>
      <c r="Z953" s="62" t="s">
        <v>6726</v>
      </c>
      <c r="AA953" s="18" t="str">
        <f>IF(AB953="null", "null", "categoria.revit")</f>
        <v>null</v>
      </c>
      <c r="AB953" s="19" t="s">
        <v>0</v>
      </c>
      <c r="AC953" s="18" t="str">
        <f>IF(AD953="null", "null", "classe.ifc")</f>
        <v>null</v>
      </c>
      <c r="AD953" s="19" t="s">
        <v>0</v>
      </c>
      <c r="AE953" s="18" t="str">
        <f>IF(AF953="null", "null", "propriedade")</f>
        <v>null</v>
      </c>
      <c r="AF953" s="75" t="s">
        <v>0</v>
      </c>
      <c r="AG953" s="38" t="s">
        <v>8160</v>
      </c>
    </row>
    <row r="954" spans="1:33" ht="6" customHeight="1" x14ac:dyDescent="0.4">
      <c r="A954" s="4">
        <f>ROW()</f>
        <v>954</v>
      </c>
      <c r="B954" s="9" t="s">
        <v>27</v>
      </c>
      <c r="C954" s="44" t="str">
        <f>SUBSTITUTE(F954,"d.","p.")</f>
        <v>p.esterilizar</v>
      </c>
      <c r="D954" s="6" t="str">
        <f>_xlfn.CONCAT("é.",G954)</f>
        <v>é.produto.intangível</v>
      </c>
      <c r="E954" s="8" t="s">
        <v>28</v>
      </c>
      <c r="F954" s="34" t="str">
        <f t="shared" si="552"/>
        <v>d.esterilizar</v>
      </c>
      <c r="G954" s="13" t="s">
        <v>6663</v>
      </c>
      <c r="H954" s="34" t="s">
        <v>1581</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_xlfn.CONCAT("Propriedade destinada a ",MID(C954,FIND("p.",C954,1)+2,100),": ",D954)</f>
        <v>Propriedade destinada a esterilizar: é.produto.intangível</v>
      </c>
      <c r="V954" s="5" t="str">
        <f>_xlfn.CONCAT("Dado para ",MID(F954,FIND("d.",F954,1)+2,100),":  ",G954, "  Deve ser formatado como (",H954, ")")</f>
        <v>Dado para esterilizar:  produto.intangível  Deve ser formatado como (rdfs:Literal  or  xsd:string)</v>
      </c>
      <c r="W954" s="69" t="s">
        <v>6665</v>
      </c>
      <c r="X954" s="17" t="str">
        <f t="shared" si="536"/>
        <v>d.ester.117</v>
      </c>
      <c r="Y954" s="17" t="str">
        <f t="shared" si="537"/>
        <v>Ação de esterilizar</v>
      </c>
      <c r="Z954" s="62" t="s">
        <v>6727</v>
      </c>
      <c r="AA954" s="18" t="str">
        <f>IF(AB954="null", "null", "categoria.revit")</f>
        <v>null</v>
      </c>
      <c r="AB954" s="19" t="s">
        <v>0</v>
      </c>
      <c r="AC954" s="18" t="str">
        <f>IF(AD954="null", "null", "classe.ifc")</f>
        <v>null</v>
      </c>
      <c r="AD954" s="19" t="s">
        <v>0</v>
      </c>
      <c r="AE954" s="18" t="str">
        <f>IF(AF954="null", "null", "propriedade")</f>
        <v>null</v>
      </c>
      <c r="AF954" s="75" t="s">
        <v>0</v>
      </c>
      <c r="AG954" s="38" t="s">
        <v>8161</v>
      </c>
    </row>
    <row r="955" spans="1:33" ht="6" customHeight="1" x14ac:dyDescent="0.4">
      <c r="A955" s="4">
        <f>ROW()</f>
        <v>955</v>
      </c>
      <c r="B955" s="9" t="s">
        <v>27</v>
      </c>
      <c r="C955" s="43" t="str">
        <f t="shared" ref="C955:C1029" si="553">SUBSTITUTE(F955,"d.","p.")</f>
        <v>p.extinguir</v>
      </c>
      <c r="D955" s="6" t="str">
        <f>_xlfn.CONCAT("é.",G955)</f>
        <v>é.agente.extintor</v>
      </c>
      <c r="E955" s="8" t="s">
        <v>28</v>
      </c>
      <c r="F955" s="41" t="s">
        <v>675</v>
      </c>
      <c r="G955" s="13" t="s">
        <v>678</v>
      </c>
      <c r="H955" s="34"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_xlfn.CONCAT("Propriedade destinada a ",MID(C955,FIND("p.",C955,1)+2,100),": ",D955)</f>
        <v>Propriedade destinada a extinguir: é.agente.extintor</v>
      </c>
      <c r="V955" s="5" t="str">
        <f>_xlfn.CONCAT("Dado para ",MID(F955,FIND("d.",F955,1)+2,100),":  ",G955, "  Deve ser formatado como (",H955, ")")</f>
        <v>Dado para extinguir:  agente.extintor  Deve ser formatado como (rdfs:Literal  or  xsd:string)</v>
      </c>
      <c r="W955" s="69" t="s">
        <v>5448</v>
      </c>
      <c r="X955" s="17" t="str">
        <f t="shared" si="536"/>
        <v>d.extin.100</v>
      </c>
      <c r="Y955" s="17" t="str">
        <f t="shared" si="537"/>
        <v>Ação de extinguir</v>
      </c>
      <c r="Z955" s="62" t="s">
        <v>4163</v>
      </c>
      <c r="AA955" s="18" t="str">
        <f>IF(AB955="null", "null", "categoria.revit")</f>
        <v>null</v>
      </c>
      <c r="AB955" s="19" t="s">
        <v>0</v>
      </c>
      <c r="AC955" s="18" t="str">
        <f>IF(AD955="null", "null", "classe.ifc")</f>
        <v>null</v>
      </c>
      <c r="AD955" s="19" t="s">
        <v>0</v>
      </c>
      <c r="AE955" s="18" t="str">
        <f>IF(AF955="null", "null", "propriedade")</f>
        <v>null</v>
      </c>
      <c r="AF955" s="75" t="s">
        <v>0</v>
      </c>
      <c r="AG955" s="38" t="s">
        <v>8162</v>
      </c>
    </row>
    <row r="956" spans="1:33" ht="6" customHeight="1" x14ac:dyDescent="0.4">
      <c r="A956" s="4">
        <f>ROW()</f>
        <v>956</v>
      </c>
      <c r="B956" s="9" t="s">
        <v>27</v>
      </c>
      <c r="C956" s="44" t="str">
        <f>SUBSTITUTE(F956,"d.","p.")</f>
        <v>p.extinguir</v>
      </c>
      <c r="D956" s="6" t="str">
        <f t="shared" ref="D956" si="554">_xlfn.CONCAT("é.",G956)</f>
        <v>é.carga.do.extintor</v>
      </c>
      <c r="E956" s="8" t="s">
        <v>28</v>
      </c>
      <c r="F956" s="34" t="str">
        <f>F955</f>
        <v>d.extinguir</v>
      </c>
      <c r="G956" s="13" t="s">
        <v>680</v>
      </c>
      <c r="H956" s="34"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ref="U956" si="555">_xlfn.CONCAT("Propriedade destinada a ",MID(C956,FIND("p.",C956,1)+2,100),": ",D956)</f>
        <v>Propriedade destinada a extinguir: é.carga.do.extintor</v>
      </c>
      <c r="V956" s="5" t="str">
        <f t="shared" ref="V956" si="556">_xlfn.CONCAT("Dado para ",MID(F956,FIND("d.",F956,1)+2,100),":  ",G956, "  Deve ser formatado como (",H956, ")")</f>
        <v>Dado para extinguir:  carga.do.extintor  Deve ser formatado como (rdfs:Literal  or  xsd:string)</v>
      </c>
      <c r="W956" s="69" t="s">
        <v>5450</v>
      </c>
      <c r="X956" s="17" t="str">
        <f t="shared" si="536"/>
        <v>d.extin.101</v>
      </c>
      <c r="Y956" s="17" t="str">
        <f t="shared" si="537"/>
        <v>Ação de extinguir</v>
      </c>
      <c r="Z956" s="62" t="s">
        <v>4165</v>
      </c>
      <c r="AA956" s="18" t="str">
        <f t="shared" ref="AA956" si="557">IF(AB956="null", "null", "categoria.revit")</f>
        <v>null</v>
      </c>
      <c r="AB956" s="19" t="s">
        <v>0</v>
      </c>
      <c r="AC956" s="18" t="str">
        <f t="shared" ref="AC956" si="558">IF(AD956="null", "null", "classe.ifc")</f>
        <v>null</v>
      </c>
      <c r="AD956" s="19" t="s">
        <v>0</v>
      </c>
      <c r="AE956" s="18" t="str">
        <f t="shared" ref="AE956" si="559">IF(AF956="null", "null", "propriedade")</f>
        <v>null</v>
      </c>
      <c r="AF956" s="75" t="s">
        <v>0</v>
      </c>
      <c r="AG956" s="38" t="s">
        <v>8163</v>
      </c>
    </row>
    <row r="957" spans="1:33" ht="6" customHeight="1" x14ac:dyDescent="0.4">
      <c r="A957" s="4">
        <f>ROW()</f>
        <v>957</v>
      </c>
      <c r="B957" s="9" t="s">
        <v>27</v>
      </c>
      <c r="C957" s="44" t="str">
        <f t="shared" ref="C957:C962" si="560">SUBSTITUTE(F957,"d.","p.")</f>
        <v>p.extinguir</v>
      </c>
      <c r="D957" s="6" t="str">
        <f>_xlfn.CONCAT("é.",G957)</f>
        <v>é.classe.de.fogo</v>
      </c>
      <c r="E957" s="8" t="s">
        <v>28</v>
      </c>
      <c r="F957" s="34" t="str">
        <f t="shared" ref="F957:F961" si="561">F956</f>
        <v>d.extinguir</v>
      </c>
      <c r="G957" s="13" t="s">
        <v>676</v>
      </c>
      <c r="H957" s="34"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_xlfn.CONCAT("Propriedade destinada a ",MID(C957,FIND("p.",C957,1)+2,100),": ",D957)</f>
        <v>Propriedade destinada a extinguir: é.classe.de.fogo</v>
      </c>
      <c r="V957" s="5" t="str">
        <f>_xlfn.CONCAT("Dado para ",MID(F957,FIND("d.",F957,1)+2,100),":  ",G957, "  Deve ser formatado como (",H957, ")")</f>
        <v>Dado para extinguir:  classe.de.fogo  Deve ser formatado como (rdfs:Literal  or  xsd:string)</v>
      </c>
      <c r="W957" s="69" t="s">
        <v>5445</v>
      </c>
      <c r="X957" s="17" t="str">
        <f t="shared" si="536"/>
        <v>d.extin.102</v>
      </c>
      <c r="Y957" s="17" t="str">
        <f t="shared" si="537"/>
        <v>Ação de extinguir</v>
      </c>
      <c r="Z957" s="62" t="s">
        <v>4161</v>
      </c>
      <c r="AA957" s="18" t="str">
        <f>IF(AB957="null", "null", "categoria.revit")</f>
        <v>null</v>
      </c>
      <c r="AB957" s="19" t="s">
        <v>0</v>
      </c>
      <c r="AC957" s="18" t="str">
        <f>IF(AD957="null", "null", "classe.ifc")</f>
        <v>null</v>
      </c>
      <c r="AD957" s="19" t="s">
        <v>0</v>
      </c>
      <c r="AE957" s="18" t="str">
        <f>IF(AF957="null", "null", "propriedade")</f>
        <v>null</v>
      </c>
      <c r="AF957" s="75" t="s">
        <v>0</v>
      </c>
      <c r="AG957" s="38" t="s">
        <v>8164</v>
      </c>
    </row>
    <row r="958" spans="1:33" ht="6" customHeight="1" x14ac:dyDescent="0.4">
      <c r="A958" s="4">
        <f>ROW()</f>
        <v>958</v>
      </c>
      <c r="B958" s="9" t="s">
        <v>27</v>
      </c>
      <c r="C958" s="44" t="str">
        <f t="shared" si="560"/>
        <v>p.extinguir</v>
      </c>
      <c r="D958" s="6" t="str">
        <f>_xlfn.CONCAT("é.",G958)</f>
        <v>é.código.de.sinalização</v>
      </c>
      <c r="E958" s="8" t="s">
        <v>28</v>
      </c>
      <c r="F958" s="34" t="str">
        <f t="shared" si="561"/>
        <v>d.extinguir</v>
      </c>
      <c r="G958" s="13" t="s">
        <v>681</v>
      </c>
      <c r="H958" s="34"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_xlfn.CONCAT("Propriedade destinada a ",MID(C958,FIND("p.",C958,1)+2,100),": ",D958)</f>
        <v>Propriedade destinada a extinguir: é.código.de.sinalização</v>
      </c>
      <c r="V958" s="5" t="str">
        <f>_xlfn.CONCAT("Dado para ",MID(F958,FIND("d.",F958,1)+2,100),":  ",G958, "  Deve ser formatado como (",H958, ")")</f>
        <v>Dado para extinguir:  código.de.sinalização  Deve ser formatado como (rdfs:Literal  or  xsd:string)</v>
      </c>
      <c r="W958" s="69" t="s">
        <v>5451</v>
      </c>
      <c r="X958" s="17" t="str">
        <f t="shared" si="536"/>
        <v>d.extin.103</v>
      </c>
      <c r="Y958" s="17" t="str">
        <f t="shared" si="537"/>
        <v>Ação de extinguir</v>
      </c>
      <c r="Z958" s="62" t="s">
        <v>4166</v>
      </c>
      <c r="AA958" s="18" t="str">
        <f>IF(AB958="null", "null", "categoria.revit")</f>
        <v>null</v>
      </c>
      <c r="AB958" s="19" t="s">
        <v>0</v>
      </c>
      <c r="AC958" s="18" t="str">
        <f>IF(AD958="null", "null", "classe.ifc")</f>
        <v>null</v>
      </c>
      <c r="AD958" s="19" t="s">
        <v>0</v>
      </c>
      <c r="AE958" s="18" t="str">
        <f>IF(AF958="null", "null", "propriedade")</f>
        <v>null</v>
      </c>
      <c r="AF958" s="75" t="s">
        <v>0</v>
      </c>
      <c r="AG958" s="38" t="s">
        <v>8165</v>
      </c>
    </row>
    <row r="959" spans="1:33" ht="6" customHeight="1" x14ac:dyDescent="0.4">
      <c r="A959" s="4">
        <f>ROW()</f>
        <v>959</v>
      </c>
      <c r="B959" s="9" t="s">
        <v>27</v>
      </c>
      <c r="C959" s="44" t="str">
        <f t="shared" si="560"/>
        <v>p.extinguir</v>
      </c>
      <c r="D959" s="6" t="str">
        <f>_xlfn.CONCAT("é.",G959)</f>
        <v>é.sprinkler</v>
      </c>
      <c r="E959" s="8" t="s">
        <v>28</v>
      </c>
      <c r="F959" s="34" t="str">
        <f t="shared" si="561"/>
        <v>d.extinguir</v>
      </c>
      <c r="G959" s="13" t="s">
        <v>2643</v>
      </c>
      <c r="H959" s="34"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_xlfn.CONCAT("Propriedade destinada a ",MID(C959,FIND("p.",C959,1)+2,100),": ",D959)</f>
        <v>Propriedade destinada a extinguir: é.sprinkler</v>
      </c>
      <c r="V959" s="5" t="str">
        <f>_xlfn.CONCAT("Dado para ",MID(F959,FIND("d.",F959,1)+2,100),":  ",G959, "  Deve ser formatado como (",H959, ")")</f>
        <v>Dado para extinguir:  sprinkler  Deve ser formatado como (rdfs:Literal  or  xsd:string)</v>
      </c>
      <c r="W959" s="69" t="s">
        <v>5446</v>
      </c>
      <c r="X959" s="17" t="str">
        <f t="shared" si="536"/>
        <v>d.extin.104</v>
      </c>
      <c r="Y959" s="17" t="str">
        <f t="shared" si="537"/>
        <v>Ação de extinguir</v>
      </c>
      <c r="Z959" s="62" t="s">
        <v>1330</v>
      </c>
      <c r="AA959" s="18" t="str">
        <f>IF(AB959="null", "null", "categoria.revit")</f>
        <v>categoria.revit</v>
      </c>
      <c r="AB959" s="19" t="s">
        <v>2131</v>
      </c>
      <c r="AC959" s="18" t="str">
        <f>IF(AD959="null", "null", "classe.ifc")</f>
        <v>classe.ifc</v>
      </c>
      <c r="AD959" s="19" t="s">
        <v>2082</v>
      </c>
      <c r="AE959" s="18" t="str">
        <f>IF(AF959="null", "null", "propriedade")</f>
        <v>null</v>
      </c>
      <c r="AF959" s="75" t="s">
        <v>0</v>
      </c>
      <c r="AG959" s="38" t="s">
        <v>8166</v>
      </c>
    </row>
    <row r="960" spans="1:33" ht="6" customHeight="1" x14ac:dyDescent="0.4">
      <c r="A960" s="4">
        <f>ROW()</f>
        <v>960</v>
      </c>
      <c r="B960" s="9" t="s">
        <v>27</v>
      </c>
      <c r="C960" s="44" t="str">
        <f t="shared" si="560"/>
        <v>p.extinguir</v>
      </c>
      <c r="D960" s="6" t="str">
        <f>_xlfn.CONCAT("é.",G960)</f>
        <v>é.tipo.de.extintor</v>
      </c>
      <c r="E960" s="8" t="s">
        <v>28</v>
      </c>
      <c r="F960" s="34" t="str">
        <f t="shared" si="561"/>
        <v>d.extinguir</v>
      </c>
      <c r="G960" s="13" t="s">
        <v>679</v>
      </c>
      <c r="H960" s="34" t="s">
        <v>1581</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_xlfn.CONCAT("Propriedade destinada a ",MID(C960,FIND("p.",C960,1)+2,100),": ",D960)</f>
        <v>Propriedade destinada a extinguir: é.tipo.de.extintor</v>
      </c>
      <c r="V960" s="5" t="str">
        <f>_xlfn.CONCAT("Dado para ",MID(F960,FIND("d.",F960,1)+2,100),":  ",G960, "  Deve ser formatado como (",H960, ")")</f>
        <v>Dado para extinguir:  tipo.de.extintor  Deve ser formatado como (rdfs:Literal  or  xsd:string)</v>
      </c>
      <c r="W960" s="69" t="s">
        <v>5449</v>
      </c>
      <c r="X960" s="17" t="str">
        <f t="shared" si="536"/>
        <v>d.extin.105</v>
      </c>
      <c r="Y960" s="17" t="str">
        <f t="shared" si="537"/>
        <v>Ação de extinguir</v>
      </c>
      <c r="Z960" s="62" t="s">
        <v>4164</v>
      </c>
      <c r="AA960" s="18" t="str">
        <f>IF(AB960="null", "null", "categoria.revit")</f>
        <v>null</v>
      </c>
      <c r="AB960" s="19" t="s">
        <v>0</v>
      </c>
      <c r="AC960" s="18" t="str">
        <f>IF(AD960="null", "null", "classe.ifc")</f>
        <v>null</v>
      </c>
      <c r="AD960" s="19" t="s">
        <v>0</v>
      </c>
      <c r="AE960" s="18" t="str">
        <f>IF(AF960="null", "null", "propriedade")</f>
        <v>null</v>
      </c>
      <c r="AF960" s="75" t="s">
        <v>0</v>
      </c>
      <c r="AG960" s="38" t="s">
        <v>8167</v>
      </c>
    </row>
    <row r="961" spans="1:33" ht="6" customHeight="1" x14ac:dyDescent="0.4">
      <c r="A961" s="4">
        <f>ROW()</f>
        <v>961</v>
      </c>
      <c r="B961" s="9" t="s">
        <v>27</v>
      </c>
      <c r="C961" s="44" t="str">
        <f t="shared" si="560"/>
        <v>p.extinguir</v>
      </c>
      <c r="D961" s="6" t="str">
        <f>_xlfn.CONCAT("é.",G961)</f>
        <v>é.visibilidade.da.placa</v>
      </c>
      <c r="E961" s="8" t="s">
        <v>28</v>
      </c>
      <c r="F961" s="34" t="str">
        <f t="shared" si="561"/>
        <v>d.extinguir</v>
      </c>
      <c r="G961" s="13" t="s">
        <v>677</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extinguir: é.visibilidade.da.placa</v>
      </c>
      <c r="V961" s="5" t="str">
        <f>_xlfn.CONCAT("Dado para ",MID(F961,FIND("d.",F961,1)+2,100),":  ",G961, "  Deve ser formatado como (",H961, ")")</f>
        <v>Dado para extinguir:  visibilidade.da.placa  Deve ser formatado como (rdfs:Literal  or  xsd:string)</v>
      </c>
      <c r="W961" s="69" t="s">
        <v>5447</v>
      </c>
      <c r="X961" s="17" t="str">
        <f t="shared" si="536"/>
        <v>d.extin.106</v>
      </c>
      <c r="Y961" s="17" t="str">
        <f t="shared" si="537"/>
        <v>Ação de extinguir</v>
      </c>
      <c r="Z961" s="62" t="s">
        <v>4162</v>
      </c>
      <c r="AA961" s="18" t="str">
        <f>IF(AB961="null", "null", "categoria.revit")</f>
        <v>null</v>
      </c>
      <c r="AB961" s="19" t="s">
        <v>0</v>
      </c>
      <c r="AC961" s="18" t="str">
        <f>IF(AD961="null", "null", "classe.ifc")</f>
        <v>null</v>
      </c>
      <c r="AD961" s="19" t="s">
        <v>0</v>
      </c>
      <c r="AE961" s="18" t="str">
        <f>IF(AF961="null", "null", "propriedade")</f>
        <v>null</v>
      </c>
      <c r="AF961" s="75" t="s">
        <v>0</v>
      </c>
      <c r="AG961" s="38" t="s">
        <v>8168</v>
      </c>
    </row>
    <row r="962" spans="1:33" ht="6" customHeight="1" x14ac:dyDescent="0.4">
      <c r="A962" s="4">
        <f>ROW()</f>
        <v>962</v>
      </c>
      <c r="B962" s="9" t="s">
        <v>27</v>
      </c>
      <c r="C962" s="43" t="str">
        <f t="shared" si="560"/>
        <v>p.falar</v>
      </c>
      <c r="D962" s="6" t="str">
        <f t="shared" ref="D962" si="562">_xlfn.CONCAT("é.",G962)</f>
        <v>é.domínio.semântico</v>
      </c>
      <c r="E962" s="8" t="s">
        <v>28</v>
      </c>
      <c r="F962" s="41" t="s">
        <v>6654</v>
      </c>
      <c r="G962" s="13" t="s">
        <v>6656</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 t="shared" ref="U962" si="563">_xlfn.CONCAT("Propriedade destinada a ",MID(C962,FIND("p.",C962,1)+2,100),": ",D962)</f>
        <v>Propriedade destinada a falar: é.domínio.semântico</v>
      </c>
      <c r="V962" s="5" t="str">
        <f t="shared" ref="V962" si="564">_xlfn.CONCAT("Dado para ",MID(F962,FIND("d.",F962,1)+2,100),":  ",G962, "  Deve ser formatado como (",H962, ")")</f>
        <v>Dado para falar:  domínio.semântico  Deve ser formatado como (rdfs:Literal  or  xsd:string)</v>
      </c>
      <c r="W962" s="69" t="s">
        <v>6657</v>
      </c>
      <c r="X962" s="17" t="str">
        <f t="shared" si="536"/>
        <v>d.falar.100</v>
      </c>
      <c r="Y962" s="17" t="str">
        <f t="shared" si="537"/>
        <v>Ação de falar</v>
      </c>
      <c r="Z962" s="62" t="s">
        <v>6728</v>
      </c>
      <c r="AA962" s="18" t="str">
        <f t="shared" ref="AA962" si="565">IF(AB962="null", "null", "categoria.revit")</f>
        <v>null</v>
      </c>
      <c r="AB962" s="19" t="s">
        <v>0</v>
      </c>
      <c r="AC962" s="18" t="str">
        <f t="shared" ref="AC962" si="566">IF(AD962="null", "null", "classe.ifc")</f>
        <v>null</v>
      </c>
      <c r="AD962" s="19" t="s">
        <v>0</v>
      </c>
      <c r="AE962" s="18" t="str">
        <f t="shared" ref="AE962" si="567">IF(AF962="null", "null", "propriedade")</f>
        <v>null</v>
      </c>
      <c r="AF962" s="75" t="s">
        <v>0</v>
      </c>
      <c r="AG962" s="38" t="s">
        <v>8169</v>
      </c>
    </row>
    <row r="963" spans="1:33" ht="6" customHeight="1" x14ac:dyDescent="0.4">
      <c r="A963" s="4">
        <f>ROW()</f>
        <v>963</v>
      </c>
      <c r="B963" s="9" t="s">
        <v>27</v>
      </c>
      <c r="C963" s="44" t="str">
        <f t="shared" ref="C963:C969" si="568">SUBSTITUTE(F963,"d.","p.")</f>
        <v>p.falar</v>
      </c>
      <c r="D963" s="6" t="str">
        <f t="shared" ref="D963:D969" si="569">_xlfn.CONCAT("é.",G963)</f>
        <v>é.gramática</v>
      </c>
      <c r="E963" s="8" t="s">
        <v>28</v>
      </c>
      <c r="F963" s="34" t="str">
        <f t="shared" ref="F963:F969" si="570">F962</f>
        <v>d.falar</v>
      </c>
      <c r="G963" s="16" t="s">
        <v>6655</v>
      </c>
      <c r="H963" s="33" t="s">
        <v>1581</v>
      </c>
      <c r="I963" s="92" t="str">
        <f t="shared" si="511"/>
        <v>null</v>
      </c>
      <c r="J963" s="80" t="s">
        <v>0</v>
      </c>
      <c r="K963" s="82" t="s">
        <v>0</v>
      </c>
      <c r="L963" s="82" t="s">
        <v>0</v>
      </c>
      <c r="M963" s="82" t="s">
        <v>0</v>
      </c>
      <c r="N963" s="82" t="s">
        <v>0</v>
      </c>
      <c r="O963" s="82" t="s">
        <v>0</v>
      </c>
      <c r="P963" s="82" t="s">
        <v>0</v>
      </c>
      <c r="Q963" s="82" t="s">
        <v>0</v>
      </c>
      <c r="R963" s="84" t="s">
        <v>0</v>
      </c>
      <c r="S963" s="10" t="s">
        <v>1</v>
      </c>
      <c r="T963" s="10" t="s">
        <v>10221</v>
      </c>
      <c r="U963" s="5" t="str">
        <f t="shared" ref="U963:U969" si="571">_xlfn.CONCAT("Propriedade destinada a ",MID(C963,FIND("p.",C963,1)+2,100),": ",D963)</f>
        <v>Propriedade destinada a falar: é.gramática</v>
      </c>
      <c r="V963" s="5" t="str">
        <f t="shared" ref="V963:V969" si="572">_xlfn.CONCAT("Dado para ",MID(F963,FIND("d.",F963,1)+2,100),":  ",G963, "  Deve ser formatado como (",H963, ")")</f>
        <v>Dado para falar:  gramática  Deve ser formatado como (rdfs:Literal  or  xsd:string)</v>
      </c>
      <c r="W963" s="69" t="s">
        <v>6659</v>
      </c>
      <c r="X963" s="17" t="str">
        <f t="shared" ref="X963:X1026" si="573">IF(F962&lt;&gt;F963,_xlfn.CONCAT(RIGHT(LEFT(F963,7),7),".100"),_xlfn.CONCAT(RIGHT(LEFT(F963,7),7),".",SUM(VALUE(RIGHT(X962,3)),1)))</f>
        <v>d.falar.101</v>
      </c>
      <c r="Y963" s="17" t="str">
        <f t="shared" ref="Y963:Y1026" si="574">_xlfn.CONCAT("Ação de ", SUBSTITUTE(F963, "d.",  ""))</f>
        <v>Ação de falar</v>
      </c>
      <c r="Z963" s="62" t="s">
        <v>6729</v>
      </c>
      <c r="AA963" s="18" t="str">
        <f t="shared" ref="AA963:AA969" si="575">IF(AB963="null", "null", "categoria.revit")</f>
        <v>null</v>
      </c>
      <c r="AB963" s="19" t="s">
        <v>0</v>
      </c>
      <c r="AC963" s="18" t="str">
        <f t="shared" ref="AC963:AC969" si="576">IF(AD963="null", "null", "classe.ifc")</f>
        <v>null</v>
      </c>
      <c r="AD963" s="19" t="s">
        <v>0</v>
      </c>
      <c r="AE963" s="18" t="str">
        <f t="shared" ref="AE963:AE969" si="577">IF(AF963="null", "null", "propriedade")</f>
        <v>null</v>
      </c>
      <c r="AF963" s="75" t="s">
        <v>0</v>
      </c>
      <c r="AG963" s="38" t="s">
        <v>8170</v>
      </c>
    </row>
    <row r="964" spans="1:33" ht="6" customHeight="1" x14ac:dyDescent="0.4">
      <c r="A964" s="4">
        <f>ROW()</f>
        <v>964</v>
      </c>
      <c r="B964" s="9" t="s">
        <v>27</v>
      </c>
      <c r="C964" s="44" t="str">
        <f t="shared" si="568"/>
        <v>p.falar</v>
      </c>
      <c r="D964" s="6" t="str">
        <f t="shared" si="569"/>
        <v>é.idioma</v>
      </c>
      <c r="E964" s="8" t="s">
        <v>28</v>
      </c>
      <c r="F964" s="34" t="str">
        <f t="shared" si="570"/>
        <v>d.falar</v>
      </c>
      <c r="G964" s="13" t="s">
        <v>381</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si="571"/>
        <v>Propriedade destinada a falar: é.idioma</v>
      </c>
      <c r="V964" s="5" t="str">
        <f t="shared" si="572"/>
        <v>Dado para falar:  idioma  Deve ser formatado como (rdfs:Literal  or  xsd:string)</v>
      </c>
      <c r="W964" s="69" t="s">
        <v>6660</v>
      </c>
      <c r="X964" s="17" t="str">
        <f t="shared" si="573"/>
        <v>d.falar.102</v>
      </c>
      <c r="Y964" s="17" t="str">
        <f t="shared" si="574"/>
        <v>Ação de falar</v>
      </c>
      <c r="Z964" s="62" t="s">
        <v>6730</v>
      </c>
      <c r="AA964" s="18" t="str">
        <f t="shared" si="575"/>
        <v>null</v>
      </c>
      <c r="AB964" s="19" t="s">
        <v>0</v>
      </c>
      <c r="AC964" s="18" t="str">
        <f t="shared" si="576"/>
        <v>null</v>
      </c>
      <c r="AD964" s="19" t="s">
        <v>0</v>
      </c>
      <c r="AE964" s="18" t="str">
        <f t="shared" si="577"/>
        <v>null</v>
      </c>
      <c r="AF964" s="75" t="s">
        <v>0</v>
      </c>
      <c r="AG964" s="38" t="s">
        <v>8171</v>
      </c>
    </row>
    <row r="965" spans="1:33" ht="6" customHeight="1" x14ac:dyDescent="0.4">
      <c r="A965" s="4">
        <f>ROW()</f>
        <v>965</v>
      </c>
      <c r="B965" s="9" t="s">
        <v>27</v>
      </c>
      <c r="C965" s="44" t="str">
        <f t="shared" si="568"/>
        <v>p.falar</v>
      </c>
      <c r="D965" s="6" t="str">
        <f t="shared" si="569"/>
        <v>é.locução</v>
      </c>
      <c r="E965" s="8" t="s">
        <v>28</v>
      </c>
      <c r="F965" s="34" t="str">
        <f t="shared" si="570"/>
        <v>d.falar</v>
      </c>
      <c r="G965" s="13" t="s">
        <v>379</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 t="shared" si="571"/>
        <v>Propriedade destinada a falar: é.locução</v>
      </c>
      <c r="V965" s="5" t="str">
        <f t="shared" si="572"/>
        <v>Dado para falar:  locução  Deve ser formatado como (rdfs:Literal  or  xsd:string)</v>
      </c>
      <c r="W965" s="69" t="s">
        <v>6661</v>
      </c>
      <c r="X965" s="17" t="str">
        <f t="shared" si="573"/>
        <v>d.falar.103</v>
      </c>
      <c r="Y965" s="17" t="str">
        <f t="shared" si="574"/>
        <v>Ação de falar</v>
      </c>
      <c r="Z965" s="62" t="s">
        <v>6731</v>
      </c>
      <c r="AA965" s="18" t="str">
        <f t="shared" si="575"/>
        <v>null</v>
      </c>
      <c r="AB965" s="19" t="s">
        <v>0</v>
      </c>
      <c r="AC965" s="18" t="str">
        <f t="shared" si="576"/>
        <v>null</v>
      </c>
      <c r="AD965" s="19" t="s">
        <v>0</v>
      </c>
      <c r="AE965" s="18" t="str">
        <f t="shared" si="577"/>
        <v>null</v>
      </c>
      <c r="AF965" s="75" t="s">
        <v>0</v>
      </c>
      <c r="AG965" s="38" t="s">
        <v>8172</v>
      </c>
    </row>
    <row r="966" spans="1:33" ht="6" customHeight="1" x14ac:dyDescent="0.4">
      <c r="A966" s="4">
        <f>ROW()</f>
        <v>966</v>
      </c>
      <c r="B966" s="9" t="s">
        <v>27</v>
      </c>
      <c r="C966" s="44" t="str">
        <f t="shared" si="568"/>
        <v>p.falar</v>
      </c>
      <c r="D966" s="6" t="str">
        <f t="shared" si="569"/>
        <v>é.resultado.número.inteiro</v>
      </c>
      <c r="E966" s="8" t="s">
        <v>28</v>
      </c>
      <c r="F966" s="34" t="str">
        <f t="shared" si="570"/>
        <v>d.falar</v>
      </c>
      <c r="G966" s="13" t="s">
        <v>673</v>
      </c>
      <c r="H966" s="34" t="s">
        <v>32</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 t="shared" si="571"/>
        <v>Propriedade destinada a falar: é.resultado.número.inteiro</v>
      </c>
      <c r="V966" s="5" t="str">
        <f t="shared" si="572"/>
        <v>Dado para falar:  resultado.número.inteiro  Deve ser formatado como (xsd:integer)</v>
      </c>
      <c r="W966" s="69" t="s">
        <v>5443</v>
      </c>
      <c r="X966" s="17" t="str">
        <f t="shared" si="573"/>
        <v>d.falar.104</v>
      </c>
      <c r="Y966" s="17" t="str">
        <f t="shared" si="574"/>
        <v>Ação de falar</v>
      </c>
      <c r="Z966" s="62" t="s">
        <v>6732</v>
      </c>
      <c r="AA966" s="18" t="str">
        <f t="shared" si="575"/>
        <v>null</v>
      </c>
      <c r="AB966" s="19" t="s">
        <v>0</v>
      </c>
      <c r="AC966" s="18" t="str">
        <f t="shared" si="576"/>
        <v>null</v>
      </c>
      <c r="AD966" s="19" t="s">
        <v>0</v>
      </c>
      <c r="AE966" s="18" t="str">
        <f t="shared" si="577"/>
        <v>null</v>
      </c>
      <c r="AF966" s="75" t="s">
        <v>0</v>
      </c>
      <c r="AG966" s="38" t="s">
        <v>8173</v>
      </c>
    </row>
    <row r="967" spans="1:33" ht="6" customHeight="1" x14ac:dyDescent="0.4">
      <c r="A967" s="4">
        <f>ROW()</f>
        <v>967</v>
      </c>
      <c r="B967" s="9" t="s">
        <v>27</v>
      </c>
      <c r="C967" s="44" t="str">
        <f t="shared" si="568"/>
        <v>p.falar</v>
      </c>
      <c r="D967" s="6" t="str">
        <f t="shared" si="569"/>
        <v>é.resultado.número.real</v>
      </c>
      <c r="E967" s="8" t="s">
        <v>28</v>
      </c>
      <c r="F967" s="34" t="str">
        <f t="shared" si="570"/>
        <v>d.falar</v>
      </c>
      <c r="G967" s="13" t="s">
        <v>674</v>
      </c>
      <c r="H967" s="34" t="s">
        <v>35</v>
      </c>
      <c r="I967" s="92" t="str">
        <f t="shared" ref="I967:I1030" si="578">IF(OR(J967="Functional",K967="InverseFunctional"),"Functional","null")</f>
        <v>null</v>
      </c>
      <c r="J967" s="80" t="s">
        <v>0</v>
      </c>
      <c r="K967" s="80" t="s">
        <v>0</v>
      </c>
      <c r="L967" s="80" t="s">
        <v>0</v>
      </c>
      <c r="M967" s="80" t="s">
        <v>0</v>
      </c>
      <c r="N967" s="80" t="s">
        <v>0</v>
      </c>
      <c r="O967" s="80" t="s">
        <v>0</v>
      </c>
      <c r="P967" s="80" t="s">
        <v>0</v>
      </c>
      <c r="Q967" s="80" t="s">
        <v>0</v>
      </c>
      <c r="R967" s="84" t="s">
        <v>0</v>
      </c>
      <c r="S967" s="10" t="s">
        <v>1</v>
      </c>
      <c r="T967" s="10" t="s">
        <v>10221</v>
      </c>
      <c r="U967" s="5" t="str">
        <f t="shared" si="571"/>
        <v>Propriedade destinada a falar: é.resultado.número.real</v>
      </c>
      <c r="V967" s="5" t="str">
        <f t="shared" si="572"/>
        <v>Dado para falar:  resultado.número.real  Deve ser formatado como (xsd:double)</v>
      </c>
      <c r="W967" s="69" t="s">
        <v>5444</v>
      </c>
      <c r="X967" s="17" t="str">
        <f t="shared" si="573"/>
        <v>d.falar.105</v>
      </c>
      <c r="Y967" s="17" t="str">
        <f t="shared" si="574"/>
        <v>Ação de falar</v>
      </c>
      <c r="Z967" s="62" t="s">
        <v>6733</v>
      </c>
      <c r="AA967" s="18" t="str">
        <f t="shared" si="575"/>
        <v>null</v>
      </c>
      <c r="AB967" s="19" t="s">
        <v>0</v>
      </c>
      <c r="AC967" s="18" t="str">
        <f t="shared" si="576"/>
        <v>null</v>
      </c>
      <c r="AD967" s="19" t="s">
        <v>0</v>
      </c>
      <c r="AE967" s="18" t="str">
        <f t="shared" si="577"/>
        <v>null</v>
      </c>
      <c r="AF967" s="75" t="s">
        <v>0</v>
      </c>
      <c r="AG967" s="38" t="s">
        <v>8174</v>
      </c>
    </row>
    <row r="968" spans="1:33" ht="6" customHeight="1" x14ac:dyDescent="0.4">
      <c r="A968" s="4">
        <f>ROW()</f>
        <v>968</v>
      </c>
      <c r="B968" s="9" t="s">
        <v>27</v>
      </c>
      <c r="C968" s="44" t="str">
        <f t="shared" si="568"/>
        <v>p.falar</v>
      </c>
      <c r="D968" s="6" t="str">
        <f t="shared" si="569"/>
        <v>é.resultado.textual</v>
      </c>
      <c r="E968" s="8" t="s">
        <v>28</v>
      </c>
      <c r="F968" s="34" t="str">
        <f t="shared" si="570"/>
        <v>d.falar</v>
      </c>
      <c r="G968" s="13" t="s">
        <v>672</v>
      </c>
      <c r="H968" s="34" t="s">
        <v>6863</v>
      </c>
      <c r="I968" s="92" t="str">
        <f t="shared" si="578"/>
        <v>null</v>
      </c>
      <c r="J968" s="80" t="s">
        <v>0</v>
      </c>
      <c r="K968" s="80" t="s">
        <v>0</v>
      </c>
      <c r="L968" s="80" t="s">
        <v>0</v>
      </c>
      <c r="M968" s="80" t="s">
        <v>0</v>
      </c>
      <c r="N968" s="80" t="s">
        <v>0</v>
      </c>
      <c r="O968" s="80" t="s">
        <v>0</v>
      </c>
      <c r="P968" s="80" t="s">
        <v>0</v>
      </c>
      <c r="Q968" s="80" t="s">
        <v>0</v>
      </c>
      <c r="R968" s="84" t="s">
        <v>0</v>
      </c>
      <c r="S968" s="10" t="s">
        <v>1</v>
      </c>
      <c r="T968" s="10" t="s">
        <v>10221</v>
      </c>
      <c r="U968" s="5" t="str">
        <f t="shared" si="571"/>
        <v>Propriedade destinada a falar: é.resultado.textual</v>
      </c>
      <c r="V968" s="5" t="str">
        <f t="shared" si="572"/>
        <v>Dado para falar:  resultado.textual  Deve ser formatado como (xsd:string)</v>
      </c>
      <c r="W968" s="69" t="s">
        <v>5442</v>
      </c>
      <c r="X968" s="17" t="str">
        <f t="shared" si="573"/>
        <v>d.falar.106</v>
      </c>
      <c r="Y968" s="17" t="str">
        <f t="shared" si="574"/>
        <v>Ação de falar</v>
      </c>
      <c r="Z968" s="62" t="s">
        <v>6734</v>
      </c>
      <c r="AA968" s="18" t="str">
        <f t="shared" si="575"/>
        <v>null</v>
      </c>
      <c r="AB968" s="19" t="s">
        <v>0</v>
      </c>
      <c r="AC968" s="18" t="str">
        <f t="shared" si="576"/>
        <v>null</v>
      </c>
      <c r="AD968" s="19" t="s">
        <v>0</v>
      </c>
      <c r="AE968" s="18" t="str">
        <f t="shared" si="577"/>
        <v>null</v>
      </c>
      <c r="AF968" s="75" t="s">
        <v>0</v>
      </c>
      <c r="AG968" s="38" t="s">
        <v>8175</v>
      </c>
    </row>
    <row r="969" spans="1:33" ht="6" customHeight="1" x14ac:dyDescent="0.4">
      <c r="A969" s="4">
        <f>ROW()</f>
        <v>969</v>
      </c>
      <c r="B969" s="9" t="s">
        <v>27</v>
      </c>
      <c r="C969" s="44" t="str">
        <f t="shared" si="568"/>
        <v>p.falar</v>
      </c>
      <c r="D969" s="6" t="str">
        <f t="shared" si="569"/>
        <v>é.voz</v>
      </c>
      <c r="E969" s="8" t="s">
        <v>28</v>
      </c>
      <c r="F969" s="34" t="str">
        <f t="shared" si="570"/>
        <v>d.falar</v>
      </c>
      <c r="G969" s="13" t="s">
        <v>380</v>
      </c>
      <c r="H969" s="34" t="s">
        <v>1581</v>
      </c>
      <c r="I969" s="92" t="str">
        <f t="shared" si="578"/>
        <v>null</v>
      </c>
      <c r="J969" s="80" t="s">
        <v>0</v>
      </c>
      <c r="K969" s="80" t="s">
        <v>0</v>
      </c>
      <c r="L969" s="80" t="s">
        <v>0</v>
      </c>
      <c r="M969" s="80" t="s">
        <v>0</v>
      </c>
      <c r="N969" s="80" t="s">
        <v>0</v>
      </c>
      <c r="O969" s="80" t="s">
        <v>0</v>
      </c>
      <c r="P969" s="80" t="s">
        <v>0</v>
      </c>
      <c r="Q969" s="80" t="s">
        <v>0</v>
      </c>
      <c r="R969" s="84" t="s">
        <v>0</v>
      </c>
      <c r="S969" s="10" t="s">
        <v>1</v>
      </c>
      <c r="T969" s="10" t="s">
        <v>10221</v>
      </c>
      <c r="U969" s="5" t="str">
        <f t="shared" si="571"/>
        <v>Propriedade destinada a falar: é.voz</v>
      </c>
      <c r="V969" s="5" t="str">
        <f t="shared" si="572"/>
        <v>Dado para falar:  voz  Deve ser formatado como (rdfs:Literal  or  xsd:string)</v>
      </c>
      <c r="W969" s="69" t="s">
        <v>6658</v>
      </c>
      <c r="X969" s="17" t="str">
        <f t="shared" si="573"/>
        <v>d.falar.107</v>
      </c>
      <c r="Y969" s="17" t="str">
        <f t="shared" si="574"/>
        <v>Ação de falar</v>
      </c>
      <c r="Z969" s="62" t="s">
        <v>6735</v>
      </c>
      <c r="AA969" s="18" t="str">
        <f t="shared" si="575"/>
        <v>null</v>
      </c>
      <c r="AB969" s="19" t="s">
        <v>0</v>
      </c>
      <c r="AC969" s="18" t="str">
        <f t="shared" si="576"/>
        <v>null</v>
      </c>
      <c r="AD969" s="19" t="s">
        <v>0</v>
      </c>
      <c r="AE969" s="18" t="str">
        <f t="shared" si="577"/>
        <v>null</v>
      </c>
      <c r="AF969" s="75" t="s">
        <v>0</v>
      </c>
      <c r="AG969" s="38" t="s">
        <v>8176</v>
      </c>
    </row>
    <row r="970" spans="1:33" ht="6" customHeight="1" x14ac:dyDescent="0.4">
      <c r="A970" s="4">
        <f>ROW()</f>
        <v>970</v>
      </c>
      <c r="B970" s="9" t="s">
        <v>27</v>
      </c>
      <c r="C970" s="43" t="str">
        <f t="shared" si="553"/>
        <v>p.fechar</v>
      </c>
      <c r="D970" s="6" t="str">
        <f t="shared" si="512"/>
        <v>é.cadeado</v>
      </c>
      <c r="E970" s="8" t="s">
        <v>28</v>
      </c>
      <c r="F970" s="41" t="s">
        <v>3721</v>
      </c>
      <c r="G970" s="16" t="s">
        <v>3228</v>
      </c>
      <c r="H970" s="33" t="s">
        <v>1581</v>
      </c>
      <c r="I970" s="92" t="str">
        <f t="shared" si="578"/>
        <v>null</v>
      </c>
      <c r="J970" s="80" t="s">
        <v>0</v>
      </c>
      <c r="K970" s="82" t="s">
        <v>0</v>
      </c>
      <c r="L970" s="82" t="s">
        <v>0</v>
      </c>
      <c r="M970" s="82" t="s">
        <v>0</v>
      </c>
      <c r="N970" s="82" t="s">
        <v>0</v>
      </c>
      <c r="O970" s="82" t="s">
        <v>0</v>
      </c>
      <c r="P970" s="82" t="s">
        <v>0</v>
      </c>
      <c r="Q970" s="82" t="s">
        <v>0</v>
      </c>
      <c r="R970" s="84" t="s">
        <v>0</v>
      </c>
      <c r="S970" s="10" t="s">
        <v>1</v>
      </c>
      <c r="T970" s="10" t="s">
        <v>10221</v>
      </c>
      <c r="U970" s="5" t="str">
        <f t="shared" ref="U970:U1033" si="579">_xlfn.CONCAT("Propriedade destinada a ",MID(C970,FIND("p.",C970,1)+2,100),": ",D970)</f>
        <v>Propriedade destinada a fechar: é.cadeado</v>
      </c>
      <c r="V970" s="5" t="str">
        <f t="shared" ref="V970:V1033" si="580">_xlfn.CONCAT("Dado para ",MID(F970,FIND("d.",F970,1)+2,100),":  ",G970, "  Deve ser formatado como (",H970, ")")</f>
        <v>Dado para fechar:  cadeado  Deve ser formatado como (rdfs:Literal  or  xsd:string)</v>
      </c>
      <c r="W970" s="69" t="s">
        <v>3243</v>
      </c>
      <c r="X970" s="17" t="str">
        <f t="shared" si="573"/>
        <v>d.fecha.100</v>
      </c>
      <c r="Y970" s="17" t="str">
        <f t="shared" si="574"/>
        <v>Ação de fechar</v>
      </c>
      <c r="Z970" s="62" t="s">
        <v>3298</v>
      </c>
      <c r="AA970" s="18" t="str">
        <f t="shared" ref="AA970:AA1039" si="581">IF(AB970="null", "null", "categoria.revit")</f>
        <v>categoria.revit</v>
      </c>
      <c r="AB970" s="19" t="s">
        <v>3261</v>
      </c>
      <c r="AC970" s="18" t="str">
        <f t="shared" ref="AC970:AC1039" si="582">IF(AD970="null", "null", "classe.ifc")</f>
        <v>classe.ifc</v>
      </c>
      <c r="AD970" s="19" t="s">
        <v>3262</v>
      </c>
      <c r="AE970" s="18" t="str">
        <f t="shared" ref="AE970:AE1042" si="583">IF(AF970="null", "null", "propriedade")</f>
        <v>null</v>
      </c>
      <c r="AF970" s="75" t="s">
        <v>0</v>
      </c>
      <c r="AG970" s="38" t="s">
        <v>8177</v>
      </c>
    </row>
    <row r="971" spans="1:33" ht="6" customHeight="1" x14ac:dyDescent="0.4">
      <c r="A971" s="4">
        <f>ROW()</f>
        <v>971</v>
      </c>
      <c r="B971" s="9" t="s">
        <v>27</v>
      </c>
      <c r="C971" s="44" t="str">
        <f t="shared" si="553"/>
        <v>p.fechar</v>
      </c>
      <c r="D971" s="6" t="str">
        <f t="shared" si="512"/>
        <v>é.cremona</v>
      </c>
      <c r="E971" s="8" t="s">
        <v>28</v>
      </c>
      <c r="F971" s="34" t="str">
        <f t="shared" ref="F971:F989" si="584">F970</f>
        <v>d.fechar</v>
      </c>
      <c r="G971" s="16" t="s">
        <v>3229</v>
      </c>
      <c r="H971" s="33" t="s">
        <v>1581</v>
      </c>
      <c r="I971" s="92" t="str">
        <f t="shared" si="578"/>
        <v>null</v>
      </c>
      <c r="J971" s="80" t="s">
        <v>0</v>
      </c>
      <c r="K971" s="82" t="s">
        <v>0</v>
      </c>
      <c r="L971" s="82" t="s">
        <v>0</v>
      </c>
      <c r="M971" s="82" t="s">
        <v>0</v>
      </c>
      <c r="N971" s="82" t="s">
        <v>0</v>
      </c>
      <c r="O971" s="82" t="s">
        <v>0</v>
      </c>
      <c r="P971" s="82" t="s">
        <v>0</v>
      </c>
      <c r="Q971" s="82" t="s">
        <v>0</v>
      </c>
      <c r="R971" s="84" t="s">
        <v>0</v>
      </c>
      <c r="S971" s="10" t="s">
        <v>1</v>
      </c>
      <c r="T971" s="10" t="s">
        <v>10221</v>
      </c>
      <c r="U971" s="5" t="str">
        <f t="shared" si="579"/>
        <v>Propriedade destinada a fechar: é.cremona</v>
      </c>
      <c r="V971" s="5" t="str">
        <f t="shared" si="580"/>
        <v>Dado para fechar:  cremona  Deve ser formatado como (rdfs:Literal  or  xsd:string)</v>
      </c>
      <c r="W971" s="69" t="s">
        <v>3242</v>
      </c>
      <c r="X971" s="17" t="str">
        <f t="shared" si="573"/>
        <v>d.fecha.101</v>
      </c>
      <c r="Y971" s="17" t="str">
        <f t="shared" si="574"/>
        <v>Ação de fechar</v>
      </c>
      <c r="Z971" s="62" t="s">
        <v>3299</v>
      </c>
      <c r="AA971" s="18" t="str">
        <f t="shared" si="581"/>
        <v>categoria.revit</v>
      </c>
      <c r="AB971" s="19" t="s">
        <v>3261</v>
      </c>
      <c r="AC971" s="18" t="str">
        <f t="shared" si="582"/>
        <v>classe.ifc</v>
      </c>
      <c r="AD971" s="19" t="s">
        <v>3262</v>
      </c>
      <c r="AE971" s="18" t="str">
        <f t="shared" si="583"/>
        <v>null</v>
      </c>
      <c r="AF971" s="75" t="s">
        <v>0</v>
      </c>
      <c r="AG971" s="38" t="s">
        <v>8178</v>
      </c>
    </row>
    <row r="972" spans="1:33" ht="6" customHeight="1" x14ac:dyDescent="0.4">
      <c r="A972" s="4">
        <f>ROW()</f>
        <v>972</v>
      </c>
      <c r="B972" s="9" t="s">
        <v>27</v>
      </c>
      <c r="C972" s="44" t="str">
        <f t="shared" si="553"/>
        <v>p.fechar</v>
      </c>
      <c r="D972" s="6" t="str">
        <f t="shared" si="512"/>
        <v>é.distância.de.broca</v>
      </c>
      <c r="E972" s="8" t="s">
        <v>28</v>
      </c>
      <c r="F972" s="34" t="str">
        <f t="shared" si="584"/>
        <v>d.fechar</v>
      </c>
      <c r="G972" s="16" t="s">
        <v>3245</v>
      </c>
      <c r="H972" s="33" t="s">
        <v>35</v>
      </c>
      <c r="I972" s="92" t="str">
        <f t="shared" si="578"/>
        <v>null</v>
      </c>
      <c r="J972" s="80" t="s">
        <v>0</v>
      </c>
      <c r="K972" s="82" t="s">
        <v>0</v>
      </c>
      <c r="L972" s="82" t="s">
        <v>0</v>
      </c>
      <c r="M972" s="82" t="s">
        <v>0</v>
      </c>
      <c r="N972" s="82" t="s">
        <v>0</v>
      </c>
      <c r="O972" s="82" t="s">
        <v>0</v>
      </c>
      <c r="P972" s="82" t="s">
        <v>0</v>
      </c>
      <c r="Q972" s="82" t="s">
        <v>0</v>
      </c>
      <c r="R972" s="84" t="s">
        <v>0</v>
      </c>
      <c r="S972" s="10" t="s">
        <v>1</v>
      </c>
      <c r="T972" s="10" t="s">
        <v>10221</v>
      </c>
      <c r="U972" s="5" t="str">
        <f t="shared" si="579"/>
        <v>Propriedade destinada a fechar: é.distância.de.broca</v>
      </c>
      <c r="V972" s="5" t="str">
        <f t="shared" si="580"/>
        <v>Dado para fechar:  distância.de.broca  Deve ser formatado como (xsd:double)</v>
      </c>
      <c r="W972" s="69" t="s">
        <v>3248</v>
      </c>
      <c r="X972" s="17" t="str">
        <f t="shared" si="573"/>
        <v>d.fecha.102</v>
      </c>
      <c r="Y972" s="17" t="str">
        <f t="shared" si="574"/>
        <v>Ação de fechar</v>
      </c>
      <c r="Z972" s="62" t="s">
        <v>3300</v>
      </c>
      <c r="AA972" s="18" t="str">
        <f t="shared" si="581"/>
        <v>categoria.revit</v>
      </c>
      <c r="AB972" s="19" t="s">
        <v>3261</v>
      </c>
      <c r="AC972" s="18" t="str">
        <f t="shared" si="582"/>
        <v>classe.ifc</v>
      </c>
      <c r="AD972" s="19" t="s">
        <v>3262</v>
      </c>
      <c r="AE972" s="18" t="str">
        <f t="shared" si="583"/>
        <v>null</v>
      </c>
      <c r="AF972" s="75" t="s">
        <v>0</v>
      </c>
      <c r="AG972" s="38" t="s">
        <v>8179</v>
      </c>
    </row>
    <row r="973" spans="1:33" ht="6" customHeight="1" x14ac:dyDescent="0.4">
      <c r="A973" s="4">
        <f>ROW()</f>
        <v>973</v>
      </c>
      <c r="B973" s="9" t="s">
        <v>27</v>
      </c>
      <c r="C973" s="44" t="str">
        <f t="shared" si="553"/>
        <v>p.fechar</v>
      </c>
      <c r="D973" s="6" t="str">
        <f t="shared" si="512"/>
        <v>é.distância.entre.furos</v>
      </c>
      <c r="E973" s="8" t="s">
        <v>28</v>
      </c>
      <c r="F973" s="34" t="str">
        <f t="shared" si="584"/>
        <v>d.fechar</v>
      </c>
      <c r="G973" s="16" t="s">
        <v>3246</v>
      </c>
      <c r="H973" s="33" t="s">
        <v>35</v>
      </c>
      <c r="I973" s="92" t="str">
        <f t="shared" si="578"/>
        <v>null</v>
      </c>
      <c r="J973" s="80" t="s">
        <v>0</v>
      </c>
      <c r="K973" s="82" t="s">
        <v>0</v>
      </c>
      <c r="L973" s="82" t="s">
        <v>0</v>
      </c>
      <c r="M973" s="82" t="s">
        <v>0</v>
      </c>
      <c r="N973" s="82" t="s">
        <v>0</v>
      </c>
      <c r="O973" s="82" t="s">
        <v>0</v>
      </c>
      <c r="P973" s="82" t="s">
        <v>0</v>
      </c>
      <c r="Q973" s="82" t="s">
        <v>0</v>
      </c>
      <c r="R973" s="84" t="s">
        <v>0</v>
      </c>
      <c r="S973" s="10" t="s">
        <v>1</v>
      </c>
      <c r="T973" s="10" t="s">
        <v>10221</v>
      </c>
      <c r="U973" s="5" t="str">
        <f t="shared" si="579"/>
        <v>Propriedade destinada a fechar: é.distância.entre.furos</v>
      </c>
      <c r="V973" s="5" t="str">
        <f t="shared" si="580"/>
        <v>Dado para fechar:  distância.entre.furos  Deve ser formatado como (xsd:double)</v>
      </c>
      <c r="W973" s="69" t="s">
        <v>3247</v>
      </c>
      <c r="X973" s="17" t="str">
        <f t="shared" si="573"/>
        <v>d.fecha.103</v>
      </c>
      <c r="Y973" s="17" t="str">
        <f t="shared" si="574"/>
        <v>Ação de fechar</v>
      </c>
      <c r="Z973" s="62" t="s">
        <v>3301</v>
      </c>
      <c r="AA973" s="18" t="str">
        <f t="shared" si="581"/>
        <v>categoria.revit</v>
      </c>
      <c r="AB973" s="19" t="s">
        <v>3261</v>
      </c>
      <c r="AC973" s="18" t="str">
        <f t="shared" si="582"/>
        <v>classe.ifc</v>
      </c>
      <c r="AD973" s="19" t="s">
        <v>3262</v>
      </c>
      <c r="AE973" s="18" t="str">
        <f t="shared" si="583"/>
        <v>null</v>
      </c>
      <c r="AF973" s="75" t="s">
        <v>0</v>
      </c>
      <c r="AG973" s="38" t="s">
        <v>8180</v>
      </c>
    </row>
    <row r="974" spans="1:33" ht="6" customHeight="1" x14ac:dyDescent="0.4">
      <c r="A974" s="4">
        <f>ROW()</f>
        <v>974</v>
      </c>
      <c r="B974" s="9" t="s">
        <v>27</v>
      </c>
      <c r="C974" s="44" t="str">
        <f t="shared" si="553"/>
        <v>p.fechar</v>
      </c>
      <c r="D974" s="6" t="str">
        <f t="shared" si="512"/>
        <v>é.fechadura</v>
      </c>
      <c r="E974" s="8" t="s">
        <v>28</v>
      </c>
      <c r="F974" s="34" t="str">
        <f t="shared" si="584"/>
        <v>d.fechar</v>
      </c>
      <c r="G974" s="16" t="s">
        <v>3223</v>
      </c>
      <c r="H974" s="33" t="s">
        <v>1581</v>
      </c>
      <c r="I974" s="92" t="str">
        <f t="shared" si="578"/>
        <v>null</v>
      </c>
      <c r="J974" s="80" t="s">
        <v>0</v>
      </c>
      <c r="K974" s="82" t="s">
        <v>0</v>
      </c>
      <c r="L974" s="82" t="s">
        <v>0</v>
      </c>
      <c r="M974" s="82" t="s">
        <v>0</v>
      </c>
      <c r="N974" s="82" t="s">
        <v>0</v>
      </c>
      <c r="O974" s="82" t="s">
        <v>0</v>
      </c>
      <c r="P974" s="82" t="s">
        <v>0</v>
      </c>
      <c r="Q974" s="82" t="s">
        <v>0</v>
      </c>
      <c r="R974" s="84" t="s">
        <v>0</v>
      </c>
      <c r="S974" s="10" t="s">
        <v>1</v>
      </c>
      <c r="T974" s="10" t="s">
        <v>10221</v>
      </c>
      <c r="U974" s="5" t="str">
        <f t="shared" si="579"/>
        <v>Propriedade destinada a fechar: é.fechadura</v>
      </c>
      <c r="V974" s="5" t="str">
        <f t="shared" si="580"/>
        <v>Dado para fechar:  fechadura  Deve ser formatado como (rdfs:Literal  or  xsd:string)</v>
      </c>
      <c r="W974" s="69" t="s">
        <v>3241</v>
      </c>
      <c r="X974" s="17" t="str">
        <f t="shared" si="573"/>
        <v>d.fecha.104</v>
      </c>
      <c r="Y974" s="17" t="str">
        <f t="shared" si="574"/>
        <v>Ação de fechar</v>
      </c>
      <c r="Z974" s="62" t="s">
        <v>3302</v>
      </c>
      <c r="AA974" s="18" t="str">
        <f t="shared" si="581"/>
        <v>categoria.revit</v>
      </c>
      <c r="AB974" s="19" t="s">
        <v>3261</v>
      </c>
      <c r="AC974" s="18" t="str">
        <f t="shared" si="582"/>
        <v>classe.ifc</v>
      </c>
      <c r="AD974" s="19" t="s">
        <v>3262</v>
      </c>
      <c r="AE974" s="18" t="str">
        <f t="shared" si="583"/>
        <v>null</v>
      </c>
      <c r="AF974" s="75" t="s">
        <v>0</v>
      </c>
      <c r="AG974" s="38" t="s">
        <v>8181</v>
      </c>
    </row>
    <row r="975" spans="1:33" ht="6" customHeight="1" x14ac:dyDescent="0.4">
      <c r="A975" s="4">
        <f>ROW()</f>
        <v>975</v>
      </c>
      <c r="B975" s="9" t="s">
        <v>27</v>
      </c>
      <c r="C975" s="44" t="str">
        <f t="shared" si="553"/>
        <v>p.fechar</v>
      </c>
      <c r="D975" s="6" t="str">
        <f t="shared" si="512"/>
        <v>é.fechadura.altura.caixa</v>
      </c>
      <c r="E975" s="8" t="s">
        <v>28</v>
      </c>
      <c r="F975" s="34" t="str">
        <f t="shared" si="584"/>
        <v>d.fechar</v>
      </c>
      <c r="G975" s="16" t="s">
        <v>3258</v>
      </c>
      <c r="H975" s="33" t="s">
        <v>35</v>
      </c>
      <c r="I975" s="92" t="str">
        <f t="shared" si="578"/>
        <v>null</v>
      </c>
      <c r="J975" s="80" t="s">
        <v>0</v>
      </c>
      <c r="K975" s="82" t="s">
        <v>0</v>
      </c>
      <c r="L975" s="82" t="s">
        <v>0</v>
      </c>
      <c r="M975" s="82" t="s">
        <v>0</v>
      </c>
      <c r="N975" s="82" t="s">
        <v>0</v>
      </c>
      <c r="O975" s="82" t="s">
        <v>0</v>
      </c>
      <c r="P975" s="82" t="s">
        <v>0</v>
      </c>
      <c r="Q975" s="82" t="s">
        <v>0</v>
      </c>
      <c r="R975" s="84" t="s">
        <v>0</v>
      </c>
      <c r="S975" s="10" t="s">
        <v>1</v>
      </c>
      <c r="T975" s="10" t="s">
        <v>10221</v>
      </c>
      <c r="U975" s="5" t="str">
        <f t="shared" si="579"/>
        <v>Propriedade destinada a fechar: é.fechadura.altura.caixa</v>
      </c>
      <c r="V975" s="5" t="str">
        <f t="shared" si="580"/>
        <v>Dado para fechar:  fechadura.altura.caixa  Deve ser formatado como (xsd:double)</v>
      </c>
      <c r="W975" s="69" t="s">
        <v>3250</v>
      </c>
      <c r="X975" s="17" t="str">
        <f t="shared" si="573"/>
        <v>d.fecha.105</v>
      </c>
      <c r="Y975" s="17" t="str">
        <f t="shared" si="574"/>
        <v>Ação de fechar</v>
      </c>
      <c r="Z975" s="62" t="s">
        <v>3303</v>
      </c>
      <c r="AA975" s="18" t="str">
        <f t="shared" si="581"/>
        <v>categoria.revit</v>
      </c>
      <c r="AB975" s="19" t="s">
        <v>3261</v>
      </c>
      <c r="AC975" s="18" t="str">
        <f t="shared" si="582"/>
        <v>classe.ifc</v>
      </c>
      <c r="AD975" s="19" t="s">
        <v>3262</v>
      </c>
      <c r="AE975" s="18" t="str">
        <f t="shared" si="583"/>
        <v>null</v>
      </c>
      <c r="AF975" s="75" t="s">
        <v>0</v>
      </c>
      <c r="AG975" s="38" t="s">
        <v>8182</v>
      </c>
    </row>
    <row r="976" spans="1:33" ht="6" customHeight="1" x14ac:dyDescent="0.4">
      <c r="A976" s="4">
        <f>ROW()</f>
        <v>976</v>
      </c>
      <c r="B976" s="9" t="s">
        <v>27</v>
      </c>
      <c r="C976" s="44" t="str">
        <f t="shared" si="553"/>
        <v>p.fechar</v>
      </c>
      <c r="D976" s="6" t="str">
        <f t="shared" si="512"/>
        <v>é.fechadura.altura.testa</v>
      </c>
      <c r="E976" s="8" t="s">
        <v>28</v>
      </c>
      <c r="F976" s="34" t="str">
        <f t="shared" si="584"/>
        <v>d.fechar</v>
      </c>
      <c r="G976" s="16" t="s">
        <v>3259</v>
      </c>
      <c r="H976" s="33" t="s">
        <v>35</v>
      </c>
      <c r="I976" s="92" t="str">
        <f t="shared" si="578"/>
        <v>null</v>
      </c>
      <c r="J976" s="80" t="s">
        <v>0</v>
      </c>
      <c r="K976" s="82" t="s">
        <v>0</v>
      </c>
      <c r="L976" s="82" t="s">
        <v>0</v>
      </c>
      <c r="M976" s="82" t="s">
        <v>0</v>
      </c>
      <c r="N976" s="82" t="s">
        <v>0</v>
      </c>
      <c r="O976" s="82" t="s">
        <v>0</v>
      </c>
      <c r="P976" s="82" t="s">
        <v>0</v>
      </c>
      <c r="Q976" s="82" t="s">
        <v>0</v>
      </c>
      <c r="R976" s="84" t="s">
        <v>0</v>
      </c>
      <c r="S976" s="10" t="s">
        <v>1</v>
      </c>
      <c r="T976" s="10" t="s">
        <v>10221</v>
      </c>
      <c r="U976" s="5" t="str">
        <f t="shared" si="579"/>
        <v>Propriedade destinada a fechar: é.fechadura.altura.testa</v>
      </c>
      <c r="V976" s="5" t="str">
        <f t="shared" si="580"/>
        <v>Dado para fechar:  fechadura.altura.testa  Deve ser formatado como (xsd:double)</v>
      </c>
      <c r="W976" s="69" t="s">
        <v>3252</v>
      </c>
      <c r="X976" s="17" t="str">
        <f t="shared" si="573"/>
        <v>d.fecha.106</v>
      </c>
      <c r="Y976" s="17" t="str">
        <f t="shared" si="574"/>
        <v>Ação de fechar</v>
      </c>
      <c r="Z976" s="62" t="s">
        <v>3304</v>
      </c>
      <c r="AA976" s="18" t="str">
        <f t="shared" si="581"/>
        <v>categoria.revit</v>
      </c>
      <c r="AB976" s="19" t="s">
        <v>3261</v>
      </c>
      <c r="AC976" s="18" t="str">
        <f t="shared" si="582"/>
        <v>classe.ifc</v>
      </c>
      <c r="AD976" s="19" t="s">
        <v>3262</v>
      </c>
      <c r="AE976" s="18" t="str">
        <f t="shared" si="583"/>
        <v>null</v>
      </c>
      <c r="AF976" s="75" t="s">
        <v>0</v>
      </c>
      <c r="AG976" s="38" t="s">
        <v>8183</v>
      </c>
    </row>
    <row r="977" spans="1:33" ht="6" customHeight="1" x14ac:dyDescent="0.4">
      <c r="A977" s="4">
        <f>ROW()</f>
        <v>977</v>
      </c>
      <c r="B977" s="9" t="s">
        <v>27</v>
      </c>
      <c r="C977" s="44" t="str">
        <f t="shared" si="553"/>
        <v>p.fechar</v>
      </c>
      <c r="D977" s="6" t="str">
        <f t="shared" si="512"/>
        <v>é.fechadura.com espelho</v>
      </c>
      <c r="E977" s="8" t="s">
        <v>28</v>
      </c>
      <c r="F977" s="34" t="str">
        <f t="shared" si="584"/>
        <v>d.fechar</v>
      </c>
      <c r="G977" s="16" t="s">
        <v>3256</v>
      </c>
      <c r="H977" s="33" t="s">
        <v>1581</v>
      </c>
      <c r="I977" s="92" t="str">
        <f t="shared" si="578"/>
        <v>null</v>
      </c>
      <c r="J977" s="80" t="s">
        <v>0</v>
      </c>
      <c r="K977" s="82" t="s">
        <v>0</v>
      </c>
      <c r="L977" s="82" t="s">
        <v>0</v>
      </c>
      <c r="M977" s="82" t="s">
        <v>0</v>
      </c>
      <c r="N977" s="82" t="s">
        <v>0</v>
      </c>
      <c r="O977" s="82" t="s">
        <v>0</v>
      </c>
      <c r="P977" s="82" t="s">
        <v>0</v>
      </c>
      <c r="Q977" s="82" t="s">
        <v>0</v>
      </c>
      <c r="R977" s="84" t="s">
        <v>0</v>
      </c>
      <c r="S977" s="10" t="s">
        <v>1</v>
      </c>
      <c r="T977" s="10" t="s">
        <v>10221</v>
      </c>
      <c r="U977" s="5" t="str">
        <f t="shared" si="579"/>
        <v>Propriedade destinada a fechar: é.fechadura.com espelho</v>
      </c>
      <c r="V977" s="5" t="str">
        <f t="shared" si="580"/>
        <v>Dado para fechar:  fechadura.com espelho  Deve ser formatado como (rdfs:Literal  or  xsd:string)</v>
      </c>
      <c r="W977" s="69" t="s">
        <v>3255</v>
      </c>
      <c r="X977" s="17" t="str">
        <f t="shared" si="573"/>
        <v>d.fecha.107</v>
      </c>
      <c r="Y977" s="17" t="str">
        <f t="shared" si="574"/>
        <v>Ação de fechar</v>
      </c>
      <c r="Z977" s="62" t="s">
        <v>3305</v>
      </c>
      <c r="AA977" s="18" t="str">
        <f t="shared" si="581"/>
        <v>categoria.revit</v>
      </c>
      <c r="AB977" s="19" t="s">
        <v>3261</v>
      </c>
      <c r="AC977" s="18" t="str">
        <f t="shared" si="582"/>
        <v>classe.ifc</v>
      </c>
      <c r="AD977" s="19" t="s">
        <v>3262</v>
      </c>
      <c r="AE977" s="18" t="str">
        <f t="shared" si="583"/>
        <v>null</v>
      </c>
      <c r="AF977" s="75" t="s">
        <v>0</v>
      </c>
      <c r="AG977" s="38" t="s">
        <v>8184</v>
      </c>
    </row>
    <row r="978" spans="1:33" ht="6" customHeight="1" x14ac:dyDescent="0.4">
      <c r="A978" s="4">
        <f>ROW()</f>
        <v>978</v>
      </c>
      <c r="B978" s="9" t="s">
        <v>27</v>
      </c>
      <c r="C978" s="44" t="str">
        <f t="shared" si="553"/>
        <v>p.fechar</v>
      </c>
      <c r="D978" s="6" t="str">
        <f t="shared" si="512"/>
        <v>é.fechadura.com roseta</v>
      </c>
      <c r="E978" s="8" t="s">
        <v>28</v>
      </c>
      <c r="F978" s="34" t="str">
        <f t="shared" si="584"/>
        <v>d.fechar</v>
      </c>
      <c r="G978" s="16" t="s">
        <v>3253</v>
      </c>
      <c r="H978" s="33" t="s">
        <v>1581</v>
      </c>
      <c r="I978" s="92" t="str">
        <f t="shared" si="578"/>
        <v>null</v>
      </c>
      <c r="J978" s="80" t="s">
        <v>0</v>
      </c>
      <c r="K978" s="82" t="s">
        <v>0</v>
      </c>
      <c r="L978" s="82" t="s">
        <v>0</v>
      </c>
      <c r="M978" s="82" t="s">
        <v>0</v>
      </c>
      <c r="N978" s="82" t="s">
        <v>0</v>
      </c>
      <c r="O978" s="82" t="s">
        <v>0</v>
      </c>
      <c r="P978" s="82" t="s">
        <v>0</v>
      </c>
      <c r="Q978" s="82" t="s">
        <v>0</v>
      </c>
      <c r="R978" s="84" t="s">
        <v>0</v>
      </c>
      <c r="S978" s="10" t="s">
        <v>1</v>
      </c>
      <c r="T978" s="10" t="s">
        <v>10221</v>
      </c>
      <c r="U978" s="5" t="str">
        <f t="shared" si="579"/>
        <v>Propriedade destinada a fechar: é.fechadura.com roseta</v>
      </c>
      <c r="V978" s="5" t="str">
        <f t="shared" si="580"/>
        <v>Dado para fechar:  fechadura.com roseta  Deve ser formatado como (rdfs:Literal  or  xsd:string)</v>
      </c>
      <c r="W978" s="69" t="s">
        <v>3254</v>
      </c>
      <c r="X978" s="17" t="str">
        <f t="shared" si="573"/>
        <v>d.fecha.108</v>
      </c>
      <c r="Y978" s="17" t="str">
        <f t="shared" si="574"/>
        <v>Ação de fechar</v>
      </c>
      <c r="Z978" s="62" t="s">
        <v>3306</v>
      </c>
      <c r="AA978" s="18" t="str">
        <f t="shared" si="581"/>
        <v>categoria.revit</v>
      </c>
      <c r="AB978" s="19" t="s">
        <v>3261</v>
      </c>
      <c r="AC978" s="18" t="str">
        <f t="shared" si="582"/>
        <v>classe.ifc</v>
      </c>
      <c r="AD978" s="19" t="s">
        <v>3262</v>
      </c>
      <c r="AE978" s="18" t="str">
        <f t="shared" si="583"/>
        <v>null</v>
      </c>
      <c r="AF978" s="75" t="s">
        <v>0</v>
      </c>
      <c r="AG978" s="38" t="s">
        <v>8185</v>
      </c>
    </row>
    <row r="979" spans="1:33" ht="6" customHeight="1" x14ac:dyDescent="0.4">
      <c r="A979" s="4">
        <f>ROW()</f>
        <v>979</v>
      </c>
      <c r="B979" s="9" t="s">
        <v>27</v>
      </c>
      <c r="C979" s="44" t="str">
        <f t="shared" si="553"/>
        <v>p.fechar</v>
      </c>
      <c r="D979" s="6" t="str">
        <f t="shared" si="512"/>
        <v>é.fechadura.digital</v>
      </c>
      <c r="E979" s="8" t="s">
        <v>28</v>
      </c>
      <c r="F979" s="34" t="str">
        <f t="shared" si="584"/>
        <v>d.fechar</v>
      </c>
      <c r="G979" s="16" t="s">
        <v>3231</v>
      </c>
      <c r="H979" s="33" t="s">
        <v>1581</v>
      </c>
      <c r="I979" s="92" t="str">
        <f t="shared" si="578"/>
        <v>null</v>
      </c>
      <c r="J979" s="80" t="s">
        <v>0</v>
      </c>
      <c r="K979" s="82" t="s">
        <v>0</v>
      </c>
      <c r="L979" s="82" t="s">
        <v>0</v>
      </c>
      <c r="M979" s="82" t="s">
        <v>0</v>
      </c>
      <c r="N979" s="82" t="s">
        <v>0</v>
      </c>
      <c r="O979" s="82" t="s">
        <v>0</v>
      </c>
      <c r="P979" s="82" t="s">
        <v>0</v>
      </c>
      <c r="Q979" s="82" t="s">
        <v>0</v>
      </c>
      <c r="R979" s="84" t="s">
        <v>0</v>
      </c>
      <c r="S979" s="10" t="s">
        <v>1</v>
      </c>
      <c r="T979" s="10" t="s">
        <v>10221</v>
      </c>
      <c r="U979" s="5" t="str">
        <f t="shared" si="579"/>
        <v>Propriedade destinada a fechar: é.fechadura.digital</v>
      </c>
      <c r="V979" s="5" t="str">
        <f t="shared" si="580"/>
        <v>Dado para fechar:  fechadura.digital  Deve ser formatado como (rdfs:Literal  or  xsd:string)</v>
      </c>
      <c r="W979" s="69" t="s">
        <v>3233</v>
      </c>
      <c r="X979" s="17" t="str">
        <f t="shared" si="573"/>
        <v>d.fecha.109</v>
      </c>
      <c r="Y979" s="17" t="str">
        <f t="shared" si="574"/>
        <v>Ação de fechar</v>
      </c>
      <c r="Z979" s="62" t="s">
        <v>3307</v>
      </c>
      <c r="AA979" s="18" t="str">
        <f t="shared" si="581"/>
        <v>categoria.revit</v>
      </c>
      <c r="AB979" s="19" t="s">
        <v>3261</v>
      </c>
      <c r="AC979" s="18" t="str">
        <f t="shared" si="582"/>
        <v>classe.ifc</v>
      </c>
      <c r="AD979" s="19" t="s">
        <v>3262</v>
      </c>
      <c r="AE979" s="18" t="str">
        <f t="shared" si="583"/>
        <v>null</v>
      </c>
      <c r="AF979" s="75" t="s">
        <v>0</v>
      </c>
      <c r="AG979" s="38" t="s">
        <v>8186</v>
      </c>
    </row>
    <row r="980" spans="1:33" ht="6" customHeight="1" x14ac:dyDescent="0.4">
      <c r="A980" s="4">
        <f>ROW()</f>
        <v>980</v>
      </c>
      <c r="B980" s="9" t="s">
        <v>27</v>
      </c>
      <c r="C980" s="44" t="str">
        <f t="shared" si="553"/>
        <v>p.fechar</v>
      </c>
      <c r="D980" s="6" t="str">
        <f t="shared" si="512"/>
        <v>é.fechadura.elétrica</v>
      </c>
      <c r="E980" s="8" t="s">
        <v>28</v>
      </c>
      <c r="F980" s="34" t="str">
        <f t="shared" si="584"/>
        <v>d.fechar</v>
      </c>
      <c r="G980" s="16" t="s">
        <v>3234</v>
      </c>
      <c r="H980" s="33" t="s">
        <v>1581</v>
      </c>
      <c r="I980" s="92" t="str">
        <f t="shared" si="578"/>
        <v>null</v>
      </c>
      <c r="J980" s="80" t="s">
        <v>0</v>
      </c>
      <c r="K980" s="82" t="s">
        <v>0</v>
      </c>
      <c r="L980" s="82" t="s">
        <v>0</v>
      </c>
      <c r="M980" s="82" t="s">
        <v>0</v>
      </c>
      <c r="N980" s="82" t="s">
        <v>0</v>
      </c>
      <c r="O980" s="82" t="s">
        <v>0</v>
      </c>
      <c r="P980" s="82" t="s">
        <v>0</v>
      </c>
      <c r="Q980" s="82" t="s">
        <v>0</v>
      </c>
      <c r="R980" s="84" t="s">
        <v>0</v>
      </c>
      <c r="S980" s="10" t="s">
        <v>1</v>
      </c>
      <c r="T980" s="10" t="s">
        <v>10221</v>
      </c>
      <c r="U980" s="5" t="str">
        <f t="shared" si="579"/>
        <v>Propriedade destinada a fechar: é.fechadura.elétrica</v>
      </c>
      <c r="V980" s="5" t="str">
        <f t="shared" si="580"/>
        <v>Dado para fechar:  fechadura.elétrica  Deve ser formatado como (rdfs:Literal  or  xsd:string)</v>
      </c>
      <c r="W980" s="69" t="s">
        <v>3238</v>
      </c>
      <c r="X980" s="17" t="str">
        <f t="shared" si="573"/>
        <v>d.fecha.110</v>
      </c>
      <c r="Y980" s="17" t="str">
        <f t="shared" si="574"/>
        <v>Ação de fechar</v>
      </c>
      <c r="Z980" s="62" t="s">
        <v>3308</v>
      </c>
      <c r="AA980" s="18" t="str">
        <f t="shared" si="581"/>
        <v>categoria.revit</v>
      </c>
      <c r="AB980" s="19" t="s">
        <v>3261</v>
      </c>
      <c r="AC980" s="18" t="str">
        <f t="shared" si="582"/>
        <v>classe.ifc</v>
      </c>
      <c r="AD980" s="19" t="s">
        <v>3262</v>
      </c>
      <c r="AE980" s="18" t="str">
        <f t="shared" si="583"/>
        <v>null</v>
      </c>
      <c r="AF980" s="75" t="s">
        <v>0</v>
      </c>
      <c r="AG980" s="38" t="s">
        <v>8187</v>
      </c>
    </row>
    <row r="981" spans="1:33" ht="6" customHeight="1" x14ac:dyDescent="0.4">
      <c r="A981" s="4">
        <f>ROW()</f>
        <v>981</v>
      </c>
      <c r="B981" s="9" t="s">
        <v>27</v>
      </c>
      <c r="C981" s="44" t="str">
        <f t="shared" si="553"/>
        <v>p.fechar</v>
      </c>
      <c r="D981" s="6" t="str">
        <f t="shared" si="512"/>
        <v>é.fechadura.eletroímã</v>
      </c>
      <c r="E981" s="8" t="s">
        <v>28</v>
      </c>
      <c r="F981" s="34" t="str">
        <f t="shared" si="584"/>
        <v>d.fechar</v>
      </c>
      <c r="G981" s="16" t="s">
        <v>3235</v>
      </c>
      <c r="H981" s="33" t="s">
        <v>1581</v>
      </c>
      <c r="I981" s="92" t="str">
        <f t="shared" si="578"/>
        <v>null</v>
      </c>
      <c r="J981" s="80" t="s">
        <v>0</v>
      </c>
      <c r="K981" s="82" t="s">
        <v>0</v>
      </c>
      <c r="L981" s="82" t="s">
        <v>0</v>
      </c>
      <c r="M981" s="82" t="s">
        <v>0</v>
      </c>
      <c r="N981" s="82" t="s">
        <v>0</v>
      </c>
      <c r="O981" s="82" t="s">
        <v>0</v>
      </c>
      <c r="P981" s="82" t="s">
        <v>0</v>
      </c>
      <c r="Q981" s="82" t="s">
        <v>0</v>
      </c>
      <c r="R981" s="84" t="s">
        <v>0</v>
      </c>
      <c r="S981" s="10" t="s">
        <v>1</v>
      </c>
      <c r="T981" s="10" t="s">
        <v>10221</v>
      </c>
      <c r="U981" s="5" t="str">
        <f t="shared" si="579"/>
        <v>Propriedade destinada a fechar: é.fechadura.eletroímã</v>
      </c>
      <c r="V981" s="5" t="str">
        <f t="shared" si="580"/>
        <v>Dado para fechar:  fechadura.eletroímã  Deve ser formatado como (rdfs:Literal  or  xsd:string)</v>
      </c>
      <c r="W981" s="69" t="s">
        <v>3236</v>
      </c>
      <c r="X981" s="17" t="str">
        <f t="shared" si="573"/>
        <v>d.fecha.111</v>
      </c>
      <c r="Y981" s="17" t="str">
        <f t="shared" si="574"/>
        <v>Ação de fechar</v>
      </c>
      <c r="Z981" s="62" t="s">
        <v>3309</v>
      </c>
      <c r="AA981" s="18" t="str">
        <f t="shared" si="581"/>
        <v>categoria.revit</v>
      </c>
      <c r="AB981" s="19" t="s">
        <v>3261</v>
      </c>
      <c r="AC981" s="18" t="str">
        <f t="shared" si="582"/>
        <v>classe.ifc</v>
      </c>
      <c r="AD981" s="19" t="s">
        <v>3262</v>
      </c>
      <c r="AE981" s="18" t="str">
        <f t="shared" si="583"/>
        <v>null</v>
      </c>
      <c r="AF981" s="75" t="s">
        <v>0</v>
      </c>
      <c r="AG981" s="38" t="s">
        <v>8188</v>
      </c>
    </row>
    <row r="982" spans="1:33" ht="6" customHeight="1" x14ac:dyDescent="0.4">
      <c r="A982" s="4">
        <f>ROW()</f>
        <v>982</v>
      </c>
      <c r="B982" s="9" t="s">
        <v>27</v>
      </c>
      <c r="C982" s="44" t="str">
        <f t="shared" si="553"/>
        <v>p.fechar</v>
      </c>
      <c r="D982" s="6" t="str">
        <f t="shared" ref="D982:D1047" si="585">_xlfn.CONCAT("é.",G982)</f>
        <v>é.fechadura.largura.caixa</v>
      </c>
      <c r="E982" s="8" t="s">
        <v>28</v>
      </c>
      <c r="F982" s="34" t="str">
        <f t="shared" si="584"/>
        <v>d.fechar</v>
      </c>
      <c r="G982" s="16" t="s">
        <v>3257</v>
      </c>
      <c r="H982" s="33" t="s">
        <v>35</v>
      </c>
      <c r="I982" s="92" t="str">
        <f t="shared" si="578"/>
        <v>null</v>
      </c>
      <c r="J982" s="80" t="s">
        <v>0</v>
      </c>
      <c r="K982" s="82" t="s">
        <v>0</v>
      </c>
      <c r="L982" s="82" t="s">
        <v>0</v>
      </c>
      <c r="M982" s="82" t="s">
        <v>0</v>
      </c>
      <c r="N982" s="82" t="s">
        <v>0</v>
      </c>
      <c r="O982" s="82" t="s">
        <v>0</v>
      </c>
      <c r="P982" s="82" t="s">
        <v>0</v>
      </c>
      <c r="Q982" s="82" t="s">
        <v>0</v>
      </c>
      <c r="R982" s="84" t="s">
        <v>0</v>
      </c>
      <c r="S982" s="10" t="s">
        <v>1</v>
      </c>
      <c r="T982" s="10" t="s">
        <v>10221</v>
      </c>
      <c r="U982" s="5" t="str">
        <f t="shared" si="579"/>
        <v>Propriedade destinada a fechar: é.fechadura.largura.caixa</v>
      </c>
      <c r="V982" s="5" t="str">
        <f t="shared" si="580"/>
        <v>Dado para fechar:  fechadura.largura.caixa  Deve ser formatado como (xsd:double)</v>
      </c>
      <c r="W982" s="69" t="s">
        <v>3249</v>
      </c>
      <c r="X982" s="17" t="str">
        <f t="shared" si="573"/>
        <v>d.fecha.112</v>
      </c>
      <c r="Y982" s="17" t="str">
        <f t="shared" si="574"/>
        <v>Ação de fechar</v>
      </c>
      <c r="Z982" s="62" t="s">
        <v>3310</v>
      </c>
      <c r="AA982" s="18" t="str">
        <f t="shared" si="581"/>
        <v>categoria.revit</v>
      </c>
      <c r="AB982" s="19" t="s">
        <v>3261</v>
      </c>
      <c r="AC982" s="18" t="str">
        <f t="shared" si="582"/>
        <v>classe.ifc</v>
      </c>
      <c r="AD982" s="19" t="s">
        <v>3262</v>
      </c>
      <c r="AE982" s="18" t="str">
        <f t="shared" si="583"/>
        <v>null</v>
      </c>
      <c r="AF982" s="75" t="s">
        <v>0</v>
      </c>
      <c r="AG982" s="38" t="s">
        <v>8189</v>
      </c>
    </row>
    <row r="983" spans="1:33" ht="6" customHeight="1" x14ac:dyDescent="0.4">
      <c r="A983" s="4">
        <f>ROW()</f>
        <v>983</v>
      </c>
      <c r="B983" s="9" t="s">
        <v>27</v>
      </c>
      <c r="C983" s="44" t="str">
        <f t="shared" si="553"/>
        <v>p.fechar</v>
      </c>
      <c r="D983" s="6" t="str">
        <f t="shared" si="585"/>
        <v>é.fechadura.largura.testa</v>
      </c>
      <c r="E983" s="8" t="s">
        <v>28</v>
      </c>
      <c r="F983" s="34" t="str">
        <f t="shared" si="584"/>
        <v>d.fechar</v>
      </c>
      <c r="G983" s="16" t="s">
        <v>3260</v>
      </c>
      <c r="H983" s="33" t="s">
        <v>35</v>
      </c>
      <c r="I983" s="92" t="str">
        <f t="shared" si="578"/>
        <v>null</v>
      </c>
      <c r="J983" s="80" t="s">
        <v>0</v>
      </c>
      <c r="K983" s="82" t="s">
        <v>0</v>
      </c>
      <c r="L983" s="82" t="s">
        <v>0</v>
      </c>
      <c r="M983" s="82" t="s">
        <v>0</v>
      </c>
      <c r="N983" s="82" t="s">
        <v>0</v>
      </c>
      <c r="O983" s="82" t="s">
        <v>0</v>
      </c>
      <c r="P983" s="82" t="s">
        <v>0</v>
      </c>
      <c r="Q983" s="82" t="s">
        <v>0</v>
      </c>
      <c r="R983" s="84" t="s">
        <v>0</v>
      </c>
      <c r="S983" s="10" t="s">
        <v>1</v>
      </c>
      <c r="T983" s="10" t="s">
        <v>10221</v>
      </c>
      <c r="U983" s="5" t="str">
        <f t="shared" si="579"/>
        <v>Propriedade destinada a fechar: é.fechadura.largura.testa</v>
      </c>
      <c r="V983" s="5" t="str">
        <f t="shared" si="580"/>
        <v>Dado para fechar:  fechadura.largura.testa  Deve ser formatado como (xsd:double)</v>
      </c>
      <c r="W983" s="69" t="s">
        <v>3251</v>
      </c>
      <c r="X983" s="17" t="str">
        <f t="shared" si="573"/>
        <v>d.fecha.113</v>
      </c>
      <c r="Y983" s="17" t="str">
        <f t="shared" si="574"/>
        <v>Ação de fechar</v>
      </c>
      <c r="Z983" s="62" t="s">
        <v>3311</v>
      </c>
      <c r="AA983" s="18" t="str">
        <f t="shared" si="581"/>
        <v>categoria.revit</v>
      </c>
      <c r="AB983" s="19" t="s">
        <v>3261</v>
      </c>
      <c r="AC983" s="18" t="str">
        <f t="shared" si="582"/>
        <v>classe.ifc</v>
      </c>
      <c r="AD983" s="19" t="s">
        <v>3262</v>
      </c>
      <c r="AE983" s="18" t="str">
        <f t="shared" si="583"/>
        <v>null</v>
      </c>
      <c r="AF983" s="75" t="s">
        <v>0</v>
      </c>
      <c r="AG983" s="38" t="s">
        <v>8190</v>
      </c>
    </row>
    <row r="984" spans="1:33" ht="6" customHeight="1" x14ac:dyDescent="0.4">
      <c r="A984" s="4">
        <f>ROW()</f>
        <v>984</v>
      </c>
      <c r="B984" s="9" t="s">
        <v>27</v>
      </c>
      <c r="C984" s="44" t="str">
        <f t="shared" si="553"/>
        <v>p.fechar</v>
      </c>
      <c r="D984" s="6" t="str">
        <f t="shared" si="585"/>
        <v>é.fechadura.solenóide</v>
      </c>
      <c r="E984" s="8" t="s">
        <v>28</v>
      </c>
      <c r="F984" s="34" t="str">
        <f t="shared" si="584"/>
        <v>d.fechar</v>
      </c>
      <c r="G984" s="16" t="s">
        <v>3232</v>
      </c>
      <c r="H984" s="33" t="s">
        <v>1581</v>
      </c>
      <c r="I984" s="92" t="str">
        <f t="shared" si="578"/>
        <v>null</v>
      </c>
      <c r="J984" s="80" t="s">
        <v>0</v>
      </c>
      <c r="K984" s="82" t="s">
        <v>0</v>
      </c>
      <c r="L984" s="82" t="s">
        <v>0</v>
      </c>
      <c r="M984" s="82" t="s">
        <v>0</v>
      </c>
      <c r="N984" s="82" t="s">
        <v>0</v>
      </c>
      <c r="O984" s="82" t="s">
        <v>0</v>
      </c>
      <c r="P984" s="82" t="s">
        <v>0</v>
      </c>
      <c r="Q984" s="82" t="s">
        <v>0</v>
      </c>
      <c r="R984" s="84" t="s">
        <v>0</v>
      </c>
      <c r="S984" s="10" t="s">
        <v>1</v>
      </c>
      <c r="T984" s="10" t="s">
        <v>10221</v>
      </c>
      <c r="U984" s="5" t="str">
        <f t="shared" si="579"/>
        <v>Propriedade destinada a fechar: é.fechadura.solenóide</v>
      </c>
      <c r="V984" s="5" t="str">
        <f t="shared" si="580"/>
        <v>Dado para fechar:  fechadura.solenóide  Deve ser formatado como (rdfs:Literal  or  xsd:string)</v>
      </c>
      <c r="W984" s="69" t="s">
        <v>3237</v>
      </c>
      <c r="X984" s="17" t="str">
        <f t="shared" si="573"/>
        <v>d.fecha.114</v>
      </c>
      <c r="Y984" s="17" t="str">
        <f t="shared" si="574"/>
        <v>Ação de fechar</v>
      </c>
      <c r="Z984" s="62" t="s">
        <v>3312</v>
      </c>
      <c r="AA984" s="18" t="str">
        <f t="shared" si="581"/>
        <v>categoria.revit</v>
      </c>
      <c r="AB984" s="19" t="s">
        <v>3261</v>
      </c>
      <c r="AC984" s="18" t="str">
        <f t="shared" si="582"/>
        <v>classe.ifc</v>
      </c>
      <c r="AD984" s="19" t="s">
        <v>3262</v>
      </c>
      <c r="AE984" s="18" t="str">
        <f t="shared" si="583"/>
        <v>null</v>
      </c>
      <c r="AF984" s="75" t="s">
        <v>0</v>
      </c>
      <c r="AG984" s="38" t="s">
        <v>8191</v>
      </c>
    </row>
    <row r="985" spans="1:33" ht="6" customHeight="1" x14ac:dyDescent="0.4">
      <c r="A985" s="4">
        <f>ROW()</f>
        <v>985</v>
      </c>
      <c r="B985" s="9" t="s">
        <v>27</v>
      </c>
      <c r="C985" s="44" t="str">
        <f t="shared" si="553"/>
        <v>p.fechar</v>
      </c>
      <c r="D985" s="6" t="str">
        <f t="shared" si="585"/>
        <v>é.fecho</v>
      </c>
      <c r="E985" s="8" t="s">
        <v>28</v>
      </c>
      <c r="F985" s="34" t="str">
        <f t="shared" si="584"/>
        <v>d.fechar</v>
      </c>
      <c r="G985" s="16" t="s">
        <v>3225</v>
      </c>
      <c r="H985" s="33" t="s">
        <v>1581</v>
      </c>
      <c r="I985" s="92" t="str">
        <f t="shared" si="578"/>
        <v>null</v>
      </c>
      <c r="J985" s="80" t="s">
        <v>0</v>
      </c>
      <c r="K985" s="82" t="s">
        <v>0</v>
      </c>
      <c r="L985" s="82" t="s">
        <v>0</v>
      </c>
      <c r="M985" s="82" t="s">
        <v>0</v>
      </c>
      <c r="N985" s="82" t="s">
        <v>0</v>
      </c>
      <c r="O985" s="82" t="s">
        <v>0</v>
      </c>
      <c r="P985" s="82" t="s">
        <v>0</v>
      </c>
      <c r="Q985" s="82" t="s">
        <v>0</v>
      </c>
      <c r="R985" s="84" t="s">
        <v>0</v>
      </c>
      <c r="S985" s="10" t="s">
        <v>1</v>
      </c>
      <c r="T985" s="10" t="s">
        <v>10221</v>
      </c>
      <c r="U985" s="5" t="str">
        <f t="shared" si="579"/>
        <v>Propriedade destinada a fechar: é.fecho</v>
      </c>
      <c r="V985" s="5" t="str">
        <f t="shared" si="580"/>
        <v>Dado para fechar:  fecho  Deve ser formatado como (rdfs:Literal  or  xsd:string)</v>
      </c>
      <c r="W985" s="69" t="s">
        <v>3240</v>
      </c>
      <c r="X985" s="17" t="str">
        <f t="shared" si="573"/>
        <v>d.fecha.115</v>
      </c>
      <c r="Y985" s="17" t="str">
        <f t="shared" si="574"/>
        <v>Ação de fechar</v>
      </c>
      <c r="Z985" s="62" t="s">
        <v>3313</v>
      </c>
      <c r="AA985" s="18" t="str">
        <f t="shared" si="581"/>
        <v>categoria.revit</v>
      </c>
      <c r="AB985" s="19" t="s">
        <v>3261</v>
      </c>
      <c r="AC985" s="18" t="str">
        <f t="shared" si="582"/>
        <v>classe.ifc</v>
      </c>
      <c r="AD985" s="19" t="s">
        <v>3262</v>
      </c>
      <c r="AE985" s="18" t="str">
        <f t="shared" si="583"/>
        <v>null</v>
      </c>
      <c r="AF985" s="75" t="s">
        <v>0</v>
      </c>
      <c r="AG985" s="38" t="s">
        <v>8192</v>
      </c>
    </row>
    <row r="986" spans="1:33" ht="6" customHeight="1" x14ac:dyDescent="0.4">
      <c r="A986" s="4">
        <f>ROW()</f>
        <v>986</v>
      </c>
      <c r="B986" s="9" t="s">
        <v>27</v>
      </c>
      <c r="C986" s="44" t="str">
        <f t="shared" si="553"/>
        <v>p.fechar</v>
      </c>
      <c r="D986" s="6" t="str">
        <f t="shared" si="585"/>
        <v>é.maçaneta</v>
      </c>
      <c r="E986" s="8" t="s">
        <v>28</v>
      </c>
      <c r="F986" s="34" t="str">
        <f t="shared" si="584"/>
        <v>d.fechar</v>
      </c>
      <c r="G986" s="16" t="s">
        <v>3230</v>
      </c>
      <c r="H986" s="33" t="s">
        <v>1581</v>
      </c>
      <c r="I986" s="92" t="str">
        <f t="shared" si="578"/>
        <v>null</v>
      </c>
      <c r="J986" s="80" t="s">
        <v>0</v>
      </c>
      <c r="K986" s="82" t="s">
        <v>0</v>
      </c>
      <c r="L986" s="82" t="s">
        <v>0</v>
      </c>
      <c r="M986" s="82" t="s">
        <v>0</v>
      </c>
      <c r="N986" s="82" t="s">
        <v>0</v>
      </c>
      <c r="O986" s="82" t="s">
        <v>0</v>
      </c>
      <c r="P986" s="82" t="s">
        <v>0</v>
      </c>
      <c r="Q986" s="82" t="s">
        <v>0</v>
      </c>
      <c r="R986" s="84" t="s">
        <v>0</v>
      </c>
      <c r="S986" s="10" t="s">
        <v>1</v>
      </c>
      <c r="T986" s="10" t="s">
        <v>10221</v>
      </c>
      <c r="U986" s="5" t="str">
        <f t="shared" si="579"/>
        <v>Propriedade destinada a fechar: é.maçaneta</v>
      </c>
      <c r="V986" s="5" t="str">
        <f t="shared" si="580"/>
        <v>Dado para fechar:  maçaneta  Deve ser formatado como (rdfs:Literal  or  xsd:string)</v>
      </c>
      <c r="W986" s="69" t="s">
        <v>3244</v>
      </c>
      <c r="X986" s="17" t="str">
        <f t="shared" si="573"/>
        <v>d.fecha.116</v>
      </c>
      <c r="Y986" s="17" t="str">
        <f t="shared" si="574"/>
        <v>Ação de fechar</v>
      </c>
      <c r="Z986" s="62" t="s">
        <v>3314</v>
      </c>
      <c r="AA986" s="18" t="str">
        <f t="shared" si="581"/>
        <v>categoria.revit</v>
      </c>
      <c r="AB986" s="19" t="s">
        <v>3261</v>
      </c>
      <c r="AC986" s="18" t="str">
        <f t="shared" si="582"/>
        <v>classe.ifc</v>
      </c>
      <c r="AD986" s="19" t="s">
        <v>3262</v>
      </c>
      <c r="AE986" s="18" t="str">
        <f t="shared" si="583"/>
        <v>null</v>
      </c>
      <c r="AF986" s="75" t="s">
        <v>0</v>
      </c>
      <c r="AG986" s="38" t="s">
        <v>8193</v>
      </c>
    </row>
    <row r="987" spans="1:33" ht="6" customHeight="1" x14ac:dyDescent="0.4">
      <c r="A987" s="4">
        <f>ROW()</f>
        <v>987</v>
      </c>
      <c r="B987" s="9" t="s">
        <v>27</v>
      </c>
      <c r="C987" s="44" t="str">
        <f t="shared" si="553"/>
        <v>p.fechar</v>
      </c>
      <c r="D987" s="6" t="str">
        <f t="shared" si="585"/>
        <v>é.trava</v>
      </c>
      <c r="E987" s="8" t="s">
        <v>28</v>
      </c>
      <c r="F987" s="34" t="str">
        <f t="shared" si="584"/>
        <v>d.fechar</v>
      </c>
      <c r="G987" s="16" t="s">
        <v>3226</v>
      </c>
      <c r="H987" s="33" t="s">
        <v>1581</v>
      </c>
      <c r="I987" s="92" t="str">
        <f t="shared" si="578"/>
        <v>null</v>
      </c>
      <c r="J987" s="80" t="s">
        <v>0</v>
      </c>
      <c r="K987" s="82" t="s">
        <v>0</v>
      </c>
      <c r="L987" s="82" t="s">
        <v>0</v>
      </c>
      <c r="M987" s="82" t="s">
        <v>0</v>
      </c>
      <c r="N987" s="82" t="s">
        <v>0</v>
      </c>
      <c r="O987" s="82" t="s">
        <v>0</v>
      </c>
      <c r="P987" s="82" t="s">
        <v>0</v>
      </c>
      <c r="Q987" s="82" t="s">
        <v>0</v>
      </c>
      <c r="R987" s="84" t="s">
        <v>0</v>
      </c>
      <c r="S987" s="10" t="s">
        <v>1</v>
      </c>
      <c r="T987" s="10" t="s">
        <v>10221</v>
      </c>
      <c r="U987" s="5" t="str">
        <f t="shared" si="579"/>
        <v>Propriedade destinada a fechar: é.trava</v>
      </c>
      <c r="V987" s="5" t="str">
        <f t="shared" si="580"/>
        <v>Dado para fechar:  trava  Deve ser formatado como (rdfs:Literal  or  xsd:string)</v>
      </c>
      <c r="W987" s="69" t="s">
        <v>3240</v>
      </c>
      <c r="X987" s="17" t="str">
        <f t="shared" si="573"/>
        <v>d.fecha.117</v>
      </c>
      <c r="Y987" s="17" t="str">
        <f t="shared" si="574"/>
        <v>Ação de fechar</v>
      </c>
      <c r="Z987" s="62" t="s">
        <v>3313</v>
      </c>
      <c r="AA987" s="18" t="str">
        <f t="shared" si="581"/>
        <v>categoria.revit</v>
      </c>
      <c r="AB987" s="19" t="s">
        <v>3261</v>
      </c>
      <c r="AC987" s="18" t="str">
        <f t="shared" si="582"/>
        <v>classe.ifc</v>
      </c>
      <c r="AD987" s="19" t="s">
        <v>3262</v>
      </c>
      <c r="AE987" s="18" t="str">
        <f t="shared" si="583"/>
        <v>null</v>
      </c>
      <c r="AF987" s="75" t="s">
        <v>0</v>
      </c>
      <c r="AG987" s="38" t="s">
        <v>8192</v>
      </c>
    </row>
    <row r="988" spans="1:33" ht="6" customHeight="1" x14ac:dyDescent="0.4">
      <c r="A988" s="4">
        <f>ROW()</f>
        <v>988</v>
      </c>
      <c r="B988" s="9" t="s">
        <v>27</v>
      </c>
      <c r="C988" s="44" t="str">
        <f t="shared" si="553"/>
        <v>p.fechar</v>
      </c>
      <c r="D988" s="6" t="str">
        <f t="shared" si="585"/>
        <v>é.trava.de.segurança</v>
      </c>
      <c r="E988" s="8" t="s">
        <v>28</v>
      </c>
      <c r="F988" s="34" t="str">
        <f t="shared" si="584"/>
        <v>d.fechar</v>
      </c>
      <c r="G988" s="16" t="s">
        <v>3224</v>
      </c>
      <c r="H988" s="33" t="s">
        <v>1581</v>
      </c>
      <c r="I988" s="92" t="str">
        <f t="shared" si="578"/>
        <v>null</v>
      </c>
      <c r="J988" s="80" t="s">
        <v>0</v>
      </c>
      <c r="K988" s="82" t="s">
        <v>0</v>
      </c>
      <c r="L988" s="82" t="s">
        <v>0</v>
      </c>
      <c r="M988" s="82" t="s">
        <v>0</v>
      </c>
      <c r="N988" s="82" t="s">
        <v>0</v>
      </c>
      <c r="O988" s="82" t="s">
        <v>0</v>
      </c>
      <c r="P988" s="82" t="s">
        <v>0</v>
      </c>
      <c r="Q988" s="82" t="s">
        <v>0</v>
      </c>
      <c r="R988" s="84" t="s">
        <v>0</v>
      </c>
      <c r="S988" s="10" t="s">
        <v>1</v>
      </c>
      <c r="T988" s="10" t="s">
        <v>10221</v>
      </c>
      <c r="U988" s="5" t="str">
        <f t="shared" si="579"/>
        <v>Propriedade destinada a fechar: é.trava.de.segurança</v>
      </c>
      <c r="V988" s="5" t="str">
        <f t="shared" si="580"/>
        <v>Dado para fechar:  trava.de.segurança  Deve ser formatado como (rdfs:Literal  or  xsd:string)</v>
      </c>
      <c r="W988" s="69" t="s">
        <v>3240</v>
      </c>
      <c r="X988" s="17" t="str">
        <f t="shared" si="573"/>
        <v>d.fecha.118</v>
      </c>
      <c r="Y988" s="17" t="str">
        <f t="shared" si="574"/>
        <v>Ação de fechar</v>
      </c>
      <c r="Z988" s="62" t="s">
        <v>3313</v>
      </c>
      <c r="AA988" s="18" t="str">
        <f t="shared" si="581"/>
        <v>categoria.revit</v>
      </c>
      <c r="AB988" s="19" t="s">
        <v>3261</v>
      </c>
      <c r="AC988" s="18" t="str">
        <f t="shared" si="582"/>
        <v>classe.ifc</v>
      </c>
      <c r="AD988" s="19" t="s">
        <v>3262</v>
      </c>
      <c r="AE988" s="18" t="str">
        <f t="shared" si="583"/>
        <v>null</v>
      </c>
      <c r="AF988" s="75" t="s">
        <v>0</v>
      </c>
      <c r="AG988" s="38" t="s">
        <v>8192</v>
      </c>
    </row>
    <row r="989" spans="1:33" ht="6" customHeight="1" x14ac:dyDescent="0.4">
      <c r="A989" s="4">
        <f>ROW()</f>
        <v>989</v>
      </c>
      <c r="B989" s="9" t="s">
        <v>27</v>
      </c>
      <c r="C989" s="44" t="str">
        <f t="shared" si="553"/>
        <v>p.fechar</v>
      </c>
      <c r="D989" s="6" t="str">
        <f t="shared" si="585"/>
        <v>é.trinco</v>
      </c>
      <c r="E989" s="8" t="s">
        <v>28</v>
      </c>
      <c r="F989" s="34" t="str">
        <f t="shared" si="584"/>
        <v>d.fechar</v>
      </c>
      <c r="G989" s="16" t="s">
        <v>3227</v>
      </c>
      <c r="H989" s="33" t="s">
        <v>1581</v>
      </c>
      <c r="I989" s="92" t="str">
        <f t="shared" si="578"/>
        <v>null</v>
      </c>
      <c r="J989" s="80" t="s">
        <v>0</v>
      </c>
      <c r="K989" s="82" t="s">
        <v>0</v>
      </c>
      <c r="L989" s="82" t="s">
        <v>0</v>
      </c>
      <c r="M989" s="82" t="s">
        <v>0</v>
      </c>
      <c r="N989" s="82" t="s">
        <v>0</v>
      </c>
      <c r="O989" s="82" t="s">
        <v>0</v>
      </c>
      <c r="P989" s="82" t="s">
        <v>0</v>
      </c>
      <c r="Q989" s="82" t="s">
        <v>0</v>
      </c>
      <c r="R989" s="84" t="s">
        <v>0</v>
      </c>
      <c r="S989" s="10" t="s">
        <v>1</v>
      </c>
      <c r="T989" s="10" t="s">
        <v>10221</v>
      </c>
      <c r="U989" s="5" t="str">
        <f t="shared" si="579"/>
        <v>Propriedade destinada a fechar: é.trinco</v>
      </c>
      <c r="V989" s="5" t="str">
        <f t="shared" si="580"/>
        <v>Dado para fechar:  trinco  Deve ser formatado como (rdfs:Literal  or  xsd:string)</v>
      </c>
      <c r="W989" s="69" t="s">
        <v>3239</v>
      </c>
      <c r="X989" s="17" t="str">
        <f t="shared" si="573"/>
        <v>d.fecha.119</v>
      </c>
      <c r="Y989" s="17" t="str">
        <f t="shared" si="574"/>
        <v>Ação de fechar</v>
      </c>
      <c r="Z989" s="62" t="s">
        <v>3315</v>
      </c>
      <c r="AA989" s="18" t="str">
        <f t="shared" si="581"/>
        <v>categoria.revit</v>
      </c>
      <c r="AB989" s="19" t="s">
        <v>3261</v>
      </c>
      <c r="AC989" s="18" t="str">
        <f t="shared" si="582"/>
        <v>classe.ifc</v>
      </c>
      <c r="AD989" s="19" t="s">
        <v>3262</v>
      </c>
      <c r="AE989" s="18" t="str">
        <f t="shared" si="583"/>
        <v>null</v>
      </c>
      <c r="AF989" s="75" t="s">
        <v>0</v>
      </c>
      <c r="AG989" s="38" t="s">
        <v>8194</v>
      </c>
    </row>
    <row r="990" spans="1:33" ht="6" customHeight="1" x14ac:dyDescent="0.4">
      <c r="A990" s="4">
        <f>ROW()</f>
        <v>990</v>
      </c>
      <c r="B990" s="9" t="s">
        <v>27</v>
      </c>
      <c r="C990" s="43" t="str">
        <f t="shared" ref="C990:C999" si="586">SUBSTITUTE(F990,"d.","p.")</f>
        <v>p.federar</v>
      </c>
      <c r="D990" s="6" t="str">
        <f t="shared" si="585"/>
        <v>é.disciplina.de.projeto</v>
      </c>
      <c r="E990" s="8" t="s">
        <v>28</v>
      </c>
      <c r="F990" s="41" t="s">
        <v>2881</v>
      </c>
      <c r="G990" s="13" t="s">
        <v>9623</v>
      </c>
      <c r="H990" s="34" t="s">
        <v>1581</v>
      </c>
      <c r="I990" s="92" t="str">
        <f t="shared" si="578"/>
        <v>Functional</v>
      </c>
      <c r="J990" s="80" t="s">
        <v>29</v>
      </c>
      <c r="K990" s="80" t="s">
        <v>0</v>
      </c>
      <c r="L990" s="80" t="s">
        <v>0</v>
      </c>
      <c r="M990" s="80" t="s">
        <v>0</v>
      </c>
      <c r="N990" s="80" t="s">
        <v>0</v>
      </c>
      <c r="O990" s="80" t="s">
        <v>0</v>
      </c>
      <c r="P990" s="80" t="s">
        <v>0</v>
      </c>
      <c r="Q990" s="80" t="s">
        <v>0</v>
      </c>
      <c r="R990" s="84" t="s">
        <v>0</v>
      </c>
      <c r="S990" s="10" t="s">
        <v>1</v>
      </c>
      <c r="T990" s="10" t="s">
        <v>10221</v>
      </c>
      <c r="U990" s="5" t="str">
        <f t="shared" si="579"/>
        <v>Propriedade destinada a federar: é.disciplina.de.projeto</v>
      </c>
      <c r="V990" s="5" t="str">
        <f t="shared" si="580"/>
        <v>Dado para federar:  disciplina.de.projeto  Deve ser formatado como (rdfs:Literal  or  xsd:string)</v>
      </c>
      <c r="W990" s="69" t="s">
        <v>5452</v>
      </c>
      <c r="X990" s="17" t="str">
        <f t="shared" si="573"/>
        <v>d.feder.100</v>
      </c>
      <c r="Y990" s="17" t="str">
        <f t="shared" si="574"/>
        <v>Ação de federar</v>
      </c>
      <c r="Z990" s="62" t="s">
        <v>4789</v>
      </c>
      <c r="AA990" s="18" t="str">
        <f t="shared" ref="AA990:AA994" si="587">IF(AB990="null", "null", "categoria.revit")</f>
        <v>null</v>
      </c>
      <c r="AB990" s="19" t="s">
        <v>0</v>
      </c>
      <c r="AC990" s="18" t="str">
        <f t="shared" ref="AC990:AC994" si="588">IF(AD990="null", "null", "classe.ifc")</f>
        <v>null</v>
      </c>
      <c r="AD990" s="19" t="s">
        <v>0</v>
      </c>
      <c r="AE990" s="18" t="str">
        <f t="shared" si="583"/>
        <v>null</v>
      </c>
      <c r="AF990" s="75" t="s">
        <v>0</v>
      </c>
      <c r="AG990" s="38" t="s">
        <v>8195</v>
      </c>
    </row>
    <row r="991" spans="1:33" ht="6" customHeight="1" x14ac:dyDescent="0.4">
      <c r="A991" s="4">
        <f>ROW()</f>
        <v>991</v>
      </c>
      <c r="B991" s="9" t="s">
        <v>27</v>
      </c>
      <c r="C991" s="44" t="str">
        <f t="shared" si="586"/>
        <v>p.federar</v>
      </c>
      <c r="D991" s="6" t="str">
        <f t="shared" si="585"/>
        <v>é.nome.da.empresa</v>
      </c>
      <c r="E991" s="8" t="s">
        <v>28</v>
      </c>
      <c r="F991" s="34" t="str">
        <f>F990</f>
        <v>d.federar</v>
      </c>
      <c r="G991" s="13" t="s">
        <v>3028</v>
      </c>
      <c r="H991" s="34" t="s">
        <v>1581</v>
      </c>
      <c r="I991" s="92" t="str">
        <f t="shared" si="578"/>
        <v>Functional</v>
      </c>
      <c r="J991" s="80" t="s">
        <v>29</v>
      </c>
      <c r="K991" s="80" t="s">
        <v>0</v>
      </c>
      <c r="L991" s="80" t="s">
        <v>0</v>
      </c>
      <c r="M991" s="80" t="s">
        <v>0</v>
      </c>
      <c r="N991" s="80" t="s">
        <v>0</v>
      </c>
      <c r="O991" s="80" t="s">
        <v>0</v>
      </c>
      <c r="P991" s="80" t="s">
        <v>0</v>
      </c>
      <c r="Q991" s="80" t="s">
        <v>0</v>
      </c>
      <c r="R991" s="84" t="s">
        <v>0</v>
      </c>
      <c r="S991" s="10" t="s">
        <v>1</v>
      </c>
      <c r="T991" s="10" t="s">
        <v>10221</v>
      </c>
      <c r="U991" s="5" t="str">
        <f t="shared" si="579"/>
        <v>Propriedade destinada a federar: é.nome.da.empresa</v>
      </c>
      <c r="V991" s="5" t="str">
        <f t="shared" si="580"/>
        <v>Dado para federar:  nome.da.empresa  Deve ser formatado como (rdfs:Literal  or  xsd:string)</v>
      </c>
      <c r="W991" s="69" t="s">
        <v>5453</v>
      </c>
      <c r="X991" s="17" t="str">
        <f t="shared" si="573"/>
        <v>d.feder.101</v>
      </c>
      <c r="Y991" s="17" t="str">
        <f t="shared" si="574"/>
        <v>Ação de federar</v>
      </c>
      <c r="Z991" s="62" t="s">
        <v>4790</v>
      </c>
      <c r="AA991" s="18" t="str">
        <f t="shared" si="587"/>
        <v>null</v>
      </c>
      <c r="AB991" s="19" t="s">
        <v>0</v>
      </c>
      <c r="AC991" s="18" t="str">
        <f t="shared" si="588"/>
        <v>null</v>
      </c>
      <c r="AD991" s="19" t="s">
        <v>0</v>
      </c>
      <c r="AE991" s="18" t="str">
        <f t="shared" si="583"/>
        <v>null</v>
      </c>
      <c r="AF991" s="75" t="s">
        <v>0</v>
      </c>
      <c r="AG991" s="38" t="s">
        <v>8196</v>
      </c>
    </row>
    <row r="992" spans="1:33" ht="6" customHeight="1" x14ac:dyDescent="0.4">
      <c r="A992" s="4">
        <f>ROW()</f>
        <v>992</v>
      </c>
      <c r="B992" s="9" t="s">
        <v>27</v>
      </c>
      <c r="C992" s="44" t="str">
        <f t="shared" ref="C992" si="589">SUBSTITUTE(F992,"d.","p.")</f>
        <v>p.federar</v>
      </c>
      <c r="D992" s="6" t="str">
        <f t="shared" si="585"/>
        <v>é.origem.comum</v>
      </c>
      <c r="E992" s="8" t="s">
        <v>28</v>
      </c>
      <c r="F992" s="34" t="str">
        <f>F990</f>
        <v>d.federar</v>
      </c>
      <c r="G992" s="13" t="s">
        <v>2882</v>
      </c>
      <c r="H992" s="34" t="s">
        <v>35</v>
      </c>
      <c r="I992" s="92" t="str">
        <f t="shared" si="578"/>
        <v>Functional</v>
      </c>
      <c r="J992" s="80" t="s">
        <v>29</v>
      </c>
      <c r="K992" s="80" t="s">
        <v>0</v>
      </c>
      <c r="L992" s="80" t="s">
        <v>0</v>
      </c>
      <c r="M992" s="80" t="s">
        <v>0</v>
      </c>
      <c r="N992" s="80" t="s">
        <v>0</v>
      </c>
      <c r="O992" s="80" t="s">
        <v>0</v>
      </c>
      <c r="P992" s="80" t="s">
        <v>0</v>
      </c>
      <c r="Q992" s="80" t="s">
        <v>0</v>
      </c>
      <c r="R992" s="84" t="s">
        <v>0</v>
      </c>
      <c r="S992" s="10" t="s">
        <v>1</v>
      </c>
      <c r="T992" s="10" t="s">
        <v>10221</v>
      </c>
      <c r="U992" s="5" t="str">
        <f t="shared" si="579"/>
        <v>Propriedade destinada a federar: é.origem.comum</v>
      </c>
      <c r="V992" s="5" t="str">
        <f t="shared" si="580"/>
        <v>Dado para federar:  origem.comum  Deve ser formatado como (xsd:double)</v>
      </c>
      <c r="W992" s="69" t="s">
        <v>4715</v>
      </c>
      <c r="X992" s="17" t="str">
        <f t="shared" si="573"/>
        <v>d.feder.102</v>
      </c>
      <c r="Y992" s="17" t="str">
        <f t="shared" si="574"/>
        <v>Ação de federar</v>
      </c>
      <c r="Z992" s="62" t="s">
        <v>4791</v>
      </c>
      <c r="AA992" s="18" t="str">
        <f t="shared" ref="AA992" si="590">IF(AB992="null", "null", "categoria.revit")</f>
        <v>null</v>
      </c>
      <c r="AB992" s="19" t="s">
        <v>0</v>
      </c>
      <c r="AC992" s="18" t="str">
        <f t="shared" ref="AC992" si="591">IF(AD992="null", "null", "classe.ifc")</f>
        <v>null</v>
      </c>
      <c r="AD992" s="19" t="s">
        <v>0</v>
      </c>
      <c r="AE992" s="18" t="str">
        <f t="shared" si="583"/>
        <v>null</v>
      </c>
      <c r="AF992" s="75" t="s">
        <v>0</v>
      </c>
      <c r="AG992" s="38" t="s">
        <v>8197</v>
      </c>
    </row>
    <row r="993" spans="1:33" ht="6" customHeight="1" x14ac:dyDescent="0.4">
      <c r="A993" s="4">
        <f>ROW()</f>
        <v>993</v>
      </c>
      <c r="B993" s="9" t="s">
        <v>27</v>
      </c>
      <c r="C993" s="44" t="str">
        <f t="shared" si="586"/>
        <v>p.federar</v>
      </c>
      <c r="D993" s="6" t="str">
        <f t="shared" si="585"/>
        <v>é.ângulo.comum</v>
      </c>
      <c r="E993" s="8" t="s">
        <v>28</v>
      </c>
      <c r="F993" s="34" t="str">
        <f>F991</f>
        <v>d.federar</v>
      </c>
      <c r="G993" s="13" t="s">
        <v>2883</v>
      </c>
      <c r="H993" s="34" t="s">
        <v>35</v>
      </c>
      <c r="I993" s="92" t="str">
        <f t="shared" si="578"/>
        <v>Functional</v>
      </c>
      <c r="J993" s="80" t="s">
        <v>29</v>
      </c>
      <c r="K993" s="80" t="s">
        <v>0</v>
      </c>
      <c r="L993" s="80" t="s">
        <v>0</v>
      </c>
      <c r="M993" s="80" t="s">
        <v>0</v>
      </c>
      <c r="N993" s="80" t="s">
        <v>0</v>
      </c>
      <c r="O993" s="80" t="s">
        <v>0</v>
      </c>
      <c r="P993" s="80" t="s">
        <v>0</v>
      </c>
      <c r="Q993" s="80" t="s">
        <v>0</v>
      </c>
      <c r="R993" s="84" t="s">
        <v>0</v>
      </c>
      <c r="S993" s="10" t="s">
        <v>1</v>
      </c>
      <c r="T993" s="10" t="s">
        <v>10221</v>
      </c>
      <c r="U993" s="5" t="str">
        <f t="shared" si="579"/>
        <v>Propriedade destinada a federar: é.ângulo.comum</v>
      </c>
      <c r="V993" s="5" t="str">
        <f t="shared" si="580"/>
        <v>Dado para federar:  ângulo.comum  Deve ser formatado como (xsd:double)</v>
      </c>
      <c r="W993" s="69" t="s">
        <v>4716</v>
      </c>
      <c r="X993" s="17" t="str">
        <f t="shared" si="573"/>
        <v>d.feder.103</v>
      </c>
      <c r="Y993" s="17" t="str">
        <f t="shared" si="574"/>
        <v>Ação de federar</v>
      </c>
      <c r="Z993" s="62" t="s">
        <v>4792</v>
      </c>
      <c r="AA993" s="18" t="str">
        <f t="shared" si="587"/>
        <v>null</v>
      </c>
      <c r="AB993" s="19" t="s">
        <v>0</v>
      </c>
      <c r="AC993" s="18" t="str">
        <f t="shared" si="588"/>
        <v>null</v>
      </c>
      <c r="AD993" s="19" t="s">
        <v>0</v>
      </c>
      <c r="AE993" s="18" t="str">
        <f t="shared" si="583"/>
        <v>null</v>
      </c>
      <c r="AF993" s="75" t="s">
        <v>0</v>
      </c>
      <c r="AG993" s="38" t="s">
        <v>8198</v>
      </c>
    </row>
    <row r="994" spans="1:33" ht="6" customHeight="1" x14ac:dyDescent="0.4">
      <c r="A994" s="4">
        <f>ROW()</f>
        <v>994</v>
      </c>
      <c r="B994" s="9" t="s">
        <v>27</v>
      </c>
      <c r="C994" s="43" t="str">
        <f t="shared" si="586"/>
        <v>p.fiscalizar</v>
      </c>
      <c r="D994" s="6" t="str">
        <f t="shared" si="585"/>
        <v>é.fiscalizado.em</v>
      </c>
      <c r="E994" s="8" t="s">
        <v>28</v>
      </c>
      <c r="F994" s="41" t="s">
        <v>9602</v>
      </c>
      <c r="G994" s="14" t="s">
        <v>9604</v>
      </c>
      <c r="H994" s="33" t="s">
        <v>302</v>
      </c>
      <c r="I994" s="92" t="str">
        <f t="shared" si="578"/>
        <v>null</v>
      </c>
      <c r="J994" s="82" t="s">
        <v>0</v>
      </c>
      <c r="K994" s="82" t="s">
        <v>0</v>
      </c>
      <c r="L994" s="82" t="s">
        <v>0</v>
      </c>
      <c r="M994" s="82" t="s">
        <v>0</v>
      </c>
      <c r="N994" s="80" t="s">
        <v>0</v>
      </c>
      <c r="O994" s="82" t="s">
        <v>0</v>
      </c>
      <c r="P994" s="82" t="s">
        <v>0</v>
      </c>
      <c r="Q994" s="82" t="s">
        <v>0</v>
      </c>
      <c r="R994" s="84" t="s">
        <v>0</v>
      </c>
      <c r="S994" s="10" t="s">
        <v>1</v>
      </c>
      <c r="T994" s="10" t="s">
        <v>10221</v>
      </c>
      <c r="U994" s="5" t="str">
        <f t="shared" si="579"/>
        <v>Propriedade destinada a fiscalizar: é.fiscalizado.em</v>
      </c>
      <c r="V994" s="5" t="str">
        <f t="shared" si="580"/>
        <v>Dado para fiscalizar:  fiscalizado.em  Deve ser formatado como (xsd:date)</v>
      </c>
      <c r="W994" s="69" t="s">
        <v>9607</v>
      </c>
      <c r="X994" s="17" t="str">
        <f t="shared" si="573"/>
        <v>d.fisca.100</v>
      </c>
      <c r="Y994" s="17" t="str">
        <f t="shared" si="574"/>
        <v>Ação de fiscalizar</v>
      </c>
      <c r="Z994" s="62" t="s">
        <v>9613</v>
      </c>
      <c r="AA994" s="18" t="str">
        <f t="shared" si="587"/>
        <v>null</v>
      </c>
      <c r="AB994" s="19" t="s">
        <v>0</v>
      </c>
      <c r="AC994" s="18" t="str">
        <f t="shared" si="588"/>
        <v>null</v>
      </c>
      <c r="AD994" s="19" t="s">
        <v>0</v>
      </c>
      <c r="AE994" s="18" t="str">
        <f t="shared" si="583"/>
        <v>null</v>
      </c>
      <c r="AF994" s="75" t="s">
        <v>0</v>
      </c>
      <c r="AG994" s="62" t="s">
        <v>9620</v>
      </c>
    </row>
    <row r="995" spans="1:33" ht="6" customHeight="1" x14ac:dyDescent="0.4">
      <c r="A995" s="4">
        <f>ROW()</f>
        <v>995</v>
      </c>
      <c r="B995" s="9" t="s">
        <v>27</v>
      </c>
      <c r="C995" s="44" t="str">
        <f>SUBSTITUTE(F995,"d.","p.")</f>
        <v>p.fiscalizar</v>
      </c>
      <c r="D995" s="6" t="str">
        <f>_xlfn.CONCAT("é.",G995)</f>
        <v>é.objeto.fiscalizado</v>
      </c>
      <c r="E995" s="8" t="s">
        <v>28</v>
      </c>
      <c r="F995" s="34" t="str">
        <f>F994</f>
        <v>d.fiscalizar</v>
      </c>
      <c r="G995" s="14" t="s">
        <v>9611</v>
      </c>
      <c r="H995" s="33" t="s">
        <v>1581</v>
      </c>
      <c r="I995" s="92" t="str">
        <f t="shared" si="578"/>
        <v>null</v>
      </c>
      <c r="J995" s="82" t="s">
        <v>0</v>
      </c>
      <c r="K995" s="82" t="s">
        <v>0</v>
      </c>
      <c r="L995" s="82" t="s">
        <v>0</v>
      </c>
      <c r="M995" s="82" t="s">
        <v>0</v>
      </c>
      <c r="N995" s="80" t="s">
        <v>0</v>
      </c>
      <c r="O995" s="82" t="s">
        <v>0</v>
      </c>
      <c r="P995" s="82" t="s">
        <v>0</v>
      </c>
      <c r="Q995" s="82" t="s">
        <v>0</v>
      </c>
      <c r="R995" s="84" t="s">
        <v>0</v>
      </c>
      <c r="S995" s="10" t="s">
        <v>1</v>
      </c>
      <c r="T995" s="10" t="s">
        <v>10221</v>
      </c>
      <c r="U995" s="5" t="str">
        <f>_xlfn.CONCAT("Propriedade destinada a ",MID(C995,FIND("p.",C995,1)+2,100),": ",D995)</f>
        <v>Propriedade destinada a fiscalizar: é.objeto.fiscalizado</v>
      </c>
      <c r="V995" s="5" t="str">
        <f>_xlfn.CONCAT("Dado para ",MID(F995,FIND("d.",F995,1)+2,100),":  ",G995, "  Deve ser formatado como (",H995, ")")</f>
        <v>Dado para fiscalizar:  objeto.fiscalizado  Deve ser formatado como (rdfs:Literal  or  xsd:string)</v>
      </c>
      <c r="W995" s="69" t="s">
        <v>9612</v>
      </c>
      <c r="X995" s="17" t="str">
        <f t="shared" si="573"/>
        <v>d.fisca.101</v>
      </c>
      <c r="Y995" s="17" t="str">
        <f t="shared" si="574"/>
        <v>Ação de fiscalizar</v>
      </c>
      <c r="Z995" s="62" t="s">
        <v>9617</v>
      </c>
      <c r="AA995" s="18" t="str">
        <f>IF(AB995="null", "null", "categoria.revit")</f>
        <v>null</v>
      </c>
      <c r="AB995" s="19" t="s">
        <v>0</v>
      </c>
      <c r="AC995" s="18" t="str">
        <f>IF(AD995="null", "null", "classe.ifc")</f>
        <v>null</v>
      </c>
      <c r="AD995" s="19" t="s">
        <v>0</v>
      </c>
      <c r="AE995" s="18" t="str">
        <f>IF(AF995="null", "null", "propriedade")</f>
        <v>null</v>
      </c>
      <c r="AF995" s="75" t="s">
        <v>0</v>
      </c>
      <c r="AG995" s="62" t="s">
        <v>9619</v>
      </c>
    </row>
    <row r="996" spans="1:33" ht="6" customHeight="1" x14ac:dyDescent="0.4">
      <c r="A996" s="4">
        <f>ROW()</f>
        <v>996</v>
      </c>
      <c r="B996" s="9" t="s">
        <v>27</v>
      </c>
      <c r="C996" s="44" t="str">
        <f>SUBSTITUTE(F996,"d.","p.")</f>
        <v>p.fiscalizar</v>
      </c>
      <c r="D996" s="6" t="str">
        <f>_xlfn.CONCAT("é.",G996)</f>
        <v>é.órgão.fiscalizador</v>
      </c>
      <c r="E996" s="8" t="s">
        <v>28</v>
      </c>
      <c r="F996" s="34" t="str">
        <f>F995</f>
        <v>d.fiscalizar</v>
      </c>
      <c r="G996" s="14" t="s">
        <v>9605</v>
      </c>
      <c r="H996" s="33" t="s">
        <v>1581</v>
      </c>
      <c r="I996" s="92" t="str">
        <f t="shared" si="578"/>
        <v>null</v>
      </c>
      <c r="J996" s="82" t="s">
        <v>0</v>
      </c>
      <c r="K996" s="82" t="s">
        <v>0</v>
      </c>
      <c r="L996" s="82" t="s">
        <v>0</v>
      </c>
      <c r="M996" s="82" t="s">
        <v>0</v>
      </c>
      <c r="N996" s="80" t="s">
        <v>0</v>
      </c>
      <c r="O996" s="82" t="s">
        <v>0</v>
      </c>
      <c r="P996" s="82" t="s">
        <v>0</v>
      </c>
      <c r="Q996" s="82" t="s">
        <v>0</v>
      </c>
      <c r="R996" s="84" t="s">
        <v>0</v>
      </c>
      <c r="S996" s="10" t="s">
        <v>1</v>
      </c>
      <c r="T996" s="10" t="s">
        <v>10221</v>
      </c>
      <c r="U996" s="5" t="str">
        <f>_xlfn.CONCAT("Propriedade destinada a ",MID(C996,FIND("p.",C996,1)+2,100),": ",D996)</f>
        <v>Propriedade destinada a fiscalizar: é.órgão.fiscalizador</v>
      </c>
      <c r="V996" s="5" t="str">
        <f>_xlfn.CONCAT("Dado para ",MID(F996,FIND("d.",F996,1)+2,100),":  ",G996, "  Deve ser formatado como (",H996, ")")</f>
        <v>Dado para fiscalizar:  órgão.fiscalizador  Deve ser formatado como (rdfs:Literal  or  xsd:string)</v>
      </c>
      <c r="W996" s="69" t="s">
        <v>9608</v>
      </c>
      <c r="X996" s="17" t="str">
        <f t="shared" si="573"/>
        <v>d.fisca.102</v>
      </c>
      <c r="Y996" s="17" t="str">
        <f t="shared" si="574"/>
        <v>Ação de fiscalizar</v>
      </c>
      <c r="Z996" s="62" t="s">
        <v>9614</v>
      </c>
      <c r="AA996" s="18" t="str">
        <f>IF(AB996="null", "null", "categoria.revit")</f>
        <v>null</v>
      </c>
      <c r="AB996" s="19" t="s">
        <v>0</v>
      </c>
      <c r="AC996" s="18" t="str">
        <f>IF(AD996="null", "null", "classe.ifc")</f>
        <v>null</v>
      </c>
      <c r="AD996" s="19" t="s">
        <v>0</v>
      </c>
      <c r="AE996" s="18" t="str">
        <f>IF(AF996="null", "null", "propriedade")</f>
        <v>null</v>
      </c>
      <c r="AF996" s="75" t="s">
        <v>0</v>
      </c>
      <c r="AG996" s="62" t="s">
        <v>9621</v>
      </c>
    </row>
    <row r="997" spans="1:33" ht="6" customHeight="1" x14ac:dyDescent="0.4">
      <c r="A997" s="4">
        <f>ROW()</f>
        <v>997</v>
      </c>
      <c r="B997" s="9" t="s">
        <v>27</v>
      </c>
      <c r="C997" s="44" t="str">
        <f>SUBSTITUTE(F997,"d.","p.")</f>
        <v>p.fiscalizar</v>
      </c>
      <c r="D997" s="6" t="str">
        <f>_xlfn.CONCAT("é.",G997)</f>
        <v>é.quem.auditou</v>
      </c>
      <c r="E997" s="8" t="s">
        <v>28</v>
      </c>
      <c r="F997" s="34" t="str">
        <f>F996</f>
        <v>d.fiscalizar</v>
      </c>
      <c r="G997" s="14" t="s">
        <v>9606</v>
      </c>
      <c r="H997" s="33" t="s">
        <v>1581</v>
      </c>
      <c r="I997" s="92" t="str">
        <f t="shared" si="578"/>
        <v>null</v>
      </c>
      <c r="J997" s="82" t="s">
        <v>0</v>
      </c>
      <c r="K997" s="82" t="s">
        <v>0</v>
      </c>
      <c r="L997" s="82" t="s">
        <v>0</v>
      </c>
      <c r="M997" s="82" t="s">
        <v>0</v>
      </c>
      <c r="N997" s="80" t="s">
        <v>0</v>
      </c>
      <c r="O997" s="82" t="s">
        <v>0</v>
      </c>
      <c r="P997" s="82" t="s">
        <v>0</v>
      </c>
      <c r="Q997" s="82" t="s">
        <v>0</v>
      </c>
      <c r="R997" s="84" t="s">
        <v>0</v>
      </c>
      <c r="S997" s="10" t="s">
        <v>1</v>
      </c>
      <c r="T997" s="10" t="s">
        <v>10221</v>
      </c>
      <c r="U997" s="5" t="str">
        <f>_xlfn.CONCAT("Propriedade destinada a ",MID(C997,FIND("p.",C997,1)+2,100),": ",D997)</f>
        <v>Propriedade destinada a fiscalizar: é.quem.auditou</v>
      </c>
      <c r="V997" s="5" t="str">
        <f>_xlfn.CONCAT("Dado para ",MID(F997,FIND("d.",F997,1)+2,100),":  ",G997, "  Deve ser formatado como (",H997, ")")</f>
        <v>Dado para fiscalizar:  quem.auditou  Deve ser formatado como (rdfs:Literal  or  xsd:string)</v>
      </c>
      <c r="W997" s="69" t="s">
        <v>9609</v>
      </c>
      <c r="X997" s="17" t="str">
        <f t="shared" si="573"/>
        <v>d.fisca.103</v>
      </c>
      <c r="Y997" s="17" t="str">
        <f t="shared" si="574"/>
        <v>Ação de fiscalizar</v>
      </c>
      <c r="Z997" s="62" t="s">
        <v>9615</v>
      </c>
      <c r="AA997" s="18" t="str">
        <f>IF(AB997="null", "null", "categoria.revit")</f>
        <v>null</v>
      </c>
      <c r="AB997" s="19" t="s">
        <v>0</v>
      </c>
      <c r="AC997" s="18" t="str">
        <f>IF(AD997="null", "null", "classe.ifc")</f>
        <v>null</v>
      </c>
      <c r="AD997" s="19" t="s">
        <v>0</v>
      </c>
      <c r="AE997" s="18" t="str">
        <f>IF(AF997="null", "null", "propriedade")</f>
        <v>null</v>
      </c>
      <c r="AF997" s="75" t="s">
        <v>0</v>
      </c>
      <c r="AG997" s="62" t="s">
        <v>9622</v>
      </c>
    </row>
    <row r="998" spans="1:33" ht="6" customHeight="1" x14ac:dyDescent="0.4">
      <c r="A998" s="4">
        <f>ROW()</f>
        <v>998</v>
      </c>
      <c r="B998" s="9" t="s">
        <v>27</v>
      </c>
      <c r="C998" s="44" t="str">
        <f>SUBSTITUTE(F998,"d.","p.")</f>
        <v>p.fiscalizar</v>
      </c>
      <c r="D998" s="6" t="str">
        <f>_xlfn.CONCAT("é.",G998)</f>
        <v>é.quem.fiscalizou</v>
      </c>
      <c r="E998" s="8" t="s">
        <v>28</v>
      </c>
      <c r="F998" s="34" t="str">
        <f>F997</f>
        <v>d.fiscalizar</v>
      </c>
      <c r="G998" s="14" t="s">
        <v>9603</v>
      </c>
      <c r="H998" s="33" t="s">
        <v>1581</v>
      </c>
      <c r="I998" s="92" t="str">
        <f t="shared" si="578"/>
        <v>null</v>
      </c>
      <c r="J998" s="82" t="s">
        <v>0</v>
      </c>
      <c r="K998" s="82" t="s">
        <v>0</v>
      </c>
      <c r="L998" s="82" t="s">
        <v>0</v>
      </c>
      <c r="M998" s="82" t="s">
        <v>0</v>
      </c>
      <c r="N998" s="80" t="s">
        <v>0</v>
      </c>
      <c r="O998" s="82" t="s">
        <v>0</v>
      </c>
      <c r="P998" s="82" t="s">
        <v>0</v>
      </c>
      <c r="Q998" s="82" t="s">
        <v>0</v>
      </c>
      <c r="R998" s="84" t="s">
        <v>0</v>
      </c>
      <c r="S998" s="10" t="s">
        <v>1</v>
      </c>
      <c r="T998" s="10" t="s">
        <v>10221</v>
      </c>
      <c r="U998" s="5" t="str">
        <f>_xlfn.CONCAT("Propriedade destinada a ",MID(C998,FIND("p.",C998,1)+2,100),": ",D998)</f>
        <v>Propriedade destinada a fiscalizar: é.quem.fiscalizou</v>
      </c>
      <c r="V998" s="5" t="str">
        <f>_xlfn.CONCAT("Dado para ",MID(F998,FIND("d.",F998,1)+2,100),":  ",G998, "  Deve ser formatado como (",H998, ")")</f>
        <v>Dado para fiscalizar:  quem.fiscalizou  Deve ser formatado como (rdfs:Literal  or  xsd:string)</v>
      </c>
      <c r="W998" s="69" t="s">
        <v>9610</v>
      </c>
      <c r="X998" s="17" t="str">
        <f t="shared" si="573"/>
        <v>d.fisca.104</v>
      </c>
      <c r="Y998" s="17" t="str">
        <f t="shared" si="574"/>
        <v>Ação de fiscalizar</v>
      </c>
      <c r="Z998" s="62" t="s">
        <v>9616</v>
      </c>
      <c r="AA998" s="18" t="str">
        <f>IF(AB998="null", "null", "categoria.revit")</f>
        <v>null</v>
      </c>
      <c r="AB998" s="19" t="s">
        <v>0</v>
      </c>
      <c r="AC998" s="18" t="str">
        <f>IF(AD998="null", "null", "classe.ifc")</f>
        <v>null</v>
      </c>
      <c r="AD998" s="19" t="s">
        <v>0</v>
      </c>
      <c r="AE998" s="18" t="str">
        <f>IF(AF998="null", "null", "propriedade")</f>
        <v>null</v>
      </c>
      <c r="AF998" s="75" t="s">
        <v>0</v>
      </c>
      <c r="AG998" s="62" t="s">
        <v>9618</v>
      </c>
    </row>
    <row r="999" spans="1:33" ht="6" customHeight="1" x14ac:dyDescent="0.4">
      <c r="A999" s="4">
        <f>ROW()</f>
        <v>999</v>
      </c>
      <c r="B999" s="9" t="s">
        <v>27</v>
      </c>
      <c r="C999" s="43" t="str">
        <f t="shared" si="586"/>
        <v>p.fluir</v>
      </c>
      <c r="D999" s="6" t="str">
        <f t="shared" ref="D999:D1004" si="592">_xlfn.CONCAT("é.",G999)</f>
        <v>é.compressibilidade</v>
      </c>
      <c r="E999" s="8" t="s">
        <v>28</v>
      </c>
      <c r="F999" s="41" t="s">
        <v>1110</v>
      </c>
      <c r="G999" s="13" t="s">
        <v>1113</v>
      </c>
      <c r="H999" s="34" t="s">
        <v>35</v>
      </c>
      <c r="I999" s="92" t="str">
        <f t="shared" si="578"/>
        <v>null</v>
      </c>
      <c r="J999" s="80" t="s">
        <v>0</v>
      </c>
      <c r="K999" s="80" t="s">
        <v>0</v>
      </c>
      <c r="L999" s="80" t="s">
        <v>0</v>
      </c>
      <c r="M999" s="80" t="s">
        <v>0</v>
      </c>
      <c r="N999" s="80" t="s">
        <v>0</v>
      </c>
      <c r="O999" s="80" t="s">
        <v>0</v>
      </c>
      <c r="P999" s="80" t="s">
        <v>0</v>
      </c>
      <c r="Q999" s="80" t="s">
        <v>0</v>
      </c>
      <c r="R999" s="84" t="s">
        <v>0</v>
      </c>
      <c r="S999" s="10" t="s">
        <v>1</v>
      </c>
      <c r="T999" s="10" t="s">
        <v>10221</v>
      </c>
      <c r="U999" s="5" t="str">
        <f t="shared" ref="U999:U1004" si="593">_xlfn.CONCAT("Propriedade destinada a ",MID(C999,FIND("p.",C999,1)+2,100),": ",D999)</f>
        <v>Propriedade destinada a fluir: é.compressibilidade</v>
      </c>
      <c r="V999" s="5" t="str">
        <f t="shared" ref="V999:V1004" si="594">_xlfn.CONCAT("Dado para ",MID(F999,FIND("d.",F999,1)+2,100),":  ",G999, "  Deve ser formatado como (",H999, ")")</f>
        <v>Dado para fluir:  compressibilidade  Deve ser formatado como (xsd:double)</v>
      </c>
      <c r="W999" s="69" t="s">
        <v>5458</v>
      </c>
      <c r="X999" s="17" t="str">
        <f t="shared" si="573"/>
        <v>d.fluir.100</v>
      </c>
      <c r="Y999" s="17" t="str">
        <f t="shared" si="574"/>
        <v>Ação de fluir</v>
      </c>
      <c r="Z999" s="62" t="s">
        <v>1331</v>
      </c>
      <c r="AA999" s="18" t="str">
        <f t="shared" ref="AA999:AA1004" si="595">IF(AB999="null", "null", "categoria.revit")</f>
        <v>null</v>
      </c>
      <c r="AB999" s="19" t="s">
        <v>0</v>
      </c>
      <c r="AC999" s="18" t="str">
        <f t="shared" ref="AC999:AC1004" si="596">IF(AD999="null", "null", "classe.ifc")</f>
        <v>null</v>
      </c>
      <c r="AD999" s="19" t="s">
        <v>0</v>
      </c>
      <c r="AE999" s="18" t="str">
        <f t="shared" ref="AE999:AE1004" si="597">IF(AF999="null", "null", "propriedade")</f>
        <v>null</v>
      </c>
      <c r="AF999" s="75" t="s">
        <v>0</v>
      </c>
      <c r="AG999" s="38" t="s">
        <v>8199</v>
      </c>
    </row>
    <row r="1000" spans="1:33" ht="6" customHeight="1" x14ac:dyDescent="0.4">
      <c r="A1000" s="4">
        <f>ROW()</f>
        <v>1000</v>
      </c>
      <c r="B1000" s="9" t="s">
        <v>27</v>
      </c>
      <c r="C1000" s="44" t="str">
        <f>SUBSTITUTE(F1000,"d.","p.")</f>
        <v>p.fluir</v>
      </c>
      <c r="D1000" s="6" t="str">
        <f t="shared" si="592"/>
        <v>é.escoamento.laminar</v>
      </c>
      <c r="E1000" s="8" t="s">
        <v>28</v>
      </c>
      <c r="F1000" s="34" t="str">
        <f>F999</f>
        <v>d.fluir</v>
      </c>
      <c r="G1000" s="13" t="s">
        <v>1112</v>
      </c>
      <c r="H1000" s="34" t="s">
        <v>35</v>
      </c>
      <c r="I1000" s="92" t="str">
        <f t="shared" si="578"/>
        <v>null</v>
      </c>
      <c r="J1000" s="80" t="s">
        <v>0</v>
      </c>
      <c r="K1000" s="80" t="s">
        <v>0</v>
      </c>
      <c r="L1000" s="80" t="s">
        <v>0</v>
      </c>
      <c r="M1000" s="80" t="s">
        <v>0</v>
      </c>
      <c r="N1000" s="80" t="s">
        <v>0</v>
      </c>
      <c r="O1000" s="80" t="s">
        <v>0</v>
      </c>
      <c r="P1000" s="80" t="s">
        <v>0</v>
      </c>
      <c r="Q1000" s="80" t="s">
        <v>0</v>
      </c>
      <c r="R1000" s="84" t="s">
        <v>0</v>
      </c>
      <c r="S1000" s="10" t="s">
        <v>1</v>
      </c>
      <c r="T1000" s="10" t="s">
        <v>10221</v>
      </c>
      <c r="U1000" s="5" t="str">
        <f t="shared" si="593"/>
        <v>Propriedade destinada a fluir: é.escoamento.laminar</v>
      </c>
      <c r="V1000" s="5" t="str">
        <f t="shared" si="594"/>
        <v>Dado para fluir:  escoamento.laminar  Deve ser formatado como (xsd:double)</v>
      </c>
      <c r="W1000" s="69" t="s">
        <v>5455</v>
      </c>
      <c r="X1000" s="17" t="str">
        <f t="shared" si="573"/>
        <v>d.fluir.101</v>
      </c>
      <c r="Y1000" s="17" t="str">
        <f t="shared" si="574"/>
        <v>Ação de fluir</v>
      </c>
      <c r="Z1000" s="62" t="s">
        <v>2786</v>
      </c>
      <c r="AA1000" s="18" t="str">
        <f t="shared" si="595"/>
        <v>categoria.revit</v>
      </c>
      <c r="AB1000" s="19" t="s">
        <v>2131</v>
      </c>
      <c r="AC1000" s="18" t="str">
        <f t="shared" si="596"/>
        <v>classe.ifc</v>
      </c>
      <c r="AD1000" s="19" t="s">
        <v>2082</v>
      </c>
      <c r="AE1000" s="18" t="str">
        <f t="shared" si="597"/>
        <v>null</v>
      </c>
      <c r="AF1000" s="75" t="s">
        <v>0</v>
      </c>
      <c r="AG1000" s="38" t="s">
        <v>8200</v>
      </c>
    </row>
    <row r="1001" spans="1:33" ht="6" customHeight="1" x14ac:dyDescent="0.4">
      <c r="A1001" s="4">
        <f>ROW()</f>
        <v>1001</v>
      </c>
      <c r="B1001" s="9" t="s">
        <v>27</v>
      </c>
      <c r="C1001" s="44" t="str">
        <f t="shared" ref="C1001:C1006" si="598">SUBSTITUTE(F1001,"d.","p.")</f>
        <v>p.fluir</v>
      </c>
      <c r="D1001" s="6" t="str">
        <f t="shared" si="592"/>
        <v>é.escoamento.turbulento</v>
      </c>
      <c r="E1001" s="8" t="s">
        <v>28</v>
      </c>
      <c r="F1001" s="34" t="str">
        <f t="shared" ref="F1001:F1006" si="599">F1000</f>
        <v>d.fluir</v>
      </c>
      <c r="G1001" s="13" t="s">
        <v>1569</v>
      </c>
      <c r="H1001" s="34" t="s">
        <v>35</v>
      </c>
      <c r="I1001" s="92" t="str">
        <f t="shared" si="578"/>
        <v>null</v>
      </c>
      <c r="J1001" s="80" t="s">
        <v>0</v>
      </c>
      <c r="K1001" s="80" t="s">
        <v>0</v>
      </c>
      <c r="L1001" s="80" t="s">
        <v>0</v>
      </c>
      <c r="M1001" s="80" t="s">
        <v>0</v>
      </c>
      <c r="N1001" s="80" t="s">
        <v>0</v>
      </c>
      <c r="O1001" s="80" t="s">
        <v>0</v>
      </c>
      <c r="P1001" s="80" t="s">
        <v>0</v>
      </c>
      <c r="Q1001" s="80" t="s">
        <v>0</v>
      </c>
      <c r="R1001" s="84" t="s">
        <v>0</v>
      </c>
      <c r="S1001" s="10" t="s">
        <v>1</v>
      </c>
      <c r="T1001" s="10" t="s">
        <v>10221</v>
      </c>
      <c r="U1001" s="5" t="str">
        <f t="shared" si="593"/>
        <v>Propriedade destinada a fluir: é.escoamento.turbulento</v>
      </c>
      <c r="V1001" s="5" t="str">
        <f t="shared" si="594"/>
        <v>Dado para fluir:  escoamento.turbulento  Deve ser formatado como (xsd:double)</v>
      </c>
      <c r="W1001" s="69" t="s">
        <v>5456</v>
      </c>
      <c r="X1001" s="17" t="str">
        <f t="shared" si="573"/>
        <v>d.fluir.102</v>
      </c>
      <c r="Y1001" s="17" t="str">
        <f t="shared" si="574"/>
        <v>Ação de fluir</v>
      </c>
      <c r="Z1001" s="62" t="s">
        <v>2787</v>
      </c>
      <c r="AA1001" s="18" t="str">
        <f t="shared" si="595"/>
        <v>null</v>
      </c>
      <c r="AB1001" s="19" t="s">
        <v>0</v>
      </c>
      <c r="AC1001" s="18" t="str">
        <f t="shared" si="596"/>
        <v>null</v>
      </c>
      <c r="AD1001" s="19" t="s">
        <v>0</v>
      </c>
      <c r="AE1001" s="18" t="str">
        <f t="shared" si="597"/>
        <v>null</v>
      </c>
      <c r="AF1001" s="75" t="s">
        <v>0</v>
      </c>
      <c r="AG1001" s="38" t="s">
        <v>8201</v>
      </c>
    </row>
    <row r="1002" spans="1:33" ht="6" customHeight="1" x14ac:dyDescent="0.4">
      <c r="A1002" s="4">
        <f>ROW()</f>
        <v>1002</v>
      </c>
      <c r="B1002" s="9" t="s">
        <v>27</v>
      </c>
      <c r="C1002" s="44" t="str">
        <f t="shared" si="598"/>
        <v>p.fluir</v>
      </c>
      <c r="D1002" s="6" t="str">
        <f t="shared" si="592"/>
        <v>é.pressão</v>
      </c>
      <c r="E1002" s="8" t="s">
        <v>28</v>
      </c>
      <c r="F1002" s="34" t="str">
        <f t="shared" si="599"/>
        <v>d.fluir</v>
      </c>
      <c r="G1002" s="13" t="s">
        <v>1115</v>
      </c>
      <c r="H1002" s="34" t="s">
        <v>35</v>
      </c>
      <c r="I1002" s="92" t="str">
        <f t="shared" si="578"/>
        <v>null</v>
      </c>
      <c r="J1002" s="80" t="s">
        <v>0</v>
      </c>
      <c r="K1002" s="80" t="s">
        <v>0</v>
      </c>
      <c r="L1002" s="80" t="s">
        <v>0</v>
      </c>
      <c r="M1002" s="80" t="s">
        <v>0</v>
      </c>
      <c r="N1002" s="80" t="s">
        <v>0</v>
      </c>
      <c r="O1002" s="80" t="s">
        <v>0</v>
      </c>
      <c r="P1002" s="80" t="s">
        <v>0</v>
      </c>
      <c r="Q1002" s="80" t="s">
        <v>0</v>
      </c>
      <c r="R1002" s="84" t="s">
        <v>0</v>
      </c>
      <c r="S1002" s="10" t="s">
        <v>1</v>
      </c>
      <c r="T1002" s="10" t="s">
        <v>10221</v>
      </c>
      <c r="U1002" s="5" t="str">
        <f t="shared" si="593"/>
        <v>Propriedade destinada a fluir: é.pressão</v>
      </c>
      <c r="V1002" s="5" t="str">
        <f t="shared" si="594"/>
        <v>Dado para fluir:  pressão  Deve ser formatado como (xsd:double)</v>
      </c>
      <c r="W1002" s="69" t="s">
        <v>5460</v>
      </c>
      <c r="X1002" s="17" t="str">
        <f t="shared" si="573"/>
        <v>d.fluir.103</v>
      </c>
      <c r="Y1002" s="17" t="str">
        <f t="shared" si="574"/>
        <v>Ação de fluir</v>
      </c>
      <c r="Z1002" s="62" t="s">
        <v>2790</v>
      </c>
      <c r="AA1002" s="18" t="str">
        <f t="shared" si="595"/>
        <v>null</v>
      </c>
      <c r="AB1002" s="19" t="s">
        <v>0</v>
      </c>
      <c r="AC1002" s="18" t="str">
        <f t="shared" si="596"/>
        <v>null</v>
      </c>
      <c r="AD1002" s="19" t="s">
        <v>0</v>
      </c>
      <c r="AE1002" s="18" t="str">
        <f t="shared" si="597"/>
        <v>null</v>
      </c>
      <c r="AF1002" s="75" t="s">
        <v>0</v>
      </c>
      <c r="AG1002" s="38" t="s">
        <v>8202</v>
      </c>
    </row>
    <row r="1003" spans="1:33" ht="6" customHeight="1" x14ac:dyDescent="0.4">
      <c r="A1003" s="4">
        <f>ROW()</f>
        <v>1003</v>
      </c>
      <c r="B1003" s="9" t="s">
        <v>27</v>
      </c>
      <c r="C1003" s="44" t="str">
        <f t="shared" si="598"/>
        <v>p.fluir</v>
      </c>
      <c r="D1003" s="6" t="str">
        <f t="shared" si="592"/>
        <v>é.tensão.de.cisalhamento</v>
      </c>
      <c r="E1003" s="8" t="s">
        <v>28</v>
      </c>
      <c r="F1003" s="34" t="str">
        <f t="shared" si="599"/>
        <v>d.fluir</v>
      </c>
      <c r="G1003" s="13" t="s">
        <v>1114</v>
      </c>
      <c r="H1003" s="34" t="s">
        <v>35</v>
      </c>
      <c r="I1003" s="92" t="str">
        <f t="shared" si="578"/>
        <v>null</v>
      </c>
      <c r="J1003" s="80" t="s">
        <v>0</v>
      </c>
      <c r="K1003" s="80" t="s">
        <v>0</v>
      </c>
      <c r="L1003" s="80" t="s">
        <v>0</v>
      </c>
      <c r="M1003" s="80" t="s">
        <v>0</v>
      </c>
      <c r="N1003" s="80" t="s">
        <v>0</v>
      </c>
      <c r="O1003" s="80" t="s">
        <v>0</v>
      </c>
      <c r="P1003" s="80" t="s">
        <v>0</v>
      </c>
      <c r="Q1003" s="80" t="s">
        <v>0</v>
      </c>
      <c r="R1003" s="84" t="s">
        <v>0</v>
      </c>
      <c r="S1003" s="10" t="s">
        <v>1</v>
      </c>
      <c r="T1003" s="10" t="s">
        <v>10221</v>
      </c>
      <c r="U1003" s="5" t="str">
        <f t="shared" si="593"/>
        <v>Propriedade destinada a fluir: é.tensão.de.cisalhamento</v>
      </c>
      <c r="V1003" s="5" t="str">
        <f t="shared" si="594"/>
        <v>Dado para fluir:  tensão.de.cisalhamento  Deve ser formatado como (xsd:double)</v>
      </c>
      <c r="W1003" s="69" t="s">
        <v>5459</v>
      </c>
      <c r="X1003" s="17" t="str">
        <f t="shared" si="573"/>
        <v>d.fluir.104</v>
      </c>
      <c r="Y1003" s="17" t="str">
        <f t="shared" si="574"/>
        <v>Ação de fluir</v>
      </c>
      <c r="Z1003" s="62" t="s">
        <v>2789</v>
      </c>
      <c r="AA1003" s="18" t="str">
        <f t="shared" si="595"/>
        <v>null</v>
      </c>
      <c r="AB1003" s="19" t="s">
        <v>0</v>
      </c>
      <c r="AC1003" s="18" t="str">
        <f t="shared" si="596"/>
        <v>null</v>
      </c>
      <c r="AD1003" s="19" t="s">
        <v>0</v>
      </c>
      <c r="AE1003" s="18" t="str">
        <f t="shared" si="597"/>
        <v>null</v>
      </c>
      <c r="AF1003" s="75" t="s">
        <v>0</v>
      </c>
      <c r="AG1003" s="38" t="s">
        <v>8203</v>
      </c>
    </row>
    <row r="1004" spans="1:33" ht="6" customHeight="1" x14ac:dyDescent="0.4">
      <c r="A1004" s="4">
        <f>ROW()</f>
        <v>1004</v>
      </c>
      <c r="B1004" s="9" t="s">
        <v>27</v>
      </c>
      <c r="C1004" s="44" t="str">
        <f t="shared" si="598"/>
        <v>p.fluir</v>
      </c>
      <c r="D1004" s="6" t="str">
        <f t="shared" si="592"/>
        <v>é.vetor.de.velocidade</v>
      </c>
      <c r="E1004" s="8" t="s">
        <v>28</v>
      </c>
      <c r="F1004" s="34" t="str">
        <f t="shared" si="599"/>
        <v>d.fluir</v>
      </c>
      <c r="G1004" s="13" t="s">
        <v>1899</v>
      </c>
      <c r="H1004" s="34" t="s">
        <v>35</v>
      </c>
      <c r="I1004" s="92" t="str">
        <f t="shared" si="578"/>
        <v>null</v>
      </c>
      <c r="J1004" s="80" t="s">
        <v>0</v>
      </c>
      <c r="K1004" s="80" t="s">
        <v>0</v>
      </c>
      <c r="L1004" s="80" t="s">
        <v>0</v>
      </c>
      <c r="M1004" s="80" t="s">
        <v>0</v>
      </c>
      <c r="N1004" s="80" t="s">
        <v>0</v>
      </c>
      <c r="O1004" s="80" t="s">
        <v>0</v>
      </c>
      <c r="P1004" s="80" t="s">
        <v>0</v>
      </c>
      <c r="Q1004" s="80" t="s">
        <v>0</v>
      </c>
      <c r="R1004" s="84" t="s">
        <v>0</v>
      </c>
      <c r="S1004" s="10" t="s">
        <v>1</v>
      </c>
      <c r="T1004" s="10" t="s">
        <v>10221</v>
      </c>
      <c r="U1004" s="5" t="str">
        <f t="shared" si="593"/>
        <v>Propriedade destinada a fluir: é.vetor.de.velocidade</v>
      </c>
      <c r="V1004" s="5" t="str">
        <f t="shared" si="594"/>
        <v>Dado para fluir:  vetor.de.velocidade  Deve ser formatado como (xsd:double)</v>
      </c>
      <c r="W1004" s="69" t="s">
        <v>5457</v>
      </c>
      <c r="X1004" s="17" t="str">
        <f t="shared" si="573"/>
        <v>d.fluir.105</v>
      </c>
      <c r="Y1004" s="17" t="str">
        <f t="shared" si="574"/>
        <v>Ação de fluir</v>
      </c>
      <c r="Z1004" s="62" t="s">
        <v>2788</v>
      </c>
      <c r="AA1004" s="18" t="str">
        <f t="shared" si="595"/>
        <v>null</v>
      </c>
      <c r="AB1004" s="19" t="s">
        <v>0</v>
      </c>
      <c r="AC1004" s="18" t="str">
        <f t="shared" si="596"/>
        <v>null</v>
      </c>
      <c r="AD1004" s="19" t="s">
        <v>0</v>
      </c>
      <c r="AE1004" s="18" t="str">
        <f t="shared" si="597"/>
        <v>propriedade</v>
      </c>
      <c r="AF1004" s="75" t="s">
        <v>1900</v>
      </c>
      <c r="AG1004" s="38" t="s">
        <v>8204</v>
      </c>
    </row>
    <row r="1005" spans="1:33" ht="6" customHeight="1" x14ac:dyDescent="0.4">
      <c r="A1005" s="4">
        <f>ROW()</f>
        <v>1005</v>
      </c>
      <c r="B1005" s="9" t="s">
        <v>27</v>
      </c>
      <c r="C1005" s="44" t="str">
        <f t="shared" si="598"/>
        <v>p.fluir</v>
      </c>
      <c r="D1005" s="6" t="str">
        <f t="shared" ref="D1005" si="600">_xlfn.CONCAT("é.",G1005)</f>
        <v>é.viscosidade</v>
      </c>
      <c r="E1005" s="8" t="s">
        <v>28</v>
      </c>
      <c r="F1005" s="34" t="str">
        <f t="shared" si="599"/>
        <v>d.fluir</v>
      </c>
      <c r="G1005" s="13" t="s">
        <v>1111</v>
      </c>
      <c r="H1005" s="34" t="s">
        <v>35</v>
      </c>
      <c r="I1005" s="92" t="str">
        <f t="shared" si="578"/>
        <v>null</v>
      </c>
      <c r="J1005" s="80" t="s">
        <v>0</v>
      </c>
      <c r="K1005" s="80" t="s">
        <v>0</v>
      </c>
      <c r="L1005" s="80" t="s">
        <v>0</v>
      </c>
      <c r="M1005" s="80" t="s">
        <v>0</v>
      </c>
      <c r="N1005" s="80" t="s">
        <v>0</v>
      </c>
      <c r="O1005" s="80" t="s">
        <v>0</v>
      </c>
      <c r="P1005" s="80" t="s">
        <v>0</v>
      </c>
      <c r="Q1005" s="80" t="s">
        <v>0</v>
      </c>
      <c r="R1005" s="84" t="s">
        <v>0</v>
      </c>
      <c r="S1005" s="10" t="s">
        <v>1</v>
      </c>
      <c r="T1005" s="10" t="s">
        <v>10221</v>
      </c>
      <c r="U1005" s="5" t="str">
        <f t="shared" ref="U1005" si="601">_xlfn.CONCAT("Propriedade destinada a ",MID(C1005,FIND("p.",C1005,1)+2,100),": ",D1005)</f>
        <v>Propriedade destinada a fluir: é.viscosidade</v>
      </c>
      <c r="V1005" s="5" t="str">
        <f t="shared" ref="V1005" si="602">_xlfn.CONCAT("Dado para ",MID(F1005,FIND("d.",F1005,1)+2,100),":  ",G1005, "  Deve ser formatado como (",H1005, ")")</f>
        <v>Dado para fluir:  viscosidade  Deve ser formatado como (xsd:double)</v>
      </c>
      <c r="W1005" s="69" t="s">
        <v>5454</v>
      </c>
      <c r="X1005" s="17" t="str">
        <f t="shared" si="573"/>
        <v>d.fluir.106</v>
      </c>
      <c r="Y1005" s="17" t="str">
        <f t="shared" si="574"/>
        <v>Ação de fluir</v>
      </c>
      <c r="Z1005" s="62" t="s">
        <v>2785</v>
      </c>
      <c r="AA1005" s="18" t="str">
        <f t="shared" ref="AA1005" si="603">IF(AB1005="null", "null", "categoria.revit")</f>
        <v>null</v>
      </c>
      <c r="AB1005" s="19" t="s">
        <v>0</v>
      </c>
      <c r="AC1005" s="18" t="str">
        <f t="shared" ref="AC1005" si="604">IF(AD1005="null", "null", "classe.ifc")</f>
        <v>null</v>
      </c>
      <c r="AD1005" s="19" t="s">
        <v>0</v>
      </c>
      <c r="AE1005" s="18" t="str">
        <f t="shared" ref="AE1005" si="605">IF(AF1005="null", "null", "propriedade")</f>
        <v>null</v>
      </c>
      <c r="AF1005" s="75" t="s">
        <v>0</v>
      </c>
      <c r="AG1005" s="38" t="s">
        <v>8205</v>
      </c>
    </row>
    <row r="1006" spans="1:33" ht="6" customHeight="1" x14ac:dyDescent="0.4">
      <c r="A1006" s="4">
        <f>ROW()</f>
        <v>1006</v>
      </c>
      <c r="B1006" s="9" t="s">
        <v>27</v>
      </c>
      <c r="C1006" s="44" t="str">
        <f t="shared" si="598"/>
        <v>p.fluir</v>
      </c>
      <c r="D1006" s="6" t="str">
        <f>_xlfn.CONCAT("é.",G1006)</f>
        <v>é.voltas.do.fecho</v>
      </c>
      <c r="E1006" s="8" t="s">
        <v>28</v>
      </c>
      <c r="F1006" s="34" t="str">
        <f t="shared" si="599"/>
        <v>d.fluir</v>
      </c>
      <c r="G1006" s="13" t="s">
        <v>1150</v>
      </c>
      <c r="H1006" s="34" t="s">
        <v>35</v>
      </c>
      <c r="I1006" s="92" t="str">
        <f t="shared" si="578"/>
        <v>null</v>
      </c>
      <c r="J1006" s="80" t="s">
        <v>0</v>
      </c>
      <c r="K1006" s="80" t="s">
        <v>0</v>
      </c>
      <c r="L1006" s="80" t="s">
        <v>0</v>
      </c>
      <c r="M1006" s="80" t="s">
        <v>0</v>
      </c>
      <c r="N1006" s="80" t="s">
        <v>0</v>
      </c>
      <c r="O1006" s="80" t="s">
        <v>0</v>
      </c>
      <c r="P1006" s="80" t="s">
        <v>0</v>
      </c>
      <c r="Q1006" s="80" t="s">
        <v>0</v>
      </c>
      <c r="R1006" s="84" t="s">
        <v>0</v>
      </c>
      <c r="S1006" s="10" t="s">
        <v>1</v>
      </c>
      <c r="T1006" s="10" t="s">
        <v>10221</v>
      </c>
      <c r="U1006" s="5" t="str">
        <f>_xlfn.CONCAT("Propriedade destinada a ",MID(C1006,FIND("p.",C1006,1)+2,100),": ",D1006)</f>
        <v>Propriedade destinada a fluir: é.voltas.do.fecho</v>
      </c>
      <c r="V1006" s="5" t="str">
        <f>_xlfn.CONCAT("Dado para ",MID(F1006,FIND("d.",F1006,1)+2,100),":  ",G1006, "  Deve ser formatado como (",H1006, ")")</f>
        <v>Dado para fluir:  voltas.do.fecho  Deve ser formatado como (xsd:double)</v>
      </c>
      <c r="W1006" s="69" t="s">
        <v>5461</v>
      </c>
      <c r="X1006" s="17" t="str">
        <f t="shared" si="573"/>
        <v>d.fluir.107</v>
      </c>
      <c r="Y1006" s="17" t="str">
        <f t="shared" si="574"/>
        <v>Ação de fluir</v>
      </c>
      <c r="Z1006" s="62" t="s">
        <v>1332</v>
      </c>
      <c r="AA1006" s="18" t="str">
        <f>IF(AB1006="null", "null", "categoria.revit")</f>
        <v>null</v>
      </c>
      <c r="AB1006" s="19" t="s">
        <v>0</v>
      </c>
      <c r="AC1006" s="18" t="str">
        <f>IF(AD1006="null", "null", "classe.ifc")</f>
        <v>null</v>
      </c>
      <c r="AD1006" s="19" t="s">
        <v>0</v>
      </c>
      <c r="AE1006" s="18" t="str">
        <f>IF(AF1006="null", "null", "propriedade")</f>
        <v>null</v>
      </c>
      <c r="AF1006" s="75" t="s">
        <v>0</v>
      </c>
      <c r="AG1006" s="38" t="s">
        <v>8206</v>
      </c>
    </row>
    <row r="1007" spans="1:33" ht="6" customHeight="1" x14ac:dyDescent="0.4">
      <c r="A1007" s="4">
        <f>ROW()</f>
        <v>1007</v>
      </c>
      <c r="B1007" s="9" t="s">
        <v>27</v>
      </c>
      <c r="C1007" s="43" t="str">
        <f t="shared" si="553"/>
        <v>p.formar</v>
      </c>
      <c r="D1007" s="6" t="str">
        <f t="shared" si="585"/>
        <v>é.código.ontogenético</v>
      </c>
      <c r="E1007" s="8" t="s">
        <v>28</v>
      </c>
      <c r="F1007" s="41" t="s">
        <v>1911</v>
      </c>
      <c r="G1007" s="13" t="s">
        <v>1918</v>
      </c>
      <c r="H1007" s="33" t="s">
        <v>1581</v>
      </c>
      <c r="I1007" s="92" t="str">
        <f t="shared" si="578"/>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si="579"/>
        <v>Propriedade destinada a formar: é.código.ontogenético</v>
      </c>
      <c r="V1007" s="5" t="str">
        <f t="shared" si="580"/>
        <v>Dado para formar:  código.ontogenético  Deve ser formatado como (rdfs:Literal  or  xsd:string)</v>
      </c>
      <c r="W1007" s="69" t="s">
        <v>5462</v>
      </c>
      <c r="X1007" s="17" t="str">
        <f t="shared" si="573"/>
        <v>d.forma.100</v>
      </c>
      <c r="Y1007" s="17" t="str">
        <f t="shared" si="574"/>
        <v>Ação de formar</v>
      </c>
      <c r="Z1007" s="62" t="s">
        <v>4793</v>
      </c>
      <c r="AA1007" s="18" t="str">
        <f t="shared" si="581"/>
        <v>null</v>
      </c>
      <c r="AB1007" s="19" t="s">
        <v>0</v>
      </c>
      <c r="AC1007" s="18" t="str">
        <f t="shared" si="582"/>
        <v>null</v>
      </c>
      <c r="AD1007" s="19" t="s">
        <v>0</v>
      </c>
      <c r="AE1007" s="18" t="str">
        <f t="shared" si="583"/>
        <v>null</v>
      </c>
      <c r="AF1007" s="75" t="s">
        <v>0</v>
      </c>
      <c r="AG1007" s="38" t="s">
        <v>8207</v>
      </c>
    </row>
    <row r="1008" spans="1:33" ht="6" customHeight="1" x14ac:dyDescent="0.4">
      <c r="A1008" s="4">
        <f>ROW()</f>
        <v>1008</v>
      </c>
      <c r="B1008" s="9" t="s">
        <v>27</v>
      </c>
      <c r="C1008" s="44" t="str">
        <f t="shared" si="553"/>
        <v>p.formar</v>
      </c>
      <c r="D1008" s="6" t="str">
        <f t="shared" si="585"/>
        <v>é.translação</v>
      </c>
      <c r="E1008" s="8" t="s">
        <v>28</v>
      </c>
      <c r="F1008" s="34" t="str">
        <f>F1007</f>
        <v>d.formar</v>
      </c>
      <c r="G1008" s="13" t="s">
        <v>1912</v>
      </c>
      <c r="H1008" s="33" t="s">
        <v>1581</v>
      </c>
      <c r="I1008" s="92" t="str">
        <f t="shared" si="578"/>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79"/>
        <v>Propriedade destinada a formar: é.translação</v>
      </c>
      <c r="V1008" s="5" t="str">
        <f t="shared" si="580"/>
        <v>Dado para formar:  translação  Deve ser formatado como (rdfs:Literal  or  xsd:string)</v>
      </c>
      <c r="W1008" s="69" t="s">
        <v>5463</v>
      </c>
      <c r="X1008" s="17" t="str">
        <f t="shared" si="573"/>
        <v>d.forma.101</v>
      </c>
      <c r="Y1008" s="17" t="str">
        <f t="shared" si="574"/>
        <v>Ação de formar</v>
      </c>
      <c r="Z1008" s="62" t="s">
        <v>1941</v>
      </c>
      <c r="AA1008" s="18" t="str">
        <f t="shared" si="581"/>
        <v>categoria.revit</v>
      </c>
      <c r="AB1008" s="19" t="s">
        <v>2612</v>
      </c>
      <c r="AC1008" s="18" t="str">
        <f t="shared" si="582"/>
        <v>null</v>
      </c>
      <c r="AD1008" s="19" t="s">
        <v>0</v>
      </c>
      <c r="AE1008" s="18" t="str">
        <f t="shared" si="583"/>
        <v>null</v>
      </c>
      <c r="AF1008" s="75" t="s">
        <v>0</v>
      </c>
      <c r="AG1008" s="38" t="s">
        <v>8208</v>
      </c>
    </row>
    <row r="1009" spans="1:33" ht="6" customHeight="1" x14ac:dyDescent="0.4">
      <c r="A1009" s="4">
        <f>ROW()</f>
        <v>1009</v>
      </c>
      <c r="B1009" s="9" t="s">
        <v>27</v>
      </c>
      <c r="C1009" s="44" t="str">
        <f t="shared" si="553"/>
        <v>p.formar</v>
      </c>
      <c r="D1009" s="6" t="str">
        <f t="shared" si="585"/>
        <v>é.giro</v>
      </c>
      <c r="E1009" s="8" t="s">
        <v>28</v>
      </c>
      <c r="F1009" s="34" t="str">
        <f t="shared" ref="F1009:F1029" si="606">F1008</f>
        <v>d.formar</v>
      </c>
      <c r="G1009" s="13" t="s">
        <v>1920</v>
      </c>
      <c r="H1009" s="33" t="s">
        <v>1581</v>
      </c>
      <c r="I1009" s="92" t="str">
        <f t="shared" si="578"/>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79"/>
        <v>Propriedade destinada a formar: é.giro</v>
      </c>
      <c r="V1009" s="5" t="str">
        <f t="shared" si="580"/>
        <v>Dado para formar:  giro  Deve ser formatado como (rdfs:Literal  or  xsd:string)</v>
      </c>
      <c r="W1009" s="69" t="s">
        <v>5464</v>
      </c>
      <c r="X1009" s="17" t="str">
        <f t="shared" si="573"/>
        <v>d.forma.102</v>
      </c>
      <c r="Y1009" s="17" t="str">
        <f t="shared" si="574"/>
        <v>Ação de formar</v>
      </c>
      <c r="Z1009" s="62" t="s">
        <v>1942</v>
      </c>
      <c r="AA1009" s="18" t="str">
        <f t="shared" si="581"/>
        <v>categoria.revit</v>
      </c>
      <c r="AB1009" s="19" t="s">
        <v>2613</v>
      </c>
      <c r="AC1009" s="18" t="str">
        <f t="shared" si="582"/>
        <v>null</v>
      </c>
      <c r="AD1009" s="19" t="s">
        <v>0</v>
      </c>
      <c r="AE1009" s="18" t="str">
        <f t="shared" si="583"/>
        <v>null</v>
      </c>
      <c r="AF1009" s="75" t="s">
        <v>0</v>
      </c>
      <c r="AG1009" s="38" t="s">
        <v>8209</v>
      </c>
    </row>
    <row r="1010" spans="1:33" ht="6" customHeight="1" x14ac:dyDescent="0.4">
      <c r="A1010" s="4">
        <f>ROW()</f>
        <v>1010</v>
      </c>
      <c r="B1010" s="9" t="s">
        <v>27</v>
      </c>
      <c r="C1010" s="44" t="str">
        <f t="shared" si="553"/>
        <v>p.formar</v>
      </c>
      <c r="D1010" s="6" t="str">
        <f t="shared" si="585"/>
        <v>é.escalar</v>
      </c>
      <c r="E1010" s="8" t="s">
        <v>28</v>
      </c>
      <c r="F1010" s="34" t="str">
        <f t="shared" si="606"/>
        <v>d.formar</v>
      </c>
      <c r="G1010" s="13" t="s">
        <v>1913</v>
      </c>
      <c r="H1010" s="33" t="s">
        <v>1581</v>
      </c>
      <c r="I1010" s="92" t="str">
        <f t="shared" si="578"/>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79"/>
        <v>Propriedade destinada a formar: é.escalar</v>
      </c>
      <c r="V1010" s="5" t="str">
        <f t="shared" si="580"/>
        <v>Dado para formar:  escalar  Deve ser formatado como (rdfs:Literal  or  xsd:string)</v>
      </c>
      <c r="W1010" s="69" t="s">
        <v>5465</v>
      </c>
      <c r="X1010" s="17" t="str">
        <f t="shared" si="573"/>
        <v>d.forma.103</v>
      </c>
      <c r="Y1010" s="17" t="str">
        <f t="shared" si="574"/>
        <v>Ação de formar</v>
      </c>
      <c r="Z1010" s="62" t="s">
        <v>1943</v>
      </c>
      <c r="AA1010" s="18" t="str">
        <f t="shared" si="581"/>
        <v>categoria.revit</v>
      </c>
      <c r="AB1010" s="19" t="s">
        <v>2614</v>
      </c>
      <c r="AC1010" s="18" t="str">
        <f t="shared" si="582"/>
        <v>null</v>
      </c>
      <c r="AD1010" s="19" t="s">
        <v>0</v>
      </c>
      <c r="AE1010" s="18" t="str">
        <f t="shared" si="583"/>
        <v>null</v>
      </c>
      <c r="AF1010" s="75" t="s">
        <v>0</v>
      </c>
      <c r="AG1010" s="38" t="s">
        <v>8210</v>
      </c>
    </row>
    <row r="1011" spans="1:33" ht="6" customHeight="1" x14ac:dyDescent="0.4">
      <c r="A1011" s="4">
        <f>ROW()</f>
        <v>1011</v>
      </c>
      <c r="B1011" s="9" t="s">
        <v>27</v>
      </c>
      <c r="C1011" s="44" t="str">
        <f t="shared" si="553"/>
        <v>p.formar</v>
      </c>
      <c r="D1011" s="6" t="str">
        <f t="shared" si="585"/>
        <v>é.reflexão</v>
      </c>
      <c r="E1011" s="8" t="s">
        <v>28</v>
      </c>
      <c r="F1011" s="34" t="str">
        <f t="shared" si="606"/>
        <v>d.formar</v>
      </c>
      <c r="G1011" s="13" t="s">
        <v>1921</v>
      </c>
      <c r="H1011" s="33" t="s">
        <v>1581</v>
      </c>
      <c r="I1011" s="92" t="str">
        <f t="shared" si="578"/>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79"/>
        <v>Propriedade destinada a formar: é.reflexão</v>
      </c>
      <c r="V1011" s="5" t="str">
        <f t="shared" si="580"/>
        <v>Dado para formar:  reflexão  Deve ser formatado como (rdfs:Literal  or  xsd:string)</v>
      </c>
      <c r="W1011" s="69" t="s">
        <v>5466</v>
      </c>
      <c r="X1011" s="17" t="str">
        <f t="shared" si="573"/>
        <v>d.forma.104</v>
      </c>
      <c r="Y1011" s="17" t="str">
        <f t="shared" si="574"/>
        <v>Ação de formar</v>
      </c>
      <c r="Z1011" s="62" t="s">
        <v>1944</v>
      </c>
      <c r="AA1011" s="18" t="str">
        <f t="shared" si="581"/>
        <v>categoria.revit</v>
      </c>
      <c r="AB1011" s="19" t="s">
        <v>2615</v>
      </c>
      <c r="AC1011" s="18" t="str">
        <f t="shared" si="582"/>
        <v>null</v>
      </c>
      <c r="AD1011" s="19" t="s">
        <v>0</v>
      </c>
      <c r="AE1011" s="18" t="str">
        <f t="shared" si="583"/>
        <v>null</v>
      </c>
      <c r="AF1011" s="75" t="s">
        <v>0</v>
      </c>
      <c r="AG1011" s="38" t="s">
        <v>8211</v>
      </c>
    </row>
    <row r="1012" spans="1:33" ht="6" customHeight="1" x14ac:dyDescent="0.4">
      <c r="A1012" s="4">
        <f>ROW()</f>
        <v>1012</v>
      </c>
      <c r="B1012" s="9" t="s">
        <v>27</v>
      </c>
      <c r="C1012" s="44" t="str">
        <f t="shared" si="553"/>
        <v>p.formar</v>
      </c>
      <c r="D1012" s="6" t="str">
        <f t="shared" si="585"/>
        <v>é.eixo.x</v>
      </c>
      <c r="E1012" s="8" t="s">
        <v>28</v>
      </c>
      <c r="F1012" s="34" t="str">
        <f t="shared" si="606"/>
        <v>d.formar</v>
      </c>
      <c r="G1012" s="13" t="s">
        <v>1914</v>
      </c>
      <c r="H1012" s="33" t="s">
        <v>1581</v>
      </c>
      <c r="I1012" s="92" t="str">
        <f t="shared" si="578"/>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79"/>
        <v>Propriedade destinada a formar: é.eixo.x</v>
      </c>
      <c r="V1012" s="5" t="str">
        <f t="shared" si="580"/>
        <v>Dado para formar:  eixo.x  Deve ser formatado como (rdfs:Literal  or  xsd:string)</v>
      </c>
      <c r="W1012" s="69" t="s">
        <v>5467</v>
      </c>
      <c r="X1012" s="17" t="str">
        <f t="shared" si="573"/>
        <v>d.forma.105</v>
      </c>
      <c r="Y1012" s="17" t="str">
        <f t="shared" si="574"/>
        <v>Ação de formar</v>
      </c>
      <c r="Z1012" s="62" t="s">
        <v>1945</v>
      </c>
      <c r="AA1012" s="18" t="str">
        <f t="shared" si="581"/>
        <v>null</v>
      </c>
      <c r="AB1012" s="19" t="s">
        <v>0</v>
      </c>
      <c r="AC1012" s="18" t="str">
        <f t="shared" si="582"/>
        <v>null</v>
      </c>
      <c r="AD1012" s="19" t="s">
        <v>0</v>
      </c>
      <c r="AE1012" s="18" t="str">
        <f t="shared" si="583"/>
        <v>null</v>
      </c>
      <c r="AF1012" s="75" t="s">
        <v>0</v>
      </c>
      <c r="AG1012" s="38" t="s">
        <v>8212</v>
      </c>
    </row>
    <row r="1013" spans="1:33" ht="6" customHeight="1" x14ac:dyDescent="0.4">
      <c r="A1013" s="4">
        <f>ROW()</f>
        <v>1013</v>
      </c>
      <c r="B1013" s="9" t="s">
        <v>27</v>
      </c>
      <c r="C1013" s="44" t="str">
        <f t="shared" si="553"/>
        <v>p.formar</v>
      </c>
      <c r="D1013" s="6" t="str">
        <f t="shared" si="585"/>
        <v>é.eixo.y</v>
      </c>
      <c r="E1013" s="8" t="s">
        <v>28</v>
      </c>
      <c r="F1013" s="34" t="str">
        <f t="shared" si="606"/>
        <v>d.formar</v>
      </c>
      <c r="G1013" s="13" t="s">
        <v>1915</v>
      </c>
      <c r="H1013" s="33" t="s">
        <v>1581</v>
      </c>
      <c r="I1013" s="92" t="str">
        <f t="shared" si="578"/>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si="579"/>
        <v>Propriedade destinada a formar: é.eixo.y</v>
      </c>
      <c r="V1013" s="5" t="str">
        <f t="shared" si="580"/>
        <v>Dado para formar:  eixo.y  Deve ser formatado como (rdfs:Literal  or  xsd:string)</v>
      </c>
      <c r="W1013" s="69" t="s">
        <v>5468</v>
      </c>
      <c r="X1013" s="17" t="str">
        <f t="shared" si="573"/>
        <v>d.forma.106</v>
      </c>
      <c r="Y1013" s="17" t="str">
        <f t="shared" si="574"/>
        <v>Ação de formar</v>
      </c>
      <c r="Z1013" s="62" t="s">
        <v>1946</v>
      </c>
      <c r="AA1013" s="18" t="str">
        <f t="shared" si="581"/>
        <v>null</v>
      </c>
      <c r="AB1013" s="19" t="s">
        <v>0</v>
      </c>
      <c r="AC1013" s="18" t="str">
        <f t="shared" si="582"/>
        <v>null</v>
      </c>
      <c r="AD1013" s="19" t="s">
        <v>0</v>
      </c>
      <c r="AE1013" s="18" t="str">
        <f t="shared" si="583"/>
        <v>null</v>
      </c>
      <c r="AF1013" s="75" t="s">
        <v>0</v>
      </c>
      <c r="AG1013" s="38" t="s">
        <v>8213</v>
      </c>
    </row>
    <row r="1014" spans="1:33" ht="6" customHeight="1" x14ac:dyDescent="0.4">
      <c r="A1014" s="4">
        <f>ROW()</f>
        <v>1014</v>
      </c>
      <c r="B1014" s="9" t="s">
        <v>27</v>
      </c>
      <c r="C1014" s="44" t="str">
        <f t="shared" si="553"/>
        <v>p.formar</v>
      </c>
      <c r="D1014" s="6" t="str">
        <f t="shared" si="585"/>
        <v>é.eixo.z</v>
      </c>
      <c r="E1014" s="8" t="s">
        <v>28</v>
      </c>
      <c r="F1014" s="34" t="str">
        <f t="shared" si="606"/>
        <v>d.formar</v>
      </c>
      <c r="G1014" s="13" t="s">
        <v>1916</v>
      </c>
      <c r="H1014" s="33" t="s">
        <v>1581</v>
      </c>
      <c r="I1014" s="92" t="str">
        <f t="shared" si="578"/>
        <v>null</v>
      </c>
      <c r="J1014" s="80" t="s">
        <v>0</v>
      </c>
      <c r="K1014" s="80" t="s">
        <v>0</v>
      </c>
      <c r="L1014" s="80" t="s">
        <v>0</v>
      </c>
      <c r="M1014" s="80" t="s">
        <v>0</v>
      </c>
      <c r="N1014" s="80" t="s">
        <v>0</v>
      </c>
      <c r="O1014" s="80" t="s">
        <v>0</v>
      </c>
      <c r="P1014" s="80" t="s">
        <v>0</v>
      </c>
      <c r="Q1014" s="80" t="s">
        <v>0</v>
      </c>
      <c r="R1014" s="84" t="s">
        <v>0</v>
      </c>
      <c r="S1014" s="10" t="s">
        <v>1</v>
      </c>
      <c r="T1014" s="10" t="s">
        <v>10221</v>
      </c>
      <c r="U1014" s="5" t="str">
        <f t="shared" si="579"/>
        <v>Propriedade destinada a formar: é.eixo.z</v>
      </c>
      <c r="V1014" s="5" t="str">
        <f t="shared" si="580"/>
        <v>Dado para formar:  eixo.z  Deve ser formatado como (rdfs:Literal  or  xsd:string)</v>
      </c>
      <c r="W1014" s="69" t="s">
        <v>5469</v>
      </c>
      <c r="X1014" s="17" t="str">
        <f t="shared" si="573"/>
        <v>d.forma.107</v>
      </c>
      <c r="Y1014" s="17" t="str">
        <f t="shared" si="574"/>
        <v>Ação de formar</v>
      </c>
      <c r="Z1014" s="62" t="s">
        <v>1947</v>
      </c>
      <c r="AA1014" s="18" t="str">
        <f t="shared" si="581"/>
        <v>null</v>
      </c>
      <c r="AB1014" s="19" t="s">
        <v>0</v>
      </c>
      <c r="AC1014" s="18" t="str">
        <f t="shared" si="582"/>
        <v>null</v>
      </c>
      <c r="AD1014" s="19" t="s">
        <v>0</v>
      </c>
      <c r="AE1014" s="18" t="str">
        <f t="shared" si="583"/>
        <v>null</v>
      </c>
      <c r="AF1014" s="75" t="s">
        <v>0</v>
      </c>
      <c r="AG1014" s="38" t="s">
        <v>8214</v>
      </c>
    </row>
    <row r="1015" spans="1:33" ht="6" customHeight="1" x14ac:dyDescent="0.4">
      <c r="A1015" s="4">
        <f>ROW()</f>
        <v>1015</v>
      </c>
      <c r="B1015" s="9" t="s">
        <v>27</v>
      </c>
      <c r="C1015" s="44" t="str">
        <f t="shared" si="553"/>
        <v>p.formar</v>
      </c>
      <c r="D1015" s="6" t="str">
        <f t="shared" si="585"/>
        <v>é.base.x</v>
      </c>
      <c r="E1015" s="8" t="s">
        <v>28</v>
      </c>
      <c r="F1015" s="34" t="str">
        <f t="shared" si="606"/>
        <v>d.formar</v>
      </c>
      <c r="G1015" s="13" t="s">
        <v>2171</v>
      </c>
      <c r="H1015" s="34" t="s">
        <v>35</v>
      </c>
      <c r="I1015" s="92" t="str">
        <f t="shared" si="578"/>
        <v>null</v>
      </c>
      <c r="J1015" s="80" t="s">
        <v>0</v>
      </c>
      <c r="K1015" s="80" t="s">
        <v>0</v>
      </c>
      <c r="L1015" s="80" t="s">
        <v>0</v>
      </c>
      <c r="M1015" s="80" t="s">
        <v>0</v>
      </c>
      <c r="N1015" s="80" t="s">
        <v>0</v>
      </c>
      <c r="O1015" s="80" t="s">
        <v>0</v>
      </c>
      <c r="P1015" s="80" t="s">
        <v>0</v>
      </c>
      <c r="Q1015" s="80" t="s">
        <v>0</v>
      </c>
      <c r="R1015" s="85" t="s">
        <v>2309</v>
      </c>
      <c r="S1015" s="10" t="s">
        <v>1</v>
      </c>
      <c r="T1015" s="10" t="s">
        <v>10221</v>
      </c>
      <c r="U1015" s="5" t="str">
        <f t="shared" si="579"/>
        <v>Propriedade destinada a formar: é.base.x</v>
      </c>
      <c r="V1015" s="5" t="str">
        <f t="shared" si="580"/>
        <v>Dado para formar:  base.x  Deve ser formatado como (xsd:double)</v>
      </c>
      <c r="W1015" s="69" t="s">
        <v>5470</v>
      </c>
      <c r="X1015" s="17" t="str">
        <f t="shared" si="573"/>
        <v>d.forma.108</v>
      </c>
      <c r="Y1015" s="17" t="str">
        <f t="shared" si="574"/>
        <v>Ação de formar</v>
      </c>
      <c r="Z1015" s="62" t="s">
        <v>2177</v>
      </c>
      <c r="AA1015" s="18" t="str">
        <f t="shared" si="581"/>
        <v>null</v>
      </c>
      <c r="AB1015" s="19" t="s">
        <v>0</v>
      </c>
      <c r="AC1015" s="18" t="str">
        <f t="shared" si="582"/>
        <v>null</v>
      </c>
      <c r="AD1015" s="19" t="s">
        <v>0</v>
      </c>
      <c r="AE1015" s="18" t="str">
        <f t="shared" si="583"/>
        <v>null</v>
      </c>
      <c r="AF1015" s="75" t="s">
        <v>0</v>
      </c>
      <c r="AG1015" s="38" t="s">
        <v>8215</v>
      </c>
    </row>
    <row r="1016" spans="1:33" ht="6" customHeight="1" x14ac:dyDescent="0.4">
      <c r="A1016" s="4">
        <f>ROW()</f>
        <v>1016</v>
      </c>
      <c r="B1016" s="9" t="s">
        <v>27</v>
      </c>
      <c r="C1016" s="44" t="str">
        <f t="shared" si="553"/>
        <v>p.formar</v>
      </c>
      <c r="D1016" s="6" t="str">
        <f t="shared" si="585"/>
        <v>é.base.y</v>
      </c>
      <c r="E1016" s="8" t="s">
        <v>28</v>
      </c>
      <c r="F1016" s="34" t="str">
        <f t="shared" si="606"/>
        <v>d.formar</v>
      </c>
      <c r="G1016" s="13" t="s">
        <v>2172</v>
      </c>
      <c r="H1016" s="34" t="s">
        <v>35</v>
      </c>
      <c r="I1016" s="92" t="str">
        <f t="shared" si="578"/>
        <v>null</v>
      </c>
      <c r="J1016" s="80" t="s">
        <v>0</v>
      </c>
      <c r="K1016" s="80" t="s">
        <v>0</v>
      </c>
      <c r="L1016" s="80" t="s">
        <v>0</v>
      </c>
      <c r="M1016" s="80" t="s">
        <v>0</v>
      </c>
      <c r="N1016" s="80" t="s">
        <v>0</v>
      </c>
      <c r="O1016" s="80" t="s">
        <v>0</v>
      </c>
      <c r="P1016" s="80" t="s">
        <v>0</v>
      </c>
      <c r="Q1016" s="80" t="s">
        <v>0</v>
      </c>
      <c r="R1016" s="85" t="s">
        <v>2310</v>
      </c>
      <c r="S1016" s="10" t="s">
        <v>1</v>
      </c>
      <c r="T1016" s="10" t="s">
        <v>10221</v>
      </c>
      <c r="U1016" s="5" t="str">
        <f t="shared" si="579"/>
        <v>Propriedade destinada a formar: é.base.y</v>
      </c>
      <c r="V1016" s="5" t="str">
        <f t="shared" si="580"/>
        <v>Dado para formar:  base.y  Deve ser formatado como (xsd:double)</v>
      </c>
      <c r="W1016" s="69" t="s">
        <v>5471</v>
      </c>
      <c r="X1016" s="17" t="str">
        <f t="shared" si="573"/>
        <v>d.forma.109</v>
      </c>
      <c r="Y1016" s="17" t="str">
        <f t="shared" si="574"/>
        <v>Ação de formar</v>
      </c>
      <c r="Z1016" s="62" t="s">
        <v>2182</v>
      </c>
      <c r="AA1016" s="18" t="str">
        <f t="shared" si="581"/>
        <v>null</v>
      </c>
      <c r="AB1016" s="19" t="s">
        <v>0</v>
      </c>
      <c r="AC1016" s="18" t="str">
        <f t="shared" si="582"/>
        <v>null</v>
      </c>
      <c r="AD1016" s="19" t="s">
        <v>0</v>
      </c>
      <c r="AE1016" s="18" t="str">
        <f t="shared" si="583"/>
        <v>null</v>
      </c>
      <c r="AF1016" s="75" t="s">
        <v>0</v>
      </c>
      <c r="AG1016" s="38" t="s">
        <v>8216</v>
      </c>
    </row>
    <row r="1017" spans="1:33" ht="6" customHeight="1" x14ac:dyDescent="0.4">
      <c r="A1017" s="4">
        <f>ROW()</f>
        <v>1017</v>
      </c>
      <c r="B1017" s="9" t="s">
        <v>27</v>
      </c>
      <c r="C1017" s="44" t="str">
        <f t="shared" si="553"/>
        <v>p.formar</v>
      </c>
      <c r="D1017" s="6" t="str">
        <f t="shared" si="585"/>
        <v>é.base.z</v>
      </c>
      <c r="E1017" s="8" t="s">
        <v>28</v>
      </c>
      <c r="F1017" s="34" t="str">
        <f t="shared" si="606"/>
        <v>d.formar</v>
      </c>
      <c r="G1017" s="13" t="s">
        <v>2173</v>
      </c>
      <c r="H1017" s="34" t="s">
        <v>35</v>
      </c>
      <c r="I1017" s="92" t="str">
        <f t="shared" si="578"/>
        <v>null</v>
      </c>
      <c r="J1017" s="80" t="s">
        <v>0</v>
      </c>
      <c r="K1017" s="80" t="s">
        <v>0</v>
      </c>
      <c r="L1017" s="80" t="s">
        <v>0</v>
      </c>
      <c r="M1017" s="80" t="s">
        <v>0</v>
      </c>
      <c r="N1017" s="80" t="s">
        <v>0</v>
      </c>
      <c r="O1017" s="80" t="s">
        <v>0</v>
      </c>
      <c r="P1017" s="80" t="s">
        <v>0</v>
      </c>
      <c r="Q1017" s="80" t="s">
        <v>0</v>
      </c>
      <c r="R1017" s="85" t="s">
        <v>2311</v>
      </c>
      <c r="S1017" s="10" t="s">
        <v>1</v>
      </c>
      <c r="T1017" s="10" t="s">
        <v>10221</v>
      </c>
      <c r="U1017" s="5" t="str">
        <f t="shared" si="579"/>
        <v>Propriedade destinada a formar: é.base.z</v>
      </c>
      <c r="V1017" s="5" t="str">
        <f t="shared" si="580"/>
        <v>Dado para formar:  base.z  Deve ser formatado como (xsd:double)</v>
      </c>
      <c r="W1017" s="69" t="s">
        <v>5472</v>
      </c>
      <c r="X1017" s="17" t="str">
        <f t="shared" si="573"/>
        <v>d.forma.110</v>
      </c>
      <c r="Y1017" s="17" t="str">
        <f t="shared" si="574"/>
        <v>Ação de formar</v>
      </c>
      <c r="Z1017" s="62" t="s">
        <v>2178</v>
      </c>
      <c r="AA1017" s="18" t="str">
        <f t="shared" si="581"/>
        <v>null</v>
      </c>
      <c r="AB1017" s="19" t="s">
        <v>0</v>
      </c>
      <c r="AC1017" s="18" t="str">
        <f t="shared" si="582"/>
        <v>null</v>
      </c>
      <c r="AD1017" s="19" t="s">
        <v>0</v>
      </c>
      <c r="AE1017" s="18" t="str">
        <f t="shared" si="583"/>
        <v>null</v>
      </c>
      <c r="AF1017" s="75" t="s">
        <v>0</v>
      </c>
      <c r="AG1017" s="38" t="s">
        <v>8217</v>
      </c>
    </row>
    <row r="1018" spans="1:33" ht="6" customHeight="1" x14ac:dyDescent="0.4">
      <c r="A1018" s="4">
        <f>ROW()</f>
        <v>1018</v>
      </c>
      <c r="B1018" s="9" t="s">
        <v>27</v>
      </c>
      <c r="C1018" s="44" t="str">
        <f t="shared" si="553"/>
        <v>p.formar</v>
      </c>
      <c r="D1018" s="6" t="str">
        <f t="shared" si="585"/>
        <v>é.base.xx</v>
      </c>
      <c r="E1018" s="8" t="s">
        <v>28</v>
      </c>
      <c r="F1018" s="34" t="str">
        <f t="shared" si="606"/>
        <v>d.formar</v>
      </c>
      <c r="G1018" s="13" t="s">
        <v>2174</v>
      </c>
      <c r="H1018" s="34" t="s">
        <v>35</v>
      </c>
      <c r="I1018" s="92" t="str">
        <f t="shared" si="578"/>
        <v>null</v>
      </c>
      <c r="J1018" s="80" t="s">
        <v>0</v>
      </c>
      <c r="K1018" s="80" t="s">
        <v>0</v>
      </c>
      <c r="L1018" s="80" t="s">
        <v>0</v>
      </c>
      <c r="M1018" s="80" t="s">
        <v>0</v>
      </c>
      <c r="N1018" s="80" t="s">
        <v>0</v>
      </c>
      <c r="O1018" s="80" t="s">
        <v>0</v>
      </c>
      <c r="P1018" s="80" t="s">
        <v>0</v>
      </c>
      <c r="Q1018" s="80" t="s">
        <v>0</v>
      </c>
      <c r="R1018" s="85" t="s">
        <v>2309</v>
      </c>
      <c r="S1018" s="10" t="s">
        <v>1</v>
      </c>
      <c r="T1018" s="10" t="s">
        <v>10221</v>
      </c>
      <c r="U1018" s="5" t="str">
        <f t="shared" si="579"/>
        <v>Propriedade destinada a formar: é.base.xx</v>
      </c>
      <c r="V1018" s="5" t="str">
        <f t="shared" si="580"/>
        <v>Dado para formar:  base.xx  Deve ser formatado como (xsd:double)</v>
      </c>
      <c r="W1018" s="69" t="s">
        <v>5473</v>
      </c>
      <c r="X1018" s="17" t="str">
        <f t="shared" si="573"/>
        <v>d.forma.111</v>
      </c>
      <c r="Y1018" s="17" t="str">
        <f t="shared" si="574"/>
        <v>Ação de formar</v>
      </c>
      <c r="Z1018" s="62" t="s">
        <v>2179</v>
      </c>
      <c r="AA1018" s="18" t="str">
        <f t="shared" si="581"/>
        <v>null</v>
      </c>
      <c r="AB1018" s="19" t="s">
        <v>0</v>
      </c>
      <c r="AC1018" s="18" t="str">
        <f t="shared" si="582"/>
        <v>null</v>
      </c>
      <c r="AD1018" s="19" t="s">
        <v>0</v>
      </c>
      <c r="AE1018" s="18" t="str">
        <f t="shared" si="583"/>
        <v>null</v>
      </c>
      <c r="AF1018" s="75" t="s">
        <v>0</v>
      </c>
      <c r="AG1018" s="38" t="s">
        <v>8218</v>
      </c>
    </row>
    <row r="1019" spans="1:33" ht="6" customHeight="1" x14ac:dyDescent="0.4">
      <c r="A1019" s="4">
        <f>ROW()</f>
        <v>1019</v>
      </c>
      <c r="B1019" s="9" t="s">
        <v>27</v>
      </c>
      <c r="C1019" s="44" t="str">
        <f t="shared" si="553"/>
        <v>p.formar</v>
      </c>
      <c r="D1019" s="6" t="str">
        <f t="shared" si="585"/>
        <v>é.base.yy</v>
      </c>
      <c r="E1019" s="8" t="s">
        <v>28</v>
      </c>
      <c r="F1019" s="34" t="str">
        <f t="shared" si="606"/>
        <v>d.formar</v>
      </c>
      <c r="G1019" s="13" t="s">
        <v>2175</v>
      </c>
      <c r="H1019" s="34" t="s">
        <v>35</v>
      </c>
      <c r="I1019" s="92" t="str">
        <f t="shared" si="578"/>
        <v>null</v>
      </c>
      <c r="J1019" s="80" t="s">
        <v>0</v>
      </c>
      <c r="K1019" s="80" t="s">
        <v>0</v>
      </c>
      <c r="L1019" s="80" t="s">
        <v>0</v>
      </c>
      <c r="M1019" s="80" t="s">
        <v>0</v>
      </c>
      <c r="N1019" s="80" t="s">
        <v>0</v>
      </c>
      <c r="O1019" s="80" t="s">
        <v>0</v>
      </c>
      <c r="P1019" s="80" t="s">
        <v>0</v>
      </c>
      <c r="Q1019" s="80" t="s">
        <v>0</v>
      </c>
      <c r="R1019" s="85" t="s">
        <v>2310</v>
      </c>
      <c r="S1019" s="10" t="s">
        <v>1</v>
      </c>
      <c r="T1019" s="10" t="s">
        <v>10221</v>
      </c>
      <c r="U1019" s="5" t="str">
        <f t="shared" si="579"/>
        <v>Propriedade destinada a formar: é.base.yy</v>
      </c>
      <c r="V1019" s="5" t="str">
        <f t="shared" si="580"/>
        <v>Dado para formar:  base.yy  Deve ser formatado como (xsd:double)</v>
      </c>
      <c r="W1019" s="69" t="s">
        <v>5474</v>
      </c>
      <c r="X1019" s="17" t="str">
        <f t="shared" si="573"/>
        <v>d.forma.112</v>
      </c>
      <c r="Y1019" s="17" t="str">
        <f t="shared" si="574"/>
        <v>Ação de formar</v>
      </c>
      <c r="Z1019" s="62" t="s">
        <v>2180</v>
      </c>
      <c r="AA1019" s="18" t="str">
        <f t="shared" si="581"/>
        <v>null</v>
      </c>
      <c r="AB1019" s="19" t="s">
        <v>0</v>
      </c>
      <c r="AC1019" s="18" t="str">
        <f t="shared" si="582"/>
        <v>null</v>
      </c>
      <c r="AD1019" s="19" t="s">
        <v>0</v>
      </c>
      <c r="AE1019" s="18" t="str">
        <f t="shared" si="583"/>
        <v>null</v>
      </c>
      <c r="AF1019" s="75" t="s">
        <v>0</v>
      </c>
      <c r="AG1019" s="38" t="s">
        <v>8219</v>
      </c>
    </row>
    <row r="1020" spans="1:33" ht="6" customHeight="1" x14ac:dyDescent="0.4">
      <c r="A1020" s="4">
        <f>ROW()</f>
        <v>1020</v>
      </c>
      <c r="B1020" s="9" t="s">
        <v>27</v>
      </c>
      <c r="C1020" s="44" t="str">
        <f t="shared" si="553"/>
        <v>p.formar</v>
      </c>
      <c r="D1020" s="6" t="str">
        <f t="shared" si="585"/>
        <v>é.base.zz</v>
      </c>
      <c r="E1020" s="8" t="s">
        <v>28</v>
      </c>
      <c r="F1020" s="34" t="str">
        <f t="shared" si="606"/>
        <v>d.formar</v>
      </c>
      <c r="G1020" s="13" t="s">
        <v>2176</v>
      </c>
      <c r="H1020" s="34" t="s">
        <v>35</v>
      </c>
      <c r="I1020" s="92" t="str">
        <f t="shared" si="578"/>
        <v>null</v>
      </c>
      <c r="J1020" s="80" t="s">
        <v>0</v>
      </c>
      <c r="K1020" s="80" t="s">
        <v>0</v>
      </c>
      <c r="L1020" s="80" t="s">
        <v>0</v>
      </c>
      <c r="M1020" s="80" t="s">
        <v>0</v>
      </c>
      <c r="N1020" s="80" t="s">
        <v>0</v>
      </c>
      <c r="O1020" s="80" t="s">
        <v>0</v>
      </c>
      <c r="P1020" s="80" t="s">
        <v>0</v>
      </c>
      <c r="Q1020" s="80" t="s">
        <v>0</v>
      </c>
      <c r="R1020" s="85" t="s">
        <v>2311</v>
      </c>
      <c r="S1020" s="10" t="s">
        <v>1</v>
      </c>
      <c r="T1020" s="10" t="s">
        <v>10221</v>
      </c>
      <c r="U1020" s="5" t="str">
        <f t="shared" si="579"/>
        <v>Propriedade destinada a formar: é.base.zz</v>
      </c>
      <c r="V1020" s="5" t="str">
        <f t="shared" si="580"/>
        <v>Dado para formar:  base.zz  Deve ser formatado como (xsd:double)</v>
      </c>
      <c r="W1020" s="69" t="s">
        <v>5475</v>
      </c>
      <c r="X1020" s="17" t="str">
        <f t="shared" si="573"/>
        <v>d.forma.113</v>
      </c>
      <c r="Y1020" s="17" t="str">
        <f t="shared" si="574"/>
        <v>Ação de formar</v>
      </c>
      <c r="Z1020" s="62" t="s">
        <v>2181</v>
      </c>
      <c r="AA1020" s="18" t="str">
        <f t="shared" si="581"/>
        <v>null</v>
      </c>
      <c r="AB1020" s="19" t="s">
        <v>0</v>
      </c>
      <c r="AC1020" s="18" t="str">
        <f t="shared" si="582"/>
        <v>null</v>
      </c>
      <c r="AD1020" s="19" t="s">
        <v>0</v>
      </c>
      <c r="AE1020" s="18" t="str">
        <f t="shared" si="583"/>
        <v>null</v>
      </c>
      <c r="AF1020" s="75" t="s">
        <v>0</v>
      </c>
      <c r="AG1020" s="38" t="s">
        <v>8220</v>
      </c>
    </row>
    <row r="1021" spans="1:33" ht="6" customHeight="1" x14ac:dyDescent="0.4">
      <c r="A1021" s="4">
        <f>ROW()</f>
        <v>1021</v>
      </c>
      <c r="B1021" s="9" t="s">
        <v>27</v>
      </c>
      <c r="C1021" s="44" t="str">
        <f t="shared" si="553"/>
        <v>p.formar</v>
      </c>
      <c r="D1021" s="6" t="str">
        <f t="shared" si="585"/>
        <v>é.coordenada.x</v>
      </c>
      <c r="E1021" s="8" t="s">
        <v>28</v>
      </c>
      <c r="F1021" s="34" t="str">
        <f t="shared" si="606"/>
        <v>d.formar</v>
      </c>
      <c r="G1021" s="13" t="s">
        <v>1922</v>
      </c>
      <c r="H1021" s="34" t="s">
        <v>35</v>
      </c>
      <c r="I1021" s="92" t="str">
        <f t="shared" si="578"/>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9"/>
        <v>Propriedade destinada a formar: é.coordenada.x</v>
      </c>
      <c r="V1021" s="5" t="str">
        <f t="shared" si="580"/>
        <v>Dado para formar:  coordenada.x  Deve ser formatado como (xsd:double)</v>
      </c>
      <c r="W1021" s="69" t="s">
        <v>5476</v>
      </c>
      <c r="X1021" s="17" t="str">
        <f t="shared" si="573"/>
        <v>d.forma.114</v>
      </c>
      <c r="Y1021" s="17" t="str">
        <f t="shared" si="574"/>
        <v>Ação de formar</v>
      </c>
      <c r="Z1021" s="62" t="s">
        <v>1948</v>
      </c>
      <c r="AA1021" s="18" t="str">
        <f t="shared" si="581"/>
        <v>null</v>
      </c>
      <c r="AB1021" s="19" t="s">
        <v>0</v>
      </c>
      <c r="AC1021" s="18" t="str">
        <f t="shared" si="582"/>
        <v>null</v>
      </c>
      <c r="AD1021" s="19" t="s">
        <v>0</v>
      </c>
      <c r="AE1021" s="18" t="str">
        <f t="shared" si="583"/>
        <v>null</v>
      </c>
      <c r="AF1021" s="75" t="s">
        <v>0</v>
      </c>
      <c r="AG1021" s="38" t="s">
        <v>8221</v>
      </c>
    </row>
    <row r="1022" spans="1:33" ht="6" customHeight="1" x14ac:dyDescent="0.4">
      <c r="A1022" s="4">
        <f>ROW()</f>
        <v>1022</v>
      </c>
      <c r="B1022" s="9" t="s">
        <v>27</v>
      </c>
      <c r="C1022" s="44" t="str">
        <f t="shared" si="553"/>
        <v>p.formar</v>
      </c>
      <c r="D1022" s="6" t="str">
        <f t="shared" si="585"/>
        <v>é.coordenada.y</v>
      </c>
      <c r="E1022" s="8" t="s">
        <v>28</v>
      </c>
      <c r="F1022" s="34" t="str">
        <f t="shared" si="606"/>
        <v>d.formar</v>
      </c>
      <c r="G1022" s="13" t="s">
        <v>1923</v>
      </c>
      <c r="H1022" s="34" t="s">
        <v>35</v>
      </c>
      <c r="I1022" s="92" t="str">
        <f t="shared" si="578"/>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9"/>
        <v>Propriedade destinada a formar: é.coordenada.y</v>
      </c>
      <c r="V1022" s="5" t="str">
        <f t="shared" si="580"/>
        <v>Dado para formar:  coordenada.y  Deve ser formatado como (xsd:double)</v>
      </c>
      <c r="W1022" s="69" t="s">
        <v>5477</v>
      </c>
      <c r="X1022" s="17" t="str">
        <f t="shared" si="573"/>
        <v>d.forma.115</v>
      </c>
      <c r="Y1022" s="17" t="str">
        <f t="shared" si="574"/>
        <v>Ação de formar</v>
      </c>
      <c r="Z1022" s="62" t="s">
        <v>1949</v>
      </c>
      <c r="AA1022" s="18" t="str">
        <f t="shared" si="581"/>
        <v>null</v>
      </c>
      <c r="AB1022" s="19" t="s">
        <v>0</v>
      </c>
      <c r="AC1022" s="18" t="str">
        <f t="shared" si="582"/>
        <v>null</v>
      </c>
      <c r="AD1022" s="19" t="s">
        <v>0</v>
      </c>
      <c r="AE1022" s="18" t="str">
        <f t="shared" si="583"/>
        <v>null</v>
      </c>
      <c r="AF1022" s="75" t="s">
        <v>0</v>
      </c>
      <c r="AG1022" s="38" t="s">
        <v>8222</v>
      </c>
    </row>
    <row r="1023" spans="1:33" ht="6" customHeight="1" x14ac:dyDescent="0.4">
      <c r="A1023" s="4">
        <f>ROW()</f>
        <v>1023</v>
      </c>
      <c r="B1023" s="9" t="s">
        <v>27</v>
      </c>
      <c r="C1023" s="44" t="str">
        <f t="shared" si="553"/>
        <v>p.formar</v>
      </c>
      <c r="D1023" s="6" t="str">
        <f t="shared" si="585"/>
        <v>é.coordenada.z</v>
      </c>
      <c r="E1023" s="8" t="s">
        <v>28</v>
      </c>
      <c r="F1023" s="34" t="str">
        <f t="shared" si="606"/>
        <v>d.formar</v>
      </c>
      <c r="G1023" s="13" t="s">
        <v>1924</v>
      </c>
      <c r="H1023" s="34" t="s">
        <v>35</v>
      </c>
      <c r="I1023" s="92" t="str">
        <f t="shared" si="578"/>
        <v>null</v>
      </c>
      <c r="J1023" s="80" t="s">
        <v>0</v>
      </c>
      <c r="K1023" s="80" t="s">
        <v>0</v>
      </c>
      <c r="L1023" s="80" t="s">
        <v>0</v>
      </c>
      <c r="M1023" s="80" t="s">
        <v>0</v>
      </c>
      <c r="N1023" s="80" t="s">
        <v>0</v>
      </c>
      <c r="O1023" s="80" t="s">
        <v>0</v>
      </c>
      <c r="P1023" s="80" t="s">
        <v>0</v>
      </c>
      <c r="Q1023" s="80" t="s">
        <v>0</v>
      </c>
      <c r="R1023" s="84" t="s">
        <v>0</v>
      </c>
      <c r="S1023" s="10" t="s">
        <v>1</v>
      </c>
      <c r="T1023" s="10" t="s">
        <v>10221</v>
      </c>
      <c r="U1023" s="5" t="str">
        <f t="shared" si="579"/>
        <v>Propriedade destinada a formar: é.coordenada.z</v>
      </c>
      <c r="V1023" s="5" t="str">
        <f t="shared" si="580"/>
        <v>Dado para formar:  coordenada.z  Deve ser formatado como (xsd:double)</v>
      </c>
      <c r="W1023" s="69" t="s">
        <v>5478</v>
      </c>
      <c r="X1023" s="17" t="str">
        <f t="shared" si="573"/>
        <v>d.forma.116</v>
      </c>
      <c r="Y1023" s="17" t="str">
        <f t="shared" si="574"/>
        <v>Ação de formar</v>
      </c>
      <c r="Z1023" s="62" t="s">
        <v>1950</v>
      </c>
      <c r="AA1023" s="18" t="str">
        <f t="shared" si="581"/>
        <v>null</v>
      </c>
      <c r="AB1023" s="19" t="s">
        <v>0</v>
      </c>
      <c r="AC1023" s="18" t="str">
        <f t="shared" si="582"/>
        <v>null</v>
      </c>
      <c r="AD1023" s="19" t="s">
        <v>0</v>
      </c>
      <c r="AE1023" s="18" t="str">
        <f t="shared" si="583"/>
        <v>null</v>
      </c>
      <c r="AF1023" s="75" t="s">
        <v>0</v>
      </c>
      <c r="AG1023" s="38" t="s">
        <v>8223</v>
      </c>
    </row>
    <row r="1024" spans="1:33" ht="6" customHeight="1" x14ac:dyDescent="0.4">
      <c r="A1024" s="4">
        <f>ROW()</f>
        <v>1024</v>
      </c>
      <c r="B1024" s="9" t="s">
        <v>27</v>
      </c>
      <c r="C1024" s="44" t="str">
        <f t="shared" si="553"/>
        <v>p.formar</v>
      </c>
      <c r="D1024" s="6" t="str">
        <f t="shared" si="585"/>
        <v>é.coordenadas.xy</v>
      </c>
      <c r="E1024" s="8" t="s">
        <v>28</v>
      </c>
      <c r="F1024" s="34" t="str">
        <f>F1021</f>
        <v>d.formar</v>
      </c>
      <c r="G1024" s="13" t="s">
        <v>745</v>
      </c>
      <c r="H1024" s="33" t="s">
        <v>1581</v>
      </c>
      <c r="I1024" s="92" t="str">
        <f t="shared" si="578"/>
        <v>null</v>
      </c>
      <c r="J1024" s="80" t="s">
        <v>0</v>
      </c>
      <c r="K1024" s="80" t="s">
        <v>0</v>
      </c>
      <c r="L1024" s="80" t="s">
        <v>0</v>
      </c>
      <c r="M1024" s="80" t="s">
        <v>0</v>
      </c>
      <c r="N1024" s="80" t="s">
        <v>0</v>
      </c>
      <c r="O1024" s="80" t="s">
        <v>0</v>
      </c>
      <c r="P1024" s="80" t="s">
        <v>0</v>
      </c>
      <c r="Q1024" s="80" t="s">
        <v>0</v>
      </c>
      <c r="R1024" s="85" t="s">
        <v>2386</v>
      </c>
      <c r="S1024" s="10" t="s">
        <v>1</v>
      </c>
      <c r="T1024" s="10" t="s">
        <v>10221</v>
      </c>
      <c r="U1024" s="5" t="str">
        <f t="shared" si="579"/>
        <v>Propriedade destinada a formar: é.coordenadas.xy</v>
      </c>
      <c r="V1024" s="5" t="str">
        <f t="shared" si="580"/>
        <v>Dado para formar:  coordenadas.xy  Deve ser formatado como (rdfs:Literal  or  xsd:string)</v>
      </c>
      <c r="W1024" s="69" t="s">
        <v>5479</v>
      </c>
      <c r="X1024" s="17" t="str">
        <f t="shared" si="573"/>
        <v>d.forma.117</v>
      </c>
      <c r="Y1024" s="17" t="str">
        <f t="shared" si="574"/>
        <v>Ação de formar</v>
      </c>
      <c r="Z1024" s="62" t="s">
        <v>4167</v>
      </c>
      <c r="AA1024" s="18" t="str">
        <f t="shared" si="581"/>
        <v>null</v>
      </c>
      <c r="AB1024" s="19" t="s">
        <v>0</v>
      </c>
      <c r="AC1024" s="18" t="str">
        <f t="shared" si="582"/>
        <v>null</v>
      </c>
      <c r="AD1024" s="19" t="s">
        <v>0</v>
      </c>
      <c r="AE1024" s="18" t="str">
        <f t="shared" si="583"/>
        <v>null</v>
      </c>
      <c r="AF1024" s="75" t="s">
        <v>0</v>
      </c>
      <c r="AG1024" s="38" t="s">
        <v>8224</v>
      </c>
    </row>
    <row r="1025" spans="1:33" ht="6" customHeight="1" x14ac:dyDescent="0.4">
      <c r="A1025" s="4">
        <f>ROW()</f>
        <v>1025</v>
      </c>
      <c r="B1025" s="9" t="s">
        <v>27</v>
      </c>
      <c r="C1025" s="44" t="str">
        <f t="shared" si="553"/>
        <v>p.formar</v>
      </c>
      <c r="D1025" s="6" t="str">
        <f t="shared" si="585"/>
        <v>é.coordenadas.xyz</v>
      </c>
      <c r="E1025" s="8" t="s">
        <v>28</v>
      </c>
      <c r="F1025" s="34" t="str">
        <f>F1022</f>
        <v>d.formar</v>
      </c>
      <c r="G1025" s="13" t="s">
        <v>746</v>
      </c>
      <c r="H1025" s="33" t="s">
        <v>1581</v>
      </c>
      <c r="I1025" s="92" t="str">
        <f t="shared" si="578"/>
        <v>null</v>
      </c>
      <c r="J1025" s="80" t="s">
        <v>0</v>
      </c>
      <c r="K1025" s="80" t="s">
        <v>0</v>
      </c>
      <c r="L1025" s="80" t="s">
        <v>0</v>
      </c>
      <c r="M1025" s="80" t="s">
        <v>0</v>
      </c>
      <c r="N1025" s="80" t="s">
        <v>0</v>
      </c>
      <c r="O1025" s="80" t="s">
        <v>0</v>
      </c>
      <c r="P1025" s="80" t="s">
        <v>0</v>
      </c>
      <c r="Q1025" s="80" t="s">
        <v>0</v>
      </c>
      <c r="R1025" s="85" t="s">
        <v>2387</v>
      </c>
      <c r="S1025" s="10" t="s">
        <v>1</v>
      </c>
      <c r="T1025" s="10" t="s">
        <v>10221</v>
      </c>
      <c r="U1025" s="5" t="str">
        <f t="shared" si="579"/>
        <v>Propriedade destinada a formar: é.coordenadas.xyz</v>
      </c>
      <c r="V1025" s="5" t="str">
        <f t="shared" si="580"/>
        <v>Dado para formar:  coordenadas.xyz  Deve ser formatado como (rdfs:Literal  or  xsd:string)</v>
      </c>
      <c r="W1025" s="69" t="s">
        <v>5480</v>
      </c>
      <c r="X1025" s="17" t="str">
        <f t="shared" si="573"/>
        <v>d.forma.118</v>
      </c>
      <c r="Y1025" s="17" t="str">
        <f t="shared" si="574"/>
        <v>Ação de formar</v>
      </c>
      <c r="Z1025" s="62" t="s">
        <v>4168</v>
      </c>
      <c r="AA1025" s="18" t="str">
        <f t="shared" si="581"/>
        <v>null</v>
      </c>
      <c r="AB1025" s="19" t="s">
        <v>0</v>
      </c>
      <c r="AC1025" s="18" t="str">
        <f t="shared" si="582"/>
        <v>null</v>
      </c>
      <c r="AD1025" s="19" t="s">
        <v>0</v>
      </c>
      <c r="AE1025" s="18" t="str">
        <f t="shared" si="583"/>
        <v>null</v>
      </c>
      <c r="AF1025" s="75" t="s">
        <v>0</v>
      </c>
      <c r="AG1025" s="38" t="s">
        <v>8225</v>
      </c>
    </row>
    <row r="1026" spans="1:33" ht="6" customHeight="1" x14ac:dyDescent="0.4">
      <c r="A1026" s="4">
        <f>ROW()</f>
        <v>1026</v>
      </c>
      <c r="B1026" s="9" t="s">
        <v>27</v>
      </c>
      <c r="C1026" s="44" t="str">
        <f t="shared" si="553"/>
        <v>p.formar</v>
      </c>
      <c r="D1026" s="6" t="str">
        <f t="shared" si="585"/>
        <v>é.vetor.translação</v>
      </c>
      <c r="E1026" s="8" t="s">
        <v>28</v>
      </c>
      <c r="F1026" s="34" t="str">
        <f>F1023</f>
        <v>d.formar</v>
      </c>
      <c r="G1026" s="13" t="s">
        <v>2154</v>
      </c>
      <c r="H1026" s="33" t="s">
        <v>1581</v>
      </c>
      <c r="I1026" s="92" t="str">
        <f t="shared" si="578"/>
        <v>null</v>
      </c>
      <c r="J1026" s="80" t="s">
        <v>0</v>
      </c>
      <c r="K1026" s="80" t="s">
        <v>0</v>
      </c>
      <c r="L1026" s="80" t="s">
        <v>0</v>
      </c>
      <c r="M1026" s="80" t="s">
        <v>0</v>
      </c>
      <c r="N1026" s="80" t="s">
        <v>0</v>
      </c>
      <c r="O1026" s="80" t="s">
        <v>0</v>
      </c>
      <c r="P1026" s="80" t="s">
        <v>0</v>
      </c>
      <c r="Q1026" s="80" t="s">
        <v>0</v>
      </c>
      <c r="R1026" s="87" t="s">
        <v>2430</v>
      </c>
      <c r="S1026" s="10" t="s">
        <v>1</v>
      </c>
      <c r="T1026" s="10" t="s">
        <v>10221</v>
      </c>
      <c r="U1026" s="5" t="str">
        <f t="shared" si="579"/>
        <v>Propriedade destinada a formar: é.vetor.translação</v>
      </c>
      <c r="V1026" s="5" t="str">
        <f t="shared" si="580"/>
        <v>Dado para formar:  vetor.translação  Deve ser formatado como (rdfs:Literal  or  xsd:string)</v>
      </c>
      <c r="W1026" s="69" t="s">
        <v>5481</v>
      </c>
      <c r="X1026" s="17" t="str">
        <f t="shared" si="573"/>
        <v>d.forma.119</v>
      </c>
      <c r="Y1026" s="17" t="str">
        <f t="shared" si="574"/>
        <v>Ação de formar</v>
      </c>
      <c r="Z1026" s="62" t="s">
        <v>2432</v>
      </c>
      <c r="AA1026" s="18" t="str">
        <f t="shared" si="581"/>
        <v>null</v>
      </c>
      <c r="AB1026" s="19" t="s">
        <v>0</v>
      </c>
      <c r="AC1026" s="18" t="str">
        <f t="shared" si="582"/>
        <v>null</v>
      </c>
      <c r="AD1026" s="19" t="s">
        <v>0</v>
      </c>
      <c r="AE1026" s="18" t="str">
        <f t="shared" si="583"/>
        <v>null</v>
      </c>
      <c r="AF1026" s="75" t="s">
        <v>0</v>
      </c>
      <c r="AG1026" s="38" t="s">
        <v>8226</v>
      </c>
    </row>
    <row r="1027" spans="1:33" ht="6" customHeight="1" x14ac:dyDescent="0.4">
      <c r="A1027" s="4">
        <f>ROW()</f>
        <v>1027</v>
      </c>
      <c r="B1027" s="9" t="s">
        <v>27</v>
      </c>
      <c r="C1027" s="44" t="str">
        <f t="shared" si="553"/>
        <v>p.formar</v>
      </c>
      <c r="D1027" s="6" t="str">
        <f t="shared" si="585"/>
        <v>é.valor.distância</v>
      </c>
      <c r="E1027" s="8" t="s">
        <v>28</v>
      </c>
      <c r="F1027" s="34" t="str">
        <f t="shared" si="606"/>
        <v>d.formar</v>
      </c>
      <c r="G1027" s="13" t="s">
        <v>2183</v>
      </c>
      <c r="H1027" s="34" t="s">
        <v>35</v>
      </c>
      <c r="I1027" s="92" t="str">
        <f t="shared" si="578"/>
        <v>null</v>
      </c>
      <c r="J1027" s="80" t="s">
        <v>0</v>
      </c>
      <c r="K1027" s="80" t="s">
        <v>0</v>
      </c>
      <c r="L1027" s="80" t="s">
        <v>0</v>
      </c>
      <c r="M1027" s="80" t="s">
        <v>0</v>
      </c>
      <c r="N1027" s="80" t="s">
        <v>0</v>
      </c>
      <c r="O1027" s="80" t="s">
        <v>0</v>
      </c>
      <c r="P1027" s="80" t="s">
        <v>0</v>
      </c>
      <c r="Q1027" s="80" t="s">
        <v>0</v>
      </c>
      <c r="R1027" s="87" t="s">
        <v>0</v>
      </c>
      <c r="S1027" s="10" t="s">
        <v>1</v>
      </c>
      <c r="T1027" s="10" t="s">
        <v>10221</v>
      </c>
      <c r="U1027" s="5" t="str">
        <f t="shared" si="579"/>
        <v>Propriedade destinada a formar: é.valor.distância</v>
      </c>
      <c r="V1027" s="5" t="str">
        <f t="shared" si="580"/>
        <v>Dado para formar:  valor.distância  Deve ser formatado como (xsd:double)</v>
      </c>
      <c r="W1027" s="69" t="s">
        <v>5482</v>
      </c>
      <c r="X1027" s="17" t="str">
        <f t="shared" ref="X1027:X1090" si="607">IF(F1026&lt;&gt;F1027,_xlfn.CONCAT(RIGHT(LEFT(F1027,7),7),".100"),_xlfn.CONCAT(RIGHT(LEFT(F1027,7),7),".",SUM(VALUE(RIGHT(X1026,3)),1)))</f>
        <v>d.forma.120</v>
      </c>
      <c r="Y1027" s="17" t="str">
        <f t="shared" ref="Y1027:Y1090" si="608">_xlfn.CONCAT("Ação de ", SUBSTITUTE(F1027, "d.",  ""))</f>
        <v>Ação de formar</v>
      </c>
      <c r="Z1027" s="62" t="s">
        <v>4735</v>
      </c>
      <c r="AA1027" s="18" t="str">
        <f t="shared" si="581"/>
        <v>null</v>
      </c>
      <c r="AB1027" s="19" t="s">
        <v>0</v>
      </c>
      <c r="AC1027" s="18" t="str">
        <f t="shared" si="582"/>
        <v>null</v>
      </c>
      <c r="AD1027" s="19" t="s">
        <v>0</v>
      </c>
      <c r="AE1027" s="18" t="str">
        <f t="shared" si="583"/>
        <v>null</v>
      </c>
      <c r="AF1027" s="75" t="s">
        <v>0</v>
      </c>
      <c r="AG1027" s="38" t="s">
        <v>8227</v>
      </c>
    </row>
    <row r="1028" spans="1:33" ht="6" customHeight="1" x14ac:dyDescent="0.4">
      <c r="A1028" s="4">
        <f>ROW()</f>
        <v>1028</v>
      </c>
      <c r="B1028" s="9" t="s">
        <v>27</v>
      </c>
      <c r="C1028" s="44" t="str">
        <f t="shared" si="553"/>
        <v>p.formar</v>
      </c>
      <c r="D1028" s="6" t="str">
        <f t="shared" si="585"/>
        <v>é.valor.angular</v>
      </c>
      <c r="E1028" s="8" t="s">
        <v>28</v>
      </c>
      <c r="F1028" s="34" t="str">
        <f t="shared" si="606"/>
        <v>d.formar</v>
      </c>
      <c r="G1028" s="13" t="s">
        <v>1925</v>
      </c>
      <c r="H1028" s="34" t="s">
        <v>35</v>
      </c>
      <c r="I1028" s="92" t="str">
        <f t="shared" si="578"/>
        <v>null</v>
      </c>
      <c r="J1028" s="80" t="s">
        <v>0</v>
      </c>
      <c r="K1028" s="80" t="s">
        <v>0</v>
      </c>
      <c r="L1028" s="80" t="s">
        <v>0</v>
      </c>
      <c r="M1028" s="80" t="s">
        <v>0</v>
      </c>
      <c r="N1028" s="80" t="s">
        <v>0</v>
      </c>
      <c r="O1028" s="80" t="s">
        <v>0</v>
      </c>
      <c r="P1028" s="80" t="s">
        <v>0</v>
      </c>
      <c r="Q1028" s="80" t="s">
        <v>0</v>
      </c>
      <c r="R1028" s="87" t="s">
        <v>0</v>
      </c>
      <c r="S1028" s="10" t="s">
        <v>1</v>
      </c>
      <c r="T1028" s="10" t="s">
        <v>10221</v>
      </c>
      <c r="U1028" s="5" t="str">
        <f t="shared" si="579"/>
        <v>Propriedade destinada a formar: é.valor.angular</v>
      </c>
      <c r="V1028" s="5" t="str">
        <f t="shared" si="580"/>
        <v>Dado para formar:  valor.angular  Deve ser formatado como (xsd:double)</v>
      </c>
      <c r="W1028" s="69" t="s">
        <v>5483</v>
      </c>
      <c r="X1028" s="17" t="str">
        <f t="shared" si="607"/>
        <v>d.forma.121</v>
      </c>
      <c r="Y1028" s="17" t="str">
        <f t="shared" si="608"/>
        <v>Ação de formar</v>
      </c>
      <c r="Z1028" s="62" t="s">
        <v>4736</v>
      </c>
      <c r="AA1028" s="18" t="str">
        <f t="shared" si="581"/>
        <v>null</v>
      </c>
      <c r="AB1028" s="19" t="s">
        <v>0</v>
      </c>
      <c r="AC1028" s="18" t="str">
        <f t="shared" si="582"/>
        <v>null</v>
      </c>
      <c r="AD1028" s="19" t="s">
        <v>0</v>
      </c>
      <c r="AE1028" s="18" t="str">
        <f t="shared" si="583"/>
        <v>null</v>
      </c>
      <c r="AF1028" s="75" t="s">
        <v>0</v>
      </c>
      <c r="AG1028" s="38" t="s">
        <v>8228</v>
      </c>
    </row>
    <row r="1029" spans="1:33" ht="6" customHeight="1" x14ac:dyDescent="0.4">
      <c r="A1029" s="4">
        <f>ROW()</f>
        <v>1029</v>
      </c>
      <c r="B1029" s="9" t="s">
        <v>27</v>
      </c>
      <c r="C1029" s="44" t="str">
        <f t="shared" si="553"/>
        <v>p.formar</v>
      </c>
      <c r="D1029" s="6" t="str">
        <f t="shared" si="585"/>
        <v>é.valor.escalar</v>
      </c>
      <c r="E1029" s="8" t="s">
        <v>28</v>
      </c>
      <c r="F1029" s="34" t="str">
        <f t="shared" si="606"/>
        <v>d.formar</v>
      </c>
      <c r="G1029" s="13" t="s">
        <v>1926</v>
      </c>
      <c r="H1029" s="34" t="s">
        <v>35</v>
      </c>
      <c r="I1029" s="92" t="str">
        <f t="shared" si="578"/>
        <v>null</v>
      </c>
      <c r="J1029" s="80" t="s">
        <v>0</v>
      </c>
      <c r="K1029" s="80" t="s">
        <v>0</v>
      </c>
      <c r="L1029" s="80" t="s">
        <v>0</v>
      </c>
      <c r="M1029" s="80" t="s">
        <v>0</v>
      </c>
      <c r="N1029" s="80" t="s">
        <v>0</v>
      </c>
      <c r="O1029" s="80" t="s">
        <v>0</v>
      </c>
      <c r="P1029" s="80" t="s">
        <v>0</v>
      </c>
      <c r="Q1029" s="80" t="s">
        <v>0</v>
      </c>
      <c r="R1029" s="87" t="s">
        <v>0</v>
      </c>
      <c r="S1029" s="10" t="s">
        <v>1</v>
      </c>
      <c r="T1029" s="10" t="s">
        <v>10221</v>
      </c>
      <c r="U1029" s="5" t="str">
        <f t="shared" si="579"/>
        <v>Propriedade destinada a formar: é.valor.escalar</v>
      </c>
      <c r="V1029" s="5" t="str">
        <f t="shared" si="580"/>
        <v>Dado para formar:  valor.escalar  Deve ser formatado como (xsd:double)</v>
      </c>
      <c r="W1029" s="69" t="s">
        <v>5484</v>
      </c>
      <c r="X1029" s="17" t="str">
        <f t="shared" si="607"/>
        <v>d.forma.122</v>
      </c>
      <c r="Y1029" s="17" t="str">
        <f t="shared" si="608"/>
        <v>Ação de formar</v>
      </c>
      <c r="Z1029" s="62" t="s">
        <v>4737</v>
      </c>
      <c r="AA1029" s="18" t="str">
        <f t="shared" si="581"/>
        <v>null</v>
      </c>
      <c r="AB1029" s="19" t="s">
        <v>0</v>
      </c>
      <c r="AC1029" s="18" t="str">
        <f t="shared" si="582"/>
        <v>null</v>
      </c>
      <c r="AD1029" s="19" t="s">
        <v>0</v>
      </c>
      <c r="AE1029" s="18" t="str">
        <f t="shared" si="583"/>
        <v>null</v>
      </c>
      <c r="AF1029" s="75" t="s">
        <v>0</v>
      </c>
      <c r="AG1029" s="38" t="s">
        <v>8229</v>
      </c>
    </row>
    <row r="1030" spans="1:33" ht="6" customHeight="1" x14ac:dyDescent="0.4">
      <c r="A1030" s="4">
        <f>ROW()</f>
        <v>1030</v>
      </c>
      <c r="B1030" s="9" t="s">
        <v>27</v>
      </c>
      <c r="C1030" s="44" t="str">
        <f t="shared" ref="C1030" si="609">SUBSTITUTE(F1030,"d.","p.")</f>
        <v>p.formar</v>
      </c>
      <c r="D1030" s="6" t="str">
        <f t="shared" si="585"/>
        <v>é.ponto.u</v>
      </c>
      <c r="E1030" s="8" t="s">
        <v>28</v>
      </c>
      <c r="F1030" s="34" t="str">
        <f>F1026</f>
        <v>d.formar</v>
      </c>
      <c r="G1030" s="13" t="s">
        <v>2616</v>
      </c>
      <c r="H1030" s="34" t="s">
        <v>35</v>
      </c>
      <c r="I1030" s="92" t="str">
        <f t="shared" si="578"/>
        <v>null</v>
      </c>
      <c r="J1030" s="80" t="s">
        <v>0</v>
      </c>
      <c r="K1030" s="80" t="s">
        <v>0</v>
      </c>
      <c r="L1030" s="80" t="s">
        <v>0</v>
      </c>
      <c r="M1030" s="80" t="s">
        <v>0</v>
      </c>
      <c r="N1030" s="80" t="s">
        <v>0</v>
      </c>
      <c r="O1030" s="80" t="s">
        <v>0</v>
      </c>
      <c r="P1030" s="80" t="s">
        <v>0</v>
      </c>
      <c r="Q1030" s="80" t="s">
        <v>0</v>
      </c>
      <c r="R1030" s="87" t="s">
        <v>0</v>
      </c>
      <c r="S1030" s="10" t="s">
        <v>1</v>
      </c>
      <c r="T1030" s="10" t="s">
        <v>10221</v>
      </c>
      <c r="U1030" s="5" t="str">
        <f t="shared" si="579"/>
        <v>Propriedade destinada a formar: é.ponto.u</v>
      </c>
      <c r="V1030" s="5" t="str">
        <f t="shared" si="580"/>
        <v>Dado para formar:  ponto.u  Deve ser formatado como (xsd:double)</v>
      </c>
      <c r="W1030" s="69" t="s">
        <v>5485</v>
      </c>
      <c r="X1030" s="17" t="str">
        <f t="shared" si="607"/>
        <v>d.forma.123</v>
      </c>
      <c r="Y1030" s="17" t="str">
        <f t="shared" si="608"/>
        <v>Ação de formar</v>
      </c>
      <c r="Z1030" s="62" t="s">
        <v>4738</v>
      </c>
      <c r="AA1030" s="18" t="str">
        <f t="shared" ref="AA1030" si="610">IF(AB1030="null", "null", "categoria.revit")</f>
        <v>null</v>
      </c>
      <c r="AB1030" s="19" t="s">
        <v>0</v>
      </c>
      <c r="AC1030" s="18" t="str">
        <f t="shared" ref="AC1030" si="611">IF(AD1030="null", "null", "classe.ifc")</f>
        <v>null</v>
      </c>
      <c r="AD1030" s="19" t="s">
        <v>0</v>
      </c>
      <c r="AE1030" s="18" t="str">
        <f t="shared" si="583"/>
        <v>null</v>
      </c>
      <c r="AF1030" s="75" t="s">
        <v>0</v>
      </c>
      <c r="AG1030" s="51" t="s">
        <v>8230</v>
      </c>
    </row>
    <row r="1031" spans="1:33" ht="6" customHeight="1" x14ac:dyDescent="0.4">
      <c r="A1031" s="4">
        <f>ROW()</f>
        <v>1031</v>
      </c>
      <c r="B1031" s="9" t="s">
        <v>27</v>
      </c>
      <c r="C1031" s="44" t="str">
        <f t="shared" ref="C1031:C1047" si="612">SUBSTITUTE(F1031,"d.","p.")</f>
        <v>p.formar</v>
      </c>
      <c r="D1031" s="6" t="str">
        <f t="shared" si="585"/>
        <v>é.ponto.uv</v>
      </c>
      <c r="E1031" s="8" t="s">
        <v>28</v>
      </c>
      <c r="F1031" s="34" t="str">
        <f>F1027</f>
        <v>d.formar</v>
      </c>
      <c r="G1031" s="13" t="s">
        <v>2617</v>
      </c>
      <c r="H1031" s="33" t="s">
        <v>1581</v>
      </c>
      <c r="I1031" s="92" t="str">
        <f t="shared" ref="I1031:I1094" si="613">IF(OR(J1031="Functional",K1031="InverseFunctional"),"Functional","null")</f>
        <v>null</v>
      </c>
      <c r="J1031" s="80" t="s">
        <v>0</v>
      </c>
      <c r="K1031" s="80" t="s">
        <v>0</v>
      </c>
      <c r="L1031" s="80" t="s">
        <v>0</v>
      </c>
      <c r="M1031" s="80" t="s">
        <v>0</v>
      </c>
      <c r="N1031" s="80" t="s">
        <v>0</v>
      </c>
      <c r="O1031" s="80" t="s">
        <v>0</v>
      </c>
      <c r="P1031" s="80" t="s">
        <v>0</v>
      </c>
      <c r="Q1031" s="80" t="s">
        <v>0</v>
      </c>
      <c r="R1031" s="87" t="s">
        <v>2440</v>
      </c>
      <c r="S1031" s="10" t="s">
        <v>1</v>
      </c>
      <c r="T1031" s="10" t="s">
        <v>10221</v>
      </c>
      <c r="U1031" s="5" t="str">
        <f t="shared" si="579"/>
        <v>Propriedade destinada a formar: é.ponto.uv</v>
      </c>
      <c r="V1031" s="5" t="str">
        <f t="shared" si="580"/>
        <v>Dado para formar:  ponto.uv  Deve ser formatado como (rdfs:Literal  or  xsd:string)</v>
      </c>
      <c r="W1031" s="69" t="s">
        <v>5486</v>
      </c>
      <c r="X1031" s="17" t="str">
        <f t="shared" si="607"/>
        <v>d.forma.124</v>
      </c>
      <c r="Y1031" s="17" t="str">
        <f t="shared" si="608"/>
        <v>Ação de formar</v>
      </c>
      <c r="Z1031" s="62" t="s">
        <v>4686</v>
      </c>
      <c r="AA1031" s="18" t="str">
        <f t="shared" si="581"/>
        <v>null</v>
      </c>
      <c r="AB1031" s="19" t="s">
        <v>0</v>
      </c>
      <c r="AC1031" s="18" t="str">
        <f t="shared" si="582"/>
        <v>null</v>
      </c>
      <c r="AD1031" s="19" t="s">
        <v>0</v>
      </c>
      <c r="AE1031" s="18" t="str">
        <f t="shared" si="583"/>
        <v>null</v>
      </c>
      <c r="AF1031" s="75" t="s">
        <v>0</v>
      </c>
      <c r="AG1031" s="51" t="s">
        <v>8231</v>
      </c>
    </row>
    <row r="1032" spans="1:33" ht="6" customHeight="1" x14ac:dyDescent="0.4">
      <c r="A1032" s="4">
        <f>ROW()</f>
        <v>1032</v>
      </c>
      <c r="B1032" s="9" t="s">
        <v>27</v>
      </c>
      <c r="C1032" s="44" t="str">
        <f t="shared" si="612"/>
        <v>p.formar</v>
      </c>
      <c r="D1032" s="6" t="str">
        <f t="shared" si="585"/>
        <v>é.ponto.xy</v>
      </c>
      <c r="E1032" s="8" t="s">
        <v>28</v>
      </c>
      <c r="F1032" s="34" t="str">
        <f>F1027</f>
        <v>d.formar</v>
      </c>
      <c r="G1032" s="13" t="s">
        <v>2312</v>
      </c>
      <c r="H1032" s="33" t="s">
        <v>1581</v>
      </c>
      <c r="I1032" s="92" t="str">
        <f t="shared" si="613"/>
        <v>null</v>
      </c>
      <c r="J1032" s="80" t="s">
        <v>0</v>
      </c>
      <c r="K1032" s="80" t="s">
        <v>0</v>
      </c>
      <c r="L1032" s="80" t="s">
        <v>0</v>
      </c>
      <c r="M1032" s="80" t="s">
        <v>0</v>
      </c>
      <c r="N1032" s="80" t="s">
        <v>0</v>
      </c>
      <c r="O1032" s="80" t="s">
        <v>0</v>
      </c>
      <c r="P1032" s="80" t="s">
        <v>0</v>
      </c>
      <c r="Q1032" s="80" t="s">
        <v>0</v>
      </c>
      <c r="R1032" s="87" t="s">
        <v>2403</v>
      </c>
      <c r="S1032" s="10" t="s">
        <v>1</v>
      </c>
      <c r="T1032" s="10" t="s">
        <v>10221</v>
      </c>
      <c r="U1032" s="5" t="str">
        <f t="shared" si="579"/>
        <v>Propriedade destinada a formar: é.ponto.xy</v>
      </c>
      <c r="V1032" s="5" t="str">
        <f t="shared" si="580"/>
        <v>Dado para formar:  ponto.xy  Deve ser formatado como (rdfs:Literal  or  xsd:string)</v>
      </c>
      <c r="W1032" s="69" t="s">
        <v>5487</v>
      </c>
      <c r="X1032" s="17" t="str">
        <f t="shared" si="607"/>
        <v>d.forma.125</v>
      </c>
      <c r="Y1032" s="17" t="str">
        <f t="shared" si="608"/>
        <v>Ação de formar</v>
      </c>
      <c r="Z1032" s="62" t="s">
        <v>4687</v>
      </c>
      <c r="AA1032" s="18" t="str">
        <f t="shared" si="581"/>
        <v>null</v>
      </c>
      <c r="AB1032" s="19" t="s">
        <v>0</v>
      </c>
      <c r="AC1032" s="18" t="str">
        <f t="shared" si="582"/>
        <v>null</v>
      </c>
      <c r="AD1032" s="19" t="s">
        <v>0</v>
      </c>
      <c r="AE1032" s="18" t="str">
        <f t="shared" si="583"/>
        <v>null</v>
      </c>
      <c r="AF1032" s="75" t="s">
        <v>0</v>
      </c>
      <c r="AG1032" s="51" t="s">
        <v>8232</v>
      </c>
    </row>
    <row r="1033" spans="1:33" ht="6" customHeight="1" x14ac:dyDescent="0.4">
      <c r="A1033" s="4">
        <f>ROW()</f>
        <v>1033</v>
      </c>
      <c r="B1033" s="9" t="s">
        <v>27</v>
      </c>
      <c r="C1033" s="44" t="str">
        <f t="shared" si="612"/>
        <v>p.formar</v>
      </c>
      <c r="D1033" s="6" t="str">
        <f t="shared" si="585"/>
        <v>é.ponto.xyz</v>
      </c>
      <c r="E1033" s="8" t="s">
        <v>28</v>
      </c>
      <c r="F1033" s="34" t="str">
        <f>F1027</f>
        <v>d.formar</v>
      </c>
      <c r="G1033" s="13" t="s">
        <v>2308</v>
      </c>
      <c r="H1033" s="33" t="s">
        <v>1581</v>
      </c>
      <c r="I1033" s="92" t="str">
        <f t="shared" si="613"/>
        <v>null</v>
      </c>
      <c r="J1033" s="80" t="s">
        <v>0</v>
      </c>
      <c r="K1033" s="80" t="s">
        <v>0</v>
      </c>
      <c r="L1033" s="80" t="s">
        <v>0</v>
      </c>
      <c r="M1033" s="80" t="s">
        <v>0</v>
      </c>
      <c r="N1033" s="80" t="s">
        <v>0</v>
      </c>
      <c r="O1033" s="80" t="s">
        <v>0</v>
      </c>
      <c r="P1033" s="80" t="s">
        <v>0</v>
      </c>
      <c r="Q1033" s="80" t="s">
        <v>0</v>
      </c>
      <c r="R1033" s="87" t="s">
        <v>2404</v>
      </c>
      <c r="S1033" s="10" t="s">
        <v>1</v>
      </c>
      <c r="T1033" s="10" t="s">
        <v>10221</v>
      </c>
      <c r="U1033" s="5" t="str">
        <f t="shared" si="579"/>
        <v>Propriedade destinada a formar: é.ponto.xyz</v>
      </c>
      <c r="V1033" s="5" t="str">
        <f t="shared" si="580"/>
        <v>Dado para formar:  ponto.xyz  Deve ser formatado como (rdfs:Literal  or  xsd:string)</v>
      </c>
      <c r="W1033" s="69" t="s">
        <v>5488</v>
      </c>
      <c r="X1033" s="17" t="str">
        <f t="shared" si="607"/>
        <v>d.forma.126</v>
      </c>
      <c r="Y1033" s="17" t="str">
        <f t="shared" si="608"/>
        <v>Ação de formar</v>
      </c>
      <c r="Z1033" s="62" t="s">
        <v>4688</v>
      </c>
      <c r="AA1033" s="18" t="str">
        <f t="shared" si="581"/>
        <v>null</v>
      </c>
      <c r="AB1033" s="19" t="s">
        <v>0</v>
      </c>
      <c r="AC1033" s="18" t="str">
        <f t="shared" si="582"/>
        <v>null</v>
      </c>
      <c r="AD1033" s="19" t="s">
        <v>0</v>
      </c>
      <c r="AE1033" s="18" t="str">
        <f t="shared" si="583"/>
        <v>null</v>
      </c>
      <c r="AF1033" s="75" t="s">
        <v>0</v>
      </c>
      <c r="AG1033" s="51" t="s">
        <v>8233</v>
      </c>
    </row>
    <row r="1034" spans="1:33" ht="6" customHeight="1" x14ac:dyDescent="0.4">
      <c r="A1034" s="4">
        <f>ROW()</f>
        <v>1034</v>
      </c>
      <c r="B1034" s="9" t="s">
        <v>27</v>
      </c>
      <c r="C1034" s="44" t="str">
        <f t="shared" si="612"/>
        <v>p.formar</v>
      </c>
      <c r="D1034" s="6" t="str">
        <f t="shared" si="585"/>
        <v>é.ponto.xyzi</v>
      </c>
      <c r="E1034" s="8" t="s">
        <v>28</v>
      </c>
      <c r="F1034" s="34" t="str">
        <f>F1028</f>
        <v>d.formar</v>
      </c>
      <c r="G1034" s="13" t="s">
        <v>2326</v>
      </c>
      <c r="H1034" s="33" t="s">
        <v>1581</v>
      </c>
      <c r="I1034" s="92" t="str">
        <f t="shared" si="613"/>
        <v>null</v>
      </c>
      <c r="J1034" s="80" t="s">
        <v>0</v>
      </c>
      <c r="K1034" s="80" t="s">
        <v>0</v>
      </c>
      <c r="L1034" s="80" t="s">
        <v>0</v>
      </c>
      <c r="M1034" s="80" t="s">
        <v>0</v>
      </c>
      <c r="N1034" s="80" t="s">
        <v>0</v>
      </c>
      <c r="O1034" s="80" t="s">
        <v>0</v>
      </c>
      <c r="P1034" s="80" t="s">
        <v>0</v>
      </c>
      <c r="Q1034" s="80" t="s">
        <v>0</v>
      </c>
      <c r="R1034" s="84" t="s">
        <v>0</v>
      </c>
      <c r="S1034" s="10" t="s">
        <v>1</v>
      </c>
      <c r="T1034" s="10" t="s">
        <v>10221</v>
      </c>
      <c r="U1034" s="5" t="str">
        <f t="shared" ref="U1034:U1047" si="614">_xlfn.CONCAT("Propriedade destinada a ",MID(C1034,FIND("p.",C1034,1)+2,100),": ",D1034)</f>
        <v>Propriedade destinada a formar: é.ponto.xyzi</v>
      </c>
      <c r="V1034" s="5" t="str">
        <f t="shared" ref="V1034:V1047" si="615">_xlfn.CONCAT("Dado para ",MID(F1034,FIND("d.",F1034,1)+2,100),":  ",G1034, "  Deve ser formatado como (",H1034, ")")</f>
        <v>Dado para formar:  ponto.xyzi  Deve ser formatado como (rdfs:Literal  or  xsd:string)</v>
      </c>
      <c r="W1034" s="69" t="s">
        <v>5489</v>
      </c>
      <c r="X1034" s="17" t="str">
        <f t="shared" si="607"/>
        <v>d.forma.127</v>
      </c>
      <c r="Y1034" s="17" t="str">
        <f t="shared" si="608"/>
        <v>Ação de formar</v>
      </c>
      <c r="Z1034" s="62" t="s">
        <v>4689</v>
      </c>
      <c r="AA1034" s="18" t="str">
        <f t="shared" si="581"/>
        <v>null</v>
      </c>
      <c r="AB1034" s="19" t="s">
        <v>0</v>
      </c>
      <c r="AC1034" s="18" t="str">
        <f t="shared" si="582"/>
        <v>null</v>
      </c>
      <c r="AD1034" s="19" t="s">
        <v>0</v>
      </c>
      <c r="AE1034" s="18" t="str">
        <f t="shared" si="583"/>
        <v>null</v>
      </c>
      <c r="AF1034" s="75" t="s">
        <v>0</v>
      </c>
      <c r="AG1034" s="51" t="s">
        <v>8234</v>
      </c>
    </row>
    <row r="1035" spans="1:33" ht="6" customHeight="1" x14ac:dyDescent="0.4">
      <c r="A1035" s="4">
        <f>ROW()</f>
        <v>1035</v>
      </c>
      <c r="B1035" s="9" t="s">
        <v>27</v>
      </c>
      <c r="C1035" s="44" t="str">
        <f t="shared" si="612"/>
        <v>p.formar</v>
      </c>
      <c r="D1035" s="6" t="str">
        <f t="shared" si="585"/>
        <v>é.ponto.base</v>
      </c>
      <c r="E1035" s="8" t="s">
        <v>28</v>
      </c>
      <c r="F1035" s="34" t="str">
        <f>F1029</f>
        <v>d.formar</v>
      </c>
      <c r="G1035" s="13" t="s">
        <v>2153</v>
      </c>
      <c r="H1035" s="33" t="s">
        <v>1581</v>
      </c>
      <c r="I1035" s="92" t="str">
        <f t="shared" si="613"/>
        <v>Functional</v>
      </c>
      <c r="J1035" s="80" t="s">
        <v>29</v>
      </c>
      <c r="K1035" s="80" t="s">
        <v>0</v>
      </c>
      <c r="L1035" s="80" t="s">
        <v>0</v>
      </c>
      <c r="M1035" s="80" t="s">
        <v>0</v>
      </c>
      <c r="N1035" s="80" t="s">
        <v>0</v>
      </c>
      <c r="O1035" s="80" t="s">
        <v>0</v>
      </c>
      <c r="P1035" s="80" t="s">
        <v>0</v>
      </c>
      <c r="Q1035" s="80" t="s">
        <v>0</v>
      </c>
      <c r="R1035" s="84" t="s">
        <v>0</v>
      </c>
      <c r="S1035" s="10" t="s">
        <v>1</v>
      </c>
      <c r="T1035" s="10" t="s">
        <v>10221</v>
      </c>
      <c r="U1035" s="5" t="str">
        <f t="shared" si="614"/>
        <v>Propriedade destinada a formar: é.ponto.base</v>
      </c>
      <c r="V1035" s="5" t="str">
        <f t="shared" si="615"/>
        <v>Dado para formar:  ponto.base  Deve ser formatado como (rdfs:Literal  or  xsd:string)</v>
      </c>
      <c r="W1035" s="69" t="s">
        <v>5490</v>
      </c>
      <c r="X1035" s="17" t="str">
        <f t="shared" si="607"/>
        <v>d.forma.128</v>
      </c>
      <c r="Y1035" s="17" t="str">
        <f t="shared" si="608"/>
        <v>Ação de formar</v>
      </c>
      <c r="Z1035" s="62" t="s">
        <v>4690</v>
      </c>
      <c r="AA1035" s="18" t="str">
        <f t="shared" si="581"/>
        <v>null</v>
      </c>
      <c r="AB1035" s="19" t="s">
        <v>0</v>
      </c>
      <c r="AC1035" s="18" t="str">
        <f t="shared" si="582"/>
        <v>null</v>
      </c>
      <c r="AD1035" s="19" t="s">
        <v>0</v>
      </c>
      <c r="AE1035" s="18" t="str">
        <f t="shared" si="583"/>
        <v>null</v>
      </c>
      <c r="AF1035" s="75" t="s">
        <v>0</v>
      </c>
      <c r="AG1035" s="51" t="s">
        <v>8235</v>
      </c>
    </row>
    <row r="1036" spans="1:33" ht="6" customHeight="1" x14ac:dyDescent="0.4">
      <c r="A1036" s="4">
        <f>ROW()</f>
        <v>1036</v>
      </c>
      <c r="B1036" s="9" t="s">
        <v>27</v>
      </c>
      <c r="C1036" s="44" t="str">
        <f t="shared" si="612"/>
        <v>p.formar</v>
      </c>
      <c r="D1036" s="6" t="str">
        <f t="shared" si="585"/>
        <v>é.ponto.de.inserção</v>
      </c>
      <c r="E1036" s="8" t="s">
        <v>28</v>
      </c>
      <c r="F1036" s="34" t="str">
        <f t="shared" ref="F1036:F1043" si="616">F1034</f>
        <v>d.formar</v>
      </c>
      <c r="G1036" s="13" t="s">
        <v>2305</v>
      </c>
      <c r="H1036" s="33" t="s">
        <v>1581</v>
      </c>
      <c r="I1036" s="92" t="str">
        <f t="shared" si="613"/>
        <v>Functional</v>
      </c>
      <c r="J1036" s="80" t="s">
        <v>29</v>
      </c>
      <c r="K1036" s="80" t="s">
        <v>0</v>
      </c>
      <c r="L1036" s="80" t="s">
        <v>0</v>
      </c>
      <c r="M1036" s="80" t="s">
        <v>0</v>
      </c>
      <c r="N1036" s="80" t="s">
        <v>0</v>
      </c>
      <c r="O1036" s="80" t="s">
        <v>0</v>
      </c>
      <c r="P1036" s="80" t="s">
        <v>0</v>
      </c>
      <c r="Q1036" s="80" t="s">
        <v>0</v>
      </c>
      <c r="R1036" s="84" t="s">
        <v>0</v>
      </c>
      <c r="S1036" s="10" t="s">
        <v>1</v>
      </c>
      <c r="T1036" s="10" t="s">
        <v>10221</v>
      </c>
      <c r="U1036" s="5" t="str">
        <f t="shared" si="614"/>
        <v>Propriedade destinada a formar: é.ponto.de.inserção</v>
      </c>
      <c r="V1036" s="5" t="str">
        <f t="shared" si="615"/>
        <v>Dado para formar:  ponto.de.inserção  Deve ser formatado como (rdfs:Literal  or  xsd:string)</v>
      </c>
      <c r="W1036" s="69" t="s">
        <v>5491</v>
      </c>
      <c r="X1036" s="17" t="str">
        <f t="shared" si="607"/>
        <v>d.forma.129</v>
      </c>
      <c r="Y1036" s="17" t="str">
        <f t="shared" si="608"/>
        <v>Ação de formar</v>
      </c>
      <c r="Z1036" s="62" t="s">
        <v>4691</v>
      </c>
      <c r="AA1036" s="18" t="str">
        <f t="shared" si="581"/>
        <v>null</v>
      </c>
      <c r="AB1036" s="19" t="s">
        <v>0</v>
      </c>
      <c r="AC1036" s="18" t="str">
        <f t="shared" si="582"/>
        <v>null</v>
      </c>
      <c r="AD1036" s="19" t="s">
        <v>0</v>
      </c>
      <c r="AE1036" s="18" t="str">
        <f t="shared" si="583"/>
        <v>null</v>
      </c>
      <c r="AF1036" s="75" t="s">
        <v>0</v>
      </c>
      <c r="AG1036" s="51" t="s">
        <v>8236</v>
      </c>
    </row>
    <row r="1037" spans="1:33" ht="6" customHeight="1" x14ac:dyDescent="0.4">
      <c r="A1037" s="4">
        <f>ROW()</f>
        <v>1037</v>
      </c>
      <c r="B1037" s="9" t="s">
        <v>27</v>
      </c>
      <c r="C1037" s="44" t="str">
        <f t="shared" si="612"/>
        <v>p.formar</v>
      </c>
      <c r="D1037" s="6" t="str">
        <f t="shared" si="585"/>
        <v>é.ponto.analítico</v>
      </c>
      <c r="E1037" s="8" t="s">
        <v>28</v>
      </c>
      <c r="F1037" s="34" t="str">
        <f t="shared" si="616"/>
        <v>d.formar</v>
      </c>
      <c r="G1037" s="13" t="s">
        <v>2433</v>
      </c>
      <c r="H1037" s="33" t="s">
        <v>1581</v>
      </c>
      <c r="I1037" s="92" t="str">
        <f t="shared" si="613"/>
        <v>null</v>
      </c>
      <c r="J1037" s="80" t="s">
        <v>0</v>
      </c>
      <c r="K1037" s="80" t="s">
        <v>0</v>
      </c>
      <c r="L1037" s="80" t="s">
        <v>0</v>
      </c>
      <c r="M1037" s="80" t="s">
        <v>0</v>
      </c>
      <c r="N1037" s="80" t="s">
        <v>0</v>
      </c>
      <c r="O1037" s="80" t="s">
        <v>0</v>
      </c>
      <c r="P1037" s="80" t="s">
        <v>0</v>
      </c>
      <c r="Q1037" s="80" t="s">
        <v>0</v>
      </c>
      <c r="R1037" s="84" t="s">
        <v>2313</v>
      </c>
      <c r="S1037" s="10" t="s">
        <v>1</v>
      </c>
      <c r="T1037" s="10" t="s">
        <v>10221</v>
      </c>
      <c r="U1037" s="5" t="str">
        <f t="shared" si="614"/>
        <v>Propriedade destinada a formar: é.ponto.analítico</v>
      </c>
      <c r="V1037" s="5" t="str">
        <f t="shared" si="615"/>
        <v>Dado para formar:  ponto.analítico  Deve ser formatado como (rdfs:Literal  or  xsd:string)</v>
      </c>
      <c r="W1037" s="69" t="s">
        <v>5492</v>
      </c>
      <c r="X1037" s="17" t="str">
        <f t="shared" si="607"/>
        <v>d.forma.130</v>
      </c>
      <c r="Y1037" s="17" t="str">
        <f t="shared" si="608"/>
        <v>Ação de formar</v>
      </c>
      <c r="Z1037" s="62" t="s">
        <v>2314</v>
      </c>
      <c r="AA1037" s="18" t="str">
        <f t="shared" si="581"/>
        <v>null</v>
      </c>
      <c r="AB1037" s="19" t="s">
        <v>0</v>
      </c>
      <c r="AC1037" s="18" t="str">
        <f t="shared" si="582"/>
        <v>null</v>
      </c>
      <c r="AD1037" s="19" t="s">
        <v>0</v>
      </c>
      <c r="AE1037" s="18" t="str">
        <f t="shared" si="583"/>
        <v>null</v>
      </c>
      <c r="AF1037" s="75" t="s">
        <v>0</v>
      </c>
      <c r="AG1037" s="52" t="s">
        <v>8237</v>
      </c>
    </row>
    <row r="1038" spans="1:33" ht="6" customHeight="1" x14ac:dyDescent="0.4">
      <c r="A1038" s="4">
        <f>ROW()</f>
        <v>1038</v>
      </c>
      <c r="B1038" s="9" t="s">
        <v>27</v>
      </c>
      <c r="C1038" s="44" t="str">
        <f t="shared" si="612"/>
        <v>p.formar</v>
      </c>
      <c r="D1038" s="6" t="str">
        <f t="shared" si="585"/>
        <v>é.pontos.analíticos</v>
      </c>
      <c r="E1038" s="8" t="s">
        <v>28</v>
      </c>
      <c r="F1038" s="34" t="str">
        <f t="shared" si="616"/>
        <v>d.formar</v>
      </c>
      <c r="G1038" s="13" t="s">
        <v>2434</v>
      </c>
      <c r="H1038" s="34" t="s">
        <v>1581</v>
      </c>
      <c r="I1038" s="92" t="str">
        <f t="shared" si="613"/>
        <v>null</v>
      </c>
      <c r="J1038" s="80" t="s">
        <v>0</v>
      </c>
      <c r="K1038" s="80" t="s">
        <v>0</v>
      </c>
      <c r="L1038" s="80" t="s">
        <v>0</v>
      </c>
      <c r="M1038" s="80" t="s">
        <v>0</v>
      </c>
      <c r="N1038" s="80" t="s">
        <v>0</v>
      </c>
      <c r="O1038" s="80" t="s">
        <v>0</v>
      </c>
      <c r="P1038" s="80" t="s">
        <v>0</v>
      </c>
      <c r="Q1038" s="80" t="s">
        <v>0</v>
      </c>
      <c r="R1038" s="84" t="s">
        <v>0</v>
      </c>
      <c r="S1038" s="10" t="s">
        <v>1</v>
      </c>
      <c r="T1038" s="10" t="s">
        <v>10221</v>
      </c>
      <c r="U1038" s="5" t="str">
        <f t="shared" si="614"/>
        <v>Propriedade destinada a formar: é.pontos.analíticos</v>
      </c>
      <c r="V1038" s="5" t="str">
        <f t="shared" si="615"/>
        <v>Dado para formar:  pontos.analíticos  Deve ser formatado como (rdfs:Literal  or  xsd:string)</v>
      </c>
      <c r="W1038" s="69" t="s">
        <v>5493</v>
      </c>
      <c r="X1038" s="17" t="str">
        <f t="shared" si="607"/>
        <v>d.forma.131</v>
      </c>
      <c r="Y1038" s="17" t="str">
        <f t="shared" si="608"/>
        <v>Ação de formar</v>
      </c>
      <c r="Z1038" s="62" t="s">
        <v>2306</v>
      </c>
      <c r="AA1038" s="18" t="str">
        <f t="shared" si="581"/>
        <v>null</v>
      </c>
      <c r="AB1038" s="19" t="s">
        <v>0</v>
      </c>
      <c r="AC1038" s="18" t="str">
        <f t="shared" si="582"/>
        <v>null</v>
      </c>
      <c r="AD1038" s="19" t="s">
        <v>0</v>
      </c>
      <c r="AE1038" s="18" t="str">
        <f t="shared" si="583"/>
        <v>null</v>
      </c>
      <c r="AF1038" s="75" t="s">
        <v>0</v>
      </c>
      <c r="AG1038" s="38" t="s">
        <v>8238</v>
      </c>
    </row>
    <row r="1039" spans="1:33" ht="6" customHeight="1" x14ac:dyDescent="0.4">
      <c r="A1039" s="4">
        <f>ROW()</f>
        <v>1039</v>
      </c>
      <c r="B1039" s="9" t="s">
        <v>27</v>
      </c>
      <c r="C1039" s="44" t="str">
        <f t="shared" si="612"/>
        <v>p.formar</v>
      </c>
      <c r="D1039" s="6" t="str">
        <f t="shared" si="585"/>
        <v>é.plano.da.transformação</v>
      </c>
      <c r="E1039" s="8" t="s">
        <v>28</v>
      </c>
      <c r="F1039" s="34" t="str">
        <f t="shared" si="616"/>
        <v>d.formar</v>
      </c>
      <c r="G1039" s="13" t="s">
        <v>1919</v>
      </c>
      <c r="H1039" s="33" t="s">
        <v>1581</v>
      </c>
      <c r="I1039" s="92" t="str">
        <f t="shared" si="613"/>
        <v>null</v>
      </c>
      <c r="J1039" s="80" t="s">
        <v>0</v>
      </c>
      <c r="K1039" s="80" t="s">
        <v>0</v>
      </c>
      <c r="L1039" s="80" t="s">
        <v>0</v>
      </c>
      <c r="M1039" s="80" t="s">
        <v>0</v>
      </c>
      <c r="N1039" s="80" t="s">
        <v>0</v>
      </c>
      <c r="O1039" s="80" t="s">
        <v>0</v>
      </c>
      <c r="P1039" s="80" t="s">
        <v>0</v>
      </c>
      <c r="Q1039" s="80" t="s">
        <v>0</v>
      </c>
      <c r="R1039" s="84" t="s">
        <v>0</v>
      </c>
      <c r="S1039" s="10" t="s">
        <v>1</v>
      </c>
      <c r="T1039" s="10" t="s">
        <v>10221</v>
      </c>
      <c r="U1039" s="5" t="str">
        <f t="shared" si="614"/>
        <v>Propriedade destinada a formar: é.plano.da.transformação</v>
      </c>
      <c r="V1039" s="5" t="str">
        <f t="shared" si="615"/>
        <v>Dado para formar:  plano.da.transformação  Deve ser formatado como (rdfs:Literal  or  xsd:string)</v>
      </c>
      <c r="W1039" s="69" t="s">
        <v>5494</v>
      </c>
      <c r="X1039" s="17" t="str">
        <f t="shared" si="607"/>
        <v>d.forma.132</v>
      </c>
      <c r="Y1039" s="17" t="str">
        <f t="shared" si="608"/>
        <v>Ação de formar</v>
      </c>
      <c r="Z1039" s="62" t="s">
        <v>1951</v>
      </c>
      <c r="AA1039" s="18" t="str">
        <f t="shared" si="581"/>
        <v>null</v>
      </c>
      <c r="AB1039" s="19" t="s">
        <v>0</v>
      </c>
      <c r="AC1039" s="18" t="str">
        <f t="shared" si="582"/>
        <v>null</v>
      </c>
      <c r="AD1039" s="19" t="s">
        <v>0</v>
      </c>
      <c r="AE1039" s="18" t="str">
        <f t="shared" si="583"/>
        <v>null</v>
      </c>
      <c r="AF1039" s="75" t="s">
        <v>0</v>
      </c>
      <c r="AG1039" s="38" t="s">
        <v>8239</v>
      </c>
    </row>
    <row r="1040" spans="1:33" ht="6" customHeight="1" x14ac:dyDescent="0.4">
      <c r="A1040" s="4">
        <f>ROW()</f>
        <v>1040</v>
      </c>
      <c r="B1040" s="9" t="s">
        <v>27</v>
      </c>
      <c r="C1040" s="44" t="str">
        <f t="shared" si="612"/>
        <v>p.formar</v>
      </c>
      <c r="D1040" s="6" t="str">
        <f t="shared" si="585"/>
        <v>é.forma.geométrica</v>
      </c>
      <c r="E1040" s="8" t="s">
        <v>28</v>
      </c>
      <c r="F1040" s="34" t="str">
        <f t="shared" si="616"/>
        <v>d.formar</v>
      </c>
      <c r="G1040" s="13" t="s">
        <v>1917</v>
      </c>
      <c r="H1040" s="33" t="s">
        <v>1581</v>
      </c>
      <c r="I1040" s="92" t="str">
        <f t="shared" si="613"/>
        <v>null</v>
      </c>
      <c r="J1040" s="80" t="s">
        <v>0</v>
      </c>
      <c r="K1040" s="80" t="s">
        <v>0</v>
      </c>
      <c r="L1040" s="80" t="s">
        <v>0</v>
      </c>
      <c r="M1040" s="80" t="s">
        <v>0</v>
      </c>
      <c r="N1040" s="80" t="s">
        <v>0</v>
      </c>
      <c r="O1040" s="80" t="s">
        <v>0</v>
      </c>
      <c r="P1040" s="80" t="s">
        <v>0</v>
      </c>
      <c r="Q1040" s="80" t="s">
        <v>0</v>
      </c>
      <c r="R1040" s="84" t="s">
        <v>0</v>
      </c>
      <c r="S1040" s="10" t="s">
        <v>1</v>
      </c>
      <c r="T1040" s="10" t="s">
        <v>10221</v>
      </c>
      <c r="U1040" s="5" t="str">
        <f t="shared" si="614"/>
        <v>Propriedade destinada a formar: é.forma.geométrica</v>
      </c>
      <c r="V1040" s="5" t="str">
        <f t="shared" si="615"/>
        <v>Dado para formar:  forma.geométrica  Deve ser formatado como (rdfs:Literal  or  xsd:string)</v>
      </c>
      <c r="W1040" s="69" t="s">
        <v>5495</v>
      </c>
      <c r="X1040" s="17" t="str">
        <f t="shared" si="607"/>
        <v>d.forma.133</v>
      </c>
      <c r="Y1040" s="17" t="str">
        <f t="shared" si="608"/>
        <v>Ação de formar</v>
      </c>
      <c r="Z1040" s="62" t="s">
        <v>4794</v>
      </c>
      <c r="AA1040" s="18" t="str">
        <f t="shared" ref="AA1040:AA1047" si="617">IF(AB1040="null", "null", "categoria.revit")</f>
        <v>null</v>
      </c>
      <c r="AB1040" s="19" t="s">
        <v>0</v>
      </c>
      <c r="AC1040" s="18" t="str">
        <f t="shared" ref="AC1040:AC1047" si="618">IF(AD1040="null", "null", "classe.ifc")</f>
        <v>null</v>
      </c>
      <c r="AD1040" s="19" t="s">
        <v>0</v>
      </c>
      <c r="AE1040" s="18" t="str">
        <f t="shared" si="583"/>
        <v>null</v>
      </c>
      <c r="AF1040" s="75" t="s">
        <v>0</v>
      </c>
      <c r="AG1040" s="38" t="s">
        <v>8240</v>
      </c>
    </row>
    <row r="1041" spans="1:33" ht="6" customHeight="1" x14ac:dyDescent="0.4">
      <c r="A1041" s="4">
        <f>ROW()</f>
        <v>1041</v>
      </c>
      <c r="B1041" s="9" t="s">
        <v>27</v>
      </c>
      <c r="C1041" s="44" t="str">
        <f t="shared" si="612"/>
        <v>p.formar</v>
      </c>
      <c r="D1041" s="6" t="str">
        <f t="shared" si="585"/>
        <v>é.transformação.geométrica</v>
      </c>
      <c r="E1041" s="8" t="s">
        <v>28</v>
      </c>
      <c r="F1041" s="34" t="str">
        <f t="shared" si="616"/>
        <v>d.formar</v>
      </c>
      <c r="G1041" s="13" t="s">
        <v>2152</v>
      </c>
      <c r="H1041" s="33" t="s">
        <v>2439</v>
      </c>
      <c r="I1041" s="92" t="str">
        <f t="shared" si="613"/>
        <v>null</v>
      </c>
      <c r="J1041" s="80" t="s">
        <v>0</v>
      </c>
      <c r="K1041" s="80" t="s">
        <v>0</v>
      </c>
      <c r="L1041" s="80" t="s">
        <v>0</v>
      </c>
      <c r="M1041" s="80" t="s">
        <v>0</v>
      </c>
      <c r="N1041" s="80" t="s">
        <v>0</v>
      </c>
      <c r="O1041" s="80" t="s">
        <v>0</v>
      </c>
      <c r="P1041" s="80" t="s">
        <v>0</v>
      </c>
      <c r="Q1041" s="80" t="s">
        <v>0</v>
      </c>
      <c r="R1041" s="84" t="s">
        <v>0</v>
      </c>
      <c r="S1041" s="10" t="s">
        <v>1</v>
      </c>
      <c r="T1041" s="10" t="s">
        <v>10221</v>
      </c>
      <c r="U1041" s="5" t="str">
        <f t="shared" si="614"/>
        <v>Propriedade destinada a formar: é.transformação.geométrica</v>
      </c>
      <c r="V1041" s="5" t="str">
        <f t="shared" si="615"/>
        <v>Dado para formar:  transformação.geométrica  Deve ser formatado como (rdfs:Literal)</v>
      </c>
      <c r="W1041" s="69" t="s">
        <v>5496</v>
      </c>
      <c r="X1041" s="17" t="str">
        <f t="shared" si="607"/>
        <v>d.forma.134</v>
      </c>
      <c r="Y1041" s="17" t="str">
        <f t="shared" si="608"/>
        <v>Ação de formar</v>
      </c>
      <c r="Z1041" s="62" t="s">
        <v>2437</v>
      </c>
      <c r="AA1041" s="18" t="str">
        <f t="shared" si="617"/>
        <v>null</v>
      </c>
      <c r="AB1041" s="19" t="s">
        <v>0</v>
      </c>
      <c r="AC1041" s="18" t="str">
        <f t="shared" si="618"/>
        <v>null</v>
      </c>
      <c r="AD1041" s="19" t="s">
        <v>0</v>
      </c>
      <c r="AE1041" s="18" t="str">
        <f t="shared" si="583"/>
        <v>null</v>
      </c>
      <c r="AF1041" s="75" t="s">
        <v>0</v>
      </c>
      <c r="AG1041" s="38" t="s">
        <v>8241</v>
      </c>
    </row>
    <row r="1042" spans="1:33" ht="6" customHeight="1" x14ac:dyDescent="0.4">
      <c r="A1042" s="4">
        <f>ROW()</f>
        <v>1042</v>
      </c>
      <c r="B1042" s="9" t="s">
        <v>27</v>
      </c>
      <c r="C1042" s="44" t="str">
        <f t="shared" si="612"/>
        <v>p.formar</v>
      </c>
      <c r="D1042" s="6" t="str">
        <f t="shared" si="585"/>
        <v>é.transformação.geométrica.código</v>
      </c>
      <c r="E1042" s="8" t="s">
        <v>28</v>
      </c>
      <c r="F1042" s="34" t="str">
        <f t="shared" si="616"/>
        <v>d.formar</v>
      </c>
      <c r="G1042" s="13" t="s">
        <v>2435</v>
      </c>
      <c r="H1042" s="33" t="s">
        <v>2439</v>
      </c>
      <c r="I1042" s="92" t="str">
        <f t="shared" si="613"/>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si="614"/>
        <v>Propriedade destinada a formar: é.transformação.geométrica.código</v>
      </c>
      <c r="V1042" s="5" t="str">
        <f t="shared" si="615"/>
        <v>Dado para formar:  transformação.geométrica.código  Deve ser formatado como (rdfs:Literal)</v>
      </c>
      <c r="W1042" s="69" t="s">
        <v>5497</v>
      </c>
      <c r="X1042" s="17" t="str">
        <f t="shared" si="607"/>
        <v>d.forma.135</v>
      </c>
      <c r="Y1042" s="17" t="str">
        <f t="shared" si="608"/>
        <v>Ação de formar</v>
      </c>
      <c r="Z1042" s="62" t="s">
        <v>2438</v>
      </c>
      <c r="AA1042" s="18" t="str">
        <f t="shared" si="617"/>
        <v>null</v>
      </c>
      <c r="AB1042" s="19" t="s">
        <v>0</v>
      </c>
      <c r="AC1042" s="18" t="str">
        <f t="shared" si="618"/>
        <v>null</v>
      </c>
      <c r="AD1042" s="19" t="s">
        <v>0</v>
      </c>
      <c r="AE1042" s="18" t="str">
        <f t="shared" si="583"/>
        <v>null</v>
      </c>
      <c r="AF1042" s="75" t="s">
        <v>0</v>
      </c>
      <c r="AG1042" s="38" t="s">
        <v>8242</v>
      </c>
    </row>
    <row r="1043" spans="1:33" ht="6" customHeight="1" x14ac:dyDescent="0.4">
      <c r="A1043" s="4">
        <f>ROW()</f>
        <v>1043</v>
      </c>
      <c r="B1043" s="9" t="s">
        <v>27</v>
      </c>
      <c r="C1043" s="44" t="str">
        <f t="shared" si="612"/>
        <v>p.formar</v>
      </c>
      <c r="D1043" s="6" t="str">
        <f t="shared" si="585"/>
        <v>é.transformação.geométrica.valor</v>
      </c>
      <c r="E1043" s="8" t="s">
        <v>28</v>
      </c>
      <c r="F1043" s="34" t="str">
        <f t="shared" si="616"/>
        <v>d.formar</v>
      </c>
      <c r="G1043" s="13" t="s">
        <v>2436</v>
      </c>
      <c r="H1043" s="34" t="s">
        <v>2439</v>
      </c>
      <c r="I1043" s="92" t="str">
        <f t="shared" si="613"/>
        <v>null</v>
      </c>
      <c r="J1043" s="80" t="s">
        <v>0</v>
      </c>
      <c r="K1043" s="80" t="s">
        <v>0</v>
      </c>
      <c r="L1043" s="80" t="s">
        <v>0</v>
      </c>
      <c r="M1043" s="80" t="s">
        <v>0</v>
      </c>
      <c r="N1043" s="80" t="s">
        <v>0</v>
      </c>
      <c r="O1043" s="80" t="s">
        <v>0</v>
      </c>
      <c r="P1043" s="80" t="s">
        <v>0</v>
      </c>
      <c r="Q1043" s="80" t="s">
        <v>0</v>
      </c>
      <c r="R1043" s="84" t="s">
        <v>0</v>
      </c>
      <c r="S1043" s="10" t="s">
        <v>1</v>
      </c>
      <c r="T1043" s="10" t="s">
        <v>10221</v>
      </c>
      <c r="U1043" s="5" t="str">
        <f t="shared" si="614"/>
        <v>Propriedade destinada a formar: é.transformação.geométrica.valor</v>
      </c>
      <c r="V1043" s="5" t="str">
        <f t="shared" si="615"/>
        <v>Dado para formar:  transformação.geométrica.valor  Deve ser formatado como (rdfs:Literal)</v>
      </c>
      <c r="W1043" s="69" t="s">
        <v>5498</v>
      </c>
      <c r="X1043" s="17" t="str">
        <f t="shared" si="607"/>
        <v>d.forma.136</v>
      </c>
      <c r="Y1043" s="17" t="str">
        <f t="shared" si="608"/>
        <v>Ação de formar</v>
      </c>
      <c r="Z1043" s="62" t="s">
        <v>4739</v>
      </c>
      <c r="AA1043" s="18" t="str">
        <f t="shared" si="617"/>
        <v>null</v>
      </c>
      <c r="AB1043" s="19" t="s">
        <v>0</v>
      </c>
      <c r="AC1043" s="18" t="str">
        <f t="shared" si="618"/>
        <v>null</v>
      </c>
      <c r="AD1043" s="19" t="s">
        <v>0</v>
      </c>
      <c r="AE1043" s="18" t="str">
        <f t="shared" ref="AE1043:AE1112" si="619">IF(AF1043="null", "null", "propriedade")</f>
        <v>null</v>
      </c>
      <c r="AF1043" s="75" t="s">
        <v>0</v>
      </c>
      <c r="AG1043" s="38" t="s">
        <v>8243</v>
      </c>
    </row>
    <row r="1044" spans="1:33" ht="6" customHeight="1" x14ac:dyDescent="0.4">
      <c r="A1044" s="4">
        <f>ROW()</f>
        <v>1044</v>
      </c>
      <c r="B1044" s="9" t="s">
        <v>27</v>
      </c>
      <c r="C1044" s="43" t="str">
        <f t="shared" si="612"/>
        <v>p.fornecer</v>
      </c>
      <c r="D1044" s="6" t="str">
        <f t="shared" si="585"/>
        <v>é.fornecedor.de</v>
      </c>
      <c r="E1044" s="8" t="s">
        <v>28</v>
      </c>
      <c r="F1044" s="41" t="s">
        <v>9988</v>
      </c>
      <c r="G1044" s="13" t="s">
        <v>9986</v>
      </c>
      <c r="H1044" s="33" t="s">
        <v>1581</v>
      </c>
      <c r="I1044" s="92" t="str">
        <f t="shared" si="613"/>
        <v>null</v>
      </c>
      <c r="J1044" s="80" t="s">
        <v>0</v>
      </c>
      <c r="K1044" s="80" t="s">
        <v>0</v>
      </c>
      <c r="L1044" s="80" t="s">
        <v>0</v>
      </c>
      <c r="M1044" s="80" t="s">
        <v>0</v>
      </c>
      <c r="N1044" s="80" t="s">
        <v>0</v>
      </c>
      <c r="O1044" s="80" t="s">
        <v>0</v>
      </c>
      <c r="P1044" s="80" t="s">
        <v>0</v>
      </c>
      <c r="Q1044" s="80" t="s">
        <v>0</v>
      </c>
      <c r="R1044" s="84" t="s">
        <v>0</v>
      </c>
      <c r="S1044" s="10" t="s">
        <v>1</v>
      </c>
      <c r="T1044" s="10" t="s">
        <v>10221</v>
      </c>
      <c r="U1044" s="5" t="str">
        <f t="shared" si="614"/>
        <v>Propriedade destinada a fornecer: é.fornecedor.de</v>
      </c>
      <c r="V1044" s="5" t="str">
        <f t="shared" si="615"/>
        <v>Dado para fornecer:  fornecedor.de  Deve ser formatado como (rdfs:Literal  or  xsd:string)</v>
      </c>
      <c r="W1044" s="69" t="s">
        <v>9989</v>
      </c>
      <c r="X1044" s="17" t="str">
        <f t="shared" si="607"/>
        <v>d.forne.100</v>
      </c>
      <c r="Y1044" s="17" t="str">
        <f t="shared" si="608"/>
        <v>Ação de fornecer</v>
      </c>
      <c r="Z1044" s="62" t="str">
        <f>_xlfn.TRANSLATE(W1044,"pt","es")</f>
        <v>Declara el tipo de entrega que se ha dado.</v>
      </c>
      <c r="AA1044" s="18" t="str">
        <f t="shared" si="617"/>
        <v>null</v>
      </c>
      <c r="AB1044" s="19" t="s">
        <v>0</v>
      </c>
      <c r="AC1044" s="18" t="str">
        <f t="shared" si="618"/>
        <v>null</v>
      </c>
      <c r="AD1044" s="19" t="s">
        <v>0</v>
      </c>
      <c r="AE1044" s="18" t="str">
        <f t="shared" si="619"/>
        <v>null</v>
      </c>
      <c r="AF1044" s="75" t="s">
        <v>0</v>
      </c>
      <c r="AG1044" s="38" t="s">
        <v>9994</v>
      </c>
    </row>
    <row r="1045" spans="1:33" ht="6" customHeight="1" x14ac:dyDescent="0.4">
      <c r="A1045" s="4">
        <f>ROW()</f>
        <v>1045</v>
      </c>
      <c r="B1045" s="9" t="s">
        <v>27</v>
      </c>
      <c r="C1045" s="44" t="str">
        <f t="shared" si="612"/>
        <v>p.fornecer</v>
      </c>
      <c r="D1045" s="6" t="str">
        <f t="shared" si="585"/>
        <v>é.fornecido.por</v>
      </c>
      <c r="E1045" s="8" t="s">
        <v>28</v>
      </c>
      <c r="F1045" s="34" t="str">
        <f t="shared" ref="F1045" si="620">F1044</f>
        <v>d.fornecer</v>
      </c>
      <c r="G1045" s="13" t="s">
        <v>9987</v>
      </c>
      <c r="H1045" s="33" t="s">
        <v>1581</v>
      </c>
      <c r="I1045" s="92" t="str">
        <f t="shared" si="613"/>
        <v>null</v>
      </c>
      <c r="J1045" s="80" t="s">
        <v>0</v>
      </c>
      <c r="K1045" s="80" t="s">
        <v>0</v>
      </c>
      <c r="L1045" s="80" t="s">
        <v>0</v>
      </c>
      <c r="M1045" s="80" t="s">
        <v>0</v>
      </c>
      <c r="N1045" s="80" t="s">
        <v>0</v>
      </c>
      <c r="O1045" s="80" t="s">
        <v>0</v>
      </c>
      <c r="P1045" s="80" t="s">
        <v>0</v>
      </c>
      <c r="Q1045" s="80" t="s">
        <v>0</v>
      </c>
      <c r="R1045" s="84" t="s">
        <v>0</v>
      </c>
      <c r="S1045" s="10" t="s">
        <v>1</v>
      </c>
      <c r="T1045" s="10" t="s">
        <v>10221</v>
      </c>
      <c r="U1045" s="5" t="str">
        <f t="shared" si="614"/>
        <v>Propriedade destinada a fornecer: é.fornecido.por</v>
      </c>
      <c r="V1045" s="5" t="str">
        <f t="shared" si="615"/>
        <v>Dado para fornecer:  fornecido.por  Deve ser formatado como (rdfs:Literal  or  xsd:string)</v>
      </c>
      <c r="W1045" s="69" t="s">
        <v>9990</v>
      </c>
      <c r="X1045" s="17" t="str">
        <f t="shared" si="607"/>
        <v>d.forne.101</v>
      </c>
      <c r="Y1045" s="17" t="str">
        <f t="shared" si="608"/>
        <v>Ação de fornecer</v>
      </c>
      <c r="Z1045" s="62" t="str">
        <f t="shared" ref="Z1045:Z1046" si="621">_xlfn.TRANSLATE(W1045,"pt","es")</f>
        <v>Declara al proveedor.</v>
      </c>
      <c r="AA1045" s="18" t="str">
        <f t="shared" si="617"/>
        <v>null</v>
      </c>
      <c r="AB1045" s="19" t="s">
        <v>0</v>
      </c>
      <c r="AC1045" s="18" t="str">
        <f t="shared" si="618"/>
        <v>null</v>
      </c>
      <c r="AD1045" s="19" t="s">
        <v>0</v>
      </c>
      <c r="AE1045" s="18" t="str">
        <f t="shared" si="619"/>
        <v>null</v>
      </c>
      <c r="AF1045" s="75" t="s">
        <v>0</v>
      </c>
      <c r="AG1045" s="38" t="s">
        <v>9992</v>
      </c>
    </row>
    <row r="1046" spans="1:33" ht="6" customHeight="1" x14ac:dyDescent="0.4">
      <c r="A1046" s="4">
        <f>ROW()</f>
        <v>1046</v>
      </c>
      <c r="B1046" s="9" t="s">
        <v>27</v>
      </c>
      <c r="C1046" s="44" t="str">
        <f t="shared" si="612"/>
        <v>p.fornecer</v>
      </c>
      <c r="D1046" s="6" t="str">
        <f t="shared" si="585"/>
        <v>é.quem.forneceu</v>
      </c>
      <c r="E1046" s="8" t="s">
        <v>28</v>
      </c>
      <c r="F1046" s="34" t="str">
        <f>F1044</f>
        <v>d.fornecer</v>
      </c>
      <c r="G1046" s="13" t="s">
        <v>9865</v>
      </c>
      <c r="H1046" s="33" t="s">
        <v>1581</v>
      </c>
      <c r="I1046" s="92" t="str">
        <f t="shared" si="613"/>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14"/>
        <v>Propriedade destinada a fornecer: é.quem.forneceu</v>
      </c>
      <c r="V1046" s="5" t="str">
        <f t="shared" si="615"/>
        <v>Dado para fornecer:  quem.forneceu  Deve ser formatado como (rdfs:Literal  or  xsd:string)</v>
      </c>
      <c r="W1046" s="69" t="s">
        <v>9991</v>
      </c>
      <c r="X1046" s="17" t="str">
        <f t="shared" si="607"/>
        <v>d.forne.102</v>
      </c>
      <c r="Y1046" s="17" t="str">
        <f t="shared" si="608"/>
        <v>Ação de fornecer</v>
      </c>
      <c r="Z1046" s="62" t="str">
        <f t="shared" si="621"/>
        <v>Declara al proveedor. Puede ser una empresa, un objeto, un agente humano o artificial.</v>
      </c>
      <c r="AA1046" s="18" t="str">
        <f t="shared" si="617"/>
        <v>null</v>
      </c>
      <c r="AB1046" s="19" t="s">
        <v>0</v>
      </c>
      <c r="AC1046" s="18" t="str">
        <f t="shared" si="618"/>
        <v>null</v>
      </c>
      <c r="AD1046" s="19" t="s">
        <v>0</v>
      </c>
      <c r="AE1046" s="18" t="str">
        <f t="shared" si="619"/>
        <v>null</v>
      </c>
      <c r="AF1046" s="75" t="s">
        <v>0</v>
      </c>
      <c r="AG1046" s="38" t="s">
        <v>9993</v>
      </c>
    </row>
    <row r="1047" spans="1:33" ht="6" customHeight="1" x14ac:dyDescent="0.4">
      <c r="A1047" s="4">
        <f>ROW()</f>
        <v>1047</v>
      </c>
      <c r="B1047" s="9" t="s">
        <v>27</v>
      </c>
      <c r="C1047" s="43" t="str">
        <f t="shared" si="612"/>
        <v>p.funcionar</v>
      </c>
      <c r="D1047" s="6" t="str">
        <f t="shared" si="585"/>
        <v>é.ambiente.id</v>
      </c>
      <c r="E1047" s="8" t="s">
        <v>28</v>
      </c>
      <c r="F1047" s="41" t="s">
        <v>2184</v>
      </c>
      <c r="G1047" s="13" t="s">
        <v>3726</v>
      </c>
      <c r="H1047" s="34" t="s">
        <v>1581</v>
      </c>
      <c r="I1047" s="92" t="str">
        <f t="shared" si="613"/>
        <v>Functional</v>
      </c>
      <c r="J1047" s="80" t="s">
        <v>0</v>
      </c>
      <c r="K1047" s="80" t="s">
        <v>262</v>
      </c>
      <c r="L1047" s="80" t="s">
        <v>0</v>
      </c>
      <c r="M1047" s="80" t="s">
        <v>0</v>
      </c>
      <c r="N1047" s="80" t="s">
        <v>0</v>
      </c>
      <c r="O1047" s="80" t="s">
        <v>0</v>
      </c>
      <c r="P1047" s="80" t="s">
        <v>0</v>
      </c>
      <c r="Q1047" s="80" t="s">
        <v>0</v>
      </c>
      <c r="R1047" s="84" t="s">
        <v>0</v>
      </c>
      <c r="S1047" s="10" t="s">
        <v>1</v>
      </c>
      <c r="T1047" s="10" t="s">
        <v>10221</v>
      </c>
      <c r="U1047" s="5" t="str">
        <f t="shared" si="614"/>
        <v>Propriedade destinada a funcionar: é.ambiente.id</v>
      </c>
      <c r="V1047" s="5" t="str">
        <f t="shared" si="615"/>
        <v>Dado para funcionar:  ambiente.id  Deve ser formatado como (rdfs:Literal  or  xsd:string)</v>
      </c>
      <c r="W1047" s="69" t="s">
        <v>5499</v>
      </c>
      <c r="X1047" s="17" t="str">
        <f t="shared" si="607"/>
        <v>d.funci.100</v>
      </c>
      <c r="Y1047" s="17" t="str">
        <f t="shared" si="608"/>
        <v>Ação de funcionar</v>
      </c>
      <c r="Z1047" s="62" t="s">
        <v>2341</v>
      </c>
      <c r="AA1047" s="18" t="str">
        <f t="shared" si="617"/>
        <v>categoria.revit</v>
      </c>
      <c r="AB1047" s="19" t="s">
        <v>2130</v>
      </c>
      <c r="AC1047" s="18" t="str">
        <f t="shared" si="618"/>
        <v>classe.ifc</v>
      </c>
      <c r="AD1047" s="19" t="s">
        <v>2081</v>
      </c>
      <c r="AE1047" s="18" t="str">
        <f t="shared" si="619"/>
        <v>propriedade</v>
      </c>
      <c r="AF1047" s="75" t="s">
        <v>1875</v>
      </c>
      <c r="AG1047" s="38" t="s">
        <v>8244</v>
      </c>
    </row>
    <row r="1048" spans="1:33" ht="6" customHeight="1" x14ac:dyDescent="0.4">
      <c r="A1048" s="4">
        <f>ROW()</f>
        <v>1048</v>
      </c>
      <c r="B1048" s="9" t="s">
        <v>27</v>
      </c>
      <c r="C1048" s="44" t="str">
        <f t="shared" ref="C1048:C1083" si="622">SUBSTITUTE(F1048,"d.","p.")</f>
        <v>p.funcionar</v>
      </c>
      <c r="D1048" s="6" t="str">
        <f t="shared" ref="D1048:D1089" si="623">_xlfn.CONCAT("é.",G1048)</f>
        <v>é.ambiente.código</v>
      </c>
      <c r="E1048" s="8" t="s">
        <v>28</v>
      </c>
      <c r="F1048" s="34" t="str">
        <f>F1047</f>
        <v>d.funcionar</v>
      </c>
      <c r="G1048" s="13" t="s">
        <v>3724</v>
      </c>
      <c r="H1048" s="34" t="s">
        <v>1581</v>
      </c>
      <c r="I1048" s="92" t="str">
        <f t="shared" si="613"/>
        <v>Functional</v>
      </c>
      <c r="J1048" s="80" t="s">
        <v>29</v>
      </c>
      <c r="K1048" s="80" t="s">
        <v>0</v>
      </c>
      <c r="L1048" s="80" t="s">
        <v>0</v>
      </c>
      <c r="M1048" s="80" t="s">
        <v>0</v>
      </c>
      <c r="N1048" s="80" t="s">
        <v>0</v>
      </c>
      <c r="O1048" s="80" t="s">
        <v>0</v>
      </c>
      <c r="P1048" s="80" t="s">
        <v>0</v>
      </c>
      <c r="Q1048" s="80" t="s">
        <v>0</v>
      </c>
      <c r="R1048" s="84" t="s">
        <v>0</v>
      </c>
      <c r="S1048" s="10" t="s">
        <v>1</v>
      </c>
      <c r="T1048" s="10" t="s">
        <v>10221</v>
      </c>
      <c r="U1048" s="5" t="str">
        <f t="shared" ref="U1048:U1089" si="624">_xlfn.CONCAT("Propriedade destinada a ",MID(C1048,FIND("p.",C1048,1)+2,100),": ",D1048)</f>
        <v>Propriedade destinada a funcionar: é.ambiente.código</v>
      </c>
      <c r="V1048" s="5" t="str">
        <f t="shared" ref="V1048:V1089" si="625">_xlfn.CONCAT("Dado para ",MID(F1048,FIND("d.",F1048,1)+2,100),":  ",G1048, "  Deve ser formatado como (",H1048, ")")</f>
        <v>Dado para funcionar:  ambiente.código  Deve ser formatado como (rdfs:Literal  or  xsd:string)</v>
      </c>
      <c r="W1048" s="69" t="s">
        <v>3738</v>
      </c>
      <c r="X1048" s="17" t="str">
        <f t="shared" si="607"/>
        <v>d.funci.101</v>
      </c>
      <c r="Y1048" s="17" t="str">
        <f t="shared" si="608"/>
        <v>Ação de funcionar</v>
      </c>
      <c r="Z1048" s="62" t="s">
        <v>3742</v>
      </c>
      <c r="AA1048" s="18" t="str">
        <f t="shared" ref="AA1048:AA1089" si="626">IF(AB1048="null", "null", "categoria.revit")</f>
        <v>categoria.revit</v>
      </c>
      <c r="AB1048" s="19" t="s">
        <v>2130</v>
      </c>
      <c r="AC1048" s="18" t="str">
        <f t="shared" ref="AC1048:AC1089" si="627">IF(AD1048="null", "null", "classe.ifc")</f>
        <v>classe.ifc</v>
      </c>
      <c r="AD1048" s="19" t="s">
        <v>2081</v>
      </c>
      <c r="AE1048" s="18" t="str">
        <f t="shared" ref="AE1048:AE1089" si="628">IF(AF1048="null", "null", "propriedade")</f>
        <v>propriedade</v>
      </c>
      <c r="AF1048" s="49" t="s">
        <v>1876</v>
      </c>
      <c r="AG1048" s="38" t="s">
        <v>8245</v>
      </c>
    </row>
    <row r="1049" spans="1:33" ht="6" customHeight="1" x14ac:dyDescent="0.4">
      <c r="A1049" s="4">
        <f>ROW()</f>
        <v>1049</v>
      </c>
      <c r="B1049" s="9" t="s">
        <v>27</v>
      </c>
      <c r="C1049" s="44" t="str">
        <f t="shared" si="622"/>
        <v>p.funcionar</v>
      </c>
      <c r="D1049" s="6" t="str">
        <f t="shared" si="623"/>
        <v>é.ambiente.nome</v>
      </c>
      <c r="E1049" s="8" t="s">
        <v>28</v>
      </c>
      <c r="F1049" s="34" t="str">
        <f>F1048</f>
        <v>d.funcionar</v>
      </c>
      <c r="G1049" s="13" t="s">
        <v>3723</v>
      </c>
      <c r="H1049" s="34" t="s">
        <v>1581</v>
      </c>
      <c r="I1049" s="92" t="str">
        <f t="shared" si="613"/>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24"/>
        <v>Propriedade destinada a funcionar: é.ambiente.nome</v>
      </c>
      <c r="V1049" s="5" t="str">
        <f t="shared" si="625"/>
        <v>Dado para funcionar:  ambiente.nome  Deve ser formatado como (rdfs:Literal  or  xsd:string)</v>
      </c>
      <c r="W1049" s="69" t="s">
        <v>3737</v>
      </c>
      <c r="X1049" s="17" t="str">
        <f t="shared" si="607"/>
        <v>d.funci.102</v>
      </c>
      <c r="Y1049" s="17" t="str">
        <f t="shared" si="608"/>
        <v>Ação de funcionar</v>
      </c>
      <c r="Z1049" s="62" t="s">
        <v>3740</v>
      </c>
      <c r="AA1049" s="18" t="str">
        <f t="shared" si="626"/>
        <v>categoria.revit</v>
      </c>
      <c r="AB1049" s="19" t="s">
        <v>2130</v>
      </c>
      <c r="AC1049" s="18" t="str">
        <f t="shared" si="627"/>
        <v>classe.ifc</v>
      </c>
      <c r="AD1049" s="19" t="s">
        <v>2081</v>
      </c>
      <c r="AE1049" s="18" t="str">
        <f t="shared" si="628"/>
        <v>propriedade</v>
      </c>
      <c r="AF1049" s="49" t="s">
        <v>1879</v>
      </c>
      <c r="AG1049" s="38" t="s">
        <v>8246</v>
      </c>
    </row>
    <row r="1050" spans="1:33" ht="6" customHeight="1" x14ac:dyDescent="0.4">
      <c r="A1050" s="4">
        <f>ROW()</f>
        <v>1050</v>
      </c>
      <c r="B1050" s="9" t="s">
        <v>27</v>
      </c>
      <c r="C1050" s="44" t="str">
        <f t="shared" si="622"/>
        <v>p.funcionar</v>
      </c>
      <c r="D1050" s="6" t="str">
        <f t="shared" si="623"/>
        <v>é.ambiente.número</v>
      </c>
      <c r="E1050" s="8" t="s">
        <v>28</v>
      </c>
      <c r="F1050" s="34" t="str">
        <f>F1048</f>
        <v>d.funcionar</v>
      </c>
      <c r="G1050" s="13" t="s">
        <v>3725</v>
      </c>
      <c r="H1050" s="34" t="s">
        <v>1581</v>
      </c>
      <c r="I1050" s="92" t="str">
        <f t="shared" si="613"/>
        <v>Functional</v>
      </c>
      <c r="J1050" s="80" t="s">
        <v>29</v>
      </c>
      <c r="K1050" s="80" t="s">
        <v>0</v>
      </c>
      <c r="L1050" s="80" t="s">
        <v>0</v>
      </c>
      <c r="M1050" s="80" t="s">
        <v>0</v>
      </c>
      <c r="N1050" s="80" t="s">
        <v>0</v>
      </c>
      <c r="O1050" s="80" t="s">
        <v>0</v>
      </c>
      <c r="P1050" s="80" t="s">
        <v>0</v>
      </c>
      <c r="Q1050" s="80" t="s">
        <v>0</v>
      </c>
      <c r="R1050" s="84" t="s">
        <v>0</v>
      </c>
      <c r="S1050" s="10" t="s">
        <v>1</v>
      </c>
      <c r="T1050" s="10" t="s">
        <v>10221</v>
      </c>
      <c r="U1050" s="5" t="str">
        <f t="shared" si="624"/>
        <v>Propriedade destinada a funcionar: é.ambiente.número</v>
      </c>
      <c r="V1050" s="5" t="str">
        <f t="shared" si="625"/>
        <v>Dado para funcionar:  ambiente.número  Deve ser formatado como (rdfs:Literal  or  xsd:string)</v>
      </c>
      <c r="W1050" s="69" t="s">
        <v>5500</v>
      </c>
      <c r="X1050" s="17" t="str">
        <f t="shared" si="607"/>
        <v>d.funci.103</v>
      </c>
      <c r="Y1050" s="17" t="str">
        <f t="shared" si="608"/>
        <v>Ação de funcionar</v>
      </c>
      <c r="Z1050" s="62" t="s">
        <v>3739</v>
      </c>
      <c r="AA1050" s="18" t="str">
        <f t="shared" si="626"/>
        <v>categoria.revit</v>
      </c>
      <c r="AB1050" s="19" t="s">
        <v>2130</v>
      </c>
      <c r="AC1050" s="18" t="str">
        <f t="shared" si="627"/>
        <v>classe.ifc</v>
      </c>
      <c r="AD1050" s="19" t="s">
        <v>2081</v>
      </c>
      <c r="AE1050" s="18" t="str">
        <f t="shared" si="628"/>
        <v>propriedade</v>
      </c>
      <c r="AF1050" s="49" t="s">
        <v>1878</v>
      </c>
      <c r="AG1050" s="38" t="s">
        <v>8247</v>
      </c>
    </row>
    <row r="1051" spans="1:33" ht="6" customHeight="1" x14ac:dyDescent="0.4">
      <c r="A1051" s="4">
        <f>ROW()</f>
        <v>1051</v>
      </c>
      <c r="B1051" s="9" t="s">
        <v>27</v>
      </c>
      <c r="C1051" s="44" t="str">
        <f t="shared" si="622"/>
        <v>p.funcionar</v>
      </c>
      <c r="D1051" s="6" t="str">
        <f t="shared" si="623"/>
        <v>é.ambiente.tipo</v>
      </c>
      <c r="E1051" s="8" t="s">
        <v>28</v>
      </c>
      <c r="F1051" s="34" t="str">
        <f>F1047</f>
        <v>d.funcionar</v>
      </c>
      <c r="G1051" s="13" t="s">
        <v>4248</v>
      </c>
      <c r="H1051" s="34" t="s">
        <v>1581</v>
      </c>
      <c r="I1051" s="92" t="str">
        <f t="shared" si="613"/>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24"/>
        <v>Propriedade destinada a funcionar: é.ambiente.tipo</v>
      </c>
      <c r="V1051" s="5" t="str">
        <f t="shared" si="625"/>
        <v>Dado para funcionar:  ambiente.tipo  Deve ser formatado como (rdfs:Literal  or  xsd:string)</v>
      </c>
      <c r="W1051" s="69" t="s">
        <v>4249</v>
      </c>
      <c r="X1051" s="17" t="str">
        <f t="shared" si="607"/>
        <v>d.funci.104</v>
      </c>
      <c r="Y1051" s="17" t="str">
        <f t="shared" si="608"/>
        <v>Ação de funcionar</v>
      </c>
      <c r="Z1051" s="62" t="s">
        <v>4250</v>
      </c>
      <c r="AA1051" s="18" t="str">
        <f t="shared" si="626"/>
        <v>categoria.revit</v>
      </c>
      <c r="AB1051" s="19" t="s">
        <v>2130</v>
      </c>
      <c r="AC1051" s="18" t="str">
        <f t="shared" si="627"/>
        <v>classe.ifc</v>
      </c>
      <c r="AD1051" s="19" t="s">
        <v>2081</v>
      </c>
      <c r="AE1051" s="18" t="str">
        <f t="shared" si="628"/>
        <v>propriedade</v>
      </c>
      <c r="AF1051" s="49" t="s">
        <v>1878</v>
      </c>
      <c r="AG1051" s="38" t="s">
        <v>8248</v>
      </c>
    </row>
    <row r="1052" spans="1:33" ht="6" customHeight="1" x14ac:dyDescent="0.4">
      <c r="A1052" s="4">
        <f>ROW()</f>
        <v>1052</v>
      </c>
      <c r="B1052" s="9" t="s">
        <v>27</v>
      </c>
      <c r="C1052" s="44" t="str">
        <f t="shared" si="622"/>
        <v>p.funcionar</v>
      </c>
      <c r="D1052" s="6" t="str">
        <f t="shared" si="623"/>
        <v>é.ambiente.zona</v>
      </c>
      <c r="E1052" s="8" t="s">
        <v>28</v>
      </c>
      <c r="F1052" s="34" t="str">
        <f>F1048</f>
        <v>d.funcionar</v>
      </c>
      <c r="G1052" s="13" t="s">
        <v>3735</v>
      </c>
      <c r="H1052" s="34" t="s">
        <v>1581</v>
      </c>
      <c r="I1052" s="92" t="str">
        <f t="shared" si="613"/>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24"/>
        <v>Propriedade destinada a funcionar: é.ambiente.zona</v>
      </c>
      <c r="V1052" s="5" t="str">
        <f t="shared" si="625"/>
        <v>Dado para funcionar:  ambiente.zona  Deve ser formatado como (rdfs:Literal  or  xsd:string)</v>
      </c>
      <c r="W1052" s="69" t="s">
        <v>3736</v>
      </c>
      <c r="X1052" s="17" t="str">
        <f t="shared" si="607"/>
        <v>d.funci.105</v>
      </c>
      <c r="Y1052" s="17" t="str">
        <f t="shared" si="608"/>
        <v>Ação de funcionar</v>
      </c>
      <c r="Z1052" s="62" t="s">
        <v>3741</v>
      </c>
      <c r="AA1052" s="18" t="str">
        <f t="shared" si="626"/>
        <v>categoria.revit</v>
      </c>
      <c r="AB1052" s="19" t="s">
        <v>2130</v>
      </c>
      <c r="AC1052" s="18" t="str">
        <f t="shared" si="627"/>
        <v>classe.ifc</v>
      </c>
      <c r="AD1052" s="19" t="s">
        <v>2081</v>
      </c>
      <c r="AE1052" s="18" t="str">
        <f t="shared" si="628"/>
        <v>propriedade</v>
      </c>
      <c r="AF1052" s="49" t="s">
        <v>1878</v>
      </c>
      <c r="AG1052" s="38" t="s">
        <v>8249</v>
      </c>
    </row>
    <row r="1053" spans="1:33" ht="6" customHeight="1" x14ac:dyDescent="0.4">
      <c r="A1053" s="4">
        <f>ROW()</f>
        <v>1053</v>
      </c>
      <c r="B1053" s="9" t="s">
        <v>27</v>
      </c>
      <c r="C1053" s="44" t="str">
        <f t="shared" si="622"/>
        <v>p.funcionar</v>
      </c>
      <c r="D1053" s="6" t="str">
        <f t="shared" si="623"/>
        <v>é.de.apoio</v>
      </c>
      <c r="E1053" s="8" t="s">
        <v>28</v>
      </c>
      <c r="F1053" s="34" t="str">
        <f>F1049</f>
        <v>d.funcionar</v>
      </c>
      <c r="G1053" s="13" t="s">
        <v>3743</v>
      </c>
      <c r="H1053" s="34" t="s">
        <v>36</v>
      </c>
      <c r="I1053" s="92" t="str">
        <f t="shared" si="613"/>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24"/>
        <v>Propriedade destinada a funcionar: é.de.apoio</v>
      </c>
      <c r="V1053" s="5" t="str">
        <f t="shared" si="625"/>
        <v>Dado para funcionar:  de.apoio  Deve ser formatado como (xsd:boolean)</v>
      </c>
      <c r="W1053" s="69" t="s">
        <v>5501</v>
      </c>
      <c r="X1053" s="17" t="str">
        <f t="shared" si="607"/>
        <v>d.funci.106</v>
      </c>
      <c r="Y1053" s="17" t="str">
        <f t="shared" si="608"/>
        <v>Ação de funcionar</v>
      </c>
      <c r="Z1053" s="62" t="s">
        <v>2793</v>
      </c>
      <c r="AA1053" s="18" t="str">
        <f t="shared" si="626"/>
        <v>categoria.revit</v>
      </c>
      <c r="AB1053" s="19" t="s">
        <v>2130</v>
      </c>
      <c r="AC1053" s="18" t="str">
        <f t="shared" si="627"/>
        <v>classe.ifc</v>
      </c>
      <c r="AD1053" s="19" t="s">
        <v>2081</v>
      </c>
      <c r="AE1053" s="18" t="str">
        <f t="shared" si="628"/>
        <v>propriedade</v>
      </c>
      <c r="AF1053" s="75" t="s">
        <v>1875</v>
      </c>
      <c r="AG1053" s="38" t="s">
        <v>8250</v>
      </c>
    </row>
    <row r="1054" spans="1:33" ht="6" customHeight="1" x14ac:dyDescent="0.4">
      <c r="A1054" s="4">
        <f>ROW()</f>
        <v>1054</v>
      </c>
      <c r="B1054" s="9" t="s">
        <v>27</v>
      </c>
      <c r="C1054" s="44" t="str">
        <f t="shared" si="622"/>
        <v>p.funcionar</v>
      </c>
      <c r="D1054" s="6" t="str">
        <f t="shared" si="623"/>
        <v>é.de.comércio</v>
      </c>
      <c r="E1054" s="8" t="s">
        <v>28</v>
      </c>
      <c r="F1054" s="34" t="str">
        <f>F1050</f>
        <v>d.funcionar</v>
      </c>
      <c r="G1054" s="13" t="s">
        <v>669</v>
      </c>
      <c r="H1054" s="34" t="s">
        <v>36</v>
      </c>
      <c r="I1054" s="92" t="str">
        <f t="shared" si="613"/>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24"/>
        <v>Propriedade destinada a funcionar: é.de.comércio</v>
      </c>
      <c r="V1054" s="5" t="str">
        <f t="shared" si="625"/>
        <v>Dado para funcionar:  de.comércio  Deve ser formatado como (xsd:boolean)</v>
      </c>
      <c r="W1054" s="69" t="s">
        <v>5502</v>
      </c>
      <c r="X1054" s="17" t="str">
        <f t="shared" si="607"/>
        <v>d.funci.107</v>
      </c>
      <c r="Y1054" s="17" t="str">
        <f t="shared" si="608"/>
        <v>Ação de funcionar</v>
      </c>
      <c r="Z1054" s="62" t="s">
        <v>1328</v>
      </c>
      <c r="AA1054" s="18" t="str">
        <f t="shared" si="626"/>
        <v>categoria.revit</v>
      </c>
      <c r="AB1054" s="19" t="s">
        <v>2130</v>
      </c>
      <c r="AC1054" s="18" t="str">
        <f t="shared" si="627"/>
        <v>classe.ifc</v>
      </c>
      <c r="AD1054" s="19" t="s">
        <v>2081</v>
      </c>
      <c r="AE1054" s="18" t="str">
        <f t="shared" si="628"/>
        <v>propriedade</v>
      </c>
      <c r="AF1054" s="75" t="s">
        <v>1875</v>
      </c>
      <c r="AG1054" s="38" t="s">
        <v>8251</v>
      </c>
    </row>
    <row r="1055" spans="1:33" ht="6" customHeight="1" x14ac:dyDescent="0.4">
      <c r="A1055" s="4">
        <f>ROW()</f>
        <v>1055</v>
      </c>
      <c r="B1055" s="9" t="s">
        <v>27</v>
      </c>
      <c r="C1055" s="44" t="str">
        <f t="shared" si="622"/>
        <v>p.funcionar</v>
      </c>
      <c r="D1055" s="6" t="str">
        <f t="shared" si="623"/>
        <v>é.de.contemplação</v>
      </c>
      <c r="E1055" s="8" t="s">
        <v>28</v>
      </c>
      <c r="F1055" s="34" t="str">
        <f>F1051</f>
        <v>d.funcionar</v>
      </c>
      <c r="G1055" s="13" t="s">
        <v>661</v>
      </c>
      <c r="H1055" s="34" t="s">
        <v>36</v>
      </c>
      <c r="I1055" s="92" t="str">
        <f t="shared" si="613"/>
        <v>null</v>
      </c>
      <c r="J1055" s="80" t="s">
        <v>0</v>
      </c>
      <c r="K1055" s="80" t="s">
        <v>0</v>
      </c>
      <c r="L1055" s="80" t="s">
        <v>0</v>
      </c>
      <c r="M1055" s="80" t="s">
        <v>0</v>
      </c>
      <c r="N1055" s="80" t="s">
        <v>0</v>
      </c>
      <c r="O1055" s="80" t="s">
        <v>0</v>
      </c>
      <c r="P1055" s="80" t="s">
        <v>0</v>
      </c>
      <c r="Q1055" s="80" t="s">
        <v>0</v>
      </c>
      <c r="R1055" s="84" t="s">
        <v>0</v>
      </c>
      <c r="S1055" s="10" t="s">
        <v>1</v>
      </c>
      <c r="T1055" s="10" t="s">
        <v>10221</v>
      </c>
      <c r="U1055" s="5" t="str">
        <f t="shared" si="624"/>
        <v>Propriedade destinada a funcionar: é.de.contemplação</v>
      </c>
      <c r="V1055" s="5" t="str">
        <f t="shared" si="625"/>
        <v>Dado para funcionar:  de.contemplação  Deve ser formatado como (xsd:boolean)</v>
      </c>
      <c r="W1055" s="69" t="s">
        <v>5503</v>
      </c>
      <c r="X1055" s="17" t="str">
        <f t="shared" si="607"/>
        <v>d.funci.108</v>
      </c>
      <c r="Y1055" s="17" t="str">
        <f t="shared" si="608"/>
        <v>Ação de funcionar</v>
      </c>
      <c r="Z1055" s="62" t="s">
        <v>1324</v>
      </c>
      <c r="AA1055" s="18" t="str">
        <f t="shared" si="626"/>
        <v>categoria.revit</v>
      </c>
      <c r="AB1055" s="19" t="s">
        <v>2130</v>
      </c>
      <c r="AC1055" s="18" t="str">
        <f t="shared" si="627"/>
        <v>classe.ifc</v>
      </c>
      <c r="AD1055" s="19" t="s">
        <v>2081</v>
      </c>
      <c r="AE1055" s="18" t="str">
        <f t="shared" si="628"/>
        <v>propriedade</v>
      </c>
      <c r="AF1055" s="75" t="s">
        <v>1875</v>
      </c>
      <c r="AG1055" s="38" t="s">
        <v>8252</v>
      </c>
    </row>
    <row r="1056" spans="1:33" ht="6" customHeight="1" x14ac:dyDescent="0.4">
      <c r="A1056" s="4">
        <f>ROW()</f>
        <v>1056</v>
      </c>
      <c r="B1056" s="9" t="s">
        <v>27</v>
      </c>
      <c r="C1056" s="44" t="str">
        <f t="shared" si="622"/>
        <v>p.funcionar</v>
      </c>
      <c r="D1056" s="6" t="str">
        <f t="shared" si="623"/>
        <v>é.de.cuidado</v>
      </c>
      <c r="E1056" s="8" t="s">
        <v>28</v>
      </c>
      <c r="F1056" s="34" t="str">
        <f t="shared" ref="F1056:F1072" si="629">F1055</f>
        <v>d.funcionar</v>
      </c>
      <c r="G1056" s="13" t="s">
        <v>664</v>
      </c>
      <c r="H1056" s="34" t="s">
        <v>36</v>
      </c>
      <c r="I1056" s="92" t="str">
        <f t="shared" si="613"/>
        <v>null</v>
      </c>
      <c r="J1056" s="80" t="s">
        <v>0</v>
      </c>
      <c r="K1056" s="80" t="s">
        <v>0</v>
      </c>
      <c r="L1056" s="80" t="s">
        <v>0</v>
      </c>
      <c r="M1056" s="80" t="s">
        <v>0</v>
      </c>
      <c r="N1056" s="80" t="s">
        <v>0</v>
      </c>
      <c r="O1056" s="80" t="s">
        <v>0</v>
      </c>
      <c r="P1056" s="80" t="s">
        <v>0</v>
      </c>
      <c r="Q1056" s="80" t="s">
        <v>0</v>
      </c>
      <c r="R1056" s="84" t="s">
        <v>0</v>
      </c>
      <c r="S1056" s="10" t="s">
        <v>1</v>
      </c>
      <c r="T1056" s="10" t="s">
        <v>10221</v>
      </c>
      <c r="U1056" s="5" t="str">
        <f t="shared" si="624"/>
        <v>Propriedade destinada a funcionar: é.de.cuidado</v>
      </c>
      <c r="V1056" s="5" t="str">
        <f t="shared" si="625"/>
        <v>Dado para funcionar:  de.cuidado  Deve ser formatado como (xsd:boolean)</v>
      </c>
      <c r="W1056" s="69" t="s">
        <v>5504</v>
      </c>
      <c r="X1056" s="17" t="str">
        <f t="shared" si="607"/>
        <v>d.funci.109</v>
      </c>
      <c r="Y1056" s="17" t="str">
        <f t="shared" si="608"/>
        <v>Ação de funcionar</v>
      </c>
      <c r="Z1056" s="62" t="s">
        <v>3732</v>
      </c>
      <c r="AA1056" s="18" t="str">
        <f t="shared" si="626"/>
        <v>categoria.revit</v>
      </c>
      <c r="AB1056" s="19" t="s">
        <v>2130</v>
      </c>
      <c r="AC1056" s="18" t="str">
        <f t="shared" si="627"/>
        <v>classe.ifc</v>
      </c>
      <c r="AD1056" s="19" t="s">
        <v>2081</v>
      </c>
      <c r="AE1056" s="18" t="str">
        <f t="shared" si="628"/>
        <v>propriedade</v>
      </c>
      <c r="AF1056" s="75" t="s">
        <v>1875</v>
      </c>
      <c r="AG1056" s="38" t="s">
        <v>8253</v>
      </c>
    </row>
    <row r="1057" spans="1:33" ht="6" customHeight="1" x14ac:dyDescent="0.4">
      <c r="A1057" s="4">
        <f>ROW()</f>
        <v>1057</v>
      </c>
      <c r="B1057" s="9" t="s">
        <v>27</v>
      </c>
      <c r="C1057" s="44" t="str">
        <f t="shared" si="622"/>
        <v>p.funcionar</v>
      </c>
      <c r="D1057" s="6" t="str">
        <f t="shared" si="623"/>
        <v>é.de.ensino</v>
      </c>
      <c r="E1057" s="8" t="s">
        <v>28</v>
      </c>
      <c r="F1057" s="34" t="str">
        <f t="shared" si="629"/>
        <v>d.funcionar</v>
      </c>
      <c r="G1057" s="13" t="s">
        <v>662</v>
      </c>
      <c r="H1057" s="34" t="s">
        <v>36</v>
      </c>
      <c r="I1057" s="92" t="str">
        <f t="shared" si="613"/>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24"/>
        <v>Propriedade destinada a funcionar: é.de.ensino</v>
      </c>
      <c r="V1057" s="5" t="str">
        <f t="shared" si="625"/>
        <v>Dado para funcionar:  de.ensino  Deve ser formatado como (xsd:boolean)</v>
      </c>
      <c r="W1057" s="69" t="s">
        <v>5505</v>
      </c>
      <c r="X1057" s="17" t="str">
        <f t="shared" si="607"/>
        <v>d.funci.110</v>
      </c>
      <c r="Y1057" s="17" t="str">
        <f t="shared" si="608"/>
        <v>Ação de funcionar</v>
      </c>
      <c r="Z1057" s="62" t="s">
        <v>2792</v>
      </c>
      <c r="AA1057" s="18" t="str">
        <f t="shared" si="626"/>
        <v>categoria.revit</v>
      </c>
      <c r="AB1057" s="19" t="s">
        <v>2130</v>
      </c>
      <c r="AC1057" s="18" t="str">
        <f t="shared" si="627"/>
        <v>classe.ifc</v>
      </c>
      <c r="AD1057" s="19" t="s">
        <v>2081</v>
      </c>
      <c r="AE1057" s="18" t="str">
        <f t="shared" si="628"/>
        <v>propriedade</v>
      </c>
      <c r="AF1057" s="75" t="s">
        <v>1875</v>
      </c>
      <c r="AG1057" s="38" t="s">
        <v>8254</v>
      </c>
    </row>
    <row r="1058" spans="1:33" ht="6" customHeight="1" x14ac:dyDescent="0.4">
      <c r="A1058" s="4">
        <f>ROW()</f>
        <v>1058</v>
      </c>
      <c r="B1058" s="9" t="s">
        <v>27</v>
      </c>
      <c r="C1058" s="44" t="str">
        <f t="shared" si="622"/>
        <v>p.funcionar</v>
      </c>
      <c r="D1058" s="6" t="str">
        <f t="shared" si="623"/>
        <v>é.de.espera</v>
      </c>
      <c r="E1058" s="8" t="s">
        <v>28</v>
      </c>
      <c r="F1058" s="34" t="str">
        <f t="shared" si="629"/>
        <v>d.funcionar</v>
      </c>
      <c r="G1058" s="13" t="s">
        <v>659</v>
      </c>
      <c r="H1058" s="34" t="s">
        <v>36</v>
      </c>
      <c r="I1058" s="92" t="str">
        <f t="shared" si="613"/>
        <v>null</v>
      </c>
      <c r="J1058" s="80" t="s">
        <v>0</v>
      </c>
      <c r="K1058" s="80" t="s">
        <v>0</v>
      </c>
      <c r="L1058" s="80" t="s">
        <v>0</v>
      </c>
      <c r="M1058" s="80" t="s">
        <v>0</v>
      </c>
      <c r="N1058" s="80" t="s">
        <v>0</v>
      </c>
      <c r="O1058" s="80" t="s">
        <v>0</v>
      </c>
      <c r="P1058" s="80" t="s">
        <v>0</v>
      </c>
      <c r="Q1058" s="80" t="s">
        <v>0</v>
      </c>
      <c r="R1058" s="84" t="s">
        <v>0</v>
      </c>
      <c r="S1058" s="10" t="s">
        <v>1</v>
      </c>
      <c r="T1058" s="10" t="s">
        <v>10221</v>
      </c>
      <c r="U1058" s="5" t="str">
        <f t="shared" si="624"/>
        <v>Propriedade destinada a funcionar: é.de.espera</v>
      </c>
      <c r="V1058" s="5" t="str">
        <f t="shared" si="625"/>
        <v>Dado para funcionar:  de.espera  Deve ser formatado como (xsd:boolean)</v>
      </c>
      <c r="W1058" s="69" t="s">
        <v>5506</v>
      </c>
      <c r="X1058" s="17" t="str">
        <f t="shared" si="607"/>
        <v>d.funci.111</v>
      </c>
      <c r="Y1058" s="17" t="str">
        <f t="shared" si="608"/>
        <v>Ação de funcionar</v>
      </c>
      <c r="Z1058" s="62" t="s">
        <v>1322</v>
      </c>
      <c r="AA1058" s="18" t="str">
        <f t="shared" si="626"/>
        <v>categoria.revit</v>
      </c>
      <c r="AB1058" s="19" t="s">
        <v>2130</v>
      </c>
      <c r="AC1058" s="18" t="str">
        <f t="shared" si="627"/>
        <v>classe.ifc</v>
      </c>
      <c r="AD1058" s="19" t="s">
        <v>2081</v>
      </c>
      <c r="AE1058" s="18" t="str">
        <f t="shared" si="628"/>
        <v>propriedade</v>
      </c>
      <c r="AF1058" s="75" t="s">
        <v>1875</v>
      </c>
      <c r="AG1058" s="38" t="s">
        <v>8255</v>
      </c>
    </row>
    <row r="1059" spans="1:33" ht="6" customHeight="1" x14ac:dyDescent="0.4">
      <c r="A1059" s="4">
        <f>ROW()</f>
        <v>1059</v>
      </c>
      <c r="B1059" s="9" t="s">
        <v>27</v>
      </c>
      <c r="C1059" s="44" t="str">
        <f t="shared" si="622"/>
        <v>p.funcionar</v>
      </c>
      <c r="D1059" s="6" t="str">
        <f t="shared" si="623"/>
        <v>é.de.espetáculo</v>
      </c>
      <c r="E1059" s="8" t="s">
        <v>28</v>
      </c>
      <c r="F1059" s="34" t="str">
        <f t="shared" si="629"/>
        <v>d.funcionar</v>
      </c>
      <c r="G1059" s="13" t="s">
        <v>665</v>
      </c>
      <c r="H1059" s="34" t="s">
        <v>36</v>
      </c>
      <c r="I1059" s="92" t="str">
        <f t="shared" si="613"/>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24"/>
        <v>Propriedade destinada a funcionar: é.de.espetáculo</v>
      </c>
      <c r="V1059" s="5" t="str">
        <f t="shared" si="625"/>
        <v>Dado para funcionar:  de.espetáculo  Deve ser formatado como (xsd:boolean)</v>
      </c>
      <c r="W1059" s="69" t="s">
        <v>5507</v>
      </c>
      <c r="X1059" s="17" t="str">
        <f t="shared" si="607"/>
        <v>d.funci.112</v>
      </c>
      <c r="Y1059" s="17" t="str">
        <f t="shared" si="608"/>
        <v>Ação de funcionar</v>
      </c>
      <c r="Z1059" s="62" t="s">
        <v>1325</v>
      </c>
      <c r="AA1059" s="18" t="str">
        <f t="shared" si="626"/>
        <v>categoria.revit</v>
      </c>
      <c r="AB1059" s="19" t="s">
        <v>2130</v>
      </c>
      <c r="AC1059" s="18" t="str">
        <f t="shared" si="627"/>
        <v>classe.ifc</v>
      </c>
      <c r="AD1059" s="19" t="s">
        <v>2081</v>
      </c>
      <c r="AE1059" s="18" t="str">
        <f t="shared" si="628"/>
        <v>propriedade</v>
      </c>
      <c r="AF1059" s="75" t="s">
        <v>1875</v>
      </c>
      <c r="AG1059" s="38" t="s">
        <v>8256</v>
      </c>
    </row>
    <row r="1060" spans="1:33" ht="6" customHeight="1" x14ac:dyDescent="0.4">
      <c r="A1060" s="4">
        <f>ROW()</f>
        <v>1060</v>
      </c>
      <c r="B1060" s="9" t="s">
        <v>27</v>
      </c>
      <c r="C1060" s="44" t="str">
        <f t="shared" si="622"/>
        <v>p.funcionar</v>
      </c>
      <c r="D1060" s="6" t="str">
        <f t="shared" si="623"/>
        <v>é.de.estudo</v>
      </c>
      <c r="E1060" s="8" t="s">
        <v>28</v>
      </c>
      <c r="F1060" s="34" t="str">
        <f t="shared" si="629"/>
        <v>d.funcionar</v>
      </c>
      <c r="G1060" s="13" t="s">
        <v>663</v>
      </c>
      <c r="H1060" s="34" t="s">
        <v>36</v>
      </c>
      <c r="I1060" s="92" t="str">
        <f t="shared" si="613"/>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24"/>
        <v>Propriedade destinada a funcionar: é.de.estudo</v>
      </c>
      <c r="V1060" s="5" t="str">
        <f t="shared" si="625"/>
        <v>Dado para funcionar:  de.estudo  Deve ser formatado como (xsd:boolean)</v>
      </c>
      <c r="W1060" s="69" t="s">
        <v>5508</v>
      </c>
      <c r="X1060" s="17" t="str">
        <f t="shared" si="607"/>
        <v>d.funci.113</v>
      </c>
      <c r="Y1060" s="17" t="str">
        <f t="shared" si="608"/>
        <v>Ação de funcionar</v>
      </c>
      <c r="Z1060" s="62" t="s">
        <v>3733</v>
      </c>
      <c r="AA1060" s="18" t="str">
        <f t="shared" si="626"/>
        <v>categoria.revit</v>
      </c>
      <c r="AB1060" s="19" t="s">
        <v>2130</v>
      </c>
      <c r="AC1060" s="18" t="str">
        <f t="shared" si="627"/>
        <v>classe.ifc</v>
      </c>
      <c r="AD1060" s="19" t="s">
        <v>2081</v>
      </c>
      <c r="AE1060" s="18" t="str">
        <f t="shared" si="628"/>
        <v>propriedade</v>
      </c>
      <c r="AF1060" s="75" t="s">
        <v>1875</v>
      </c>
      <c r="AG1060" s="38" t="s">
        <v>8257</v>
      </c>
    </row>
    <row r="1061" spans="1:33" ht="6" customHeight="1" x14ac:dyDescent="0.4">
      <c r="A1061" s="4">
        <f>ROW()</f>
        <v>1061</v>
      </c>
      <c r="B1061" s="9" t="s">
        <v>27</v>
      </c>
      <c r="C1061" s="44" t="str">
        <f t="shared" si="622"/>
        <v>p.funcionar</v>
      </c>
      <c r="D1061" s="6" t="str">
        <f t="shared" si="623"/>
        <v>é.de.exposição</v>
      </c>
      <c r="E1061" s="8" t="s">
        <v>28</v>
      </c>
      <c r="F1061" s="34" t="str">
        <f t="shared" si="629"/>
        <v>d.funcionar</v>
      </c>
      <c r="G1061" s="13" t="s">
        <v>668</v>
      </c>
      <c r="H1061" s="34" t="s">
        <v>36</v>
      </c>
      <c r="I1061" s="92" t="str">
        <f t="shared" si="613"/>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24"/>
        <v>Propriedade destinada a funcionar: é.de.exposição</v>
      </c>
      <c r="V1061" s="5" t="str">
        <f t="shared" si="625"/>
        <v>Dado para funcionar:  de.exposição  Deve ser formatado como (xsd:boolean)</v>
      </c>
      <c r="W1061" s="69" t="s">
        <v>5509</v>
      </c>
      <c r="X1061" s="17" t="str">
        <f t="shared" si="607"/>
        <v>d.funci.114</v>
      </c>
      <c r="Y1061" s="17" t="str">
        <f t="shared" si="608"/>
        <v>Ação de funcionar</v>
      </c>
      <c r="Z1061" s="62" t="s">
        <v>3734</v>
      </c>
      <c r="AA1061" s="18" t="str">
        <f t="shared" si="626"/>
        <v>categoria.revit</v>
      </c>
      <c r="AB1061" s="19" t="s">
        <v>2130</v>
      </c>
      <c r="AC1061" s="18" t="str">
        <f t="shared" si="627"/>
        <v>classe.ifc</v>
      </c>
      <c r="AD1061" s="19" t="s">
        <v>2081</v>
      </c>
      <c r="AE1061" s="18" t="str">
        <f t="shared" si="628"/>
        <v>propriedade</v>
      </c>
      <c r="AF1061" s="75" t="s">
        <v>1875</v>
      </c>
      <c r="AG1061" s="38" t="s">
        <v>8258</v>
      </c>
    </row>
    <row r="1062" spans="1:33" ht="6" customHeight="1" x14ac:dyDescent="0.4">
      <c r="A1062" s="4">
        <f>ROW()</f>
        <v>1062</v>
      </c>
      <c r="B1062" s="9" t="s">
        <v>27</v>
      </c>
      <c r="C1062" s="44" t="str">
        <f t="shared" si="622"/>
        <v>p.funcionar</v>
      </c>
      <c r="D1062" s="6" t="str">
        <f t="shared" si="623"/>
        <v>é.de.fabricação</v>
      </c>
      <c r="E1062" s="8" t="s">
        <v>28</v>
      </c>
      <c r="F1062" s="34" t="str">
        <f t="shared" si="629"/>
        <v>d.funcionar</v>
      </c>
      <c r="G1062" s="13" t="s">
        <v>670</v>
      </c>
      <c r="H1062" s="34" t="s">
        <v>36</v>
      </c>
      <c r="I1062" s="92" t="str">
        <f t="shared" si="613"/>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24"/>
        <v>Propriedade destinada a funcionar: é.de.fabricação</v>
      </c>
      <c r="V1062" s="5" t="str">
        <f t="shared" si="625"/>
        <v>Dado para funcionar:  de.fabricação  Deve ser formatado como (xsd:boolean)</v>
      </c>
      <c r="W1062" s="69" t="s">
        <v>5510</v>
      </c>
      <c r="X1062" s="17" t="str">
        <f t="shared" si="607"/>
        <v>d.funci.115</v>
      </c>
      <c r="Y1062" s="17" t="str">
        <f t="shared" si="608"/>
        <v>Ação de funcionar</v>
      </c>
      <c r="Z1062" s="62" t="s">
        <v>1329</v>
      </c>
      <c r="AA1062" s="18" t="str">
        <f t="shared" si="626"/>
        <v>categoria.revit</v>
      </c>
      <c r="AB1062" s="19" t="s">
        <v>2130</v>
      </c>
      <c r="AC1062" s="18" t="str">
        <f t="shared" si="627"/>
        <v>classe.ifc</v>
      </c>
      <c r="AD1062" s="19" t="s">
        <v>2081</v>
      </c>
      <c r="AE1062" s="18" t="str">
        <f t="shared" si="628"/>
        <v>propriedade</v>
      </c>
      <c r="AF1062" s="75" t="s">
        <v>1875</v>
      </c>
      <c r="AG1062" s="38" t="s">
        <v>8259</v>
      </c>
    </row>
    <row r="1063" spans="1:33" ht="6" customHeight="1" x14ac:dyDescent="0.4">
      <c r="A1063" s="4">
        <f>ROW()</f>
        <v>1063</v>
      </c>
      <c r="B1063" s="9" t="s">
        <v>27</v>
      </c>
      <c r="C1063" s="44" t="str">
        <f t="shared" si="622"/>
        <v>p.funcionar</v>
      </c>
      <c r="D1063" s="6" t="str">
        <f t="shared" si="623"/>
        <v>é.de.guarda</v>
      </c>
      <c r="E1063" s="8" t="s">
        <v>28</v>
      </c>
      <c r="F1063" s="34" t="str">
        <f t="shared" si="629"/>
        <v>d.funcionar</v>
      </c>
      <c r="G1063" s="13" t="s">
        <v>656</v>
      </c>
      <c r="H1063" s="34" t="s">
        <v>36</v>
      </c>
      <c r="I1063" s="92" t="str">
        <f t="shared" si="613"/>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24"/>
        <v>Propriedade destinada a funcionar: é.de.guarda</v>
      </c>
      <c r="V1063" s="5" t="str">
        <f t="shared" si="625"/>
        <v>Dado para funcionar:  de.guarda  Deve ser formatado como (xsd:boolean)</v>
      </c>
      <c r="W1063" s="69" t="s">
        <v>5511</v>
      </c>
      <c r="X1063" s="17" t="str">
        <f t="shared" si="607"/>
        <v>d.funci.116</v>
      </c>
      <c r="Y1063" s="17" t="str">
        <f t="shared" si="608"/>
        <v>Ação de funcionar</v>
      </c>
      <c r="Z1063" s="62" t="s">
        <v>2791</v>
      </c>
      <c r="AA1063" s="18" t="str">
        <f t="shared" si="626"/>
        <v>categoria.revit</v>
      </c>
      <c r="AB1063" s="19" t="s">
        <v>2130</v>
      </c>
      <c r="AC1063" s="18" t="str">
        <f t="shared" si="627"/>
        <v>classe.ifc</v>
      </c>
      <c r="AD1063" s="19" t="s">
        <v>2081</v>
      </c>
      <c r="AE1063" s="18" t="str">
        <f t="shared" si="628"/>
        <v>propriedade</v>
      </c>
      <c r="AF1063" s="75" t="s">
        <v>1875</v>
      </c>
      <c r="AG1063" s="38" t="s">
        <v>8260</v>
      </c>
    </row>
    <row r="1064" spans="1:33" ht="6" customHeight="1" x14ac:dyDescent="0.4">
      <c r="A1064" s="4">
        <f>ROW()</f>
        <v>1064</v>
      </c>
      <c r="B1064" s="9" t="s">
        <v>27</v>
      </c>
      <c r="C1064" s="44" t="str">
        <f t="shared" si="622"/>
        <v>p.funcionar</v>
      </c>
      <c r="D1064" s="6" t="str">
        <f t="shared" si="623"/>
        <v>é.de.habitação</v>
      </c>
      <c r="E1064" s="8" t="s">
        <v>28</v>
      </c>
      <c r="F1064" s="34" t="str">
        <f t="shared" si="629"/>
        <v>d.funcionar</v>
      </c>
      <c r="G1064" s="13" t="s">
        <v>658</v>
      </c>
      <c r="H1064" s="34" t="s">
        <v>36</v>
      </c>
      <c r="I1064" s="92" t="str">
        <f t="shared" si="613"/>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24"/>
        <v>Propriedade destinada a funcionar: é.de.habitação</v>
      </c>
      <c r="V1064" s="5" t="str">
        <f t="shared" si="625"/>
        <v>Dado para funcionar:  de.habitação  Deve ser formatado como (xsd:boolean)</v>
      </c>
      <c r="W1064" s="69" t="s">
        <v>5512</v>
      </c>
      <c r="X1064" s="17" t="str">
        <f t="shared" si="607"/>
        <v>d.funci.117</v>
      </c>
      <c r="Y1064" s="17" t="str">
        <f t="shared" si="608"/>
        <v>Ação de funcionar</v>
      </c>
      <c r="Z1064" s="62" t="s">
        <v>1321</v>
      </c>
      <c r="AA1064" s="18" t="str">
        <f t="shared" si="626"/>
        <v>categoria.revit</v>
      </c>
      <c r="AB1064" s="19" t="s">
        <v>2130</v>
      </c>
      <c r="AC1064" s="18" t="str">
        <f t="shared" si="627"/>
        <v>classe.ifc</v>
      </c>
      <c r="AD1064" s="19" t="s">
        <v>2081</v>
      </c>
      <c r="AE1064" s="18" t="str">
        <f t="shared" si="628"/>
        <v>propriedade</v>
      </c>
      <c r="AF1064" s="75" t="s">
        <v>1875</v>
      </c>
      <c r="AG1064" s="38" t="s">
        <v>8261</v>
      </c>
    </row>
    <row r="1065" spans="1:33" ht="6" customHeight="1" x14ac:dyDescent="0.4">
      <c r="A1065" s="4">
        <f>ROW()</f>
        <v>1065</v>
      </c>
      <c r="B1065" s="9" t="s">
        <v>27</v>
      </c>
      <c r="C1065" s="44" t="str">
        <f t="shared" si="622"/>
        <v>p.funcionar</v>
      </c>
      <c r="D1065" s="6" t="str">
        <f t="shared" si="623"/>
        <v>é.de.higiene</v>
      </c>
      <c r="E1065" s="8" t="s">
        <v>28</v>
      </c>
      <c r="F1065" s="34" t="str">
        <f t="shared" si="629"/>
        <v>d.funcionar</v>
      </c>
      <c r="G1065" s="13" t="s">
        <v>657</v>
      </c>
      <c r="H1065" s="34" t="s">
        <v>36</v>
      </c>
      <c r="I1065" s="92" t="str">
        <f t="shared" si="613"/>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24"/>
        <v>Propriedade destinada a funcionar: é.de.higiene</v>
      </c>
      <c r="V1065" s="5" t="str">
        <f t="shared" si="625"/>
        <v>Dado para funcionar:  de.higiene  Deve ser formatado como (xsd:boolean)</v>
      </c>
      <c r="W1065" s="69" t="s">
        <v>5513</v>
      </c>
      <c r="X1065" s="17" t="str">
        <f t="shared" si="607"/>
        <v>d.funci.118</v>
      </c>
      <c r="Y1065" s="17" t="str">
        <f t="shared" si="608"/>
        <v>Ação de funcionar</v>
      </c>
      <c r="Z1065" s="62" t="s">
        <v>1320</v>
      </c>
      <c r="AA1065" s="18" t="str">
        <f t="shared" si="626"/>
        <v>categoria.revit</v>
      </c>
      <c r="AB1065" s="19" t="s">
        <v>2130</v>
      </c>
      <c r="AC1065" s="18" t="str">
        <f t="shared" si="627"/>
        <v>classe.ifc</v>
      </c>
      <c r="AD1065" s="19" t="s">
        <v>2081</v>
      </c>
      <c r="AE1065" s="18" t="str">
        <f t="shared" si="628"/>
        <v>propriedade</v>
      </c>
      <c r="AF1065" s="75" t="s">
        <v>1875</v>
      </c>
      <c r="AG1065" s="38" t="s">
        <v>8262</v>
      </c>
    </row>
    <row r="1066" spans="1:33" ht="6" customHeight="1" x14ac:dyDescent="0.4">
      <c r="A1066" s="4">
        <f>ROW()</f>
        <v>1066</v>
      </c>
      <c r="B1066" s="9" t="s">
        <v>27</v>
      </c>
      <c r="C1066" s="44" t="str">
        <f t="shared" si="622"/>
        <v>p.funcionar</v>
      </c>
      <c r="D1066" s="6" t="str">
        <f t="shared" si="623"/>
        <v>é.de.lazer</v>
      </c>
      <c r="E1066" s="8" t="s">
        <v>28</v>
      </c>
      <c r="F1066" s="34" t="str">
        <f t="shared" si="629"/>
        <v>d.funcionar</v>
      </c>
      <c r="G1066" s="13" t="s">
        <v>660</v>
      </c>
      <c r="H1066" s="34" t="s">
        <v>36</v>
      </c>
      <c r="I1066" s="92" t="str">
        <f t="shared" si="613"/>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24"/>
        <v>Propriedade destinada a funcionar: é.de.lazer</v>
      </c>
      <c r="V1066" s="5" t="str">
        <f t="shared" si="625"/>
        <v>Dado para funcionar:  de.lazer  Deve ser formatado como (xsd:boolean)</v>
      </c>
      <c r="W1066" s="69" t="s">
        <v>5514</v>
      </c>
      <c r="X1066" s="17" t="str">
        <f t="shared" si="607"/>
        <v>d.funci.119</v>
      </c>
      <c r="Y1066" s="17" t="str">
        <f t="shared" si="608"/>
        <v>Ação de funcionar</v>
      </c>
      <c r="Z1066" s="62" t="s">
        <v>1323</v>
      </c>
      <c r="AA1066" s="18" t="str">
        <f t="shared" si="626"/>
        <v>categoria.revit</v>
      </c>
      <c r="AB1066" s="19" t="s">
        <v>2130</v>
      </c>
      <c r="AC1066" s="18" t="str">
        <f t="shared" si="627"/>
        <v>classe.ifc</v>
      </c>
      <c r="AD1066" s="19" t="s">
        <v>2081</v>
      </c>
      <c r="AE1066" s="18" t="str">
        <f t="shared" si="628"/>
        <v>propriedade</v>
      </c>
      <c r="AF1066" s="75" t="s">
        <v>1875</v>
      </c>
      <c r="AG1066" s="38" t="s">
        <v>8263</v>
      </c>
    </row>
    <row r="1067" spans="1:33" ht="6" customHeight="1" x14ac:dyDescent="0.4">
      <c r="A1067" s="4">
        <f>ROW()</f>
        <v>1067</v>
      </c>
      <c r="B1067" s="9" t="s">
        <v>27</v>
      </c>
      <c r="C1067" s="44" t="str">
        <f t="shared" si="622"/>
        <v>p.funcionar</v>
      </c>
      <c r="D1067" s="6" t="str">
        <f t="shared" si="623"/>
        <v>é.de.permanência.prolongada</v>
      </c>
      <c r="E1067" s="8" t="s">
        <v>28</v>
      </c>
      <c r="F1067" s="34" t="str">
        <f t="shared" si="629"/>
        <v>d.funcionar</v>
      </c>
      <c r="G1067" s="13" t="s">
        <v>654</v>
      </c>
      <c r="H1067" s="34" t="s">
        <v>36</v>
      </c>
      <c r="I1067" s="92" t="str">
        <f t="shared" si="613"/>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24"/>
        <v>Propriedade destinada a funcionar: é.de.permanência.prolongada</v>
      </c>
      <c r="V1067" s="5" t="str">
        <f t="shared" si="625"/>
        <v>Dado para funcionar:  de.permanência.prolongada  Deve ser formatado como (xsd:boolean)</v>
      </c>
      <c r="W1067" s="69" t="s">
        <v>5515</v>
      </c>
      <c r="X1067" s="17" t="str">
        <f t="shared" si="607"/>
        <v>d.funci.120</v>
      </c>
      <c r="Y1067" s="17" t="str">
        <f t="shared" si="608"/>
        <v>Ação de funcionar</v>
      </c>
      <c r="Z1067" s="62" t="s">
        <v>3729</v>
      </c>
      <c r="AA1067" s="18" t="str">
        <f t="shared" si="626"/>
        <v>categoria.revit</v>
      </c>
      <c r="AB1067" s="19" t="s">
        <v>2130</v>
      </c>
      <c r="AC1067" s="18" t="str">
        <f t="shared" si="627"/>
        <v>classe.ifc</v>
      </c>
      <c r="AD1067" s="19" t="s">
        <v>2081</v>
      </c>
      <c r="AE1067" s="18" t="str">
        <f t="shared" si="628"/>
        <v>propriedade</v>
      </c>
      <c r="AF1067" s="75" t="s">
        <v>1875</v>
      </c>
      <c r="AG1067" s="38" t="s">
        <v>8264</v>
      </c>
    </row>
    <row r="1068" spans="1:33" ht="6" customHeight="1" x14ac:dyDescent="0.4">
      <c r="A1068" s="4">
        <f>ROW()</f>
        <v>1068</v>
      </c>
      <c r="B1068" s="9" t="s">
        <v>27</v>
      </c>
      <c r="C1068" s="44" t="str">
        <f t="shared" si="622"/>
        <v>p.funcionar</v>
      </c>
      <c r="D1068" s="6" t="str">
        <f t="shared" si="623"/>
        <v>é.de.permanência.transitória</v>
      </c>
      <c r="E1068" s="8" t="s">
        <v>28</v>
      </c>
      <c r="F1068" s="34" t="str">
        <f t="shared" si="629"/>
        <v>d.funcionar</v>
      </c>
      <c r="G1068" s="13" t="s">
        <v>655</v>
      </c>
      <c r="H1068" s="34" t="s">
        <v>36</v>
      </c>
      <c r="I1068" s="92" t="str">
        <f t="shared" si="613"/>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24"/>
        <v>Propriedade destinada a funcionar: é.de.permanência.transitória</v>
      </c>
      <c r="V1068" s="5" t="str">
        <f t="shared" si="625"/>
        <v>Dado para funcionar:  de.permanência.transitória  Deve ser formatado como (xsd:boolean)</v>
      </c>
      <c r="W1068" s="69" t="s">
        <v>5516</v>
      </c>
      <c r="X1068" s="17" t="str">
        <f t="shared" si="607"/>
        <v>d.funci.121</v>
      </c>
      <c r="Y1068" s="17" t="str">
        <f t="shared" si="608"/>
        <v>Ação de funcionar</v>
      </c>
      <c r="Z1068" s="62" t="s">
        <v>3730</v>
      </c>
      <c r="AA1068" s="18" t="str">
        <f t="shared" si="626"/>
        <v>categoria.revit</v>
      </c>
      <c r="AB1068" s="19" t="s">
        <v>2130</v>
      </c>
      <c r="AC1068" s="18" t="str">
        <f t="shared" si="627"/>
        <v>classe.ifc</v>
      </c>
      <c r="AD1068" s="19" t="s">
        <v>2081</v>
      </c>
      <c r="AE1068" s="18" t="str">
        <f t="shared" si="628"/>
        <v>propriedade</v>
      </c>
      <c r="AF1068" s="75" t="s">
        <v>1875</v>
      </c>
      <c r="AG1068" s="38" t="s">
        <v>8265</v>
      </c>
    </row>
    <row r="1069" spans="1:33" ht="6" customHeight="1" x14ac:dyDescent="0.4">
      <c r="A1069" s="4">
        <f>ROW()</f>
        <v>1069</v>
      </c>
      <c r="B1069" s="9" t="s">
        <v>27</v>
      </c>
      <c r="C1069" s="44" t="str">
        <f t="shared" si="622"/>
        <v>p.funcionar</v>
      </c>
      <c r="D1069" s="6" t="str">
        <f t="shared" si="623"/>
        <v>é.de.pesquisa</v>
      </c>
      <c r="E1069" s="8" t="s">
        <v>28</v>
      </c>
      <c r="F1069" s="34" t="str">
        <f t="shared" si="629"/>
        <v>d.funcionar</v>
      </c>
      <c r="G1069" s="13" t="s">
        <v>667</v>
      </c>
      <c r="H1069" s="34" t="s">
        <v>36</v>
      </c>
      <c r="I1069" s="92" t="str">
        <f t="shared" si="613"/>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24"/>
        <v>Propriedade destinada a funcionar: é.de.pesquisa</v>
      </c>
      <c r="V1069" s="5" t="str">
        <f t="shared" si="625"/>
        <v>Dado para funcionar:  de.pesquisa  Deve ser formatado como (xsd:boolean)</v>
      </c>
      <c r="W1069" s="69" t="s">
        <v>3722</v>
      </c>
      <c r="X1069" s="17" t="str">
        <f t="shared" si="607"/>
        <v>d.funci.122</v>
      </c>
      <c r="Y1069" s="17" t="str">
        <f t="shared" si="608"/>
        <v>Ação de funcionar</v>
      </c>
      <c r="Z1069" s="62" t="s">
        <v>1327</v>
      </c>
      <c r="AA1069" s="18" t="str">
        <f t="shared" si="626"/>
        <v>categoria.revit</v>
      </c>
      <c r="AB1069" s="19" t="s">
        <v>2130</v>
      </c>
      <c r="AC1069" s="18" t="str">
        <f t="shared" si="627"/>
        <v>classe.ifc</v>
      </c>
      <c r="AD1069" s="19" t="s">
        <v>2081</v>
      </c>
      <c r="AE1069" s="18" t="str">
        <f t="shared" si="628"/>
        <v>propriedade</v>
      </c>
      <c r="AF1069" s="75" t="s">
        <v>1875</v>
      </c>
      <c r="AG1069" s="38" t="s">
        <v>8266</v>
      </c>
    </row>
    <row r="1070" spans="1:33" ht="6" customHeight="1" x14ac:dyDescent="0.4">
      <c r="A1070" s="4">
        <f>ROW()</f>
        <v>1070</v>
      </c>
      <c r="B1070" s="9" t="s">
        <v>27</v>
      </c>
      <c r="C1070" s="44" t="str">
        <f t="shared" si="622"/>
        <v>p.funcionar</v>
      </c>
      <c r="D1070" s="6" t="str">
        <f t="shared" si="623"/>
        <v>é.de.recepção</v>
      </c>
      <c r="E1070" s="8" t="s">
        <v>28</v>
      </c>
      <c r="F1070" s="34" t="str">
        <f t="shared" si="629"/>
        <v>d.funcionar</v>
      </c>
      <c r="G1070" s="13" t="s">
        <v>652</v>
      </c>
      <c r="H1070" s="34" t="s">
        <v>36</v>
      </c>
      <c r="I1070" s="92" t="str">
        <f t="shared" si="613"/>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24"/>
        <v>Propriedade destinada a funcionar: é.de.recepção</v>
      </c>
      <c r="V1070" s="5" t="str">
        <f t="shared" si="625"/>
        <v>Dado para funcionar:  de.recepção  Deve ser formatado como (xsd:boolean)</v>
      </c>
      <c r="W1070" s="69" t="s">
        <v>5517</v>
      </c>
      <c r="X1070" s="17" t="str">
        <f t="shared" si="607"/>
        <v>d.funci.123</v>
      </c>
      <c r="Y1070" s="17" t="str">
        <f t="shared" si="608"/>
        <v>Ação de funcionar</v>
      </c>
      <c r="Z1070" s="62" t="s">
        <v>1318</v>
      </c>
      <c r="AA1070" s="18" t="str">
        <f t="shared" si="626"/>
        <v>categoria.revit</v>
      </c>
      <c r="AB1070" s="19" t="s">
        <v>2130</v>
      </c>
      <c r="AC1070" s="18" t="str">
        <f t="shared" si="627"/>
        <v>classe.ifc</v>
      </c>
      <c r="AD1070" s="19" t="s">
        <v>2081</v>
      </c>
      <c r="AE1070" s="18" t="str">
        <f t="shared" si="628"/>
        <v>propriedade</v>
      </c>
      <c r="AF1070" s="75" t="s">
        <v>1875</v>
      </c>
      <c r="AG1070" s="38" t="s">
        <v>8267</v>
      </c>
    </row>
    <row r="1071" spans="1:33" ht="6" customHeight="1" x14ac:dyDescent="0.4">
      <c r="A1071" s="4">
        <f>ROW()</f>
        <v>1071</v>
      </c>
      <c r="B1071" s="9" t="s">
        <v>27</v>
      </c>
      <c r="C1071" s="44" t="str">
        <f t="shared" si="622"/>
        <v>p.funcionar</v>
      </c>
      <c r="D1071" s="6" t="str">
        <f t="shared" si="623"/>
        <v>é.de.serviço</v>
      </c>
      <c r="E1071" s="8" t="s">
        <v>28</v>
      </c>
      <c r="F1071" s="34" t="str">
        <f t="shared" si="629"/>
        <v>d.funcionar</v>
      </c>
      <c r="G1071" s="13" t="s">
        <v>653</v>
      </c>
      <c r="H1071" s="34" t="s">
        <v>36</v>
      </c>
      <c r="I1071" s="92" t="str">
        <f t="shared" si="613"/>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24"/>
        <v>Propriedade destinada a funcionar: é.de.serviço</v>
      </c>
      <c r="V1071" s="5" t="str">
        <f t="shared" si="625"/>
        <v>Dado para funcionar:  de.serviço  Deve ser formatado como (xsd:boolean)</v>
      </c>
      <c r="W1071" s="69" t="s">
        <v>5518</v>
      </c>
      <c r="X1071" s="17" t="str">
        <f t="shared" si="607"/>
        <v>d.funci.124</v>
      </c>
      <c r="Y1071" s="17" t="str">
        <f t="shared" si="608"/>
        <v>Ação de funcionar</v>
      </c>
      <c r="Z1071" s="62" t="s">
        <v>1319</v>
      </c>
      <c r="AA1071" s="18" t="str">
        <f t="shared" si="626"/>
        <v>categoria.revit</v>
      </c>
      <c r="AB1071" s="19" t="s">
        <v>2130</v>
      </c>
      <c r="AC1071" s="18" t="str">
        <f t="shared" si="627"/>
        <v>classe.ifc</v>
      </c>
      <c r="AD1071" s="19" t="s">
        <v>2081</v>
      </c>
      <c r="AE1071" s="18" t="str">
        <f t="shared" si="628"/>
        <v>propriedade</v>
      </c>
      <c r="AF1071" s="75" t="s">
        <v>1875</v>
      </c>
      <c r="AG1071" s="38" t="s">
        <v>8268</v>
      </c>
    </row>
    <row r="1072" spans="1:33" ht="6" customHeight="1" x14ac:dyDescent="0.4">
      <c r="A1072" s="4">
        <f>ROW()</f>
        <v>1072</v>
      </c>
      <c r="B1072" s="9" t="s">
        <v>27</v>
      </c>
      <c r="C1072" s="44" t="str">
        <f t="shared" si="622"/>
        <v>p.funcionar</v>
      </c>
      <c r="D1072" s="6" t="str">
        <f t="shared" si="623"/>
        <v>é.de.trabalho</v>
      </c>
      <c r="E1072" s="8" t="s">
        <v>28</v>
      </c>
      <c r="F1072" s="34" t="str">
        <f t="shared" si="629"/>
        <v>d.funcionar</v>
      </c>
      <c r="G1072" s="13" t="s">
        <v>666</v>
      </c>
      <c r="H1072" s="34" t="s">
        <v>36</v>
      </c>
      <c r="I1072" s="92" t="str">
        <f t="shared" si="613"/>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24"/>
        <v>Propriedade destinada a funcionar: é.de.trabalho</v>
      </c>
      <c r="V1072" s="5" t="str">
        <f t="shared" si="625"/>
        <v>Dado para funcionar:  de.trabalho  Deve ser formatado como (xsd:boolean)</v>
      </c>
      <c r="W1072" s="69" t="s">
        <v>5519</v>
      </c>
      <c r="X1072" s="17" t="str">
        <f t="shared" si="607"/>
        <v>d.funci.125</v>
      </c>
      <c r="Y1072" s="17" t="str">
        <f t="shared" si="608"/>
        <v>Ação de funcionar</v>
      </c>
      <c r="Z1072" s="62" t="s">
        <v>1326</v>
      </c>
      <c r="AA1072" s="18" t="str">
        <f t="shared" si="626"/>
        <v>categoria.revit</v>
      </c>
      <c r="AB1072" s="19" t="s">
        <v>2130</v>
      </c>
      <c r="AC1072" s="18" t="str">
        <f t="shared" si="627"/>
        <v>classe.ifc</v>
      </c>
      <c r="AD1072" s="19" t="s">
        <v>2081</v>
      </c>
      <c r="AE1072" s="18" t="str">
        <f t="shared" si="628"/>
        <v>propriedade</v>
      </c>
      <c r="AF1072" s="75" t="s">
        <v>1875</v>
      </c>
      <c r="AG1072" s="38" t="s">
        <v>8269</v>
      </c>
    </row>
    <row r="1073" spans="1:33" ht="6" customHeight="1" x14ac:dyDescent="0.4">
      <c r="A1073" s="4">
        <f>ROW()</f>
        <v>1073</v>
      </c>
      <c r="B1073" s="9" t="s">
        <v>27</v>
      </c>
      <c r="C1073" s="44" t="str">
        <f t="shared" si="622"/>
        <v>p.funcionar</v>
      </c>
      <c r="D1073" s="6" t="str">
        <f t="shared" si="623"/>
        <v>é.entrada</v>
      </c>
      <c r="E1073" s="8" t="s">
        <v>28</v>
      </c>
      <c r="F1073" s="34" t="str">
        <f t="shared" ref="F1073:F1083" si="630">F1072</f>
        <v>d.funcionar</v>
      </c>
      <c r="G1073" s="14" t="s">
        <v>6479</v>
      </c>
      <c r="H1073" s="33" t="s">
        <v>1581</v>
      </c>
      <c r="I1073" s="92" t="str">
        <f t="shared" si="613"/>
        <v>null</v>
      </c>
      <c r="J1073" s="82" t="s">
        <v>0</v>
      </c>
      <c r="K1073" s="82" t="s">
        <v>0</v>
      </c>
      <c r="L1073" s="82" t="s">
        <v>0</v>
      </c>
      <c r="M1073" s="82" t="s">
        <v>0</v>
      </c>
      <c r="N1073" s="80" t="s">
        <v>0</v>
      </c>
      <c r="O1073" s="82" t="s">
        <v>0</v>
      </c>
      <c r="P1073" s="82" t="s">
        <v>0</v>
      </c>
      <c r="Q1073" s="82" t="s">
        <v>6484</v>
      </c>
      <c r="R1073" s="84" t="s">
        <v>0</v>
      </c>
      <c r="S1073" s="10" t="s">
        <v>1</v>
      </c>
      <c r="T1073" s="10" t="s">
        <v>10221</v>
      </c>
      <c r="U1073" s="5" t="str">
        <f t="shared" si="624"/>
        <v>Propriedade destinada a funcionar: é.entrada</v>
      </c>
      <c r="V1073" s="5" t="str">
        <f t="shared" si="625"/>
        <v>Dado para funcionar:  entrada  Deve ser formatado como (rdfs:Literal  or  xsd:string)</v>
      </c>
      <c r="W1073" s="69" t="s">
        <v>6481</v>
      </c>
      <c r="X1073" s="17" t="str">
        <f t="shared" si="607"/>
        <v>d.funci.126</v>
      </c>
      <c r="Y1073" s="17" t="str">
        <f t="shared" si="608"/>
        <v>Ação de funcionar</v>
      </c>
      <c r="Z1073" s="62" t="s">
        <v>6736</v>
      </c>
      <c r="AA1073" s="18" t="str">
        <f t="shared" si="626"/>
        <v>null</v>
      </c>
      <c r="AB1073" s="19" t="s">
        <v>0</v>
      </c>
      <c r="AC1073" s="18" t="str">
        <f t="shared" si="627"/>
        <v>null</v>
      </c>
      <c r="AD1073" s="19" t="s">
        <v>0</v>
      </c>
      <c r="AE1073" s="18" t="str">
        <f t="shared" si="628"/>
        <v>null</v>
      </c>
      <c r="AF1073" s="75" t="s">
        <v>0</v>
      </c>
      <c r="AG1073" s="38" t="s">
        <v>8270</v>
      </c>
    </row>
    <row r="1074" spans="1:33" ht="6" customHeight="1" x14ac:dyDescent="0.4">
      <c r="A1074" s="4">
        <f>ROW()</f>
        <v>1074</v>
      </c>
      <c r="B1074" s="9" t="s">
        <v>27</v>
      </c>
      <c r="C1074" s="44" t="str">
        <f t="shared" si="622"/>
        <v>p.funcionar</v>
      </c>
      <c r="D1074" s="6" t="str">
        <f t="shared" si="623"/>
        <v>é.funcionamento</v>
      </c>
      <c r="E1074" s="8" t="s">
        <v>28</v>
      </c>
      <c r="F1074" s="34" t="str">
        <f t="shared" si="630"/>
        <v>d.funcionar</v>
      </c>
      <c r="G1074" s="13" t="s">
        <v>1189</v>
      </c>
      <c r="H1074" s="33" t="s">
        <v>1581</v>
      </c>
      <c r="I1074" s="92" t="str">
        <f t="shared" si="613"/>
        <v>null</v>
      </c>
      <c r="J1074" s="80" t="s">
        <v>0</v>
      </c>
      <c r="K1074" s="80" t="s">
        <v>0</v>
      </c>
      <c r="L1074" s="80" t="s">
        <v>0</v>
      </c>
      <c r="M1074" s="80" t="s">
        <v>0</v>
      </c>
      <c r="N1074" s="80" t="s">
        <v>0</v>
      </c>
      <c r="O1074" s="80" t="s">
        <v>0</v>
      </c>
      <c r="P1074" s="80" t="s">
        <v>0</v>
      </c>
      <c r="Q1074" s="80" t="s">
        <v>0</v>
      </c>
      <c r="R1074" s="84" t="s">
        <v>2295</v>
      </c>
      <c r="S1074" s="10" t="s">
        <v>1</v>
      </c>
      <c r="T1074" s="10" t="s">
        <v>10221</v>
      </c>
      <c r="U1074" s="5" t="str">
        <f t="shared" si="624"/>
        <v>Propriedade destinada a funcionar: é.funcionamento</v>
      </c>
      <c r="V1074" s="5" t="str">
        <f t="shared" si="625"/>
        <v>Dado para funcionar:  funcionamento  Deve ser formatado como (rdfs:Literal  or  xsd:string)</v>
      </c>
      <c r="W1074" s="69" t="s">
        <v>5520</v>
      </c>
      <c r="X1074" s="17" t="str">
        <f t="shared" si="607"/>
        <v>d.funci.127</v>
      </c>
      <c r="Y1074" s="17" t="str">
        <f t="shared" si="608"/>
        <v>Ação de funcionar</v>
      </c>
      <c r="Z1074" s="62" t="s">
        <v>2300</v>
      </c>
      <c r="AA1074" s="18" t="str">
        <f t="shared" si="626"/>
        <v>null</v>
      </c>
      <c r="AB1074" s="19" t="s">
        <v>0</v>
      </c>
      <c r="AC1074" s="18" t="str">
        <f t="shared" si="627"/>
        <v>null</v>
      </c>
      <c r="AD1074" s="19" t="s">
        <v>0</v>
      </c>
      <c r="AE1074" s="18" t="str">
        <f t="shared" si="628"/>
        <v>null</v>
      </c>
      <c r="AF1074" s="75" t="s">
        <v>0</v>
      </c>
      <c r="AG1074" s="38" t="s">
        <v>8271</v>
      </c>
    </row>
    <row r="1075" spans="1:33" ht="6" customHeight="1" x14ac:dyDescent="0.4">
      <c r="A1075" s="4">
        <f>ROW()</f>
        <v>1075</v>
      </c>
      <c r="B1075" s="9" t="s">
        <v>27</v>
      </c>
      <c r="C1075" s="44" t="str">
        <f t="shared" si="622"/>
        <v>p.funcionar</v>
      </c>
      <c r="D1075" s="6" t="str">
        <f t="shared" si="623"/>
        <v>é.locatário</v>
      </c>
      <c r="E1075" s="8" t="s">
        <v>28</v>
      </c>
      <c r="F1075" s="34" t="str">
        <f t="shared" si="630"/>
        <v>d.funcionar</v>
      </c>
      <c r="G1075" s="14" t="s">
        <v>2297</v>
      </c>
      <c r="H1075" s="33" t="s">
        <v>1581</v>
      </c>
      <c r="I1075" s="92" t="str">
        <f t="shared" si="613"/>
        <v>null</v>
      </c>
      <c r="J1075" s="82" t="s">
        <v>0</v>
      </c>
      <c r="K1075" s="82" t="s">
        <v>0</v>
      </c>
      <c r="L1075" s="82" t="s">
        <v>0</v>
      </c>
      <c r="M1075" s="82" t="s">
        <v>0</v>
      </c>
      <c r="N1075" s="80" t="s">
        <v>0</v>
      </c>
      <c r="O1075" s="82" t="s">
        <v>0</v>
      </c>
      <c r="P1075" s="82" t="s">
        <v>0</v>
      </c>
      <c r="Q1075" s="82" t="s">
        <v>0</v>
      </c>
      <c r="R1075" s="84" t="s">
        <v>2295</v>
      </c>
      <c r="S1075" s="10" t="s">
        <v>1</v>
      </c>
      <c r="T1075" s="10" t="s">
        <v>10221</v>
      </c>
      <c r="U1075" s="5" t="str">
        <f t="shared" si="624"/>
        <v>Propriedade destinada a funcionar: é.locatário</v>
      </c>
      <c r="V1075" s="5" t="str">
        <f t="shared" si="625"/>
        <v>Dado para funcionar:  locatário  Deve ser formatado como (rdfs:Literal  or  xsd:string)</v>
      </c>
      <c r="W1075" s="69" t="s">
        <v>5521</v>
      </c>
      <c r="X1075" s="17" t="str">
        <f t="shared" si="607"/>
        <v>d.funci.128</v>
      </c>
      <c r="Y1075" s="17" t="str">
        <f t="shared" si="608"/>
        <v>Ação de funcionar</v>
      </c>
      <c r="Z1075" s="62" t="s">
        <v>2301</v>
      </c>
      <c r="AA1075" s="18" t="str">
        <f t="shared" si="626"/>
        <v>null</v>
      </c>
      <c r="AB1075" s="19" t="s">
        <v>0</v>
      </c>
      <c r="AC1075" s="18" t="str">
        <f t="shared" si="627"/>
        <v>null</v>
      </c>
      <c r="AD1075" s="19" t="s">
        <v>0</v>
      </c>
      <c r="AE1075" s="18" t="str">
        <f t="shared" si="628"/>
        <v>null</v>
      </c>
      <c r="AF1075" s="75" t="s">
        <v>0</v>
      </c>
      <c r="AG1075" s="38" t="s">
        <v>8272</v>
      </c>
    </row>
    <row r="1076" spans="1:33" ht="6" customHeight="1" x14ac:dyDescent="0.4">
      <c r="A1076" s="4">
        <f>ROW()</f>
        <v>1076</v>
      </c>
      <c r="B1076" s="9" t="s">
        <v>27</v>
      </c>
      <c r="C1076" s="44" t="str">
        <f t="shared" si="622"/>
        <v>p.funcionar</v>
      </c>
      <c r="D1076" s="6" t="str">
        <f t="shared" si="623"/>
        <v>é.morador</v>
      </c>
      <c r="E1076" s="8" t="s">
        <v>28</v>
      </c>
      <c r="F1076" s="34" t="str">
        <f t="shared" si="630"/>
        <v>d.funcionar</v>
      </c>
      <c r="G1076" s="14" t="s">
        <v>2298</v>
      </c>
      <c r="H1076" s="33" t="s">
        <v>1581</v>
      </c>
      <c r="I1076" s="92" t="str">
        <f t="shared" si="613"/>
        <v>null</v>
      </c>
      <c r="J1076" s="82" t="s">
        <v>0</v>
      </c>
      <c r="K1076" s="82" t="s">
        <v>0</v>
      </c>
      <c r="L1076" s="82" t="s">
        <v>0</v>
      </c>
      <c r="M1076" s="82" t="s">
        <v>0</v>
      </c>
      <c r="N1076" s="80" t="s">
        <v>0</v>
      </c>
      <c r="O1076" s="82" t="s">
        <v>0</v>
      </c>
      <c r="P1076" s="82" t="s">
        <v>0</v>
      </c>
      <c r="Q1076" s="82" t="s">
        <v>0</v>
      </c>
      <c r="R1076" s="84" t="s">
        <v>2295</v>
      </c>
      <c r="S1076" s="10" t="s">
        <v>1</v>
      </c>
      <c r="T1076" s="10" t="s">
        <v>10221</v>
      </c>
      <c r="U1076" s="5" t="str">
        <f t="shared" si="624"/>
        <v>Propriedade destinada a funcionar: é.morador</v>
      </c>
      <c r="V1076" s="5" t="str">
        <f t="shared" si="625"/>
        <v>Dado para funcionar:  morador  Deve ser formatado como (rdfs:Literal  or  xsd:string)</v>
      </c>
      <c r="W1076" s="69" t="s">
        <v>5522</v>
      </c>
      <c r="X1076" s="17" t="str">
        <f t="shared" si="607"/>
        <v>d.funci.129</v>
      </c>
      <c r="Y1076" s="17" t="str">
        <f t="shared" si="608"/>
        <v>Ação de funcionar</v>
      </c>
      <c r="Z1076" s="62" t="s">
        <v>2302</v>
      </c>
      <c r="AA1076" s="18" t="str">
        <f t="shared" si="626"/>
        <v>null</v>
      </c>
      <c r="AB1076" s="19" t="s">
        <v>0</v>
      </c>
      <c r="AC1076" s="18" t="str">
        <f t="shared" si="627"/>
        <v>null</v>
      </c>
      <c r="AD1076" s="19" t="s">
        <v>0</v>
      </c>
      <c r="AE1076" s="18" t="str">
        <f t="shared" si="628"/>
        <v>null</v>
      </c>
      <c r="AF1076" s="75" t="s">
        <v>0</v>
      </c>
      <c r="AG1076" s="38" t="s">
        <v>8273</v>
      </c>
    </row>
    <row r="1077" spans="1:33" ht="6" customHeight="1" x14ac:dyDescent="0.4">
      <c r="A1077" s="4">
        <f>ROW()</f>
        <v>1077</v>
      </c>
      <c r="B1077" s="9" t="s">
        <v>27</v>
      </c>
      <c r="C1077" s="44" t="str">
        <f t="shared" si="622"/>
        <v>p.funcionar</v>
      </c>
      <c r="D1077" s="6" t="str">
        <f t="shared" si="623"/>
        <v>é.ocupante</v>
      </c>
      <c r="E1077" s="8" t="s">
        <v>28</v>
      </c>
      <c r="F1077" s="34" t="str">
        <f t="shared" si="630"/>
        <v>d.funcionar</v>
      </c>
      <c r="G1077" s="14" t="s">
        <v>135</v>
      </c>
      <c r="H1077" s="33" t="s">
        <v>1581</v>
      </c>
      <c r="I1077" s="92" t="str">
        <f t="shared" si="613"/>
        <v>null</v>
      </c>
      <c r="J1077" s="82" t="s">
        <v>0</v>
      </c>
      <c r="K1077" s="82" t="s">
        <v>0</v>
      </c>
      <c r="L1077" s="82" t="s">
        <v>0</v>
      </c>
      <c r="M1077" s="82" t="s">
        <v>0</v>
      </c>
      <c r="N1077" s="80" t="s">
        <v>0</v>
      </c>
      <c r="O1077" s="82" t="s">
        <v>0</v>
      </c>
      <c r="P1077" s="82" t="s">
        <v>0</v>
      </c>
      <c r="Q1077" s="82" t="s">
        <v>0</v>
      </c>
      <c r="R1077" s="84" t="s">
        <v>2295</v>
      </c>
      <c r="S1077" s="10" t="s">
        <v>1</v>
      </c>
      <c r="T1077" s="10" t="s">
        <v>10221</v>
      </c>
      <c r="U1077" s="5" t="str">
        <f t="shared" si="624"/>
        <v>Propriedade destinada a funcionar: é.ocupante</v>
      </c>
      <c r="V1077" s="5" t="str">
        <f t="shared" si="625"/>
        <v>Dado para funcionar:  ocupante  Deve ser formatado como (rdfs:Literal  or  xsd:string)</v>
      </c>
      <c r="W1077" s="69" t="s">
        <v>5523</v>
      </c>
      <c r="X1077" s="17" t="str">
        <f t="shared" si="607"/>
        <v>d.funci.130</v>
      </c>
      <c r="Y1077" s="17" t="str">
        <f t="shared" si="608"/>
        <v>Ação de funcionar</v>
      </c>
      <c r="Z1077" s="62" t="s">
        <v>2284</v>
      </c>
      <c r="AA1077" s="18" t="str">
        <f t="shared" si="626"/>
        <v>null</v>
      </c>
      <c r="AB1077" s="19" t="s">
        <v>0</v>
      </c>
      <c r="AC1077" s="18" t="str">
        <f t="shared" si="627"/>
        <v>null</v>
      </c>
      <c r="AD1077" s="19" t="s">
        <v>0</v>
      </c>
      <c r="AE1077" s="18" t="str">
        <f t="shared" si="628"/>
        <v>null</v>
      </c>
      <c r="AF1077" s="75" t="s">
        <v>0</v>
      </c>
      <c r="AG1077" s="38" t="s">
        <v>8274</v>
      </c>
    </row>
    <row r="1078" spans="1:33" ht="6" customHeight="1" x14ac:dyDescent="0.4">
      <c r="A1078" s="4">
        <f>ROW()</f>
        <v>1078</v>
      </c>
      <c r="B1078" s="9" t="s">
        <v>27</v>
      </c>
      <c r="C1078" s="44" t="str">
        <f t="shared" si="622"/>
        <v>p.funcionar</v>
      </c>
      <c r="D1078" s="6" t="str">
        <f t="shared" si="623"/>
        <v>é.permissionário</v>
      </c>
      <c r="E1078" s="8" t="s">
        <v>28</v>
      </c>
      <c r="F1078" s="34" t="str">
        <f t="shared" si="630"/>
        <v>d.funcionar</v>
      </c>
      <c r="G1078" s="14" t="s">
        <v>3029</v>
      </c>
      <c r="H1078" s="33" t="s">
        <v>1581</v>
      </c>
      <c r="I1078" s="92" t="str">
        <f t="shared" si="613"/>
        <v>null</v>
      </c>
      <c r="J1078" s="82" t="s">
        <v>0</v>
      </c>
      <c r="K1078" s="82" t="s">
        <v>0</v>
      </c>
      <c r="L1078" s="82" t="s">
        <v>0</v>
      </c>
      <c r="M1078" s="82" t="s">
        <v>0</v>
      </c>
      <c r="N1078" s="80" t="s">
        <v>0</v>
      </c>
      <c r="O1078" s="82" t="s">
        <v>0</v>
      </c>
      <c r="P1078" s="82" t="s">
        <v>0</v>
      </c>
      <c r="Q1078" s="82" t="s">
        <v>0</v>
      </c>
      <c r="R1078" s="84" t="s">
        <v>2295</v>
      </c>
      <c r="S1078" s="10" t="s">
        <v>1</v>
      </c>
      <c r="T1078" s="10" t="s">
        <v>10221</v>
      </c>
      <c r="U1078" s="5" t="str">
        <f t="shared" si="624"/>
        <v>Propriedade destinada a funcionar: é.permissionário</v>
      </c>
      <c r="V1078" s="5" t="str">
        <f t="shared" si="625"/>
        <v>Dado para funcionar:  permissionário  Deve ser formatado como (rdfs:Literal  or  xsd:string)</v>
      </c>
      <c r="W1078" s="69" t="s">
        <v>5524</v>
      </c>
      <c r="X1078" s="17" t="str">
        <f t="shared" si="607"/>
        <v>d.funci.131</v>
      </c>
      <c r="Y1078" s="17" t="str">
        <f t="shared" si="608"/>
        <v>Ação de funcionar</v>
      </c>
      <c r="Z1078" s="62" t="s">
        <v>2303</v>
      </c>
      <c r="AA1078" s="18" t="str">
        <f t="shared" si="626"/>
        <v>null</v>
      </c>
      <c r="AB1078" s="19" t="s">
        <v>0</v>
      </c>
      <c r="AC1078" s="18" t="str">
        <f t="shared" si="627"/>
        <v>null</v>
      </c>
      <c r="AD1078" s="19" t="s">
        <v>0</v>
      </c>
      <c r="AE1078" s="18" t="str">
        <f t="shared" si="628"/>
        <v>null</v>
      </c>
      <c r="AF1078" s="75" t="s">
        <v>0</v>
      </c>
      <c r="AG1078" s="38" t="s">
        <v>8275</v>
      </c>
    </row>
    <row r="1079" spans="1:33" ht="6" customHeight="1" x14ac:dyDescent="0.4">
      <c r="A1079" s="4">
        <f>ROW()</f>
        <v>1079</v>
      </c>
      <c r="B1079" s="9" t="s">
        <v>27</v>
      </c>
      <c r="C1079" s="44" t="str">
        <f t="shared" si="622"/>
        <v>p.funcionar</v>
      </c>
      <c r="D1079" s="6" t="str">
        <f t="shared" si="623"/>
        <v>é.ponto.de.encontro</v>
      </c>
      <c r="E1079" s="8" t="s">
        <v>28</v>
      </c>
      <c r="F1079" s="34" t="str">
        <f t="shared" si="630"/>
        <v>d.funcionar</v>
      </c>
      <c r="G1079" s="14" t="s">
        <v>6482</v>
      </c>
      <c r="H1079" s="33" t="s">
        <v>1581</v>
      </c>
      <c r="I1079" s="92" t="str">
        <f t="shared" si="613"/>
        <v>null</v>
      </c>
      <c r="J1079" s="82" t="s">
        <v>0</v>
      </c>
      <c r="K1079" s="82" t="s">
        <v>0</v>
      </c>
      <c r="L1079" s="82" t="s">
        <v>0</v>
      </c>
      <c r="M1079" s="82" t="s">
        <v>0</v>
      </c>
      <c r="N1079" s="80" t="s">
        <v>0</v>
      </c>
      <c r="O1079" s="82" t="s">
        <v>0</v>
      </c>
      <c r="P1079" s="82" t="s">
        <v>0</v>
      </c>
      <c r="Q1079" s="82" t="s">
        <v>0</v>
      </c>
      <c r="R1079" s="84" t="s">
        <v>0</v>
      </c>
      <c r="S1079" s="10" t="s">
        <v>1</v>
      </c>
      <c r="T1079" s="10" t="s">
        <v>10221</v>
      </c>
      <c r="U1079" s="5" t="str">
        <f t="shared" si="624"/>
        <v>Propriedade destinada a funcionar: é.ponto.de.encontro</v>
      </c>
      <c r="V1079" s="5" t="str">
        <f t="shared" si="625"/>
        <v>Dado para funcionar:  ponto.de.encontro  Deve ser formatado como (rdfs:Literal  or  xsd:string)</v>
      </c>
      <c r="W1079" s="69" t="s">
        <v>6483</v>
      </c>
      <c r="X1079" s="17" t="str">
        <f t="shared" si="607"/>
        <v>d.funci.132</v>
      </c>
      <c r="Y1079" s="17" t="str">
        <f t="shared" si="608"/>
        <v>Ação de funcionar</v>
      </c>
      <c r="Z1079" s="62" t="s">
        <v>6737</v>
      </c>
      <c r="AA1079" s="18" t="str">
        <f t="shared" si="626"/>
        <v>null</v>
      </c>
      <c r="AB1079" s="19" t="s">
        <v>0</v>
      </c>
      <c r="AC1079" s="18" t="str">
        <f t="shared" si="627"/>
        <v>null</v>
      </c>
      <c r="AD1079" s="19" t="s">
        <v>0</v>
      </c>
      <c r="AE1079" s="18" t="str">
        <f t="shared" si="628"/>
        <v>null</v>
      </c>
      <c r="AF1079" s="75" t="s">
        <v>0</v>
      </c>
      <c r="AG1079" s="38" t="s">
        <v>8276</v>
      </c>
    </row>
    <row r="1080" spans="1:33" ht="6" customHeight="1" x14ac:dyDescent="0.4">
      <c r="A1080" s="4">
        <f>ROW()</f>
        <v>1080</v>
      </c>
      <c r="B1080" s="9" t="s">
        <v>27</v>
      </c>
      <c r="C1080" s="44" t="str">
        <f t="shared" si="622"/>
        <v>p.funcionar</v>
      </c>
      <c r="D1080" s="6" t="str">
        <f t="shared" si="623"/>
        <v>é.saída</v>
      </c>
      <c r="E1080" s="8" t="s">
        <v>28</v>
      </c>
      <c r="F1080" s="34" t="str">
        <f t="shared" si="630"/>
        <v>d.funcionar</v>
      </c>
      <c r="G1080" s="14" t="s">
        <v>6478</v>
      </c>
      <c r="H1080" s="33" t="s">
        <v>1581</v>
      </c>
      <c r="I1080" s="92" t="str">
        <f t="shared" si="613"/>
        <v>null</v>
      </c>
      <c r="J1080" s="82" t="s">
        <v>0</v>
      </c>
      <c r="K1080" s="82" t="s">
        <v>0</v>
      </c>
      <c r="L1080" s="82" t="s">
        <v>0</v>
      </c>
      <c r="M1080" s="82" t="s">
        <v>0</v>
      </c>
      <c r="N1080" s="80" t="s">
        <v>0</v>
      </c>
      <c r="O1080" s="82" t="s">
        <v>0</v>
      </c>
      <c r="P1080" s="82" t="s">
        <v>0</v>
      </c>
      <c r="Q1080" s="82" t="s">
        <v>6485</v>
      </c>
      <c r="R1080" s="84" t="s">
        <v>0</v>
      </c>
      <c r="S1080" s="10" t="s">
        <v>1</v>
      </c>
      <c r="T1080" s="10" t="s">
        <v>10221</v>
      </c>
      <c r="U1080" s="5" t="str">
        <f t="shared" si="624"/>
        <v>Propriedade destinada a funcionar: é.saída</v>
      </c>
      <c r="V1080" s="5" t="str">
        <f t="shared" si="625"/>
        <v>Dado para funcionar:  saída  Deve ser formatado como (rdfs:Literal  or  xsd:string)</v>
      </c>
      <c r="W1080" s="69" t="s">
        <v>6480</v>
      </c>
      <c r="X1080" s="17" t="str">
        <f t="shared" si="607"/>
        <v>d.funci.133</v>
      </c>
      <c r="Y1080" s="17" t="str">
        <f t="shared" si="608"/>
        <v>Ação de funcionar</v>
      </c>
      <c r="Z1080" s="62" t="s">
        <v>6738</v>
      </c>
      <c r="AA1080" s="18" t="str">
        <f t="shared" si="626"/>
        <v>null</v>
      </c>
      <c r="AB1080" s="19" t="s">
        <v>0</v>
      </c>
      <c r="AC1080" s="18" t="str">
        <f t="shared" si="627"/>
        <v>null</v>
      </c>
      <c r="AD1080" s="19" t="s">
        <v>0</v>
      </c>
      <c r="AE1080" s="18" t="str">
        <f t="shared" si="628"/>
        <v>null</v>
      </c>
      <c r="AF1080" s="75" t="s">
        <v>0</v>
      </c>
      <c r="AG1080" s="38" t="s">
        <v>8277</v>
      </c>
    </row>
    <row r="1081" spans="1:33" ht="6" customHeight="1" x14ac:dyDescent="0.4">
      <c r="A1081" s="4">
        <f>ROW()</f>
        <v>1081</v>
      </c>
      <c r="B1081" s="9" t="s">
        <v>27</v>
      </c>
      <c r="C1081" s="44" t="str">
        <f t="shared" si="622"/>
        <v>p.funcionar</v>
      </c>
      <c r="D1081" s="6" t="str">
        <f t="shared" si="623"/>
        <v>é.taxa.metabólica</v>
      </c>
      <c r="E1081" s="8" t="s">
        <v>28</v>
      </c>
      <c r="F1081" s="34" t="str">
        <f t="shared" si="630"/>
        <v>d.funcionar</v>
      </c>
      <c r="G1081" s="13" t="s">
        <v>671</v>
      </c>
      <c r="H1081" s="34" t="s">
        <v>35</v>
      </c>
      <c r="I1081" s="92" t="str">
        <f t="shared" si="613"/>
        <v>null</v>
      </c>
      <c r="J1081" s="80" t="s">
        <v>0</v>
      </c>
      <c r="K1081" s="80" t="s">
        <v>0</v>
      </c>
      <c r="L1081" s="80" t="s">
        <v>0</v>
      </c>
      <c r="M1081" s="80" t="s">
        <v>0</v>
      </c>
      <c r="N1081" s="80" t="s">
        <v>0</v>
      </c>
      <c r="O1081" s="80" t="s">
        <v>0</v>
      </c>
      <c r="P1081" s="80" t="s">
        <v>0</v>
      </c>
      <c r="Q1081" s="80" t="s">
        <v>0</v>
      </c>
      <c r="R1081" s="84" t="s">
        <v>0</v>
      </c>
      <c r="S1081" s="10" t="s">
        <v>1</v>
      </c>
      <c r="T1081" s="10" t="s">
        <v>10221</v>
      </c>
      <c r="U1081" s="5" t="str">
        <f t="shared" si="624"/>
        <v>Propriedade destinada a funcionar: é.taxa.metabólica</v>
      </c>
      <c r="V1081" s="5" t="str">
        <f t="shared" si="625"/>
        <v>Dado para funcionar:  taxa.metabólica  Deve ser formatado como (xsd:double)</v>
      </c>
      <c r="W1081" s="69" t="s">
        <v>5525</v>
      </c>
      <c r="X1081" s="17" t="str">
        <f t="shared" si="607"/>
        <v>d.funci.134</v>
      </c>
      <c r="Y1081" s="17" t="str">
        <f t="shared" si="608"/>
        <v>Ação de funcionar</v>
      </c>
      <c r="Z1081" s="62" t="s">
        <v>3731</v>
      </c>
      <c r="AA1081" s="18" t="str">
        <f t="shared" si="626"/>
        <v>categoria.revit</v>
      </c>
      <c r="AB1081" s="19" t="s">
        <v>2130</v>
      </c>
      <c r="AC1081" s="18" t="str">
        <f t="shared" si="627"/>
        <v>classe.ifc</v>
      </c>
      <c r="AD1081" s="19" t="s">
        <v>2081</v>
      </c>
      <c r="AE1081" s="18" t="str">
        <f t="shared" si="628"/>
        <v>propriedade</v>
      </c>
      <c r="AF1081" s="75" t="s">
        <v>1875</v>
      </c>
      <c r="AG1081" s="38" t="s">
        <v>8278</v>
      </c>
    </row>
    <row r="1082" spans="1:33" ht="6" customHeight="1" x14ac:dyDescent="0.4">
      <c r="A1082" s="4">
        <f>ROW()</f>
        <v>1082</v>
      </c>
      <c r="B1082" s="9" t="s">
        <v>27</v>
      </c>
      <c r="C1082" s="44" t="str">
        <f t="shared" si="622"/>
        <v>p.funcionar</v>
      </c>
      <c r="D1082" s="6" t="str">
        <f t="shared" si="623"/>
        <v>é.uso</v>
      </c>
      <c r="E1082" s="8" t="s">
        <v>28</v>
      </c>
      <c r="F1082" s="34" t="str">
        <f t="shared" si="630"/>
        <v>d.funcionar</v>
      </c>
      <c r="G1082" s="13" t="s">
        <v>1188</v>
      </c>
      <c r="H1082" s="33" t="s">
        <v>1581</v>
      </c>
      <c r="I1082" s="92" t="str">
        <f t="shared" si="613"/>
        <v>null</v>
      </c>
      <c r="J1082" s="80" t="s">
        <v>0</v>
      </c>
      <c r="K1082" s="80" t="s">
        <v>0</v>
      </c>
      <c r="L1082" s="80" t="s">
        <v>0</v>
      </c>
      <c r="M1082" s="80" t="s">
        <v>0</v>
      </c>
      <c r="N1082" s="80" t="s">
        <v>0</v>
      </c>
      <c r="O1082" s="80" t="s">
        <v>0</v>
      </c>
      <c r="P1082" s="80" t="s">
        <v>0</v>
      </c>
      <c r="Q1082" s="80" t="s">
        <v>0</v>
      </c>
      <c r="R1082" s="84" t="s">
        <v>2296</v>
      </c>
      <c r="S1082" s="10" t="s">
        <v>1</v>
      </c>
      <c r="T1082" s="10" t="s">
        <v>10221</v>
      </c>
      <c r="U1082" s="5" t="str">
        <f t="shared" si="624"/>
        <v>Propriedade destinada a funcionar: é.uso</v>
      </c>
      <c r="V1082" s="5" t="str">
        <f t="shared" si="625"/>
        <v>Dado para funcionar:  uso  Deve ser formatado como (rdfs:Literal  or  xsd:string)</v>
      </c>
      <c r="W1082" s="69" t="s">
        <v>3728</v>
      </c>
      <c r="X1082" s="17" t="str">
        <f t="shared" si="607"/>
        <v>d.funci.135</v>
      </c>
      <c r="Y1082" s="17" t="str">
        <f t="shared" si="608"/>
        <v>Ação de funcionar</v>
      </c>
      <c r="Z1082" s="62" t="s">
        <v>2299</v>
      </c>
      <c r="AA1082" s="18" t="str">
        <f t="shared" si="626"/>
        <v>null</v>
      </c>
      <c r="AB1082" s="19" t="s">
        <v>0</v>
      </c>
      <c r="AC1082" s="18" t="str">
        <f t="shared" si="627"/>
        <v>null</v>
      </c>
      <c r="AD1082" s="19" t="s">
        <v>0</v>
      </c>
      <c r="AE1082" s="18" t="str">
        <f t="shared" si="628"/>
        <v>null</v>
      </c>
      <c r="AF1082" s="75" t="s">
        <v>0</v>
      </c>
      <c r="AG1082" s="38" t="s">
        <v>8279</v>
      </c>
    </row>
    <row r="1083" spans="1:33" ht="6" customHeight="1" x14ac:dyDescent="0.4">
      <c r="A1083" s="4">
        <f>ROW()</f>
        <v>1083</v>
      </c>
      <c r="B1083" s="9" t="s">
        <v>27</v>
      </c>
      <c r="C1083" s="44" t="str">
        <f t="shared" si="622"/>
        <v>p.funcionar</v>
      </c>
      <c r="D1083" s="6" t="str">
        <f t="shared" si="623"/>
        <v>é.usuário</v>
      </c>
      <c r="E1083" s="8" t="s">
        <v>28</v>
      </c>
      <c r="F1083" s="34" t="str">
        <f t="shared" si="630"/>
        <v>d.funcionar</v>
      </c>
      <c r="G1083" s="14" t="s">
        <v>136</v>
      </c>
      <c r="H1083" s="33" t="s">
        <v>1581</v>
      </c>
      <c r="I1083" s="92" t="str">
        <f t="shared" si="613"/>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24"/>
        <v>Propriedade destinada a funcionar: é.usuário</v>
      </c>
      <c r="V1083" s="5" t="str">
        <f t="shared" si="625"/>
        <v>Dado para funcionar:  usuário  Deve ser formatado como (rdfs:Literal  or  xsd:string)</v>
      </c>
      <c r="W1083" s="69" t="s">
        <v>3727</v>
      </c>
      <c r="X1083" s="17" t="str">
        <f t="shared" si="607"/>
        <v>d.funci.136</v>
      </c>
      <c r="Y1083" s="17" t="str">
        <f t="shared" si="608"/>
        <v>Ação de funcionar</v>
      </c>
      <c r="Z1083" s="62" t="s">
        <v>2304</v>
      </c>
      <c r="AA1083" s="18" t="str">
        <f t="shared" si="626"/>
        <v>null</v>
      </c>
      <c r="AB1083" s="19" t="s">
        <v>0</v>
      </c>
      <c r="AC1083" s="18" t="str">
        <f t="shared" si="627"/>
        <v>null</v>
      </c>
      <c r="AD1083" s="19" t="s">
        <v>0</v>
      </c>
      <c r="AE1083" s="18" t="str">
        <f t="shared" si="628"/>
        <v>null</v>
      </c>
      <c r="AF1083" s="75" t="s">
        <v>0</v>
      </c>
      <c r="AG1083" s="38" t="s">
        <v>8280</v>
      </c>
    </row>
    <row r="1084" spans="1:33" ht="6" customHeight="1" x14ac:dyDescent="0.4">
      <c r="A1084" s="4">
        <f>ROW()</f>
        <v>1084</v>
      </c>
      <c r="B1084" s="9" t="s">
        <v>27</v>
      </c>
      <c r="C1084" s="43" t="str">
        <f t="shared" ref="C1084:C1111" si="631">SUBSTITUTE(F1084,"d.","p.")</f>
        <v>p.geolocalizar</v>
      </c>
      <c r="D1084" s="6" t="str">
        <f t="shared" si="623"/>
        <v>é.altitude</v>
      </c>
      <c r="E1084" s="8" t="s">
        <v>28</v>
      </c>
      <c r="F1084" s="41" t="s">
        <v>2185</v>
      </c>
      <c r="G1084" s="14" t="s">
        <v>128</v>
      </c>
      <c r="H1084" s="33" t="s">
        <v>1581</v>
      </c>
      <c r="I1084" s="92" t="str">
        <f t="shared" si="613"/>
        <v>null</v>
      </c>
      <c r="J1084" s="82" t="s">
        <v>0</v>
      </c>
      <c r="K1084" s="82" t="s">
        <v>0</v>
      </c>
      <c r="L1084" s="82" t="s">
        <v>0</v>
      </c>
      <c r="M1084" s="82" t="s">
        <v>0</v>
      </c>
      <c r="N1084" s="80" t="s">
        <v>0</v>
      </c>
      <c r="O1084" s="82" t="s">
        <v>0</v>
      </c>
      <c r="P1084" s="82" t="s">
        <v>0</v>
      </c>
      <c r="Q1084" s="82" t="s">
        <v>0</v>
      </c>
      <c r="R1084" s="84" t="s">
        <v>0</v>
      </c>
      <c r="S1084" s="10" t="s">
        <v>1</v>
      </c>
      <c r="T1084" s="10" t="s">
        <v>10221</v>
      </c>
      <c r="U1084" s="5" t="str">
        <f t="shared" si="624"/>
        <v>Propriedade destinada a geolocalizar: é.altitude</v>
      </c>
      <c r="V1084" s="5" t="str">
        <f t="shared" si="625"/>
        <v>Dado para geolocalizar:  altitude  Deve ser formatado como (rdfs:Literal  or  xsd:string)</v>
      </c>
      <c r="W1084" s="69" t="s">
        <v>5532</v>
      </c>
      <c r="X1084" s="17" t="str">
        <f t="shared" si="607"/>
        <v>d.geolo.100</v>
      </c>
      <c r="Y1084" s="17" t="str">
        <f t="shared" si="608"/>
        <v>Ação de geolocalizar</v>
      </c>
      <c r="Z1084" s="62" t="s">
        <v>2287</v>
      </c>
      <c r="AA1084" s="18" t="str">
        <f t="shared" si="626"/>
        <v>null</v>
      </c>
      <c r="AB1084" s="19" t="s">
        <v>0</v>
      </c>
      <c r="AC1084" s="18" t="str">
        <f t="shared" si="627"/>
        <v>null</v>
      </c>
      <c r="AD1084" s="19" t="s">
        <v>0</v>
      </c>
      <c r="AE1084" s="18" t="str">
        <f t="shared" si="628"/>
        <v>propriedade</v>
      </c>
      <c r="AF1084" s="49" t="s">
        <v>1870</v>
      </c>
      <c r="AG1084" s="38" t="s">
        <v>8281</v>
      </c>
    </row>
    <row r="1085" spans="1:33" ht="6" customHeight="1" x14ac:dyDescent="0.4">
      <c r="A1085" s="4">
        <f>ROW()</f>
        <v>1085</v>
      </c>
      <c r="B1085" s="9" t="s">
        <v>27</v>
      </c>
      <c r="C1085" s="44" t="str">
        <f t="shared" si="631"/>
        <v>p.geolocalizar</v>
      </c>
      <c r="D1085" s="6" t="str">
        <f t="shared" si="623"/>
        <v>é.código.de.município</v>
      </c>
      <c r="E1085" s="8" t="s">
        <v>28</v>
      </c>
      <c r="F1085" s="34" t="str">
        <f t="shared" ref="F1085:F1104" si="632">F1084</f>
        <v>d.geolocalizar</v>
      </c>
      <c r="G1085" s="14" t="s">
        <v>684</v>
      </c>
      <c r="H1085" s="33" t="s">
        <v>1581</v>
      </c>
      <c r="I1085" s="92" t="str">
        <f t="shared" si="613"/>
        <v>null</v>
      </c>
      <c r="J1085" s="82" t="s">
        <v>0</v>
      </c>
      <c r="K1085" s="82" t="s">
        <v>0</v>
      </c>
      <c r="L1085" s="82" t="s">
        <v>0</v>
      </c>
      <c r="M1085" s="82" t="s">
        <v>0</v>
      </c>
      <c r="N1085" s="80" t="s">
        <v>0</v>
      </c>
      <c r="O1085" s="82" t="s">
        <v>0</v>
      </c>
      <c r="P1085" s="82" t="s">
        <v>0</v>
      </c>
      <c r="Q1085" s="82" t="s">
        <v>0</v>
      </c>
      <c r="R1085" s="84" t="s">
        <v>0</v>
      </c>
      <c r="S1085" s="10" t="s">
        <v>1</v>
      </c>
      <c r="T1085" s="10" t="s">
        <v>10221</v>
      </c>
      <c r="U1085" s="5" t="str">
        <f t="shared" si="624"/>
        <v>Propriedade destinada a geolocalizar: é.código.de.município</v>
      </c>
      <c r="V1085" s="5" t="str">
        <f t="shared" si="625"/>
        <v>Dado para geolocalizar:  código.de.município  Deve ser formatado como (rdfs:Literal  or  xsd:string)</v>
      </c>
      <c r="W1085" s="69" t="s">
        <v>5536</v>
      </c>
      <c r="X1085" s="17" t="str">
        <f t="shared" si="607"/>
        <v>d.geolo.101</v>
      </c>
      <c r="Y1085" s="17" t="str">
        <f t="shared" si="608"/>
        <v>Ação de geolocalizar</v>
      </c>
      <c r="Z1085" s="62" t="s">
        <v>4170</v>
      </c>
      <c r="AA1085" s="18" t="str">
        <f t="shared" si="626"/>
        <v>null</v>
      </c>
      <c r="AB1085" s="19" t="s">
        <v>0</v>
      </c>
      <c r="AC1085" s="18" t="str">
        <f t="shared" si="627"/>
        <v>null</v>
      </c>
      <c r="AD1085" s="19" t="s">
        <v>0</v>
      </c>
      <c r="AE1085" s="18" t="str">
        <f t="shared" si="628"/>
        <v>propriedade</v>
      </c>
      <c r="AF1085" s="75" t="s">
        <v>1909</v>
      </c>
      <c r="AG1085" s="38" t="s">
        <v>8282</v>
      </c>
    </row>
    <row r="1086" spans="1:33" ht="6" customHeight="1" x14ac:dyDescent="0.4">
      <c r="A1086" s="4">
        <f>ROW()</f>
        <v>1086</v>
      </c>
      <c r="B1086" s="9" t="s">
        <v>27</v>
      </c>
      <c r="C1086" s="44" t="str">
        <f t="shared" si="631"/>
        <v>p.geolocalizar</v>
      </c>
      <c r="D1086" s="6" t="str">
        <f t="shared" si="623"/>
        <v>é.código.de.município.completo</v>
      </c>
      <c r="E1086" s="8" t="s">
        <v>28</v>
      </c>
      <c r="F1086" s="34" t="str">
        <f t="shared" si="632"/>
        <v>d.geolocalizar</v>
      </c>
      <c r="G1086" s="14" t="s">
        <v>685</v>
      </c>
      <c r="H1086" s="33" t="s">
        <v>1581</v>
      </c>
      <c r="I1086" s="92" t="str">
        <f t="shared" si="613"/>
        <v>null</v>
      </c>
      <c r="J1086" s="82" t="s">
        <v>0</v>
      </c>
      <c r="K1086" s="82" t="s">
        <v>0</v>
      </c>
      <c r="L1086" s="82" t="s">
        <v>0</v>
      </c>
      <c r="M1086" s="82" t="s">
        <v>0</v>
      </c>
      <c r="N1086" s="80" t="s">
        <v>0</v>
      </c>
      <c r="O1086" s="82" t="s">
        <v>0</v>
      </c>
      <c r="P1086" s="82" t="s">
        <v>0</v>
      </c>
      <c r="Q1086" s="82" t="s">
        <v>0</v>
      </c>
      <c r="R1086" s="84" t="s">
        <v>0</v>
      </c>
      <c r="S1086" s="10" t="s">
        <v>1</v>
      </c>
      <c r="T1086" s="10" t="s">
        <v>10221</v>
      </c>
      <c r="U1086" s="5" t="str">
        <f t="shared" si="624"/>
        <v>Propriedade destinada a geolocalizar: é.código.de.município.completo</v>
      </c>
      <c r="V1086" s="5" t="str">
        <f t="shared" si="625"/>
        <v>Dado para geolocalizar:  código.de.município.completo  Deve ser formatado como (rdfs:Literal  or  xsd:string)</v>
      </c>
      <c r="W1086" s="69" t="s">
        <v>5537</v>
      </c>
      <c r="X1086" s="17" t="str">
        <f t="shared" si="607"/>
        <v>d.geolo.102</v>
      </c>
      <c r="Y1086" s="17" t="str">
        <f t="shared" si="608"/>
        <v>Ação de geolocalizar</v>
      </c>
      <c r="Z1086" s="62" t="s">
        <v>4171</v>
      </c>
      <c r="AA1086" s="18" t="str">
        <f t="shared" si="626"/>
        <v>null</v>
      </c>
      <c r="AB1086" s="19" t="s">
        <v>0</v>
      </c>
      <c r="AC1086" s="18" t="str">
        <f t="shared" si="627"/>
        <v>null</v>
      </c>
      <c r="AD1086" s="19" t="s">
        <v>0</v>
      </c>
      <c r="AE1086" s="18" t="str">
        <f t="shared" si="628"/>
        <v>propriedade</v>
      </c>
      <c r="AF1086" s="75" t="s">
        <v>1909</v>
      </c>
      <c r="AG1086" s="38" t="s">
        <v>8283</v>
      </c>
    </row>
    <row r="1087" spans="1:33" ht="6" customHeight="1" x14ac:dyDescent="0.4">
      <c r="A1087" s="4">
        <f>ROW()</f>
        <v>1087</v>
      </c>
      <c r="B1087" s="9" t="s">
        <v>27</v>
      </c>
      <c r="C1087" s="44" t="str">
        <f t="shared" ref="C1087:C1088" si="633">SUBSTITUTE(F1087,"d.","p.")</f>
        <v>p.geolocalizar</v>
      </c>
      <c r="D1087" s="6" t="str">
        <f t="shared" si="623"/>
        <v>é.código.rgi</v>
      </c>
      <c r="E1087" s="8" t="s">
        <v>28</v>
      </c>
      <c r="F1087" s="34" t="str">
        <f t="shared" si="632"/>
        <v>d.geolocalizar</v>
      </c>
      <c r="G1087" s="14" t="s">
        <v>6511</v>
      </c>
      <c r="H1087" s="33" t="s">
        <v>1581</v>
      </c>
      <c r="I1087" s="92" t="str">
        <f t="shared" si="613"/>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24"/>
        <v>Propriedade destinada a geolocalizar: é.código.rgi</v>
      </c>
      <c r="V1087" s="5" t="str">
        <f t="shared" si="625"/>
        <v>Dado para geolocalizar:  código.rgi  Deve ser formatado como (rdfs:Literal  or  xsd:string)</v>
      </c>
      <c r="W1087" s="69" t="s">
        <v>6516</v>
      </c>
      <c r="X1087" s="17" t="str">
        <f t="shared" si="607"/>
        <v>d.geolo.103</v>
      </c>
      <c r="Y1087" s="17" t="str">
        <f t="shared" si="608"/>
        <v>Ação de geolocalizar</v>
      </c>
      <c r="Z1087" s="62" t="s">
        <v>6518</v>
      </c>
      <c r="AA1087" s="18" t="str">
        <f t="shared" si="626"/>
        <v>null</v>
      </c>
      <c r="AB1087" s="19" t="s">
        <v>0</v>
      </c>
      <c r="AC1087" s="18" t="str">
        <f t="shared" si="627"/>
        <v>null</v>
      </c>
      <c r="AD1087" s="19" t="s">
        <v>0</v>
      </c>
      <c r="AE1087" s="18" t="str">
        <f t="shared" si="628"/>
        <v>null</v>
      </c>
      <c r="AF1087" s="75" t="s">
        <v>0</v>
      </c>
      <c r="AG1087" s="38" t="s">
        <v>8284</v>
      </c>
    </row>
    <row r="1088" spans="1:33" ht="6" customHeight="1" x14ac:dyDescent="0.4">
      <c r="A1088" s="4">
        <f>ROW()</f>
        <v>1088</v>
      </c>
      <c r="B1088" s="9" t="s">
        <v>27</v>
      </c>
      <c r="C1088" s="44" t="str">
        <f t="shared" si="633"/>
        <v>p.geolocalizar</v>
      </c>
      <c r="D1088" s="6" t="str">
        <f t="shared" si="623"/>
        <v>é.código.rgint</v>
      </c>
      <c r="E1088" s="8" t="s">
        <v>28</v>
      </c>
      <c r="F1088" s="34" t="str">
        <f t="shared" si="632"/>
        <v>d.geolocalizar</v>
      </c>
      <c r="G1088" s="14" t="s">
        <v>6512</v>
      </c>
      <c r="H1088" s="33" t="s">
        <v>1581</v>
      </c>
      <c r="I1088" s="92" t="str">
        <f t="shared" si="613"/>
        <v>null</v>
      </c>
      <c r="J1088" s="82" t="s">
        <v>0</v>
      </c>
      <c r="K1088" s="82" t="s">
        <v>0</v>
      </c>
      <c r="L1088" s="82" t="s">
        <v>0</v>
      </c>
      <c r="M1088" s="82" t="s">
        <v>0</v>
      </c>
      <c r="N1088" s="80" t="s">
        <v>0</v>
      </c>
      <c r="O1088" s="82" t="s">
        <v>0</v>
      </c>
      <c r="P1088" s="82" t="s">
        <v>0</v>
      </c>
      <c r="Q1088" s="82" t="s">
        <v>0</v>
      </c>
      <c r="R1088" s="84" t="s">
        <v>0</v>
      </c>
      <c r="S1088" s="10" t="s">
        <v>1</v>
      </c>
      <c r="T1088" s="10" t="s">
        <v>10221</v>
      </c>
      <c r="U1088" s="5" t="str">
        <f t="shared" si="624"/>
        <v>Propriedade destinada a geolocalizar: é.código.rgint</v>
      </c>
      <c r="V1088" s="5" t="str">
        <f t="shared" si="625"/>
        <v>Dado para geolocalizar:  código.rgint  Deve ser formatado como (rdfs:Literal  or  xsd:string)</v>
      </c>
      <c r="W1088" s="69" t="s">
        <v>6517</v>
      </c>
      <c r="X1088" s="17" t="str">
        <f t="shared" si="607"/>
        <v>d.geolo.104</v>
      </c>
      <c r="Y1088" s="17" t="str">
        <f t="shared" si="608"/>
        <v>Ação de geolocalizar</v>
      </c>
      <c r="Z1088" s="62" t="s">
        <v>6519</v>
      </c>
      <c r="AA1088" s="18" t="str">
        <f t="shared" si="626"/>
        <v>null</v>
      </c>
      <c r="AB1088" s="19" t="s">
        <v>0</v>
      </c>
      <c r="AC1088" s="18" t="str">
        <f t="shared" si="627"/>
        <v>null</v>
      </c>
      <c r="AD1088" s="19" t="s">
        <v>0</v>
      </c>
      <c r="AE1088" s="18" t="str">
        <f t="shared" si="628"/>
        <v>null</v>
      </c>
      <c r="AF1088" s="75" t="s">
        <v>0</v>
      </c>
      <c r="AG1088" s="38" t="s">
        <v>8285</v>
      </c>
    </row>
    <row r="1089" spans="1:33" ht="6" customHeight="1" x14ac:dyDescent="0.4">
      <c r="A1089" s="4">
        <f>ROW()</f>
        <v>1089</v>
      </c>
      <c r="B1089" s="9" t="s">
        <v>27</v>
      </c>
      <c r="C1089" s="44" t="str">
        <f t="shared" si="631"/>
        <v>p.geolocalizar</v>
      </c>
      <c r="D1089" s="6" t="str">
        <f t="shared" si="623"/>
        <v>é.coordenada.utm</v>
      </c>
      <c r="E1089" s="8" t="s">
        <v>28</v>
      </c>
      <c r="F1089" s="34" t="str">
        <f t="shared" si="632"/>
        <v>d.geolocalizar</v>
      </c>
      <c r="G1089" s="14" t="s">
        <v>683</v>
      </c>
      <c r="H1089" s="33" t="s">
        <v>1581</v>
      </c>
      <c r="I1089" s="92" t="str">
        <f t="shared" si="613"/>
        <v>null</v>
      </c>
      <c r="J1089" s="82" t="s">
        <v>0</v>
      </c>
      <c r="K1089" s="82" t="s">
        <v>0</v>
      </c>
      <c r="L1089" s="82" t="s">
        <v>0</v>
      </c>
      <c r="M1089" s="82" t="s">
        <v>0</v>
      </c>
      <c r="N1089" s="80" t="s">
        <v>0</v>
      </c>
      <c r="O1089" s="82" t="s">
        <v>0</v>
      </c>
      <c r="P1089" s="82" t="s">
        <v>0</v>
      </c>
      <c r="Q1089" s="82" t="s">
        <v>0</v>
      </c>
      <c r="R1089" s="84" t="s">
        <v>0</v>
      </c>
      <c r="S1089" s="10" t="s">
        <v>1</v>
      </c>
      <c r="T1089" s="10" t="s">
        <v>10221</v>
      </c>
      <c r="U1089" s="5" t="str">
        <f t="shared" si="624"/>
        <v>Propriedade destinada a geolocalizar: é.coordenada.utm</v>
      </c>
      <c r="V1089" s="5" t="str">
        <f t="shared" si="625"/>
        <v>Dado para geolocalizar:  coordenada.utm  Deve ser formatado como (rdfs:Literal  or  xsd:string)</v>
      </c>
      <c r="W1089" s="69" t="s">
        <v>5535</v>
      </c>
      <c r="X1089" s="17" t="str">
        <f t="shared" si="607"/>
        <v>d.geolo.105</v>
      </c>
      <c r="Y1089" s="17" t="str">
        <f t="shared" si="608"/>
        <v>Ação de geolocalizar</v>
      </c>
      <c r="Z1089" s="62" t="s">
        <v>4169</v>
      </c>
      <c r="AA1089" s="18" t="str">
        <f t="shared" si="626"/>
        <v>null</v>
      </c>
      <c r="AB1089" s="19" t="s">
        <v>0</v>
      </c>
      <c r="AC1089" s="18" t="str">
        <f t="shared" si="627"/>
        <v>null</v>
      </c>
      <c r="AD1089" s="19" t="s">
        <v>0</v>
      </c>
      <c r="AE1089" s="18" t="str">
        <f t="shared" si="628"/>
        <v>null</v>
      </c>
      <c r="AF1089" s="75" t="s">
        <v>0</v>
      </c>
      <c r="AG1089" s="38" t="s">
        <v>8286</v>
      </c>
    </row>
    <row r="1090" spans="1:33" ht="6" customHeight="1" x14ac:dyDescent="0.4">
      <c r="A1090" s="4">
        <f>ROW()</f>
        <v>1090</v>
      </c>
      <c r="B1090" s="9" t="s">
        <v>27</v>
      </c>
      <c r="C1090" s="44" t="str">
        <f t="shared" si="631"/>
        <v>p.geolocalizar</v>
      </c>
      <c r="D1090" s="6" t="str">
        <f t="shared" ref="D1090" si="634">_xlfn.CONCAT("é.",G1090)</f>
        <v>é.datum</v>
      </c>
      <c r="E1090" s="8" t="s">
        <v>28</v>
      </c>
      <c r="F1090" s="34" t="str">
        <f t="shared" si="632"/>
        <v>d.geolocalizar</v>
      </c>
      <c r="G1090" s="14" t="s">
        <v>191</v>
      </c>
      <c r="H1090" s="33" t="s">
        <v>1581</v>
      </c>
      <c r="I1090" s="92" t="str">
        <f t="shared" si="613"/>
        <v>null</v>
      </c>
      <c r="J1090" s="82" t="s">
        <v>0</v>
      </c>
      <c r="K1090" s="82" t="s">
        <v>0</v>
      </c>
      <c r="L1090" s="82" t="s">
        <v>0</v>
      </c>
      <c r="M1090" s="82" t="s">
        <v>0</v>
      </c>
      <c r="N1090" s="80" t="s">
        <v>0</v>
      </c>
      <c r="O1090" s="82" t="s">
        <v>0</v>
      </c>
      <c r="P1090" s="82" t="s">
        <v>0</v>
      </c>
      <c r="Q1090" s="82" t="s">
        <v>0</v>
      </c>
      <c r="R1090" s="84" t="s">
        <v>0</v>
      </c>
      <c r="S1090" s="10" t="s">
        <v>1</v>
      </c>
      <c r="T1090" s="10" t="s">
        <v>10221</v>
      </c>
      <c r="U1090" s="5" t="str">
        <f t="shared" ref="U1090" si="635">_xlfn.CONCAT("Propriedade destinada a ",MID(C1090,FIND("p.",C1090,1)+2,100),": ",D1090)</f>
        <v>Propriedade destinada a geolocalizar: é.datum</v>
      </c>
      <c r="V1090" s="5" t="str">
        <f t="shared" ref="V1090" si="636">_xlfn.CONCAT("Dado para ",MID(F1090,FIND("d.",F1090,1)+2,100),":  ",G1090, "  Deve ser formatado como (",H1090, ")")</f>
        <v>Dado para geolocalizar:  datum  Deve ser formatado como (rdfs:Literal  or  xsd:string)</v>
      </c>
      <c r="W1090" s="69" t="s">
        <v>5526</v>
      </c>
      <c r="X1090" s="17" t="str">
        <f t="shared" si="607"/>
        <v>d.geolo.106</v>
      </c>
      <c r="Y1090" s="17" t="str">
        <f t="shared" si="608"/>
        <v>Ação de geolocalizar</v>
      </c>
      <c r="Z1090" s="62" t="s">
        <v>1333</v>
      </c>
      <c r="AA1090" s="18" t="str">
        <f t="shared" ref="AA1090" si="637">IF(AB1090="null", "null", "categoria.revit")</f>
        <v>null</v>
      </c>
      <c r="AB1090" s="19" t="s">
        <v>0</v>
      </c>
      <c r="AC1090" s="18" t="str">
        <f t="shared" ref="AC1090" si="638">IF(AD1090="null", "null", "classe.ifc")</f>
        <v>null</v>
      </c>
      <c r="AD1090" s="19" t="s">
        <v>0</v>
      </c>
      <c r="AE1090" s="18" t="str">
        <f t="shared" ref="AE1090" si="639">IF(AF1090="null", "null", "propriedade")</f>
        <v>propriedade</v>
      </c>
      <c r="AF1090" s="75" t="s">
        <v>1871</v>
      </c>
      <c r="AG1090" s="38" t="s">
        <v>8287</v>
      </c>
    </row>
    <row r="1091" spans="1:33" ht="6" customHeight="1" x14ac:dyDescent="0.4">
      <c r="A1091" s="4">
        <f>ROW()</f>
        <v>1091</v>
      </c>
      <c r="B1091" s="9" t="s">
        <v>27</v>
      </c>
      <c r="C1091" s="44" t="str">
        <f t="shared" si="631"/>
        <v>p.geolocalizar</v>
      </c>
      <c r="D1091" s="6" t="str">
        <f t="shared" ref="D1091:D1111" si="640">_xlfn.CONCAT("é.",G1091)</f>
        <v>é.elipsoide</v>
      </c>
      <c r="E1091" s="8" t="s">
        <v>28</v>
      </c>
      <c r="F1091" s="34" t="str">
        <f t="shared" si="632"/>
        <v>d.geolocalizar</v>
      </c>
      <c r="G1091" s="14" t="s">
        <v>3030</v>
      </c>
      <c r="H1091" s="33" t="s">
        <v>1581</v>
      </c>
      <c r="I1091" s="92" t="str">
        <f t="shared" si="613"/>
        <v>null</v>
      </c>
      <c r="J1091" s="82" t="s">
        <v>0</v>
      </c>
      <c r="K1091" s="82" t="s">
        <v>0</v>
      </c>
      <c r="L1091" s="82" t="s">
        <v>0</v>
      </c>
      <c r="M1091" s="82" t="s">
        <v>0</v>
      </c>
      <c r="N1091" s="80" t="s">
        <v>0</v>
      </c>
      <c r="O1091" s="82" t="s">
        <v>0</v>
      </c>
      <c r="P1091" s="82" t="s">
        <v>0</v>
      </c>
      <c r="Q1091" s="82" t="s">
        <v>0</v>
      </c>
      <c r="R1091" s="84" t="s">
        <v>0</v>
      </c>
      <c r="S1091" s="10" t="s">
        <v>1</v>
      </c>
      <c r="T1091" s="10" t="s">
        <v>10221</v>
      </c>
      <c r="U1091" s="5" t="str">
        <f t="shared" ref="U1091:U1111" si="641">_xlfn.CONCAT("Propriedade destinada a ",MID(C1091,FIND("p.",C1091,1)+2,100),": ",D1091)</f>
        <v>Propriedade destinada a geolocalizar: é.elipsoide</v>
      </c>
      <c r="V1091" s="5" t="str">
        <f t="shared" ref="V1091:V1111" si="642">_xlfn.CONCAT("Dado para ",MID(F1091,FIND("d.",F1091,1)+2,100),":  ",G1091, "  Deve ser formatado como (",H1091, ")")</f>
        <v>Dado para geolocalizar:  elipsoide  Deve ser formatado como (rdfs:Literal  or  xsd:string)</v>
      </c>
      <c r="W1091" s="69" t="s">
        <v>5527</v>
      </c>
      <c r="X1091" s="17" t="str">
        <f t="shared" ref="X1091:X1154" si="643">IF(F1090&lt;&gt;F1091,_xlfn.CONCAT(RIGHT(LEFT(F1091,7),7),".100"),_xlfn.CONCAT(RIGHT(LEFT(F1091,7),7),".",SUM(VALUE(RIGHT(X1090,3)),1)))</f>
        <v>d.geolo.107</v>
      </c>
      <c r="Y1091" s="17" t="str">
        <f t="shared" ref="Y1091:Y1154" si="644">_xlfn.CONCAT("Ação de ", SUBSTITUTE(F1091, "d.",  ""))</f>
        <v>Ação de geolocalizar</v>
      </c>
      <c r="Z1091" s="62" t="s">
        <v>1334</v>
      </c>
      <c r="AA1091" s="18" t="str">
        <f t="shared" ref="AA1091:AA1111" si="645">IF(AB1091="null", "null", "categoria.revit")</f>
        <v>null</v>
      </c>
      <c r="AB1091" s="19" t="s">
        <v>0</v>
      </c>
      <c r="AC1091" s="18" t="str">
        <f t="shared" ref="AC1091:AC1111" si="646">IF(AD1091="null", "null", "classe.ifc")</f>
        <v>null</v>
      </c>
      <c r="AD1091" s="19" t="s">
        <v>0</v>
      </c>
      <c r="AE1091" s="18" t="str">
        <f t="shared" ref="AE1091:AE1111" si="647">IF(AF1091="null", "null", "propriedade")</f>
        <v>propriedade</v>
      </c>
      <c r="AF1091" s="75" t="s">
        <v>1871</v>
      </c>
      <c r="AG1091" s="38" t="s">
        <v>8288</v>
      </c>
    </row>
    <row r="1092" spans="1:33" ht="6" customHeight="1" x14ac:dyDescent="0.4">
      <c r="A1092" s="4">
        <f>ROW()</f>
        <v>1092</v>
      </c>
      <c r="B1092" s="9" t="s">
        <v>27</v>
      </c>
      <c r="C1092" s="44" t="str">
        <f t="shared" si="631"/>
        <v>p.geolocalizar</v>
      </c>
      <c r="D1092" s="6" t="str">
        <f t="shared" si="640"/>
        <v>é.elipsoide.sirgas.2000</v>
      </c>
      <c r="E1092" s="8" t="s">
        <v>28</v>
      </c>
      <c r="F1092" s="34" t="str">
        <f t="shared" si="632"/>
        <v>d.geolocalizar</v>
      </c>
      <c r="G1092" s="14" t="s">
        <v>3032</v>
      </c>
      <c r="H1092" s="33" t="s">
        <v>1581</v>
      </c>
      <c r="I1092" s="92" t="str">
        <f t="shared" si="613"/>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41"/>
        <v>Propriedade destinada a geolocalizar: é.elipsoide.sirgas.2000</v>
      </c>
      <c r="V1092" s="5" t="str">
        <f t="shared" si="642"/>
        <v>Dado para geolocalizar:  elipsoide.sirgas.2000  Deve ser formatado como (rdfs:Literal  or  xsd:string)</v>
      </c>
      <c r="W1092" s="69" t="s">
        <v>5529</v>
      </c>
      <c r="X1092" s="17" t="str">
        <f t="shared" si="643"/>
        <v>d.geolo.108</v>
      </c>
      <c r="Y1092" s="17" t="str">
        <f t="shared" si="644"/>
        <v>Ação de geolocalizar</v>
      </c>
      <c r="Z1092" s="62" t="s">
        <v>1874</v>
      </c>
      <c r="AA1092" s="18" t="str">
        <f t="shared" si="645"/>
        <v>null</v>
      </c>
      <c r="AB1092" s="19" t="s">
        <v>0</v>
      </c>
      <c r="AC1092" s="18" t="str">
        <f t="shared" si="646"/>
        <v>null</v>
      </c>
      <c r="AD1092" s="19" t="s">
        <v>0</v>
      </c>
      <c r="AE1092" s="18" t="str">
        <f t="shared" si="647"/>
        <v>propriedade</v>
      </c>
      <c r="AF1092" s="75" t="s">
        <v>1871</v>
      </c>
      <c r="AG1092" s="38" t="s">
        <v>8289</v>
      </c>
    </row>
    <row r="1093" spans="1:33" ht="6" customHeight="1" x14ac:dyDescent="0.4">
      <c r="A1093" s="4">
        <f>ROW()</f>
        <v>1093</v>
      </c>
      <c r="B1093" s="9" t="s">
        <v>27</v>
      </c>
      <c r="C1093" s="44" t="str">
        <f t="shared" si="631"/>
        <v>p.geolocalizar</v>
      </c>
      <c r="D1093" s="6" t="str">
        <f t="shared" si="640"/>
        <v>é.elipsoide.wgs84</v>
      </c>
      <c r="E1093" s="8" t="s">
        <v>28</v>
      </c>
      <c r="F1093" s="34" t="str">
        <f t="shared" si="632"/>
        <v>d.geolocalizar</v>
      </c>
      <c r="G1093" s="14" t="s">
        <v>3031</v>
      </c>
      <c r="H1093" s="33" t="s">
        <v>1581</v>
      </c>
      <c r="I1093" s="92" t="str">
        <f t="shared" si="613"/>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41"/>
        <v>Propriedade destinada a geolocalizar: é.elipsoide.wgs84</v>
      </c>
      <c r="V1093" s="5" t="str">
        <f t="shared" si="642"/>
        <v>Dado para geolocalizar:  elipsoide.wgs84  Deve ser formatado como (rdfs:Literal  or  xsd:string)</v>
      </c>
      <c r="W1093" s="69" t="s">
        <v>5528</v>
      </c>
      <c r="X1093" s="17" t="str">
        <f t="shared" si="643"/>
        <v>d.geolo.109</v>
      </c>
      <c r="Y1093" s="17" t="str">
        <f t="shared" si="644"/>
        <v>Ação de geolocalizar</v>
      </c>
      <c r="Z1093" s="62" t="s">
        <v>1873</v>
      </c>
      <c r="AA1093" s="18" t="str">
        <f t="shared" si="645"/>
        <v>null</v>
      </c>
      <c r="AB1093" s="19" t="s">
        <v>0</v>
      </c>
      <c r="AC1093" s="18" t="str">
        <f t="shared" si="646"/>
        <v>null</v>
      </c>
      <c r="AD1093" s="19" t="s">
        <v>0</v>
      </c>
      <c r="AE1093" s="18" t="str">
        <f t="shared" si="647"/>
        <v>propriedade</v>
      </c>
      <c r="AF1093" s="75" t="s">
        <v>1872</v>
      </c>
      <c r="AG1093" s="38" t="s">
        <v>8290</v>
      </c>
    </row>
    <row r="1094" spans="1:33" ht="6" customHeight="1" x14ac:dyDescent="0.4">
      <c r="A1094" s="4">
        <f>ROW()</f>
        <v>1094</v>
      </c>
      <c r="B1094" s="9" t="s">
        <v>27</v>
      </c>
      <c r="C1094" s="44" t="str">
        <f t="shared" si="631"/>
        <v>p.geolocalizar</v>
      </c>
      <c r="D1094" s="6" t="str">
        <f t="shared" si="640"/>
        <v>é.geocódigo</v>
      </c>
      <c r="E1094" s="8" t="s">
        <v>28</v>
      </c>
      <c r="F1094" s="34" t="str">
        <f t="shared" si="632"/>
        <v>d.geolocalizar</v>
      </c>
      <c r="G1094" s="14" t="s">
        <v>6510</v>
      </c>
      <c r="H1094" s="33" t="s">
        <v>1581</v>
      </c>
      <c r="I1094" s="92" t="str">
        <f t="shared" si="613"/>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41"/>
        <v>Propriedade destinada a geolocalizar: é.geocódigo</v>
      </c>
      <c r="V1094" s="5" t="str">
        <f t="shared" si="642"/>
        <v>Dado para geolocalizar:  geocódigo  Deve ser formatado como (rdfs:Literal  or  xsd:string)</v>
      </c>
      <c r="W1094" s="69" t="s">
        <v>5533</v>
      </c>
      <c r="X1094" s="17" t="str">
        <f t="shared" si="643"/>
        <v>d.geolo.110</v>
      </c>
      <c r="Y1094" s="17" t="str">
        <f t="shared" si="644"/>
        <v>Ação de geolocalizar</v>
      </c>
      <c r="Z1094" s="62" t="s">
        <v>2288</v>
      </c>
      <c r="AA1094" s="18" t="str">
        <f t="shared" si="645"/>
        <v>null</v>
      </c>
      <c r="AB1094" s="19" t="s">
        <v>0</v>
      </c>
      <c r="AC1094" s="18" t="str">
        <f t="shared" si="646"/>
        <v>null</v>
      </c>
      <c r="AD1094" s="19" t="s">
        <v>0</v>
      </c>
      <c r="AE1094" s="18" t="str">
        <f t="shared" si="647"/>
        <v>propriedade</v>
      </c>
      <c r="AF1094" s="75" t="s">
        <v>1871</v>
      </c>
      <c r="AG1094" s="38" t="s">
        <v>8291</v>
      </c>
    </row>
    <row r="1095" spans="1:33" ht="6" customHeight="1" x14ac:dyDescent="0.4">
      <c r="A1095" s="4">
        <f>ROW()</f>
        <v>1095</v>
      </c>
      <c r="B1095" s="9" t="s">
        <v>27</v>
      </c>
      <c r="C1095" s="44" t="str">
        <f t="shared" si="631"/>
        <v>p.geolocalizar</v>
      </c>
      <c r="D1095" s="6" t="str">
        <f t="shared" si="640"/>
        <v>é.hemisfério</v>
      </c>
      <c r="E1095" s="8" t="s">
        <v>28</v>
      </c>
      <c r="F1095" s="34" t="str">
        <f t="shared" si="632"/>
        <v>d.geolocalizar</v>
      </c>
      <c r="G1095" s="14" t="s">
        <v>129</v>
      </c>
      <c r="H1095" s="33" t="s">
        <v>1581</v>
      </c>
      <c r="I1095" s="92" t="str">
        <f t="shared" ref="I1095:I1159" si="648">IF(OR(J1095="Functional",K1095="InverseFunctional"),"Functional","null")</f>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41"/>
        <v>Propriedade destinada a geolocalizar: é.hemisfério</v>
      </c>
      <c r="V1095" s="5" t="str">
        <f t="shared" si="642"/>
        <v>Dado para geolocalizar:  hemisfério  Deve ser formatado como (rdfs:Literal  or  xsd:string)</v>
      </c>
      <c r="W1095" s="69" t="s">
        <v>6486</v>
      </c>
      <c r="X1095" s="17" t="str">
        <f t="shared" si="643"/>
        <v>d.geolo.111</v>
      </c>
      <c r="Y1095" s="17" t="str">
        <f t="shared" si="644"/>
        <v>Ação de geolocalizar</v>
      </c>
      <c r="Z1095" s="62" t="s">
        <v>4692</v>
      </c>
      <c r="AA1095" s="18" t="str">
        <f t="shared" si="645"/>
        <v>null</v>
      </c>
      <c r="AB1095" s="19" t="s">
        <v>0</v>
      </c>
      <c r="AC1095" s="18" t="str">
        <f t="shared" si="646"/>
        <v>null</v>
      </c>
      <c r="AD1095" s="19" t="s">
        <v>0</v>
      </c>
      <c r="AE1095" s="18" t="str">
        <f t="shared" si="647"/>
        <v>null</v>
      </c>
      <c r="AF1095" s="75" t="s">
        <v>0</v>
      </c>
      <c r="AG1095" s="38" t="s">
        <v>8292</v>
      </c>
    </row>
    <row r="1096" spans="1:33" ht="6" customHeight="1" x14ac:dyDescent="0.4">
      <c r="A1096" s="4">
        <f>ROW()</f>
        <v>1096</v>
      </c>
      <c r="B1096" s="9" t="s">
        <v>27</v>
      </c>
      <c r="C1096" s="44" t="str">
        <f t="shared" si="631"/>
        <v>p.geolocalizar</v>
      </c>
      <c r="D1096" s="6" t="str">
        <f t="shared" si="640"/>
        <v>é.lacustre</v>
      </c>
      <c r="E1096" s="8" t="s">
        <v>28</v>
      </c>
      <c r="F1096" s="34" t="str">
        <f t="shared" si="632"/>
        <v>d.geolocalizar</v>
      </c>
      <c r="G1096" s="14" t="s">
        <v>2290</v>
      </c>
      <c r="H1096" s="33" t="s">
        <v>1581</v>
      </c>
      <c r="I1096" s="92" t="str">
        <f t="shared" si="648"/>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41"/>
        <v>Propriedade destinada a geolocalizar: é.lacustre</v>
      </c>
      <c r="V1096" s="5" t="str">
        <f t="shared" si="642"/>
        <v>Dado para geolocalizar:  lacustre  Deve ser formatado como (rdfs:Literal  or  xsd:string)</v>
      </c>
      <c r="W1096" s="69" t="s">
        <v>5540</v>
      </c>
      <c r="X1096" s="17" t="str">
        <f t="shared" si="643"/>
        <v>d.geolo.112</v>
      </c>
      <c r="Y1096" s="17" t="str">
        <f t="shared" si="644"/>
        <v>Ação de geolocalizar</v>
      </c>
      <c r="Z1096" s="62" t="s">
        <v>2292</v>
      </c>
      <c r="AA1096" s="18" t="str">
        <f t="shared" si="645"/>
        <v>null</v>
      </c>
      <c r="AB1096" s="19" t="s">
        <v>0</v>
      </c>
      <c r="AC1096" s="18" t="str">
        <f t="shared" si="646"/>
        <v>null</v>
      </c>
      <c r="AD1096" s="19" t="s">
        <v>0</v>
      </c>
      <c r="AE1096" s="18" t="str">
        <f t="shared" si="647"/>
        <v>null</v>
      </c>
      <c r="AF1096" s="75" t="s">
        <v>0</v>
      </c>
      <c r="AG1096" s="38" t="s">
        <v>8293</v>
      </c>
    </row>
    <row r="1097" spans="1:33" ht="6" customHeight="1" x14ac:dyDescent="0.4">
      <c r="A1097" s="4">
        <f>ROW()</f>
        <v>1097</v>
      </c>
      <c r="B1097" s="9" t="s">
        <v>27</v>
      </c>
      <c r="C1097" s="44" t="str">
        <f t="shared" si="631"/>
        <v>p.geolocalizar</v>
      </c>
      <c r="D1097" s="6" t="str">
        <f t="shared" si="640"/>
        <v>é.latitude</v>
      </c>
      <c r="E1097" s="8" t="s">
        <v>28</v>
      </c>
      <c r="F1097" s="34" t="str">
        <f t="shared" si="632"/>
        <v>d.geolocalizar</v>
      </c>
      <c r="G1097" s="14" t="s">
        <v>126</v>
      </c>
      <c r="H1097" s="33" t="s">
        <v>1581</v>
      </c>
      <c r="I1097" s="92" t="str">
        <f t="shared" si="648"/>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41"/>
        <v>Propriedade destinada a geolocalizar: é.latitude</v>
      </c>
      <c r="V1097" s="5" t="str">
        <f t="shared" si="642"/>
        <v>Dado para geolocalizar:  latitude  Deve ser formatado como (rdfs:Literal  or  xsd:string)</v>
      </c>
      <c r="W1097" s="69" t="s">
        <v>5530</v>
      </c>
      <c r="X1097" s="17" t="str">
        <f t="shared" si="643"/>
        <v>d.geolo.113</v>
      </c>
      <c r="Y1097" s="17" t="str">
        <f t="shared" si="644"/>
        <v>Ação de geolocalizar</v>
      </c>
      <c r="Z1097" s="62" t="s">
        <v>2285</v>
      </c>
      <c r="AA1097" s="18" t="str">
        <f t="shared" si="645"/>
        <v>null</v>
      </c>
      <c r="AB1097" s="19" t="s">
        <v>0</v>
      </c>
      <c r="AC1097" s="18" t="str">
        <f t="shared" si="646"/>
        <v>null</v>
      </c>
      <c r="AD1097" s="19" t="s">
        <v>0</v>
      </c>
      <c r="AE1097" s="18" t="str">
        <f t="shared" si="647"/>
        <v>propriedade</v>
      </c>
      <c r="AF1097" s="49" t="s">
        <v>1868</v>
      </c>
      <c r="AG1097" s="38" t="s">
        <v>8294</v>
      </c>
    </row>
    <row r="1098" spans="1:33" ht="6" customHeight="1" x14ac:dyDescent="0.4">
      <c r="A1098" s="4">
        <f>ROW()</f>
        <v>1098</v>
      </c>
      <c r="B1098" s="9" t="s">
        <v>27</v>
      </c>
      <c r="C1098" s="44" t="str">
        <f t="shared" si="631"/>
        <v>p.geolocalizar</v>
      </c>
      <c r="D1098" s="6" t="str">
        <f t="shared" si="640"/>
        <v>é.litoral</v>
      </c>
      <c r="E1098" s="8" t="s">
        <v>28</v>
      </c>
      <c r="F1098" s="34" t="str">
        <f t="shared" si="632"/>
        <v>d.geolocalizar</v>
      </c>
      <c r="G1098" s="14" t="s">
        <v>401</v>
      </c>
      <c r="H1098" s="33" t="s">
        <v>1581</v>
      </c>
      <c r="I1098" s="92" t="str">
        <f t="shared" si="648"/>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si="641"/>
        <v>Propriedade destinada a geolocalizar: é.litoral</v>
      </c>
      <c r="V1098" s="5" t="str">
        <f t="shared" si="642"/>
        <v>Dado para geolocalizar:  litoral  Deve ser formatado como (rdfs:Literal  or  xsd:string)</v>
      </c>
      <c r="W1098" s="69" t="s">
        <v>5538</v>
      </c>
      <c r="X1098" s="17" t="str">
        <f t="shared" si="643"/>
        <v>d.geolo.114</v>
      </c>
      <c r="Y1098" s="17" t="str">
        <f t="shared" si="644"/>
        <v>Ação de geolocalizar</v>
      </c>
      <c r="Z1098" s="62" t="s">
        <v>2291</v>
      </c>
      <c r="AA1098" s="18" t="str">
        <f t="shared" si="645"/>
        <v>null</v>
      </c>
      <c r="AB1098" s="19" t="s">
        <v>0</v>
      </c>
      <c r="AC1098" s="18" t="str">
        <f t="shared" si="646"/>
        <v>null</v>
      </c>
      <c r="AD1098" s="19" t="s">
        <v>0</v>
      </c>
      <c r="AE1098" s="18" t="str">
        <f t="shared" si="647"/>
        <v>null</v>
      </c>
      <c r="AF1098" s="75" t="s">
        <v>0</v>
      </c>
      <c r="AG1098" s="38" t="s">
        <v>8295</v>
      </c>
    </row>
    <row r="1099" spans="1:33" ht="6" customHeight="1" x14ac:dyDescent="0.4">
      <c r="A1099" s="4">
        <f>ROW()</f>
        <v>1099</v>
      </c>
      <c r="B1099" s="9" t="s">
        <v>27</v>
      </c>
      <c r="C1099" s="44" t="str">
        <f t="shared" si="631"/>
        <v>p.geolocalizar</v>
      </c>
      <c r="D1099" s="6" t="str">
        <f t="shared" si="640"/>
        <v>é.longitude</v>
      </c>
      <c r="E1099" s="8" t="s">
        <v>28</v>
      </c>
      <c r="F1099" s="34" t="str">
        <f t="shared" si="632"/>
        <v>d.geolocalizar</v>
      </c>
      <c r="G1099" s="14" t="s">
        <v>127</v>
      </c>
      <c r="H1099" s="33" t="s">
        <v>1581</v>
      </c>
      <c r="I1099" s="92" t="str">
        <f t="shared" si="648"/>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si="641"/>
        <v>Propriedade destinada a geolocalizar: é.longitude</v>
      </c>
      <c r="V1099" s="5" t="str">
        <f t="shared" si="642"/>
        <v>Dado para geolocalizar:  longitude  Deve ser formatado como (rdfs:Literal  or  xsd:string)</v>
      </c>
      <c r="W1099" s="69" t="s">
        <v>5531</v>
      </c>
      <c r="X1099" s="17" t="str">
        <f t="shared" si="643"/>
        <v>d.geolo.115</v>
      </c>
      <c r="Y1099" s="17" t="str">
        <f t="shared" si="644"/>
        <v>Ação de geolocalizar</v>
      </c>
      <c r="Z1099" s="62" t="s">
        <v>2286</v>
      </c>
      <c r="AA1099" s="18" t="str">
        <f t="shared" si="645"/>
        <v>null</v>
      </c>
      <c r="AB1099" s="19" t="s">
        <v>0</v>
      </c>
      <c r="AC1099" s="18" t="str">
        <f t="shared" si="646"/>
        <v>null</v>
      </c>
      <c r="AD1099" s="19" t="s">
        <v>0</v>
      </c>
      <c r="AE1099" s="18" t="str">
        <f t="shared" si="647"/>
        <v>propriedade</v>
      </c>
      <c r="AF1099" s="49" t="s">
        <v>1869</v>
      </c>
      <c r="AG1099" s="38" t="s">
        <v>8296</v>
      </c>
    </row>
    <row r="1100" spans="1:33" ht="6" customHeight="1" x14ac:dyDescent="0.4">
      <c r="A1100" s="4">
        <f>ROW()</f>
        <v>1100</v>
      </c>
      <c r="B1100" s="9" t="s">
        <v>27</v>
      </c>
      <c r="C1100" s="44" t="str">
        <f t="shared" si="631"/>
        <v>p.geolocalizar</v>
      </c>
      <c r="D1100" s="6" t="str">
        <f t="shared" si="640"/>
        <v>é.nome.rg</v>
      </c>
      <c r="E1100" s="8" t="s">
        <v>28</v>
      </c>
      <c r="F1100" s="34" t="str">
        <f t="shared" si="632"/>
        <v>d.geolocalizar</v>
      </c>
      <c r="G1100" s="14" t="s">
        <v>6509</v>
      </c>
      <c r="H1100" s="33" t="s">
        <v>1581</v>
      </c>
      <c r="I1100" s="92" t="str">
        <f t="shared" si="648"/>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41"/>
        <v>Propriedade destinada a geolocalizar: é.nome.rg</v>
      </c>
      <c r="V1100" s="5" t="str">
        <f t="shared" si="642"/>
        <v>Dado para geolocalizar:  nome.rg  Deve ser formatado como (rdfs:Literal  or  xsd:string)</v>
      </c>
      <c r="W1100" s="69" t="s">
        <v>6513</v>
      </c>
      <c r="X1100" s="17" t="str">
        <f t="shared" si="643"/>
        <v>d.geolo.116</v>
      </c>
      <c r="Y1100" s="17" t="str">
        <f t="shared" si="644"/>
        <v>Ação de geolocalizar</v>
      </c>
      <c r="Z1100" s="62" t="s">
        <v>6487</v>
      </c>
      <c r="AA1100" s="18" t="str">
        <f t="shared" si="645"/>
        <v>null</v>
      </c>
      <c r="AB1100" s="19" t="s">
        <v>0</v>
      </c>
      <c r="AC1100" s="18" t="str">
        <f t="shared" si="646"/>
        <v>null</v>
      </c>
      <c r="AD1100" s="19" t="s">
        <v>0</v>
      </c>
      <c r="AE1100" s="18" t="str">
        <f t="shared" si="647"/>
        <v>null</v>
      </c>
      <c r="AF1100" s="75" t="s">
        <v>0</v>
      </c>
      <c r="AG1100" s="38" t="s">
        <v>8297</v>
      </c>
    </row>
    <row r="1101" spans="1:33" ht="6" customHeight="1" x14ac:dyDescent="0.4">
      <c r="A1101" s="4">
        <f>ROW()</f>
        <v>1101</v>
      </c>
      <c r="B1101" s="9" t="s">
        <v>27</v>
      </c>
      <c r="C1101" s="44" t="str">
        <f t="shared" si="631"/>
        <v>p.geolocalizar</v>
      </c>
      <c r="D1101" s="6" t="str">
        <f t="shared" si="640"/>
        <v>é.nome.rgi</v>
      </c>
      <c r="E1101" s="8" t="s">
        <v>28</v>
      </c>
      <c r="F1101" s="34" t="str">
        <f t="shared" si="632"/>
        <v>d.geolocalizar</v>
      </c>
      <c r="G1101" s="14" t="s">
        <v>6507</v>
      </c>
      <c r="H1101" s="33" t="s">
        <v>1581</v>
      </c>
      <c r="I1101" s="92" t="str">
        <f t="shared" si="648"/>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41"/>
        <v>Propriedade destinada a geolocalizar: é.nome.rgi</v>
      </c>
      <c r="V1101" s="5" t="str">
        <f t="shared" si="642"/>
        <v>Dado para geolocalizar:  nome.rgi  Deve ser formatado como (rdfs:Literal  or  xsd:string)</v>
      </c>
      <c r="W1101" s="69" t="s">
        <v>6515</v>
      </c>
      <c r="X1101" s="17" t="str">
        <f t="shared" si="643"/>
        <v>d.geolo.117</v>
      </c>
      <c r="Y1101" s="17" t="str">
        <f t="shared" si="644"/>
        <v>Ação de geolocalizar</v>
      </c>
      <c r="Z1101" s="62" t="s">
        <v>6520</v>
      </c>
      <c r="AA1101" s="18" t="str">
        <f t="shared" si="645"/>
        <v>null</v>
      </c>
      <c r="AB1101" s="19" t="s">
        <v>0</v>
      </c>
      <c r="AC1101" s="18" t="str">
        <f t="shared" si="646"/>
        <v>null</v>
      </c>
      <c r="AD1101" s="19" t="s">
        <v>0</v>
      </c>
      <c r="AE1101" s="18" t="str">
        <f t="shared" si="647"/>
        <v>null</v>
      </c>
      <c r="AF1101" s="75" t="s">
        <v>0</v>
      </c>
      <c r="AG1101" s="38" t="s">
        <v>8298</v>
      </c>
    </row>
    <row r="1102" spans="1:33" ht="6" customHeight="1" x14ac:dyDescent="0.4">
      <c r="A1102" s="4">
        <f>ROW()</f>
        <v>1102</v>
      </c>
      <c r="B1102" s="9" t="s">
        <v>27</v>
      </c>
      <c r="C1102" s="44" t="str">
        <f t="shared" si="631"/>
        <v>p.geolocalizar</v>
      </c>
      <c r="D1102" s="6" t="str">
        <f t="shared" si="640"/>
        <v>é.nome.rgint</v>
      </c>
      <c r="E1102" s="8" t="s">
        <v>28</v>
      </c>
      <c r="F1102" s="34" t="str">
        <f t="shared" si="632"/>
        <v>d.geolocalizar</v>
      </c>
      <c r="G1102" s="14" t="s">
        <v>6508</v>
      </c>
      <c r="H1102" s="33" t="s">
        <v>1581</v>
      </c>
      <c r="I1102" s="92" t="str">
        <f t="shared" si="648"/>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41"/>
        <v>Propriedade destinada a geolocalizar: é.nome.rgint</v>
      </c>
      <c r="V1102" s="5" t="str">
        <f t="shared" si="642"/>
        <v>Dado para geolocalizar:  nome.rgint  Deve ser formatado como (rdfs:Literal  or  xsd:string)</v>
      </c>
      <c r="W1102" s="69" t="s">
        <v>6514</v>
      </c>
      <c r="X1102" s="17" t="str">
        <f t="shared" si="643"/>
        <v>d.geolo.118</v>
      </c>
      <c r="Y1102" s="17" t="str">
        <f t="shared" si="644"/>
        <v>Ação de geolocalizar</v>
      </c>
      <c r="Z1102" s="62" t="s">
        <v>6521</v>
      </c>
      <c r="AA1102" s="18" t="str">
        <f t="shared" si="645"/>
        <v>null</v>
      </c>
      <c r="AB1102" s="19" t="s">
        <v>0</v>
      </c>
      <c r="AC1102" s="18" t="str">
        <f t="shared" si="646"/>
        <v>null</v>
      </c>
      <c r="AD1102" s="19" t="s">
        <v>0</v>
      </c>
      <c r="AE1102" s="18" t="str">
        <f t="shared" si="647"/>
        <v>null</v>
      </c>
      <c r="AF1102" s="75" t="s">
        <v>0</v>
      </c>
      <c r="AG1102" s="38" t="s">
        <v>8299</v>
      </c>
    </row>
    <row r="1103" spans="1:33" ht="6" customHeight="1" x14ac:dyDescent="0.4">
      <c r="A1103" s="4">
        <f>ROW()</f>
        <v>1103</v>
      </c>
      <c r="B1103" s="9" t="s">
        <v>27</v>
      </c>
      <c r="C1103" s="44" t="str">
        <f t="shared" si="631"/>
        <v>p.geolocalizar</v>
      </c>
      <c r="D1103" s="6" t="str">
        <f t="shared" si="640"/>
        <v>é.ribeirinha</v>
      </c>
      <c r="E1103" s="8" t="s">
        <v>28</v>
      </c>
      <c r="F1103" s="34" t="str">
        <f t="shared" si="632"/>
        <v>d.geolocalizar</v>
      </c>
      <c r="G1103" s="14" t="s">
        <v>2289</v>
      </c>
      <c r="H1103" s="33" t="s">
        <v>1581</v>
      </c>
      <c r="I1103" s="92" t="str">
        <f t="shared" si="648"/>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41"/>
        <v>Propriedade destinada a geolocalizar: é.ribeirinha</v>
      </c>
      <c r="V1103" s="5" t="str">
        <f t="shared" si="642"/>
        <v>Dado para geolocalizar:  ribeirinha  Deve ser formatado como (rdfs:Literal  or  xsd:string)</v>
      </c>
      <c r="W1103" s="69" t="s">
        <v>5539</v>
      </c>
      <c r="X1103" s="17" t="str">
        <f t="shared" si="643"/>
        <v>d.geolo.119</v>
      </c>
      <c r="Y1103" s="17" t="str">
        <f t="shared" si="644"/>
        <v>Ação de geolocalizar</v>
      </c>
      <c r="Z1103" s="62" t="s">
        <v>6489</v>
      </c>
      <c r="AA1103" s="18" t="str">
        <f t="shared" si="645"/>
        <v>null</v>
      </c>
      <c r="AB1103" s="19" t="s">
        <v>0</v>
      </c>
      <c r="AC1103" s="18" t="str">
        <f t="shared" si="646"/>
        <v>null</v>
      </c>
      <c r="AD1103" s="19" t="s">
        <v>0</v>
      </c>
      <c r="AE1103" s="18" t="str">
        <f t="shared" si="647"/>
        <v>null</v>
      </c>
      <c r="AF1103" s="75" t="s">
        <v>0</v>
      </c>
      <c r="AG1103" s="38" t="s">
        <v>8300</v>
      </c>
    </row>
    <row r="1104" spans="1:33" ht="6" customHeight="1" x14ac:dyDescent="0.4">
      <c r="A1104" s="4">
        <f>ROW()</f>
        <v>1104</v>
      </c>
      <c r="B1104" s="9" t="s">
        <v>27</v>
      </c>
      <c r="C1104" s="44" t="str">
        <f t="shared" si="631"/>
        <v>p.geolocalizar</v>
      </c>
      <c r="D1104" s="6" t="str">
        <f t="shared" si="640"/>
        <v>é.zona.utm</v>
      </c>
      <c r="E1104" s="8" t="s">
        <v>28</v>
      </c>
      <c r="F1104" s="34" t="str">
        <f t="shared" si="632"/>
        <v>d.geolocalizar</v>
      </c>
      <c r="G1104" s="14" t="s">
        <v>682</v>
      </c>
      <c r="H1104" s="33" t="s">
        <v>1581</v>
      </c>
      <c r="I1104" s="92" t="str">
        <f t="shared" si="648"/>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41"/>
        <v>Propriedade destinada a geolocalizar: é.zona.utm</v>
      </c>
      <c r="V1104" s="5" t="str">
        <f t="shared" si="642"/>
        <v>Dado para geolocalizar:  zona.utm  Deve ser formatado como (rdfs:Literal  or  xsd:string)</v>
      </c>
      <c r="W1104" s="69" t="s">
        <v>5534</v>
      </c>
      <c r="X1104" s="17" t="str">
        <f t="shared" si="643"/>
        <v>d.geolo.120</v>
      </c>
      <c r="Y1104" s="17" t="str">
        <f t="shared" si="644"/>
        <v>Ação de geolocalizar</v>
      </c>
      <c r="Z1104" s="62" t="s">
        <v>6488</v>
      </c>
      <c r="AA1104" s="18" t="str">
        <f t="shared" si="645"/>
        <v>null</v>
      </c>
      <c r="AB1104" s="19" t="s">
        <v>0</v>
      </c>
      <c r="AC1104" s="18" t="str">
        <f t="shared" si="646"/>
        <v>null</v>
      </c>
      <c r="AD1104" s="19" t="s">
        <v>0</v>
      </c>
      <c r="AE1104" s="18" t="str">
        <f t="shared" si="647"/>
        <v>null</v>
      </c>
      <c r="AF1104" s="75" t="s">
        <v>0</v>
      </c>
      <c r="AG1104" s="38" t="s">
        <v>8301</v>
      </c>
    </row>
    <row r="1105" spans="1:33" ht="6" customHeight="1" x14ac:dyDescent="0.4">
      <c r="A1105" s="4">
        <f>ROW()</f>
        <v>1105</v>
      </c>
      <c r="B1105" s="9" t="s">
        <v>27</v>
      </c>
      <c r="C1105" s="43" t="str">
        <f t="shared" si="631"/>
        <v>p.gerar</v>
      </c>
      <c r="D1105" s="6" t="str">
        <f t="shared" si="640"/>
        <v>é.gerador</v>
      </c>
      <c r="E1105" s="8" t="s">
        <v>28</v>
      </c>
      <c r="F1105" s="41" t="s">
        <v>2186</v>
      </c>
      <c r="G1105" s="14" t="s">
        <v>2640</v>
      </c>
      <c r="H1105" s="33" t="s">
        <v>1581</v>
      </c>
      <c r="I1105" s="92" t="str">
        <f t="shared" si="648"/>
        <v>null</v>
      </c>
      <c r="J1105" s="82" t="s">
        <v>0</v>
      </c>
      <c r="K1105" s="82" t="s">
        <v>0</v>
      </c>
      <c r="L1105" s="82" t="s">
        <v>0</v>
      </c>
      <c r="M1105" s="82" t="s">
        <v>0</v>
      </c>
      <c r="N1105" s="80" t="s">
        <v>0</v>
      </c>
      <c r="O1105" s="82" t="s">
        <v>0</v>
      </c>
      <c r="P1105" s="82" t="s">
        <v>0</v>
      </c>
      <c r="Q1105" s="82" t="s">
        <v>0</v>
      </c>
      <c r="R1105" s="84" t="s">
        <v>3186</v>
      </c>
      <c r="S1105" s="10" t="s">
        <v>1</v>
      </c>
      <c r="T1105" s="10" t="s">
        <v>10221</v>
      </c>
      <c r="U1105" s="5" t="str">
        <f t="shared" si="641"/>
        <v>Propriedade destinada a gerar: é.gerador</v>
      </c>
      <c r="V1105" s="5" t="str">
        <f t="shared" si="642"/>
        <v>Dado para gerar:  gerador  Deve ser formatado como (rdfs:Literal  or  xsd:string)</v>
      </c>
      <c r="W1105" s="69" t="s">
        <v>5541</v>
      </c>
      <c r="X1105" s="17" t="str">
        <f t="shared" si="643"/>
        <v>d.gerar.100</v>
      </c>
      <c r="Y1105" s="17" t="str">
        <f t="shared" si="644"/>
        <v>Ação de gerar</v>
      </c>
      <c r="Z1105" s="62" t="s">
        <v>2339</v>
      </c>
      <c r="AA1105" s="18" t="str">
        <f t="shared" si="645"/>
        <v>categoria.revit</v>
      </c>
      <c r="AB1105" s="19" t="s">
        <v>2123</v>
      </c>
      <c r="AC1105" s="18" t="str">
        <f t="shared" si="646"/>
        <v>classe.ifc</v>
      </c>
      <c r="AD1105" s="19" t="s">
        <v>6493</v>
      </c>
      <c r="AE1105" s="18" t="str">
        <f t="shared" si="647"/>
        <v>null</v>
      </c>
      <c r="AF1105" s="75" t="s">
        <v>0</v>
      </c>
      <c r="AG1105" s="38" t="s">
        <v>8302</v>
      </c>
    </row>
    <row r="1106" spans="1:33" ht="6" customHeight="1" x14ac:dyDescent="0.4">
      <c r="A1106" s="4">
        <f>ROW()</f>
        <v>1106</v>
      </c>
      <c r="B1106" s="9" t="s">
        <v>27</v>
      </c>
      <c r="C1106" s="44" t="str">
        <f t="shared" si="631"/>
        <v>p.gerar</v>
      </c>
      <c r="D1106" s="6" t="str">
        <f t="shared" si="640"/>
        <v>é.inversor.on.grid</v>
      </c>
      <c r="E1106" s="8" t="s">
        <v>28</v>
      </c>
      <c r="F1106" s="34" t="str">
        <f>F1105</f>
        <v>d.gerar</v>
      </c>
      <c r="G1106" s="13" t="s">
        <v>2644</v>
      </c>
      <c r="H1106" s="34" t="s">
        <v>1581</v>
      </c>
      <c r="I1106" s="92" t="str">
        <f t="shared" si="648"/>
        <v>null</v>
      </c>
      <c r="J1106" s="80" t="s">
        <v>0</v>
      </c>
      <c r="K1106" s="80" t="s">
        <v>0</v>
      </c>
      <c r="L1106" s="80" t="s">
        <v>0</v>
      </c>
      <c r="M1106" s="80" t="s">
        <v>0</v>
      </c>
      <c r="N1106" s="80" t="s">
        <v>0</v>
      </c>
      <c r="O1106" s="80" t="s">
        <v>0</v>
      </c>
      <c r="P1106" s="80" t="s">
        <v>0</v>
      </c>
      <c r="Q1106" s="80" t="s">
        <v>0</v>
      </c>
      <c r="R1106" s="84" t="s">
        <v>0</v>
      </c>
      <c r="S1106" s="10" t="s">
        <v>1</v>
      </c>
      <c r="T1106" s="10" t="s">
        <v>10221</v>
      </c>
      <c r="U1106" s="5" t="str">
        <f t="shared" si="641"/>
        <v>Propriedade destinada a gerar: é.inversor.on.grid</v>
      </c>
      <c r="V1106" s="5" t="str">
        <f t="shared" si="642"/>
        <v>Dado para gerar:  inversor.on.grid  Deve ser formatado como (rdfs:Literal  or  xsd:string)</v>
      </c>
      <c r="W1106" s="69" t="s">
        <v>5542</v>
      </c>
      <c r="X1106" s="17" t="str">
        <f t="shared" si="643"/>
        <v>d.gerar.101</v>
      </c>
      <c r="Y1106" s="17" t="str">
        <f t="shared" si="644"/>
        <v>Ação de gerar</v>
      </c>
      <c r="Z1106" s="62" t="s">
        <v>2342</v>
      </c>
      <c r="AA1106" s="18" t="str">
        <f t="shared" si="645"/>
        <v>categoria.revit</v>
      </c>
      <c r="AB1106" s="19" t="s">
        <v>2123</v>
      </c>
      <c r="AC1106" s="18" t="str">
        <f t="shared" si="646"/>
        <v>classe.ifc</v>
      </c>
      <c r="AD1106" s="19" t="s">
        <v>2083</v>
      </c>
      <c r="AE1106" s="18" t="str">
        <f t="shared" si="647"/>
        <v>null</v>
      </c>
      <c r="AF1106" s="75" t="s">
        <v>0</v>
      </c>
      <c r="AG1106" s="38" t="s">
        <v>8303</v>
      </c>
    </row>
    <row r="1107" spans="1:33" ht="6" customHeight="1" x14ac:dyDescent="0.4">
      <c r="A1107" s="4">
        <f>ROW()</f>
        <v>1107</v>
      </c>
      <c r="B1107" s="9" t="s">
        <v>27</v>
      </c>
      <c r="C1107" s="44" t="str">
        <f t="shared" si="631"/>
        <v>p.gerar</v>
      </c>
      <c r="D1107" s="6" t="str">
        <f t="shared" si="640"/>
        <v>é.inversor.off.grid</v>
      </c>
      <c r="E1107" s="8" t="s">
        <v>28</v>
      </c>
      <c r="F1107" s="34" t="str">
        <f>F1106</f>
        <v>d.gerar</v>
      </c>
      <c r="G1107" s="13" t="s">
        <v>2645</v>
      </c>
      <c r="H1107" s="34" t="s">
        <v>1581</v>
      </c>
      <c r="I1107" s="92" t="str">
        <f t="shared" si="648"/>
        <v>null</v>
      </c>
      <c r="J1107" s="80" t="s">
        <v>0</v>
      </c>
      <c r="K1107" s="80" t="s">
        <v>0</v>
      </c>
      <c r="L1107" s="80" t="s">
        <v>0</v>
      </c>
      <c r="M1107" s="80" t="s">
        <v>0</v>
      </c>
      <c r="N1107" s="80" t="s">
        <v>0</v>
      </c>
      <c r="O1107" s="80" t="s">
        <v>0</v>
      </c>
      <c r="P1107" s="80" t="s">
        <v>0</v>
      </c>
      <c r="Q1107" s="80" t="s">
        <v>0</v>
      </c>
      <c r="R1107" s="84" t="s">
        <v>0</v>
      </c>
      <c r="S1107" s="10" t="s">
        <v>1</v>
      </c>
      <c r="T1107" s="10" t="s">
        <v>10221</v>
      </c>
      <c r="U1107" s="5" t="str">
        <f t="shared" si="641"/>
        <v>Propriedade destinada a gerar: é.inversor.off.grid</v>
      </c>
      <c r="V1107" s="5" t="str">
        <f t="shared" si="642"/>
        <v>Dado para gerar:  inversor.off.grid  Deve ser formatado como (rdfs:Literal  or  xsd:string)</v>
      </c>
      <c r="W1107" s="69" t="s">
        <v>5543</v>
      </c>
      <c r="X1107" s="17" t="str">
        <f t="shared" si="643"/>
        <v>d.gerar.102</v>
      </c>
      <c r="Y1107" s="17" t="str">
        <f t="shared" si="644"/>
        <v>Ação de gerar</v>
      </c>
      <c r="Z1107" s="62" t="s">
        <v>2343</v>
      </c>
      <c r="AA1107" s="18" t="str">
        <f t="shared" si="645"/>
        <v>categoria.revit</v>
      </c>
      <c r="AB1107" s="19" t="s">
        <v>2123</v>
      </c>
      <c r="AC1107" s="18" t="str">
        <f t="shared" si="646"/>
        <v>classe.ifc</v>
      </c>
      <c r="AD1107" s="19" t="s">
        <v>2083</v>
      </c>
      <c r="AE1107" s="18" t="str">
        <f t="shared" si="647"/>
        <v>null</v>
      </c>
      <c r="AF1107" s="75" t="s">
        <v>0</v>
      </c>
      <c r="AG1107" s="38" t="s">
        <v>8304</v>
      </c>
    </row>
    <row r="1108" spans="1:33" ht="6" customHeight="1" x14ac:dyDescent="0.4">
      <c r="A1108" s="4">
        <f>ROW()</f>
        <v>1108</v>
      </c>
      <c r="B1108" s="9" t="s">
        <v>27</v>
      </c>
      <c r="C1108" s="44" t="str">
        <f t="shared" si="631"/>
        <v>p.gerar</v>
      </c>
      <c r="D1108" s="6" t="str">
        <f t="shared" si="640"/>
        <v>é.microinversor</v>
      </c>
      <c r="E1108" s="8" t="s">
        <v>28</v>
      </c>
      <c r="F1108" s="34" t="str">
        <f>F1107</f>
        <v>d.gerar</v>
      </c>
      <c r="G1108" s="13" t="s">
        <v>2646</v>
      </c>
      <c r="H1108" s="34" t="s">
        <v>1581</v>
      </c>
      <c r="I1108" s="92" t="str">
        <f t="shared" si="648"/>
        <v>null</v>
      </c>
      <c r="J1108" s="80" t="s">
        <v>0</v>
      </c>
      <c r="K1108" s="80" t="s">
        <v>0</v>
      </c>
      <c r="L1108" s="80" t="s">
        <v>0</v>
      </c>
      <c r="M1108" s="80" t="s">
        <v>0</v>
      </c>
      <c r="N1108" s="80" t="s">
        <v>0</v>
      </c>
      <c r="O1108" s="80" t="s">
        <v>0</v>
      </c>
      <c r="P1108" s="80" t="s">
        <v>0</v>
      </c>
      <c r="Q1108" s="80" t="s">
        <v>0</v>
      </c>
      <c r="R1108" s="84" t="s">
        <v>0</v>
      </c>
      <c r="S1108" s="10" t="s">
        <v>1</v>
      </c>
      <c r="T1108" s="10" t="s">
        <v>10221</v>
      </c>
      <c r="U1108" s="5" t="str">
        <f t="shared" si="641"/>
        <v>Propriedade destinada a gerar: é.microinversor</v>
      </c>
      <c r="V1108" s="5" t="str">
        <f t="shared" si="642"/>
        <v>Dado para gerar:  microinversor  Deve ser formatado como (rdfs:Literal  or  xsd:string)</v>
      </c>
      <c r="W1108" s="69" t="s">
        <v>5543</v>
      </c>
      <c r="X1108" s="17" t="str">
        <f t="shared" si="643"/>
        <v>d.gerar.103</v>
      </c>
      <c r="Y1108" s="17" t="str">
        <f t="shared" si="644"/>
        <v>Ação de gerar</v>
      </c>
      <c r="Z1108" s="62" t="s">
        <v>2343</v>
      </c>
      <c r="AA1108" s="18" t="str">
        <f t="shared" si="645"/>
        <v>categoria.revit</v>
      </c>
      <c r="AB1108" s="19" t="s">
        <v>2123</v>
      </c>
      <c r="AC1108" s="18" t="str">
        <f t="shared" si="646"/>
        <v>classe.ifc</v>
      </c>
      <c r="AD1108" s="19" t="s">
        <v>2083</v>
      </c>
      <c r="AE1108" s="18" t="str">
        <f t="shared" si="647"/>
        <v>null</v>
      </c>
      <c r="AF1108" s="75" t="s">
        <v>0</v>
      </c>
      <c r="AG1108" s="38" t="s">
        <v>8304</v>
      </c>
    </row>
    <row r="1109" spans="1:33" ht="6" customHeight="1" x14ac:dyDescent="0.4">
      <c r="A1109" s="4">
        <f>ROW()</f>
        <v>1109</v>
      </c>
      <c r="B1109" s="9" t="s">
        <v>27</v>
      </c>
      <c r="C1109" s="44" t="str">
        <f t="shared" si="631"/>
        <v>p.gerar</v>
      </c>
      <c r="D1109" s="6" t="str">
        <f t="shared" si="640"/>
        <v>é.módulo.fotovoltaico</v>
      </c>
      <c r="E1109" s="8" t="s">
        <v>28</v>
      </c>
      <c r="F1109" s="34" t="str">
        <f>F1107</f>
        <v>d.gerar</v>
      </c>
      <c r="G1109" s="13" t="s">
        <v>3033</v>
      </c>
      <c r="H1109" s="34" t="s">
        <v>1581</v>
      </c>
      <c r="I1109" s="92" t="str">
        <f t="shared" si="648"/>
        <v>null</v>
      </c>
      <c r="J1109" s="80" t="s">
        <v>0</v>
      </c>
      <c r="K1109" s="80" t="s">
        <v>0</v>
      </c>
      <c r="L1109" s="80" t="s">
        <v>0</v>
      </c>
      <c r="M1109" s="80" t="s">
        <v>0</v>
      </c>
      <c r="N1109" s="80" t="s">
        <v>0</v>
      </c>
      <c r="O1109" s="80" t="s">
        <v>0</v>
      </c>
      <c r="P1109" s="80" t="s">
        <v>0</v>
      </c>
      <c r="Q1109" s="80" t="s">
        <v>0</v>
      </c>
      <c r="R1109" s="84" t="s">
        <v>3187</v>
      </c>
      <c r="S1109" s="10" t="s">
        <v>1</v>
      </c>
      <c r="T1109" s="10" t="s">
        <v>10221</v>
      </c>
      <c r="U1109" s="5" t="str">
        <f t="shared" si="641"/>
        <v>Propriedade destinada a gerar: é.módulo.fotovoltaico</v>
      </c>
      <c r="V1109" s="5" t="str">
        <f t="shared" si="642"/>
        <v>Dado para gerar:  módulo.fotovoltaico  Deve ser formatado como (rdfs:Literal  or  xsd:string)</v>
      </c>
      <c r="W1109" s="69" t="s">
        <v>5544</v>
      </c>
      <c r="X1109" s="17" t="str">
        <f t="shared" si="643"/>
        <v>d.gerar.104</v>
      </c>
      <c r="Y1109" s="17" t="str">
        <f t="shared" si="644"/>
        <v>Ação de gerar</v>
      </c>
      <c r="Z1109" s="62" t="s">
        <v>2344</v>
      </c>
      <c r="AA1109" s="18" t="str">
        <f t="shared" si="645"/>
        <v>categoria.revit</v>
      </c>
      <c r="AB1109" s="19" t="s">
        <v>2123</v>
      </c>
      <c r="AC1109" s="18" t="str">
        <f t="shared" si="646"/>
        <v>classe.ifc</v>
      </c>
      <c r="AD1109" s="19" t="s">
        <v>2083</v>
      </c>
      <c r="AE1109" s="18" t="str">
        <f t="shared" si="647"/>
        <v>null</v>
      </c>
      <c r="AF1109" s="75" t="s">
        <v>0</v>
      </c>
      <c r="AG1109" s="38" t="s">
        <v>8305</v>
      </c>
    </row>
    <row r="1110" spans="1:33" ht="6" customHeight="1" x14ac:dyDescent="0.4">
      <c r="A1110" s="4">
        <f>ROW()</f>
        <v>1110</v>
      </c>
      <c r="B1110" s="9" t="s">
        <v>27</v>
      </c>
      <c r="C1110" s="44" t="str">
        <f t="shared" si="631"/>
        <v>p.gerar</v>
      </c>
      <c r="D1110" s="6" t="str">
        <f t="shared" si="640"/>
        <v>é.classe.de.eficiência</v>
      </c>
      <c r="E1110" s="8" t="s">
        <v>28</v>
      </c>
      <c r="F1110" s="34" t="str">
        <f>F1108</f>
        <v>d.gerar</v>
      </c>
      <c r="G1110" s="13" t="s">
        <v>6490</v>
      </c>
      <c r="H1110" s="34" t="s">
        <v>1581</v>
      </c>
      <c r="I1110" s="92" t="str">
        <f t="shared" si="648"/>
        <v>null</v>
      </c>
      <c r="J1110" s="80" t="s">
        <v>0</v>
      </c>
      <c r="K1110" s="80" t="s">
        <v>0</v>
      </c>
      <c r="L1110" s="80" t="s">
        <v>0</v>
      </c>
      <c r="M1110" s="80" t="s">
        <v>0</v>
      </c>
      <c r="N1110" s="80" t="s">
        <v>0</v>
      </c>
      <c r="O1110" s="80" t="s">
        <v>0</v>
      </c>
      <c r="P1110" s="80" t="s">
        <v>0</v>
      </c>
      <c r="Q1110" s="80" t="s">
        <v>0</v>
      </c>
      <c r="R1110" s="84" t="s">
        <v>3187</v>
      </c>
      <c r="S1110" s="10" t="s">
        <v>1</v>
      </c>
      <c r="T1110" s="10" t="s">
        <v>10221</v>
      </c>
      <c r="U1110" s="5" t="str">
        <f t="shared" si="641"/>
        <v>Propriedade destinada a gerar: é.classe.de.eficiência</v>
      </c>
      <c r="V1110" s="5" t="str">
        <f t="shared" si="642"/>
        <v>Dado para gerar:  classe.de.eficiência  Deve ser formatado como (rdfs:Literal  or  xsd:string)</v>
      </c>
      <c r="W1110" s="69" t="s">
        <v>6491</v>
      </c>
      <c r="X1110" s="17" t="str">
        <f t="shared" si="643"/>
        <v>d.gerar.105</v>
      </c>
      <c r="Y1110" s="17" t="str">
        <f t="shared" si="644"/>
        <v>Ação de gerar</v>
      </c>
      <c r="Z1110" s="62" t="s">
        <v>6739</v>
      </c>
      <c r="AA1110" s="18" t="str">
        <f t="shared" si="645"/>
        <v>categoria.revit</v>
      </c>
      <c r="AB1110" s="19" t="s">
        <v>2123</v>
      </c>
      <c r="AC1110" s="18" t="str">
        <f t="shared" si="646"/>
        <v>classe.ifc</v>
      </c>
      <c r="AD1110" s="19" t="s">
        <v>6492</v>
      </c>
      <c r="AE1110" s="18" t="str">
        <f t="shared" si="647"/>
        <v>null</v>
      </c>
      <c r="AF1110" s="75" t="s">
        <v>0</v>
      </c>
      <c r="AG1110" s="38" t="s">
        <v>8306</v>
      </c>
    </row>
    <row r="1111" spans="1:33" ht="6" customHeight="1" x14ac:dyDescent="0.4">
      <c r="A1111" s="4">
        <f>ROW()</f>
        <v>1111</v>
      </c>
      <c r="B1111" s="9" t="s">
        <v>27</v>
      </c>
      <c r="C1111" s="44" t="str">
        <f t="shared" si="631"/>
        <v>p.gerar</v>
      </c>
      <c r="D1111" s="6" t="str">
        <f t="shared" si="640"/>
        <v>é.excedente.de.energia</v>
      </c>
      <c r="E1111" s="8" t="s">
        <v>28</v>
      </c>
      <c r="F1111" s="34" t="str">
        <f>F1109</f>
        <v>d.gerar</v>
      </c>
      <c r="G1111" s="13" t="s">
        <v>7152</v>
      </c>
      <c r="H1111" s="34" t="s">
        <v>35</v>
      </c>
      <c r="I1111" s="92" t="str">
        <f t="shared" si="648"/>
        <v>null</v>
      </c>
      <c r="J1111" s="80" t="s">
        <v>0</v>
      </c>
      <c r="K1111" s="80" t="s">
        <v>0</v>
      </c>
      <c r="L1111" s="80" t="s">
        <v>0</v>
      </c>
      <c r="M1111" s="80" t="s">
        <v>0</v>
      </c>
      <c r="N1111" s="80" t="s">
        <v>0</v>
      </c>
      <c r="O1111" s="80" t="s">
        <v>0</v>
      </c>
      <c r="P1111" s="80" t="s">
        <v>0</v>
      </c>
      <c r="Q1111" s="80" t="s">
        <v>0</v>
      </c>
      <c r="R1111" s="84" t="s">
        <v>0</v>
      </c>
      <c r="S1111" s="10" t="s">
        <v>1</v>
      </c>
      <c r="T1111" s="10" t="s">
        <v>10221</v>
      </c>
      <c r="U1111" s="5" t="str">
        <f t="shared" si="641"/>
        <v>Propriedade destinada a gerar: é.excedente.de.energia</v>
      </c>
      <c r="V1111" s="5" t="str">
        <f t="shared" si="642"/>
        <v>Dado para gerar:  excedente.de.energia  Deve ser formatado como (xsd:double)</v>
      </c>
      <c r="W1111" s="69" t="s">
        <v>7154</v>
      </c>
      <c r="X1111" s="17" t="str">
        <f t="shared" si="643"/>
        <v>d.gerar.106</v>
      </c>
      <c r="Y1111" s="17" t="str">
        <f t="shared" si="644"/>
        <v>Ação de gerar</v>
      </c>
      <c r="Z1111" s="62" t="s">
        <v>7153</v>
      </c>
      <c r="AA1111" s="18" t="str">
        <f t="shared" si="645"/>
        <v>categoria.revit</v>
      </c>
      <c r="AB1111" s="19" t="s">
        <v>2123</v>
      </c>
      <c r="AC1111" s="18" t="str">
        <f t="shared" si="646"/>
        <v>classe.ifc</v>
      </c>
      <c r="AD1111" s="19" t="s">
        <v>2083</v>
      </c>
      <c r="AE1111" s="18" t="str">
        <f t="shared" si="647"/>
        <v>null</v>
      </c>
      <c r="AF1111" s="75" t="s">
        <v>0</v>
      </c>
      <c r="AG1111" s="62" t="s">
        <v>8307</v>
      </c>
    </row>
    <row r="1112" spans="1:33" ht="6" customHeight="1" x14ac:dyDescent="0.4">
      <c r="A1112" s="4">
        <f>ROW()</f>
        <v>1112</v>
      </c>
      <c r="B1112" s="9" t="s">
        <v>27</v>
      </c>
      <c r="C1112" s="43" t="str">
        <f t="shared" ref="C1112" si="649">SUBSTITUTE(F1112,"d.","p.")</f>
        <v>p.gestionar</v>
      </c>
      <c r="D1112" s="6" t="str">
        <f t="shared" ref="D1112" si="650">_xlfn.CONCAT("é.",G1112)</f>
        <v>é.art</v>
      </c>
      <c r="E1112" s="8" t="s">
        <v>28</v>
      </c>
      <c r="F1112" s="41" t="s">
        <v>2187</v>
      </c>
      <c r="G1112" s="14" t="s">
        <v>94</v>
      </c>
      <c r="H1112" s="33" t="s">
        <v>1581</v>
      </c>
      <c r="I1112" s="92" t="str">
        <f t="shared" si="648"/>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ref="U1112" si="651">_xlfn.CONCAT("Propriedade destinada a ",MID(C1112,FIND("p.",C1112,1)+2,100),": ",D1112)</f>
        <v>Propriedade destinada a gestionar: é.art</v>
      </c>
      <c r="V1112" s="5" t="str">
        <f t="shared" ref="V1112" si="652">_xlfn.CONCAT("Dado para ",MID(F1112,FIND("d.",F1112,1)+2,100),":  ",G1112, "  Deve ser formatado como (",H1112, ")")</f>
        <v>Dado para gestionar:  art  Deve ser formatado como (rdfs:Literal  or  xsd:string)</v>
      </c>
      <c r="W1112" s="69" t="s">
        <v>5545</v>
      </c>
      <c r="X1112" s="17" t="str">
        <f t="shared" si="643"/>
        <v>d.gesti.100</v>
      </c>
      <c r="Y1112" s="17" t="str">
        <f t="shared" si="644"/>
        <v>Ação de gestionar</v>
      </c>
      <c r="Z1112" s="62" t="s">
        <v>2280</v>
      </c>
      <c r="AA1112" s="18" t="str">
        <f t="shared" ref="AA1112" si="653">IF(AB1112="null", "null", "categoria.revit")</f>
        <v>null</v>
      </c>
      <c r="AB1112" s="19" t="s">
        <v>0</v>
      </c>
      <c r="AC1112" s="18" t="str">
        <f t="shared" ref="AC1112" si="654">IF(AD1112="null", "null", "classe.ifc")</f>
        <v>null</v>
      </c>
      <c r="AD1112" s="19" t="s">
        <v>0</v>
      </c>
      <c r="AE1112" s="18" t="str">
        <f t="shared" si="619"/>
        <v>null</v>
      </c>
      <c r="AF1112" s="75" t="s">
        <v>0</v>
      </c>
      <c r="AG1112" s="38" t="s">
        <v>8308</v>
      </c>
    </row>
    <row r="1113" spans="1:33" ht="6" customHeight="1" x14ac:dyDescent="0.4">
      <c r="A1113" s="4">
        <f>ROW()</f>
        <v>1113</v>
      </c>
      <c r="B1113" s="9" t="s">
        <v>27</v>
      </c>
      <c r="C1113" s="44" t="str">
        <f>SUBSTITUTE(F1113,"d.","p.")</f>
        <v>p.gestionar</v>
      </c>
      <c r="D1113" s="6" t="str">
        <f t="shared" ref="D1113:D1177" si="655">_xlfn.CONCAT("é.",G1113)</f>
        <v>é.ativo</v>
      </c>
      <c r="E1113" s="8" t="s">
        <v>28</v>
      </c>
      <c r="F1113" s="34" t="str">
        <f>F1112</f>
        <v>d.gestionar</v>
      </c>
      <c r="G1113" s="13" t="s">
        <v>991</v>
      </c>
      <c r="H1113" s="34" t="s">
        <v>1581</v>
      </c>
      <c r="I1113" s="92" t="str">
        <f t="shared" si="648"/>
        <v>null</v>
      </c>
      <c r="J1113" s="80" t="s">
        <v>0</v>
      </c>
      <c r="K1113" s="80" t="s">
        <v>0</v>
      </c>
      <c r="L1113" s="80" t="s">
        <v>0</v>
      </c>
      <c r="M1113" s="80" t="s">
        <v>0</v>
      </c>
      <c r="N1113" s="80" t="s">
        <v>0</v>
      </c>
      <c r="O1113" s="80" t="s">
        <v>0</v>
      </c>
      <c r="P1113" s="80" t="s">
        <v>0</v>
      </c>
      <c r="Q1113" s="80" t="s">
        <v>0</v>
      </c>
      <c r="R1113" s="84" t="s">
        <v>0</v>
      </c>
      <c r="S1113" s="10" t="s">
        <v>1</v>
      </c>
      <c r="T1113" s="10" t="s">
        <v>10221</v>
      </c>
      <c r="U1113" s="5" t="str">
        <f t="shared" ref="U1113:U1177" si="656">_xlfn.CONCAT("Propriedade destinada a ",MID(C1113,FIND("p.",C1113,1)+2,100),": ",D1113)</f>
        <v>Propriedade destinada a gestionar: é.ativo</v>
      </c>
      <c r="V1113" s="5" t="str">
        <f t="shared" ref="V1113:V1177" si="657">_xlfn.CONCAT("Dado para ",MID(F1113,FIND("d.",F1113,1)+2,100),":  ",G1113, "  Deve ser formatado como (",H1113, ")")</f>
        <v>Dado para gestionar:  ativo  Deve ser formatado como (rdfs:Literal  or  xsd:string)</v>
      </c>
      <c r="W1113" s="69" t="s">
        <v>5546</v>
      </c>
      <c r="X1113" s="17" t="str">
        <f t="shared" si="643"/>
        <v>d.gesti.101</v>
      </c>
      <c r="Y1113" s="17" t="str">
        <f t="shared" si="644"/>
        <v>Ação de gestionar</v>
      </c>
      <c r="Z1113" s="62" t="s">
        <v>4172</v>
      </c>
      <c r="AA1113" s="18" t="str">
        <f t="shared" ref="AA1113:AA1177" si="658">IF(AB1113="null", "null", "categoria.revit")</f>
        <v>null</v>
      </c>
      <c r="AB1113" s="19" t="s">
        <v>0</v>
      </c>
      <c r="AC1113" s="18" t="str">
        <f t="shared" ref="AC1113:AC1177" si="659">IF(AD1113="null", "null", "classe.ifc")</f>
        <v>null</v>
      </c>
      <c r="AD1113" s="19" t="s">
        <v>0</v>
      </c>
      <c r="AE1113" s="18" t="str">
        <f t="shared" ref="AE1113:AE1177" si="660">IF(AF1113="null", "null", "propriedade")</f>
        <v>null</v>
      </c>
      <c r="AF1113" s="75" t="s">
        <v>0</v>
      </c>
      <c r="AG1113" s="38" t="s">
        <v>8309</v>
      </c>
    </row>
    <row r="1114" spans="1:33" ht="6" customHeight="1" x14ac:dyDescent="0.4">
      <c r="A1114" s="4">
        <f>ROW()</f>
        <v>1114</v>
      </c>
      <c r="B1114" s="9" t="s">
        <v>27</v>
      </c>
      <c r="C1114" s="44" t="str">
        <f t="shared" ref="C1114:C1161" si="661">SUBSTITUTE(F1114,"d.","p.")</f>
        <v>p.gestionar</v>
      </c>
      <c r="D1114" s="6" t="str">
        <f t="shared" si="655"/>
        <v>é.ator</v>
      </c>
      <c r="E1114" s="8" t="s">
        <v>28</v>
      </c>
      <c r="F1114" s="34" t="str">
        <f t="shared" ref="F1114:F1160" si="662">F1113</f>
        <v>d.gestionar</v>
      </c>
      <c r="G1114" s="13" t="s">
        <v>1002</v>
      </c>
      <c r="H1114" s="34" t="s">
        <v>1581</v>
      </c>
      <c r="I1114" s="92" t="str">
        <f t="shared" si="648"/>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56"/>
        <v>Propriedade destinada a gestionar: é.ator</v>
      </c>
      <c r="V1114" s="5" t="str">
        <f t="shared" si="657"/>
        <v>Dado para gestionar:  ator  Deve ser formatado como (rdfs:Literal  or  xsd:string)</v>
      </c>
      <c r="W1114" s="69" t="s">
        <v>5547</v>
      </c>
      <c r="X1114" s="17" t="str">
        <f t="shared" si="643"/>
        <v>d.gesti.102</v>
      </c>
      <c r="Y1114" s="17" t="str">
        <f t="shared" si="644"/>
        <v>Ação de gestionar</v>
      </c>
      <c r="Z1114" s="62" t="s">
        <v>4174</v>
      </c>
      <c r="AA1114" s="18" t="str">
        <f t="shared" si="658"/>
        <v>null</v>
      </c>
      <c r="AB1114" s="19" t="s">
        <v>0</v>
      </c>
      <c r="AC1114" s="18" t="str">
        <f t="shared" si="659"/>
        <v>null</v>
      </c>
      <c r="AD1114" s="19" t="s">
        <v>0</v>
      </c>
      <c r="AE1114" s="18" t="str">
        <f t="shared" si="660"/>
        <v>null</v>
      </c>
      <c r="AF1114" s="75" t="s">
        <v>0</v>
      </c>
      <c r="AG1114" s="38" t="s">
        <v>8310</v>
      </c>
    </row>
    <row r="1115" spans="1:33" ht="6" customHeight="1" x14ac:dyDescent="0.4">
      <c r="A1115" s="4">
        <f>ROW()</f>
        <v>1115</v>
      </c>
      <c r="B1115" s="9" t="s">
        <v>27</v>
      </c>
      <c r="C1115" s="44" t="str">
        <f t="shared" si="661"/>
        <v>p.gestionar</v>
      </c>
      <c r="D1115" s="6" t="str">
        <f t="shared" si="655"/>
        <v>é.bep</v>
      </c>
      <c r="E1115" s="8" t="s">
        <v>28</v>
      </c>
      <c r="F1115" s="34" t="str">
        <f t="shared" si="662"/>
        <v>d.gestionar</v>
      </c>
      <c r="G1115" s="13" t="s">
        <v>1050</v>
      </c>
      <c r="H1115" s="34" t="s">
        <v>1581</v>
      </c>
      <c r="I1115" s="92" t="str">
        <f t="shared" si="648"/>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56"/>
        <v>Propriedade destinada a gestionar: é.bep</v>
      </c>
      <c r="V1115" s="5" t="str">
        <f t="shared" si="657"/>
        <v>Dado para gestionar:  bep  Deve ser formatado como (rdfs:Literal  or  xsd:string)</v>
      </c>
      <c r="W1115" s="69" t="s">
        <v>5548</v>
      </c>
      <c r="X1115" s="17" t="str">
        <f t="shared" si="643"/>
        <v>d.gesti.103</v>
      </c>
      <c r="Y1115" s="17" t="str">
        <f t="shared" si="644"/>
        <v>Ação de gestionar</v>
      </c>
      <c r="Z1115" s="62" t="s">
        <v>4173</v>
      </c>
      <c r="AA1115" s="18" t="str">
        <f t="shared" si="658"/>
        <v>null</v>
      </c>
      <c r="AB1115" s="19" t="s">
        <v>0</v>
      </c>
      <c r="AC1115" s="18" t="str">
        <f t="shared" si="659"/>
        <v>null</v>
      </c>
      <c r="AD1115" s="19" t="s">
        <v>0</v>
      </c>
      <c r="AE1115" s="18" t="str">
        <f t="shared" si="660"/>
        <v>null</v>
      </c>
      <c r="AF1115" s="75" t="s">
        <v>0</v>
      </c>
      <c r="AG1115" s="38" t="s">
        <v>8311</v>
      </c>
    </row>
    <row r="1116" spans="1:33" ht="6" customHeight="1" x14ac:dyDescent="0.4">
      <c r="A1116" s="4">
        <f>ROW()</f>
        <v>1116</v>
      </c>
      <c r="B1116" s="9" t="s">
        <v>27</v>
      </c>
      <c r="C1116" s="44" t="str">
        <f t="shared" si="661"/>
        <v>p.gestionar</v>
      </c>
      <c r="D1116" s="6" t="str">
        <f t="shared" si="655"/>
        <v>é.bim</v>
      </c>
      <c r="E1116" s="8" t="s">
        <v>28</v>
      </c>
      <c r="F1116" s="34" t="str">
        <f t="shared" si="662"/>
        <v>d.gestionar</v>
      </c>
      <c r="G1116" s="13" t="s">
        <v>1008</v>
      </c>
      <c r="H1116" s="34" t="s">
        <v>1581</v>
      </c>
      <c r="I1116" s="92" t="str">
        <f t="shared" si="648"/>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56"/>
        <v>Propriedade destinada a gestionar: é.bim</v>
      </c>
      <c r="V1116" s="5" t="str">
        <f t="shared" si="657"/>
        <v>Dado para gestionar:  bim  Deve ser formatado como (rdfs:Literal  or  xsd:string)</v>
      </c>
      <c r="W1116" s="69" t="s">
        <v>5549</v>
      </c>
      <c r="X1116" s="17" t="str">
        <f t="shared" si="643"/>
        <v>d.gesti.104</v>
      </c>
      <c r="Y1116" s="17" t="str">
        <f t="shared" si="644"/>
        <v>Ação de gestionar</v>
      </c>
      <c r="Z1116" s="62" t="s">
        <v>4175</v>
      </c>
      <c r="AA1116" s="18" t="str">
        <f t="shared" si="658"/>
        <v>null</v>
      </c>
      <c r="AB1116" s="19" t="s">
        <v>0</v>
      </c>
      <c r="AC1116" s="18" t="str">
        <f t="shared" si="659"/>
        <v>null</v>
      </c>
      <c r="AD1116" s="19" t="s">
        <v>0</v>
      </c>
      <c r="AE1116" s="18" t="str">
        <f t="shared" si="660"/>
        <v>null</v>
      </c>
      <c r="AF1116" s="75" t="s">
        <v>0</v>
      </c>
      <c r="AG1116" s="38" t="s">
        <v>8312</v>
      </c>
    </row>
    <row r="1117" spans="1:33" ht="6" customHeight="1" x14ac:dyDescent="0.4">
      <c r="A1117" s="4">
        <f>ROW()</f>
        <v>1117</v>
      </c>
      <c r="B1117" s="9" t="s">
        <v>27</v>
      </c>
      <c r="C1117" s="44" t="str">
        <f t="shared" si="661"/>
        <v>p.gestionar</v>
      </c>
      <c r="D1117" s="6" t="str">
        <f t="shared" si="655"/>
        <v>é.capacidade</v>
      </c>
      <c r="E1117" s="8" t="s">
        <v>28</v>
      </c>
      <c r="F1117" s="34" t="str">
        <f t="shared" si="662"/>
        <v>d.gestionar</v>
      </c>
      <c r="G1117" s="13" t="s">
        <v>259</v>
      </c>
      <c r="H1117" s="34" t="s">
        <v>1581</v>
      </c>
      <c r="I1117" s="92" t="str">
        <f t="shared" si="648"/>
        <v>null</v>
      </c>
      <c r="J1117" s="80" t="s">
        <v>0</v>
      </c>
      <c r="K1117" s="80" t="s">
        <v>0</v>
      </c>
      <c r="L1117" s="80" t="s">
        <v>0</v>
      </c>
      <c r="M1117" s="80" t="s">
        <v>0</v>
      </c>
      <c r="N1117" s="80" t="s">
        <v>0</v>
      </c>
      <c r="O1117" s="80" t="s">
        <v>0</v>
      </c>
      <c r="P1117" s="80" t="s">
        <v>0</v>
      </c>
      <c r="Q1117" s="80" t="s">
        <v>0</v>
      </c>
      <c r="R1117" s="84" t="s">
        <v>0</v>
      </c>
      <c r="S1117" s="10" t="s">
        <v>1</v>
      </c>
      <c r="T1117" s="10" t="s">
        <v>10221</v>
      </c>
      <c r="U1117" s="5" t="str">
        <f t="shared" si="656"/>
        <v>Propriedade destinada a gestionar: é.capacidade</v>
      </c>
      <c r="V1117" s="5" t="str">
        <f t="shared" si="657"/>
        <v>Dado para gestionar:  capacidade  Deve ser formatado como (rdfs:Literal  or  xsd:string)</v>
      </c>
      <c r="W1117" s="69" t="s">
        <v>5550</v>
      </c>
      <c r="X1117" s="17" t="str">
        <f t="shared" si="643"/>
        <v>d.gesti.105</v>
      </c>
      <c r="Y1117" s="17" t="str">
        <f t="shared" si="644"/>
        <v>Ação de gestionar</v>
      </c>
      <c r="Z1117" s="62" t="s">
        <v>4176</v>
      </c>
      <c r="AA1117" s="18" t="str">
        <f t="shared" si="658"/>
        <v>null</v>
      </c>
      <c r="AB1117" s="19" t="s">
        <v>0</v>
      </c>
      <c r="AC1117" s="18" t="str">
        <f t="shared" si="659"/>
        <v>null</v>
      </c>
      <c r="AD1117" s="19" t="s">
        <v>0</v>
      </c>
      <c r="AE1117" s="18" t="str">
        <f t="shared" si="660"/>
        <v>null</v>
      </c>
      <c r="AF1117" s="75" t="s">
        <v>0</v>
      </c>
      <c r="AG1117" s="38" t="s">
        <v>8313</v>
      </c>
    </row>
    <row r="1118" spans="1:33" ht="6" customHeight="1" x14ac:dyDescent="0.4">
      <c r="A1118" s="4">
        <f>ROW()</f>
        <v>1118</v>
      </c>
      <c r="B1118" s="9" t="s">
        <v>27</v>
      </c>
      <c r="C1118" s="44" t="str">
        <f t="shared" si="661"/>
        <v>p.gestionar</v>
      </c>
      <c r="D1118" s="6" t="str">
        <f t="shared" si="655"/>
        <v>é.cde</v>
      </c>
      <c r="E1118" s="8" t="s">
        <v>28</v>
      </c>
      <c r="F1118" s="34" t="str">
        <f t="shared" si="662"/>
        <v>d.gestionar</v>
      </c>
      <c r="G1118" s="13" t="s">
        <v>56</v>
      </c>
      <c r="H1118" s="34" t="s">
        <v>1581</v>
      </c>
      <c r="I1118" s="92" t="str">
        <f t="shared" si="648"/>
        <v>null</v>
      </c>
      <c r="J1118" s="80" t="s">
        <v>0</v>
      </c>
      <c r="K1118" s="80" t="s">
        <v>0</v>
      </c>
      <c r="L1118" s="80" t="s">
        <v>0</v>
      </c>
      <c r="M1118" s="80" t="s">
        <v>0</v>
      </c>
      <c r="N1118" s="80" t="s">
        <v>0</v>
      </c>
      <c r="O1118" s="80" t="s">
        <v>0</v>
      </c>
      <c r="P1118" s="80" t="s">
        <v>0</v>
      </c>
      <c r="Q1118" s="80" t="s">
        <v>0</v>
      </c>
      <c r="R1118" s="84" t="s">
        <v>0</v>
      </c>
      <c r="S1118" s="10" t="s">
        <v>1</v>
      </c>
      <c r="T1118" s="10" t="s">
        <v>10221</v>
      </c>
      <c r="U1118" s="5" t="str">
        <f t="shared" si="656"/>
        <v>Propriedade destinada a gestionar: é.cde</v>
      </c>
      <c r="V1118" s="5" t="str">
        <f t="shared" si="657"/>
        <v>Dado para gestionar:  cde  Deve ser formatado como (rdfs:Literal  or  xsd:string)</v>
      </c>
      <c r="W1118" s="69" t="s">
        <v>5551</v>
      </c>
      <c r="X1118" s="17" t="str">
        <f t="shared" si="643"/>
        <v>d.gesti.106</v>
      </c>
      <c r="Y1118" s="17" t="str">
        <f t="shared" si="644"/>
        <v>Ação de gestionar</v>
      </c>
      <c r="Z1118" s="62" t="s">
        <v>4177</v>
      </c>
      <c r="AA1118" s="18" t="str">
        <f t="shared" si="658"/>
        <v>null</v>
      </c>
      <c r="AB1118" s="19" t="s">
        <v>0</v>
      </c>
      <c r="AC1118" s="18" t="str">
        <f t="shared" si="659"/>
        <v>null</v>
      </c>
      <c r="AD1118" s="19" t="s">
        <v>0</v>
      </c>
      <c r="AE1118" s="18" t="str">
        <f t="shared" si="660"/>
        <v>null</v>
      </c>
      <c r="AF1118" s="75" t="s">
        <v>0</v>
      </c>
      <c r="AG1118" s="38" t="s">
        <v>8314</v>
      </c>
    </row>
    <row r="1119" spans="1:33" ht="6" customHeight="1" x14ac:dyDescent="0.4">
      <c r="A1119" s="4">
        <f>ROW()</f>
        <v>1119</v>
      </c>
      <c r="B1119" s="9" t="s">
        <v>27</v>
      </c>
      <c r="C1119" s="44" t="str">
        <f t="shared" si="661"/>
        <v>p.gestionar</v>
      </c>
      <c r="D1119" s="6" t="str">
        <f t="shared" si="655"/>
        <v>é.cliente</v>
      </c>
      <c r="E1119" s="8" t="s">
        <v>28</v>
      </c>
      <c r="F1119" s="34" t="str">
        <f t="shared" si="662"/>
        <v>d.gestionar</v>
      </c>
      <c r="G1119" s="13" t="s">
        <v>225</v>
      </c>
      <c r="H1119" s="34" t="s">
        <v>1581</v>
      </c>
      <c r="I1119" s="92" t="str">
        <f t="shared" si="648"/>
        <v>null</v>
      </c>
      <c r="J1119" s="80" t="s">
        <v>0</v>
      </c>
      <c r="K1119" s="80" t="s">
        <v>0</v>
      </c>
      <c r="L1119" s="80" t="s">
        <v>0</v>
      </c>
      <c r="M1119" s="80" t="s">
        <v>0</v>
      </c>
      <c r="N1119" s="80" t="s">
        <v>0</v>
      </c>
      <c r="O1119" s="80" t="s">
        <v>0</v>
      </c>
      <c r="P1119" s="80" t="s">
        <v>0</v>
      </c>
      <c r="Q1119" s="80" t="s">
        <v>0</v>
      </c>
      <c r="R1119" s="84" t="s">
        <v>1017</v>
      </c>
      <c r="S1119" s="10" t="s">
        <v>1</v>
      </c>
      <c r="T1119" s="10" t="s">
        <v>10221</v>
      </c>
      <c r="U1119" s="5" t="str">
        <f t="shared" si="656"/>
        <v>Propriedade destinada a gestionar: é.cliente</v>
      </c>
      <c r="V1119" s="5" t="str">
        <f t="shared" si="657"/>
        <v>Dado para gestionar:  cliente  Deve ser formatado como (rdfs:Literal  or  xsd:string)</v>
      </c>
      <c r="W1119" s="69" t="s">
        <v>5552</v>
      </c>
      <c r="X1119" s="17" t="str">
        <f t="shared" si="643"/>
        <v>d.gesti.107</v>
      </c>
      <c r="Y1119" s="17" t="str">
        <f t="shared" si="644"/>
        <v>Ação de gestionar</v>
      </c>
      <c r="Z1119" s="62" t="s">
        <v>4178</v>
      </c>
      <c r="AA1119" s="18" t="str">
        <f t="shared" si="658"/>
        <v>null</v>
      </c>
      <c r="AB1119" s="19" t="s">
        <v>0</v>
      </c>
      <c r="AC1119" s="18" t="str">
        <f t="shared" si="659"/>
        <v>null</v>
      </c>
      <c r="AD1119" s="19" t="s">
        <v>0</v>
      </c>
      <c r="AE1119" s="18" t="str">
        <f t="shared" si="660"/>
        <v>null</v>
      </c>
      <c r="AF1119" s="75" t="s">
        <v>0</v>
      </c>
      <c r="AG1119" s="38" t="s">
        <v>8315</v>
      </c>
    </row>
    <row r="1120" spans="1:33" ht="6" customHeight="1" x14ac:dyDescent="0.4">
      <c r="A1120" s="4">
        <f>ROW()</f>
        <v>1120</v>
      </c>
      <c r="B1120" s="9" t="s">
        <v>27</v>
      </c>
      <c r="C1120" s="44" t="str">
        <f t="shared" si="661"/>
        <v>p.gestionar</v>
      </c>
      <c r="D1120" s="6" t="str">
        <f t="shared" si="655"/>
        <v>é.código.de.estado</v>
      </c>
      <c r="E1120" s="8" t="s">
        <v>28</v>
      </c>
      <c r="F1120" s="34" t="str">
        <f t="shared" si="662"/>
        <v>d.gestionar</v>
      </c>
      <c r="G1120" s="13" t="s">
        <v>1007</v>
      </c>
      <c r="H1120" s="34" t="s">
        <v>1581</v>
      </c>
      <c r="I1120" s="92" t="str">
        <f t="shared" si="648"/>
        <v>null</v>
      </c>
      <c r="J1120" s="80" t="s">
        <v>0</v>
      </c>
      <c r="K1120" s="80" t="s">
        <v>0</v>
      </c>
      <c r="L1120" s="80" t="s">
        <v>0</v>
      </c>
      <c r="M1120" s="80" t="s">
        <v>0</v>
      </c>
      <c r="N1120" s="80" t="s">
        <v>0</v>
      </c>
      <c r="O1120" s="80" t="s">
        <v>0</v>
      </c>
      <c r="P1120" s="80" t="s">
        <v>0</v>
      </c>
      <c r="Q1120" s="80" t="s">
        <v>0</v>
      </c>
      <c r="R1120" s="84" t="s">
        <v>0</v>
      </c>
      <c r="S1120" s="10" t="s">
        <v>1</v>
      </c>
      <c r="T1120" s="10" t="s">
        <v>10221</v>
      </c>
      <c r="U1120" s="5" t="str">
        <f t="shared" si="656"/>
        <v>Propriedade destinada a gestionar: é.código.de.estado</v>
      </c>
      <c r="V1120" s="5" t="str">
        <f t="shared" si="657"/>
        <v>Dado para gestionar:  código.de.estado  Deve ser formatado como (rdfs:Literal  or  xsd:string)</v>
      </c>
      <c r="W1120" s="69" t="s">
        <v>5553</v>
      </c>
      <c r="X1120" s="17" t="str">
        <f t="shared" si="643"/>
        <v>d.gesti.108</v>
      </c>
      <c r="Y1120" s="17" t="str">
        <f t="shared" si="644"/>
        <v>Ação de gestionar</v>
      </c>
      <c r="Z1120" s="62" t="s">
        <v>4179</v>
      </c>
      <c r="AA1120" s="18" t="str">
        <f t="shared" si="658"/>
        <v>null</v>
      </c>
      <c r="AB1120" s="19" t="s">
        <v>0</v>
      </c>
      <c r="AC1120" s="18" t="str">
        <f t="shared" si="659"/>
        <v>null</v>
      </c>
      <c r="AD1120" s="19" t="s">
        <v>0</v>
      </c>
      <c r="AE1120" s="18" t="str">
        <f t="shared" si="660"/>
        <v>null</v>
      </c>
      <c r="AF1120" s="75" t="s">
        <v>0</v>
      </c>
      <c r="AG1120" s="38" t="s">
        <v>8316</v>
      </c>
    </row>
    <row r="1121" spans="1:33" ht="6" customHeight="1" x14ac:dyDescent="0.4">
      <c r="A1121" s="4">
        <f>ROW()</f>
        <v>1121</v>
      </c>
      <c r="B1121" s="9" t="s">
        <v>27</v>
      </c>
      <c r="C1121" s="44" t="str">
        <f t="shared" si="661"/>
        <v>p.gestionar</v>
      </c>
      <c r="D1121" s="6" t="str">
        <f t="shared" si="655"/>
        <v>é.comitente</v>
      </c>
      <c r="E1121" s="8" t="s">
        <v>28</v>
      </c>
      <c r="F1121" s="34" t="str">
        <f t="shared" si="662"/>
        <v>d.gestionar</v>
      </c>
      <c r="G1121" s="13" t="s">
        <v>1016</v>
      </c>
      <c r="H1121" s="34" t="s">
        <v>1581</v>
      </c>
      <c r="I1121" s="92" t="str">
        <f t="shared" si="648"/>
        <v>null</v>
      </c>
      <c r="J1121" s="80" t="s">
        <v>0</v>
      </c>
      <c r="K1121" s="80" t="s">
        <v>0</v>
      </c>
      <c r="L1121" s="80" t="s">
        <v>0</v>
      </c>
      <c r="M1121" s="80" t="s">
        <v>0</v>
      </c>
      <c r="N1121" s="80" t="s">
        <v>0</v>
      </c>
      <c r="O1121" s="80" t="s">
        <v>0</v>
      </c>
      <c r="P1121" s="80" t="s">
        <v>0</v>
      </c>
      <c r="Q1121" s="80" t="s">
        <v>0</v>
      </c>
      <c r="R1121" s="84" t="s">
        <v>1018</v>
      </c>
      <c r="S1121" s="10" t="s">
        <v>1</v>
      </c>
      <c r="T1121" s="10" t="s">
        <v>10221</v>
      </c>
      <c r="U1121" s="5" t="str">
        <f t="shared" si="656"/>
        <v>Propriedade destinada a gestionar: é.comitente</v>
      </c>
      <c r="V1121" s="5" t="str">
        <f t="shared" si="657"/>
        <v>Dado para gestionar:  comitente  Deve ser formatado como (rdfs:Literal  or  xsd:string)</v>
      </c>
      <c r="W1121" s="69" t="s">
        <v>5554</v>
      </c>
      <c r="X1121" s="17" t="str">
        <f t="shared" si="643"/>
        <v>d.gesti.109</v>
      </c>
      <c r="Y1121" s="17" t="str">
        <f t="shared" si="644"/>
        <v>Ação de gestionar</v>
      </c>
      <c r="Z1121" s="62" t="s">
        <v>2282</v>
      </c>
      <c r="AA1121" s="18" t="str">
        <f t="shared" si="658"/>
        <v>null</v>
      </c>
      <c r="AB1121" s="19" t="s">
        <v>0</v>
      </c>
      <c r="AC1121" s="18" t="str">
        <f t="shared" si="659"/>
        <v>null</v>
      </c>
      <c r="AD1121" s="19" t="s">
        <v>0</v>
      </c>
      <c r="AE1121" s="18" t="str">
        <f t="shared" si="660"/>
        <v>null</v>
      </c>
      <c r="AF1121" s="75" t="s">
        <v>0</v>
      </c>
      <c r="AG1121" s="38" t="s">
        <v>8317</v>
      </c>
    </row>
    <row r="1122" spans="1:33" ht="6" customHeight="1" x14ac:dyDescent="0.4">
      <c r="A1122" s="4">
        <f>ROW()</f>
        <v>1122</v>
      </c>
      <c r="B1122" s="9" t="s">
        <v>27</v>
      </c>
      <c r="C1122" s="44" t="str">
        <f t="shared" si="661"/>
        <v>p.gestionar</v>
      </c>
      <c r="D1122" s="6" t="str">
        <f t="shared" si="655"/>
        <v>é.competência</v>
      </c>
      <c r="E1122" s="8" t="s">
        <v>28</v>
      </c>
      <c r="F1122" s="34" t="str">
        <f t="shared" si="662"/>
        <v>d.gestionar</v>
      </c>
      <c r="G1122" s="13" t="s">
        <v>1009</v>
      </c>
      <c r="H1122" s="34" t="s">
        <v>1581</v>
      </c>
      <c r="I1122" s="92" t="str">
        <f t="shared" si="648"/>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56"/>
        <v>Propriedade destinada a gestionar: é.competência</v>
      </c>
      <c r="V1122" s="5" t="str">
        <f t="shared" si="657"/>
        <v>Dado para gestionar:  competência  Deve ser formatado como (rdfs:Literal  or  xsd:string)</v>
      </c>
      <c r="W1122" s="69" t="s">
        <v>5555</v>
      </c>
      <c r="X1122" s="17" t="str">
        <f t="shared" si="643"/>
        <v>d.gesti.110</v>
      </c>
      <c r="Y1122" s="17" t="str">
        <f t="shared" si="644"/>
        <v>Ação de gestionar</v>
      </c>
      <c r="Z1122" s="62" t="s">
        <v>4180</v>
      </c>
      <c r="AA1122" s="18" t="str">
        <f t="shared" si="658"/>
        <v>null</v>
      </c>
      <c r="AB1122" s="19" t="s">
        <v>0</v>
      </c>
      <c r="AC1122" s="18" t="str">
        <f t="shared" si="659"/>
        <v>null</v>
      </c>
      <c r="AD1122" s="19" t="s">
        <v>0</v>
      </c>
      <c r="AE1122" s="18" t="str">
        <f t="shared" si="660"/>
        <v>null</v>
      </c>
      <c r="AF1122" s="75" t="s">
        <v>0</v>
      </c>
      <c r="AG1122" s="38" t="s">
        <v>8318</v>
      </c>
    </row>
    <row r="1123" spans="1:33" ht="6" customHeight="1" x14ac:dyDescent="0.4">
      <c r="A1123" s="4">
        <f>ROW()</f>
        <v>1123</v>
      </c>
      <c r="B1123" s="9" t="s">
        <v>27</v>
      </c>
      <c r="C1123" s="44" t="str">
        <f t="shared" si="661"/>
        <v>p.gestionar</v>
      </c>
      <c r="D1123" s="6" t="str">
        <f t="shared" si="655"/>
        <v>é.contêiner.arquivado</v>
      </c>
      <c r="E1123" s="8" t="s">
        <v>28</v>
      </c>
      <c r="F1123" s="34" t="str">
        <f t="shared" si="662"/>
        <v>d.gestionar</v>
      </c>
      <c r="G1123" s="13" t="s">
        <v>1061</v>
      </c>
      <c r="H1123" s="34" t="s">
        <v>1581</v>
      </c>
      <c r="I1123" s="92" t="str">
        <f t="shared" si="648"/>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56"/>
        <v>Propriedade destinada a gestionar: é.contêiner.arquivado</v>
      </c>
      <c r="V1123" s="5" t="str">
        <f t="shared" si="657"/>
        <v>Dado para gestionar:  contêiner.arquivado  Deve ser formatado como (rdfs:Literal  or  xsd:string)</v>
      </c>
      <c r="W1123" s="69" t="s">
        <v>5556</v>
      </c>
      <c r="X1123" s="17" t="str">
        <f t="shared" si="643"/>
        <v>d.gesti.111</v>
      </c>
      <c r="Y1123" s="17" t="str">
        <f t="shared" si="644"/>
        <v>Ação de gestionar</v>
      </c>
      <c r="Z1123" s="62" t="s">
        <v>4182</v>
      </c>
      <c r="AA1123" s="18" t="str">
        <f t="shared" si="658"/>
        <v>null</v>
      </c>
      <c r="AB1123" s="19" t="s">
        <v>0</v>
      </c>
      <c r="AC1123" s="18" t="str">
        <f t="shared" si="659"/>
        <v>null</v>
      </c>
      <c r="AD1123" s="19" t="s">
        <v>0</v>
      </c>
      <c r="AE1123" s="18" t="str">
        <f t="shared" si="660"/>
        <v>null</v>
      </c>
      <c r="AF1123" s="75" t="s">
        <v>0</v>
      </c>
      <c r="AG1123" s="38" t="s">
        <v>8319</v>
      </c>
    </row>
    <row r="1124" spans="1:33" ht="6" customHeight="1" x14ac:dyDescent="0.4">
      <c r="A1124" s="4">
        <f>ROW()</f>
        <v>1124</v>
      </c>
      <c r="B1124" s="9" t="s">
        <v>27</v>
      </c>
      <c r="C1124" s="44" t="str">
        <f t="shared" si="661"/>
        <v>p.gestionar</v>
      </c>
      <c r="D1124" s="6" t="str">
        <f t="shared" si="655"/>
        <v>é.contêiner.compartilhado</v>
      </c>
      <c r="E1124" s="8" t="s">
        <v>28</v>
      </c>
      <c r="F1124" s="34" t="str">
        <f t="shared" si="662"/>
        <v>d.gestionar</v>
      </c>
      <c r="G1124" s="13" t="s">
        <v>1059</v>
      </c>
      <c r="H1124" s="34" t="s">
        <v>1581</v>
      </c>
      <c r="I1124" s="92" t="str">
        <f t="shared" si="648"/>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56"/>
        <v>Propriedade destinada a gestionar: é.contêiner.compartilhado</v>
      </c>
      <c r="V1124" s="5" t="str">
        <f t="shared" si="657"/>
        <v>Dado para gestionar:  contêiner.compartilhado  Deve ser formatado como (rdfs:Literal  or  xsd:string)</v>
      </c>
      <c r="W1124" s="69" t="s">
        <v>5557</v>
      </c>
      <c r="X1124" s="17" t="str">
        <f t="shared" si="643"/>
        <v>d.gesti.112</v>
      </c>
      <c r="Y1124" s="17" t="str">
        <f t="shared" si="644"/>
        <v>Ação de gestionar</v>
      </c>
      <c r="Z1124" s="62" t="s">
        <v>4183</v>
      </c>
      <c r="AA1124" s="18" t="str">
        <f t="shared" si="658"/>
        <v>null</v>
      </c>
      <c r="AB1124" s="19" t="s">
        <v>0</v>
      </c>
      <c r="AC1124" s="18" t="str">
        <f t="shared" si="659"/>
        <v>null</v>
      </c>
      <c r="AD1124" s="19" t="s">
        <v>0</v>
      </c>
      <c r="AE1124" s="18" t="str">
        <f t="shared" si="660"/>
        <v>null</v>
      </c>
      <c r="AF1124" s="75" t="s">
        <v>0</v>
      </c>
      <c r="AG1124" s="38" t="s">
        <v>8320</v>
      </c>
    </row>
    <row r="1125" spans="1:33" ht="6" customHeight="1" x14ac:dyDescent="0.4">
      <c r="A1125" s="4">
        <f>ROW()</f>
        <v>1125</v>
      </c>
      <c r="B1125" s="9" t="s">
        <v>27</v>
      </c>
      <c r="C1125" s="44" t="str">
        <f t="shared" si="661"/>
        <v>p.gestionar</v>
      </c>
      <c r="D1125" s="6" t="str">
        <f t="shared" si="655"/>
        <v>é.contêiner.de.informação</v>
      </c>
      <c r="E1125" s="8" t="s">
        <v>28</v>
      </c>
      <c r="F1125" s="34" t="str">
        <f t="shared" si="662"/>
        <v>d.gestionar</v>
      </c>
      <c r="G1125" s="13" t="s">
        <v>3034</v>
      </c>
      <c r="H1125" s="34" t="s">
        <v>1581</v>
      </c>
      <c r="I1125" s="92" t="str">
        <f t="shared" si="648"/>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56"/>
        <v>Propriedade destinada a gestionar: é.contêiner.de.informação</v>
      </c>
      <c r="V1125" s="5" t="str">
        <f t="shared" si="657"/>
        <v>Dado para gestionar:  contêiner.de.informação  Deve ser formatado como (rdfs:Literal  or  xsd:string)</v>
      </c>
      <c r="W1125" s="69" t="s">
        <v>5558</v>
      </c>
      <c r="X1125" s="17" t="str">
        <f t="shared" si="643"/>
        <v>d.gesti.113</v>
      </c>
      <c r="Y1125" s="17" t="str">
        <f t="shared" si="644"/>
        <v>Ação de gestionar</v>
      </c>
      <c r="Z1125" s="62" t="s">
        <v>4181</v>
      </c>
      <c r="AA1125" s="18" t="str">
        <f t="shared" si="658"/>
        <v>null</v>
      </c>
      <c r="AB1125" s="19" t="s">
        <v>0</v>
      </c>
      <c r="AC1125" s="18" t="str">
        <f t="shared" si="659"/>
        <v>null</v>
      </c>
      <c r="AD1125" s="19" t="s">
        <v>0</v>
      </c>
      <c r="AE1125" s="18" t="str">
        <f t="shared" si="660"/>
        <v>null</v>
      </c>
      <c r="AF1125" s="75" t="s">
        <v>0</v>
      </c>
      <c r="AG1125" s="38" t="s">
        <v>8321</v>
      </c>
    </row>
    <row r="1126" spans="1:33" ht="6" customHeight="1" x14ac:dyDescent="0.4">
      <c r="A1126" s="4">
        <f>ROW()</f>
        <v>1126</v>
      </c>
      <c r="B1126" s="9" t="s">
        <v>27</v>
      </c>
      <c r="C1126" s="44" t="str">
        <f t="shared" si="661"/>
        <v>p.gestionar</v>
      </c>
      <c r="D1126" s="6" t="str">
        <f t="shared" si="655"/>
        <v>é.contêiner.em.andamento</v>
      </c>
      <c r="E1126" s="8" t="s">
        <v>28</v>
      </c>
      <c r="F1126" s="34" t="str">
        <f t="shared" si="662"/>
        <v>d.gestionar</v>
      </c>
      <c r="G1126" s="13" t="s">
        <v>1060</v>
      </c>
      <c r="H1126" s="34" t="s">
        <v>1581</v>
      </c>
      <c r="I1126" s="92" t="str">
        <f t="shared" si="648"/>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56"/>
        <v>Propriedade destinada a gestionar: é.contêiner.em.andamento</v>
      </c>
      <c r="V1126" s="5" t="str">
        <f t="shared" si="657"/>
        <v>Dado para gestionar:  contêiner.em.andamento  Deve ser formatado como (rdfs:Literal  or  xsd:string)</v>
      </c>
      <c r="W1126" s="69" t="s">
        <v>5559</v>
      </c>
      <c r="X1126" s="17" t="str">
        <f t="shared" si="643"/>
        <v>d.gesti.114</v>
      </c>
      <c r="Y1126" s="17" t="str">
        <f t="shared" si="644"/>
        <v>Ação de gestionar</v>
      </c>
      <c r="Z1126" s="62" t="s">
        <v>4184</v>
      </c>
      <c r="AA1126" s="18" t="str">
        <f t="shared" si="658"/>
        <v>null</v>
      </c>
      <c r="AB1126" s="19" t="s">
        <v>0</v>
      </c>
      <c r="AC1126" s="18" t="str">
        <f t="shared" si="659"/>
        <v>null</v>
      </c>
      <c r="AD1126" s="19" t="s">
        <v>0</v>
      </c>
      <c r="AE1126" s="18" t="str">
        <f t="shared" si="660"/>
        <v>null</v>
      </c>
      <c r="AF1126" s="75" t="s">
        <v>0</v>
      </c>
      <c r="AG1126" s="38" t="s">
        <v>8322</v>
      </c>
    </row>
    <row r="1127" spans="1:33" ht="6" customHeight="1" x14ac:dyDescent="0.4">
      <c r="A1127" s="4">
        <f>ROW()</f>
        <v>1127</v>
      </c>
      <c r="B1127" s="9" t="s">
        <v>27</v>
      </c>
      <c r="C1127" s="44" t="str">
        <f t="shared" si="661"/>
        <v>p.gestionar</v>
      </c>
      <c r="D1127" s="6" t="str">
        <f t="shared" si="655"/>
        <v>é.contêiner.publicado</v>
      </c>
      <c r="E1127" s="8" t="s">
        <v>28</v>
      </c>
      <c r="F1127" s="34" t="str">
        <f t="shared" si="662"/>
        <v>d.gestionar</v>
      </c>
      <c r="G1127" s="13" t="s">
        <v>1058</v>
      </c>
      <c r="H1127" s="34" t="s">
        <v>1581</v>
      </c>
      <c r="I1127" s="92" t="str">
        <f t="shared" si="648"/>
        <v>null</v>
      </c>
      <c r="J1127" s="80" t="s">
        <v>0</v>
      </c>
      <c r="K1127" s="80" t="s">
        <v>0</v>
      </c>
      <c r="L1127" s="80" t="s">
        <v>0</v>
      </c>
      <c r="M1127" s="80" t="s">
        <v>0</v>
      </c>
      <c r="N1127" s="80" t="s">
        <v>0</v>
      </c>
      <c r="O1127" s="80" t="s">
        <v>0</v>
      </c>
      <c r="P1127" s="80" t="s">
        <v>0</v>
      </c>
      <c r="Q1127" s="80" t="s">
        <v>0</v>
      </c>
      <c r="R1127" s="84" t="s">
        <v>0</v>
      </c>
      <c r="S1127" s="10" t="s">
        <v>1</v>
      </c>
      <c r="T1127" s="10" t="s">
        <v>10221</v>
      </c>
      <c r="U1127" s="5" t="str">
        <f t="shared" si="656"/>
        <v>Propriedade destinada a gestionar: é.contêiner.publicado</v>
      </c>
      <c r="V1127" s="5" t="str">
        <f t="shared" si="657"/>
        <v>Dado para gestionar:  contêiner.publicado  Deve ser formatado como (rdfs:Literal  or  xsd:string)</v>
      </c>
      <c r="W1127" s="69" t="s">
        <v>5560</v>
      </c>
      <c r="X1127" s="17" t="str">
        <f t="shared" si="643"/>
        <v>d.gesti.115</v>
      </c>
      <c r="Y1127" s="17" t="str">
        <f t="shared" si="644"/>
        <v>Ação de gestionar</v>
      </c>
      <c r="Z1127" s="62" t="s">
        <v>4185</v>
      </c>
      <c r="AA1127" s="18" t="str">
        <f t="shared" si="658"/>
        <v>null</v>
      </c>
      <c r="AB1127" s="19" t="s">
        <v>0</v>
      </c>
      <c r="AC1127" s="18" t="str">
        <f t="shared" si="659"/>
        <v>null</v>
      </c>
      <c r="AD1127" s="19" t="s">
        <v>0</v>
      </c>
      <c r="AE1127" s="18" t="str">
        <f t="shared" si="660"/>
        <v>null</v>
      </c>
      <c r="AF1127" s="75" t="s">
        <v>0</v>
      </c>
      <c r="AG1127" s="38" t="s">
        <v>8323</v>
      </c>
    </row>
    <row r="1128" spans="1:33" ht="6" customHeight="1" x14ac:dyDescent="0.4">
      <c r="A1128" s="4">
        <f>ROW()</f>
        <v>1128</v>
      </c>
      <c r="B1128" s="9" t="s">
        <v>27</v>
      </c>
      <c r="C1128" s="44" t="str">
        <f t="shared" si="661"/>
        <v>p.gestionar</v>
      </c>
      <c r="D1128" s="6" t="str">
        <f t="shared" si="655"/>
        <v>é.contratada</v>
      </c>
      <c r="E1128" s="8" t="s">
        <v>28</v>
      </c>
      <c r="F1128" s="34" t="str">
        <f t="shared" si="662"/>
        <v>d.gestionar</v>
      </c>
      <c r="G1128" s="13" t="s">
        <v>1006</v>
      </c>
      <c r="H1128" s="34" t="s">
        <v>1581</v>
      </c>
      <c r="I1128" s="92" t="str">
        <f t="shared" si="648"/>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56"/>
        <v>Propriedade destinada a gestionar: é.contratada</v>
      </c>
      <c r="V1128" s="5" t="str">
        <f t="shared" si="657"/>
        <v>Dado para gestionar:  contratada  Deve ser formatado como (rdfs:Literal  or  xsd:string)</v>
      </c>
      <c r="W1128" s="69" t="s">
        <v>5561</v>
      </c>
      <c r="X1128" s="17" t="str">
        <f t="shared" si="643"/>
        <v>d.gesti.116</v>
      </c>
      <c r="Y1128" s="17" t="str">
        <f t="shared" si="644"/>
        <v>Ação de gestionar</v>
      </c>
      <c r="Z1128" s="62" t="s">
        <v>4186</v>
      </c>
      <c r="AA1128" s="18" t="str">
        <f t="shared" si="658"/>
        <v>null</v>
      </c>
      <c r="AB1128" s="19" t="s">
        <v>0</v>
      </c>
      <c r="AC1128" s="18" t="str">
        <f t="shared" si="659"/>
        <v>null</v>
      </c>
      <c r="AD1128" s="19" t="s">
        <v>0</v>
      </c>
      <c r="AE1128" s="18" t="str">
        <f t="shared" si="660"/>
        <v>null</v>
      </c>
      <c r="AF1128" s="75" t="s">
        <v>0</v>
      </c>
      <c r="AG1128" s="38" t="s">
        <v>8324</v>
      </c>
    </row>
    <row r="1129" spans="1:33" ht="6" customHeight="1" x14ac:dyDescent="0.4">
      <c r="A1129" s="4">
        <f>ROW()</f>
        <v>1129</v>
      </c>
      <c r="B1129" s="9" t="s">
        <v>27</v>
      </c>
      <c r="C1129" s="44" t="str">
        <f t="shared" si="661"/>
        <v>p.gestionar</v>
      </c>
      <c r="D1129" s="6" t="str">
        <f t="shared" si="655"/>
        <v>é.contratante</v>
      </c>
      <c r="E1129" s="8" t="s">
        <v>28</v>
      </c>
      <c r="F1129" s="34" t="str">
        <f t="shared" si="662"/>
        <v>d.gestionar</v>
      </c>
      <c r="G1129" s="13" t="s">
        <v>87</v>
      </c>
      <c r="H1129" s="34" t="s">
        <v>1581</v>
      </c>
      <c r="I1129" s="92" t="str">
        <f t="shared" si="648"/>
        <v>null</v>
      </c>
      <c r="J1129" s="80" t="s">
        <v>0</v>
      </c>
      <c r="K1129" s="80" t="s">
        <v>0</v>
      </c>
      <c r="L1129" s="80" t="s">
        <v>0</v>
      </c>
      <c r="M1129" s="80" t="s">
        <v>0</v>
      </c>
      <c r="N1129" s="80" t="s">
        <v>0</v>
      </c>
      <c r="O1129" s="80" t="s">
        <v>0</v>
      </c>
      <c r="P1129" s="80" t="s">
        <v>0</v>
      </c>
      <c r="Q1129" s="80" t="s">
        <v>0</v>
      </c>
      <c r="R1129" s="84" t="s">
        <v>0</v>
      </c>
      <c r="S1129" s="10" t="s">
        <v>1</v>
      </c>
      <c r="T1129" s="10" t="s">
        <v>10221</v>
      </c>
      <c r="U1129" s="5" t="str">
        <f t="shared" si="656"/>
        <v>Propriedade destinada a gestionar: é.contratante</v>
      </c>
      <c r="V1129" s="5" t="str">
        <f t="shared" si="657"/>
        <v>Dado para gestionar:  contratante  Deve ser formatado como (rdfs:Literal  or  xsd:string)</v>
      </c>
      <c r="W1129" s="69" t="s">
        <v>5562</v>
      </c>
      <c r="X1129" s="17" t="str">
        <f t="shared" si="643"/>
        <v>d.gesti.117</v>
      </c>
      <c r="Y1129" s="17" t="str">
        <f t="shared" si="644"/>
        <v>Ação de gestionar</v>
      </c>
      <c r="Z1129" s="62" t="s">
        <v>4187</v>
      </c>
      <c r="AA1129" s="18" t="str">
        <f t="shared" si="658"/>
        <v>null</v>
      </c>
      <c r="AB1129" s="19" t="s">
        <v>0</v>
      </c>
      <c r="AC1129" s="18" t="str">
        <f t="shared" si="659"/>
        <v>null</v>
      </c>
      <c r="AD1129" s="19" t="s">
        <v>0</v>
      </c>
      <c r="AE1129" s="18" t="str">
        <f t="shared" si="660"/>
        <v>null</v>
      </c>
      <c r="AF1129" s="75" t="s">
        <v>0</v>
      </c>
      <c r="AG1129" s="38" t="s">
        <v>8325</v>
      </c>
    </row>
    <row r="1130" spans="1:33" ht="6" customHeight="1" x14ac:dyDescent="0.4">
      <c r="A1130" s="4">
        <f>ROW()</f>
        <v>1130</v>
      </c>
      <c r="B1130" s="9" t="s">
        <v>27</v>
      </c>
      <c r="C1130" s="44" t="str">
        <f t="shared" si="661"/>
        <v>p.gestionar</v>
      </c>
      <c r="D1130" s="6" t="str">
        <f t="shared" si="655"/>
        <v>é.contrato</v>
      </c>
      <c r="E1130" s="8" t="s">
        <v>28</v>
      </c>
      <c r="F1130" s="34" t="str">
        <f t="shared" si="662"/>
        <v>d.gestionar</v>
      </c>
      <c r="G1130" s="13" t="s">
        <v>86</v>
      </c>
      <c r="H1130" s="34" t="s">
        <v>1581</v>
      </c>
      <c r="I1130" s="92" t="str">
        <f t="shared" si="648"/>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56"/>
        <v>Propriedade destinada a gestionar: é.contrato</v>
      </c>
      <c r="V1130" s="5" t="str">
        <f t="shared" si="657"/>
        <v>Dado para gestionar:  contrato  Deve ser formatado como (rdfs:Literal  or  xsd:string)</v>
      </c>
      <c r="W1130" s="69" t="s">
        <v>5563</v>
      </c>
      <c r="X1130" s="17" t="str">
        <f t="shared" si="643"/>
        <v>d.gesti.118</v>
      </c>
      <c r="Y1130" s="17" t="str">
        <f t="shared" si="644"/>
        <v>Ação de gestionar</v>
      </c>
      <c r="Z1130" s="62" t="s">
        <v>4188</v>
      </c>
      <c r="AA1130" s="18" t="str">
        <f t="shared" si="658"/>
        <v>null</v>
      </c>
      <c r="AB1130" s="19" t="s">
        <v>0</v>
      </c>
      <c r="AC1130" s="18" t="str">
        <f t="shared" si="659"/>
        <v>null</v>
      </c>
      <c r="AD1130" s="19" t="s">
        <v>0</v>
      </c>
      <c r="AE1130" s="18" t="str">
        <f t="shared" si="660"/>
        <v>null</v>
      </c>
      <c r="AF1130" s="75" t="s">
        <v>0</v>
      </c>
      <c r="AG1130" s="38" t="s">
        <v>8326</v>
      </c>
    </row>
    <row r="1131" spans="1:33" ht="6" customHeight="1" x14ac:dyDescent="0.4">
      <c r="A1131" s="4">
        <f>ROW()</f>
        <v>1131</v>
      </c>
      <c r="B1131" s="9" t="s">
        <v>27</v>
      </c>
      <c r="C1131" s="44" t="str">
        <f t="shared" si="661"/>
        <v>p.gestionar</v>
      </c>
      <c r="D1131" s="6" t="str">
        <f t="shared" si="655"/>
        <v>é.critério.de.aceitação</v>
      </c>
      <c r="E1131" s="8" t="s">
        <v>28</v>
      </c>
      <c r="F1131" s="34" t="str">
        <f t="shared" si="662"/>
        <v>d.gestionar</v>
      </c>
      <c r="G1131" s="13" t="s">
        <v>1048</v>
      </c>
      <c r="H1131" s="34" t="s">
        <v>1581</v>
      </c>
      <c r="I1131" s="92" t="str">
        <f t="shared" si="648"/>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56"/>
        <v>Propriedade destinada a gestionar: é.critério.de.aceitação</v>
      </c>
      <c r="V1131" s="5" t="str">
        <f t="shared" si="657"/>
        <v>Dado para gestionar:  critério.de.aceitação  Deve ser formatado como (rdfs:Literal  or  xsd:string)</v>
      </c>
      <c r="W1131" s="69" t="s">
        <v>5564</v>
      </c>
      <c r="X1131" s="17" t="str">
        <f t="shared" si="643"/>
        <v>d.gesti.119</v>
      </c>
      <c r="Y1131" s="17" t="str">
        <f t="shared" si="644"/>
        <v>Ação de gestionar</v>
      </c>
      <c r="Z1131" s="62" t="s">
        <v>4189</v>
      </c>
      <c r="AA1131" s="18" t="str">
        <f t="shared" si="658"/>
        <v>null</v>
      </c>
      <c r="AB1131" s="19" t="s">
        <v>0</v>
      </c>
      <c r="AC1131" s="18" t="str">
        <f t="shared" si="659"/>
        <v>null</v>
      </c>
      <c r="AD1131" s="19" t="s">
        <v>0</v>
      </c>
      <c r="AE1131" s="18" t="str">
        <f t="shared" si="660"/>
        <v>null</v>
      </c>
      <c r="AF1131" s="75" t="s">
        <v>0</v>
      </c>
      <c r="AG1131" s="38" t="s">
        <v>8327</v>
      </c>
    </row>
    <row r="1132" spans="1:33" ht="6" customHeight="1" x14ac:dyDescent="0.4">
      <c r="A1132" s="4">
        <f>ROW()</f>
        <v>1132</v>
      </c>
      <c r="B1132" s="9" t="s">
        <v>27</v>
      </c>
      <c r="C1132" s="44" t="str">
        <f t="shared" si="661"/>
        <v>p.gestionar</v>
      </c>
      <c r="D1132" s="6" t="str">
        <f t="shared" si="655"/>
        <v>é.data.marco.de.entrega.da.informação</v>
      </c>
      <c r="E1132" s="8" t="s">
        <v>28</v>
      </c>
      <c r="F1132" s="34" t="str">
        <f t="shared" si="662"/>
        <v>d.gestionar</v>
      </c>
      <c r="G1132" s="13" t="s">
        <v>1052</v>
      </c>
      <c r="H1132" s="34" t="s">
        <v>1581</v>
      </c>
      <c r="I1132" s="92" t="str">
        <f t="shared" si="648"/>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56"/>
        <v>Propriedade destinada a gestionar: é.data.marco.de.entrega.da.informação</v>
      </c>
      <c r="V1132" s="5" t="str">
        <f t="shared" si="657"/>
        <v>Dado para gestionar:  data.marco.de.entrega.da.informação  Deve ser formatado como (rdfs:Literal  or  xsd:string)</v>
      </c>
      <c r="W1132" s="69" t="s">
        <v>5565</v>
      </c>
      <c r="X1132" s="17" t="str">
        <f t="shared" si="643"/>
        <v>d.gesti.120</v>
      </c>
      <c r="Y1132" s="17" t="str">
        <f t="shared" si="644"/>
        <v>Ação de gestionar</v>
      </c>
      <c r="Z1132" s="62" t="s">
        <v>4190</v>
      </c>
      <c r="AA1132" s="18" t="str">
        <f t="shared" si="658"/>
        <v>null</v>
      </c>
      <c r="AB1132" s="19" t="s">
        <v>0</v>
      </c>
      <c r="AC1132" s="18" t="str">
        <f t="shared" si="659"/>
        <v>null</v>
      </c>
      <c r="AD1132" s="19" t="s">
        <v>0</v>
      </c>
      <c r="AE1132" s="18" t="str">
        <f t="shared" si="660"/>
        <v>null</v>
      </c>
      <c r="AF1132" s="75" t="s">
        <v>0</v>
      </c>
      <c r="AG1132" s="38" t="s">
        <v>8328</v>
      </c>
    </row>
    <row r="1133" spans="1:33" ht="6" customHeight="1" x14ac:dyDescent="0.4">
      <c r="A1133" s="4">
        <f>ROW()</f>
        <v>1133</v>
      </c>
      <c r="B1133" s="9" t="s">
        <v>27</v>
      </c>
      <c r="C1133" s="44" t="str">
        <f t="shared" si="661"/>
        <v>p.gestionar</v>
      </c>
      <c r="D1133" s="6" t="str">
        <f t="shared" si="655"/>
        <v>é.declaração.de.princípio</v>
      </c>
      <c r="E1133" s="8" t="s">
        <v>28</v>
      </c>
      <c r="F1133" s="34" t="str">
        <f t="shared" si="662"/>
        <v>d.gestionar</v>
      </c>
      <c r="G1133" s="13" t="s">
        <v>1012</v>
      </c>
      <c r="H1133" s="34" t="s">
        <v>1581</v>
      </c>
      <c r="I1133" s="92" t="str">
        <f t="shared" si="648"/>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56"/>
        <v>Propriedade destinada a gestionar: é.declaração.de.princípio</v>
      </c>
      <c r="V1133" s="5" t="str">
        <f t="shared" si="657"/>
        <v>Dado para gestionar:  declaração.de.princípio  Deve ser formatado como (rdfs:Literal  or  xsd:string)</v>
      </c>
      <c r="W1133" s="69" t="s">
        <v>5566</v>
      </c>
      <c r="X1133" s="17" t="str">
        <f t="shared" si="643"/>
        <v>d.gesti.121</v>
      </c>
      <c r="Y1133" s="17" t="str">
        <f t="shared" si="644"/>
        <v>Ação de gestionar</v>
      </c>
      <c r="Z1133" s="62" t="s">
        <v>2281</v>
      </c>
      <c r="AA1133" s="18" t="str">
        <f t="shared" si="658"/>
        <v>null</v>
      </c>
      <c r="AB1133" s="19" t="s">
        <v>0</v>
      </c>
      <c r="AC1133" s="18" t="str">
        <f t="shared" si="659"/>
        <v>null</v>
      </c>
      <c r="AD1133" s="19" t="s">
        <v>0</v>
      </c>
      <c r="AE1133" s="18" t="str">
        <f t="shared" si="660"/>
        <v>null</v>
      </c>
      <c r="AF1133" s="75" t="s">
        <v>0</v>
      </c>
      <c r="AG1133" s="38" t="s">
        <v>8329</v>
      </c>
    </row>
    <row r="1134" spans="1:33" ht="6" customHeight="1" x14ac:dyDescent="0.4">
      <c r="A1134" s="4">
        <f>ROW()</f>
        <v>1134</v>
      </c>
      <c r="B1134" s="9" t="s">
        <v>27</v>
      </c>
      <c r="C1134" s="44" t="str">
        <f t="shared" si="661"/>
        <v>p.gestionar</v>
      </c>
      <c r="D1134" s="6" t="str">
        <f t="shared" si="655"/>
        <v>é.empresa</v>
      </c>
      <c r="E1134" s="8" t="s">
        <v>28</v>
      </c>
      <c r="F1134" s="34" t="str">
        <f t="shared" si="662"/>
        <v>d.gestionar</v>
      </c>
      <c r="G1134" s="14" t="s">
        <v>88</v>
      </c>
      <c r="H1134" s="33" t="s">
        <v>1581</v>
      </c>
      <c r="I1134" s="92" t="str">
        <f t="shared" si="648"/>
        <v>null</v>
      </c>
      <c r="J1134" s="82" t="s">
        <v>0</v>
      </c>
      <c r="K1134" s="82" t="s">
        <v>0</v>
      </c>
      <c r="L1134" s="82" t="s">
        <v>0</v>
      </c>
      <c r="M1134" s="82" t="s">
        <v>0</v>
      </c>
      <c r="N1134" s="80" t="s">
        <v>0</v>
      </c>
      <c r="O1134" s="82" t="s">
        <v>0</v>
      </c>
      <c r="P1134" s="82" t="s">
        <v>0</v>
      </c>
      <c r="Q1134" s="82" t="s">
        <v>0</v>
      </c>
      <c r="R1134" s="84" t="s">
        <v>3185</v>
      </c>
      <c r="S1134" s="10" t="s">
        <v>1</v>
      </c>
      <c r="T1134" s="10" t="s">
        <v>10221</v>
      </c>
      <c r="U1134" s="5" t="str">
        <f t="shared" si="656"/>
        <v>Propriedade destinada a gestionar: é.empresa</v>
      </c>
      <c r="V1134" s="5" t="str">
        <f t="shared" si="657"/>
        <v>Dado para gestionar:  empresa  Deve ser formatado como (rdfs:Literal  or  xsd:string)</v>
      </c>
      <c r="W1134" s="69" t="s">
        <v>5567</v>
      </c>
      <c r="X1134" s="17" t="str">
        <f t="shared" si="643"/>
        <v>d.gesti.122</v>
      </c>
      <c r="Y1134" s="17" t="str">
        <f t="shared" si="644"/>
        <v>Ação de gestionar</v>
      </c>
      <c r="Z1134" s="62" t="s">
        <v>2272</v>
      </c>
      <c r="AA1134" s="18" t="str">
        <f t="shared" si="658"/>
        <v>null</v>
      </c>
      <c r="AB1134" s="19" t="s">
        <v>0</v>
      </c>
      <c r="AC1134" s="18" t="str">
        <f t="shared" si="659"/>
        <v>null</v>
      </c>
      <c r="AD1134" s="19" t="s">
        <v>0</v>
      </c>
      <c r="AE1134" s="18" t="str">
        <f t="shared" si="660"/>
        <v>null</v>
      </c>
      <c r="AF1134" s="75" t="s">
        <v>0</v>
      </c>
      <c r="AG1134" s="38" t="s">
        <v>8330</v>
      </c>
    </row>
    <row r="1135" spans="1:33" ht="6" customHeight="1" x14ac:dyDescent="0.4">
      <c r="A1135" s="4">
        <f>ROW()</f>
        <v>1135</v>
      </c>
      <c r="B1135" s="9" t="s">
        <v>27</v>
      </c>
      <c r="C1135" s="44" t="str">
        <f t="shared" si="661"/>
        <v>p.gestionar</v>
      </c>
      <c r="D1135" s="6" t="str">
        <f t="shared" si="655"/>
        <v>é.equipe.de.entrega</v>
      </c>
      <c r="E1135" s="8" t="s">
        <v>28</v>
      </c>
      <c r="F1135" s="34" t="str">
        <f t="shared" si="662"/>
        <v>d.gestionar</v>
      </c>
      <c r="G1135" s="13" t="s">
        <v>1003</v>
      </c>
      <c r="H1135" s="34" t="s">
        <v>1581</v>
      </c>
      <c r="I1135" s="92" t="str">
        <f t="shared" si="648"/>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56"/>
        <v>Propriedade destinada a gestionar: é.equipe.de.entrega</v>
      </c>
      <c r="V1135" s="5" t="str">
        <f t="shared" si="657"/>
        <v>Dado para gestionar:  equipe.de.entrega  Deve ser formatado como (rdfs:Literal  or  xsd:string)</v>
      </c>
      <c r="W1135" s="69" t="s">
        <v>5568</v>
      </c>
      <c r="X1135" s="17" t="str">
        <f t="shared" si="643"/>
        <v>d.gesti.123</v>
      </c>
      <c r="Y1135" s="17" t="str">
        <f t="shared" si="644"/>
        <v>Ação de gestionar</v>
      </c>
      <c r="Z1135" s="62" t="s">
        <v>4191</v>
      </c>
      <c r="AA1135" s="18" t="str">
        <f t="shared" si="658"/>
        <v>null</v>
      </c>
      <c r="AB1135" s="19" t="s">
        <v>0</v>
      </c>
      <c r="AC1135" s="18" t="str">
        <f t="shared" si="659"/>
        <v>null</v>
      </c>
      <c r="AD1135" s="19" t="s">
        <v>0</v>
      </c>
      <c r="AE1135" s="18" t="str">
        <f t="shared" si="660"/>
        <v>null</v>
      </c>
      <c r="AF1135" s="75" t="s">
        <v>0</v>
      </c>
      <c r="AG1135" s="38" t="s">
        <v>8331</v>
      </c>
    </row>
    <row r="1136" spans="1:33" ht="6" customHeight="1" x14ac:dyDescent="0.4">
      <c r="A1136" s="4">
        <f>ROW()</f>
        <v>1136</v>
      </c>
      <c r="B1136" s="9" t="s">
        <v>27</v>
      </c>
      <c r="C1136" s="44" t="str">
        <f t="shared" si="661"/>
        <v>p.gestionar</v>
      </c>
      <c r="D1136" s="6" t="str">
        <f t="shared" si="655"/>
        <v>é.equipe.de.projeto</v>
      </c>
      <c r="E1136" s="8" t="s">
        <v>28</v>
      </c>
      <c r="F1136" s="34" t="str">
        <f t="shared" si="662"/>
        <v>d.gestionar</v>
      </c>
      <c r="G1136" s="13" t="s">
        <v>1049</v>
      </c>
      <c r="H1136" s="34" t="s">
        <v>1581</v>
      </c>
      <c r="I1136" s="92" t="str">
        <f t="shared" si="648"/>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56"/>
        <v>Propriedade destinada a gestionar: é.equipe.de.projeto</v>
      </c>
      <c r="V1136" s="5" t="str">
        <f t="shared" si="657"/>
        <v>Dado para gestionar:  equipe.de.projeto  Deve ser formatado como (rdfs:Literal  or  xsd:string)</v>
      </c>
      <c r="W1136" s="69" t="s">
        <v>5569</v>
      </c>
      <c r="X1136" s="17" t="str">
        <f t="shared" si="643"/>
        <v>d.gesti.124</v>
      </c>
      <c r="Y1136" s="17" t="str">
        <f t="shared" si="644"/>
        <v>Ação de gestionar</v>
      </c>
      <c r="Z1136" s="62" t="s">
        <v>4192</v>
      </c>
      <c r="AA1136" s="18" t="str">
        <f t="shared" si="658"/>
        <v>null</v>
      </c>
      <c r="AB1136" s="19" t="s">
        <v>0</v>
      </c>
      <c r="AC1136" s="18" t="str">
        <f t="shared" si="659"/>
        <v>null</v>
      </c>
      <c r="AD1136" s="19" t="s">
        <v>0</v>
      </c>
      <c r="AE1136" s="18" t="str">
        <f t="shared" si="660"/>
        <v>null</v>
      </c>
      <c r="AF1136" s="75" t="s">
        <v>0</v>
      </c>
      <c r="AG1136" s="38" t="s">
        <v>8332</v>
      </c>
    </row>
    <row r="1137" spans="1:33" ht="6" customHeight="1" x14ac:dyDescent="0.4">
      <c r="A1137" s="4">
        <f>ROW()</f>
        <v>1137</v>
      </c>
      <c r="B1137" s="9" t="s">
        <v>27</v>
      </c>
      <c r="C1137" s="44" t="str">
        <f t="shared" si="661"/>
        <v>p.gestionar</v>
      </c>
      <c r="D1137" s="6" t="str">
        <f t="shared" si="655"/>
        <v>é.equipe.de.tarefa</v>
      </c>
      <c r="E1137" s="8" t="s">
        <v>28</v>
      </c>
      <c r="F1137" s="34" t="str">
        <f t="shared" si="662"/>
        <v>d.gestionar</v>
      </c>
      <c r="G1137" s="13" t="s">
        <v>989</v>
      </c>
      <c r="H1137" s="34" t="s">
        <v>1581</v>
      </c>
      <c r="I1137" s="92" t="str">
        <f t="shared" si="648"/>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56"/>
        <v>Propriedade destinada a gestionar: é.equipe.de.tarefa</v>
      </c>
      <c r="V1137" s="5" t="str">
        <f t="shared" si="657"/>
        <v>Dado para gestionar:  equipe.de.tarefa  Deve ser formatado como (rdfs:Literal  or  xsd:string)</v>
      </c>
      <c r="W1137" s="69" t="s">
        <v>5570</v>
      </c>
      <c r="X1137" s="17" t="str">
        <f t="shared" si="643"/>
        <v>d.gesti.125</v>
      </c>
      <c r="Y1137" s="17" t="str">
        <f t="shared" si="644"/>
        <v>Ação de gestionar</v>
      </c>
      <c r="Z1137" s="62" t="s">
        <v>4193</v>
      </c>
      <c r="AA1137" s="18" t="str">
        <f t="shared" si="658"/>
        <v>null</v>
      </c>
      <c r="AB1137" s="19" t="s">
        <v>0</v>
      </c>
      <c r="AC1137" s="18" t="str">
        <f t="shared" si="659"/>
        <v>null</v>
      </c>
      <c r="AD1137" s="19" t="s">
        <v>0</v>
      </c>
      <c r="AE1137" s="18" t="str">
        <f t="shared" si="660"/>
        <v>null</v>
      </c>
      <c r="AF1137" s="75" t="s">
        <v>0</v>
      </c>
      <c r="AG1137" s="38" t="s">
        <v>8333</v>
      </c>
    </row>
    <row r="1138" spans="1:33" ht="6" customHeight="1" x14ac:dyDescent="0.4">
      <c r="A1138" s="4">
        <f>ROW()</f>
        <v>1138</v>
      </c>
      <c r="B1138" s="9" t="s">
        <v>27</v>
      </c>
      <c r="C1138" s="44" t="str">
        <f t="shared" si="661"/>
        <v>p.gestionar</v>
      </c>
      <c r="D1138" s="6" t="str">
        <f t="shared" si="655"/>
        <v>é.espaço</v>
      </c>
      <c r="E1138" s="8" t="s">
        <v>28</v>
      </c>
      <c r="F1138" s="34" t="str">
        <f t="shared" si="662"/>
        <v>d.gestionar</v>
      </c>
      <c r="G1138" s="13" t="s">
        <v>1005</v>
      </c>
      <c r="H1138" s="34" t="s">
        <v>1581</v>
      </c>
      <c r="I1138" s="92" t="str">
        <f t="shared" si="648"/>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56"/>
        <v>Propriedade destinada a gestionar: é.espaço</v>
      </c>
      <c r="V1138" s="5" t="str">
        <f t="shared" si="657"/>
        <v>Dado para gestionar:  espaço  Deve ser formatado como (rdfs:Literal  or  xsd:string)</v>
      </c>
      <c r="W1138" s="69" t="s">
        <v>5571</v>
      </c>
      <c r="X1138" s="17" t="str">
        <f t="shared" si="643"/>
        <v>d.gesti.126</v>
      </c>
      <c r="Y1138" s="17" t="str">
        <f t="shared" si="644"/>
        <v>Ação de gestionar</v>
      </c>
      <c r="Z1138" s="62" t="s">
        <v>4194</v>
      </c>
      <c r="AA1138" s="18" t="str">
        <f t="shared" si="658"/>
        <v>null</v>
      </c>
      <c r="AB1138" s="19" t="s">
        <v>0</v>
      </c>
      <c r="AC1138" s="18" t="str">
        <f t="shared" si="659"/>
        <v>null</v>
      </c>
      <c r="AD1138" s="19" t="s">
        <v>0</v>
      </c>
      <c r="AE1138" s="18" t="str">
        <f t="shared" si="660"/>
        <v>null</v>
      </c>
      <c r="AF1138" s="75" t="s">
        <v>0</v>
      </c>
      <c r="AG1138" s="38" t="s">
        <v>8334</v>
      </c>
    </row>
    <row r="1139" spans="1:33" ht="6" customHeight="1" x14ac:dyDescent="0.4">
      <c r="A1139" s="4">
        <f>ROW()</f>
        <v>1139</v>
      </c>
      <c r="B1139" s="9" t="s">
        <v>27</v>
      </c>
      <c r="C1139" s="44" t="str">
        <f t="shared" si="661"/>
        <v>p.gestionar</v>
      </c>
      <c r="D1139" s="6" t="str">
        <f t="shared" si="655"/>
        <v>é.estágio</v>
      </c>
      <c r="E1139" s="8" t="s">
        <v>28</v>
      </c>
      <c r="F1139" s="34" t="str">
        <f t="shared" si="662"/>
        <v>d.gestionar</v>
      </c>
      <c r="G1139" s="13" t="s">
        <v>982</v>
      </c>
      <c r="H1139" s="34" t="s">
        <v>1581</v>
      </c>
      <c r="I1139" s="92" t="str">
        <f t="shared" si="648"/>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56"/>
        <v>Propriedade destinada a gestionar: é.estágio</v>
      </c>
      <c r="V1139" s="5" t="str">
        <f t="shared" si="657"/>
        <v>Dado para gestionar:  estágio  Deve ser formatado como (rdfs:Literal  or  xsd:string)</v>
      </c>
      <c r="W1139" s="69" t="s">
        <v>5572</v>
      </c>
      <c r="X1139" s="17" t="str">
        <f t="shared" si="643"/>
        <v>d.gesti.127</v>
      </c>
      <c r="Y1139" s="17" t="str">
        <f t="shared" si="644"/>
        <v>Ação de gestionar</v>
      </c>
      <c r="Z1139" s="62" t="s">
        <v>4195</v>
      </c>
      <c r="AA1139" s="18" t="str">
        <f t="shared" si="658"/>
        <v>null</v>
      </c>
      <c r="AB1139" s="19" t="s">
        <v>0</v>
      </c>
      <c r="AC1139" s="18" t="str">
        <f t="shared" si="659"/>
        <v>null</v>
      </c>
      <c r="AD1139" s="19" t="s">
        <v>0</v>
      </c>
      <c r="AE1139" s="18" t="str">
        <f t="shared" si="660"/>
        <v>null</v>
      </c>
      <c r="AF1139" s="75" t="s">
        <v>0</v>
      </c>
      <c r="AG1139" s="38" t="s">
        <v>8335</v>
      </c>
    </row>
    <row r="1140" spans="1:33" ht="6" customHeight="1" x14ac:dyDescent="0.4">
      <c r="A1140" s="4">
        <f>ROW()</f>
        <v>1140</v>
      </c>
      <c r="B1140" s="9" t="s">
        <v>27</v>
      </c>
      <c r="C1140" s="44" t="str">
        <f t="shared" si="661"/>
        <v>p.gestionar</v>
      </c>
      <c r="D1140" s="6" t="str">
        <f t="shared" si="655"/>
        <v>é.etapa</v>
      </c>
      <c r="E1140" s="8" t="s">
        <v>28</v>
      </c>
      <c r="F1140" s="34" t="str">
        <f t="shared" si="662"/>
        <v>d.gestionar</v>
      </c>
      <c r="G1140" s="13" t="s">
        <v>983</v>
      </c>
      <c r="H1140" s="34" t="s">
        <v>1581</v>
      </c>
      <c r="I1140" s="92" t="str">
        <f t="shared" si="648"/>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56"/>
        <v>Propriedade destinada a gestionar: é.etapa</v>
      </c>
      <c r="V1140" s="5" t="str">
        <f t="shared" si="657"/>
        <v>Dado para gestionar:  etapa  Deve ser formatado como (rdfs:Literal  or  xsd:string)</v>
      </c>
      <c r="W1140" s="69" t="s">
        <v>5573</v>
      </c>
      <c r="X1140" s="17" t="str">
        <f t="shared" si="643"/>
        <v>d.gesti.128</v>
      </c>
      <c r="Y1140" s="17" t="str">
        <f t="shared" si="644"/>
        <v>Ação de gestionar</v>
      </c>
      <c r="Z1140" s="62" t="s">
        <v>4196</v>
      </c>
      <c r="AA1140" s="18" t="str">
        <f t="shared" si="658"/>
        <v>null</v>
      </c>
      <c r="AB1140" s="19" t="s">
        <v>0</v>
      </c>
      <c r="AC1140" s="18" t="str">
        <f t="shared" si="659"/>
        <v>null</v>
      </c>
      <c r="AD1140" s="19" t="s">
        <v>0</v>
      </c>
      <c r="AE1140" s="18" t="str">
        <f t="shared" si="660"/>
        <v>null</v>
      </c>
      <c r="AF1140" s="75" t="s">
        <v>0</v>
      </c>
      <c r="AG1140" s="38" t="s">
        <v>8336</v>
      </c>
    </row>
    <row r="1141" spans="1:33" ht="6" customHeight="1" x14ac:dyDescent="0.4">
      <c r="A1141" s="4">
        <f>ROW()</f>
        <v>1141</v>
      </c>
      <c r="B1141" s="9" t="s">
        <v>27</v>
      </c>
      <c r="C1141" s="44" t="str">
        <f t="shared" si="661"/>
        <v>p.gestionar</v>
      </c>
      <c r="D1141" s="6" t="str">
        <f t="shared" si="655"/>
        <v>é.evento.gatilho</v>
      </c>
      <c r="E1141" s="8" t="s">
        <v>28</v>
      </c>
      <c r="F1141" s="34" t="str">
        <f t="shared" si="662"/>
        <v>d.gestionar</v>
      </c>
      <c r="G1141" s="13" t="s">
        <v>992</v>
      </c>
      <c r="H1141" s="34" t="s">
        <v>1581</v>
      </c>
      <c r="I1141" s="92" t="str">
        <f t="shared" si="648"/>
        <v>null</v>
      </c>
      <c r="J1141" s="80" t="s">
        <v>0</v>
      </c>
      <c r="K1141" s="80" t="s">
        <v>0</v>
      </c>
      <c r="L1141" s="80" t="s">
        <v>0</v>
      </c>
      <c r="M1141" s="80" t="s">
        <v>0</v>
      </c>
      <c r="N1141" s="80" t="s">
        <v>0</v>
      </c>
      <c r="O1141" s="80" t="s">
        <v>0</v>
      </c>
      <c r="P1141" s="80" t="s">
        <v>0</v>
      </c>
      <c r="Q1141" s="80" t="s">
        <v>0</v>
      </c>
      <c r="R1141" s="84" t="s">
        <v>1065</v>
      </c>
      <c r="S1141" s="10" t="s">
        <v>1</v>
      </c>
      <c r="T1141" s="10" t="s">
        <v>10221</v>
      </c>
      <c r="U1141" s="5" t="str">
        <f t="shared" si="656"/>
        <v>Propriedade destinada a gestionar: é.evento.gatilho</v>
      </c>
      <c r="V1141" s="5" t="str">
        <f t="shared" si="657"/>
        <v>Dado para gestionar:  evento.gatilho  Deve ser formatado como (rdfs:Literal  or  xsd:string)</v>
      </c>
      <c r="W1141" s="69" t="s">
        <v>5574</v>
      </c>
      <c r="X1141" s="17" t="str">
        <f t="shared" si="643"/>
        <v>d.gesti.129</v>
      </c>
      <c r="Y1141" s="17" t="str">
        <f t="shared" si="644"/>
        <v>Ação de gestionar</v>
      </c>
      <c r="Z1141" s="62" t="s">
        <v>4197</v>
      </c>
      <c r="AA1141" s="18" t="str">
        <f t="shared" si="658"/>
        <v>null</v>
      </c>
      <c r="AB1141" s="19" t="s">
        <v>0</v>
      </c>
      <c r="AC1141" s="18" t="str">
        <f t="shared" si="659"/>
        <v>null</v>
      </c>
      <c r="AD1141" s="19" t="s">
        <v>0</v>
      </c>
      <c r="AE1141" s="18" t="str">
        <f t="shared" si="660"/>
        <v>null</v>
      </c>
      <c r="AF1141" s="75" t="s">
        <v>0</v>
      </c>
      <c r="AG1141" s="38" t="s">
        <v>8337</v>
      </c>
    </row>
    <row r="1142" spans="1:33" ht="6" customHeight="1" x14ac:dyDescent="0.4">
      <c r="A1142" s="4">
        <f>ROW()</f>
        <v>1142</v>
      </c>
      <c r="B1142" s="9" t="s">
        <v>27</v>
      </c>
      <c r="C1142" s="44" t="str">
        <f t="shared" si="661"/>
        <v>p.gestionar</v>
      </c>
      <c r="D1142" s="6" t="str">
        <f t="shared" si="655"/>
        <v>é.fase.de.entrega</v>
      </c>
      <c r="E1142" s="8" t="s">
        <v>28</v>
      </c>
      <c r="F1142" s="34" t="str">
        <f t="shared" si="662"/>
        <v>d.gestionar</v>
      </c>
      <c r="G1142" s="13" t="s">
        <v>988</v>
      </c>
      <c r="H1142" s="34" t="s">
        <v>1581</v>
      </c>
      <c r="I1142" s="92" t="str">
        <f t="shared" si="648"/>
        <v>null</v>
      </c>
      <c r="J1142" s="80" t="s">
        <v>0</v>
      </c>
      <c r="K1142" s="80" t="s">
        <v>0</v>
      </c>
      <c r="L1142" s="80" t="s">
        <v>0</v>
      </c>
      <c r="M1142" s="80" t="s">
        <v>0</v>
      </c>
      <c r="N1142" s="80" t="s">
        <v>0</v>
      </c>
      <c r="O1142" s="80" t="s">
        <v>0</v>
      </c>
      <c r="P1142" s="80" t="s">
        <v>0</v>
      </c>
      <c r="Q1142" s="80" t="s">
        <v>0</v>
      </c>
      <c r="R1142" s="84" t="s">
        <v>0</v>
      </c>
      <c r="S1142" s="10" t="s">
        <v>1</v>
      </c>
      <c r="T1142" s="10" t="s">
        <v>10221</v>
      </c>
      <c r="U1142" s="5" t="str">
        <f t="shared" si="656"/>
        <v>Propriedade destinada a gestionar: é.fase.de.entrega</v>
      </c>
      <c r="V1142" s="5" t="str">
        <f t="shared" si="657"/>
        <v>Dado para gestionar:  fase.de.entrega  Deve ser formatado como (rdfs:Literal  or  xsd:string)</v>
      </c>
      <c r="W1142" s="69" t="s">
        <v>5575</v>
      </c>
      <c r="X1142" s="17" t="str">
        <f t="shared" si="643"/>
        <v>d.gesti.130</v>
      </c>
      <c r="Y1142" s="17" t="str">
        <f t="shared" si="644"/>
        <v>Ação de gestionar</v>
      </c>
      <c r="Z1142" s="62" t="s">
        <v>4198</v>
      </c>
      <c r="AA1142" s="18" t="str">
        <f t="shared" si="658"/>
        <v>null</v>
      </c>
      <c r="AB1142" s="19" t="s">
        <v>0</v>
      </c>
      <c r="AC1142" s="18" t="str">
        <f t="shared" si="659"/>
        <v>null</v>
      </c>
      <c r="AD1142" s="19" t="s">
        <v>0</v>
      </c>
      <c r="AE1142" s="18" t="str">
        <f t="shared" si="660"/>
        <v>null</v>
      </c>
      <c r="AF1142" s="75" t="s">
        <v>0</v>
      </c>
      <c r="AG1142" s="38" t="s">
        <v>8338</v>
      </c>
    </row>
    <row r="1143" spans="1:33" ht="6" customHeight="1" x14ac:dyDescent="0.4">
      <c r="A1143" s="4">
        <f>ROW()</f>
        <v>1143</v>
      </c>
      <c r="B1143" s="9" t="s">
        <v>27</v>
      </c>
      <c r="C1143" s="44" t="str">
        <f t="shared" si="661"/>
        <v>p.gestionar</v>
      </c>
      <c r="D1143" s="6" t="str">
        <f t="shared" si="655"/>
        <v>é.fase.de.projeto</v>
      </c>
      <c r="E1143" s="8" t="s">
        <v>28</v>
      </c>
      <c r="F1143" s="34" t="str">
        <f t="shared" si="662"/>
        <v>d.gestionar</v>
      </c>
      <c r="G1143" s="13" t="s">
        <v>1883</v>
      </c>
      <c r="H1143" s="34" t="s">
        <v>1581</v>
      </c>
      <c r="I1143" s="92" t="str">
        <f t="shared" si="648"/>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56"/>
        <v>Propriedade destinada a gestionar: é.fase.de.projeto</v>
      </c>
      <c r="V1143" s="5" t="str">
        <f t="shared" si="657"/>
        <v>Dado para gestionar:  fase.de.projeto  Deve ser formatado como (rdfs:Literal  or  xsd:string)</v>
      </c>
      <c r="W1143" s="69" t="s">
        <v>5576</v>
      </c>
      <c r="X1143" s="17" t="str">
        <f t="shared" si="643"/>
        <v>d.gesti.131</v>
      </c>
      <c r="Y1143" s="17" t="str">
        <f t="shared" si="644"/>
        <v>Ação de gestionar</v>
      </c>
      <c r="Z1143" s="62" t="s">
        <v>4199</v>
      </c>
      <c r="AA1143" s="18" t="str">
        <f t="shared" si="658"/>
        <v>null</v>
      </c>
      <c r="AB1143" s="19" t="s">
        <v>0</v>
      </c>
      <c r="AC1143" s="18" t="str">
        <f t="shared" si="659"/>
        <v>null</v>
      </c>
      <c r="AD1143" s="19" t="s">
        <v>0</v>
      </c>
      <c r="AE1143" s="18" t="str">
        <f t="shared" si="660"/>
        <v>propriedade</v>
      </c>
      <c r="AF1143" s="75" t="s">
        <v>1884</v>
      </c>
      <c r="AG1143" s="38" t="s">
        <v>8339</v>
      </c>
    </row>
    <row r="1144" spans="1:33" ht="6" customHeight="1" x14ac:dyDescent="0.4">
      <c r="A1144" s="4">
        <f>ROW()</f>
        <v>1144</v>
      </c>
      <c r="B1144" s="9" t="s">
        <v>27</v>
      </c>
      <c r="C1144" s="44" t="str">
        <f t="shared" si="661"/>
        <v>p.gestionar</v>
      </c>
      <c r="D1144" s="6" t="str">
        <f t="shared" si="655"/>
        <v>é.federação</v>
      </c>
      <c r="E1144" s="8" t="s">
        <v>28</v>
      </c>
      <c r="F1144" s="34" t="str">
        <f t="shared" si="662"/>
        <v>d.gestionar</v>
      </c>
      <c r="G1144" s="13" t="s">
        <v>998</v>
      </c>
      <c r="H1144" s="34" t="s">
        <v>1581</v>
      </c>
      <c r="I1144" s="92" t="str">
        <f t="shared" si="648"/>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56"/>
        <v>Propriedade destinada a gestionar: é.federação</v>
      </c>
      <c r="V1144" s="5" t="str">
        <f t="shared" si="657"/>
        <v>Dado para gestionar:  federação  Deve ser formatado como (rdfs:Literal  or  xsd:string)</v>
      </c>
      <c r="W1144" s="69" t="s">
        <v>5577</v>
      </c>
      <c r="X1144" s="17" t="str">
        <f t="shared" si="643"/>
        <v>d.gesti.132</v>
      </c>
      <c r="Y1144" s="17" t="str">
        <f t="shared" si="644"/>
        <v>Ação de gestionar</v>
      </c>
      <c r="Z1144" s="62" t="s">
        <v>4200</v>
      </c>
      <c r="AA1144" s="18" t="str">
        <f t="shared" si="658"/>
        <v>null</v>
      </c>
      <c r="AB1144" s="19" t="s">
        <v>0</v>
      </c>
      <c r="AC1144" s="18" t="str">
        <f t="shared" si="659"/>
        <v>null</v>
      </c>
      <c r="AD1144" s="19" t="s">
        <v>0</v>
      </c>
      <c r="AE1144" s="18" t="str">
        <f t="shared" si="660"/>
        <v>null</v>
      </c>
      <c r="AF1144" s="75" t="s">
        <v>0</v>
      </c>
      <c r="AG1144" s="38" t="s">
        <v>8340</v>
      </c>
    </row>
    <row r="1145" spans="1:33" ht="6" customHeight="1" x14ac:dyDescent="0.4">
      <c r="A1145" s="4">
        <f>ROW()</f>
        <v>1145</v>
      </c>
      <c r="B1145" s="9" t="s">
        <v>27</v>
      </c>
      <c r="C1145" s="44" t="str">
        <f t="shared" si="661"/>
        <v>p.gestionar</v>
      </c>
      <c r="D1145" s="6" t="str">
        <f t="shared" si="655"/>
        <v>é.licitação</v>
      </c>
      <c r="E1145" s="8" t="s">
        <v>28</v>
      </c>
      <c r="F1145" s="34" t="str">
        <f t="shared" si="662"/>
        <v>d.gestionar</v>
      </c>
      <c r="G1145" s="13" t="s">
        <v>1011</v>
      </c>
      <c r="H1145" s="34" t="s">
        <v>1581</v>
      </c>
      <c r="I1145" s="92" t="str">
        <f t="shared" si="648"/>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56"/>
        <v>Propriedade destinada a gestionar: é.licitação</v>
      </c>
      <c r="V1145" s="5" t="str">
        <f t="shared" si="657"/>
        <v>Dado para gestionar:  licitação  Deve ser formatado como (rdfs:Literal  or  xsd:string)</v>
      </c>
      <c r="W1145" s="69" t="s">
        <v>5578</v>
      </c>
      <c r="X1145" s="17" t="str">
        <f t="shared" si="643"/>
        <v>d.gesti.133</v>
      </c>
      <c r="Y1145" s="17" t="str">
        <f t="shared" si="644"/>
        <v>Ação de gestionar</v>
      </c>
      <c r="Z1145" s="62" t="s">
        <v>2273</v>
      </c>
      <c r="AA1145" s="18" t="str">
        <f t="shared" si="658"/>
        <v>null</v>
      </c>
      <c r="AB1145" s="19" t="s">
        <v>0</v>
      </c>
      <c r="AC1145" s="18" t="str">
        <f t="shared" si="659"/>
        <v>null</v>
      </c>
      <c r="AD1145" s="19" t="s">
        <v>0</v>
      </c>
      <c r="AE1145" s="18" t="str">
        <f t="shared" si="660"/>
        <v>null</v>
      </c>
      <c r="AF1145" s="75" t="s">
        <v>0</v>
      </c>
      <c r="AG1145" s="38" t="s">
        <v>8341</v>
      </c>
    </row>
    <row r="1146" spans="1:33" ht="6" customHeight="1" x14ac:dyDescent="0.4">
      <c r="A1146" s="4">
        <f>ROW()</f>
        <v>1146</v>
      </c>
      <c r="B1146" s="9" t="s">
        <v>27</v>
      </c>
      <c r="C1146" s="44" t="str">
        <f t="shared" si="661"/>
        <v>p.gestionar</v>
      </c>
      <c r="D1146" s="6" t="str">
        <f t="shared" si="655"/>
        <v>é.matriz.de.responsabilidade</v>
      </c>
      <c r="E1146" s="8" t="s">
        <v>28</v>
      </c>
      <c r="F1146" s="34" t="str">
        <f t="shared" si="662"/>
        <v>d.gestionar</v>
      </c>
      <c r="G1146" s="13" t="s">
        <v>1004</v>
      </c>
      <c r="H1146" s="34" t="s">
        <v>1581</v>
      </c>
      <c r="I1146" s="92" t="str">
        <f t="shared" si="648"/>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56"/>
        <v>Propriedade destinada a gestionar: é.matriz.de.responsabilidade</v>
      </c>
      <c r="V1146" s="5" t="str">
        <f t="shared" si="657"/>
        <v>Dado para gestionar:  matriz.de.responsabilidade  Deve ser formatado como (rdfs:Literal  or  xsd:string)</v>
      </c>
      <c r="W1146" s="69" t="s">
        <v>5579</v>
      </c>
      <c r="X1146" s="17" t="str">
        <f t="shared" si="643"/>
        <v>d.gesti.134</v>
      </c>
      <c r="Y1146" s="17" t="str">
        <f t="shared" si="644"/>
        <v>Ação de gestionar</v>
      </c>
      <c r="Z1146" s="62" t="s">
        <v>4202</v>
      </c>
      <c r="AA1146" s="18" t="str">
        <f t="shared" si="658"/>
        <v>null</v>
      </c>
      <c r="AB1146" s="19" t="s">
        <v>0</v>
      </c>
      <c r="AC1146" s="18" t="str">
        <f t="shared" si="659"/>
        <v>null</v>
      </c>
      <c r="AD1146" s="19" t="s">
        <v>0</v>
      </c>
      <c r="AE1146" s="18" t="str">
        <f t="shared" si="660"/>
        <v>null</v>
      </c>
      <c r="AF1146" s="75" t="s">
        <v>0</v>
      </c>
      <c r="AG1146" s="38" t="s">
        <v>8342</v>
      </c>
    </row>
    <row r="1147" spans="1:33" ht="6" customHeight="1" x14ac:dyDescent="0.4">
      <c r="A1147" s="4">
        <f>ROW()</f>
        <v>1147</v>
      </c>
      <c r="B1147" s="9" t="s">
        <v>27</v>
      </c>
      <c r="C1147" s="44" t="str">
        <f t="shared" si="661"/>
        <v>p.gestionar</v>
      </c>
      <c r="D1147" s="6" t="str">
        <f t="shared" si="655"/>
        <v>é.mei</v>
      </c>
      <c r="E1147" s="8" t="s">
        <v>28</v>
      </c>
      <c r="F1147" s="34" t="str">
        <f t="shared" si="662"/>
        <v>d.gestionar</v>
      </c>
      <c r="G1147" s="14" t="s">
        <v>89</v>
      </c>
      <c r="H1147" s="33" t="s">
        <v>1581</v>
      </c>
      <c r="I1147" s="92" t="str">
        <f t="shared" si="648"/>
        <v>null</v>
      </c>
      <c r="J1147" s="82" t="s">
        <v>0</v>
      </c>
      <c r="K1147" s="82" t="s">
        <v>0</v>
      </c>
      <c r="L1147" s="82" t="s">
        <v>0</v>
      </c>
      <c r="M1147" s="82" t="s">
        <v>0</v>
      </c>
      <c r="N1147" s="80" t="s">
        <v>0</v>
      </c>
      <c r="O1147" s="82" t="s">
        <v>0</v>
      </c>
      <c r="P1147" s="82" t="s">
        <v>0</v>
      </c>
      <c r="Q1147" s="82" t="s">
        <v>0</v>
      </c>
      <c r="R1147" s="84" t="s">
        <v>0</v>
      </c>
      <c r="S1147" s="10" t="s">
        <v>1</v>
      </c>
      <c r="T1147" s="10" t="s">
        <v>10221</v>
      </c>
      <c r="U1147" s="5" t="str">
        <f t="shared" si="656"/>
        <v>Propriedade destinada a gestionar: é.mei</v>
      </c>
      <c r="V1147" s="5" t="str">
        <f t="shared" si="657"/>
        <v>Dado para gestionar:  mei  Deve ser formatado como (rdfs:Literal  or  xsd:string)</v>
      </c>
      <c r="W1147" s="69" t="s">
        <v>5580</v>
      </c>
      <c r="X1147" s="17" t="str">
        <f t="shared" si="643"/>
        <v>d.gesti.135</v>
      </c>
      <c r="Y1147" s="17" t="str">
        <f t="shared" si="644"/>
        <v>Ação de gestionar</v>
      </c>
      <c r="Z1147" s="62" t="s">
        <v>2274</v>
      </c>
      <c r="AA1147" s="18" t="str">
        <f t="shared" si="658"/>
        <v>null</v>
      </c>
      <c r="AB1147" s="19" t="s">
        <v>0</v>
      </c>
      <c r="AC1147" s="18" t="str">
        <f t="shared" si="659"/>
        <v>null</v>
      </c>
      <c r="AD1147" s="19" t="s">
        <v>0</v>
      </c>
      <c r="AE1147" s="18" t="str">
        <f t="shared" si="660"/>
        <v>null</v>
      </c>
      <c r="AF1147" s="75" t="s">
        <v>0</v>
      </c>
      <c r="AG1147" s="38" t="s">
        <v>8343</v>
      </c>
    </row>
    <row r="1148" spans="1:33" ht="6" customHeight="1" x14ac:dyDescent="0.4">
      <c r="A1148" s="4">
        <f>ROW()</f>
        <v>1148</v>
      </c>
      <c r="B1148" s="9" t="s">
        <v>27</v>
      </c>
      <c r="C1148" s="44" t="str">
        <f t="shared" ref="C1148" si="663">SUBSTITUTE(F1148,"d.","p.")</f>
        <v>p.gestionar</v>
      </c>
      <c r="D1148" s="6" t="str">
        <f t="shared" ref="D1148" si="664">_xlfn.CONCAT("é.",G1148)</f>
        <v>é.meta</v>
      </c>
      <c r="E1148" s="8" t="s">
        <v>28</v>
      </c>
      <c r="F1148" s="34" t="str">
        <f>F1146</f>
        <v>d.gestionar</v>
      </c>
      <c r="G1148" s="14" t="s">
        <v>96</v>
      </c>
      <c r="H1148" s="33" t="s">
        <v>1581</v>
      </c>
      <c r="I1148" s="92" t="str">
        <f t="shared" ref="I1148" si="665">IF(OR(J1148="Functional",K1148="InverseFunctional"),"Functional","null")</f>
        <v>null</v>
      </c>
      <c r="J1148" s="82" t="s">
        <v>0</v>
      </c>
      <c r="K1148" s="82" t="s">
        <v>0</v>
      </c>
      <c r="L1148" s="82" t="s">
        <v>0</v>
      </c>
      <c r="M1148" s="82" t="s">
        <v>0</v>
      </c>
      <c r="N1148" s="80" t="s">
        <v>0</v>
      </c>
      <c r="O1148" s="82" t="s">
        <v>0</v>
      </c>
      <c r="P1148" s="82" t="s">
        <v>0</v>
      </c>
      <c r="Q1148" s="82" t="s">
        <v>0</v>
      </c>
      <c r="R1148" s="84" t="s">
        <v>0</v>
      </c>
      <c r="S1148" s="10" t="s">
        <v>1</v>
      </c>
      <c r="T1148" s="10" t="s">
        <v>10221</v>
      </c>
      <c r="U1148" s="5" t="str">
        <f t="shared" ref="U1148" si="666">_xlfn.CONCAT("Propriedade destinada a ",MID(C1148,FIND("p.",C1148,1)+2,100),": ",D1148)</f>
        <v>Propriedade destinada a gestionar: é.meta</v>
      </c>
      <c r="V1148" s="5" t="str">
        <f t="shared" ref="V1148" si="667">_xlfn.CONCAT("Dado para ",MID(F1148,FIND("d.",F1148,1)+2,100),":  ",G1148, "  Deve ser formatado como (",H1148, ")")</f>
        <v>Dado para gestionar:  meta  Deve ser formatado como (rdfs:Literal  or  xsd:string)</v>
      </c>
      <c r="W1148" s="69" t="s">
        <v>11197</v>
      </c>
      <c r="X1148" s="17" t="str">
        <f t="shared" si="643"/>
        <v>d.gesti.136</v>
      </c>
      <c r="Y1148" s="17" t="str">
        <f t="shared" si="644"/>
        <v>Ação de gestionar</v>
      </c>
      <c r="Z1148" s="62" t="s">
        <v>11199</v>
      </c>
      <c r="AA1148" s="18" t="str">
        <f t="shared" ref="AA1148" si="668">IF(AB1148="null", "null", "categoria.revit")</f>
        <v>null</v>
      </c>
      <c r="AB1148" s="19" t="s">
        <v>0</v>
      </c>
      <c r="AC1148" s="18" t="str">
        <f t="shared" ref="AC1148" si="669">IF(AD1148="null", "null", "classe.ifc")</f>
        <v>null</v>
      </c>
      <c r="AD1148" s="19" t="s">
        <v>0</v>
      </c>
      <c r="AE1148" s="18" t="str">
        <f t="shared" ref="AE1148" si="670">IF(AF1148="null", "null", "propriedade")</f>
        <v>null</v>
      </c>
      <c r="AF1148" s="75" t="s">
        <v>0</v>
      </c>
      <c r="AG1148" s="38" t="s">
        <v>11201</v>
      </c>
    </row>
    <row r="1149" spans="1:33" ht="6" customHeight="1" x14ac:dyDescent="0.4">
      <c r="A1149" s="4">
        <f>ROW()</f>
        <v>1149</v>
      </c>
      <c r="B1149" s="9" t="s">
        <v>27</v>
      </c>
      <c r="C1149" s="44" t="str">
        <f t="shared" si="661"/>
        <v>p.gestionar</v>
      </c>
      <c r="D1149" s="6" t="str">
        <f t="shared" si="655"/>
        <v>é.meta.estratégica</v>
      </c>
      <c r="E1149" s="8" t="s">
        <v>28</v>
      </c>
      <c r="F1149" s="34" t="str">
        <f>F1147</f>
        <v>d.gestionar</v>
      </c>
      <c r="G1149" s="14" t="s">
        <v>11196</v>
      </c>
      <c r="H1149" s="33" t="s">
        <v>1581</v>
      </c>
      <c r="I1149" s="92" t="str">
        <f t="shared" si="648"/>
        <v>null</v>
      </c>
      <c r="J1149" s="82" t="s">
        <v>0</v>
      </c>
      <c r="K1149" s="82" t="s">
        <v>0</v>
      </c>
      <c r="L1149" s="82" t="s">
        <v>0</v>
      </c>
      <c r="M1149" s="82" t="s">
        <v>0</v>
      </c>
      <c r="N1149" s="80" t="s">
        <v>0</v>
      </c>
      <c r="O1149" s="82" t="s">
        <v>0</v>
      </c>
      <c r="P1149" s="82" t="s">
        <v>0</v>
      </c>
      <c r="Q1149" s="82" t="s">
        <v>0</v>
      </c>
      <c r="R1149" s="84" t="s">
        <v>1761</v>
      </c>
      <c r="S1149" s="10" t="s">
        <v>1</v>
      </c>
      <c r="T1149" s="10" t="s">
        <v>10221</v>
      </c>
      <c r="U1149" s="5" t="str">
        <f t="shared" si="656"/>
        <v>Propriedade destinada a gestionar: é.meta.estratégica</v>
      </c>
      <c r="V1149" s="5" t="str">
        <f t="shared" si="657"/>
        <v>Dado para gestionar:  meta.estratégica  Deve ser formatado como (rdfs:Literal  or  xsd:string)</v>
      </c>
      <c r="W1149" s="69" t="s">
        <v>11198</v>
      </c>
      <c r="X1149" s="17" t="str">
        <f t="shared" si="643"/>
        <v>d.gesti.137</v>
      </c>
      <c r="Y1149" s="17" t="str">
        <f t="shared" si="644"/>
        <v>Ação de gestionar</v>
      </c>
      <c r="Z1149" s="62" t="s">
        <v>11200</v>
      </c>
      <c r="AA1149" s="18" t="str">
        <f t="shared" si="658"/>
        <v>null</v>
      </c>
      <c r="AB1149" s="19" t="s">
        <v>0</v>
      </c>
      <c r="AC1149" s="18" t="str">
        <f t="shared" si="659"/>
        <v>null</v>
      </c>
      <c r="AD1149" s="19" t="s">
        <v>0</v>
      </c>
      <c r="AE1149" s="18" t="str">
        <f t="shared" si="660"/>
        <v>null</v>
      </c>
      <c r="AF1149" s="75" t="s">
        <v>0</v>
      </c>
      <c r="AG1149" s="38" t="s">
        <v>11202</v>
      </c>
    </row>
    <row r="1150" spans="1:33" ht="6" customHeight="1" x14ac:dyDescent="0.4">
      <c r="A1150" s="4">
        <f>ROW()</f>
        <v>1150</v>
      </c>
      <c r="B1150" s="9" t="s">
        <v>27</v>
      </c>
      <c r="C1150" s="44" t="str">
        <f t="shared" si="661"/>
        <v>p.gestionar</v>
      </c>
      <c r="D1150" s="6" t="str">
        <f t="shared" si="655"/>
        <v>é.objeto.contratual</v>
      </c>
      <c r="E1150" s="8" t="s">
        <v>28</v>
      </c>
      <c r="F1150" s="34" t="str">
        <f t="shared" si="662"/>
        <v>d.gestionar</v>
      </c>
      <c r="G1150" s="14" t="s">
        <v>1530</v>
      </c>
      <c r="H1150" s="33" t="s">
        <v>1581</v>
      </c>
      <c r="I1150" s="92" t="str">
        <f t="shared" si="648"/>
        <v>null</v>
      </c>
      <c r="J1150" s="82" t="s">
        <v>0</v>
      </c>
      <c r="K1150" s="82" t="s">
        <v>0</v>
      </c>
      <c r="L1150" s="82" t="s">
        <v>0</v>
      </c>
      <c r="M1150" s="82" t="s">
        <v>0</v>
      </c>
      <c r="N1150" s="80" t="s">
        <v>0</v>
      </c>
      <c r="O1150" s="82" t="s">
        <v>0</v>
      </c>
      <c r="P1150" s="82" t="s">
        <v>0</v>
      </c>
      <c r="Q1150" s="82" t="s">
        <v>0</v>
      </c>
      <c r="R1150" s="84" t="s">
        <v>0</v>
      </c>
      <c r="S1150" s="10" t="s">
        <v>1</v>
      </c>
      <c r="T1150" s="10" t="s">
        <v>10221</v>
      </c>
      <c r="U1150" s="5" t="str">
        <f t="shared" si="656"/>
        <v>Propriedade destinada a gestionar: é.objeto.contratual</v>
      </c>
      <c r="V1150" s="5" t="str">
        <f t="shared" si="657"/>
        <v>Dado para gestionar:  objeto.contratual  Deve ser formatado como (rdfs:Literal  or  xsd:string)</v>
      </c>
      <c r="W1150" s="69" t="s">
        <v>5581</v>
      </c>
      <c r="X1150" s="17" t="str">
        <f t="shared" si="643"/>
        <v>d.gesti.138</v>
      </c>
      <c r="Y1150" s="17" t="str">
        <f t="shared" si="644"/>
        <v>Ação de gestionar</v>
      </c>
      <c r="Z1150" s="62" t="s">
        <v>2283</v>
      </c>
      <c r="AA1150" s="18" t="str">
        <f t="shared" si="658"/>
        <v>null</v>
      </c>
      <c r="AB1150" s="19" t="s">
        <v>0</v>
      </c>
      <c r="AC1150" s="18" t="str">
        <f t="shared" si="659"/>
        <v>null</v>
      </c>
      <c r="AD1150" s="19" t="s">
        <v>0</v>
      </c>
      <c r="AE1150" s="18" t="str">
        <f t="shared" si="660"/>
        <v>null</v>
      </c>
      <c r="AF1150" s="75" t="s">
        <v>0</v>
      </c>
      <c r="AG1150" s="38" t="s">
        <v>8344</v>
      </c>
    </row>
    <row r="1151" spans="1:33" ht="6" customHeight="1" x14ac:dyDescent="0.4">
      <c r="A1151" s="4">
        <f>ROW()</f>
        <v>1151</v>
      </c>
      <c r="B1151" s="9" t="s">
        <v>27</v>
      </c>
      <c r="C1151" s="44" t="str">
        <f t="shared" si="661"/>
        <v>p.gestionar</v>
      </c>
      <c r="D1151" s="6" t="str">
        <f t="shared" si="655"/>
        <v>é.plano.de.entrega.de.tarefas</v>
      </c>
      <c r="E1151" s="8" t="s">
        <v>28</v>
      </c>
      <c r="F1151" s="34" t="str">
        <f t="shared" si="662"/>
        <v>d.gestionar</v>
      </c>
      <c r="G1151" s="13" t="s">
        <v>1053</v>
      </c>
      <c r="H1151" s="34" t="s">
        <v>1581</v>
      </c>
      <c r="I1151" s="92" t="str">
        <f t="shared" si="648"/>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56"/>
        <v>Propriedade destinada a gestionar: é.plano.de.entrega.de.tarefas</v>
      </c>
      <c r="V1151" s="5" t="str">
        <f t="shared" si="657"/>
        <v>Dado para gestionar:  plano.de.entrega.de.tarefas  Deve ser formatado como (rdfs:Literal  or  xsd:string)</v>
      </c>
      <c r="W1151" s="69" t="s">
        <v>5582</v>
      </c>
      <c r="X1151" s="17" t="str">
        <f t="shared" si="643"/>
        <v>d.gesti.139</v>
      </c>
      <c r="Y1151" s="17" t="str">
        <f t="shared" si="644"/>
        <v>Ação de gestionar</v>
      </c>
      <c r="Z1151" s="62" t="s">
        <v>4203</v>
      </c>
      <c r="AA1151" s="18" t="str">
        <f t="shared" si="658"/>
        <v>null</v>
      </c>
      <c r="AB1151" s="19" t="s">
        <v>0</v>
      </c>
      <c r="AC1151" s="18" t="str">
        <f t="shared" si="659"/>
        <v>null</v>
      </c>
      <c r="AD1151" s="19" t="s">
        <v>0</v>
      </c>
      <c r="AE1151" s="18" t="str">
        <f t="shared" si="660"/>
        <v>null</v>
      </c>
      <c r="AF1151" s="75" t="s">
        <v>0</v>
      </c>
      <c r="AG1151" s="38" t="s">
        <v>8345</v>
      </c>
    </row>
    <row r="1152" spans="1:33" ht="6" customHeight="1" x14ac:dyDescent="0.4">
      <c r="A1152" s="4">
        <f>ROW()</f>
        <v>1152</v>
      </c>
      <c r="B1152" s="9" t="s">
        <v>27</v>
      </c>
      <c r="C1152" s="44" t="str">
        <f t="shared" si="661"/>
        <v>p.gestionar</v>
      </c>
      <c r="D1152" s="6" t="str">
        <f t="shared" si="655"/>
        <v>é.plano.de.trabalho</v>
      </c>
      <c r="E1152" s="8" t="s">
        <v>28</v>
      </c>
      <c r="F1152" s="34" t="str">
        <f t="shared" si="662"/>
        <v>d.gestionar</v>
      </c>
      <c r="G1152" s="13" t="s">
        <v>703</v>
      </c>
      <c r="H1152" s="34" t="s">
        <v>1581</v>
      </c>
      <c r="I1152" s="92" t="str">
        <f t="shared" si="648"/>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56"/>
        <v>Propriedade destinada a gestionar: é.plano.de.trabalho</v>
      </c>
      <c r="V1152" s="5" t="str">
        <f t="shared" si="657"/>
        <v>Dado para gestionar:  plano.de.trabalho  Deve ser formatado como (rdfs:Literal  or  xsd:string)</v>
      </c>
      <c r="W1152" s="69" t="s">
        <v>5583</v>
      </c>
      <c r="X1152" s="17" t="str">
        <f t="shared" si="643"/>
        <v>d.gesti.140</v>
      </c>
      <c r="Y1152" s="17" t="str">
        <f t="shared" si="644"/>
        <v>Ação de gestionar</v>
      </c>
      <c r="Z1152" s="62" t="s">
        <v>4204</v>
      </c>
      <c r="AA1152" s="18" t="str">
        <f t="shared" si="658"/>
        <v>null</v>
      </c>
      <c r="AB1152" s="19" t="s">
        <v>0</v>
      </c>
      <c r="AC1152" s="18" t="str">
        <f t="shared" si="659"/>
        <v>null</v>
      </c>
      <c r="AD1152" s="19" t="s">
        <v>0</v>
      </c>
      <c r="AE1152" s="18" t="str">
        <f t="shared" si="660"/>
        <v>null</v>
      </c>
      <c r="AF1152" s="75" t="s">
        <v>0</v>
      </c>
      <c r="AG1152" s="38" t="s">
        <v>8346</v>
      </c>
    </row>
    <row r="1153" spans="1:33" ht="6" customHeight="1" x14ac:dyDescent="0.4">
      <c r="A1153" s="4">
        <f>ROW()</f>
        <v>1153</v>
      </c>
      <c r="B1153" s="9" t="s">
        <v>27</v>
      </c>
      <c r="C1153" s="44" t="str">
        <f t="shared" si="661"/>
        <v>p.gestionar</v>
      </c>
      <c r="D1153" s="6" t="str">
        <f t="shared" si="655"/>
        <v>é.plano.mestre.de.entrega.da.informação</v>
      </c>
      <c r="E1153" s="8" t="s">
        <v>28</v>
      </c>
      <c r="F1153" s="34" t="str">
        <f t="shared" si="662"/>
        <v>d.gestionar</v>
      </c>
      <c r="G1153" s="13" t="s">
        <v>1051</v>
      </c>
      <c r="H1153" s="34" t="s">
        <v>1581</v>
      </c>
      <c r="I1153" s="92" t="str">
        <f t="shared" si="648"/>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56"/>
        <v>Propriedade destinada a gestionar: é.plano.mestre.de.entrega.da.informação</v>
      </c>
      <c r="V1153" s="5" t="str">
        <f t="shared" si="657"/>
        <v>Dado para gestionar:  plano.mestre.de.entrega.da.informação  Deve ser formatado como (rdfs:Literal  or  xsd:string)</v>
      </c>
      <c r="W1153" s="69" t="s">
        <v>5584</v>
      </c>
      <c r="X1153" s="17" t="str">
        <f t="shared" si="643"/>
        <v>d.gesti.141</v>
      </c>
      <c r="Y1153" s="17" t="str">
        <f t="shared" si="644"/>
        <v>Ação de gestionar</v>
      </c>
      <c r="Z1153" s="62" t="s">
        <v>4205</v>
      </c>
      <c r="AA1153" s="18" t="str">
        <f t="shared" si="658"/>
        <v>null</v>
      </c>
      <c r="AB1153" s="19" t="s">
        <v>0</v>
      </c>
      <c r="AC1153" s="18" t="str">
        <f t="shared" si="659"/>
        <v>null</v>
      </c>
      <c r="AD1153" s="19" t="s">
        <v>0</v>
      </c>
      <c r="AE1153" s="18" t="str">
        <f t="shared" si="660"/>
        <v>null</v>
      </c>
      <c r="AF1153" s="75" t="s">
        <v>0</v>
      </c>
      <c r="AG1153" s="38" t="s">
        <v>8347</v>
      </c>
    </row>
    <row r="1154" spans="1:33" ht="6" customHeight="1" x14ac:dyDescent="0.4">
      <c r="A1154" s="4">
        <f>ROW()</f>
        <v>1154</v>
      </c>
      <c r="B1154" s="9" t="s">
        <v>27</v>
      </c>
      <c r="C1154" s="44" t="str">
        <f t="shared" si="661"/>
        <v>p.gestionar</v>
      </c>
      <c r="D1154" s="6" t="str">
        <f t="shared" si="655"/>
        <v>é.ponto.chave.de.decisão</v>
      </c>
      <c r="E1154" s="8" t="s">
        <v>28</v>
      </c>
      <c r="F1154" s="34" t="str">
        <f t="shared" si="662"/>
        <v>d.gestionar</v>
      </c>
      <c r="G1154" s="13" t="s">
        <v>994</v>
      </c>
      <c r="H1154" s="34" t="s">
        <v>1581</v>
      </c>
      <c r="I1154" s="92" t="str">
        <f t="shared" si="648"/>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56"/>
        <v>Propriedade destinada a gestionar: é.ponto.chave.de.decisão</v>
      </c>
      <c r="V1154" s="5" t="str">
        <f t="shared" si="657"/>
        <v>Dado para gestionar:  ponto.chave.de.decisão  Deve ser formatado como (rdfs:Literal  or  xsd:string)</v>
      </c>
      <c r="W1154" s="69" t="s">
        <v>5585</v>
      </c>
      <c r="X1154" s="17" t="str">
        <f t="shared" si="643"/>
        <v>d.gesti.142</v>
      </c>
      <c r="Y1154" s="17" t="str">
        <f t="shared" si="644"/>
        <v>Ação de gestionar</v>
      </c>
      <c r="Z1154" s="62" t="s">
        <v>4206</v>
      </c>
      <c r="AA1154" s="18" t="str">
        <f t="shared" si="658"/>
        <v>null</v>
      </c>
      <c r="AB1154" s="19" t="s">
        <v>0</v>
      </c>
      <c r="AC1154" s="18" t="str">
        <f t="shared" si="659"/>
        <v>null</v>
      </c>
      <c r="AD1154" s="19" t="s">
        <v>0</v>
      </c>
      <c r="AE1154" s="18" t="str">
        <f t="shared" si="660"/>
        <v>null</v>
      </c>
      <c r="AF1154" s="75" t="s">
        <v>0</v>
      </c>
      <c r="AG1154" s="38" t="s">
        <v>8348</v>
      </c>
    </row>
    <row r="1155" spans="1:33" ht="6" customHeight="1" x14ac:dyDescent="0.4">
      <c r="A1155" s="4">
        <f>ROW()</f>
        <v>1155</v>
      </c>
      <c r="B1155" s="9" t="s">
        <v>27</v>
      </c>
      <c r="C1155" s="44" t="str">
        <f t="shared" si="661"/>
        <v>p.gestionar</v>
      </c>
      <c r="D1155" s="6" t="str">
        <f t="shared" si="655"/>
        <v>é.processo</v>
      </c>
      <c r="E1155" s="8" t="s">
        <v>28</v>
      </c>
      <c r="F1155" s="34" t="str">
        <f t="shared" si="662"/>
        <v>d.gestionar</v>
      </c>
      <c r="G1155" s="14" t="s">
        <v>93</v>
      </c>
      <c r="H1155" s="33" t="s">
        <v>1581</v>
      </c>
      <c r="I1155" s="92" t="str">
        <f t="shared" si="648"/>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56"/>
        <v>Propriedade destinada a gestionar: é.processo</v>
      </c>
      <c r="V1155" s="5" t="str">
        <f t="shared" si="657"/>
        <v>Dado para gestionar:  processo  Deve ser formatado como (rdfs:Literal  or  xsd:string)</v>
      </c>
      <c r="W1155" s="69" t="s">
        <v>5586</v>
      </c>
      <c r="X1155" s="17" t="str">
        <f t="shared" ref="X1155:X1218" si="671">IF(F1154&lt;&gt;F1155,_xlfn.CONCAT(RIGHT(LEFT(F1155,7),7),".100"),_xlfn.CONCAT(RIGHT(LEFT(F1155,7),7),".",SUM(VALUE(RIGHT(X1154,3)),1)))</f>
        <v>d.gesti.143</v>
      </c>
      <c r="Y1155" s="17" t="str">
        <f t="shared" ref="Y1155:Y1218" si="672">_xlfn.CONCAT("Ação de ", SUBSTITUTE(F1155, "d.",  ""))</f>
        <v>Ação de gestionar</v>
      </c>
      <c r="Z1155" s="62" t="s">
        <v>2275</v>
      </c>
      <c r="AA1155" s="18" t="str">
        <f t="shared" si="658"/>
        <v>null</v>
      </c>
      <c r="AB1155" s="19" t="s">
        <v>0</v>
      </c>
      <c r="AC1155" s="18" t="str">
        <f t="shared" si="659"/>
        <v>null</v>
      </c>
      <c r="AD1155" s="19" t="s">
        <v>0</v>
      </c>
      <c r="AE1155" s="18" t="str">
        <f t="shared" si="660"/>
        <v>null</v>
      </c>
      <c r="AF1155" s="75" t="s">
        <v>0</v>
      </c>
      <c r="AG1155" s="38" t="s">
        <v>8349</v>
      </c>
    </row>
    <row r="1156" spans="1:33" ht="6" customHeight="1" x14ac:dyDescent="0.4">
      <c r="A1156" s="4">
        <f>ROW()</f>
        <v>1156</v>
      </c>
      <c r="B1156" s="9" t="s">
        <v>27</v>
      </c>
      <c r="C1156" s="44" t="str">
        <f t="shared" si="661"/>
        <v>p.gestionar</v>
      </c>
      <c r="D1156" s="6" t="str">
        <f t="shared" si="655"/>
        <v>é.processo.sei</v>
      </c>
      <c r="E1156" s="8" t="s">
        <v>28</v>
      </c>
      <c r="F1156" s="34" t="str">
        <f t="shared" si="662"/>
        <v>d.gestionar</v>
      </c>
      <c r="G1156" s="14" t="s">
        <v>579</v>
      </c>
      <c r="H1156" s="33" t="s">
        <v>1581</v>
      </c>
      <c r="I1156" s="92" t="str">
        <f t="shared" si="648"/>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si="656"/>
        <v>Propriedade destinada a gestionar: é.processo.sei</v>
      </c>
      <c r="V1156" s="5" t="str">
        <f t="shared" si="657"/>
        <v>Dado para gestionar:  processo.sei  Deve ser formatado como (rdfs:Literal  or  xsd:string)</v>
      </c>
      <c r="W1156" s="69" t="s">
        <v>5587</v>
      </c>
      <c r="X1156" s="17" t="str">
        <f t="shared" si="671"/>
        <v>d.gesti.144</v>
      </c>
      <c r="Y1156" s="17" t="str">
        <f t="shared" si="672"/>
        <v>Ação de gestionar</v>
      </c>
      <c r="Z1156" s="62" t="s">
        <v>2276</v>
      </c>
      <c r="AA1156" s="18" t="str">
        <f t="shared" si="658"/>
        <v>null</v>
      </c>
      <c r="AB1156" s="19" t="s">
        <v>0</v>
      </c>
      <c r="AC1156" s="18" t="str">
        <f t="shared" si="659"/>
        <v>null</v>
      </c>
      <c r="AD1156" s="19" t="s">
        <v>0</v>
      </c>
      <c r="AE1156" s="18" t="str">
        <f t="shared" si="660"/>
        <v>null</v>
      </c>
      <c r="AF1156" s="75" t="s">
        <v>0</v>
      </c>
      <c r="AG1156" s="38" t="s">
        <v>8350</v>
      </c>
    </row>
    <row r="1157" spans="1:33" ht="6" customHeight="1" x14ac:dyDescent="0.4">
      <c r="A1157" s="4">
        <f>ROW()</f>
        <v>1157</v>
      </c>
      <c r="B1157" s="9" t="s">
        <v>27</v>
      </c>
      <c r="C1157" s="44" t="str">
        <f t="shared" si="661"/>
        <v>p.gestionar</v>
      </c>
      <c r="D1157" s="6" t="str">
        <f t="shared" si="655"/>
        <v>é.proprietário</v>
      </c>
      <c r="E1157" s="8" t="s">
        <v>28</v>
      </c>
      <c r="F1157" s="34" t="str">
        <f t="shared" si="662"/>
        <v>d.gestionar</v>
      </c>
      <c r="G1157" s="14" t="s">
        <v>90</v>
      </c>
      <c r="H1157" s="33" t="s">
        <v>1581</v>
      </c>
      <c r="I1157" s="92" t="str">
        <f t="shared" si="648"/>
        <v>null</v>
      </c>
      <c r="J1157" s="82" t="s">
        <v>0</v>
      </c>
      <c r="K1157" s="82" t="s">
        <v>0</v>
      </c>
      <c r="L1157" s="82" t="s">
        <v>0</v>
      </c>
      <c r="M1157" s="82" t="s">
        <v>0</v>
      </c>
      <c r="N1157" s="80" t="s">
        <v>0</v>
      </c>
      <c r="O1157" s="82" t="s">
        <v>0</v>
      </c>
      <c r="P1157" s="82" t="s">
        <v>0</v>
      </c>
      <c r="Q1157" s="82" t="s">
        <v>0</v>
      </c>
      <c r="R1157" s="84" t="s">
        <v>0</v>
      </c>
      <c r="S1157" s="10" t="s">
        <v>1</v>
      </c>
      <c r="T1157" s="10" t="s">
        <v>10221</v>
      </c>
      <c r="U1157" s="5" t="str">
        <f t="shared" si="656"/>
        <v>Propriedade destinada a gestionar: é.proprietário</v>
      </c>
      <c r="V1157" s="5" t="str">
        <f t="shared" si="657"/>
        <v>Dado para gestionar:  proprietário  Deve ser formatado como (rdfs:Literal  or  xsd:string)</v>
      </c>
      <c r="W1157" s="69" t="s">
        <v>5588</v>
      </c>
      <c r="X1157" s="17" t="str">
        <f t="shared" si="671"/>
        <v>d.gesti.145</v>
      </c>
      <c r="Y1157" s="17" t="str">
        <f t="shared" si="672"/>
        <v>Ação de gestionar</v>
      </c>
      <c r="Z1157" s="62" t="s">
        <v>2277</v>
      </c>
      <c r="AA1157" s="18" t="str">
        <f t="shared" si="658"/>
        <v>null</v>
      </c>
      <c r="AB1157" s="19" t="s">
        <v>0</v>
      </c>
      <c r="AC1157" s="18" t="str">
        <f t="shared" si="659"/>
        <v>null</v>
      </c>
      <c r="AD1157" s="19" t="s">
        <v>0</v>
      </c>
      <c r="AE1157" s="18" t="str">
        <f t="shared" si="660"/>
        <v>null</v>
      </c>
      <c r="AF1157" s="75" t="s">
        <v>0</v>
      </c>
      <c r="AG1157" s="38" t="s">
        <v>8351</v>
      </c>
    </row>
    <row r="1158" spans="1:33" ht="6" customHeight="1" x14ac:dyDescent="0.4">
      <c r="A1158" s="4">
        <f>ROW()</f>
        <v>1158</v>
      </c>
      <c r="B1158" s="9" t="s">
        <v>27</v>
      </c>
      <c r="C1158" s="44" t="str">
        <f t="shared" si="661"/>
        <v>p.gestionar</v>
      </c>
      <c r="D1158" s="6" t="str">
        <f t="shared" si="655"/>
        <v>é.rrt</v>
      </c>
      <c r="E1158" s="8" t="s">
        <v>28</v>
      </c>
      <c r="F1158" s="34" t="str">
        <f t="shared" si="662"/>
        <v>d.gestionar</v>
      </c>
      <c r="G1158" s="14" t="s">
        <v>95</v>
      </c>
      <c r="H1158" s="33" t="s">
        <v>1581</v>
      </c>
      <c r="I1158" s="92" t="str">
        <f t="shared" si="648"/>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56"/>
        <v>Propriedade destinada a gestionar: é.rrt</v>
      </c>
      <c r="V1158" s="5" t="str">
        <f t="shared" si="657"/>
        <v>Dado para gestionar:  rrt  Deve ser formatado como (rdfs:Literal  or  xsd:string)</v>
      </c>
      <c r="W1158" s="69" t="s">
        <v>5589</v>
      </c>
      <c r="X1158" s="17" t="str">
        <f t="shared" si="671"/>
        <v>d.gesti.146</v>
      </c>
      <c r="Y1158" s="17" t="str">
        <f t="shared" si="672"/>
        <v>Ação de gestionar</v>
      </c>
      <c r="Z1158" s="62" t="s">
        <v>2278</v>
      </c>
      <c r="AA1158" s="18" t="str">
        <f t="shared" si="658"/>
        <v>null</v>
      </c>
      <c r="AB1158" s="19" t="s">
        <v>0</v>
      </c>
      <c r="AC1158" s="18" t="str">
        <f t="shared" si="659"/>
        <v>null</v>
      </c>
      <c r="AD1158" s="19" t="s">
        <v>0</v>
      </c>
      <c r="AE1158" s="18" t="str">
        <f t="shared" si="660"/>
        <v>null</v>
      </c>
      <c r="AF1158" s="75" t="s">
        <v>0</v>
      </c>
      <c r="AG1158" s="38" t="s">
        <v>8352</v>
      </c>
    </row>
    <row r="1159" spans="1:33" ht="6" customHeight="1" x14ac:dyDescent="0.4">
      <c r="A1159" s="4">
        <f>ROW()</f>
        <v>1159</v>
      </c>
      <c r="B1159" s="9" t="s">
        <v>27</v>
      </c>
      <c r="C1159" s="44" t="str">
        <f t="shared" si="661"/>
        <v>p.gestionar</v>
      </c>
      <c r="D1159" s="6" t="str">
        <f t="shared" si="655"/>
        <v>é.subcontratado</v>
      </c>
      <c r="E1159" s="8" t="s">
        <v>28</v>
      </c>
      <c r="F1159" s="34" t="str">
        <f t="shared" si="662"/>
        <v>d.gestionar</v>
      </c>
      <c r="G1159" s="14" t="s">
        <v>245</v>
      </c>
      <c r="H1159" s="33" t="s">
        <v>1581</v>
      </c>
      <c r="I1159" s="92" t="str">
        <f t="shared" si="648"/>
        <v>null</v>
      </c>
      <c r="J1159" s="82" t="s">
        <v>0</v>
      </c>
      <c r="K1159" s="82" t="s">
        <v>0</v>
      </c>
      <c r="L1159" s="82" t="s">
        <v>0</v>
      </c>
      <c r="M1159" s="82" t="s">
        <v>0</v>
      </c>
      <c r="N1159" s="80" t="s">
        <v>0</v>
      </c>
      <c r="O1159" s="82" t="s">
        <v>0</v>
      </c>
      <c r="P1159" s="82" t="s">
        <v>0</v>
      </c>
      <c r="Q1159" s="82" t="s">
        <v>0</v>
      </c>
      <c r="R1159" s="84" t="s">
        <v>0</v>
      </c>
      <c r="S1159" s="10" t="s">
        <v>1</v>
      </c>
      <c r="T1159" s="10" t="s">
        <v>10221</v>
      </c>
      <c r="U1159" s="5" t="str">
        <f t="shared" si="656"/>
        <v>Propriedade destinada a gestionar: é.subcontratado</v>
      </c>
      <c r="V1159" s="5" t="str">
        <f t="shared" si="657"/>
        <v>Dado para gestionar:  subcontratado  Deve ser formatado como (rdfs:Literal  or  xsd:string)</v>
      </c>
      <c r="W1159" s="69" t="s">
        <v>5590</v>
      </c>
      <c r="X1159" s="17" t="str">
        <f t="shared" si="671"/>
        <v>d.gesti.147</v>
      </c>
      <c r="Y1159" s="17" t="str">
        <f t="shared" si="672"/>
        <v>Ação de gestionar</v>
      </c>
      <c r="Z1159" s="62" t="s">
        <v>2279</v>
      </c>
      <c r="AA1159" s="18" t="str">
        <f t="shared" si="658"/>
        <v>null</v>
      </c>
      <c r="AB1159" s="19" t="s">
        <v>0</v>
      </c>
      <c r="AC1159" s="18" t="str">
        <f t="shared" si="659"/>
        <v>null</v>
      </c>
      <c r="AD1159" s="19" t="s">
        <v>0</v>
      </c>
      <c r="AE1159" s="18" t="str">
        <f t="shared" si="660"/>
        <v>null</v>
      </c>
      <c r="AF1159" s="75" t="s">
        <v>0</v>
      </c>
      <c r="AG1159" s="38" t="s">
        <v>8353</v>
      </c>
    </row>
    <row r="1160" spans="1:33" ht="6" customHeight="1" x14ac:dyDescent="0.4">
      <c r="A1160" s="4">
        <f>ROW()</f>
        <v>1160</v>
      </c>
      <c r="B1160" s="9" t="s">
        <v>27</v>
      </c>
      <c r="C1160" s="44" t="str">
        <f t="shared" si="661"/>
        <v>p.gestionar</v>
      </c>
      <c r="D1160" s="6" t="str">
        <f t="shared" si="655"/>
        <v>é.tarefa</v>
      </c>
      <c r="E1160" s="8" t="s">
        <v>28</v>
      </c>
      <c r="F1160" s="34" t="str">
        <f t="shared" si="662"/>
        <v>d.gestionar</v>
      </c>
      <c r="G1160" s="14" t="s">
        <v>4277</v>
      </c>
      <c r="H1160" s="34" t="s">
        <v>1581</v>
      </c>
      <c r="I1160" s="92" t="str">
        <f t="shared" ref="I1160:I1223" si="673">IF(OR(J1160="Functional",K1160="InverseFunctional"),"Functional","null")</f>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56"/>
        <v>Propriedade destinada a gestionar: é.tarefa</v>
      </c>
      <c r="V1160" s="5" t="str">
        <f t="shared" si="657"/>
        <v>Dado para gestionar:  tarefa  Deve ser formatado como (rdfs:Literal  or  xsd:string)</v>
      </c>
      <c r="W1160" s="69" t="s">
        <v>5591</v>
      </c>
      <c r="X1160" s="17" t="str">
        <f t="shared" si="671"/>
        <v>d.gesti.148</v>
      </c>
      <c r="Y1160" s="17" t="str">
        <f t="shared" si="672"/>
        <v>Ação de gestionar</v>
      </c>
      <c r="Z1160" s="62" t="s">
        <v>4795</v>
      </c>
      <c r="AA1160" s="18" t="str">
        <f t="shared" si="658"/>
        <v>null</v>
      </c>
      <c r="AB1160" s="19" t="s">
        <v>0</v>
      </c>
      <c r="AC1160" s="18" t="str">
        <f t="shared" si="659"/>
        <v>null</v>
      </c>
      <c r="AD1160" s="19" t="s">
        <v>0</v>
      </c>
      <c r="AE1160" s="18" t="str">
        <f t="shared" si="660"/>
        <v>null</v>
      </c>
      <c r="AF1160" s="75" t="s">
        <v>0</v>
      </c>
      <c r="AG1160" s="38" t="s">
        <v>8354</v>
      </c>
    </row>
    <row r="1161" spans="1:33" ht="6" customHeight="1" x14ac:dyDescent="0.4">
      <c r="A1161" s="4">
        <f>ROW()</f>
        <v>1161</v>
      </c>
      <c r="B1161" s="9" t="s">
        <v>27</v>
      </c>
      <c r="C1161" s="43" t="str">
        <f t="shared" si="661"/>
        <v>p.graduar</v>
      </c>
      <c r="D1161" s="6" t="str">
        <f t="shared" ref="D1161" si="674">_xlfn.CONCAT("é.",G1161)</f>
        <v>é.classe.de.intervalo</v>
      </c>
      <c r="E1161" s="8" t="s">
        <v>28</v>
      </c>
      <c r="F1161" s="40" t="s">
        <v>2188</v>
      </c>
      <c r="G1161" s="13" t="s">
        <v>6631</v>
      </c>
      <c r="H1161" s="33" t="s">
        <v>1581</v>
      </c>
      <c r="I1161" s="92" t="str">
        <f t="shared" si="673"/>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ref="U1161" si="675">_xlfn.CONCAT("Propriedade destinada a ",MID(C1161,FIND("p.",C1161,1)+2,100),": ",D1161)</f>
        <v>Propriedade destinada a graduar: é.classe.de.intervalo</v>
      </c>
      <c r="V1161" s="5" t="str">
        <f t="shared" ref="V1161" si="676">_xlfn.CONCAT("Dado para ",MID(F1161,FIND("d.",F1161,1)+2,100),":  ",G1161, "  Deve ser formatado como (",H1161, ")")</f>
        <v>Dado para graduar:  classe.de.intervalo  Deve ser formatado como (rdfs:Literal  or  xsd:string)</v>
      </c>
      <c r="W1161" s="69" t="s">
        <v>6627</v>
      </c>
      <c r="X1161" s="17" t="str">
        <f t="shared" si="671"/>
        <v>d.gradu.100</v>
      </c>
      <c r="Y1161" s="17" t="str">
        <f t="shared" si="672"/>
        <v>Ação de graduar</v>
      </c>
      <c r="Z1161" s="62" t="s">
        <v>6628</v>
      </c>
      <c r="AA1161" s="18" t="str">
        <f t="shared" ref="AA1161" si="677">IF(AB1161="null", "null", "categoria.revit")</f>
        <v>null</v>
      </c>
      <c r="AB1161" s="19" t="s">
        <v>0</v>
      </c>
      <c r="AC1161" s="18" t="str">
        <f t="shared" ref="AC1161" si="678">IF(AD1161="null", "null", "classe.ifc")</f>
        <v>null</v>
      </c>
      <c r="AD1161" s="19" t="s">
        <v>0</v>
      </c>
      <c r="AE1161" s="18" t="str">
        <f t="shared" ref="AE1161" si="679">IF(AF1161="null", "null", "propriedade")</f>
        <v>null</v>
      </c>
      <c r="AF1161" s="75" t="s">
        <v>0</v>
      </c>
      <c r="AG1161" s="38" t="s">
        <v>8355</v>
      </c>
    </row>
    <row r="1162" spans="1:33" ht="6" customHeight="1" x14ac:dyDescent="0.4">
      <c r="A1162" s="4">
        <f>ROW()</f>
        <v>1162</v>
      </c>
      <c r="B1162" s="9" t="s">
        <v>27</v>
      </c>
      <c r="C1162" s="44" t="str">
        <f>SUBSTITUTE(F1162,"d.","p.")</f>
        <v>p.graduar</v>
      </c>
      <c r="D1162" s="6" t="str">
        <f t="shared" si="655"/>
        <v>é.faixa.etária</v>
      </c>
      <c r="E1162" s="8" t="s">
        <v>28</v>
      </c>
      <c r="F1162" s="34" t="str">
        <f t="shared" ref="F1162:F1177" si="680">F1161</f>
        <v>d.graduar</v>
      </c>
      <c r="G1162" s="13" t="s">
        <v>1154</v>
      </c>
      <c r="H1162" s="33" t="s">
        <v>1581</v>
      </c>
      <c r="I1162" s="92" t="str">
        <f t="shared" si="673"/>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56"/>
        <v>Propriedade destinada a graduar: é.faixa.etária</v>
      </c>
      <c r="V1162" s="5" t="str">
        <f t="shared" si="657"/>
        <v>Dado para graduar:  faixa.etária  Deve ser formatado como (rdfs:Literal  or  xsd:string)</v>
      </c>
      <c r="W1162" s="69" t="s">
        <v>5592</v>
      </c>
      <c r="X1162" s="17" t="str">
        <f t="shared" si="671"/>
        <v>d.gradu.101</v>
      </c>
      <c r="Y1162" s="17" t="str">
        <f t="shared" si="672"/>
        <v>Ação de graduar</v>
      </c>
      <c r="Z1162" s="62" t="s">
        <v>6629</v>
      </c>
      <c r="AA1162" s="18" t="str">
        <f t="shared" si="658"/>
        <v>null</v>
      </c>
      <c r="AB1162" s="19" t="s">
        <v>0</v>
      </c>
      <c r="AC1162" s="18" t="str">
        <f t="shared" si="659"/>
        <v>null</v>
      </c>
      <c r="AD1162" s="19" t="s">
        <v>0</v>
      </c>
      <c r="AE1162" s="18" t="str">
        <f t="shared" si="660"/>
        <v>null</v>
      </c>
      <c r="AF1162" s="75" t="s">
        <v>0</v>
      </c>
      <c r="AG1162" s="38" t="s">
        <v>8356</v>
      </c>
    </row>
    <row r="1163" spans="1:33" ht="6" customHeight="1" x14ac:dyDescent="0.4">
      <c r="A1163" s="4">
        <f>ROW()</f>
        <v>1163</v>
      </c>
      <c r="B1163" s="9" t="s">
        <v>27</v>
      </c>
      <c r="C1163" s="44" t="str">
        <f>SUBSTITUTE(F1163,"d.","p.")</f>
        <v>p.graduar</v>
      </c>
      <c r="D1163" s="6" t="str">
        <f t="shared" ref="D1163" si="681">_xlfn.CONCAT("é.",G1163)</f>
        <v>é.faixa.salarial</v>
      </c>
      <c r="E1163" s="8" t="s">
        <v>28</v>
      </c>
      <c r="F1163" s="34" t="str">
        <f t="shared" si="680"/>
        <v>d.graduar</v>
      </c>
      <c r="G1163" s="13" t="s">
        <v>1155</v>
      </c>
      <c r="H1163" s="33" t="s">
        <v>1581</v>
      </c>
      <c r="I1163" s="92" t="str">
        <f t="shared" si="673"/>
        <v>null</v>
      </c>
      <c r="J1163" s="80" t="s">
        <v>0</v>
      </c>
      <c r="K1163" s="80" t="s">
        <v>0</v>
      </c>
      <c r="L1163" s="80" t="s">
        <v>0</v>
      </c>
      <c r="M1163" s="80" t="s">
        <v>0</v>
      </c>
      <c r="N1163" s="80" t="s">
        <v>0</v>
      </c>
      <c r="O1163" s="80" t="s">
        <v>0</v>
      </c>
      <c r="P1163" s="80" t="s">
        <v>0</v>
      </c>
      <c r="Q1163" s="80" t="s">
        <v>0</v>
      </c>
      <c r="R1163" s="84" t="s">
        <v>0</v>
      </c>
      <c r="S1163" s="10" t="s">
        <v>1</v>
      </c>
      <c r="T1163" s="10" t="s">
        <v>10221</v>
      </c>
      <c r="U1163" s="5" t="str">
        <f t="shared" ref="U1163" si="682">_xlfn.CONCAT("Propriedade destinada a ",MID(C1163,FIND("p.",C1163,1)+2,100),": ",D1163)</f>
        <v>Propriedade destinada a graduar: é.faixa.salarial</v>
      </c>
      <c r="V1163" s="5" t="str">
        <f t="shared" ref="V1163" si="683">_xlfn.CONCAT("Dado para ",MID(F1163,FIND("d.",F1163,1)+2,100),":  ",G1163, "  Deve ser formatado como (",H1163, ")")</f>
        <v>Dado para graduar:  faixa.salarial  Deve ser formatado como (rdfs:Literal  or  xsd:string)</v>
      </c>
      <c r="W1163" s="69" t="s">
        <v>5593</v>
      </c>
      <c r="X1163" s="17" t="str">
        <f t="shared" si="671"/>
        <v>d.gradu.102</v>
      </c>
      <c r="Y1163" s="17" t="str">
        <f t="shared" si="672"/>
        <v>Ação de graduar</v>
      </c>
      <c r="Z1163" s="62" t="s">
        <v>6630</v>
      </c>
      <c r="AA1163" s="18" t="str">
        <f t="shared" ref="AA1163" si="684">IF(AB1163="null", "null", "categoria.revit")</f>
        <v>null</v>
      </c>
      <c r="AB1163" s="19" t="s">
        <v>0</v>
      </c>
      <c r="AC1163" s="18" t="str">
        <f t="shared" ref="AC1163" si="685">IF(AD1163="null", "null", "classe.ifc")</f>
        <v>null</v>
      </c>
      <c r="AD1163" s="19" t="s">
        <v>0</v>
      </c>
      <c r="AE1163" s="18" t="str">
        <f t="shared" ref="AE1163" si="686">IF(AF1163="null", "null", "propriedade")</f>
        <v>null</v>
      </c>
      <c r="AF1163" s="75" t="s">
        <v>0</v>
      </c>
      <c r="AG1163" s="38" t="s">
        <v>8357</v>
      </c>
    </row>
    <row r="1164" spans="1:33" ht="6" customHeight="1" x14ac:dyDescent="0.4">
      <c r="A1164" s="4">
        <f>ROW()</f>
        <v>1164</v>
      </c>
      <c r="B1164" s="9" t="s">
        <v>27</v>
      </c>
      <c r="C1164" s="44" t="str">
        <f t="shared" ref="C1164:C1177" si="687">SUBSTITUTE(F1164,"d.","p.")</f>
        <v>p.graduar</v>
      </c>
      <c r="D1164" s="6" t="str">
        <f t="shared" si="655"/>
        <v>é.estatística.rol</v>
      </c>
      <c r="E1164" s="8" t="s">
        <v>28</v>
      </c>
      <c r="F1164" s="34" t="str">
        <f t="shared" si="680"/>
        <v>d.graduar</v>
      </c>
      <c r="G1164" s="13" t="s">
        <v>2267</v>
      </c>
      <c r="H1164" s="33" t="s">
        <v>1581</v>
      </c>
      <c r="I1164" s="92" t="str">
        <f t="shared" si="673"/>
        <v>null</v>
      </c>
      <c r="J1164" s="80" t="s">
        <v>0</v>
      </c>
      <c r="K1164" s="80" t="s">
        <v>0</v>
      </c>
      <c r="L1164" s="80" t="s">
        <v>0</v>
      </c>
      <c r="M1164" s="80" t="s">
        <v>0</v>
      </c>
      <c r="N1164" s="80" t="s">
        <v>0</v>
      </c>
      <c r="O1164" s="80" t="s">
        <v>0</v>
      </c>
      <c r="P1164" s="80" t="s">
        <v>0</v>
      </c>
      <c r="Q1164" s="80" t="s">
        <v>0</v>
      </c>
      <c r="R1164" s="84" t="s">
        <v>0</v>
      </c>
      <c r="S1164" s="10" t="s">
        <v>1</v>
      </c>
      <c r="T1164" s="10" t="s">
        <v>10221</v>
      </c>
      <c r="U1164" s="5" t="str">
        <f t="shared" si="656"/>
        <v>Propriedade destinada a graduar: é.estatística.rol</v>
      </c>
      <c r="V1164" s="5" t="str">
        <f t="shared" si="657"/>
        <v>Dado para graduar:  estatística.rol  Deve ser formatado como (rdfs:Literal  or  xsd:string)</v>
      </c>
      <c r="W1164" s="69" t="s">
        <v>6625</v>
      </c>
      <c r="X1164" s="17" t="str">
        <f t="shared" si="671"/>
        <v>d.gradu.103</v>
      </c>
      <c r="Y1164" s="17" t="str">
        <f t="shared" si="672"/>
        <v>Ação de graduar</v>
      </c>
      <c r="Z1164" s="62" t="s">
        <v>6626</v>
      </c>
      <c r="AA1164" s="18" t="str">
        <f t="shared" si="658"/>
        <v>null</v>
      </c>
      <c r="AB1164" s="19" t="s">
        <v>0</v>
      </c>
      <c r="AC1164" s="18" t="str">
        <f t="shared" si="659"/>
        <v>null</v>
      </c>
      <c r="AD1164" s="19" t="s">
        <v>0</v>
      </c>
      <c r="AE1164" s="18" t="str">
        <f t="shared" si="660"/>
        <v>null</v>
      </c>
      <c r="AF1164" s="75" t="s">
        <v>0</v>
      </c>
      <c r="AG1164" s="38" t="s">
        <v>8358</v>
      </c>
    </row>
    <row r="1165" spans="1:33" ht="6" customHeight="1" x14ac:dyDescent="0.4">
      <c r="A1165" s="4">
        <f>ROW()</f>
        <v>1165</v>
      </c>
      <c r="B1165" s="9" t="s">
        <v>27</v>
      </c>
      <c r="C1165" s="44" t="str">
        <f t="shared" si="687"/>
        <v>p.graduar</v>
      </c>
      <c r="D1165" s="6" t="str">
        <f t="shared" si="655"/>
        <v>é.estatística.média</v>
      </c>
      <c r="E1165" s="8" t="s">
        <v>28</v>
      </c>
      <c r="F1165" s="34" t="str">
        <f t="shared" si="680"/>
        <v>d.graduar</v>
      </c>
      <c r="G1165" s="13" t="s">
        <v>2252</v>
      </c>
      <c r="H1165" s="34" t="s">
        <v>35</v>
      </c>
      <c r="I1165" s="92" t="str">
        <f t="shared" si="673"/>
        <v>null</v>
      </c>
      <c r="J1165" s="80" t="s">
        <v>0</v>
      </c>
      <c r="K1165" s="80" t="s">
        <v>0</v>
      </c>
      <c r="L1165" s="80" t="s">
        <v>0</v>
      </c>
      <c r="M1165" s="80" t="s">
        <v>0</v>
      </c>
      <c r="N1165" s="80" t="s">
        <v>0</v>
      </c>
      <c r="O1165" s="80" t="s">
        <v>0</v>
      </c>
      <c r="P1165" s="80" t="s">
        <v>0</v>
      </c>
      <c r="Q1165" s="80" t="s">
        <v>0</v>
      </c>
      <c r="R1165" s="84" t="s">
        <v>0</v>
      </c>
      <c r="S1165" s="10" t="s">
        <v>1</v>
      </c>
      <c r="T1165" s="10" t="s">
        <v>10221</v>
      </c>
      <c r="U1165" s="5" t="str">
        <f t="shared" si="656"/>
        <v>Propriedade destinada a graduar: é.estatística.média</v>
      </c>
      <c r="V1165" s="5" t="str">
        <f t="shared" si="657"/>
        <v>Dado para graduar:  estatística.média  Deve ser formatado como (xsd:double)</v>
      </c>
      <c r="W1165" s="69" t="s">
        <v>6620</v>
      </c>
      <c r="X1165" s="17" t="str">
        <f t="shared" si="671"/>
        <v>d.gradu.104</v>
      </c>
      <c r="Y1165" s="17" t="str">
        <f t="shared" si="672"/>
        <v>Ação de graduar</v>
      </c>
      <c r="Z1165" s="62" t="s">
        <v>6622</v>
      </c>
      <c r="AA1165" s="18" t="str">
        <f t="shared" si="658"/>
        <v>null</v>
      </c>
      <c r="AB1165" s="19" t="s">
        <v>0</v>
      </c>
      <c r="AC1165" s="18" t="str">
        <f t="shared" si="659"/>
        <v>null</v>
      </c>
      <c r="AD1165" s="19" t="s">
        <v>0</v>
      </c>
      <c r="AE1165" s="18" t="str">
        <f t="shared" si="660"/>
        <v>null</v>
      </c>
      <c r="AF1165" s="75" t="s">
        <v>0</v>
      </c>
      <c r="AG1165" s="38" t="s">
        <v>8359</v>
      </c>
    </row>
    <row r="1166" spans="1:33" ht="6" customHeight="1" x14ac:dyDescent="0.4">
      <c r="A1166" s="4">
        <f>ROW()</f>
        <v>1166</v>
      </c>
      <c r="B1166" s="9" t="s">
        <v>27</v>
      </c>
      <c r="C1166" s="44" t="str">
        <f t="shared" si="687"/>
        <v>p.graduar</v>
      </c>
      <c r="D1166" s="6" t="str">
        <f t="shared" si="655"/>
        <v>é.estatística.mediana</v>
      </c>
      <c r="E1166" s="8" t="s">
        <v>28</v>
      </c>
      <c r="F1166" s="34" t="str">
        <f t="shared" si="680"/>
        <v>d.graduar</v>
      </c>
      <c r="G1166" s="13" t="s">
        <v>2250</v>
      </c>
      <c r="H1166" s="34" t="s">
        <v>35</v>
      </c>
      <c r="I1166" s="92" t="str">
        <f t="shared" si="673"/>
        <v>null</v>
      </c>
      <c r="J1166" s="80" t="s">
        <v>0</v>
      </c>
      <c r="K1166" s="80" t="s">
        <v>0</v>
      </c>
      <c r="L1166" s="80" t="s">
        <v>0</v>
      </c>
      <c r="M1166" s="80" t="s">
        <v>0</v>
      </c>
      <c r="N1166" s="80" t="s">
        <v>0</v>
      </c>
      <c r="O1166" s="80" t="s">
        <v>0</v>
      </c>
      <c r="P1166" s="80" t="s">
        <v>0</v>
      </c>
      <c r="Q1166" s="80" t="s">
        <v>0</v>
      </c>
      <c r="R1166" s="84" t="s">
        <v>0</v>
      </c>
      <c r="S1166" s="10" t="s">
        <v>1</v>
      </c>
      <c r="T1166" s="10" t="s">
        <v>10221</v>
      </c>
      <c r="U1166" s="5" t="str">
        <f t="shared" si="656"/>
        <v>Propriedade destinada a graduar: é.estatística.mediana</v>
      </c>
      <c r="V1166" s="5" t="str">
        <f t="shared" si="657"/>
        <v>Dado para graduar:  estatística.mediana  Deve ser formatado como (xsd:double)</v>
      </c>
      <c r="W1166" s="69" t="s">
        <v>6621</v>
      </c>
      <c r="X1166" s="17" t="str">
        <f t="shared" si="671"/>
        <v>d.gradu.105</v>
      </c>
      <c r="Y1166" s="17" t="str">
        <f t="shared" si="672"/>
        <v>Ação de graduar</v>
      </c>
      <c r="Z1166" s="62" t="s">
        <v>6623</v>
      </c>
      <c r="AA1166" s="18" t="str">
        <f t="shared" si="658"/>
        <v>null</v>
      </c>
      <c r="AB1166" s="19" t="s">
        <v>0</v>
      </c>
      <c r="AC1166" s="18" t="str">
        <f t="shared" si="659"/>
        <v>null</v>
      </c>
      <c r="AD1166" s="19" t="s">
        <v>0</v>
      </c>
      <c r="AE1166" s="18" t="str">
        <f t="shared" si="660"/>
        <v>null</v>
      </c>
      <c r="AF1166" s="75" t="s">
        <v>0</v>
      </c>
      <c r="AG1166" s="38" t="s">
        <v>8360</v>
      </c>
    </row>
    <row r="1167" spans="1:33" ht="6" customHeight="1" x14ac:dyDescent="0.4">
      <c r="A1167" s="4">
        <f>ROW()</f>
        <v>1167</v>
      </c>
      <c r="B1167" s="9" t="s">
        <v>27</v>
      </c>
      <c r="C1167" s="44" t="str">
        <f t="shared" si="687"/>
        <v>p.graduar</v>
      </c>
      <c r="D1167" s="6" t="str">
        <f t="shared" si="655"/>
        <v>é.estatística.moda</v>
      </c>
      <c r="E1167" s="8" t="s">
        <v>28</v>
      </c>
      <c r="F1167" s="34" t="str">
        <f t="shared" si="680"/>
        <v>d.graduar</v>
      </c>
      <c r="G1167" s="13" t="s">
        <v>2251</v>
      </c>
      <c r="H1167" s="34" t="s">
        <v>35</v>
      </c>
      <c r="I1167" s="92" t="str">
        <f t="shared" si="673"/>
        <v>null</v>
      </c>
      <c r="J1167" s="80" t="s">
        <v>0</v>
      </c>
      <c r="K1167" s="80" t="s">
        <v>0</v>
      </c>
      <c r="L1167" s="80" t="s">
        <v>0</v>
      </c>
      <c r="M1167" s="80" t="s">
        <v>0</v>
      </c>
      <c r="N1167" s="80" t="s">
        <v>0</v>
      </c>
      <c r="O1167" s="80" t="s">
        <v>0</v>
      </c>
      <c r="P1167" s="80" t="s">
        <v>0</v>
      </c>
      <c r="Q1167" s="80" t="s">
        <v>0</v>
      </c>
      <c r="R1167" s="84" t="s">
        <v>0</v>
      </c>
      <c r="S1167" s="10" t="s">
        <v>1</v>
      </c>
      <c r="T1167" s="10" t="s">
        <v>10221</v>
      </c>
      <c r="U1167" s="5" t="str">
        <f t="shared" si="656"/>
        <v>Propriedade destinada a graduar: é.estatística.moda</v>
      </c>
      <c r="V1167" s="5" t="str">
        <f t="shared" si="657"/>
        <v>Dado para graduar:  estatística.moda  Deve ser formatado como (xsd:double)</v>
      </c>
      <c r="W1167" s="69" t="s">
        <v>6619</v>
      </c>
      <c r="X1167" s="17" t="str">
        <f t="shared" si="671"/>
        <v>d.gradu.106</v>
      </c>
      <c r="Y1167" s="17" t="str">
        <f t="shared" si="672"/>
        <v>Ação de graduar</v>
      </c>
      <c r="Z1167" s="62" t="s">
        <v>6624</v>
      </c>
      <c r="AA1167" s="18" t="str">
        <f t="shared" si="658"/>
        <v>null</v>
      </c>
      <c r="AB1167" s="19" t="s">
        <v>0</v>
      </c>
      <c r="AC1167" s="18" t="str">
        <f t="shared" si="659"/>
        <v>null</v>
      </c>
      <c r="AD1167" s="19" t="s">
        <v>0</v>
      </c>
      <c r="AE1167" s="18" t="str">
        <f t="shared" si="660"/>
        <v>null</v>
      </c>
      <c r="AF1167" s="75" t="s">
        <v>0</v>
      </c>
      <c r="AG1167" s="38" t="s">
        <v>8361</v>
      </c>
    </row>
    <row r="1168" spans="1:33" ht="6" customHeight="1" x14ac:dyDescent="0.4">
      <c r="A1168" s="4">
        <f>ROW()</f>
        <v>1168</v>
      </c>
      <c r="B1168" s="9" t="s">
        <v>27</v>
      </c>
      <c r="C1168" s="44" t="str">
        <f t="shared" si="687"/>
        <v>p.graduar</v>
      </c>
      <c r="D1168" s="6" t="str">
        <f t="shared" si="655"/>
        <v>é.estatística.desvío.padrão</v>
      </c>
      <c r="E1168" s="8" t="s">
        <v>28</v>
      </c>
      <c r="F1168" s="34" t="str">
        <f t="shared" si="680"/>
        <v>d.graduar</v>
      </c>
      <c r="G1168" s="13" t="s">
        <v>2266</v>
      </c>
      <c r="H1168" s="34" t="s">
        <v>35</v>
      </c>
      <c r="I1168" s="92" t="str">
        <f t="shared" si="673"/>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56"/>
        <v>Propriedade destinada a graduar: é.estatística.desvío.padrão</v>
      </c>
      <c r="V1168" s="5" t="str">
        <f t="shared" si="657"/>
        <v>Dado para graduar:  estatística.desvío.padrão  Deve ser formatado como (xsd:double)</v>
      </c>
      <c r="W1168" s="69" t="s">
        <v>5594</v>
      </c>
      <c r="X1168" s="17" t="str">
        <f t="shared" si="671"/>
        <v>d.gradu.107</v>
      </c>
      <c r="Y1168" s="17" t="str">
        <f t="shared" si="672"/>
        <v>Ação de graduar</v>
      </c>
      <c r="Z1168" s="62" t="s">
        <v>4740</v>
      </c>
      <c r="AA1168" s="18" t="str">
        <f t="shared" si="658"/>
        <v>null</v>
      </c>
      <c r="AB1168" s="19" t="s">
        <v>0</v>
      </c>
      <c r="AC1168" s="18" t="str">
        <f t="shared" si="659"/>
        <v>null</v>
      </c>
      <c r="AD1168" s="19" t="s">
        <v>0</v>
      </c>
      <c r="AE1168" s="18" t="str">
        <f t="shared" si="660"/>
        <v>null</v>
      </c>
      <c r="AF1168" s="75" t="s">
        <v>0</v>
      </c>
      <c r="AG1168" s="38" t="s">
        <v>8362</v>
      </c>
    </row>
    <row r="1169" spans="1:33" ht="6" customHeight="1" x14ac:dyDescent="0.4">
      <c r="A1169" s="4">
        <f>ROW()</f>
        <v>1169</v>
      </c>
      <c r="B1169" s="9" t="s">
        <v>27</v>
      </c>
      <c r="C1169" s="44" t="str">
        <f t="shared" si="687"/>
        <v>p.graduar</v>
      </c>
      <c r="D1169" s="6" t="str">
        <f t="shared" si="655"/>
        <v>é.estatística.variância</v>
      </c>
      <c r="E1169" s="8" t="s">
        <v>28</v>
      </c>
      <c r="F1169" s="34" t="str">
        <f t="shared" si="680"/>
        <v>d.graduar</v>
      </c>
      <c r="G1169" s="13" t="s">
        <v>2265</v>
      </c>
      <c r="H1169" s="34" t="s">
        <v>35</v>
      </c>
      <c r="I1169" s="92" t="str">
        <f t="shared" si="673"/>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si="656"/>
        <v>Propriedade destinada a graduar: é.estatística.variância</v>
      </c>
      <c r="V1169" s="5" t="str">
        <f t="shared" si="657"/>
        <v>Dado para graduar:  estatística.variância  Deve ser formatado como (xsd:double)</v>
      </c>
      <c r="W1169" s="69" t="s">
        <v>5595</v>
      </c>
      <c r="X1169" s="17" t="str">
        <f t="shared" si="671"/>
        <v>d.gradu.108</v>
      </c>
      <c r="Y1169" s="17" t="str">
        <f t="shared" si="672"/>
        <v>Ação de graduar</v>
      </c>
      <c r="Z1169" s="62" t="s">
        <v>4741</v>
      </c>
      <c r="AA1169" s="18" t="str">
        <f t="shared" si="658"/>
        <v>null</v>
      </c>
      <c r="AB1169" s="19" t="s">
        <v>0</v>
      </c>
      <c r="AC1169" s="18" t="str">
        <f t="shared" si="659"/>
        <v>null</v>
      </c>
      <c r="AD1169" s="19" t="s">
        <v>0</v>
      </c>
      <c r="AE1169" s="18" t="str">
        <f t="shared" si="660"/>
        <v>null</v>
      </c>
      <c r="AF1169" s="75" t="s">
        <v>0</v>
      </c>
      <c r="AG1169" s="38" t="s">
        <v>8363</v>
      </c>
    </row>
    <row r="1170" spans="1:33" ht="6" customHeight="1" x14ac:dyDescent="0.4">
      <c r="A1170" s="4">
        <f>ROW()</f>
        <v>1170</v>
      </c>
      <c r="B1170" s="9" t="s">
        <v>27</v>
      </c>
      <c r="C1170" s="44" t="str">
        <f>SUBSTITUTE(F1170,"d.","p.")</f>
        <v>p.graduar</v>
      </c>
      <c r="D1170" s="6" t="str">
        <f t="shared" si="655"/>
        <v>é.valor.máximo</v>
      </c>
      <c r="E1170" s="8" t="s">
        <v>28</v>
      </c>
      <c r="F1170" s="34" t="str">
        <f t="shared" si="680"/>
        <v>d.graduar</v>
      </c>
      <c r="G1170" s="13" t="s">
        <v>2268</v>
      </c>
      <c r="H1170" s="34" t="s">
        <v>35</v>
      </c>
      <c r="I1170" s="92" t="str">
        <f t="shared" si="673"/>
        <v>null</v>
      </c>
      <c r="J1170" s="80" t="s">
        <v>0</v>
      </c>
      <c r="K1170" s="80" t="s">
        <v>0</v>
      </c>
      <c r="L1170" s="80" t="s">
        <v>0</v>
      </c>
      <c r="M1170" s="80" t="s">
        <v>0</v>
      </c>
      <c r="N1170" s="80" t="s">
        <v>0</v>
      </c>
      <c r="O1170" s="80" t="s">
        <v>0</v>
      </c>
      <c r="P1170" s="80" t="s">
        <v>0</v>
      </c>
      <c r="Q1170" s="80" t="s">
        <v>2270</v>
      </c>
      <c r="R1170" s="84" t="s">
        <v>0</v>
      </c>
      <c r="S1170" s="10" t="s">
        <v>1</v>
      </c>
      <c r="T1170" s="10" t="s">
        <v>10221</v>
      </c>
      <c r="U1170" s="5" t="str">
        <f t="shared" si="656"/>
        <v>Propriedade destinada a graduar: é.valor.máximo</v>
      </c>
      <c r="V1170" s="5" t="str">
        <f t="shared" si="657"/>
        <v>Dado para graduar:  valor.máximo  Deve ser formatado como (xsd:double)</v>
      </c>
      <c r="W1170" s="69" t="s">
        <v>6633</v>
      </c>
      <c r="X1170" s="17" t="str">
        <f t="shared" si="671"/>
        <v>d.gradu.109</v>
      </c>
      <c r="Y1170" s="17" t="str">
        <f t="shared" si="672"/>
        <v>Ação de graduar</v>
      </c>
      <c r="Z1170" s="62" t="s">
        <v>4742</v>
      </c>
      <c r="AA1170" s="18" t="str">
        <f t="shared" si="658"/>
        <v>null</v>
      </c>
      <c r="AB1170" s="19" t="s">
        <v>0</v>
      </c>
      <c r="AC1170" s="18" t="str">
        <f t="shared" si="659"/>
        <v>null</v>
      </c>
      <c r="AD1170" s="19" t="s">
        <v>0</v>
      </c>
      <c r="AE1170" s="18" t="str">
        <f t="shared" si="660"/>
        <v>null</v>
      </c>
      <c r="AF1170" s="75" t="s">
        <v>0</v>
      </c>
      <c r="AG1170" s="38" t="s">
        <v>8364</v>
      </c>
    </row>
    <row r="1171" spans="1:33" ht="6" customHeight="1" x14ac:dyDescent="0.4">
      <c r="A1171" s="4">
        <f>ROW()</f>
        <v>1171</v>
      </c>
      <c r="B1171" s="9" t="s">
        <v>27</v>
      </c>
      <c r="C1171" s="44" t="str">
        <f t="shared" si="687"/>
        <v>p.graduar</v>
      </c>
      <c r="D1171" s="6" t="str">
        <f t="shared" si="655"/>
        <v>é.valor.mínimo</v>
      </c>
      <c r="E1171" s="8" t="s">
        <v>28</v>
      </c>
      <c r="F1171" s="34" t="str">
        <f t="shared" si="680"/>
        <v>d.graduar</v>
      </c>
      <c r="G1171" s="13" t="s">
        <v>2269</v>
      </c>
      <c r="H1171" s="34" t="s">
        <v>35</v>
      </c>
      <c r="I1171" s="92" t="str">
        <f t="shared" si="673"/>
        <v>null</v>
      </c>
      <c r="J1171" s="80" t="s">
        <v>0</v>
      </c>
      <c r="K1171" s="80" t="s">
        <v>0</v>
      </c>
      <c r="L1171" s="80" t="s">
        <v>0</v>
      </c>
      <c r="M1171" s="80" t="s">
        <v>0</v>
      </c>
      <c r="N1171" s="80" t="s">
        <v>0</v>
      </c>
      <c r="O1171" s="80" t="s">
        <v>0</v>
      </c>
      <c r="P1171" s="80" t="s">
        <v>0</v>
      </c>
      <c r="Q1171" s="80" t="s">
        <v>2271</v>
      </c>
      <c r="R1171" s="84" t="s">
        <v>0</v>
      </c>
      <c r="S1171" s="10" t="s">
        <v>1</v>
      </c>
      <c r="T1171" s="10" t="s">
        <v>10221</v>
      </c>
      <c r="U1171" s="5" t="str">
        <f t="shared" si="656"/>
        <v>Propriedade destinada a graduar: é.valor.mínimo</v>
      </c>
      <c r="V1171" s="5" t="str">
        <f t="shared" si="657"/>
        <v>Dado para graduar:  valor.mínimo  Deve ser formatado como (xsd:double)</v>
      </c>
      <c r="W1171" s="69" t="s">
        <v>6632</v>
      </c>
      <c r="X1171" s="17" t="str">
        <f t="shared" si="671"/>
        <v>d.gradu.110</v>
      </c>
      <c r="Y1171" s="17" t="str">
        <f t="shared" si="672"/>
        <v>Ação de graduar</v>
      </c>
      <c r="Z1171" s="62" t="s">
        <v>4743</v>
      </c>
      <c r="AA1171" s="18" t="str">
        <f t="shared" si="658"/>
        <v>null</v>
      </c>
      <c r="AB1171" s="19" t="s">
        <v>0</v>
      </c>
      <c r="AC1171" s="18" t="str">
        <f t="shared" si="659"/>
        <v>null</v>
      </c>
      <c r="AD1171" s="19" t="s">
        <v>0</v>
      </c>
      <c r="AE1171" s="18" t="str">
        <f t="shared" si="660"/>
        <v>null</v>
      </c>
      <c r="AF1171" s="75" t="s">
        <v>0</v>
      </c>
      <c r="AG1171" s="38" t="s">
        <v>8365</v>
      </c>
    </row>
    <row r="1172" spans="1:33" ht="6" customHeight="1" x14ac:dyDescent="0.4">
      <c r="A1172" s="4">
        <f>ROW()</f>
        <v>1172</v>
      </c>
      <c r="B1172" s="9" t="s">
        <v>27</v>
      </c>
      <c r="C1172" s="44" t="str">
        <f t="shared" si="687"/>
        <v>p.graduar</v>
      </c>
      <c r="D1172" s="6" t="str">
        <f t="shared" si="655"/>
        <v>é.posição.alta</v>
      </c>
      <c r="E1172" s="8" t="s">
        <v>28</v>
      </c>
      <c r="F1172" s="34" t="str">
        <f t="shared" si="680"/>
        <v>d.graduar</v>
      </c>
      <c r="G1172" s="13" t="s">
        <v>2253</v>
      </c>
      <c r="H1172" s="34" t="s">
        <v>35</v>
      </c>
      <c r="I1172" s="92" t="str">
        <f t="shared" si="673"/>
        <v>null</v>
      </c>
      <c r="J1172" s="80" t="s">
        <v>0</v>
      </c>
      <c r="K1172" s="80" t="s">
        <v>0</v>
      </c>
      <c r="L1172" s="80" t="s">
        <v>0</v>
      </c>
      <c r="M1172" s="80" t="s">
        <v>0</v>
      </c>
      <c r="N1172" s="80" t="s">
        <v>0</v>
      </c>
      <c r="O1172" s="80" t="s">
        <v>0</v>
      </c>
      <c r="P1172" s="80" t="s">
        <v>0</v>
      </c>
      <c r="Q1172" s="80" t="s">
        <v>2259</v>
      </c>
      <c r="R1172" s="84" t="s">
        <v>2261</v>
      </c>
      <c r="S1172" s="10" t="s">
        <v>1</v>
      </c>
      <c r="T1172" s="10" t="s">
        <v>10221</v>
      </c>
      <c r="U1172" s="5" t="str">
        <f t="shared" si="656"/>
        <v>Propriedade destinada a graduar: é.posição.alta</v>
      </c>
      <c r="V1172" s="5" t="str">
        <f t="shared" si="657"/>
        <v>Dado para graduar:  posição.alta  Deve ser formatado como (xsd:double)</v>
      </c>
      <c r="W1172" s="69" t="s">
        <v>5596</v>
      </c>
      <c r="X1172" s="17" t="str">
        <f t="shared" si="671"/>
        <v>d.gradu.111</v>
      </c>
      <c r="Y1172" s="17" t="str">
        <f t="shared" si="672"/>
        <v>Ação de graduar</v>
      </c>
      <c r="Z1172" s="62" t="s">
        <v>4744</v>
      </c>
      <c r="AA1172" s="18" t="str">
        <f t="shared" si="658"/>
        <v>null</v>
      </c>
      <c r="AB1172" s="19" t="s">
        <v>0</v>
      </c>
      <c r="AC1172" s="18" t="str">
        <f t="shared" si="659"/>
        <v>null</v>
      </c>
      <c r="AD1172" s="19" t="s">
        <v>0</v>
      </c>
      <c r="AE1172" s="18" t="str">
        <f t="shared" si="660"/>
        <v>null</v>
      </c>
      <c r="AF1172" s="75" t="s">
        <v>0</v>
      </c>
      <c r="AG1172" s="38" t="s">
        <v>8366</v>
      </c>
    </row>
    <row r="1173" spans="1:33" ht="6" customHeight="1" x14ac:dyDescent="0.4">
      <c r="A1173" s="4">
        <f>ROW()</f>
        <v>1173</v>
      </c>
      <c r="B1173" s="9" t="s">
        <v>27</v>
      </c>
      <c r="C1173" s="44" t="str">
        <f t="shared" si="687"/>
        <v>p.graduar</v>
      </c>
      <c r="D1173" s="6" t="str">
        <f t="shared" si="655"/>
        <v>é.posição.alto</v>
      </c>
      <c r="E1173" s="8" t="s">
        <v>28</v>
      </c>
      <c r="F1173" s="34" t="str">
        <f t="shared" si="680"/>
        <v>d.graduar</v>
      </c>
      <c r="G1173" s="13" t="s">
        <v>2254</v>
      </c>
      <c r="H1173" s="34" t="s">
        <v>35</v>
      </c>
      <c r="I1173" s="92" t="str">
        <f t="shared" si="673"/>
        <v>null</v>
      </c>
      <c r="J1173" s="80" t="s">
        <v>0</v>
      </c>
      <c r="K1173" s="80" t="s">
        <v>0</v>
      </c>
      <c r="L1173" s="80" t="s">
        <v>0</v>
      </c>
      <c r="M1173" s="80" t="s">
        <v>0</v>
      </c>
      <c r="N1173" s="80" t="s">
        <v>0</v>
      </c>
      <c r="O1173" s="80" t="s">
        <v>0</v>
      </c>
      <c r="P1173" s="80" t="s">
        <v>0</v>
      </c>
      <c r="Q1173" s="80" t="s">
        <v>2262</v>
      </c>
      <c r="R1173" s="84" t="s">
        <v>2260</v>
      </c>
      <c r="S1173" s="10" t="s">
        <v>1</v>
      </c>
      <c r="T1173" s="10" t="s">
        <v>10221</v>
      </c>
      <c r="U1173" s="5" t="str">
        <f t="shared" si="656"/>
        <v>Propriedade destinada a graduar: é.posição.alto</v>
      </c>
      <c r="V1173" s="5" t="str">
        <f t="shared" si="657"/>
        <v>Dado para graduar:  posição.alto  Deve ser formatado como (xsd:double)</v>
      </c>
      <c r="W1173" s="69" t="s">
        <v>5597</v>
      </c>
      <c r="X1173" s="17" t="str">
        <f t="shared" si="671"/>
        <v>d.gradu.112</v>
      </c>
      <c r="Y1173" s="17" t="str">
        <f t="shared" si="672"/>
        <v>Ação de graduar</v>
      </c>
      <c r="Z1173" s="62" t="s">
        <v>4745</v>
      </c>
      <c r="AA1173" s="18" t="str">
        <f t="shared" si="658"/>
        <v>null</v>
      </c>
      <c r="AB1173" s="19" t="s">
        <v>0</v>
      </c>
      <c r="AC1173" s="18" t="str">
        <f t="shared" si="659"/>
        <v>null</v>
      </c>
      <c r="AD1173" s="19" t="s">
        <v>0</v>
      </c>
      <c r="AE1173" s="18" t="str">
        <f t="shared" si="660"/>
        <v>null</v>
      </c>
      <c r="AF1173" s="75" t="s">
        <v>0</v>
      </c>
      <c r="AG1173" s="38" t="s">
        <v>8367</v>
      </c>
    </row>
    <row r="1174" spans="1:33" ht="6" customHeight="1" x14ac:dyDescent="0.4">
      <c r="A1174" s="4">
        <f>ROW()</f>
        <v>1174</v>
      </c>
      <c r="B1174" s="9" t="s">
        <v>27</v>
      </c>
      <c r="C1174" s="44" t="str">
        <f t="shared" si="687"/>
        <v>p.graduar</v>
      </c>
      <c r="D1174" s="6" t="str">
        <f t="shared" si="655"/>
        <v>é.posição.baixa</v>
      </c>
      <c r="E1174" s="8" t="s">
        <v>28</v>
      </c>
      <c r="F1174" s="34" t="str">
        <f t="shared" si="680"/>
        <v>d.graduar</v>
      </c>
      <c r="G1174" s="13" t="s">
        <v>2255</v>
      </c>
      <c r="H1174" s="34" t="s">
        <v>35</v>
      </c>
      <c r="I1174" s="92" t="str">
        <f t="shared" si="673"/>
        <v>null</v>
      </c>
      <c r="J1174" s="80" t="s">
        <v>0</v>
      </c>
      <c r="K1174" s="80" t="s">
        <v>0</v>
      </c>
      <c r="L1174" s="80" t="s">
        <v>0</v>
      </c>
      <c r="M1174" s="80" t="s">
        <v>0</v>
      </c>
      <c r="N1174" s="80" t="s">
        <v>0</v>
      </c>
      <c r="O1174" s="80" t="s">
        <v>0</v>
      </c>
      <c r="P1174" s="80" t="s">
        <v>0</v>
      </c>
      <c r="Q1174" s="80" t="s">
        <v>2260</v>
      </c>
      <c r="R1174" s="84" t="s">
        <v>2262</v>
      </c>
      <c r="S1174" s="10" t="s">
        <v>1</v>
      </c>
      <c r="T1174" s="10" t="s">
        <v>10221</v>
      </c>
      <c r="U1174" s="5" t="str">
        <f t="shared" si="656"/>
        <v>Propriedade destinada a graduar: é.posição.baixa</v>
      </c>
      <c r="V1174" s="5" t="str">
        <f t="shared" si="657"/>
        <v>Dado para graduar:  posição.baixa  Deve ser formatado como (xsd:double)</v>
      </c>
      <c r="W1174" s="69" t="s">
        <v>5598</v>
      </c>
      <c r="X1174" s="17" t="str">
        <f t="shared" si="671"/>
        <v>d.gradu.113</v>
      </c>
      <c r="Y1174" s="17" t="str">
        <f t="shared" si="672"/>
        <v>Ação de graduar</v>
      </c>
      <c r="Z1174" s="62" t="s">
        <v>4746</v>
      </c>
      <c r="AA1174" s="18" t="str">
        <f t="shared" si="658"/>
        <v>null</v>
      </c>
      <c r="AB1174" s="19" t="s">
        <v>0</v>
      </c>
      <c r="AC1174" s="18" t="str">
        <f t="shared" si="659"/>
        <v>null</v>
      </c>
      <c r="AD1174" s="19" t="s">
        <v>0</v>
      </c>
      <c r="AE1174" s="18" t="str">
        <f t="shared" si="660"/>
        <v>null</v>
      </c>
      <c r="AF1174" s="75" t="s">
        <v>0</v>
      </c>
      <c r="AG1174" s="38" t="s">
        <v>8368</v>
      </c>
    </row>
    <row r="1175" spans="1:33" ht="6" customHeight="1" x14ac:dyDescent="0.4">
      <c r="A1175" s="4">
        <f>ROW()</f>
        <v>1175</v>
      </c>
      <c r="B1175" s="9" t="s">
        <v>27</v>
      </c>
      <c r="C1175" s="44" t="str">
        <f t="shared" si="687"/>
        <v>p.graduar</v>
      </c>
      <c r="D1175" s="6" t="str">
        <f t="shared" si="655"/>
        <v>é.posição.baixo</v>
      </c>
      <c r="E1175" s="8" t="s">
        <v>28</v>
      </c>
      <c r="F1175" s="34" t="str">
        <f t="shared" si="680"/>
        <v>d.graduar</v>
      </c>
      <c r="G1175" s="13" t="s">
        <v>2256</v>
      </c>
      <c r="H1175" s="34" t="s">
        <v>35</v>
      </c>
      <c r="I1175" s="92" t="str">
        <f t="shared" si="673"/>
        <v>null</v>
      </c>
      <c r="J1175" s="80" t="s">
        <v>0</v>
      </c>
      <c r="K1175" s="80" t="s">
        <v>0</v>
      </c>
      <c r="L1175" s="80" t="s">
        <v>0</v>
      </c>
      <c r="M1175" s="80" t="s">
        <v>0</v>
      </c>
      <c r="N1175" s="80" t="s">
        <v>0</v>
      </c>
      <c r="O1175" s="80" t="s">
        <v>0</v>
      </c>
      <c r="P1175" s="80" t="s">
        <v>0</v>
      </c>
      <c r="Q1175" s="80" t="s">
        <v>2261</v>
      </c>
      <c r="R1175" s="84" t="s">
        <v>2259</v>
      </c>
      <c r="S1175" s="10" t="s">
        <v>1</v>
      </c>
      <c r="T1175" s="10" t="s">
        <v>10221</v>
      </c>
      <c r="U1175" s="5" t="str">
        <f t="shared" si="656"/>
        <v>Propriedade destinada a graduar: é.posição.baixo</v>
      </c>
      <c r="V1175" s="5" t="str">
        <f t="shared" si="657"/>
        <v>Dado para graduar:  posição.baixo  Deve ser formatado como (xsd:double)</v>
      </c>
      <c r="W1175" s="69" t="s">
        <v>5599</v>
      </c>
      <c r="X1175" s="17" t="str">
        <f t="shared" si="671"/>
        <v>d.gradu.114</v>
      </c>
      <c r="Y1175" s="17" t="str">
        <f t="shared" si="672"/>
        <v>Ação de graduar</v>
      </c>
      <c r="Z1175" s="62" t="s">
        <v>4747</v>
      </c>
      <c r="AA1175" s="18" t="str">
        <f t="shared" si="658"/>
        <v>null</v>
      </c>
      <c r="AB1175" s="19" t="s">
        <v>0</v>
      </c>
      <c r="AC1175" s="18" t="str">
        <f t="shared" si="659"/>
        <v>null</v>
      </c>
      <c r="AD1175" s="19" t="s">
        <v>0</v>
      </c>
      <c r="AE1175" s="18" t="str">
        <f t="shared" si="660"/>
        <v>null</v>
      </c>
      <c r="AF1175" s="75" t="s">
        <v>0</v>
      </c>
      <c r="AG1175" s="38" t="s">
        <v>8369</v>
      </c>
    </row>
    <row r="1176" spans="1:33" ht="6" customHeight="1" x14ac:dyDescent="0.4">
      <c r="A1176" s="4">
        <f>ROW()</f>
        <v>1176</v>
      </c>
      <c r="B1176" s="9" t="s">
        <v>27</v>
      </c>
      <c r="C1176" s="44" t="str">
        <f t="shared" si="687"/>
        <v>p.graduar</v>
      </c>
      <c r="D1176" s="6" t="str">
        <f t="shared" si="655"/>
        <v>é.posição.média</v>
      </c>
      <c r="E1176" s="8" t="s">
        <v>28</v>
      </c>
      <c r="F1176" s="34" t="str">
        <f t="shared" si="680"/>
        <v>d.graduar</v>
      </c>
      <c r="G1176" s="13" t="s">
        <v>2257</v>
      </c>
      <c r="H1176" s="34" t="s">
        <v>35</v>
      </c>
      <c r="I1176" s="92" t="str">
        <f t="shared" si="673"/>
        <v>null</v>
      </c>
      <c r="J1176" s="80" t="s">
        <v>0</v>
      </c>
      <c r="K1176" s="80" t="s">
        <v>0</v>
      </c>
      <c r="L1176" s="80" t="s">
        <v>0</v>
      </c>
      <c r="M1176" s="80" t="s">
        <v>0</v>
      </c>
      <c r="N1176" s="80" t="s">
        <v>0</v>
      </c>
      <c r="O1176" s="80" t="s">
        <v>0</v>
      </c>
      <c r="P1176" s="80" t="s">
        <v>0</v>
      </c>
      <c r="Q1176" s="80" t="s">
        <v>0</v>
      </c>
      <c r="R1176" s="84" t="s">
        <v>2263</v>
      </c>
      <c r="S1176" s="10" t="s">
        <v>1</v>
      </c>
      <c r="T1176" s="10" t="s">
        <v>10221</v>
      </c>
      <c r="U1176" s="5" t="str">
        <f t="shared" si="656"/>
        <v>Propriedade destinada a graduar: é.posição.média</v>
      </c>
      <c r="V1176" s="5" t="str">
        <f t="shared" si="657"/>
        <v>Dado para graduar:  posição.média  Deve ser formatado como (xsd:double)</v>
      </c>
      <c r="W1176" s="69" t="s">
        <v>5600</v>
      </c>
      <c r="X1176" s="17" t="str">
        <f t="shared" si="671"/>
        <v>d.gradu.115</v>
      </c>
      <c r="Y1176" s="17" t="str">
        <f t="shared" si="672"/>
        <v>Ação de graduar</v>
      </c>
      <c r="Z1176" s="62" t="s">
        <v>4748</v>
      </c>
      <c r="AA1176" s="18" t="str">
        <f t="shared" si="658"/>
        <v>null</v>
      </c>
      <c r="AB1176" s="19" t="s">
        <v>0</v>
      </c>
      <c r="AC1176" s="18" t="str">
        <f t="shared" si="659"/>
        <v>null</v>
      </c>
      <c r="AD1176" s="19" t="s">
        <v>0</v>
      </c>
      <c r="AE1176" s="18" t="str">
        <f t="shared" si="660"/>
        <v>null</v>
      </c>
      <c r="AF1176" s="75" t="s">
        <v>0</v>
      </c>
      <c r="AG1176" s="38" t="s">
        <v>8370</v>
      </c>
    </row>
    <row r="1177" spans="1:33" ht="6" customHeight="1" x14ac:dyDescent="0.4">
      <c r="A1177" s="4">
        <f>ROW()</f>
        <v>1177</v>
      </c>
      <c r="B1177" s="9" t="s">
        <v>27</v>
      </c>
      <c r="C1177" s="44" t="str">
        <f t="shared" si="687"/>
        <v>p.graduar</v>
      </c>
      <c r="D1177" s="6" t="str">
        <f t="shared" si="655"/>
        <v>é.posição.médio</v>
      </c>
      <c r="E1177" s="8" t="s">
        <v>28</v>
      </c>
      <c r="F1177" s="34" t="str">
        <f t="shared" si="680"/>
        <v>d.graduar</v>
      </c>
      <c r="G1177" s="13" t="s">
        <v>2258</v>
      </c>
      <c r="H1177" s="34" t="s">
        <v>35</v>
      </c>
      <c r="I1177" s="92" t="str">
        <f t="shared" si="673"/>
        <v>null</v>
      </c>
      <c r="J1177" s="80" t="s">
        <v>0</v>
      </c>
      <c r="K1177" s="80" t="s">
        <v>0</v>
      </c>
      <c r="L1177" s="80" t="s">
        <v>0</v>
      </c>
      <c r="M1177" s="80" t="s">
        <v>0</v>
      </c>
      <c r="N1177" s="80" t="s">
        <v>0</v>
      </c>
      <c r="O1177" s="80" t="s">
        <v>0</v>
      </c>
      <c r="P1177" s="80" t="s">
        <v>0</v>
      </c>
      <c r="Q1177" s="80" t="s">
        <v>0</v>
      </c>
      <c r="R1177" s="84" t="s">
        <v>2264</v>
      </c>
      <c r="S1177" s="10" t="s">
        <v>1</v>
      </c>
      <c r="T1177" s="10" t="s">
        <v>10221</v>
      </c>
      <c r="U1177" s="5" t="str">
        <f t="shared" si="656"/>
        <v>Propriedade destinada a graduar: é.posição.médio</v>
      </c>
      <c r="V1177" s="5" t="str">
        <f t="shared" si="657"/>
        <v>Dado para graduar:  posição.médio  Deve ser formatado como (xsd:double)</v>
      </c>
      <c r="W1177" s="69" t="s">
        <v>5601</v>
      </c>
      <c r="X1177" s="17" t="str">
        <f t="shared" si="671"/>
        <v>d.gradu.116</v>
      </c>
      <c r="Y1177" s="17" t="str">
        <f t="shared" si="672"/>
        <v>Ação de graduar</v>
      </c>
      <c r="Z1177" s="62" t="s">
        <v>4748</v>
      </c>
      <c r="AA1177" s="18" t="str">
        <f t="shared" si="658"/>
        <v>null</v>
      </c>
      <c r="AB1177" s="19" t="s">
        <v>0</v>
      </c>
      <c r="AC1177" s="18" t="str">
        <f t="shared" si="659"/>
        <v>null</v>
      </c>
      <c r="AD1177" s="19" t="s">
        <v>0</v>
      </c>
      <c r="AE1177" s="18" t="str">
        <f t="shared" si="660"/>
        <v>null</v>
      </c>
      <c r="AF1177" s="75" t="s">
        <v>0</v>
      </c>
      <c r="AG1177" s="38" t="s">
        <v>8371</v>
      </c>
    </row>
    <row r="1178" spans="1:33" ht="6" customHeight="1" x14ac:dyDescent="0.4">
      <c r="A1178" s="4">
        <f>ROW()</f>
        <v>1178</v>
      </c>
      <c r="B1178" s="9" t="s">
        <v>27</v>
      </c>
      <c r="C1178" s="43" t="str">
        <f t="shared" ref="C1178" si="688">SUBSTITUTE(F1178,"d.","p.")</f>
        <v>p.guardar</v>
      </c>
      <c r="D1178" s="6" t="str">
        <f t="shared" ref="D1178:D1196" si="689">_xlfn.CONCAT("é.",G1178)</f>
        <v>é.bem.artístico</v>
      </c>
      <c r="E1178" s="8" t="s">
        <v>28</v>
      </c>
      <c r="F1178" s="40" t="s">
        <v>6592</v>
      </c>
      <c r="G1178" s="13" t="s">
        <v>6602</v>
      </c>
      <c r="H1178" s="33" t="s">
        <v>1581</v>
      </c>
      <c r="I1178" s="92" t="str">
        <f t="shared" si="673"/>
        <v>null</v>
      </c>
      <c r="J1178" s="80" t="s">
        <v>0</v>
      </c>
      <c r="K1178" s="80" t="s">
        <v>0</v>
      </c>
      <c r="L1178" s="80" t="s">
        <v>0</v>
      </c>
      <c r="M1178" s="80" t="s">
        <v>0</v>
      </c>
      <c r="N1178" s="80" t="s">
        <v>0</v>
      </c>
      <c r="O1178" s="80" t="s">
        <v>0</v>
      </c>
      <c r="P1178" s="80" t="s">
        <v>0</v>
      </c>
      <c r="Q1178" s="80" t="s">
        <v>0</v>
      </c>
      <c r="R1178" s="84" t="s">
        <v>0</v>
      </c>
      <c r="S1178" s="10" t="s">
        <v>1</v>
      </c>
      <c r="T1178" s="10" t="s">
        <v>10221</v>
      </c>
      <c r="U1178" s="5" t="str">
        <f t="shared" ref="U1178:U1196" si="690">_xlfn.CONCAT("Propriedade destinada a ",MID(C1178,FIND("p.",C1178,1)+2,100),": ",D1178)</f>
        <v>Propriedade destinada a guardar: é.bem.artístico</v>
      </c>
      <c r="V1178" s="5" t="str">
        <f t="shared" ref="V1178:V1196" si="691">_xlfn.CONCAT("Dado para ",MID(F1178,FIND("d.",F1178,1)+2,100),":  ",G1178, "  Deve ser formatado como (",H1178, ")")</f>
        <v>Dado para guardar:  bem.artístico  Deve ser formatado como (rdfs:Literal  or  xsd:string)</v>
      </c>
      <c r="W1178" s="69" t="s">
        <v>6601</v>
      </c>
      <c r="X1178" s="17" t="str">
        <f t="shared" si="671"/>
        <v>d.guard.100</v>
      </c>
      <c r="Y1178" s="17" t="str">
        <f t="shared" si="672"/>
        <v>Ação de guardar</v>
      </c>
      <c r="Z1178" s="62" t="s">
        <v>6740</v>
      </c>
      <c r="AA1178" s="18" t="str">
        <f t="shared" ref="AA1178:AA1196" si="692">IF(AB1178="null", "null", "categoria.revit")</f>
        <v>null</v>
      </c>
      <c r="AB1178" s="19" t="s">
        <v>0</v>
      </c>
      <c r="AC1178" s="18" t="str">
        <f t="shared" ref="AC1178:AC1196" si="693">IF(AD1178="null", "null", "classe.ifc")</f>
        <v>null</v>
      </c>
      <c r="AD1178" s="19" t="s">
        <v>0</v>
      </c>
      <c r="AE1178" s="18" t="str">
        <f t="shared" ref="AE1178:AE1196" si="694">IF(AF1178="null", "null", "propriedade")</f>
        <v>null</v>
      </c>
      <c r="AF1178" s="75" t="s">
        <v>0</v>
      </c>
      <c r="AG1178" s="38" t="s">
        <v>8372</v>
      </c>
    </row>
    <row r="1179" spans="1:33" ht="6" customHeight="1" x14ac:dyDescent="0.4">
      <c r="A1179" s="4">
        <f>ROW()</f>
        <v>1179</v>
      </c>
      <c r="B1179" s="9" t="s">
        <v>27</v>
      </c>
      <c r="C1179" s="44" t="str">
        <f t="shared" ref="C1179:C1187" si="695">SUBSTITUTE(F1179,"d.","p.")</f>
        <v>p.guardar</v>
      </c>
      <c r="D1179" s="6" t="str">
        <f t="shared" si="689"/>
        <v>é.bem.cultural</v>
      </c>
      <c r="E1179" s="8" t="s">
        <v>28</v>
      </c>
      <c r="F1179" s="34" t="str">
        <f t="shared" ref="F1179:F1186" si="696">F1178</f>
        <v>d.guardar</v>
      </c>
      <c r="G1179" s="13" t="s">
        <v>6603</v>
      </c>
      <c r="H1179" s="33" t="s">
        <v>1581</v>
      </c>
      <c r="I1179" s="92" t="str">
        <f t="shared" si="673"/>
        <v>null</v>
      </c>
      <c r="J1179" s="80" t="s">
        <v>0</v>
      </c>
      <c r="K1179" s="80" t="s">
        <v>0</v>
      </c>
      <c r="L1179" s="80" t="s">
        <v>0</v>
      </c>
      <c r="M1179" s="80" t="s">
        <v>0</v>
      </c>
      <c r="N1179" s="80" t="s">
        <v>0</v>
      </c>
      <c r="O1179" s="80" t="s">
        <v>0</v>
      </c>
      <c r="P1179" s="80" t="s">
        <v>0</v>
      </c>
      <c r="Q1179" s="80" t="s">
        <v>0</v>
      </c>
      <c r="R1179" s="84" t="s">
        <v>0</v>
      </c>
      <c r="S1179" s="10" t="s">
        <v>1</v>
      </c>
      <c r="T1179" s="10" t="s">
        <v>10221</v>
      </c>
      <c r="U1179" s="5" t="str">
        <f t="shared" si="690"/>
        <v>Propriedade destinada a guardar: é.bem.cultural</v>
      </c>
      <c r="V1179" s="5" t="str">
        <f t="shared" si="691"/>
        <v>Dado para guardar:  bem.cultural  Deve ser formatado como (rdfs:Literal  or  xsd:string)</v>
      </c>
      <c r="W1179" s="69" t="s">
        <v>6605</v>
      </c>
      <c r="X1179" s="17" t="str">
        <f t="shared" si="671"/>
        <v>d.guard.101</v>
      </c>
      <c r="Y1179" s="17" t="str">
        <f t="shared" si="672"/>
        <v>Ação de guardar</v>
      </c>
      <c r="Z1179" s="62" t="s">
        <v>6741</v>
      </c>
      <c r="AA1179" s="18" t="str">
        <f t="shared" si="692"/>
        <v>null</v>
      </c>
      <c r="AB1179" s="19" t="s">
        <v>0</v>
      </c>
      <c r="AC1179" s="18" t="str">
        <f t="shared" si="693"/>
        <v>null</v>
      </c>
      <c r="AD1179" s="19" t="s">
        <v>0</v>
      </c>
      <c r="AE1179" s="18" t="str">
        <f t="shared" si="694"/>
        <v>null</v>
      </c>
      <c r="AF1179" s="75" t="s">
        <v>0</v>
      </c>
      <c r="AG1179" s="38" t="s">
        <v>8373</v>
      </c>
    </row>
    <row r="1180" spans="1:33" ht="6" customHeight="1" x14ac:dyDescent="0.4">
      <c r="A1180" s="4">
        <f>ROW()</f>
        <v>1180</v>
      </c>
      <c r="B1180" s="9" t="s">
        <v>27</v>
      </c>
      <c r="C1180" s="44" t="str">
        <f t="shared" si="695"/>
        <v>p.guardar</v>
      </c>
      <c r="D1180" s="6" t="str">
        <f t="shared" si="689"/>
        <v>é.bem.espiritual</v>
      </c>
      <c r="E1180" s="8" t="s">
        <v>28</v>
      </c>
      <c r="F1180" s="34" t="str">
        <f t="shared" si="696"/>
        <v>d.guardar</v>
      </c>
      <c r="G1180" s="13" t="s">
        <v>6595</v>
      </c>
      <c r="H1180" s="33" t="s">
        <v>1581</v>
      </c>
      <c r="I1180" s="92" t="str">
        <f t="shared" si="673"/>
        <v>null</v>
      </c>
      <c r="J1180" s="80" t="s">
        <v>0</v>
      </c>
      <c r="K1180" s="80" t="s">
        <v>0</v>
      </c>
      <c r="L1180" s="80" t="s">
        <v>0</v>
      </c>
      <c r="M1180" s="80" t="s">
        <v>0</v>
      </c>
      <c r="N1180" s="80" t="s">
        <v>0</v>
      </c>
      <c r="O1180" s="80" t="s">
        <v>0</v>
      </c>
      <c r="P1180" s="80" t="s">
        <v>0</v>
      </c>
      <c r="Q1180" s="80" t="s">
        <v>0</v>
      </c>
      <c r="R1180" s="84" t="s">
        <v>0</v>
      </c>
      <c r="S1180" s="10" t="s">
        <v>1</v>
      </c>
      <c r="T1180" s="10" t="s">
        <v>10221</v>
      </c>
      <c r="U1180" s="5" t="str">
        <f t="shared" si="690"/>
        <v>Propriedade destinada a guardar: é.bem.espiritual</v>
      </c>
      <c r="V1180" s="5" t="str">
        <f t="shared" si="691"/>
        <v>Dado para guardar:  bem.espiritual  Deve ser formatado como (rdfs:Literal  or  xsd:string)</v>
      </c>
      <c r="W1180" s="69" t="s">
        <v>6598</v>
      </c>
      <c r="X1180" s="17" t="str">
        <f t="shared" si="671"/>
        <v>d.guard.102</v>
      </c>
      <c r="Y1180" s="17" t="str">
        <f t="shared" si="672"/>
        <v>Ação de guardar</v>
      </c>
      <c r="Z1180" s="62" t="s">
        <v>6742</v>
      </c>
      <c r="AA1180" s="18" t="str">
        <f t="shared" si="692"/>
        <v>null</v>
      </c>
      <c r="AB1180" s="19" t="s">
        <v>0</v>
      </c>
      <c r="AC1180" s="18" t="str">
        <f t="shared" si="693"/>
        <v>null</v>
      </c>
      <c r="AD1180" s="19" t="s">
        <v>0</v>
      </c>
      <c r="AE1180" s="18" t="str">
        <f t="shared" si="694"/>
        <v>null</v>
      </c>
      <c r="AF1180" s="75" t="s">
        <v>0</v>
      </c>
      <c r="AG1180" s="38" t="s">
        <v>8374</v>
      </c>
    </row>
    <row r="1181" spans="1:33" ht="6" customHeight="1" x14ac:dyDescent="0.4">
      <c r="A1181" s="4">
        <f>ROW()</f>
        <v>1181</v>
      </c>
      <c r="B1181" s="9" t="s">
        <v>27</v>
      </c>
      <c r="C1181" s="44" t="str">
        <f t="shared" si="695"/>
        <v>p.guardar</v>
      </c>
      <c r="D1181" s="6" t="str">
        <f t="shared" si="689"/>
        <v>é.bem.histórico</v>
      </c>
      <c r="E1181" s="8" t="s">
        <v>28</v>
      </c>
      <c r="F1181" s="34" t="str">
        <f t="shared" si="696"/>
        <v>d.guardar</v>
      </c>
      <c r="G1181" s="13" t="s">
        <v>6596</v>
      </c>
      <c r="H1181" s="33" t="s">
        <v>1581</v>
      </c>
      <c r="I1181" s="92" t="str">
        <f t="shared" si="673"/>
        <v>null</v>
      </c>
      <c r="J1181" s="80" t="s">
        <v>0</v>
      </c>
      <c r="K1181" s="80" t="s">
        <v>0</v>
      </c>
      <c r="L1181" s="80" t="s">
        <v>0</v>
      </c>
      <c r="M1181" s="80" t="s">
        <v>0</v>
      </c>
      <c r="N1181" s="80" t="s">
        <v>0</v>
      </c>
      <c r="O1181" s="80" t="s">
        <v>0</v>
      </c>
      <c r="P1181" s="80" t="s">
        <v>0</v>
      </c>
      <c r="Q1181" s="80" t="s">
        <v>0</v>
      </c>
      <c r="R1181" s="84" t="s">
        <v>0</v>
      </c>
      <c r="S1181" s="10" t="s">
        <v>1</v>
      </c>
      <c r="T1181" s="10" t="s">
        <v>10221</v>
      </c>
      <c r="U1181" s="5" t="str">
        <f t="shared" si="690"/>
        <v>Propriedade destinada a guardar: é.bem.histórico</v>
      </c>
      <c r="V1181" s="5" t="str">
        <f t="shared" si="691"/>
        <v>Dado para guardar:  bem.histórico  Deve ser formatado como (rdfs:Literal  or  xsd:string)</v>
      </c>
      <c r="W1181" s="69" t="s">
        <v>6599</v>
      </c>
      <c r="X1181" s="17" t="str">
        <f t="shared" si="671"/>
        <v>d.guard.103</v>
      </c>
      <c r="Y1181" s="17" t="str">
        <f t="shared" si="672"/>
        <v>Ação de guardar</v>
      </c>
      <c r="Z1181" s="62" t="s">
        <v>6743</v>
      </c>
      <c r="AA1181" s="18" t="str">
        <f t="shared" si="692"/>
        <v>null</v>
      </c>
      <c r="AB1181" s="19" t="s">
        <v>0</v>
      </c>
      <c r="AC1181" s="18" t="str">
        <f t="shared" si="693"/>
        <v>null</v>
      </c>
      <c r="AD1181" s="19" t="s">
        <v>0</v>
      </c>
      <c r="AE1181" s="18" t="str">
        <f t="shared" si="694"/>
        <v>null</v>
      </c>
      <c r="AF1181" s="75" t="s">
        <v>0</v>
      </c>
      <c r="AG1181" s="38" t="s">
        <v>8375</v>
      </c>
    </row>
    <row r="1182" spans="1:33" ht="6" customHeight="1" x14ac:dyDescent="0.4">
      <c r="A1182" s="4">
        <f>ROW()</f>
        <v>1182</v>
      </c>
      <c r="B1182" s="9" t="s">
        <v>27</v>
      </c>
      <c r="C1182" s="44" t="str">
        <f t="shared" si="695"/>
        <v>p.guardar</v>
      </c>
      <c r="D1182" s="6" t="str">
        <f t="shared" si="689"/>
        <v>é.bem.intelectual</v>
      </c>
      <c r="E1182" s="8" t="s">
        <v>28</v>
      </c>
      <c r="F1182" s="34" t="str">
        <f t="shared" si="696"/>
        <v>d.guardar</v>
      </c>
      <c r="G1182" s="13" t="s">
        <v>6607</v>
      </c>
      <c r="H1182" s="33" t="s">
        <v>1581</v>
      </c>
      <c r="I1182" s="92" t="str">
        <f t="shared" si="673"/>
        <v>null</v>
      </c>
      <c r="J1182" s="80" t="s">
        <v>0</v>
      </c>
      <c r="K1182" s="80" t="s">
        <v>0</v>
      </c>
      <c r="L1182" s="80" t="s">
        <v>0</v>
      </c>
      <c r="M1182" s="80" t="s">
        <v>0</v>
      </c>
      <c r="N1182" s="80" t="s">
        <v>0</v>
      </c>
      <c r="O1182" s="80" t="s">
        <v>0</v>
      </c>
      <c r="P1182" s="80" t="s">
        <v>0</v>
      </c>
      <c r="Q1182" s="80" t="s">
        <v>0</v>
      </c>
      <c r="R1182" s="84" t="s">
        <v>0</v>
      </c>
      <c r="S1182" s="10" t="s">
        <v>1</v>
      </c>
      <c r="T1182" s="10" t="s">
        <v>10221</v>
      </c>
      <c r="U1182" s="5" t="str">
        <f t="shared" si="690"/>
        <v>Propriedade destinada a guardar: é.bem.intelectual</v>
      </c>
      <c r="V1182" s="5" t="str">
        <f t="shared" si="691"/>
        <v>Dado para guardar:  bem.intelectual  Deve ser formatado como (rdfs:Literal  or  xsd:string)</v>
      </c>
      <c r="W1182" s="69" t="s">
        <v>6609</v>
      </c>
      <c r="X1182" s="17" t="str">
        <f t="shared" si="671"/>
        <v>d.guard.104</v>
      </c>
      <c r="Y1182" s="17" t="str">
        <f t="shared" si="672"/>
        <v>Ação de guardar</v>
      </c>
      <c r="Z1182" s="62" t="s">
        <v>6744</v>
      </c>
      <c r="AA1182" s="18" t="str">
        <f t="shared" si="692"/>
        <v>null</v>
      </c>
      <c r="AB1182" s="19" t="s">
        <v>0</v>
      </c>
      <c r="AC1182" s="18" t="str">
        <f t="shared" si="693"/>
        <v>null</v>
      </c>
      <c r="AD1182" s="19" t="s">
        <v>0</v>
      </c>
      <c r="AE1182" s="18" t="str">
        <f t="shared" si="694"/>
        <v>null</v>
      </c>
      <c r="AF1182" s="75" t="s">
        <v>0</v>
      </c>
      <c r="AG1182" s="38" t="s">
        <v>8376</v>
      </c>
    </row>
    <row r="1183" spans="1:33" ht="6" customHeight="1" x14ac:dyDescent="0.4">
      <c r="A1183" s="4">
        <f>ROW()</f>
        <v>1183</v>
      </c>
      <c r="B1183" s="9" t="s">
        <v>27</v>
      </c>
      <c r="C1183" s="44" t="str">
        <f t="shared" si="695"/>
        <v>p.guardar</v>
      </c>
      <c r="D1183" s="6" t="str">
        <f t="shared" si="689"/>
        <v>é.bem.legal</v>
      </c>
      <c r="E1183" s="8" t="s">
        <v>28</v>
      </c>
      <c r="F1183" s="34" t="str">
        <f t="shared" si="696"/>
        <v>d.guardar</v>
      </c>
      <c r="G1183" s="13" t="s">
        <v>6608</v>
      </c>
      <c r="H1183" s="33" t="s">
        <v>1581</v>
      </c>
      <c r="I1183" s="92" t="str">
        <f t="shared" si="673"/>
        <v>null</v>
      </c>
      <c r="J1183" s="80" t="s">
        <v>0</v>
      </c>
      <c r="K1183" s="80" t="s">
        <v>0</v>
      </c>
      <c r="L1183" s="80" t="s">
        <v>0</v>
      </c>
      <c r="M1183" s="80" t="s">
        <v>0</v>
      </c>
      <c r="N1183" s="80" t="s">
        <v>0</v>
      </c>
      <c r="O1183" s="80" t="s">
        <v>0</v>
      </c>
      <c r="P1183" s="80" t="s">
        <v>0</v>
      </c>
      <c r="Q1183" s="80" t="s">
        <v>0</v>
      </c>
      <c r="R1183" s="84" t="s">
        <v>0</v>
      </c>
      <c r="S1183" s="10" t="s">
        <v>1</v>
      </c>
      <c r="T1183" s="10" t="s">
        <v>10221</v>
      </c>
      <c r="U1183" s="5" t="str">
        <f t="shared" si="690"/>
        <v>Propriedade destinada a guardar: é.bem.legal</v>
      </c>
      <c r="V1183" s="5" t="str">
        <f t="shared" si="691"/>
        <v>Dado para guardar:  bem.legal  Deve ser formatado como (rdfs:Literal  or  xsd:string)</v>
      </c>
      <c r="W1183" s="69" t="s">
        <v>6610</v>
      </c>
      <c r="X1183" s="17" t="str">
        <f t="shared" si="671"/>
        <v>d.guard.105</v>
      </c>
      <c r="Y1183" s="17" t="str">
        <f t="shared" si="672"/>
        <v>Ação de guardar</v>
      </c>
      <c r="Z1183" s="62" t="s">
        <v>6745</v>
      </c>
      <c r="AA1183" s="18" t="str">
        <f t="shared" si="692"/>
        <v>null</v>
      </c>
      <c r="AB1183" s="19" t="s">
        <v>0</v>
      </c>
      <c r="AC1183" s="18" t="str">
        <f t="shared" si="693"/>
        <v>null</v>
      </c>
      <c r="AD1183" s="19" t="s">
        <v>0</v>
      </c>
      <c r="AE1183" s="18" t="str">
        <f t="shared" si="694"/>
        <v>null</v>
      </c>
      <c r="AF1183" s="75" t="s">
        <v>0</v>
      </c>
      <c r="AG1183" s="38" t="s">
        <v>8377</v>
      </c>
    </row>
    <row r="1184" spans="1:33" ht="6" customHeight="1" x14ac:dyDescent="0.4">
      <c r="A1184" s="4">
        <f>ROW()</f>
        <v>1184</v>
      </c>
      <c r="B1184" s="9" t="s">
        <v>27</v>
      </c>
      <c r="C1184" s="44" t="str">
        <f t="shared" si="695"/>
        <v>p.guardar</v>
      </c>
      <c r="D1184" s="6" t="str">
        <f t="shared" si="689"/>
        <v>é.bem.material</v>
      </c>
      <c r="E1184" s="8" t="s">
        <v>28</v>
      </c>
      <c r="F1184" s="34" t="str">
        <f t="shared" si="696"/>
        <v>d.guardar</v>
      </c>
      <c r="G1184" s="13" t="s">
        <v>6594</v>
      </c>
      <c r="H1184" s="33" t="s">
        <v>1581</v>
      </c>
      <c r="I1184" s="92" t="str">
        <f t="shared" si="673"/>
        <v>null</v>
      </c>
      <c r="J1184" s="80" t="s">
        <v>0</v>
      </c>
      <c r="K1184" s="80" t="s">
        <v>0</v>
      </c>
      <c r="L1184" s="80" t="s">
        <v>0</v>
      </c>
      <c r="M1184" s="80" t="s">
        <v>0</v>
      </c>
      <c r="N1184" s="80" t="s">
        <v>0</v>
      </c>
      <c r="O1184" s="80" t="s">
        <v>0</v>
      </c>
      <c r="P1184" s="80" t="s">
        <v>0</v>
      </c>
      <c r="Q1184" s="80" t="s">
        <v>0</v>
      </c>
      <c r="R1184" s="84" t="s">
        <v>0</v>
      </c>
      <c r="S1184" s="10" t="s">
        <v>1</v>
      </c>
      <c r="T1184" s="10" t="s">
        <v>10221</v>
      </c>
      <c r="U1184" s="5" t="str">
        <f t="shared" si="690"/>
        <v>Propriedade destinada a guardar: é.bem.material</v>
      </c>
      <c r="V1184" s="5" t="str">
        <f t="shared" si="691"/>
        <v>Dado para guardar:  bem.material  Deve ser formatado como (rdfs:Literal  or  xsd:string)</v>
      </c>
      <c r="W1184" s="69" t="s">
        <v>6593</v>
      </c>
      <c r="X1184" s="17" t="str">
        <f t="shared" si="671"/>
        <v>d.guard.106</v>
      </c>
      <c r="Y1184" s="17" t="str">
        <f t="shared" si="672"/>
        <v>Ação de guardar</v>
      </c>
      <c r="Z1184" s="62" t="s">
        <v>6746</v>
      </c>
      <c r="AA1184" s="18" t="str">
        <f t="shared" si="692"/>
        <v>null</v>
      </c>
      <c r="AB1184" s="19" t="s">
        <v>0</v>
      </c>
      <c r="AC1184" s="18" t="str">
        <f t="shared" si="693"/>
        <v>null</v>
      </c>
      <c r="AD1184" s="19" t="s">
        <v>0</v>
      </c>
      <c r="AE1184" s="18" t="str">
        <f t="shared" si="694"/>
        <v>null</v>
      </c>
      <c r="AF1184" s="75" t="s">
        <v>0</v>
      </c>
      <c r="AG1184" s="38" t="s">
        <v>8378</v>
      </c>
    </row>
    <row r="1185" spans="1:33" ht="6" customHeight="1" x14ac:dyDescent="0.4">
      <c r="A1185" s="4">
        <f>ROW()</f>
        <v>1185</v>
      </c>
      <c r="B1185" s="9" t="s">
        <v>27</v>
      </c>
      <c r="C1185" s="44" t="str">
        <f t="shared" si="695"/>
        <v>p.guardar</v>
      </c>
      <c r="D1185" s="6" t="str">
        <f t="shared" si="689"/>
        <v>é.bem.natural</v>
      </c>
      <c r="E1185" s="8" t="s">
        <v>28</v>
      </c>
      <c r="F1185" s="34" t="str">
        <f t="shared" si="696"/>
        <v>d.guardar</v>
      </c>
      <c r="G1185" s="13" t="s">
        <v>6604</v>
      </c>
      <c r="H1185" s="33" t="s">
        <v>1581</v>
      </c>
      <c r="I1185" s="92" t="str">
        <f t="shared" si="673"/>
        <v>null</v>
      </c>
      <c r="J1185" s="80" t="s">
        <v>0</v>
      </c>
      <c r="K1185" s="80" t="s">
        <v>0</v>
      </c>
      <c r="L1185" s="80" t="s">
        <v>0</v>
      </c>
      <c r="M1185" s="80" t="s">
        <v>0</v>
      </c>
      <c r="N1185" s="80" t="s">
        <v>0</v>
      </c>
      <c r="O1185" s="80" t="s">
        <v>0</v>
      </c>
      <c r="P1185" s="80" t="s">
        <v>0</v>
      </c>
      <c r="Q1185" s="80" t="s">
        <v>0</v>
      </c>
      <c r="R1185" s="84" t="s">
        <v>0</v>
      </c>
      <c r="S1185" s="10" t="s">
        <v>1</v>
      </c>
      <c r="T1185" s="10" t="s">
        <v>10221</v>
      </c>
      <c r="U1185" s="5" t="str">
        <f t="shared" si="690"/>
        <v>Propriedade destinada a guardar: é.bem.natural</v>
      </c>
      <c r="V1185" s="5" t="str">
        <f t="shared" si="691"/>
        <v>Dado para guardar:  bem.natural  Deve ser formatado como (rdfs:Literal  or  xsd:string)</v>
      </c>
      <c r="W1185" s="69" t="s">
        <v>6606</v>
      </c>
      <c r="X1185" s="17" t="str">
        <f t="shared" si="671"/>
        <v>d.guard.107</v>
      </c>
      <c r="Y1185" s="17" t="str">
        <f t="shared" si="672"/>
        <v>Ação de guardar</v>
      </c>
      <c r="Z1185" s="62" t="s">
        <v>6747</v>
      </c>
      <c r="AA1185" s="18" t="str">
        <f t="shared" si="692"/>
        <v>null</v>
      </c>
      <c r="AB1185" s="19" t="s">
        <v>0</v>
      </c>
      <c r="AC1185" s="18" t="str">
        <f t="shared" si="693"/>
        <v>null</v>
      </c>
      <c r="AD1185" s="19" t="s">
        <v>0</v>
      </c>
      <c r="AE1185" s="18" t="str">
        <f t="shared" si="694"/>
        <v>null</v>
      </c>
      <c r="AF1185" s="75" t="s">
        <v>0</v>
      </c>
      <c r="AG1185" s="38" t="s">
        <v>8379</v>
      </c>
    </row>
    <row r="1186" spans="1:33" ht="6" customHeight="1" x14ac:dyDescent="0.4">
      <c r="A1186" s="4">
        <f>ROW()</f>
        <v>1186</v>
      </c>
      <c r="B1186" s="9" t="s">
        <v>27</v>
      </c>
      <c r="C1186" s="44" t="str">
        <f t="shared" si="695"/>
        <v>p.guardar</v>
      </c>
      <c r="D1186" s="6" t="str">
        <f t="shared" si="689"/>
        <v>é.bem.patrimonial</v>
      </c>
      <c r="E1186" s="8" t="s">
        <v>28</v>
      </c>
      <c r="F1186" s="34" t="str">
        <f t="shared" si="696"/>
        <v>d.guardar</v>
      </c>
      <c r="G1186" s="13" t="s">
        <v>6597</v>
      </c>
      <c r="H1186" s="33" t="s">
        <v>1581</v>
      </c>
      <c r="I1186" s="92" t="str">
        <f t="shared" si="673"/>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si="690"/>
        <v>Propriedade destinada a guardar: é.bem.patrimonial</v>
      </c>
      <c r="V1186" s="5" t="str">
        <f t="shared" si="691"/>
        <v>Dado para guardar:  bem.patrimonial  Deve ser formatado como (rdfs:Literal  or  xsd:string)</v>
      </c>
      <c r="W1186" s="69" t="s">
        <v>6600</v>
      </c>
      <c r="X1186" s="17" t="str">
        <f t="shared" si="671"/>
        <v>d.guard.108</v>
      </c>
      <c r="Y1186" s="17" t="str">
        <f t="shared" si="672"/>
        <v>Ação de guardar</v>
      </c>
      <c r="Z1186" s="62" t="s">
        <v>6748</v>
      </c>
      <c r="AA1186" s="18" t="str">
        <f t="shared" si="692"/>
        <v>null</v>
      </c>
      <c r="AB1186" s="19" t="s">
        <v>0</v>
      </c>
      <c r="AC1186" s="18" t="str">
        <f t="shared" si="693"/>
        <v>null</v>
      </c>
      <c r="AD1186" s="19" t="s">
        <v>0</v>
      </c>
      <c r="AE1186" s="18" t="str">
        <f t="shared" si="694"/>
        <v>null</v>
      </c>
      <c r="AF1186" s="75" t="s">
        <v>0</v>
      </c>
      <c r="AG1186" s="38" t="s">
        <v>8380</v>
      </c>
    </row>
    <row r="1187" spans="1:33" ht="6" customHeight="1" x14ac:dyDescent="0.4">
      <c r="A1187" s="4">
        <f>ROW()</f>
        <v>1187</v>
      </c>
      <c r="B1187" s="9" t="s">
        <v>27</v>
      </c>
      <c r="C1187" s="43" t="str">
        <f t="shared" si="695"/>
        <v>p.habilitar</v>
      </c>
      <c r="D1187" s="6" t="str">
        <f t="shared" si="689"/>
        <v>é.detran.a</v>
      </c>
      <c r="E1187" s="8" t="s">
        <v>28</v>
      </c>
      <c r="F1187" s="40" t="s">
        <v>6914</v>
      </c>
      <c r="G1187" s="13" t="s">
        <v>6905</v>
      </c>
      <c r="H1187" s="33" t="s">
        <v>1581</v>
      </c>
      <c r="I1187" s="92" t="str">
        <f t="shared" si="673"/>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90"/>
        <v>Propriedade destinada a habilitar: é.detran.a</v>
      </c>
      <c r="V1187" s="5" t="str">
        <f t="shared" si="691"/>
        <v>Dado para habilitar:  detran.a  Deve ser formatado como (rdfs:Literal  or  xsd:string)</v>
      </c>
      <c r="W1187" s="71" t="s">
        <v>7065</v>
      </c>
      <c r="X1187" s="17" t="str">
        <f t="shared" si="671"/>
        <v>d.habil.100</v>
      </c>
      <c r="Y1187" s="17" t="str">
        <f t="shared" si="672"/>
        <v>Ação de habilitar</v>
      </c>
      <c r="Z1187" s="62" t="s">
        <v>7076</v>
      </c>
      <c r="AA1187" s="18" t="str">
        <f t="shared" si="692"/>
        <v>categoria.revit</v>
      </c>
      <c r="AB1187" s="19" t="s">
        <v>3919</v>
      </c>
      <c r="AC1187" s="18" t="str">
        <f t="shared" si="693"/>
        <v>classe.ifc</v>
      </c>
      <c r="AD1187" s="19" t="s">
        <v>6927</v>
      </c>
      <c r="AE1187" s="18" t="str">
        <f t="shared" si="694"/>
        <v>null</v>
      </c>
      <c r="AF1187" s="75" t="s">
        <v>0</v>
      </c>
      <c r="AG1187" s="38" t="s">
        <v>8381</v>
      </c>
    </row>
    <row r="1188" spans="1:33" ht="6" customHeight="1" x14ac:dyDescent="0.4">
      <c r="A1188" s="4">
        <f>ROW()</f>
        <v>1188</v>
      </c>
      <c r="B1188" s="9" t="s">
        <v>27</v>
      </c>
      <c r="C1188" s="44" t="str">
        <f>SUBSTITUTE(F1188,"d.","p.")</f>
        <v>p.habilitar</v>
      </c>
      <c r="D1188" s="6" t="str">
        <f t="shared" si="689"/>
        <v>é.detran.ab</v>
      </c>
      <c r="E1188" s="8" t="s">
        <v>28</v>
      </c>
      <c r="F1188" s="34" t="str">
        <f t="shared" ref="F1188:F1195" si="697">F1187</f>
        <v>d.habilitar</v>
      </c>
      <c r="G1188" s="13" t="s">
        <v>6906</v>
      </c>
      <c r="H1188" s="33" t="s">
        <v>1581</v>
      </c>
      <c r="I1188" s="92" t="str">
        <f t="shared" si="673"/>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90"/>
        <v>Propriedade destinada a habilitar: é.detran.ab</v>
      </c>
      <c r="V1188" s="5" t="str">
        <f t="shared" si="691"/>
        <v>Dado para habilitar:  detran.ab  Deve ser formatado como (rdfs:Literal  or  xsd:string)</v>
      </c>
      <c r="W1188" s="69" t="s">
        <v>7066</v>
      </c>
      <c r="X1188" s="17" t="str">
        <f t="shared" si="671"/>
        <v>d.habil.101</v>
      </c>
      <c r="Y1188" s="17" t="str">
        <f t="shared" si="672"/>
        <v>Ação de habilitar</v>
      </c>
      <c r="Z1188" s="62" t="s">
        <v>7077</v>
      </c>
      <c r="AA1188" s="18" t="str">
        <f t="shared" si="692"/>
        <v>categoria.revit</v>
      </c>
      <c r="AB1188" s="19" t="s">
        <v>3919</v>
      </c>
      <c r="AC1188" s="18" t="str">
        <f t="shared" si="693"/>
        <v>classe.ifc</v>
      </c>
      <c r="AD1188" s="19" t="s">
        <v>6927</v>
      </c>
      <c r="AE1188" s="18" t="str">
        <f t="shared" si="694"/>
        <v>null</v>
      </c>
      <c r="AF1188" s="75" t="s">
        <v>0</v>
      </c>
      <c r="AG1188" s="38" t="s">
        <v>8382</v>
      </c>
    </row>
    <row r="1189" spans="1:33" ht="6" customHeight="1" x14ac:dyDescent="0.4">
      <c r="A1189" s="4">
        <f>ROW()</f>
        <v>1189</v>
      </c>
      <c r="B1189" s="9" t="s">
        <v>27</v>
      </c>
      <c r="C1189" s="44" t="str">
        <f t="shared" ref="C1189:C1196" si="698">SUBSTITUTE(F1189,"d.","p.")</f>
        <v>p.habilitar</v>
      </c>
      <c r="D1189" s="6" t="str">
        <f t="shared" si="689"/>
        <v>é.detran.ac</v>
      </c>
      <c r="E1189" s="8" t="s">
        <v>28</v>
      </c>
      <c r="F1189" s="34" t="str">
        <f t="shared" si="697"/>
        <v>d.habilitar</v>
      </c>
      <c r="G1189" s="13" t="s">
        <v>6907</v>
      </c>
      <c r="H1189" s="33" t="s">
        <v>1581</v>
      </c>
      <c r="I1189" s="92" t="str">
        <f t="shared" si="673"/>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90"/>
        <v>Propriedade destinada a habilitar: é.detran.ac</v>
      </c>
      <c r="V1189" s="5" t="str">
        <f t="shared" si="691"/>
        <v>Dado para habilitar:  detran.ac  Deve ser formatado como (rdfs:Literal  or  xsd:string)</v>
      </c>
      <c r="W1189" s="69" t="s">
        <v>7067</v>
      </c>
      <c r="X1189" s="17" t="str">
        <f t="shared" si="671"/>
        <v>d.habil.102</v>
      </c>
      <c r="Y1189" s="17" t="str">
        <f t="shared" si="672"/>
        <v>Ação de habilitar</v>
      </c>
      <c r="Z1189" s="62" t="s">
        <v>7078</v>
      </c>
      <c r="AA1189" s="18" t="str">
        <f t="shared" si="692"/>
        <v>categoria.revit</v>
      </c>
      <c r="AB1189" s="19" t="s">
        <v>3919</v>
      </c>
      <c r="AC1189" s="18" t="str">
        <f t="shared" si="693"/>
        <v>classe.ifc</v>
      </c>
      <c r="AD1189" s="19" t="s">
        <v>6927</v>
      </c>
      <c r="AE1189" s="18" t="str">
        <f t="shared" si="694"/>
        <v>null</v>
      </c>
      <c r="AF1189" s="75" t="s">
        <v>0</v>
      </c>
      <c r="AG1189" s="38" t="s">
        <v>8383</v>
      </c>
    </row>
    <row r="1190" spans="1:33" ht="6" customHeight="1" x14ac:dyDescent="0.4">
      <c r="A1190" s="4">
        <f>ROW()</f>
        <v>1190</v>
      </c>
      <c r="B1190" s="9" t="s">
        <v>27</v>
      </c>
      <c r="C1190" s="44" t="str">
        <f t="shared" si="698"/>
        <v>p.habilitar</v>
      </c>
      <c r="D1190" s="6" t="str">
        <f t="shared" si="689"/>
        <v>é.detran.ad</v>
      </c>
      <c r="E1190" s="8" t="s">
        <v>28</v>
      </c>
      <c r="F1190" s="34" t="str">
        <f t="shared" si="697"/>
        <v>d.habilitar</v>
      </c>
      <c r="G1190" s="13" t="s">
        <v>6908</v>
      </c>
      <c r="H1190" s="33" t="s">
        <v>1581</v>
      </c>
      <c r="I1190" s="92" t="str">
        <f t="shared" si="673"/>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90"/>
        <v>Propriedade destinada a habilitar: é.detran.ad</v>
      </c>
      <c r="V1190" s="5" t="str">
        <f t="shared" si="691"/>
        <v>Dado para habilitar:  detran.ad  Deve ser formatado como (rdfs:Literal  or  xsd:string)</v>
      </c>
      <c r="W1190" s="69" t="s">
        <v>7068</v>
      </c>
      <c r="X1190" s="17" t="str">
        <f t="shared" si="671"/>
        <v>d.habil.103</v>
      </c>
      <c r="Y1190" s="17" t="str">
        <f t="shared" si="672"/>
        <v>Ação de habilitar</v>
      </c>
      <c r="Z1190" s="62" t="s">
        <v>7079</v>
      </c>
      <c r="AA1190" s="18" t="str">
        <f t="shared" si="692"/>
        <v>categoria.revit</v>
      </c>
      <c r="AB1190" s="19" t="s">
        <v>3919</v>
      </c>
      <c r="AC1190" s="18" t="str">
        <f t="shared" si="693"/>
        <v>classe.ifc</v>
      </c>
      <c r="AD1190" s="19" t="s">
        <v>6927</v>
      </c>
      <c r="AE1190" s="18" t="str">
        <f t="shared" si="694"/>
        <v>null</v>
      </c>
      <c r="AF1190" s="75" t="s">
        <v>0</v>
      </c>
      <c r="AG1190" s="38" t="s">
        <v>8384</v>
      </c>
    </row>
    <row r="1191" spans="1:33" ht="6" customHeight="1" x14ac:dyDescent="0.4">
      <c r="A1191" s="4">
        <f>ROW()</f>
        <v>1191</v>
      </c>
      <c r="B1191" s="9" t="s">
        <v>27</v>
      </c>
      <c r="C1191" s="44" t="str">
        <f t="shared" si="698"/>
        <v>p.habilitar</v>
      </c>
      <c r="D1191" s="6" t="str">
        <f t="shared" si="689"/>
        <v>é.detran.ae</v>
      </c>
      <c r="E1191" s="8" t="s">
        <v>28</v>
      </c>
      <c r="F1191" s="34" t="str">
        <f t="shared" si="697"/>
        <v>d.habilitar</v>
      </c>
      <c r="G1191" s="13" t="s">
        <v>6909</v>
      </c>
      <c r="H1191" s="33" t="s">
        <v>1581</v>
      </c>
      <c r="I1191" s="92" t="str">
        <f t="shared" si="673"/>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90"/>
        <v>Propriedade destinada a habilitar: é.detran.ae</v>
      </c>
      <c r="V1191" s="5" t="str">
        <f t="shared" si="691"/>
        <v>Dado para habilitar:  detran.ae  Deve ser formatado como (rdfs:Literal  or  xsd:string)</v>
      </c>
      <c r="W1191" s="69" t="s">
        <v>7069</v>
      </c>
      <c r="X1191" s="17" t="str">
        <f t="shared" si="671"/>
        <v>d.habil.104</v>
      </c>
      <c r="Y1191" s="17" t="str">
        <f t="shared" si="672"/>
        <v>Ação de habilitar</v>
      </c>
      <c r="Z1191" s="62" t="s">
        <v>7080</v>
      </c>
      <c r="AA1191" s="18" t="str">
        <f t="shared" si="692"/>
        <v>categoria.revit</v>
      </c>
      <c r="AB1191" s="19" t="s">
        <v>3919</v>
      </c>
      <c r="AC1191" s="18" t="str">
        <f t="shared" si="693"/>
        <v>classe.ifc</v>
      </c>
      <c r="AD1191" s="19" t="s">
        <v>6927</v>
      </c>
      <c r="AE1191" s="18" t="str">
        <f t="shared" si="694"/>
        <v>null</v>
      </c>
      <c r="AF1191" s="75" t="s">
        <v>0</v>
      </c>
      <c r="AG1191" s="38" t="s">
        <v>8385</v>
      </c>
    </row>
    <row r="1192" spans="1:33" ht="6" customHeight="1" x14ac:dyDescent="0.4">
      <c r="A1192" s="4">
        <f>ROW()</f>
        <v>1192</v>
      </c>
      <c r="B1192" s="9" t="s">
        <v>27</v>
      </c>
      <c r="C1192" s="44" t="str">
        <f t="shared" si="698"/>
        <v>p.habilitar</v>
      </c>
      <c r="D1192" s="6" t="str">
        <f t="shared" si="689"/>
        <v>é.detran.b</v>
      </c>
      <c r="E1192" s="8" t="s">
        <v>28</v>
      </c>
      <c r="F1192" s="34" t="str">
        <f t="shared" si="697"/>
        <v>d.habilitar</v>
      </c>
      <c r="G1192" s="13" t="s">
        <v>6910</v>
      </c>
      <c r="H1192" s="33" t="s">
        <v>1581</v>
      </c>
      <c r="I1192" s="92" t="str">
        <f t="shared" si="673"/>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90"/>
        <v>Propriedade destinada a habilitar: é.detran.b</v>
      </c>
      <c r="V1192" s="5" t="str">
        <f t="shared" si="691"/>
        <v>Dado para habilitar:  detran.b  Deve ser formatado como (rdfs:Literal  or  xsd:string)</v>
      </c>
      <c r="W1192" s="69" t="s">
        <v>7070</v>
      </c>
      <c r="X1192" s="17" t="str">
        <f t="shared" si="671"/>
        <v>d.habil.105</v>
      </c>
      <c r="Y1192" s="17" t="str">
        <f t="shared" si="672"/>
        <v>Ação de habilitar</v>
      </c>
      <c r="Z1192" s="62" t="s">
        <v>7075</v>
      </c>
      <c r="AA1192" s="18" t="str">
        <f t="shared" si="692"/>
        <v>categoria.revit</v>
      </c>
      <c r="AB1192" s="19" t="s">
        <v>3919</v>
      </c>
      <c r="AC1192" s="18" t="str">
        <f t="shared" si="693"/>
        <v>classe.ifc</v>
      </c>
      <c r="AD1192" s="19" t="s">
        <v>6926</v>
      </c>
      <c r="AE1192" s="18" t="str">
        <f t="shared" si="694"/>
        <v>null</v>
      </c>
      <c r="AF1192" s="75" t="s">
        <v>0</v>
      </c>
      <c r="AG1192" s="38" t="s">
        <v>8386</v>
      </c>
    </row>
    <row r="1193" spans="1:33" ht="6" customHeight="1" x14ac:dyDescent="0.4">
      <c r="A1193" s="4">
        <f>ROW()</f>
        <v>1193</v>
      </c>
      <c r="B1193" s="9" t="s">
        <v>27</v>
      </c>
      <c r="C1193" s="44" t="str">
        <f t="shared" si="698"/>
        <v>p.habilitar</v>
      </c>
      <c r="D1193" s="6" t="str">
        <f t="shared" si="689"/>
        <v>é.detran.c</v>
      </c>
      <c r="E1193" s="8" t="s">
        <v>28</v>
      </c>
      <c r="F1193" s="34" t="str">
        <f t="shared" si="697"/>
        <v>d.habilitar</v>
      </c>
      <c r="G1193" s="13" t="s">
        <v>6911</v>
      </c>
      <c r="H1193" s="34" t="s">
        <v>1581</v>
      </c>
      <c r="I1193" s="92" t="str">
        <f t="shared" si="673"/>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90"/>
        <v>Propriedade destinada a habilitar: é.detran.c</v>
      </c>
      <c r="V1193" s="5" t="str">
        <f t="shared" si="691"/>
        <v>Dado para habilitar:  detran.c  Deve ser formatado como (rdfs:Literal  or  xsd:string)</v>
      </c>
      <c r="W1193" s="69" t="s">
        <v>7071</v>
      </c>
      <c r="X1193" s="17" t="str">
        <f t="shared" si="671"/>
        <v>d.habil.106</v>
      </c>
      <c r="Y1193" s="17" t="str">
        <f t="shared" si="672"/>
        <v>Ação de habilitar</v>
      </c>
      <c r="Z1193" s="62" t="s">
        <v>7074</v>
      </c>
      <c r="AA1193" s="18" t="str">
        <f t="shared" si="692"/>
        <v>categoria.revit</v>
      </c>
      <c r="AB1193" s="19" t="s">
        <v>3919</v>
      </c>
      <c r="AC1193" s="18" t="str">
        <f t="shared" si="693"/>
        <v>classe.ifc</v>
      </c>
      <c r="AD1193" s="19" t="s">
        <v>6926</v>
      </c>
      <c r="AE1193" s="18" t="str">
        <f t="shared" si="694"/>
        <v>null</v>
      </c>
      <c r="AF1193" s="75" t="s">
        <v>0</v>
      </c>
      <c r="AG1193" s="38" t="s">
        <v>8387</v>
      </c>
    </row>
    <row r="1194" spans="1:33" ht="6" customHeight="1" x14ac:dyDescent="0.4">
      <c r="A1194" s="4">
        <f>ROW()</f>
        <v>1194</v>
      </c>
      <c r="B1194" s="9" t="s">
        <v>27</v>
      </c>
      <c r="C1194" s="44" t="str">
        <f t="shared" si="698"/>
        <v>p.habilitar</v>
      </c>
      <c r="D1194" s="6" t="str">
        <f t="shared" si="689"/>
        <v>é.detran.d</v>
      </c>
      <c r="E1194" s="8" t="s">
        <v>28</v>
      </c>
      <c r="F1194" s="34" t="str">
        <f t="shared" si="697"/>
        <v>d.habilitar</v>
      </c>
      <c r="G1194" s="13" t="s">
        <v>6912</v>
      </c>
      <c r="H1194" s="34" t="s">
        <v>1581</v>
      </c>
      <c r="I1194" s="92" t="str">
        <f t="shared" si="673"/>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90"/>
        <v>Propriedade destinada a habilitar: é.detran.d</v>
      </c>
      <c r="V1194" s="5" t="str">
        <f t="shared" si="691"/>
        <v>Dado para habilitar:  detran.d  Deve ser formatado como (rdfs:Literal  or  xsd:string)</v>
      </c>
      <c r="W1194" s="71" t="s">
        <v>7072</v>
      </c>
      <c r="X1194" s="17" t="str">
        <f t="shared" si="671"/>
        <v>d.habil.107</v>
      </c>
      <c r="Y1194" s="17" t="str">
        <f t="shared" si="672"/>
        <v>Ação de habilitar</v>
      </c>
      <c r="Z1194" s="62" t="s">
        <v>7081</v>
      </c>
      <c r="AA1194" s="18" t="str">
        <f t="shared" si="692"/>
        <v>categoria.revit</v>
      </c>
      <c r="AB1194" s="19" t="s">
        <v>3919</v>
      </c>
      <c r="AC1194" s="18" t="str">
        <f t="shared" si="693"/>
        <v>classe.ifc</v>
      </c>
      <c r="AD1194" s="19" t="s">
        <v>6927</v>
      </c>
      <c r="AE1194" s="18" t="str">
        <f t="shared" si="694"/>
        <v>null</v>
      </c>
      <c r="AF1194" s="75" t="s">
        <v>0</v>
      </c>
      <c r="AG1194" s="38" t="s">
        <v>8388</v>
      </c>
    </row>
    <row r="1195" spans="1:33" ht="6" customHeight="1" x14ac:dyDescent="0.4">
      <c r="A1195" s="4">
        <f>ROW()</f>
        <v>1195</v>
      </c>
      <c r="B1195" s="9" t="s">
        <v>27</v>
      </c>
      <c r="C1195" s="44" t="str">
        <f t="shared" si="698"/>
        <v>p.habilitar</v>
      </c>
      <c r="D1195" s="6" t="str">
        <f t="shared" si="689"/>
        <v>é.detran.e</v>
      </c>
      <c r="E1195" s="8" t="s">
        <v>28</v>
      </c>
      <c r="F1195" s="34" t="str">
        <f t="shared" si="697"/>
        <v>d.habilitar</v>
      </c>
      <c r="G1195" s="13" t="s">
        <v>6913</v>
      </c>
      <c r="H1195" s="34" t="s">
        <v>1581</v>
      </c>
      <c r="I1195" s="92" t="str">
        <f t="shared" si="673"/>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90"/>
        <v>Propriedade destinada a habilitar: é.detran.e</v>
      </c>
      <c r="V1195" s="5" t="str">
        <f t="shared" si="691"/>
        <v>Dado para habilitar:  detran.e  Deve ser formatado como (rdfs:Literal  or  xsd:string)</v>
      </c>
      <c r="W1195" s="71" t="s">
        <v>7073</v>
      </c>
      <c r="X1195" s="17" t="str">
        <f t="shared" si="671"/>
        <v>d.habil.108</v>
      </c>
      <c r="Y1195" s="17" t="str">
        <f t="shared" si="672"/>
        <v>Ação de habilitar</v>
      </c>
      <c r="Z1195" s="62" t="s">
        <v>7082</v>
      </c>
      <c r="AA1195" s="18" t="str">
        <f t="shared" si="692"/>
        <v>categoria.revit</v>
      </c>
      <c r="AB1195" s="19" t="s">
        <v>3919</v>
      </c>
      <c r="AC1195" s="18" t="str">
        <f t="shared" si="693"/>
        <v>classe.ifc</v>
      </c>
      <c r="AD1195" s="19" t="s">
        <v>6927</v>
      </c>
      <c r="AE1195" s="18" t="str">
        <f t="shared" si="694"/>
        <v>null</v>
      </c>
      <c r="AF1195" s="75" t="s">
        <v>0</v>
      </c>
      <c r="AG1195" s="38" t="s">
        <v>8389</v>
      </c>
    </row>
    <row r="1196" spans="1:33" ht="6" customHeight="1" x14ac:dyDescent="0.4">
      <c r="A1196" s="4">
        <f>ROW()</f>
        <v>1196</v>
      </c>
      <c r="B1196" s="9" t="s">
        <v>27</v>
      </c>
      <c r="C1196" s="43" t="str">
        <f t="shared" si="698"/>
        <v>p.identificar</v>
      </c>
      <c r="D1196" s="6" t="str">
        <f t="shared" si="689"/>
        <v>é.alias</v>
      </c>
      <c r="E1196" s="8" t="s">
        <v>28</v>
      </c>
      <c r="F1196" s="41" t="s">
        <v>2189</v>
      </c>
      <c r="G1196" s="14" t="s">
        <v>2246</v>
      </c>
      <c r="H1196" s="33" t="s">
        <v>1581</v>
      </c>
      <c r="I1196" s="92" t="str">
        <f t="shared" si="673"/>
        <v>null</v>
      </c>
      <c r="J1196" s="82" t="s">
        <v>0</v>
      </c>
      <c r="K1196" s="82" t="s">
        <v>0</v>
      </c>
      <c r="L1196" s="82" t="s">
        <v>0</v>
      </c>
      <c r="M1196" s="82" t="s">
        <v>0</v>
      </c>
      <c r="N1196" s="80" t="s">
        <v>0</v>
      </c>
      <c r="O1196" s="82" t="s">
        <v>0</v>
      </c>
      <c r="P1196" s="82" t="s">
        <v>0</v>
      </c>
      <c r="Q1196" s="82" t="s">
        <v>0</v>
      </c>
      <c r="R1196" s="84" t="s">
        <v>2248</v>
      </c>
      <c r="S1196" s="10" t="s">
        <v>1</v>
      </c>
      <c r="T1196" s="10" t="s">
        <v>10221</v>
      </c>
      <c r="U1196" s="5" t="str">
        <f t="shared" si="690"/>
        <v>Propriedade destinada a identificar: é.alias</v>
      </c>
      <c r="V1196" s="5" t="str">
        <f t="shared" si="691"/>
        <v>Dado para identificar:  alias  Deve ser formatado como (rdfs:Literal  or  xsd:string)</v>
      </c>
      <c r="W1196" s="69" t="s">
        <v>5602</v>
      </c>
      <c r="X1196" s="17" t="str">
        <f t="shared" si="671"/>
        <v>d.ident.100</v>
      </c>
      <c r="Y1196" s="17" t="str">
        <f t="shared" si="672"/>
        <v>Ação de identificar</v>
      </c>
      <c r="Z1196" s="62" t="s">
        <v>4208</v>
      </c>
      <c r="AA1196" s="18" t="str">
        <f t="shared" si="692"/>
        <v>null</v>
      </c>
      <c r="AB1196" s="19" t="s">
        <v>0</v>
      </c>
      <c r="AC1196" s="18" t="str">
        <f t="shared" si="693"/>
        <v>null</v>
      </c>
      <c r="AD1196" s="19" t="s">
        <v>0</v>
      </c>
      <c r="AE1196" s="18" t="str">
        <f t="shared" si="694"/>
        <v>null</v>
      </c>
      <c r="AF1196" s="75" t="s">
        <v>0</v>
      </c>
      <c r="AG1196" s="38" t="s">
        <v>8390</v>
      </c>
    </row>
    <row r="1197" spans="1:33" ht="6" customHeight="1" x14ac:dyDescent="0.4">
      <c r="A1197" s="4">
        <f>ROW()</f>
        <v>1197</v>
      </c>
      <c r="B1197" s="9" t="s">
        <v>27</v>
      </c>
      <c r="C1197" s="44" t="str">
        <f t="shared" ref="C1197:C1228" si="699">SUBSTITUTE(F1197,"d.","p.")</f>
        <v>p.identificar</v>
      </c>
      <c r="D1197" s="6" t="str">
        <f t="shared" ref="D1197:D1228" si="700">_xlfn.CONCAT("é.",G1197)</f>
        <v>é.apelido</v>
      </c>
      <c r="E1197" s="8" t="s">
        <v>28</v>
      </c>
      <c r="F1197" s="34" t="str">
        <f t="shared" ref="F1197:F1223" si="701">F1196</f>
        <v>d.identificar</v>
      </c>
      <c r="G1197" s="14" t="s">
        <v>981</v>
      </c>
      <c r="H1197" s="33" t="s">
        <v>1581</v>
      </c>
      <c r="I1197" s="92" t="str">
        <f t="shared" si="673"/>
        <v>null</v>
      </c>
      <c r="J1197" s="82" t="s">
        <v>0</v>
      </c>
      <c r="K1197" s="82" t="s">
        <v>0</v>
      </c>
      <c r="L1197" s="82" t="s">
        <v>0</v>
      </c>
      <c r="M1197" s="82" t="s">
        <v>0</v>
      </c>
      <c r="N1197" s="80" t="s">
        <v>0</v>
      </c>
      <c r="O1197" s="82" t="s">
        <v>0</v>
      </c>
      <c r="P1197" s="82" t="s">
        <v>0</v>
      </c>
      <c r="Q1197" s="82" t="s">
        <v>0</v>
      </c>
      <c r="R1197" s="84" t="s">
        <v>2247</v>
      </c>
      <c r="S1197" s="10" t="s">
        <v>1</v>
      </c>
      <c r="T1197" s="10" t="s">
        <v>10221</v>
      </c>
      <c r="U1197" s="5" t="str">
        <f t="shared" ref="U1197:U1228" si="702">_xlfn.CONCAT("Propriedade destinada a ",MID(C1197,FIND("p.",C1197,1)+2,100),": ",D1197)</f>
        <v>Propriedade destinada a identificar: é.apelido</v>
      </c>
      <c r="V1197" s="5" t="str">
        <f t="shared" ref="V1197:V1228" si="703">_xlfn.CONCAT("Dado para ",MID(F1197,FIND("d.",F1197,1)+2,100),":  ",G1197, "  Deve ser formatado como (",H1197, ")")</f>
        <v>Dado para identificar:  apelido  Deve ser formatado como (rdfs:Literal  or  xsd:string)</v>
      </c>
      <c r="W1197" s="69" t="s">
        <v>5603</v>
      </c>
      <c r="X1197" s="17" t="str">
        <f t="shared" si="671"/>
        <v>d.ident.101</v>
      </c>
      <c r="Y1197" s="17" t="str">
        <f t="shared" si="672"/>
        <v>Ação de identificar</v>
      </c>
      <c r="Z1197" s="62" t="s">
        <v>4209</v>
      </c>
      <c r="AA1197" s="18" t="str">
        <f t="shared" ref="AA1197:AA1228" si="704">IF(AB1197="null", "null", "categoria.revit")</f>
        <v>null</v>
      </c>
      <c r="AB1197" s="19" t="s">
        <v>0</v>
      </c>
      <c r="AC1197" s="18" t="str">
        <f t="shared" ref="AC1197:AC1228" si="705">IF(AD1197="null", "null", "classe.ifc")</f>
        <v>null</v>
      </c>
      <c r="AD1197" s="19" t="s">
        <v>0</v>
      </c>
      <c r="AE1197" s="18" t="str">
        <f t="shared" ref="AE1197:AE1228" si="706">IF(AF1197="null", "null", "propriedade")</f>
        <v>null</v>
      </c>
      <c r="AF1197" s="75" t="s">
        <v>0</v>
      </c>
      <c r="AG1197" s="38" t="s">
        <v>8391</v>
      </c>
    </row>
    <row r="1198" spans="1:33" ht="6" customHeight="1" x14ac:dyDescent="0.4">
      <c r="A1198" s="4">
        <f>ROW()</f>
        <v>1198</v>
      </c>
      <c r="B1198" s="9" t="s">
        <v>27</v>
      </c>
      <c r="C1198" s="44" t="str">
        <f t="shared" si="699"/>
        <v>p.identificar</v>
      </c>
      <c r="D1198" s="6" t="str">
        <f t="shared" si="700"/>
        <v>é.atividade.econômica</v>
      </c>
      <c r="E1198" s="8" t="s">
        <v>28</v>
      </c>
      <c r="F1198" s="34" t="str">
        <f t="shared" si="701"/>
        <v>d.identificar</v>
      </c>
      <c r="G1198" s="14" t="s">
        <v>1709</v>
      </c>
      <c r="H1198" s="33" t="s">
        <v>1581</v>
      </c>
      <c r="I1198" s="92" t="str">
        <f t="shared" si="673"/>
        <v>null</v>
      </c>
      <c r="J1198" s="82" t="s">
        <v>0</v>
      </c>
      <c r="K1198" s="82" t="s">
        <v>0</v>
      </c>
      <c r="L1198" s="82" t="s">
        <v>0</v>
      </c>
      <c r="M1198" s="82" t="s">
        <v>0</v>
      </c>
      <c r="N1198" s="80" t="s">
        <v>0</v>
      </c>
      <c r="O1198" s="82" t="s">
        <v>0</v>
      </c>
      <c r="P1198" s="82" t="s">
        <v>0</v>
      </c>
      <c r="Q1198" s="82" t="s">
        <v>0</v>
      </c>
      <c r="R1198" s="84" t="s">
        <v>0</v>
      </c>
      <c r="S1198" s="10" t="s">
        <v>1</v>
      </c>
      <c r="T1198" s="10" t="s">
        <v>10221</v>
      </c>
      <c r="U1198" s="5" t="str">
        <f t="shared" si="702"/>
        <v>Propriedade destinada a identificar: é.atividade.econômica</v>
      </c>
      <c r="V1198" s="5" t="str">
        <f t="shared" si="703"/>
        <v>Dado para identificar:  atividade.econômica  Deve ser formatado como (rdfs:Literal  or  xsd:string)</v>
      </c>
      <c r="W1198" s="69" t="s">
        <v>5604</v>
      </c>
      <c r="X1198" s="17" t="str">
        <f t="shared" si="671"/>
        <v>d.ident.102</v>
      </c>
      <c r="Y1198" s="17" t="str">
        <f t="shared" si="672"/>
        <v>Ação de identificar</v>
      </c>
      <c r="Z1198" s="62" t="s">
        <v>4210</v>
      </c>
      <c r="AA1198" s="18" t="str">
        <f t="shared" si="704"/>
        <v>null</v>
      </c>
      <c r="AB1198" s="19" t="s">
        <v>0</v>
      </c>
      <c r="AC1198" s="18" t="str">
        <f t="shared" si="705"/>
        <v>null</v>
      </c>
      <c r="AD1198" s="19" t="s">
        <v>0</v>
      </c>
      <c r="AE1198" s="18" t="str">
        <f t="shared" si="706"/>
        <v>null</v>
      </c>
      <c r="AF1198" s="75" t="s">
        <v>0</v>
      </c>
      <c r="AG1198" s="38" t="s">
        <v>8392</v>
      </c>
    </row>
    <row r="1199" spans="1:33" ht="6" customHeight="1" x14ac:dyDescent="0.4">
      <c r="A1199" s="4">
        <f>ROW()</f>
        <v>1199</v>
      </c>
      <c r="B1199" s="9" t="s">
        <v>27</v>
      </c>
      <c r="C1199" s="44" t="str">
        <f t="shared" si="699"/>
        <v>p.identificar</v>
      </c>
      <c r="D1199" s="6" t="str">
        <f t="shared" si="700"/>
        <v>é.bitola</v>
      </c>
      <c r="E1199" s="8" t="s">
        <v>28</v>
      </c>
      <c r="F1199" s="34" t="str">
        <f t="shared" si="701"/>
        <v>d.identificar</v>
      </c>
      <c r="G1199" s="14" t="s">
        <v>1174</v>
      </c>
      <c r="H1199" s="33" t="s">
        <v>1581</v>
      </c>
      <c r="I1199" s="92" t="str">
        <f t="shared" si="673"/>
        <v>null</v>
      </c>
      <c r="J1199" s="82" t="s">
        <v>0</v>
      </c>
      <c r="K1199" s="82" t="s">
        <v>0</v>
      </c>
      <c r="L1199" s="82" t="s">
        <v>0</v>
      </c>
      <c r="M1199" s="82" t="s">
        <v>0</v>
      </c>
      <c r="N1199" s="80" t="s">
        <v>0</v>
      </c>
      <c r="O1199" s="82" t="s">
        <v>0</v>
      </c>
      <c r="P1199" s="82" t="s">
        <v>0</v>
      </c>
      <c r="Q1199" s="82" t="s">
        <v>0</v>
      </c>
      <c r="R1199" s="84" t="s">
        <v>2620</v>
      </c>
      <c r="S1199" s="10" t="s">
        <v>1</v>
      </c>
      <c r="T1199" s="10" t="s">
        <v>10221</v>
      </c>
      <c r="U1199" s="5" t="str">
        <f t="shared" si="702"/>
        <v>Propriedade destinada a identificar: é.bitola</v>
      </c>
      <c r="V1199" s="5" t="str">
        <f t="shared" si="703"/>
        <v>Dado para identificar:  bitola  Deve ser formatado como (rdfs:Literal  or  xsd:string)</v>
      </c>
      <c r="W1199" s="69" t="s">
        <v>6903</v>
      </c>
      <c r="X1199" s="17" t="str">
        <f t="shared" si="671"/>
        <v>d.ident.103</v>
      </c>
      <c r="Y1199" s="17" t="str">
        <f t="shared" si="672"/>
        <v>Ação de identificar</v>
      </c>
      <c r="Z1199" s="62" t="s">
        <v>6904</v>
      </c>
      <c r="AA1199" s="18" t="str">
        <f t="shared" si="704"/>
        <v>null</v>
      </c>
      <c r="AB1199" s="19" t="s">
        <v>0</v>
      </c>
      <c r="AC1199" s="18" t="str">
        <f t="shared" si="705"/>
        <v>null</v>
      </c>
      <c r="AD1199" s="19" t="s">
        <v>0</v>
      </c>
      <c r="AE1199" s="18" t="str">
        <f t="shared" si="706"/>
        <v>null</v>
      </c>
      <c r="AF1199" s="75" t="s">
        <v>0</v>
      </c>
      <c r="AG1199" s="38" t="s">
        <v>8393</v>
      </c>
    </row>
    <row r="1200" spans="1:33" ht="6" customHeight="1" x14ac:dyDescent="0.4">
      <c r="A1200" s="4">
        <f>ROW()</f>
        <v>1200</v>
      </c>
      <c r="B1200" s="9" t="s">
        <v>27</v>
      </c>
      <c r="C1200" s="44" t="str">
        <f t="shared" si="699"/>
        <v>p.identificar</v>
      </c>
      <c r="D1200" s="6" t="str">
        <f t="shared" si="700"/>
        <v>é.carteira.cnh</v>
      </c>
      <c r="E1200" s="8" t="s">
        <v>28</v>
      </c>
      <c r="F1200" s="34" t="str">
        <f t="shared" si="701"/>
        <v>d.identificar</v>
      </c>
      <c r="G1200" s="14" t="s">
        <v>10017</v>
      </c>
      <c r="H1200" s="33" t="s">
        <v>1581</v>
      </c>
      <c r="I1200" s="92" t="str">
        <f t="shared" si="673"/>
        <v>Functional</v>
      </c>
      <c r="J1200" s="82" t="s">
        <v>0</v>
      </c>
      <c r="K1200" s="82" t="s">
        <v>262</v>
      </c>
      <c r="L1200" s="82" t="s">
        <v>0</v>
      </c>
      <c r="M1200" s="82" t="s">
        <v>0</v>
      </c>
      <c r="N1200" s="80" t="s">
        <v>0</v>
      </c>
      <c r="O1200" s="82" t="s">
        <v>0</v>
      </c>
      <c r="P1200" s="82" t="s">
        <v>0</v>
      </c>
      <c r="Q1200" s="82" t="s">
        <v>0</v>
      </c>
      <c r="R1200" s="84" t="s">
        <v>0</v>
      </c>
      <c r="S1200" s="10" t="s">
        <v>1</v>
      </c>
      <c r="T1200" s="10" t="s">
        <v>10221</v>
      </c>
      <c r="U1200" s="5" t="str">
        <f t="shared" si="702"/>
        <v>Propriedade destinada a identificar: é.carteira.cnh</v>
      </c>
      <c r="V1200" s="5" t="str">
        <f t="shared" si="703"/>
        <v>Dado para identificar:  carteira.cnh  Deve ser formatado como (rdfs:Literal  or  xsd:string)</v>
      </c>
      <c r="W1200" s="69" t="s">
        <v>5608</v>
      </c>
      <c r="X1200" s="17" t="str">
        <f t="shared" si="671"/>
        <v>d.ident.104</v>
      </c>
      <c r="Y1200" s="17" t="str">
        <f t="shared" si="672"/>
        <v>Ação de identificar</v>
      </c>
      <c r="Z1200" s="62" t="s">
        <v>4213</v>
      </c>
      <c r="AA1200" s="18" t="str">
        <f t="shared" si="704"/>
        <v>null</v>
      </c>
      <c r="AB1200" s="19" t="s">
        <v>0</v>
      </c>
      <c r="AC1200" s="18" t="str">
        <f t="shared" si="705"/>
        <v>null</v>
      </c>
      <c r="AD1200" s="19" t="s">
        <v>0</v>
      </c>
      <c r="AE1200" s="18" t="str">
        <f t="shared" si="706"/>
        <v>null</v>
      </c>
      <c r="AF1200" s="75" t="s">
        <v>0</v>
      </c>
      <c r="AG1200" s="38" t="s">
        <v>8396</v>
      </c>
    </row>
    <row r="1201" spans="1:33" ht="6" customHeight="1" x14ac:dyDescent="0.4">
      <c r="A1201" s="4">
        <f>ROW()</f>
        <v>1201</v>
      </c>
      <c r="B1201" s="9" t="s">
        <v>27</v>
      </c>
      <c r="C1201" s="44" t="str">
        <f t="shared" si="699"/>
        <v>p.identificar</v>
      </c>
      <c r="D1201" s="6" t="str">
        <f t="shared" si="700"/>
        <v>é.carteira.de.trabalho</v>
      </c>
      <c r="E1201" s="8" t="s">
        <v>28</v>
      </c>
      <c r="F1201" s="34" t="str">
        <f t="shared" si="701"/>
        <v>d.identificar</v>
      </c>
      <c r="G1201" s="14" t="s">
        <v>689</v>
      </c>
      <c r="H1201" s="33" t="s">
        <v>1581</v>
      </c>
      <c r="I1201" s="92" t="str">
        <f t="shared" si="673"/>
        <v>Functional</v>
      </c>
      <c r="J1201" s="82" t="s">
        <v>0</v>
      </c>
      <c r="K1201" s="82" t="s">
        <v>262</v>
      </c>
      <c r="L1201" s="82" t="s">
        <v>0</v>
      </c>
      <c r="M1201" s="82" t="s">
        <v>0</v>
      </c>
      <c r="N1201" s="80" t="s">
        <v>0</v>
      </c>
      <c r="O1201" s="82" t="s">
        <v>0</v>
      </c>
      <c r="P1201" s="82" t="s">
        <v>0</v>
      </c>
      <c r="Q1201" s="82" t="s">
        <v>0</v>
      </c>
      <c r="R1201" s="84" t="s">
        <v>0</v>
      </c>
      <c r="S1201" s="10" t="s">
        <v>1</v>
      </c>
      <c r="T1201" s="10" t="s">
        <v>10221</v>
      </c>
      <c r="U1201" s="5" t="str">
        <f t="shared" si="702"/>
        <v>Propriedade destinada a identificar: é.carteira.de.trabalho</v>
      </c>
      <c r="V1201" s="5" t="str">
        <f t="shared" si="703"/>
        <v>Dado para identificar:  carteira.de.trabalho  Deve ser formatado como (rdfs:Literal  or  xsd:string)</v>
      </c>
      <c r="W1201" s="69" t="s">
        <v>5606</v>
      </c>
      <c r="X1201" s="17" t="str">
        <f t="shared" si="671"/>
        <v>d.ident.105</v>
      </c>
      <c r="Y1201" s="17" t="str">
        <f t="shared" si="672"/>
        <v>Ação de identificar</v>
      </c>
      <c r="Z1201" s="62" t="s">
        <v>4211</v>
      </c>
      <c r="AA1201" s="18" t="str">
        <f t="shared" si="704"/>
        <v>null</v>
      </c>
      <c r="AB1201" s="19" t="s">
        <v>0</v>
      </c>
      <c r="AC1201" s="18" t="str">
        <f t="shared" si="705"/>
        <v>null</v>
      </c>
      <c r="AD1201" s="19" t="s">
        <v>0</v>
      </c>
      <c r="AE1201" s="18" t="str">
        <f t="shared" si="706"/>
        <v>null</v>
      </c>
      <c r="AF1201" s="75" t="s">
        <v>0</v>
      </c>
      <c r="AG1201" s="38" t="s">
        <v>8394</v>
      </c>
    </row>
    <row r="1202" spans="1:33" ht="6" customHeight="1" x14ac:dyDescent="0.4">
      <c r="A1202" s="4">
        <f>ROW()</f>
        <v>1202</v>
      </c>
      <c r="B1202" s="9" t="s">
        <v>27</v>
      </c>
      <c r="C1202" s="44" t="str">
        <f t="shared" si="699"/>
        <v>p.identificar</v>
      </c>
      <c r="D1202" s="6" t="str">
        <f t="shared" si="700"/>
        <v>é.chefe</v>
      </c>
      <c r="E1202" s="8" t="s">
        <v>28</v>
      </c>
      <c r="F1202" s="34" t="str">
        <f t="shared" si="701"/>
        <v>d.identificar</v>
      </c>
      <c r="G1202" s="14" t="s">
        <v>435</v>
      </c>
      <c r="H1202" s="33" t="s">
        <v>1581</v>
      </c>
      <c r="I1202" s="92" t="str">
        <f t="shared" si="673"/>
        <v>null</v>
      </c>
      <c r="J1202" s="82" t="s">
        <v>0</v>
      </c>
      <c r="K1202" s="80" t="s">
        <v>0</v>
      </c>
      <c r="L1202" s="82" t="s">
        <v>0</v>
      </c>
      <c r="M1202" s="82" t="s">
        <v>0</v>
      </c>
      <c r="N1202" s="80" t="s">
        <v>0</v>
      </c>
      <c r="O1202" s="82" t="s">
        <v>0</v>
      </c>
      <c r="P1202" s="82" t="s">
        <v>0</v>
      </c>
      <c r="Q1202" s="82" t="s">
        <v>0</v>
      </c>
      <c r="R1202" s="84" t="s">
        <v>0</v>
      </c>
      <c r="S1202" s="10" t="s">
        <v>1</v>
      </c>
      <c r="T1202" s="10" t="s">
        <v>10221</v>
      </c>
      <c r="U1202" s="5" t="str">
        <f t="shared" si="702"/>
        <v>Propriedade destinada a identificar: é.chefe</v>
      </c>
      <c r="V1202" s="5" t="str">
        <f t="shared" si="703"/>
        <v>Dado para identificar:  chefe  Deve ser formatado como (rdfs:Literal  or  xsd:string)</v>
      </c>
      <c r="W1202" s="69" t="s">
        <v>5607</v>
      </c>
      <c r="X1202" s="17" t="str">
        <f t="shared" si="671"/>
        <v>d.ident.106</v>
      </c>
      <c r="Y1202" s="17" t="str">
        <f t="shared" si="672"/>
        <v>Ação de identificar</v>
      </c>
      <c r="Z1202" s="62" t="s">
        <v>4212</v>
      </c>
      <c r="AA1202" s="18" t="str">
        <f t="shared" si="704"/>
        <v>null</v>
      </c>
      <c r="AB1202" s="19" t="s">
        <v>0</v>
      </c>
      <c r="AC1202" s="18" t="str">
        <f t="shared" si="705"/>
        <v>null</v>
      </c>
      <c r="AD1202" s="19" t="s">
        <v>0</v>
      </c>
      <c r="AE1202" s="18" t="str">
        <f t="shared" si="706"/>
        <v>null</v>
      </c>
      <c r="AF1202" s="75" t="s">
        <v>0</v>
      </c>
      <c r="AG1202" s="38" t="s">
        <v>8395</v>
      </c>
    </row>
    <row r="1203" spans="1:33" ht="6" customHeight="1" x14ac:dyDescent="0.4">
      <c r="A1203" s="4">
        <f>ROW()</f>
        <v>1203</v>
      </c>
      <c r="B1203" s="9" t="s">
        <v>27</v>
      </c>
      <c r="C1203" s="44" t="str">
        <f t="shared" si="699"/>
        <v>p.identificar</v>
      </c>
      <c r="D1203" s="6" t="str">
        <f t="shared" si="700"/>
        <v>é.cnpj</v>
      </c>
      <c r="E1203" s="8" t="s">
        <v>28</v>
      </c>
      <c r="F1203" s="34" t="str">
        <f t="shared" si="701"/>
        <v>d.identificar</v>
      </c>
      <c r="G1203" s="14" t="s">
        <v>91</v>
      </c>
      <c r="H1203" s="33" t="s">
        <v>1581</v>
      </c>
      <c r="I1203" s="92" t="str">
        <f t="shared" si="673"/>
        <v>Functional</v>
      </c>
      <c r="J1203" s="82" t="s">
        <v>0</v>
      </c>
      <c r="K1203" s="82" t="s">
        <v>262</v>
      </c>
      <c r="L1203" s="82" t="s">
        <v>0</v>
      </c>
      <c r="M1203" s="82" t="s">
        <v>0</v>
      </c>
      <c r="N1203" s="80" t="s">
        <v>0</v>
      </c>
      <c r="O1203" s="82" t="s">
        <v>0</v>
      </c>
      <c r="P1203" s="82" t="s">
        <v>0</v>
      </c>
      <c r="Q1203" s="82" t="s">
        <v>0</v>
      </c>
      <c r="R1203" s="84" t="s">
        <v>0</v>
      </c>
      <c r="S1203" s="10" t="s">
        <v>1</v>
      </c>
      <c r="T1203" s="10" t="s">
        <v>10221</v>
      </c>
      <c r="U1203" s="5" t="str">
        <f t="shared" si="702"/>
        <v>Propriedade destinada a identificar: é.cnpj</v>
      </c>
      <c r="V1203" s="5" t="str">
        <f t="shared" si="703"/>
        <v>Dado para identificar:  cnpj  Deve ser formatado como (rdfs:Literal  or  xsd:string)</v>
      </c>
      <c r="W1203" s="69" t="s">
        <v>5609</v>
      </c>
      <c r="X1203" s="17" t="str">
        <f t="shared" si="671"/>
        <v>d.ident.107</v>
      </c>
      <c r="Y1203" s="17" t="str">
        <f t="shared" si="672"/>
        <v>Ação de identificar</v>
      </c>
      <c r="Z1203" s="62" t="s">
        <v>4214</v>
      </c>
      <c r="AA1203" s="18" t="str">
        <f t="shared" si="704"/>
        <v>null</v>
      </c>
      <c r="AB1203" s="19" t="s">
        <v>0</v>
      </c>
      <c r="AC1203" s="18" t="str">
        <f t="shared" si="705"/>
        <v>null</v>
      </c>
      <c r="AD1203" s="19" t="s">
        <v>0</v>
      </c>
      <c r="AE1203" s="18" t="str">
        <f t="shared" si="706"/>
        <v>null</v>
      </c>
      <c r="AF1203" s="75" t="s">
        <v>0</v>
      </c>
      <c r="AG1203" s="38" t="s">
        <v>8397</v>
      </c>
    </row>
    <row r="1204" spans="1:33" ht="6" customHeight="1" x14ac:dyDescent="0.4">
      <c r="A1204" s="4">
        <f>ROW()</f>
        <v>1204</v>
      </c>
      <c r="B1204" s="9" t="s">
        <v>27</v>
      </c>
      <c r="C1204" s="44" t="str">
        <f t="shared" si="699"/>
        <v>p.identificar</v>
      </c>
      <c r="D1204" s="6" t="str">
        <f t="shared" si="700"/>
        <v>é.codificada</v>
      </c>
      <c r="E1204" s="8" t="s">
        <v>28</v>
      </c>
      <c r="F1204" s="34" t="str">
        <f t="shared" si="701"/>
        <v>d.identificar</v>
      </c>
      <c r="G1204" s="14" t="s">
        <v>1597</v>
      </c>
      <c r="H1204" s="33" t="s">
        <v>1581</v>
      </c>
      <c r="I1204" s="92" t="str">
        <f t="shared" si="673"/>
        <v>null</v>
      </c>
      <c r="J1204" s="82" t="s">
        <v>0</v>
      </c>
      <c r="K1204" s="82" t="s">
        <v>0</v>
      </c>
      <c r="L1204" s="82" t="s">
        <v>0</v>
      </c>
      <c r="M1204" s="82" t="s">
        <v>0</v>
      </c>
      <c r="N1204" s="80" t="s">
        <v>0</v>
      </c>
      <c r="O1204" s="82" t="s">
        <v>0</v>
      </c>
      <c r="P1204" s="82" t="s">
        <v>0</v>
      </c>
      <c r="Q1204" s="82" t="s">
        <v>0</v>
      </c>
      <c r="R1204" s="84" t="s">
        <v>1598</v>
      </c>
      <c r="S1204" s="10" t="s">
        <v>1</v>
      </c>
      <c r="T1204" s="10" t="s">
        <v>10221</v>
      </c>
      <c r="U1204" s="5" t="str">
        <f t="shared" si="702"/>
        <v>Propriedade destinada a identificar: é.codificada</v>
      </c>
      <c r="V1204" s="5" t="str">
        <f t="shared" si="703"/>
        <v>Dado para identificar:  codificada  Deve ser formatado como (rdfs:Literal  or  xsd:string)</v>
      </c>
      <c r="W1204" s="69" t="s">
        <v>5610</v>
      </c>
      <c r="X1204" s="17" t="str">
        <f t="shared" si="671"/>
        <v>d.ident.108</v>
      </c>
      <c r="Y1204" s="17" t="str">
        <f t="shared" si="672"/>
        <v>Ação de identificar</v>
      </c>
      <c r="Z1204" s="62" t="s">
        <v>4216</v>
      </c>
      <c r="AA1204" s="18" t="str">
        <f t="shared" si="704"/>
        <v>null</v>
      </c>
      <c r="AB1204" s="19" t="s">
        <v>0</v>
      </c>
      <c r="AC1204" s="18" t="str">
        <f t="shared" si="705"/>
        <v>null</v>
      </c>
      <c r="AD1204" s="19" t="s">
        <v>0</v>
      </c>
      <c r="AE1204" s="18" t="str">
        <f t="shared" si="706"/>
        <v>null</v>
      </c>
      <c r="AF1204" s="75" t="s">
        <v>0</v>
      </c>
      <c r="AG1204" s="38" t="s">
        <v>8398</v>
      </c>
    </row>
    <row r="1205" spans="1:33" ht="6" customHeight="1" x14ac:dyDescent="0.4">
      <c r="A1205" s="4">
        <f>ROW()</f>
        <v>1205</v>
      </c>
      <c r="B1205" s="9" t="s">
        <v>27</v>
      </c>
      <c r="C1205" s="44" t="str">
        <f t="shared" si="699"/>
        <v>p.identificar</v>
      </c>
      <c r="D1205" s="6" t="str">
        <f t="shared" si="700"/>
        <v>é.codificado</v>
      </c>
      <c r="E1205" s="8" t="s">
        <v>28</v>
      </c>
      <c r="F1205" s="34" t="str">
        <f t="shared" si="701"/>
        <v>d.identificar</v>
      </c>
      <c r="G1205" s="14" t="s">
        <v>1583</v>
      </c>
      <c r="H1205" s="33" t="s">
        <v>1581</v>
      </c>
      <c r="I1205" s="92" t="str">
        <f t="shared" si="673"/>
        <v>null</v>
      </c>
      <c r="J1205" s="82" t="s">
        <v>0</v>
      </c>
      <c r="K1205" s="82" t="s">
        <v>0</v>
      </c>
      <c r="L1205" s="82" t="s">
        <v>0</v>
      </c>
      <c r="M1205" s="82" t="s">
        <v>0</v>
      </c>
      <c r="N1205" s="80" t="s">
        <v>0</v>
      </c>
      <c r="O1205" s="82" t="s">
        <v>0</v>
      </c>
      <c r="P1205" s="82" t="s">
        <v>0</v>
      </c>
      <c r="Q1205" s="82" t="s">
        <v>0</v>
      </c>
      <c r="R1205" s="84" t="s">
        <v>1599</v>
      </c>
      <c r="S1205" s="10" t="s">
        <v>1</v>
      </c>
      <c r="T1205" s="10" t="s">
        <v>10221</v>
      </c>
      <c r="U1205" s="5" t="str">
        <f t="shared" si="702"/>
        <v>Propriedade destinada a identificar: é.codificado</v>
      </c>
      <c r="V1205" s="5" t="str">
        <f t="shared" si="703"/>
        <v>Dado para identificar:  codificado  Deve ser formatado como (rdfs:Literal  or  xsd:string)</v>
      </c>
      <c r="W1205" s="69" t="s">
        <v>5610</v>
      </c>
      <c r="X1205" s="17" t="str">
        <f t="shared" si="671"/>
        <v>d.ident.109</v>
      </c>
      <c r="Y1205" s="17" t="str">
        <f t="shared" si="672"/>
        <v>Ação de identificar</v>
      </c>
      <c r="Z1205" s="62" t="s">
        <v>4216</v>
      </c>
      <c r="AA1205" s="18" t="str">
        <f t="shared" si="704"/>
        <v>null</v>
      </c>
      <c r="AB1205" s="19" t="s">
        <v>0</v>
      </c>
      <c r="AC1205" s="18" t="str">
        <f t="shared" si="705"/>
        <v>null</v>
      </c>
      <c r="AD1205" s="19" t="s">
        <v>0</v>
      </c>
      <c r="AE1205" s="18" t="str">
        <f t="shared" si="706"/>
        <v>null</v>
      </c>
      <c r="AF1205" s="75" t="s">
        <v>0</v>
      </c>
      <c r="AG1205" s="38" t="s">
        <v>8398</v>
      </c>
    </row>
    <row r="1206" spans="1:33" ht="6" customHeight="1" x14ac:dyDescent="0.4">
      <c r="A1206" s="4">
        <f>ROW()</f>
        <v>1206</v>
      </c>
      <c r="B1206" s="9" t="s">
        <v>27</v>
      </c>
      <c r="C1206" s="44" t="str">
        <f t="shared" si="699"/>
        <v>p.identificar</v>
      </c>
      <c r="D1206" s="6" t="str">
        <f t="shared" si="700"/>
        <v>é.código</v>
      </c>
      <c r="E1206" s="8" t="s">
        <v>28</v>
      </c>
      <c r="F1206" s="34" t="str">
        <f t="shared" si="701"/>
        <v>d.identificar</v>
      </c>
      <c r="G1206" s="14" t="s">
        <v>130</v>
      </c>
      <c r="H1206" s="33" t="s">
        <v>1581</v>
      </c>
      <c r="I1206" s="92" t="str">
        <f t="shared" si="673"/>
        <v>Functional</v>
      </c>
      <c r="J1206" s="82" t="s">
        <v>29</v>
      </c>
      <c r="K1206" s="82" t="s">
        <v>0</v>
      </c>
      <c r="L1206" s="82" t="s">
        <v>0</v>
      </c>
      <c r="M1206" s="82" t="s">
        <v>0</v>
      </c>
      <c r="N1206" s="80" t="s">
        <v>0</v>
      </c>
      <c r="O1206" s="82" t="s">
        <v>0</v>
      </c>
      <c r="P1206" s="82" t="s">
        <v>0</v>
      </c>
      <c r="Q1206" s="82" t="s">
        <v>0</v>
      </c>
      <c r="R1206" s="84" t="s">
        <v>0</v>
      </c>
      <c r="S1206" s="10" t="s">
        <v>1</v>
      </c>
      <c r="T1206" s="10" t="s">
        <v>10221</v>
      </c>
      <c r="U1206" s="5" t="str">
        <f t="shared" si="702"/>
        <v>Propriedade destinada a identificar: é.código</v>
      </c>
      <c r="V1206" s="5" t="str">
        <f t="shared" si="703"/>
        <v>Dado para identificar:  código  Deve ser formatado como (rdfs:Literal  or  xsd:string)</v>
      </c>
      <c r="W1206" s="69" t="s">
        <v>5611</v>
      </c>
      <c r="X1206" s="17" t="str">
        <f t="shared" si="671"/>
        <v>d.ident.110</v>
      </c>
      <c r="Y1206" s="17" t="str">
        <f t="shared" si="672"/>
        <v>Ação de identificar</v>
      </c>
      <c r="Z1206" s="62" t="s">
        <v>4215</v>
      </c>
      <c r="AA1206" s="18" t="str">
        <f t="shared" si="704"/>
        <v>null</v>
      </c>
      <c r="AB1206" s="19" t="s">
        <v>0</v>
      </c>
      <c r="AC1206" s="18" t="str">
        <f t="shared" si="705"/>
        <v>null</v>
      </c>
      <c r="AD1206" s="19" t="s">
        <v>0</v>
      </c>
      <c r="AE1206" s="18" t="str">
        <f t="shared" si="706"/>
        <v>propriedade</v>
      </c>
      <c r="AF1206" s="75" t="s">
        <v>1862</v>
      </c>
      <c r="AG1206" s="38" t="s">
        <v>8399</v>
      </c>
    </row>
    <row r="1207" spans="1:33" ht="6" customHeight="1" x14ac:dyDescent="0.4">
      <c r="A1207" s="4">
        <f>ROW()</f>
        <v>1207</v>
      </c>
      <c r="B1207" s="9" t="s">
        <v>27</v>
      </c>
      <c r="C1207" s="44" t="str">
        <f t="shared" si="699"/>
        <v>p.identificar</v>
      </c>
      <c r="D1207" s="6" t="str">
        <f t="shared" si="700"/>
        <v>é.código.abnt</v>
      </c>
      <c r="E1207" s="8" t="s">
        <v>28</v>
      </c>
      <c r="F1207" s="34" t="str">
        <f t="shared" si="701"/>
        <v>d.identificar</v>
      </c>
      <c r="G1207" s="14" t="s">
        <v>1704</v>
      </c>
      <c r="H1207" s="33" t="s">
        <v>1581</v>
      </c>
      <c r="I1207" s="92" t="str">
        <f t="shared" si="673"/>
        <v>null</v>
      </c>
      <c r="J1207" s="82" t="s">
        <v>0</v>
      </c>
      <c r="K1207" s="82" t="s">
        <v>0</v>
      </c>
      <c r="L1207" s="82" t="s">
        <v>0</v>
      </c>
      <c r="M1207" s="82" t="s">
        <v>0</v>
      </c>
      <c r="N1207" s="80" t="s">
        <v>0</v>
      </c>
      <c r="O1207" s="82" t="s">
        <v>0</v>
      </c>
      <c r="P1207" s="82" t="s">
        <v>0</v>
      </c>
      <c r="Q1207" s="82" t="s">
        <v>0</v>
      </c>
      <c r="R1207" s="84" t="s">
        <v>0</v>
      </c>
      <c r="S1207" s="10" t="s">
        <v>1</v>
      </c>
      <c r="T1207" s="10" t="s">
        <v>10221</v>
      </c>
      <c r="U1207" s="5" t="str">
        <f t="shared" si="702"/>
        <v>Propriedade destinada a identificar: é.código.abnt</v>
      </c>
      <c r="V1207" s="5" t="str">
        <f t="shared" si="703"/>
        <v>Dado para identificar:  código.abnt  Deve ser formatado como (rdfs:Literal  or  xsd:string)</v>
      </c>
      <c r="W1207" s="69" t="s">
        <v>5612</v>
      </c>
      <c r="X1207" s="17" t="str">
        <f t="shared" si="671"/>
        <v>d.ident.111</v>
      </c>
      <c r="Y1207" s="17" t="str">
        <f t="shared" si="672"/>
        <v>Ação de identificar</v>
      </c>
      <c r="Z1207" s="62" t="s">
        <v>4217</v>
      </c>
      <c r="AA1207" s="18" t="str">
        <f t="shared" si="704"/>
        <v>null</v>
      </c>
      <c r="AB1207" s="19" t="s">
        <v>0</v>
      </c>
      <c r="AC1207" s="18" t="str">
        <f t="shared" si="705"/>
        <v>null</v>
      </c>
      <c r="AD1207" s="19" t="s">
        <v>0</v>
      </c>
      <c r="AE1207" s="18" t="str">
        <f t="shared" si="706"/>
        <v>null</v>
      </c>
      <c r="AF1207" s="75" t="s">
        <v>0</v>
      </c>
      <c r="AG1207" s="38" t="s">
        <v>8400</v>
      </c>
    </row>
    <row r="1208" spans="1:33" ht="6" customHeight="1" x14ac:dyDescent="0.4">
      <c r="A1208" s="4">
        <f>ROW()</f>
        <v>1208</v>
      </c>
      <c r="B1208" s="9" t="s">
        <v>27</v>
      </c>
      <c r="C1208" s="44" t="str">
        <f t="shared" si="699"/>
        <v>p.identificar</v>
      </c>
      <c r="D1208" s="6" t="str">
        <f t="shared" si="700"/>
        <v>é.código.sinapi</v>
      </c>
      <c r="E1208" s="8" t="s">
        <v>28</v>
      </c>
      <c r="F1208" s="34" t="str">
        <f t="shared" si="701"/>
        <v>d.identificar</v>
      </c>
      <c r="G1208" s="14" t="s">
        <v>2035</v>
      </c>
      <c r="H1208" s="33" t="s">
        <v>1581</v>
      </c>
      <c r="I1208" s="92" t="str">
        <f t="shared" si="673"/>
        <v>null</v>
      </c>
      <c r="J1208" s="82" t="s">
        <v>0</v>
      </c>
      <c r="K1208" s="82" t="s">
        <v>0</v>
      </c>
      <c r="L1208" s="82" t="s">
        <v>0</v>
      </c>
      <c r="M1208" s="82" t="s">
        <v>0</v>
      </c>
      <c r="N1208" s="80" t="s">
        <v>0</v>
      </c>
      <c r="O1208" s="82" t="s">
        <v>0</v>
      </c>
      <c r="P1208" s="82" t="s">
        <v>0</v>
      </c>
      <c r="Q1208" s="82" t="s">
        <v>0</v>
      </c>
      <c r="R1208" s="84" t="s">
        <v>0</v>
      </c>
      <c r="S1208" s="10" t="s">
        <v>1</v>
      </c>
      <c r="T1208" s="10" t="s">
        <v>10221</v>
      </c>
      <c r="U1208" s="5" t="str">
        <f t="shared" si="702"/>
        <v>Propriedade destinada a identificar: é.código.sinapi</v>
      </c>
      <c r="V1208" s="5" t="str">
        <f t="shared" si="703"/>
        <v>Dado para identificar:  código.sinapi  Deve ser formatado como (rdfs:Literal  or  xsd:string)</v>
      </c>
      <c r="W1208" s="69" t="s">
        <v>5613</v>
      </c>
      <c r="X1208" s="17" t="str">
        <f t="shared" si="671"/>
        <v>d.ident.112</v>
      </c>
      <c r="Y1208" s="17" t="str">
        <f t="shared" si="672"/>
        <v>Ação de identificar</v>
      </c>
      <c r="Z1208" s="62" t="s">
        <v>4218</v>
      </c>
      <c r="AA1208" s="18" t="str">
        <f t="shared" si="704"/>
        <v>null</v>
      </c>
      <c r="AB1208" s="19" t="s">
        <v>0</v>
      </c>
      <c r="AC1208" s="18" t="str">
        <f t="shared" si="705"/>
        <v>null</v>
      </c>
      <c r="AD1208" s="19" t="s">
        <v>0</v>
      </c>
      <c r="AE1208" s="18" t="str">
        <f t="shared" si="706"/>
        <v>null</v>
      </c>
      <c r="AF1208" s="75" t="s">
        <v>0</v>
      </c>
      <c r="AG1208" s="38" t="s">
        <v>8401</v>
      </c>
    </row>
    <row r="1209" spans="1:33" ht="6" customHeight="1" x14ac:dyDescent="0.4">
      <c r="A1209" s="4">
        <f>ROW()</f>
        <v>1209</v>
      </c>
      <c r="B1209" s="9" t="s">
        <v>27</v>
      </c>
      <c r="C1209" s="44" t="str">
        <f t="shared" si="699"/>
        <v>p.identificar</v>
      </c>
      <c r="D1209" s="6" t="str">
        <f t="shared" si="700"/>
        <v>é.cpf</v>
      </c>
      <c r="E1209" s="8" t="s">
        <v>28</v>
      </c>
      <c r="F1209" s="34" t="str">
        <f t="shared" si="701"/>
        <v>d.identificar</v>
      </c>
      <c r="G1209" s="14" t="s">
        <v>92</v>
      </c>
      <c r="H1209" s="33" t="s">
        <v>1581</v>
      </c>
      <c r="I1209" s="92" t="str">
        <f t="shared" si="673"/>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702"/>
        <v>Propriedade destinada a identificar: é.cpf</v>
      </c>
      <c r="V1209" s="5" t="str">
        <f t="shared" si="703"/>
        <v>Dado para identificar:  cpf  Deve ser formatado como (rdfs:Literal  or  xsd:string)</v>
      </c>
      <c r="W1209" s="69" t="s">
        <v>5614</v>
      </c>
      <c r="X1209" s="17" t="str">
        <f t="shared" si="671"/>
        <v>d.ident.113</v>
      </c>
      <c r="Y1209" s="17" t="str">
        <f t="shared" si="672"/>
        <v>Ação de identificar</v>
      </c>
      <c r="Z1209" s="62" t="s">
        <v>4219</v>
      </c>
      <c r="AA1209" s="18" t="str">
        <f t="shared" si="704"/>
        <v>null</v>
      </c>
      <c r="AB1209" s="19" t="s">
        <v>0</v>
      </c>
      <c r="AC1209" s="18" t="str">
        <f t="shared" si="705"/>
        <v>null</v>
      </c>
      <c r="AD1209" s="19" t="s">
        <v>0</v>
      </c>
      <c r="AE1209" s="18" t="str">
        <f t="shared" si="706"/>
        <v>null</v>
      </c>
      <c r="AF1209" s="75" t="s">
        <v>0</v>
      </c>
      <c r="AG1209" s="38" t="s">
        <v>8402</v>
      </c>
    </row>
    <row r="1210" spans="1:33" ht="6" customHeight="1" x14ac:dyDescent="0.4">
      <c r="A1210" s="4">
        <f>ROW()</f>
        <v>1210</v>
      </c>
      <c r="B1210" s="9" t="s">
        <v>27</v>
      </c>
      <c r="C1210" s="44" t="str">
        <f t="shared" si="699"/>
        <v>p.identificar</v>
      </c>
      <c r="D1210" s="6" t="str">
        <f t="shared" si="700"/>
        <v>é.equipe</v>
      </c>
      <c r="E1210" s="8" t="s">
        <v>28</v>
      </c>
      <c r="F1210" s="34" t="str">
        <f t="shared" si="701"/>
        <v>d.identificar</v>
      </c>
      <c r="G1210" s="14" t="s">
        <v>434</v>
      </c>
      <c r="H1210" s="33" t="s">
        <v>1581</v>
      </c>
      <c r="I1210" s="92" t="str">
        <f t="shared" si="673"/>
        <v>null</v>
      </c>
      <c r="J1210" s="82" t="s">
        <v>0</v>
      </c>
      <c r="K1210" s="82" t="s">
        <v>0</v>
      </c>
      <c r="L1210" s="82" t="s">
        <v>0</v>
      </c>
      <c r="M1210" s="82" t="s">
        <v>0</v>
      </c>
      <c r="N1210" s="80" t="s">
        <v>0</v>
      </c>
      <c r="O1210" s="82" t="s">
        <v>0</v>
      </c>
      <c r="P1210" s="82" t="s">
        <v>0</v>
      </c>
      <c r="Q1210" s="82" t="s">
        <v>0</v>
      </c>
      <c r="R1210" s="84" t="s">
        <v>0</v>
      </c>
      <c r="S1210" s="10" t="s">
        <v>1</v>
      </c>
      <c r="T1210" s="10" t="s">
        <v>10221</v>
      </c>
      <c r="U1210" s="5" t="str">
        <f t="shared" si="702"/>
        <v>Propriedade destinada a identificar: é.equipe</v>
      </c>
      <c r="V1210" s="5" t="str">
        <f t="shared" si="703"/>
        <v>Dado para identificar:  equipe  Deve ser formatado como (rdfs:Literal  or  xsd:string)</v>
      </c>
      <c r="W1210" s="69" t="s">
        <v>5615</v>
      </c>
      <c r="X1210" s="17" t="str">
        <f t="shared" si="671"/>
        <v>d.ident.114</v>
      </c>
      <c r="Y1210" s="17" t="str">
        <f t="shared" si="672"/>
        <v>Ação de identificar</v>
      </c>
      <c r="Z1210" s="62" t="s">
        <v>4220</v>
      </c>
      <c r="AA1210" s="18" t="str">
        <f t="shared" si="704"/>
        <v>null</v>
      </c>
      <c r="AB1210" s="19" t="s">
        <v>0</v>
      </c>
      <c r="AC1210" s="18" t="str">
        <f t="shared" si="705"/>
        <v>null</v>
      </c>
      <c r="AD1210" s="19" t="s">
        <v>0</v>
      </c>
      <c r="AE1210" s="18" t="str">
        <f t="shared" si="706"/>
        <v>null</v>
      </c>
      <c r="AF1210" s="75" t="s">
        <v>0</v>
      </c>
      <c r="AG1210" s="38" t="s">
        <v>8403</v>
      </c>
    </row>
    <row r="1211" spans="1:33" ht="6" customHeight="1" x14ac:dyDescent="0.4">
      <c r="A1211" s="4">
        <f>ROW()</f>
        <v>1211</v>
      </c>
      <c r="B1211" s="9" t="s">
        <v>27</v>
      </c>
      <c r="C1211" s="44" t="str">
        <f t="shared" si="699"/>
        <v>p.identificar</v>
      </c>
      <c r="D1211" s="6" t="str">
        <f t="shared" si="700"/>
        <v>é.género</v>
      </c>
      <c r="E1211" s="8" t="s">
        <v>28</v>
      </c>
      <c r="F1211" s="34" t="str">
        <f t="shared" si="701"/>
        <v>d.identificar</v>
      </c>
      <c r="G1211" s="14" t="s">
        <v>134</v>
      </c>
      <c r="H1211" s="33" t="s">
        <v>1581</v>
      </c>
      <c r="I1211" s="92" t="str">
        <f t="shared" si="673"/>
        <v>Functional</v>
      </c>
      <c r="J1211" s="82" t="s">
        <v>29</v>
      </c>
      <c r="K1211" s="82" t="s">
        <v>0</v>
      </c>
      <c r="L1211" s="82" t="s">
        <v>0</v>
      </c>
      <c r="M1211" s="82" t="s">
        <v>0</v>
      </c>
      <c r="N1211" s="80" t="s">
        <v>0</v>
      </c>
      <c r="O1211" s="82" t="s">
        <v>0</v>
      </c>
      <c r="P1211" s="82" t="s">
        <v>0</v>
      </c>
      <c r="Q1211" s="82" t="s">
        <v>0</v>
      </c>
      <c r="R1211" s="84" t="s">
        <v>0</v>
      </c>
      <c r="S1211" s="10" t="s">
        <v>1</v>
      </c>
      <c r="T1211" s="10" t="s">
        <v>10221</v>
      </c>
      <c r="U1211" s="5" t="str">
        <f t="shared" si="702"/>
        <v>Propriedade destinada a identificar: é.género</v>
      </c>
      <c r="V1211" s="5" t="str">
        <f t="shared" si="703"/>
        <v>Dado para identificar:  género  Deve ser formatado como (rdfs:Literal  or  xsd:string)</v>
      </c>
      <c r="W1211" s="69" t="s">
        <v>5616</v>
      </c>
      <c r="X1211" s="17" t="str">
        <f t="shared" si="671"/>
        <v>d.ident.115</v>
      </c>
      <c r="Y1211" s="17" t="str">
        <f t="shared" si="672"/>
        <v>Ação de identificar</v>
      </c>
      <c r="Z1211" s="62" t="s">
        <v>4221</v>
      </c>
      <c r="AA1211" s="18" t="str">
        <f t="shared" si="704"/>
        <v>null</v>
      </c>
      <c r="AB1211" s="19" t="s">
        <v>0</v>
      </c>
      <c r="AC1211" s="18" t="str">
        <f t="shared" si="705"/>
        <v>null</v>
      </c>
      <c r="AD1211" s="19" t="s">
        <v>0</v>
      </c>
      <c r="AE1211" s="18" t="str">
        <f t="shared" si="706"/>
        <v>null</v>
      </c>
      <c r="AF1211" s="75" t="s">
        <v>0</v>
      </c>
      <c r="AG1211" s="38" t="s">
        <v>8404</v>
      </c>
    </row>
    <row r="1212" spans="1:33" ht="6" customHeight="1" x14ac:dyDescent="0.4">
      <c r="A1212" s="4">
        <f>ROW()</f>
        <v>1212</v>
      </c>
      <c r="B1212" s="9" t="s">
        <v>27</v>
      </c>
      <c r="C1212" s="44" t="str">
        <f t="shared" si="699"/>
        <v>p.identificar</v>
      </c>
      <c r="D1212" s="6" t="str">
        <f t="shared" si="700"/>
        <v>é.identificador.gtin</v>
      </c>
      <c r="E1212" s="8" t="s">
        <v>28</v>
      </c>
      <c r="F1212" s="34" t="str">
        <f t="shared" si="701"/>
        <v>d.identificar</v>
      </c>
      <c r="G1212" s="14" t="s">
        <v>10014</v>
      </c>
      <c r="H1212" s="33" t="s">
        <v>1581</v>
      </c>
      <c r="I1212" s="92" t="str">
        <f t="shared" si="673"/>
        <v>Functional</v>
      </c>
      <c r="J1212" s="82" t="s">
        <v>0</v>
      </c>
      <c r="K1212" s="82" t="s">
        <v>262</v>
      </c>
      <c r="L1212" s="82" t="s">
        <v>0</v>
      </c>
      <c r="M1212" s="82" t="s">
        <v>0</v>
      </c>
      <c r="N1212" s="80" t="s">
        <v>0</v>
      </c>
      <c r="O1212" s="82" t="s">
        <v>0</v>
      </c>
      <c r="P1212" s="82" t="s">
        <v>0</v>
      </c>
      <c r="Q1212" s="82" t="s">
        <v>0</v>
      </c>
      <c r="R1212" s="84" t="s">
        <v>0</v>
      </c>
      <c r="S1212" s="10" t="s">
        <v>1</v>
      </c>
      <c r="T1212" s="10" t="s">
        <v>10221</v>
      </c>
      <c r="U1212" s="5" t="str">
        <f t="shared" si="702"/>
        <v>Propriedade destinada a identificar: é.identificador.gtin</v>
      </c>
      <c r="V1212" s="5" t="str">
        <f t="shared" si="703"/>
        <v>Dado para identificar:  identificador.gtin  Deve ser formatado como (rdfs:Literal  or  xsd:string)</v>
      </c>
      <c r="W1212" s="69" t="s">
        <v>6499</v>
      </c>
      <c r="X1212" s="17" t="str">
        <f t="shared" si="671"/>
        <v>d.ident.116</v>
      </c>
      <c r="Y1212" s="17" t="str">
        <f t="shared" si="672"/>
        <v>Ação de identificar</v>
      </c>
      <c r="Z1212" s="62" t="s">
        <v>6500</v>
      </c>
      <c r="AA1212" s="18" t="str">
        <f t="shared" si="704"/>
        <v>null</v>
      </c>
      <c r="AB1212" s="19" t="s">
        <v>0</v>
      </c>
      <c r="AC1212" s="18" t="str">
        <f t="shared" si="705"/>
        <v>null</v>
      </c>
      <c r="AD1212" s="19" t="s">
        <v>0</v>
      </c>
      <c r="AE1212" s="18" t="str">
        <f t="shared" si="706"/>
        <v>null</v>
      </c>
      <c r="AF1212" s="75" t="s">
        <v>0</v>
      </c>
      <c r="AG1212" s="38" t="s">
        <v>8405</v>
      </c>
    </row>
    <row r="1213" spans="1:33" ht="6" customHeight="1" x14ac:dyDescent="0.4">
      <c r="A1213" s="4">
        <f>ROW()</f>
        <v>1213</v>
      </c>
      <c r="B1213" s="9" t="s">
        <v>27</v>
      </c>
      <c r="C1213" s="44" t="str">
        <f t="shared" si="699"/>
        <v>p.identificar</v>
      </c>
      <c r="D1213" s="6" t="str">
        <f t="shared" si="700"/>
        <v>é.identificador.guid</v>
      </c>
      <c r="E1213" s="8" t="s">
        <v>28</v>
      </c>
      <c r="F1213" s="34" t="str">
        <f t="shared" si="701"/>
        <v>d.identificar</v>
      </c>
      <c r="G1213" s="14" t="s">
        <v>10007</v>
      </c>
      <c r="H1213" s="33" t="s">
        <v>1581</v>
      </c>
      <c r="I1213" s="92" t="str">
        <f t="shared" si="673"/>
        <v>Functional</v>
      </c>
      <c r="J1213" s="82" t="s">
        <v>0</v>
      </c>
      <c r="K1213" s="82" t="s">
        <v>262</v>
      </c>
      <c r="L1213" s="82" t="s">
        <v>0</v>
      </c>
      <c r="M1213" s="82" t="s">
        <v>0</v>
      </c>
      <c r="N1213" s="80" t="s">
        <v>0</v>
      </c>
      <c r="O1213" s="82" t="s">
        <v>0</v>
      </c>
      <c r="P1213" s="82" t="s">
        <v>0</v>
      </c>
      <c r="Q1213" s="82" t="s">
        <v>0</v>
      </c>
      <c r="R1213" s="84" t="s">
        <v>10097</v>
      </c>
      <c r="S1213" s="10" t="s">
        <v>1</v>
      </c>
      <c r="T1213" s="10" t="s">
        <v>10221</v>
      </c>
      <c r="U1213" s="5" t="str">
        <f t="shared" si="702"/>
        <v>Propriedade destinada a identificar: é.identificador.guid</v>
      </c>
      <c r="V1213" s="5" t="str">
        <f t="shared" si="703"/>
        <v>Dado para identificar:  identificador.guid  Deve ser formatado como (rdfs:Literal  or  xsd:string)</v>
      </c>
      <c r="W1213" s="69" t="s">
        <v>6494</v>
      </c>
      <c r="X1213" s="17" t="str">
        <f t="shared" si="671"/>
        <v>d.ident.117</v>
      </c>
      <c r="Y1213" s="17" t="str">
        <f t="shared" si="672"/>
        <v>Ação de identificar</v>
      </c>
      <c r="Z1213" s="62" t="s">
        <v>6498</v>
      </c>
      <c r="AA1213" s="18" t="str">
        <f t="shared" si="704"/>
        <v>null</v>
      </c>
      <c r="AB1213" s="19" t="s">
        <v>0</v>
      </c>
      <c r="AC1213" s="18" t="str">
        <f t="shared" si="705"/>
        <v>null</v>
      </c>
      <c r="AD1213" s="19" t="s">
        <v>0</v>
      </c>
      <c r="AE1213" s="18" t="str">
        <f t="shared" si="706"/>
        <v>null</v>
      </c>
      <c r="AF1213" s="75" t="s">
        <v>0</v>
      </c>
      <c r="AG1213" s="38" t="s">
        <v>8435</v>
      </c>
    </row>
    <row r="1214" spans="1:33" ht="6" customHeight="1" x14ac:dyDescent="0.4">
      <c r="A1214" s="4">
        <f>ROW()</f>
        <v>1214</v>
      </c>
      <c r="B1214" s="9" t="s">
        <v>27</v>
      </c>
      <c r="C1214" s="44" t="str">
        <f t="shared" si="699"/>
        <v>p.identificar</v>
      </c>
      <c r="D1214" s="6" t="str">
        <f t="shared" si="700"/>
        <v>é.identificador.id</v>
      </c>
      <c r="E1214" s="8" t="s">
        <v>28</v>
      </c>
      <c r="F1214" s="34" t="str">
        <f t="shared" si="701"/>
        <v>d.identificar</v>
      </c>
      <c r="G1214" s="14" t="s">
        <v>10013</v>
      </c>
      <c r="H1214" s="33" t="s">
        <v>1581</v>
      </c>
      <c r="I1214" s="92" t="str">
        <f t="shared" si="673"/>
        <v>Functional</v>
      </c>
      <c r="J1214" s="82" t="s">
        <v>29</v>
      </c>
      <c r="K1214" s="82" t="s">
        <v>0</v>
      </c>
      <c r="L1214" s="82" t="s">
        <v>0</v>
      </c>
      <c r="M1214" s="82" t="s">
        <v>0</v>
      </c>
      <c r="N1214" s="80" t="s">
        <v>0</v>
      </c>
      <c r="O1214" s="82" t="s">
        <v>30</v>
      </c>
      <c r="P1214" s="82" t="s">
        <v>0</v>
      </c>
      <c r="Q1214" s="82" t="s">
        <v>0</v>
      </c>
      <c r="R1214" s="84" t="s">
        <v>0</v>
      </c>
      <c r="S1214" s="10" t="s">
        <v>1</v>
      </c>
      <c r="T1214" s="10" t="s">
        <v>10221</v>
      </c>
      <c r="U1214" s="5" t="str">
        <f t="shared" si="702"/>
        <v>Propriedade destinada a identificar: é.identificador.id</v>
      </c>
      <c r="V1214" s="5" t="str">
        <f t="shared" si="703"/>
        <v>Dado para identificar:  identificador.id  Deve ser formatado como (rdfs:Literal  or  xsd:string)</v>
      </c>
      <c r="W1214" s="69" t="s">
        <v>5617</v>
      </c>
      <c r="X1214" s="17" t="str">
        <f t="shared" si="671"/>
        <v>d.ident.118</v>
      </c>
      <c r="Y1214" s="17" t="str">
        <f t="shared" si="672"/>
        <v>Ação de identificar</v>
      </c>
      <c r="Z1214" s="62" t="s">
        <v>4222</v>
      </c>
      <c r="AA1214" s="18" t="str">
        <f t="shared" si="704"/>
        <v>null</v>
      </c>
      <c r="AB1214" s="19" t="s">
        <v>0</v>
      </c>
      <c r="AC1214" s="18" t="str">
        <f t="shared" si="705"/>
        <v>null</v>
      </c>
      <c r="AD1214" s="19" t="s">
        <v>0</v>
      </c>
      <c r="AE1214" s="18" t="str">
        <f t="shared" si="706"/>
        <v>null</v>
      </c>
      <c r="AF1214" s="75" t="s">
        <v>0</v>
      </c>
      <c r="AG1214" s="38" t="s">
        <v>8406</v>
      </c>
    </row>
    <row r="1215" spans="1:33" ht="6" customHeight="1" x14ac:dyDescent="0.4">
      <c r="A1215" s="4">
        <f>ROW()</f>
        <v>1215</v>
      </c>
      <c r="B1215" s="9" t="s">
        <v>27</v>
      </c>
      <c r="C1215" s="44" t="str">
        <f t="shared" si="699"/>
        <v>p.identificar</v>
      </c>
      <c r="D1215" s="6" t="str">
        <f t="shared" si="700"/>
        <v>é.identificador.imo</v>
      </c>
      <c r="E1215" s="8" t="s">
        <v>28</v>
      </c>
      <c r="F1215" s="34" t="str">
        <f t="shared" si="701"/>
        <v>d.identificar</v>
      </c>
      <c r="G1215" s="14" t="s">
        <v>10010</v>
      </c>
      <c r="H1215" s="33" t="s">
        <v>1581</v>
      </c>
      <c r="I1215" s="92" t="str">
        <f t="shared" si="673"/>
        <v>Functional</v>
      </c>
      <c r="J1215" s="82" t="s">
        <v>0</v>
      </c>
      <c r="K1215" s="82" t="s">
        <v>262</v>
      </c>
      <c r="L1215" s="82" t="s">
        <v>0</v>
      </c>
      <c r="M1215" s="82" t="s">
        <v>0</v>
      </c>
      <c r="N1215" s="80" t="s">
        <v>0</v>
      </c>
      <c r="O1215" s="82" t="s">
        <v>0</v>
      </c>
      <c r="P1215" s="82" t="s">
        <v>0</v>
      </c>
      <c r="Q1215" s="82" t="s">
        <v>0</v>
      </c>
      <c r="R1215" s="84" t="s">
        <v>0</v>
      </c>
      <c r="S1215" s="10" t="s">
        <v>1</v>
      </c>
      <c r="T1215" s="10" t="s">
        <v>10221</v>
      </c>
      <c r="U1215" s="5" t="str">
        <f t="shared" si="702"/>
        <v>Propriedade destinada a identificar: é.identificador.imo</v>
      </c>
      <c r="V1215" s="5" t="str">
        <f t="shared" si="703"/>
        <v>Dado para identificar:  identificador.imo  Deve ser formatado como (rdfs:Literal  or  xsd:string)</v>
      </c>
      <c r="W1215" s="69" t="s">
        <v>5628</v>
      </c>
      <c r="X1215" s="17" t="str">
        <f t="shared" si="671"/>
        <v>d.ident.119</v>
      </c>
      <c r="Y1215" s="17" t="str">
        <f t="shared" si="672"/>
        <v>Ação de identificar</v>
      </c>
      <c r="Z1215" s="62" t="s">
        <v>4233</v>
      </c>
      <c r="AA1215" s="18" t="str">
        <f t="shared" si="704"/>
        <v>null</v>
      </c>
      <c r="AB1215" s="19" t="s">
        <v>0</v>
      </c>
      <c r="AC1215" s="18" t="str">
        <f t="shared" si="705"/>
        <v>null</v>
      </c>
      <c r="AD1215" s="19" t="s">
        <v>0</v>
      </c>
      <c r="AE1215" s="18" t="str">
        <f t="shared" si="706"/>
        <v>null</v>
      </c>
      <c r="AF1215" s="75" t="s">
        <v>0</v>
      </c>
      <c r="AG1215" s="38" t="s">
        <v>8418</v>
      </c>
    </row>
    <row r="1216" spans="1:33" ht="6" customHeight="1" x14ac:dyDescent="0.4">
      <c r="A1216" s="4">
        <f>ROW()</f>
        <v>1216</v>
      </c>
      <c r="B1216" s="9" t="s">
        <v>27</v>
      </c>
      <c r="C1216" s="44" t="str">
        <f t="shared" si="699"/>
        <v>p.identificar</v>
      </c>
      <c r="D1216" s="6" t="str">
        <f t="shared" si="700"/>
        <v>é.identificador.inss</v>
      </c>
      <c r="E1216" s="8" t="s">
        <v>28</v>
      </c>
      <c r="F1216" s="34" t="str">
        <f t="shared" si="701"/>
        <v>d.identificar</v>
      </c>
      <c r="G1216" s="14" t="s">
        <v>10008</v>
      </c>
      <c r="H1216" s="33" t="s">
        <v>1581</v>
      </c>
      <c r="I1216" s="92" t="str">
        <f t="shared" si="673"/>
        <v>Functional</v>
      </c>
      <c r="J1216" s="82" t="s">
        <v>0</v>
      </c>
      <c r="K1216" s="82" t="s">
        <v>262</v>
      </c>
      <c r="L1216" s="82" t="s">
        <v>0</v>
      </c>
      <c r="M1216" s="82" t="s">
        <v>0</v>
      </c>
      <c r="N1216" s="80" t="s">
        <v>0</v>
      </c>
      <c r="O1216" s="82" t="s">
        <v>0</v>
      </c>
      <c r="P1216" s="82" t="s">
        <v>0</v>
      </c>
      <c r="Q1216" s="82" t="s">
        <v>0</v>
      </c>
      <c r="R1216" s="84" t="s">
        <v>0</v>
      </c>
      <c r="S1216" s="10" t="s">
        <v>1</v>
      </c>
      <c r="T1216" s="10" t="s">
        <v>10221</v>
      </c>
      <c r="U1216" s="5" t="str">
        <f t="shared" si="702"/>
        <v>Propriedade destinada a identificar: é.identificador.inss</v>
      </c>
      <c r="V1216" s="5" t="str">
        <f t="shared" si="703"/>
        <v>Dado para identificar:  identificador.inss  Deve ser formatado como (rdfs:Literal  or  xsd:string)</v>
      </c>
      <c r="W1216" s="69" t="s">
        <v>5618</v>
      </c>
      <c r="X1216" s="17" t="str">
        <f t="shared" si="671"/>
        <v>d.ident.120</v>
      </c>
      <c r="Y1216" s="17" t="str">
        <f t="shared" si="672"/>
        <v>Ação de identificar</v>
      </c>
      <c r="Z1216" s="62" t="s">
        <v>4223</v>
      </c>
      <c r="AA1216" s="18" t="str">
        <f t="shared" si="704"/>
        <v>null</v>
      </c>
      <c r="AB1216" s="19" t="s">
        <v>0</v>
      </c>
      <c r="AC1216" s="18" t="str">
        <f t="shared" si="705"/>
        <v>null</v>
      </c>
      <c r="AD1216" s="19" t="s">
        <v>0</v>
      </c>
      <c r="AE1216" s="18" t="str">
        <f t="shared" si="706"/>
        <v>null</v>
      </c>
      <c r="AF1216" s="75" t="s">
        <v>0</v>
      </c>
      <c r="AG1216" s="38" t="s">
        <v>8407</v>
      </c>
    </row>
    <row r="1217" spans="1:33" ht="6" customHeight="1" x14ac:dyDescent="0.4">
      <c r="A1217" s="4">
        <f>ROW()</f>
        <v>1217</v>
      </c>
      <c r="B1217" s="9" t="s">
        <v>27</v>
      </c>
      <c r="C1217" s="44" t="str">
        <f t="shared" si="699"/>
        <v>p.identificar</v>
      </c>
      <c r="D1217" s="6" t="str">
        <f t="shared" si="700"/>
        <v>é.identificador.mac</v>
      </c>
      <c r="E1217" s="8" t="s">
        <v>28</v>
      </c>
      <c r="F1217" s="34" t="str">
        <f t="shared" si="701"/>
        <v>d.identificar</v>
      </c>
      <c r="G1217" s="14" t="s">
        <v>10011</v>
      </c>
      <c r="H1217" s="33" t="s">
        <v>1581</v>
      </c>
      <c r="I1217" s="92" t="str">
        <f t="shared" si="673"/>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702"/>
        <v>Propriedade destinada a identificar: é.identificador.mac</v>
      </c>
      <c r="V1217" s="5" t="str">
        <f t="shared" si="703"/>
        <v>Dado para identificar:  identificador.mac  Deve ser formatado como (rdfs:Literal  or  xsd:string)</v>
      </c>
      <c r="W1217" s="69" t="s">
        <v>5629</v>
      </c>
      <c r="X1217" s="17" t="str">
        <f t="shared" si="671"/>
        <v>d.ident.121</v>
      </c>
      <c r="Y1217" s="17" t="str">
        <f t="shared" si="672"/>
        <v>Ação de identificar</v>
      </c>
      <c r="Z1217" s="62" t="s">
        <v>4234</v>
      </c>
      <c r="AA1217" s="18" t="str">
        <f t="shared" si="704"/>
        <v>null</v>
      </c>
      <c r="AB1217" s="19" t="s">
        <v>0</v>
      </c>
      <c r="AC1217" s="18" t="str">
        <f t="shared" si="705"/>
        <v>null</v>
      </c>
      <c r="AD1217" s="19" t="s">
        <v>0</v>
      </c>
      <c r="AE1217" s="18" t="str">
        <f t="shared" si="706"/>
        <v>null</v>
      </c>
      <c r="AF1217" s="75" t="s">
        <v>0</v>
      </c>
      <c r="AG1217" s="38" t="s">
        <v>8419</v>
      </c>
    </row>
    <row r="1218" spans="1:33" ht="6" customHeight="1" x14ac:dyDescent="0.4">
      <c r="A1218" s="4">
        <f>ROW()</f>
        <v>1218</v>
      </c>
      <c r="B1218" s="9" t="s">
        <v>27</v>
      </c>
      <c r="C1218" s="44" t="str">
        <f t="shared" si="699"/>
        <v>p.identificar</v>
      </c>
      <c r="D1218" s="6" t="str">
        <f t="shared" si="700"/>
        <v>é.identificador.mmsi</v>
      </c>
      <c r="E1218" s="8" t="s">
        <v>28</v>
      </c>
      <c r="F1218" s="34" t="str">
        <f t="shared" si="701"/>
        <v>d.identificar</v>
      </c>
      <c r="G1218" s="14" t="s">
        <v>10012</v>
      </c>
      <c r="H1218" s="33" t="s">
        <v>1581</v>
      </c>
      <c r="I1218" s="92" t="str">
        <f t="shared" si="673"/>
        <v>Functional</v>
      </c>
      <c r="J1218" s="82" t="s">
        <v>0</v>
      </c>
      <c r="K1218" s="82" t="s">
        <v>262</v>
      </c>
      <c r="L1218" s="82" t="s">
        <v>0</v>
      </c>
      <c r="M1218" s="82" t="s">
        <v>0</v>
      </c>
      <c r="N1218" s="80" t="s">
        <v>0</v>
      </c>
      <c r="O1218" s="82" t="s">
        <v>0</v>
      </c>
      <c r="P1218" s="82" t="s">
        <v>0</v>
      </c>
      <c r="Q1218" s="82" t="s">
        <v>0</v>
      </c>
      <c r="R1218" s="84" t="s">
        <v>0</v>
      </c>
      <c r="S1218" s="10" t="s">
        <v>1</v>
      </c>
      <c r="T1218" s="10" t="s">
        <v>10221</v>
      </c>
      <c r="U1218" s="5" t="str">
        <f t="shared" si="702"/>
        <v>Propriedade destinada a identificar: é.identificador.mmsi</v>
      </c>
      <c r="V1218" s="5" t="str">
        <f t="shared" si="703"/>
        <v>Dado para identificar:  identificador.mmsi  Deve ser formatado como (rdfs:Literal  or  xsd:string)</v>
      </c>
      <c r="W1218" s="69" t="s">
        <v>5630</v>
      </c>
      <c r="X1218" s="17" t="str">
        <f t="shared" si="671"/>
        <v>d.ident.122</v>
      </c>
      <c r="Y1218" s="17" t="str">
        <f t="shared" si="672"/>
        <v>Ação de identificar</v>
      </c>
      <c r="Z1218" s="62" t="s">
        <v>4235</v>
      </c>
      <c r="AA1218" s="18" t="str">
        <f t="shared" si="704"/>
        <v>null</v>
      </c>
      <c r="AB1218" s="19" t="s">
        <v>0</v>
      </c>
      <c r="AC1218" s="18" t="str">
        <f t="shared" si="705"/>
        <v>null</v>
      </c>
      <c r="AD1218" s="19" t="s">
        <v>0</v>
      </c>
      <c r="AE1218" s="18" t="str">
        <f t="shared" si="706"/>
        <v>null</v>
      </c>
      <c r="AF1218" s="75" t="s">
        <v>0</v>
      </c>
      <c r="AG1218" s="38" t="s">
        <v>8420</v>
      </c>
    </row>
    <row r="1219" spans="1:33" ht="6" customHeight="1" x14ac:dyDescent="0.4">
      <c r="A1219" s="4">
        <f>ROW()</f>
        <v>1219</v>
      </c>
      <c r="B1219" s="9" t="s">
        <v>27</v>
      </c>
      <c r="C1219" s="44" t="str">
        <f t="shared" si="699"/>
        <v>p.identificar</v>
      </c>
      <c r="D1219" s="6" t="str">
        <f t="shared" si="700"/>
        <v>é.identificador.nis</v>
      </c>
      <c r="E1219" s="8" t="s">
        <v>28</v>
      </c>
      <c r="F1219" s="34" t="str">
        <f t="shared" si="701"/>
        <v>d.identificar</v>
      </c>
      <c r="G1219" s="14" t="s">
        <v>10009</v>
      </c>
      <c r="H1219" s="33" t="s">
        <v>1581</v>
      </c>
      <c r="I1219" s="92" t="str">
        <f t="shared" si="673"/>
        <v>Functional</v>
      </c>
      <c r="J1219" s="82" t="s">
        <v>0</v>
      </c>
      <c r="K1219" s="82" t="s">
        <v>262</v>
      </c>
      <c r="L1219" s="82" t="s">
        <v>0</v>
      </c>
      <c r="M1219" s="82" t="s">
        <v>0</v>
      </c>
      <c r="N1219" s="80" t="s">
        <v>0</v>
      </c>
      <c r="O1219" s="82" t="s">
        <v>0</v>
      </c>
      <c r="P1219" s="82" t="s">
        <v>0</v>
      </c>
      <c r="Q1219" s="82" t="s">
        <v>0</v>
      </c>
      <c r="R1219" s="84" t="s">
        <v>0</v>
      </c>
      <c r="S1219" s="10" t="s">
        <v>1</v>
      </c>
      <c r="T1219" s="10" t="s">
        <v>10221</v>
      </c>
      <c r="U1219" s="5" t="str">
        <f t="shared" si="702"/>
        <v>Propriedade destinada a identificar: é.identificador.nis</v>
      </c>
      <c r="V1219" s="5" t="str">
        <f t="shared" si="703"/>
        <v>Dado para identificar:  identificador.nis  Deve ser formatado como (rdfs:Literal  or  xsd:string)</v>
      </c>
      <c r="W1219" s="69" t="s">
        <v>5621</v>
      </c>
      <c r="X1219" s="17" t="str">
        <f t="shared" ref="X1219:X1282" si="707">IF(F1218&lt;&gt;F1219,_xlfn.CONCAT(RIGHT(LEFT(F1219,7),7),".100"),_xlfn.CONCAT(RIGHT(LEFT(F1219,7),7),".",SUM(VALUE(RIGHT(X1218,3)),1)))</f>
        <v>d.ident.123</v>
      </c>
      <c r="Y1219" s="17" t="str">
        <f t="shared" ref="Y1219:Y1282" si="708">_xlfn.CONCAT("Ação de ", SUBSTITUTE(F1219, "d.",  ""))</f>
        <v>Ação de identificar</v>
      </c>
      <c r="Z1219" s="62" t="s">
        <v>4226</v>
      </c>
      <c r="AA1219" s="18" t="str">
        <f t="shared" si="704"/>
        <v>null</v>
      </c>
      <c r="AB1219" s="19" t="s">
        <v>0</v>
      </c>
      <c r="AC1219" s="18" t="str">
        <f t="shared" si="705"/>
        <v>null</v>
      </c>
      <c r="AD1219" s="19" t="s">
        <v>0</v>
      </c>
      <c r="AE1219" s="18" t="str">
        <f t="shared" si="706"/>
        <v>null</v>
      </c>
      <c r="AF1219" s="75" t="s">
        <v>0</v>
      </c>
      <c r="AG1219" s="38" t="s">
        <v>8412</v>
      </c>
    </row>
    <row r="1220" spans="1:33" ht="6" customHeight="1" x14ac:dyDescent="0.4">
      <c r="A1220" s="4">
        <f>ROW()</f>
        <v>1220</v>
      </c>
      <c r="B1220" s="9" t="s">
        <v>27</v>
      </c>
      <c r="C1220" s="44" t="str">
        <f t="shared" si="699"/>
        <v>p.identificar</v>
      </c>
      <c r="D1220" s="6" t="str">
        <f t="shared" si="700"/>
        <v>é.identificador.pasep</v>
      </c>
      <c r="E1220" s="8" t="s">
        <v>28</v>
      </c>
      <c r="F1220" s="34" t="str">
        <f t="shared" si="701"/>
        <v>d.identificar</v>
      </c>
      <c r="G1220" s="14" t="s">
        <v>10016</v>
      </c>
      <c r="H1220" s="33" t="s">
        <v>1581</v>
      </c>
      <c r="I1220" s="92" t="str">
        <f t="shared" si="673"/>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702"/>
        <v>Propriedade destinada a identificar: é.identificador.pasep</v>
      </c>
      <c r="V1220" s="5" t="str">
        <f t="shared" si="703"/>
        <v>Dado para identificar:  identificador.pasep  Deve ser formatado como (rdfs:Literal  or  xsd:string)</v>
      </c>
      <c r="W1220" s="69" t="s">
        <v>5632</v>
      </c>
      <c r="X1220" s="17" t="str">
        <f t="shared" si="707"/>
        <v>d.ident.124</v>
      </c>
      <c r="Y1220" s="17" t="str">
        <f t="shared" si="708"/>
        <v>Ação de identificar</v>
      </c>
      <c r="Z1220" s="62" t="s">
        <v>4237</v>
      </c>
      <c r="AA1220" s="18" t="str">
        <f t="shared" si="704"/>
        <v>null</v>
      </c>
      <c r="AB1220" s="19" t="s">
        <v>0</v>
      </c>
      <c r="AC1220" s="18" t="str">
        <f t="shared" si="705"/>
        <v>null</v>
      </c>
      <c r="AD1220" s="19" t="s">
        <v>0</v>
      </c>
      <c r="AE1220" s="18" t="str">
        <f t="shared" si="706"/>
        <v>null</v>
      </c>
      <c r="AF1220" s="75" t="s">
        <v>0</v>
      </c>
      <c r="AG1220" s="38" t="s">
        <v>8422</v>
      </c>
    </row>
    <row r="1221" spans="1:33" ht="6" customHeight="1" x14ac:dyDescent="0.4">
      <c r="A1221" s="4">
        <f>ROW()</f>
        <v>1221</v>
      </c>
      <c r="B1221" s="9" t="s">
        <v>27</v>
      </c>
      <c r="C1221" s="44" t="str">
        <f t="shared" si="699"/>
        <v>p.identificar</v>
      </c>
      <c r="D1221" s="6" t="str">
        <f t="shared" si="700"/>
        <v>é.identificador.pis</v>
      </c>
      <c r="E1221" s="8" t="s">
        <v>28</v>
      </c>
      <c r="F1221" s="34" t="str">
        <f t="shared" si="701"/>
        <v>d.identificar</v>
      </c>
      <c r="G1221" s="14" t="s">
        <v>10015</v>
      </c>
      <c r="H1221" s="33" t="s">
        <v>1581</v>
      </c>
      <c r="I1221" s="92" t="str">
        <f t="shared" si="673"/>
        <v>Functional</v>
      </c>
      <c r="J1221" s="82" t="s">
        <v>0</v>
      </c>
      <c r="K1221" s="82" t="s">
        <v>262</v>
      </c>
      <c r="L1221" s="82" t="s">
        <v>0</v>
      </c>
      <c r="M1221" s="82" t="s">
        <v>0</v>
      </c>
      <c r="N1221" s="80" t="s">
        <v>0</v>
      </c>
      <c r="O1221" s="82" t="s">
        <v>0</v>
      </c>
      <c r="P1221" s="82" t="s">
        <v>0</v>
      </c>
      <c r="Q1221" s="82" t="s">
        <v>0</v>
      </c>
      <c r="R1221" s="84" t="s">
        <v>0</v>
      </c>
      <c r="S1221" s="10" t="s">
        <v>1</v>
      </c>
      <c r="T1221" s="10" t="s">
        <v>10221</v>
      </c>
      <c r="U1221" s="5" t="str">
        <f t="shared" si="702"/>
        <v>Propriedade destinada a identificar: é.identificador.pis</v>
      </c>
      <c r="V1221" s="5" t="str">
        <f t="shared" si="703"/>
        <v>Dado para identificar:  identificador.pis  Deve ser formatado como (rdfs:Literal  or  xsd:string)</v>
      </c>
      <c r="W1221" s="69" t="s">
        <v>5636</v>
      </c>
      <c r="X1221" s="17" t="str">
        <f t="shared" si="707"/>
        <v>d.ident.125</v>
      </c>
      <c r="Y1221" s="17" t="str">
        <f t="shared" si="708"/>
        <v>Ação de identificar</v>
      </c>
      <c r="Z1221" s="62" t="s">
        <v>4239</v>
      </c>
      <c r="AA1221" s="18" t="str">
        <f t="shared" si="704"/>
        <v>null</v>
      </c>
      <c r="AB1221" s="19" t="s">
        <v>0</v>
      </c>
      <c r="AC1221" s="18" t="str">
        <f t="shared" si="705"/>
        <v>null</v>
      </c>
      <c r="AD1221" s="19" t="s">
        <v>0</v>
      </c>
      <c r="AE1221" s="18" t="str">
        <f t="shared" si="706"/>
        <v>null</v>
      </c>
      <c r="AF1221" s="75" t="s">
        <v>0</v>
      </c>
      <c r="AG1221" s="38" t="s">
        <v>8426</v>
      </c>
    </row>
    <row r="1222" spans="1:33" ht="6" customHeight="1" x14ac:dyDescent="0.4">
      <c r="A1222" s="4">
        <f>ROW()</f>
        <v>1222</v>
      </c>
      <c r="B1222" s="9" t="s">
        <v>27</v>
      </c>
      <c r="C1222" s="44" t="str">
        <f t="shared" si="699"/>
        <v>p.identificar</v>
      </c>
      <c r="D1222" s="6" t="str">
        <f t="shared" si="700"/>
        <v>é.identificador.uuid</v>
      </c>
      <c r="E1222" s="8" t="s">
        <v>28</v>
      </c>
      <c r="F1222" s="34" t="str">
        <f t="shared" si="701"/>
        <v>d.identificar</v>
      </c>
      <c r="G1222" s="14" t="s">
        <v>10006</v>
      </c>
      <c r="H1222" s="33" t="s">
        <v>1581</v>
      </c>
      <c r="I1222" s="92" t="str">
        <f t="shared" si="673"/>
        <v>Functional</v>
      </c>
      <c r="J1222" s="82" t="s">
        <v>0</v>
      </c>
      <c r="K1222" s="82" t="s">
        <v>262</v>
      </c>
      <c r="L1222" s="82" t="s">
        <v>0</v>
      </c>
      <c r="M1222" s="82" t="s">
        <v>0</v>
      </c>
      <c r="N1222" s="80" t="s">
        <v>0</v>
      </c>
      <c r="O1222" s="82" t="s">
        <v>0</v>
      </c>
      <c r="P1222" s="82" t="s">
        <v>0</v>
      </c>
      <c r="Q1222" s="82" t="s">
        <v>0</v>
      </c>
      <c r="R1222" s="84" t="s">
        <v>10098</v>
      </c>
      <c r="S1222" s="10" t="s">
        <v>1</v>
      </c>
      <c r="T1222" s="10" t="s">
        <v>10221</v>
      </c>
      <c r="U1222" s="5" t="str">
        <f t="shared" si="702"/>
        <v>Propriedade destinada a identificar: é.identificador.uuid</v>
      </c>
      <c r="V1222" s="5" t="str">
        <f t="shared" si="703"/>
        <v>Dado para identificar:  identificador.uuid  Deve ser formatado como (rdfs:Literal  or  xsd:string)</v>
      </c>
      <c r="W1222" s="69" t="s">
        <v>6495</v>
      </c>
      <c r="X1222" s="17" t="str">
        <f t="shared" si="707"/>
        <v>d.ident.126</v>
      </c>
      <c r="Y1222" s="17" t="str">
        <f t="shared" si="708"/>
        <v>Ação de identificar</v>
      </c>
      <c r="Z1222" s="62" t="s">
        <v>6496</v>
      </c>
      <c r="AA1222" s="18" t="str">
        <f t="shared" si="704"/>
        <v>null</v>
      </c>
      <c r="AB1222" s="19" t="s">
        <v>0</v>
      </c>
      <c r="AC1222" s="18" t="str">
        <f t="shared" si="705"/>
        <v>null</v>
      </c>
      <c r="AD1222" s="19" t="s">
        <v>0</v>
      </c>
      <c r="AE1222" s="18" t="str">
        <f t="shared" si="706"/>
        <v>null</v>
      </c>
      <c r="AF1222" s="75" t="s">
        <v>0</v>
      </c>
      <c r="AG1222" s="38" t="s">
        <v>8434</v>
      </c>
    </row>
    <row r="1223" spans="1:33" ht="6" customHeight="1" x14ac:dyDescent="0.4">
      <c r="A1223" s="4">
        <f>ROW()</f>
        <v>1223</v>
      </c>
      <c r="B1223" s="9" t="s">
        <v>27</v>
      </c>
      <c r="C1223" s="44" t="str">
        <f t="shared" si="699"/>
        <v>p.identificar</v>
      </c>
      <c r="D1223" s="6" t="str">
        <f t="shared" si="700"/>
        <v>é.letra</v>
      </c>
      <c r="E1223" s="8" t="s">
        <v>28</v>
      </c>
      <c r="F1223" s="34" t="str">
        <f t="shared" si="701"/>
        <v>d.identificar</v>
      </c>
      <c r="G1223" s="14" t="s">
        <v>1733</v>
      </c>
      <c r="H1223" s="33" t="s">
        <v>1581</v>
      </c>
      <c r="I1223" s="92" t="str">
        <f t="shared" si="673"/>
        <v>null</v>
      </c>
      <c r="J1223" s="82" t="s">
        <v>0</v>
      </c>
      <c r="K1223" s="82" t="s">
        <v>0</v>
      </c>
      <c r="L1223" s="82" t="s">
        <v>0</v>
      </c>
      <c r="M1223" s="82" t="s">
        <v>0</v>
      </c>
      <c r="N1223" s="80" t="s">
        <v>0</v>
      </c>
      <c r="O1223" s="82" t="s">
        <v>0</v>
      </c>
      <c r="P1223" s="82" t="s">
        <v>0</v>
      </c>
      <c r="Q1223" s="82" t="s">
        <v>0</v>
      </c>
      <c r="R1223" s="84" t="s">
        <v>0</v>
      </c>
      <c r="S1223" s="10" t="s">
        <v>1</v>
      </c>
      <c r="T1223" s="10" t="s">
        <v>10221</v>
      </c>
      <c r="U1223" s="5" t="str">
        <f t="shared" si="702"/>
        <v>Propriedade destinada a identificar: é.letra</v>
      </c>
      <c r="V1223" s="5" t="str">
        <f t="shared" si="703"/>
        <v>Dado para identificar:  letra  Deve ser formatado como (rdfs:Literal  or  xsd:string)</v>
      </c>
      <c r="W1223" s="69" t="s">
        <v>5619</v>
      </c>
      <c r="X1223" s="17" t="str">
        <f t="shared" si="707"/>
        <v>d.ident.127</v>
      </c>
      <c r="Y1223" s="17" t="str">
        <f t="shared" si="708"/>
        <v>Ação de identificar</v>
      </c>
      <c r="Z1223" s="62" t="s">
        <v>4224</v>
      </c>
      <c r="AA1223" s="18" t="str">
        <f t="shared" si="704"/>
        <v>null</v>
      </c>
      <c r="AB1223" s="19" t="s">
        <v>0</v>
      </c>
      <c r="AC1223" s="18" t="str">
        <f t="shared" si="705"/>
        <v>null</v>
      </c>
      <c r="AD1223" s="19" t="s">
        <v>0</v>
      </c>
      <c r="AE1223" s="18" t="str">
        <f t="shared" si="706"/>
        <v>null</v>
      </c>
      <c r="AF1223" s="75" t="s">
        <v>0</v>
      </c>
      <c r="AG1223" s="38" t="s">
        <v>8408</v>
      </c>
    </row>
    <row r="1224" spans="1:33" ht="6" customHeight="1" x14ac:dyDescent="0.4">
      <c r="A1224" s="4">
        <f>ROW()</f>
        <v>1224</v>
      </c>
      <c r="B1224" s="9" t="s">
        <v>27</v>
      </c>
      <c r="C1224" s="44" t="str">
        <f t="shared" si="699"/>
        <v>p.identificar</v>
      </c>
      <c r="D1224" s="6" t="str">
        <f t="shared" si="700"/>
        <v>é.matrícula</v>
      </c>
      <c r="E1224" s="8" t="s">
        <v>28</v>
      </c>
      <c r="F1224" s="34" t="str">
        <f>F1222</f>
        <v>d.identificar</v>
      </c>
      <c r="G1224" s="14" t="s">
        <v>137</v>
      </c>
      <c r="H1224" s="33" t="s">
        <v>1581</v>
      </c>
      <c r="I1224" s="92" t="str">
        <f t="shared" ref="I1224:I1287" si="709">IF(OR(J1224="Functional",K1224="InverseFunctional"),"Functional","null")</f>
        <v>Functional</v>
      </c>
      <c r="J1224" s="82" t="s">
        <v>29</v>
      </c>
      <c r="K1224" s="82" t="s">
        <v>0</v>
      </c>
      <c r="L1224" s="82" t="s">
        <v>0</v>
      </c>
      <c r="M1224" s="82" t="s">
        <v>0</v>
      </c>
      <c r="N1224" s="80" t="s">
        <v>0</v>
      </c>
      <c r="O1224" s="82" t="s">
        <v>0</v>
      </c>
      <c r="P1224" s="82" t="s">
        <v>0</v>
      </c>
      <c r="Q1224" s="82" t="s">
        <v>0</v>
      </c>
      <c r="R1224" s="84" t="s">
        <v>0</v>
      </c>
      <c r="S1224" s="10" t="s">
        <v>1</v>
      </c>
      <c r="T1224" s="10" t="s">
        <v>10221</v>
      </c>
      <c r="U1224" s="5" t="str">
        <f t="shared" si="702"/>
        <v>Propriedade destinada a identificar: é.matrícula</v>
      </c>
      <c r="V1224" s="5" t="str">
        <f t="shared" si="703"/>
        <v>Dado para identificar:  matrícula  Deve ser formatado como (rdfs:Literal  or  xsd:string)</v>
      </c>
      <c r="W1224" s="69" t="s">
        <v>5620</v>
      </c>
      <c r="X1224" s="17" t="str">
        <f t="shared" si="707"/>
        <v>d.ident.128</v>
      </c>
      <c r="Y1224" s="17" t="str">
        <f t="shared" si="708"/>
        <v>Ação de identificar</v>
      </c>
      <c r="Z1224" s="62" t="s">
        <v>4225</v>
      </c>
      <c r="AA1224" s="18" t="str">
        <f t="shared" si="704"/>
        <v>null</v>
      </c>
      <c r="AB1224" s="19" t="s">
        <v>0</v>
      </c>
      <c r="AC1224" s="18" t="str">
        <f t="shared" si="705"/>
        <v>null</v>
      </c>
      <c r="AD1224" s="19" t="s">
        <v>0</v>
      </c>
      <c r="AE1224" s="18" t="str">
        <f t="shared" si="706"/>
        <v>null</v>
      </c>
      <c r="AF1224" s="75" t="s">
        <v>0</v>
      </c>
      <c r="AG1224" s="38" t="s">
        <v>8409</v>
      </c>
    </row>
    <row r="1225" spans="1:33" ht="6" customHeight="1" x14ac:dyDescent="0.4">
      <c r="A1225" s="4">
        <f>ROW()</f>
        <v>1225</v>
      </c>
      <c r="B1225" s="9" t="s">
        <v>27</v>
      </c>
      <c r="C1225" s="44" t="str">
        <f t="shared" si="699"/>
        <v>p.identificar</v>
      </c>
      <c r="D1225" s="6" t="str">
        <f t="shared" si="700"/>
        <v>é.metadado</v>
      </c>
      <c r="E1225" s="8" t="s">
        <v>28</v>
      </c>
      <c r="F1225" s="34" t="str">
        <f>F1222</f>
        <v>d.identificar</v>
      </c>
      <c r="G1225" s="14" t="s">
        <v>6501</v>
      </c>
      <c r="H1225" s="33" t="s">
        <v>1581</v>
      </c>
      <c r="I1225" s="92" t="str">
        <f t="shared" si="709"/>
        <v>null</v>
      </c>
      <c r="J1225" s="82" t="s">
        <v>0</v>
      </c>
      <c r="K1225" s="82" t="s">
        <v>0</v>
      </c>
      <c r="L1225" s="82" t="s">
        <v>0</v>
      </c>
      <c r="M1225" s="82" t="s">
        <v>0</v>
      </c>
      <c r="N1225" s="80" t="s">
        <v>0</v>
      </c>
      <c r="O1225" s="82" t="s">
        <v>0</v>
      </c>
      <c r="P1225" s="82" t="s">
        <v>0</v>
      </c>
      <c r="Q1225" s="82" t="s">
        <v>0</v>
      </c>
      <c r="R1225" s="84" t="s">
        <v>0</v>
      </c>
      <c r="S1225" s="10" t="s">
        <v>1</v>
      </c>
      <c r="T1225" s="10" t="s">
        <v>10221</v>
      </c>
      <c r="U1225" s="5" t="str">
        <f t="shared" si="702"/>
        <v>Propriedade destinada a identificar: é.metadado</v>
      </c>
      <c r="V1225" s="5" t="str">
        <f t="shared" si="703"/>
        <v>Dado para identificar:  metadado  Deve ser formatado como (rdfs:Literal  or  xsd:string)</v>
      </c>
      <c r="W1225" s="69" t="s">
        <v>6503</v>
      </c>
      <c r="X1225" s="17" t="str">
        <f t="shared" si="707"/>
        <v>d.ident.129</v>
      </c>
      <c r="Y1225" s="17" t="str">
        <f t="shared" si="708"/>
        <v>Ação de identificar</v>
      </c>
      <c r="Z1225" s="62" t="s">
        <v>6505</v>
      </c>
      <c r="AA1225" s="18" t="str">
        <f t="shared" si="704"/>
        <v>null</v>
      </c>
      <c r="AB1225" s="19" t="s">
        <v>0</v>
      </c>
      <c r="AC1225" s="18" t="str">
        <f t="shared" si="705"/>
        <v>null</v>
      </c>
      <c r="AD1225" s="19" t="s">
        <v>0</v>
      </c>
      <c r="AE1225" s="18" t="str">
        <f t="shared" si="706"/>
        <v>null</v>
      </c>
      <c r="AF1225" s="75" t="s">
        <v>0</v>
      </c>
      <c r="AG1225" s="38" t="s">
        <v>8410</v>
      </c>
    </row>
    <row r="1226" spans="1:33" ht="6" customHeight="1" x14ac:dyDescent="0.4">
      <c r="A1226" s="4">
        <f>ROW()</f>
        <v>1226</v>
      </c>
      <c r="B1226" s="9" t="s">
        <v>27</v>
      </c>
      <c r="C1226" s="44" t="str">
        <f t="shared" si="699"/>
        <v>p.identificar</v>
      </c>
      <c r="D1226" s="6" t="str">
        <f t="shared" si="700"/>
        <v>é.metadados</v>
      </c>
      <c r="E1226" s="8" t="s">
        <v>28</v>
      </c>
      <c r="F1226" s="34" t="str">
        <f>F1223</f>
        <v>d.identificar</v>
      </c>
      <c r="G1226" s="14" t="s">
        <v>6502</v>
      </c>
      <c r="H1226" s="33" t="s">
        <v>1581</v>
      </c>
      <c r="I1226" s="92" t="str">
        <f t="shared" si="709"/>
        <v>null</v>
      </c>
      <c r="J1226" s="82" t="s">
        <v>0</v>
      </c>
      <c r="K1226" s="82" t="s">
        <v>0</v>
      </c>
      <c r="L1226" s="82" t="s">
        <v>0</v>
      </c>
      <c r="M1226" s="82" t="s">
        <v>0</v>
      </c>
      <c r="N1226" s="80" t="s">
        <v>0</v>
      </c>
      <c r="O1226" s="82" t="s">
        <v>0</v>
      </c>
      <c r="P1226" s="82" t="s">
        <v>0</v>
      </c>
      <c r="Q1226" s="82" t="s">
        <v>0</v>
      </c>
      <c r="R1226" s="84" t="s">
        <v>0</v>
      </c>
      <c r="S1226" s="10" t="s">
        <v>1</v>
      </c>
      <c r="T1226" s="10" t="s">
        <v>10221</v>
      </c>
      <c r="U1226" s="5" t="str">
        <f t="shared" si="702"/>
        <v>Propriedade destinada a identificar: é.metadados</v>
      </c>
      <c r="V1226" s="5" t="str">
        <f t="shared" si="703"/>
        <v>Dado para identificar:  metadados  Deve ser formatado como (rdfs:Literal  or  xsd:string)</v>
      </c>
      <c r="W1226" s="69" t="s">
        <v>6504</v>
      </c>
      <c r="X1226" s="17" t="str">
        <f t="shared" si="707"/>
        <v>d.ident.130</v>
      </c>
      <c r="Y1226" s="17" t="str">
        <f t="shared" si="708"/>
        <v>Ação de identificar</v>
      </c>
      <c r="Z1226" s="62" t="s">
        <v>6506</v>
      </c>
      <c r="AA1226" s="18" t="str">
        <f t="shared" si="704"/>
        <v>null</v>
      </c>
      <c r="AB1226" s="19" t="s">
        <v>0</v>
      </c>
      <c r="AC1226" s="18" t="str">
        <f t="shared" si="705"/>
        <v>null</v>
      </c>
      <c r="AD1226" s="19" t="s">
        <v>0</v>
      </c>
      <c r="AE1226" s="18" t="str">
        <f t="shared" si="706"/>
        <v>null</v>
      </c>
      <c r="AF1226" s="75" t="s">
        <v>0</v>
      </c>
      <c r="AG1226" s="38" t="s">
        <v>8411</v>
      </c>
    </row>
    <row r="1227" spans="1:33" ht="6" customHeight="1" x14ac:dyDescent="0.4">
      <c r="A1227" s="4">
        <f>ROW()</f>
        <v>1227</v>
      </c>
      <c r="B1227" s="9" t="s">
        <v>27</v>
      </c>
      <c r="C1227" s="44" t="str">
        <f t="shared" si="699"/>
        <v>p.identificar</v>
      </c>
      <c r="D1227" s="6" t="str">
        <f t="shared" si="700"/>
        <v>é.nome</v>
      </c>
      <c r="E1227" s="8" t="s">
        <v>28</v>
      </c>
      <c r="F1227" s="34" t="str">
        <f t="shared" ref="F1227:F1248" si="710">F1226</f>
        <v>d.identificar</v>
      </c>
      <c r="G1227" s="14" t="s">
        <v>132</v>
      </c>
      <c r="H1227" s="33" t="s">
        <v>1581</v>
      </c>
      <c r="I1227" s="92" t="str">
        <f t="shared" si="709"/>
        <v>null</v>
      </c>
      <c r="J1227" s="82" t="s">
        <v>0</v>
      </c>
      <c r="K1227" s="82" t="s">
        <v>0</v>
      </c>
      <c r="L1227" s="82" t="s">
        <v>0</v>
      </c>
      <c r="M1227" s="82" t="s">
        <v>0</v>
      </c>
      <c r="N1227" s="80" t="s">
        <v>0</v>
      </c>
      <c r="O1227" s="82" t="s">
        <v>0</v>
      </c>
      <c r="P1227" s="82" t="s">
        <v>0</v>
      </c>
      <c r="Q1227" s="82" t="s">
        <v>0</v>
      </c>
      <c r="R1227" s="84" t="s">
        <v>0</v>
      </c>
      <c r="S1227" s="10" t="s">
        <v>1</v>
      </c>
      <c r="T1227" s="10" t="s">
        <v>10221</v>
      </c>
      <c r="U1227" s="5" t="str">
        <f t="shared" si="702"/>
        <v>Propriedade destinada a identificar: é.nome</v>
      </c>
      <c r="V1227" s="5" t="str">
        <f t="shared" si="703"/>
        <v>Dado para identificar:  nome  Deve ser formatado como (rdfs:Literal  or  xsd:string)</v>
      </c>
      <c r="W1227" s="69" t="s">
        <v>5622</v>
      </c>
      <c r="X1227" s="17" t="str">
        <f t="shared" si="707"/>
        <v>d.ident.131</v>
      </c>
      <c r="Y1227" s="17" t="str">
        <f t="shared" si="708"/>
        <v>Ação de identificar</v>
      </c>
      <c r="Z1227" s="62" t="s">
        <v>4227</v>
      </c>
      <c r="AA1227" s="18" t="str">
        <f t="shared" si="704"/>
        <v>null</v>
      </c>
      <c r="AB1227" s="19" t="s">
        <v>0</v>
      </c>
      <c r="AC1227" s="18" t="str">
        <f t="shared" si="705"/>
        <v>null</v>
      </c>
      <c r="AD1227" s="19" t="s">
        <v>0</v>
      </c>
      <c r="AE1227" s="18" t="str">
        <f t="shared" si="706"/>
        <v>null</v>
      </c>
      <c r="AF1227" s="75" t="s">
        <v>0</v>
      </c>
      <c r="AG1227" s="38" t="s">
        <v>8413</v>
      </c>
    </row>
    <row r="1228" spans="1:33" ht="6" customHeight="1" x14ac:dyDescent="0.4">
      <c r="A1228" s="4">
        <f>ROW()</f>
        <v>1228</v>
      </c>
      <c r="B1228" s="9" t="s">
        <v>27</v>
      </c>
      <c r="C1228" s="44" t="str">
        <f t="shared" si="699"/>
        <v>p.identificar</v>
      </c>
      <c r="D1228" s="6" t="str">
        <f t="shared" si="700"/>
        <v>é.nome.social</v>
      </c>
      <c r="E1228" s="8" t="s">
        <v>28</v>
      </c>
      <c r="F1228" s="34" t="str">
        <f t="shared" si="710"/>
        <v>d.identificar</v>
      </c>
      <c r="G1228" s="14" t="s">
        <v>980</v>
      </c>
      <c r="H1228" s="33" t="s">
        <v>1581</v>
      </c>
      <c r="I1228" s="92" t="str">
        <f t="shared" si="709"/>
        <v>null</v>
      </c>
      <c r="J1228" s="82" t="s">
        <v>0</v>
      </c>
      <c r="K1228" s="82" t="s">
        <v>0</v>
      </c>
      <c r="L1228" s="82" t="s">
        <v>0</v>
      </c>
      <c r="M1228" s="82" t="s">
        <v>0</v>
      </c>
      <c r="N1228" s="80" t="s">
        <v>0</v>
      </c>
      <c r="O1228" s="82" t="s">
        <v>0</v>
      </c>
      <c r="P1228" s="82" t="s">
        <v>0</v>
      </c>
      <c r="Q1228" s="82" t="s">
        <v>0</v>
      </c>
      <c r="R1228" s="84" t="s">
        <v>0</v>
      </c>
      <c r="S1228" s="10" t="s">
        <v>1</v>
      </c>
      <c r="T1228" s="10" t="s">
        <v>10221</v>
      </c>
      <c r="U1228" s="5" t="str">
        <f t="shared" si="702"/>
        <v>Propriedade destinada a identificar: é.nome.social</v>
      </c>
      <c r="V1228" s="5" t="str">
        <f t="shared" si="703"/>
        <v>Dado para identificar:  nome.social  Deve ser formatado como (rdfs:Literal  or  xsd:string)</v>
      </c>
      <c r="W1228" s="69" t="s">
        <v>5623</v>
      </c>
      <c r="X1228" s="17" t="str">
        <f t="shared" si="707"/>
        <v>d.ident.132</v>
      </c>
      <c r="Y1228" s="17" t="str">
        <f t="shared" si="708"/>
        <v>Ação de identificar</v>
      </c>
      <c r="Z1228" s="62" t="s">
        <v>4228</v>
      </c>
      <c r="AA1228" s="18" t="str">
        <f t="shared" si="704"/>
        <v>null</v>
      </c>
      <c r="AB1228" s="19" t="s">
        <v>0</v>
      </c>
      <c r="AC1228" s="18" t="str">
        <f t="shared" si="705"/>
        <v>null</v>
      </c>
      <c r="AD1228" s="19" t="s">
        <v>0</v>
      </c>
      <c r="AE1228" s="18" t="str">
        <f t="shared" si="706"/>
        <v>null</v>
      </c>
      <c r="AF1228" s="75" t="s">
        <v>0</v>
      </c>
      <c r="AG1228" s="38" t="s">
        <v>8414</v>
      </c>
    </row>
    <row r="1229" spans="1:33" ht="6" customHeight="1" x14ac:dyDescent="0.4">
      <c r="A1229" s="4">
        <f>ROW()</f>
        <v>1229</v>
      </c>
      <c r="B1229" s="9" t="s">
        <v>27</v>
      </c>
      <c r="C1229" s="44" t="str">
        <f t="shared" ref="C1229:C1248" si="711">SUBSTITUTE(F1229,"d.","p.")</f>
        <v>p.identificar</v>
      </c>
      <c r="D1229" s="6" t="str">
        <f t="shared" ref="D1229:D1260" si="712">_xlfn.CONCAT("é.",G1229)</f>
        <v>é.nomeada</v>
      </c>
      <c r="E1229" s="8" t="s">
        <v>28</v>
      </c>
      <c r="F1229" s="34" t="str">
        <f t="shared" si="710"/>
        <v>d.identificar</v>
      </c>
      <c r="G1229" s="14" t="s">
        <v>1594</v>
      </c>
      <c r="H1229" s="33" t="s">
        <v>1581</v>
      </c>
      <c r="I1229" s="92" t="str">
        <f t="shared" si="709"/>
        <v>null</v>
      </c>
      <c r="J1229" s="82" t="s">
        <v>0</v>
      </c>
      <c r="K1229" s="82" t="s">
        <v>0</v>
      </c>
      <c r="L1229" s="82" t="s">
        <v>0</v>
      </c>
      <c r="M1229" s="82" t="s">
        <v>0</v>
      </c>
      <c r="N1229" s="80" t="s">
        <v>0</v>
      </c>
      <c r="O1229" s="82" t="s">
        <v>0</v>
      </c>
      <c r="P1229" s="82" t="s">
        <v>0</v>
      </c>
      <c r="Q1229" s="82" t="s">
        <v>0</v>
      </c>
      <c r="R1229" s="84" t="s">
        <v>1595</v>
      </c>
      <c r="S1229" s="10" t="s">
        <v>1</v>
      </c>
      <c r="T1229" s="10" t="s">
        <v>10221</v>
      </c>
      <c r="U1229" s="5" t="str">
        <f t="shared" ref="U1229:U1260" si="713">_xlfn.CONCAT("Propriedade destinada a ",MID(C1229,FIND("p.",C1229,1)+2,100),": ",D1229)</f>
        <v>Propriedade destinada a identificar: é.nomeada</v>
      </c>
      <c r="V1229" s="5" t="str">
        <f t="shared" ref="V1229:V1260" si="714">_xlfn.CONCAT("Dado para ",MID(F1229,FIND("d.",F1229,1)+2,100),":  ",G1229, "  Deve ser formatado como (",H1229, ")")</f>
        <v>Dado para identificar:  nomeada  Deve ser formatado como (rdfs:Literal  or  xsd:string)</v>
      </c>
      <c r="W1229" s="69" t="s">
        <v>5624</v>
      </c>
      <c r="X1229" s="17" t="str">
        <f t="shared" si="707"/>
        <v>d.ident.133</v>
      </c>
      <c r="Y1229" s="17" t="str">
        <f t="shared" si="708"/>
        <v>Ação de identificar</v>
      </c>
      <c r="Z1229" s="62" t="s">
        <v>4227</v>
      </c>
      <c r="AA1229" s="18" t="str">
        <f t="shared" ref="AA1229:AA1260" si="715">IF(AB1229="null", "null", "categoria.revit")</f>
        <v>null</v>
      </c>
      <c r="AB1229" s="19" t="s">
        <v>0</v>
      </c>
      <c r="AC1229" s="18" t="str">
        <f t="shared" ref="AC1229:AC1260" si="716">IF(AD1229="null", "null", "classe.ifc")</f>
        <v>null</v>
      </c>
      <c r="AD1229" s="19" t="s">
        <v>0</v>
      </c>
      <c r="AE1229" s="18" t="str">
        <f t="shared" ref="AE1229:AE1260" si="717">IF(AF1229="null", "null", "propriedade")</f>
        <v>null</v>
      </c>
      <c r="AF1229" s="75" t="s">
        <v>0</v>
      </c>
      <c r="AG1229" s="38" t="s">
        <v>8413</v>
      </c>
    </row>
    <row r="1230" spans="1:33" ht="6" customHeight="1" x14ac:dyDescent="0.4">
      <c r="A1230" s="4">
        <f>ROW()</f>
        <v>1230</v>
      </c>
      <c r="B1230" s="9" t="s">
        <v>27</v>
      </c>
      <c r="C1230" s="44" t="str">
        <f t="shared" si="711"/>
        <v>p.identificar</v>
      </c>
      <c r="D1230" s="6" t="str">
        <f t="shared" si="712"/>
        <v>é.nomeado</v>
      </c>
      <c r="E1230" s="8" t="s">
        <v>28</v>
      </c>
      <c r="F1230" s="34" t="str">
        <f t="shared" si="710"/>
        <v>d.identificar</v>
      </c>
      <c r="G1230" s="14" t="s">
        <v>1582</v>
      </c>
      <c r="H1230" s="33" t="s">
        <v>1581</v>
      </c>
      <c r="I1230" s="92" t="str">
        <f t="shared" si="709"/>
        <v>null</v>
      </c>
      <c r="J1230" s="82" t="s">
        <v>0</v>
      </c>
      <c r="K1230" s="82" t="s">
        <v>0</v>
      </c>
      <c r="L1230" s="82" t="s">
        <v>0</v>
      </c>
      <c r="M1230" s="82" t="s">
        <v>0</v>
      </c>
      <c r="N1230" s="80" t="s">
        <v>0</v>
      </c>
      <c r="O1230" s="82" t="s">
        <v>0</v>
      </c>
      <c r="P1230" s="82" t="s">
        <v>0</v>
      </c>
      <c r="Q1230" s="82" t="s">
        <v>0</v>
      </c>
      <c r="R1230" s="84" t="s">
        <v>1596</v>
      </c>
      <c r="S1230" s="10" t="s">
        <v>1</v>
      </c>
      <c r="T1230" s="10" t="s">
        <v>10221</v>
      </c>
      <c r="U1230" s="5" t="str">
        <f t="shared" si="713"/>
        <v>Propriedade destinada a identificar: é.nomeado</v>
      </c>
      <c r="V1230" s="5" t="str">
        <f t="shared" si="714"/>
        <v>Dado para identificar:  nomeado  Deve ser formatado como (rdfs:Literal  or  xsd:string)</v>
      </c>
      <c r="W1230" s="69" t="s">
        <v>5624</v>
      </c>
      <c r="X1230" s="17" t="str">
        <f t="shared" si="707"/>
        <v>d.ident.134</v>
      </c>
      <c r="Y1230" s="17" t="str">
        <f t="shared" si="708"/>
        <v>Ação de identificar</v>
      </c>
      <c r="Z1230" s="62" t="s">
        <v>4227</v>
      </c>
      <c r="AA1230" s="18" t="str">
        <f t="shared" si="715"/>
        <v>null</v>
      </c>
      <c r="AB1230" s="19" t="s">
        <v>0</v>
      </c>
      <c r="AC1230" s="18" t="str">
        <f t="shared" si="716"/>
        <v>null</v>
      </c>
      <c r="AD1230" s="19" t="s">
        <v>0</v>
      </c>
      <c r="AE1230" s="18" t="str">
        <f t="shared" si="717"/>
        <v>null</v>
      </c>
      <c r="AF1230" s="75" t="s">
        <v>0</v>
      </c>
      <c r="AG1230" s="38" t="s">
        <v>8413</v>
      </c>
    </row>
    <row r="1231" spans="1:33" ht="6" customHeight="1" x14ac:dyDescent="0.4">
      <c r="A1231" s="4">
        <f>ROW()</f>
        <v>1231</v>
      </c>
      <c r="B1231" s="9" t="s">
        <v>27</v>
      </c>
      <c r="C1231" s="44" t="str">
        <f t="shared" si="711"/>
        <v>p.identificar</v>
      </c>
      <c r="D1231" s="6" t="str">
        <f t="shared" si="712"/>
        <v>é.número</v>
      </c>
      <c r="E1231" s="8" t="s">
        <v>28</v>
      </c>
      <c r="F1231" s="34" t="str">
        <f t="shared" si="710"/>
        <v>d.identificar</v>
      </c>
      <c r="G1231" s="14" t="s">
        <v>133</v>
      </c>
      <c r="H1231" s="33" t="s">
        <v>1581</v>
      </c>
      <c r="I1231" s="92" t="str">
        <f t="shared" si="709"/>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713"/>
        <v>Propriedade destinada a identificar: é.número</v>
      </c>
      <c r="V1231" s="5" t="str">
        <f t="shared" si="714"/>
        <v>Dado para identificar:  número  Deve ser formatado como (rdfs:Literal  or  xsd:string)</v>
      </c>
      <c r="W1231" s="69" t="s">
        <v>5625</v>
      </c>
      <c r="X1231" s="17" t="str">
        <f t="shared" si="707"/>
        <v>d.ident.135</v>
      </c>
      <c r="Y1231" s="17" t="str">
        <f t="shared" si="708"/>
        <v>Ação de identificar</v>
      </c>
      <c r="Z1231" s="62" t="s">
        <v>4230</v>
      </c>
      <c r="AA1231" s="18" t="str">
        <f t="shared" si="715"/>
        <v>null</v>
      </c>
      <c r="AB1231" s="19" t="s">
        <v>0</v>
      </c>
      <c r="AC1231" s="18" t="str">
        <f t="shared" si="716"/>
        <v>null</v>
      </c>
      <c r="AD1231" s="19" t="s">
        <v>0</v>
      </c>
      <c r="AE1231" s="18" t="str">
        <f t="shared" si="717"/>
        <v>null</v>
      </c>
      <c r="AF1231" s="75" t="s">
        <v>0</v>
      </c>
      <c r="AG1231" s="38" t="s">
        <v>8415</v>
      </c>
    </row>
    <row r="1232" spans="1:33" ht="6" customHeight="1" x14ac:dyDescent="0.4">
      <c r="A1232" s="4">
        <f>ROW()</f>
        <v>1232</v>
      </c>
      <c r="B1232" s="9" t="s">
        <v>27</v>
      </c>
      <c r="C1232" s="44" t="str">
        <f t="shared" si="711"/>
        <v>p.identificar</v>
      </c>
      <c r="D1232" s="6" t="str">
        <f t="shared" si="712"/>
        <v>é.número.de.inscrição</v>
      </c>
      <c r="E1232" s="8" t="s">
        <v>28</v>
      </c>
      <c r="F1232" s="34" t="str">
        <f t="shared" si="710"/>
        <v>d.identificar</v>
      </c>
      <c r="G1232" s="14" t="s">
        <v>2249</v>
      </c>
      <c r="H1232" s="33" t="s">
        <v>1581</v>
      </c>
      <c r="I1232" s="92" t="str">
        <f t="shared" si="709"/>
        <v>null</v>
      </c>
      <c r="J1232" s="80" t="s">
        <v>0</v>
      </c>
      <c r="K1232" s="80" t="s">
        <v>0</v>
      </c>
      <c r="L1232" s="82" t="s">
        <v>0</v>
      </c>
      <c r="M1232" s="82" t="s">
        <v>0</v>
      </c>
      <c r="N1232" s="80" t="s">
        <v>0</v>
      </c>
      <c r="O1232" s="82" t="s">
        <v>0</v>
      </c>
      <c r="P1232" s="82" t="s">
        <v>0</v>
      </c>
      <c r="Q1232" s="82" t="s">
        <v>0</v>
      </c>
      <c r="R1232" s="84" t="s">
        <v>0</v>
      </c>
      <c r="S1232" s="10" t="s">
        <v>1</v>
      </c>
      <c r="T1232" s="10" t="s">
        <v>10221</v>
      </c>
      <c r="U1232" s="5" t="str">
        <f t="shared" si="713"/>
        <v>Propriedade destinada a identificar: é.número.de.inscrição</v>
      </c>
      <c r="V1232" s="5" t="str">
        <f t="shared" si="714"/>
        <v>Dado para identificar:  número.de.inscrição  Deve ser formatado como (rdfs:Literal  or  xsd:string)</v>
      </c>
      <c r="W1232" s="69" t="s">
        <v>5626</v>
      </c>
      <c r="X1232" s="17" t="str">
        <f t="shared" si="707"/>
        <v>d.ident.136</v>
      </c>
      <c r="Y1232" s="17" t="str">
        <f t="shared" si="708"/>
        <v>Ação de identificar</v>
      </c>
      <c r="Z1232" s="62" t="s">
        <v>4232</v>
      </c>
      <c r="AA1232" s="18" t="str">
        <f t="shared" si="715"/>
        <v>null</v>
      </c>
      <c r="AB1232" s="19" t="s">
        <v>0</v>
      </c>
      <c r="AC1232" s="18" t="str">
        <f t="shared" si="716"/>
        <v>null</v>
      </c>
      <c r="AD1232" s="19" t="s">
        <v>0</v>
      </c>
      <c r="AE1232" s="18" t="str">
        <f t="shared" si="717"/>
        <v>null</v>
      </c>
      <c r="AF1232" s="75" t="s">
        <v>0</v>
      </c>
      <c r="AG1232" s="38" t="s">
        <v>8416</v>
      </c>
    </row>
    <row r="1233" spans="1:33" ht="6" customHeight="1" x14ac:dyDescent="0.4">
      <c r="A1233" s="4">
        <f>ROW()</f>
        <v>1233</v>
      </c>
      <c r="B1233" s="9" t="s">
        <v>27</v>
      </c>
      <c r="C1233" s="44" t="str">
        <f t="shared" si="711"/>
        <v>p.identificar</v>
      </c>
      <c r="D1233" s="6" t="str">
        <f t="shared" si="712"/>
        <v>é.número.de.lote</v>
      </c>
      <c r="E1233" s="8" t="s">
        <v>28</v>
      </c>
      <c r="F1233" s="34" t="str">
        <f t="shared" si="710"/>
        <v>d.identificar</v>
      </c>
      <c r="G1233" s="14" t="s">
        <v>688</v>
      </c>
      <c r="H1233" s="33" t="s">
        <v>1581</v>
      </c>
      <c r="I1233" s="92" t="str">
        <f t="shared" si="709"/>
        <v>Functional</v>
      </c>
      <c r="J1233" s="82" t="s">
        <v>29</v>
      </c>
      <c r="K1233" s="82" t="s">
        <v>0</v>
      </c>
      <c r="L1233" s="82" t="s">
        <v>0</v>
      </c>
      <c r="M1233" s="82" t="s">
        <v>0</v>
      </c>
      <c r="N1233" s="80" t="s">
        <v>0</v>
      </c>
      <c r="O1233" s="82" t="s">
        <v>0</v>
      </c>
      <c r="P1233" s="82" t="s">
        <v>0</v>
      </c>
      <c r="Q1233" s="82" t="s">
        <v>0</v>
      </c>
      <c r="R1233" s="84" t="s">
        <v>0</v>
      </c>
      <c r="S1233" s="10" t="s">
        <v>1</v>
      </c>
      <c r="T1233" s="10" t="s">
        <v>10221</v>
      </c>
      <c r="U1233" s="5" t="str">
        <f t="shared" si="713"/>
        <v>Propriedade destinada a identificar: é.número.de.lote</v>
      </c>
      <c r="V1233" s="5" t="str">
        <f t="shared" si="714"/>
        <v>Dado para identificar:  número.de.lote  Deve ser formatado como (rdfs:Literal  or  xsd:string)</v>
      </c>
      <c r="W1233" s="69" t="s">
        <v>5627</v>
      </c>
      <c r="X1233" s="17" t="str">
        <f t="shared" si="707"/>
        <v>d.ident.137</v>
      </c>
      <c r="Y1233" s="17" t="str">
        <f t="shared" si="708"/>
        <v>Ação de identificar</v>
      </c>
      <c r="Z1233" s="62" t="s">
        <v>4231</v>
      </c>
      <c r="AA1233" s="18" t="str">
        <f t="shared" si="715"/>
        <v>null</v>
      </c>
      <c r="AB1233" s="19" t="s">
        <v>0</v>
      </c>
      <c r="AC1233" s="18" t="str">
        <f t="shared" si="716"/>
        <v>null</v>
      </c>
      <c r="AD1233" s="19" t="s">
        <v>0</v>
      </c>
      <c r="AE1233" s="18" t="str">
        <f t="shared" si="717"/>
        <v>propriedade</v>
      </c>
      <c r="AF1233" s="75" t="s">
        <v>1848</v>
      </c>
      <c r="AG1233" s="38" t="s">
        <v>8417</v>
      </c>
    </row>
    <row r="1234" spans="1:33" ht="6" customHeight="1" x14ac:dyDescent="0.4">
      <c r="A1234" s="4">
        <f>ROW()</f>
        <v>1234</v>
      </c>
      <c r="B1234" s="9" t="s">
        <v>27</v>
      </c>
      <c r="C1234" s="44" t="str">
        <f t="shared" si="711"/>
        <v>p.identificar</v>
      </c>
      <c r="D1234" s="6" t="str">
        <f t="shared" si="712"/>
        <v>é.número.serial</v>
      </c>
      <c r="E1234" s="8" t="s">
        <v>28</v>
      </c>
      <c r="F1234" s="34" t="str">
        <f t="shared" si="710"/>
        <v>d.identificar</v>
      </c>
      <c r="G1234" s="14" t="s">
        <v>687</v>
      </c>
      <c r="H1234" s="33" t="s">
        <v>1581</v>
      </c>
      <c r="I1234" s="92" t="str">
        <f t="shared" si="709"/>
        <v>Functional</v>
      </c>
      <c r="J1234" s="82" t="s">
        <v>0</v>
      </c>
      <c r="K1234" s="82" t="s">
        <v>262</v>
      </c>
      <c r="L1234" s="82" t="s">
        <v>0</v>
      </c>
      <c r="M1234" s="82" t="s">
        <v>0</v>
      </c>
      <c r="N1234" s="80" t="s">
        <v>0</v>
      </c>
      <c r="O1234" s="82" t="s">
        <v>0</v>
      </c>
      <c r="P1234" s="82" t="s">
        <v>0</v>
      </c>
      <c r="Q1234" s="82" t="s">
        <v>0</v>
      </c>
      <c r="R1234" s="84" t="s">
        <v>0</v>
      </c>
      <c r="S1234" s="10" t="s">
        <v>1</v>
      </c>
      <c r="T1234" s="10" t="s">
        <v>10221</v>
      </c>
      <c r="U1234" s="5" t="str">
        <f t="shared" si="713"/>
        <v>Propriedade destinada a identificar: é.número.serial</v>
      </c>
      <c r="V1234" s="5" t="str">
        <f t="shared" si="714"/>
        <v>Dado para identificar:  número.serial  Deve ser formatado como (rdfs:Literal  or  xsd:string)</v>
      </c>
      <c r="W1234" s="69" t="s">
        <v>5631</v>
      </c>
      <c r="X1234" s="17" t="str">
        <f t="shared" si="707"/>
        <v>d.ident.138</v>
      </c>
      <c r="Y1234" s="17" t="str">
        <f t="shared" si="708"/>
        <v>Ação de identificar</v>
      </c>
      <c r="Z1234" s="62" t="s">
        <v>4236</v>
      </c>
      <c r="AA1234" s="18" t="str">
        <f t="shared" si="715"/>
        <v>null</v>
      </c>
      <c r="AB1234" s="19" t="s">
        <v>0</v>
      </c>
      <c r="AC1234" s="18" t="str">
        <f t="shared" si="716"/>
        <v>null</v>
      </c>
      <c r="AD1234" s="19" t="s">
        <v>0</v>
      </c>
      <c r="AE1234" s="18" t="str">
        <f t="shared" si="717"/>
        <v>null</v>
      </c>
      <c r="AF1234" s="75" t="s">
        <v>0</v>
      </c>
      <c r="AG1234" s="38" t="s">
        <v>8421</v>
      </c>
    </row>
    <row r="1235" spans="1:33" ht="6" customHeight="1" x14ac:dyDescent="0.4">
      <c r="A1235" s="4">
        <f>ROW()</f>
        <v>1235</v>
      </c>
      <c r="B1235" s="9" t="s">
        <v>27</v>
      </c>
      <c r="C1235" s="44" t="str">
        <f t="shared" si="711"/>
        <v>p.identificar</v>
      </c>
      <c r="D1235" s="6" t="str">
        <f t="shared" si="712"/>
        <v>é.passaporte</v>
      </c>
      <c r="E1235" s="8" t="s">
        <v>28</v>
      </c>
      <c r="F1235" s="34" t="str">
        <f t="shared" si="710"/>
        <v>d.identificar</v>
      </c>
      <c r="G1235" s="14" t="s">
        <v>2441</v>
      </c>
      <c r="H1235" s="33" t="s">
        <v>1581</v>
      </c>
      <c r="I1235" s="92" t="str">
        <f t="shared" si="709"/>
        <v>Functional</v>
      </c>
      <c r="J1235" s="82" t="s">
        <v>0</v>
      </c>
      <c r="K1235" s="82" t="s">
        <v>262</v>
      </c>
      <c r="L1235" s="82" t="s">
        <v>0</v>
      </c>
      <c r="M1235" s="82" t="s">
        <v>0</v>
      </c>
      <c r="N1235" s="80" t="s">
        <v>0</v>
      </c>
      <c r="O1235" s="82" t="s">
        <v>0</v>
      </c>
      <c r="P1235" s="82" t="s">
        <v>0</v>
      </c>
      <c r="Q1235" s="82" t="s">
        <v>0</v>
      </c>
      <c r="R1235" s="84" t="s">
        <v>0</v>
      </c>
      <c r="S1235" s="10" t="s">
        <v>1</v>
      </c>
      <c r="T1235" s="10" t="s">
        <v>10221</v>
      </c>
      <c r="U1235" s="5" t="str">
        <f t="shared" si="713"/>
        <v>Propriedade destinada a identificar: é.passaporte</v>
      </c>
      <c r="V1235" s="5" t="str">
        <f t="shared" si="714"/>
        <v>Dado para identificar:  passaporte  Deve ser formatado como (rdfs:Literal  or  xsd:string)</v>
      </c>
      <c r="W1235" s="69" t="s">
        <v>5633</v>
      </c>
      <c r="X1235" s="17" t="str">
        <f t="shared" si="707"/>
        <v>d.ident.139</v>
      </c>
      <c r="Y1235" s="17" t="str">
        <f t="shared" si="708"/>
        <v>Ação de identificar</v>
      </c>
      <c r="Z1235" s="62" t="s">
        <v>4238</v>
      </c>
      <c r="AA1235" s="18" t="str">
        <f t="shared" si="715"/>
        <v>null</v>
      </c>
      <c r="AB1235" s="19" t="s">
        <v>0</v>
      </c>
      <c r="AC1235" s="18" t="str">
        <f t="shared" si="716"/>
        <v>null</v>
      </c>
      <c r="AD1235" s="19" t="s">
        <v>0</v>
      </c>
      <c r="AE1235" s="18" t="str">
        <f t="shared" si="717"/>
        <v>null</v>
      </c>
      <c r="AF1235" s="75" t="s">
        <v>0</v>
      </c>
      <c r="AG1235" s="38" t="s">
        <v>8423</v>
      </c>
    </row>
    <row r="1236" spans="1:33" ht="6" customHeight="1" x14ac:dyDescent="0.4">
      <c r="A1236" s="4">
        <f>ROW()</f>
        <v>1236</v>
      </c>
      <c r="B1236" s="9" t="s">
        <v>27</v>
      </c>
      <c r="C1236" s="44" t="str">
        <f t="shared" si="711"/>
        <v>p.identificar</v>
      </c>
      <c r="D1236" s="6" t="str">
        <f t="shared" si="712"/>
        <v>é.pessoa.física</v>
      </c>
      <c r="E1236" s="8" t="s">
        <v>28</v>
      </c>
      <c r="F1236" s="34" t="str">
        <f t="shared" si="710"/>
        <v>d.identificar</v>
      </c>
      <c r="G1236" s="14" t="s">
        <v>4266</v>
      </c>
      <c r="H1236" s="33" t="s">
        <v>36</v>
      </c>
      <c r="I1236" s="92" t="str">
        <f t="shared" si="709"/>
        <v>null</v>
      </c>
      <c r="J1236" s="82" t="s">
        <v>0</v>
      </c>
      <c r="K1236" s="82" t="s">
        <v>0</v>
      </c>
      <c r="L1236" s="82" t="s">
        <v>0</v>
      </c>
      <c r="M1236" s="82" t="s">
        <v>0</v>
      </c>
      <c r="N1236" s="80" t="s">
        <v>0</v>
      </c>
      <c r="O1236" s="82" t="s">
        <v>0</v>
      </c>
      <c r="P1236" s="82" t="s">
        <v>0</v>
      </c>
      <c r="Q1236" s="82" t="s">
        <v>0</v>
      </c>
      <c r="R1236" s="88" t="s">
        <v>0</v>
      </c>
      <c r="S1236" s="10" t="s">
        <v>1</v>
      </c>
      <c r="T1236" s="10" t="s">
        <v>10221</v>
      </c>
      <c r="U1236" s="5" t="str">
        <f t="shared" si="713"/>
        <v>Propriedade destinada a identificar: é.pessoa.física</v>
      </c>
      <c r="V1236" s="5" t="str">
        <f t="shared" si="714"/>
        <v>Dado para identificar:  pessoa.física  Deve ser formatado como (xsd:boolean)</v>
      </c>
      <c r="W1236" s="69" t="s">
        <v>5634</v>
      </c>
      <c r="X1236" s="17" t="str">
        <f t="shared" si="707"/>
        <v>d.ident.140</v>
      </c>
      <c r="Y1236" s="17" t="str">
        <f t="shared" si="708"/>
        <v>Ação de identificar</v>
      </c>
      <c r="Z1236" s="62" t="s">
        <v>4269</v>
      </c>
      <c r="AA1236" s="18" t="str">
        <f t="shared" si="715"/>
        <v>null</v>
      </c>
      <c r="AB1236" s="19" t="s">
        <v>0</v>
      </c>
      <c r="AC1236" s="18" t="str">
        <f t="shared" si="716"/>
        <v>null</v>
      </c>
      <c r="AD1236" s="19" t="s">
        <v>0</v>
      </c>
      <c r="AE1236" s="18" t="str">
        <f t="shared" si="717"/>
        <v>null</v>
      </c>
      <c r="AF1236" s="75" t="s">
        <v>0</v>
      </c>
      <c r="AG1236" s="38" t="s">
        <v>8424</v>
      </c>
    </row>
    <row r="1237" spans="1:33" ht="6" customHeight="1" x14ac:dyDescent="0.4">
      <c r="A1237" s="4">
        <f>ROW()</f>
        <v>1237</v>
      </c>
      <c r="B1237" s="9" t="s">
        <v>27</v>
      </c>
      <c r="C1237" s="44" t="str">
        <f t="shared" si="711"/>
        <v>p.identificar</v>
      </c>
      <c r="D1237" s="6" t="str">
        <f t="shared" si="712"/>
        <v>é.pessoa.jurídica</v>
      </c>
      <c r="E1237" s="8" t="s">
        <v>28</v>
      </c>
      <c r="F1237" s="34" t="str">
        <f t="shared" si="710"/>
        <v>d.identificar</v>
      </c>
      <c r="G1237" s="14" t="s">
        <v>4267</v>
      </c>
      <c r="H1237" s="33" t="s">
        <v>36</v>
      </c>
      <c r="I1237" s="92" t="str">
        <f t="shared" si="709"/>
        <v>null</v>
      </c>
      <c r="J1237" s="82" t="s">
        <v>0</v>
      </c>
      <c r="K1237" s="82" t="s">
        <v>0</v>
      </c>
      <c r="L1237" s="82" t="s">
        <v>0</v>
      </c>
      <c r="M1237" s="82" t="s">
        <v>0</v>
      </c>
      <c r="N1237" s="80" t="s">
        <v>0</v>
      </c>
      <c r="O1237" s="82" t="s">
        <v>0</v>
      </c>
      <c r="P1237" s="82" t="s">
        <v>0</v>
      </c>
      <c r="Q1237" s="82" t="s">
        <v>0</v>
      </c>
      <c r="R1237" s="88" t="s">
        <v>0</v>
      </c>
      <c r="S1237" s="10" t="s">
        <v>1</v>
      </c>
      <c r="T1237" s="10" t="s">
        <v>10221</v>
      </c>
      <c r="U1237" s="5" t="str">
        <f t="shared" si="713"/>
        <v>Propriedade destinada a identificar: é.pessoa.jurídica</v>
      </c>
      <c r="V1237" s="5" t="str">
        <f t="shared" si="714"/>
        <v>Dado para identificar:  pessoa.jurídica  Deve ser formatado como (xsd:boolean)</v>
      </c>
      <c r="W1237" s="69" t="s">
        <v>5635</v>
      </c>
      <c r="X1237" s="17" t="str">
        <f t="shared" si="707"/>
        <v>d.ident.141</v>
      </c>
      <c r="Y1237" s="17" t="str">
        <f t="shared" si="708"/>
        <v>Ação de identificar</v>
      </c>
      <c r="Z1237" s="62" t="s">
        <v>4268</v>
      </c>
      <c r="AA1237" s="18" t="str">
        <f t="shared" si="715"/>
        <v>null</v>
      </c>
      <c r="AB1237" s="19" t="s">
        <v>0</v>
      </c>
      <c r="AC1237" s="18" t="str">
        <f t="shared" si="716"/>
        <v>null</v>
      </c>
      <c r="AD1237" s="19" t="s">
        <v>0</v>
      </c>
      <c r="AE1237" s="18" t="str">
        <f t="shared" si="717"/>
        <v>null</v>
      </c>
      <c r="AF1237" s="75" t="s">
        <v>0</v>
      </c>
      <c r="AG1237" s="38" t="s">
        <v>8425</v>
      </c>
    </row>
    <row r="1238" spans="1:33" ht="6" customHeight="1" x14ac:dyDescent="0.4">
      <c r="A1238" s="4">
        <f>ROW()</f>
        <v>1238</v>
      </c>
      <c r="B1238" s="9" t="s">
        <v>27</v>
      </c>
      <c r="C1238" s="44" t="str">
        <f t="shared" si="711"/>
        <v>p.identificar</v>
      </c>
      <c r="D1238" s="6" t="str">
        <f t="shared" si="712"/>
        <v>é.prefixo</v>
      </c>
      <c r="E1238" s="8" t="s">
        <v>28</v>
      </c>
      <c r="F1238" s="34" t="str">
        <f t="shared" si="710"/>
        <v>d.identificar</v>
      </c>
      <c r="G1238" s="13" t="s">
        <v>9737</v>
      </c>
      <c r="H1238" s="34" t="s">
        <v>1581</v>
      </c>
      <c r="I1238" s="92" t="str">
        <f t="shared" si="709"/>
        <v>null</v>
      </c>
      <c r="J1238" s="82" t="s">
        <v>0</v>
      </c>
      <c r="K1238" s="80" t="s">
        <v>0</v>
      </c>
      <c r="L1238" s="80" t="s">
        <v>0</v>
      </c>
      <c r="M1238" s="80" t="s">
        <v>0</v>
      </c>
      <c r="N1238" s="80" t="s">
        <v>0</v>
      </c>
      <c r="O1238" s="80" t="s">
        <v>0</v>
      </c>
      <c r="P1238" s="80" t="s">
        <v>0</v>
      </c>
      <c r="Q1238" s="80" t="s">
        <v>0</v>
      </c>
      <c r="R1238" s="84" t="s">
        <v>0</v>
      </c>
      <c r="S1238" s="10" t="s">
        <v>1</v>
      </c>
      <c r="T1238" s="10" t="s">
        <v>10221</v>
      </c>
      <c r="U1238" s="5" t="str">
        <f t="shared" si="713"/>
        <v>Propriedade destinada a identificar: é.prefixo</v>
      </c>
      <c r="V1238" s="5" t="str">
        <f t="shared" si="714"/>
        <v>Dado para identificar:  prefixo  Deve ser formatado como (rdfs:Literal  or  xsd:string)</v>
      </c>
      <c r="W1238" s="69" t="s">
        <v>9738</v>
      </c>
      <c r="X1238" s="17" t="str">
        <f t="shared" si="707"/>
        <v>d.ident.142</v>
      </c>
      <c r="Y1238" s="17" t="str">
        <f t="shared" si="708"/>
        <v>Ação de identificar</v>
      </c>
      <c r="Z1238" s="62" t="s">
        <v>9739</v>
      </c>
      <c r="AA1238" s="18" t="str">
        <f t="shared" si="715"/>
        <v>null</v>
      </c>
      <c r="AB1238" s="19" t="s">
        <v>0</v>
      </c>
      <c r="AC1238" s="18" t="str">
        <f t="shared" si="716"/>
        <v>null</v>
      </c>
      <c r="AD1238" s="19" t="s">
        <v>0</v>
      </c>
      <c r="AE1238" s="18" t="str">
        <f t="shared" si="717"/>
        <v>null</v>
      </c>
      <c r="AF1238" s="75" t="s">
        <v>0</v>
      </c>
      <c r="AG1238" s="38" t="s">
        <v>9740</v>
      </c>
    </row>
    <row r="1239" spans="1:33" ht="6" customHeight="1" x14ac:dyDescent="0.4">
      <c r="A1239" s="4">
        <f>ROW()</f>
        <v>1239</v>
      </c>
      <c r="B1239" s="9" t="s">
        <v>27</v>
      </c>
      <c r="C1239" s="44" t="str">
        <f t="shared" si="711"/>
        <v>p.identificar</v>
      </c>
      <c r="D1239" s="6" t="str">
        <f t="shared" si="712"/>
        <v>é.pseudônimo</v>
      </c>
      <c r="E1239" s="8" t="s">
        <v>28</v>
      </c>
      <c r="F1239" s="34" t="str">
        <f t="shared" si="710"/>
        <v>d.identificar</v>
      </c>
      <c r="G1239" s="14" t="s">
        <v>3035</v>
      </c>
      <c r="H1239" s="33" t="s">
        <v>1581</v>
      </c>
      <c r="I1239" s="92" t="str">
        <f t="shared" si="709"/>
        <v>null</v>
      </c>
      <c r="J1239" s="82" t="s">
        <v>0</v>
      </c>
      <c r="K1239" s="82" t="s">
        <v>0</v>
      </c>
      <c r="L1239" s="82" t="s">
        <v>0</v>
      </c>
      <c r="M1239" s="82" t="s">
        <v>0</v>
      </c>
      <c r="N1239" s="80" t="s">
        <v>0</v>
      </c>
      <c r="O1239" s="82" t="s">
        <v>0</v>
      </c>
      <c r="P1239" s="82" t="s">
        <v>0</v>
      </c>
      <c r="Q1239" s="82" t="s">
        <v>0</v>
      </c>
      <c r="R1239" s="84" t="s">
        <v>2248</v>
      </c>
      <c r="S1239" s="10" t="s">
        <v>1</v>
      </c>
      <c r="T1239" s="10" t="s">
        <v>10221</v>
      </c>
      <c r="U1239" s="5" t="str">
        <f t="shared" si="713"/>
        <v>Propriedade destinada a identificar: é.pseudônimo</v>
      </c>
      <c r="V1239" s="5" t="str">
        <f t="shared" si="714"/>
        <v>Dado para identificar:  pseudônimo  Deve ser formatado como (rdfs:Literal  or  xsd:string)</v>
      </c>
      <c r="W1239" s="69" t="s">
        <v>5602</v>
      </c>
      <c r="X1239" s="17" t="str">
        <f t="shared" si="707"/>
        <v>d.ident.143</v>
      </c>
      <c r="Y1239" s="17" t="str">
        <f t="shared" si="708"/>
        <v>Ação de identificar</v>
      </c>
      <c r="Z1239" s="62" t="s">
        <v>4208</v>
      </c>
      <c r="AA1239" s="18" t="str">
        <f t="shared" si="715"/>
        <v>null</v>
      </c>
      <c r="AB1239" s="19" t="s">
        <v>0</v>
      </c>
      <c r="AC1239" s="18" t="str">
        <f t="shared" si="716"/>
        <v>null</v>
      </c>
      <c r="AD1239" s="19" t="s">
        <v>0</v>
      </c>
      <c r="AE1239" s="18" t="str">
        <f t="shared" si="717"/>
        <v>null</v>
      </c>
      <c r="AF1239" s="75" t="s">
        <v>0</v>
      </c>
      <c r="AG1239" s="38" t="s">
        <v>8390</v>
      </c>
    </row>
    <row r="1240" spans="1:33" ht="6" customHeight="1" x14ac:dyDescent="0.4">
      <c r="A1240" s="4">
        <f>ROW()</f>
        <v>1240</v>
      </c>
      <c r="B1240" s="9" t="s">
        <v>27</v>
      </c>
      <c r="C1240" s="44" t="str">
        <f t="shared" si="711"/>
        <v>p.identificar</v>
      </c>
      <c r="D1240" s="6" t="str">
        <f t="shared" si="712"/>
        <v>é.registro.renavan</v>
      </c>
      <c r="E1240" s="8" t="s">
        <v>28</v>
      </c>
      <c r="F1240" s="34" t="str">
        <f t="shared" si="710"/>
        <v>d.identificar</v>
      </c>
      <c r="G1240" s="14" t="s">
        <v>10018</v>
      </c>
      <c r="H1240" s="33" t="s">
        <v>1581</v>
      </c>
      <c r="I1240" s="92" t="str">
        <f t="shared" si="709"/>
        <v>Functional</v>
      </c>
      <c r="J1240" s="82" t="s">
        <v>0</v>
      </c>
      <c r="K1240" s="82" t="s">
        <v>262</v>
      </c>
      <c r="L1240" s="82" t="s">
        <v>0</v>
      </c>
      <c r="M1240" s="82" t="s">
        <v>0</v>
      </c>
      <c r="N1240" s="80" t="s">
        <v>0</v>
      </c>
      <c r="O1240" s="82" t="s">
        <v>0</v>
      </c>
      <c r="P1240" s="82" t="s">
        <v>0</v>
      </c>
      <c r="Q1240" s="82" t="s">
        <v>0</v>
      </c>
      <c r="R1240" s="84" t="s">
        <v>0</v>
      </c>
      <c r="S1240" s="10" t="s">
        <v>1</v>
      </c>
      <c r="T1240" s="10" t="s">
        <v>10221</v>
      </c>
      <c r="U1240" s="5" t="str">
        <f t="shared" si="713"/>
        <v>Propriedade destinada a identificar: é.registro.renavan</v>
      </c>
      <c r="V1240" s="5" t="str">
        <f t="shared" si="714"/>
        <v>Dado para identificar:  registro.renavan  Deve ser formatado como (rdfs:Literal  or  xsd:string)</v>
      </c>
      <c r="W1240" s="69" t="s">
        <v>5637</v>
      </c>
      <c r="X1240" s="17" t="str">
        <f t="shared" si="707"/>
        <v>d.ident.144</v>
      </c>
      <c r="Y1240" s="17" t="str">
        <f t="shared" si="708"/>
        <v>Ação de identificar</v>
      </c>
      <c r="Z1240" s="62" t="s">
        <v>4240</v>
      </c>
      <c r="AA1240" s="18" t="str">
        <f t="shared" si="715"/>
        <v>null</v>
      </c>
      <c r="AB1240" s="19" t="s">
        <v>0</v>
      </c>
      <c r="AC1240" s="18" t="str">
        <f t="shared" si="716"/>
        <v>null</v>
      </c>
      <c r="AD1240" s="19" t="s">
        <v>0</v>
      </c>
      <c r="AE1240" s="18" t="str">
        <f t="shared" si="717"/>
        <v>null</v>
      </c>
      <c r="AF1240" s="75" t="s">
        <v>0</v>
      </c>
      <c r="AG1240" s="38" t="s">
        <v>8427</v>
      </c>
    </row>
    <row r="1241" spans="1:33" ht="6" customHeight="1" x14ac:dyDescent="0.4">
      <c r="A1241" s="4">
        <f>ROW()</f>
        <v>1241</v>
      </c>
      <c r="B1241" s="9" t="s">
        <v>27</v>
      </c>
      <c r="C1241" s="44" t="str">
        <f t="shared" si="711"/>
        <v>p.identificar</v>
      </c>
      <c r="D1241" s="6" t="str">
        <f t="shared" si="712"/>
        <v>é.registro.rg</v>
      </c>
      <c r="E1241" s="8" t="s">
        <v>28</v>
      </c>
      <c r="F1241" s="34" t="str">
        <f t="shared" si="710"/>
        <v>d.identificar</v>
      </c>
      <c r="G1241" s="14" t="s">
        <v>10020</v>
      </c>
      <c r="H1241" s="33" t="s">
        <v>1581</v>
      </c>
      <c r="I1241" s="92" t="str">
        <f t="shared" si="709"/>
        <v>Functional</v>
      </c>
      <c r="J1241" s="82" t="s">
        <v>0</v>
      </c>
      <c r="K1241" s="82" t="s">
        <v>262</v>
      </c>
      <c r="L1241" s="82" t="s">
        <v>0</v>
      </c>
      <c r="M1241" s="82" t="s">
        <v>0</v>
      </c>
      <c r="N1241" s="80" t="s">
        <v>0</v>
      </c>
      <c r="O1241" s="82" t="s">
        <v>0</v>
      </c>
      <c r="P1241" s="82" t="s">
        <v>0</v>
      </c>
      <c r="Q1241" s="82" t="s">
        <v>0</v>
      </c>
      <c r="R1241" s="84" t="s">
        <v>0</v>
      </c>
      <c r="S1241" s="10" t="s">
        <v>1</v>
      </c>
      <c r="T1241" s="10" t="s">
        <v>10221</v>
      </c>
      <c r="U1241" s="5" t="str">
        <f t="shared" si="713"/>
        <v>Propriedade destinada a identificar: é.registro.rg</v>
      </c>
      <c r="V1241" s="5" t="str">
        <f t="shared" si="714"/>
        <v>Dado para identificar:  registro.rg  Deve ser formatado como (rdfs:Literal  or  xsd:string)</v>
      </c>
      <c r="W1241" s="69" t="s">
        <v>5639</v>
      </c>
      <c r="X1241" s="17" t="str">
        <f t="shared" si="707"/>
        <v>d.ident.145</v>
      </c>
      <c r="Y1241" s="17" t="str">
        <f t="shared" si="708"/>
        <v>Ação de identificar</v>
      </c>
      <c r="Z1241" s="62" t="s">
        <v>4242</v>
      </c>
      <c r="AA1241" s="18" t="str">
        <f t="shared" si="715"/>
        <v>null</v>
      </c>
      <c r="AB1241" s="19" t="s">
        <v>0</v>
      </c>
      <c r="AC1241" s="18" t="str">
        <f t="shared" si="716"/>
        <v>null</v>
      </c>
      <c r="AD1241" s="19" t="s">
        <v>0</v>
      </c>
      <c r="AE1241" s="18" t="str">
        <f t="shared" si="717"/>
        <v>null</v>
      </c>
      <c r="AF1241" s="75" t="s">
        <v>0</v>
      </c>
      <c r="AG1241" s="38" t="s">
        <v>8429</v>
      </c>
    </row>
    <row r="1242" spans="1:33" ht="6" customHeight="1" x14ac:dyDescent="0.4">
      <c r="A1242" s="4">
        <f>ROW()</f>
        <v>1242</v>
      </c>
      <c r="B1242" s="9" t="s">
        <v>27</v>
      </c>
      <c r="C1242" s="44" t="str">
        <f t="shared" si="711"/>
        <v>p.identificar</v>
      </c>
      <c r="D1242" s="6" t="str">
        <f t="shared" si="712"/>
        <v>é.registro.rne</v>
      </c>
      <c r="E1242" s="8" t="s">
        <v>28</v>
      </c>
      <c r="F1242" s="34" t="str">
        <f t="shared" si="710"/>
        <v>d.identificar</v>
      </c>
      <c r="G1242" s="14" t="s">
        <v>10019</v>
      </c>
      <c r="H1242" s="33" t="s">
        <v>1581</v>
      </c>
      <c r="I1242" s="92" t="str">
        <f t="shared" si="709"/>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13"/>
        <v>Propriedade destinada a identificar: é.registro.rne</v>
      </c>
      <c r="V1242" s="5" t="str">
        <f t="shared" si="714"/>
        <v>Dado para identificar:  registro.rne  Deve ser formatado como (rdfs:Literal  or  xsd:string)</v>
      </c>
      <c r="W1242" s="69" t="s">
        <v>5640</v>
      </c>
      <c r="X1242" s="17" t="str">
        <f t="shared" si="707"/>
        <v>d.ident.146</v>
      </c>
      <c r="Y1242" s="17" t="str">
        <f t="shared" si="708"/>
        <v>Ação de identificar</v>
      </c>
      <c r="Z1242" s="62" t="s">
        <v>4243</v>
      </c>
      <c r="AA1242" s="18" t="str">
        <f t="shared" si="715"/>
        <v>null</v>
      </c>
      <c r="AB1242" s="19" t="s">
        <v>0</v>
      </c>
      <c r="AC1242" s="18" t="str">
        <f t="shared" si="716"/>
        <v>null</v>
      </c>
      <c r="AD1242" s="19" t="s">
        <v>0</v>
      </c>
      <c r="AE1242" s="18" t="str">
        <f t="shared" si="717"/>
        <v>null</v>
      </c>
      <c r="AF1242" s="75" t="s">
        <v>0</v>
      </c>
      <c r="AG1242" s="38" t="s">
        <v>8430</v>
      </c>
    </row>
    <row r="1243" spans="1:33" ht="6" customHeight="1" x14ac:dyDescent="0.4">
      <c r="A1243" s="4">
        <f>ROW()</f>
        <v>1243</v>
      </c>
      <c r="B1243" s="9" t="s">
        <v>27</v>
      </c>
      <c r="C1243" s="44" t="str">
        <f t="shared" si="711"/>
        <v>p.identificar</v>
      </c>
      <c r="D1243" s="6" t="str">
        <f t="shared" si="712"/>
        <v>é.responsável</v>
      </c>
      <c r="E1243" s="8" t="s">
        <v>28</v>
      </c>
      <c r="F1243" s="34" t="str">
        <f t="shared" si="710"/>
        <v>d.identificar</v>
      </c>
      <c r="G1243" s="14" t="s">
        <v>436</v>
      </c>
      <c r="H1243" s="33" t="s">
        <v>1581</v>
      </c>
      <c r="I1243" s="92" t="str">
        <f t="shared" si="709"/>
        <v>null</v>
      </c>
      <c r="J1243" s="80" t="s">
        <v>0</v>
      </c>
      <c r="K1243" s="80" t="s">
        <v>0</v>
      </c>
      <c r="L1243" s="82" t="s">
        <v>0</v>
      </c>
      <c r="M1243" s="82" t="s">
        <v>0</v>
      </c>
      <c r="N1243" s="80" t="s">
        <v>0</v>
      </c>
      <c r="O1243" s="82" t="s">
        <v>0</v>
      </c>
      <c r="P1243" s="82" t="s">
        <v>0</v>
      </c>
      <c r="Q1243" s="82" t="s">
        <v>0</v>
      </c>
      <c r="R1243" s="84" t="s">
        <v>0</v>
      </c>
      <c r="S1243" s="10" t="s">
        <v>1</v>
      </c>
      <c r="T1243" s="10" t="s">
        <v>10221</v>
      </c>
      <c r="U1243" s="5" t="str">
        <f t="shared" si="713"/>
        <v>Propriedade destinada a identificar: é.responsável</v>
      </c>
      <c r="V1243" s="5" t="str">
        <f t="shared" si="714"/>
        <v>Dado para identificar:  responsável  Deve ser formatado como (rdfs:Literal  or  xsd:string)</v>
      </c>
      <c r="W1243" s="69" t="s">
        <v>5638</v>
      </c>
      <c r="X1243" s="17" t="str">
        <f t="shared" si="707"/>
        <v>d.ident.147</v>
      </c>
      <c r="Y1243" s="17" t="str">
        <f t="shared" si="708"/>
        <v>Ação de identificar</v>
      </c>
      <c r="Z1243" s="62" t="s">
        <v>4241</v>
      </c>
      <c r="AA1243" s="18" t="str">
        <f t="shared" si="715"/>
        <v>null</v>
      </c>
      <c r="AB1243" s="19" t="s">
        <v>0</v>
      </c>
      <c r="AC1243" s="18" t="str">
        <f t="shared" si="716"/>
        <v>null</v>
      </c>
      <c r="AD1243" s="19" t="s">
        <v>0</v>
      </c>
      <c r="AE1243" s="18" t="str">
        <f t="shared" si="717"/>
        <v>null</v>
      </c>
      <c r="AF1243" s="75" t="s">
        <v>0</v>
      </c>
      <c r="AG1243" s="38" t="s">
        <v>8428</v>
      </c>
    </row>
    <row r="1244" spans="1:33" ht="6" customHeight="1" x14ac:dyDescent="0.4">
      <c r="A1244" s="4">
        <f>ROW()</f>
        <v>1244</v>
      </c>
      <c r="B1244" s="9" t="s">
        <v>27</v>
      </c>
      <c r="C1244" s="44" t="str">
        <f t="shared" si="711"/>
        <v>p.identificar</v>
      </c>
      <c r="D1244" s="6" t="str">
        <f t="shared" si="712"/>
        <v>é.sediado.em</v>
      </c>
      <c r="E1244" s="8" t="s">
        <v>28</v>
      </c>
      <c r="F1244" s="34" t="str">
        <f t="shared" si="710"/>
        <v>d.identificar</v>
      </c>
      <c r="G1244" s="14" t="s">
        <v>1707</v>
      </c>
      <c r="H1244" s="33" t="s">
        <v>1581</v>
      </c>
      <c r="I1244" s="92" t="str">
        <f t="shared" si="709"/>
        <v>null</v>
      </c>
      <c r="J1244" s="80" t="s">
        <v>0</v>
      </c>
      <c r="K1244" s="80" t="s">
        <v>0</v>
      </c>
      <c r="L1244" s="82" t="s">
        <v>0</v>
      </c>
      <c r="M1244" s="82" t="s">
        <v>0</v>
      </c>
      <c r="N1244" s="80" t="s">
        <v>0</v>
      </c>
      <c r="O1244" s="82" t="s">
        <v>0</v>
      </c>
      <c r="P1244" s="82" t="s">
        <v>0</v>
      </c>
      <c r="Q1244" s="82" t="s">
        <v>0</v>
      </c>
      <c r="R1244" s="84" t="s">
        <v>0</v>
      </c>
      <c r="S1244" s="10" t="s">
        <v>1</v>
      </c>
      <c r="T1244" s="10" t="s">
        <v>10221</v>
      </c>
      <c r="U1244" s="5" t="str">
        <f t="shared" si="713"/>
        <v>Propriedade destinada a identificar: é.sediado.em</v>
      </c>
      <c r="V1244" s="5" t="str">
        <f t="shared" si="714"/>
        <v>Dado para identificar:  sediado.em  Deve ser formatado como (rdfs:Literal  or  xsd:string)</v>
      </c>
      <c r="W1244" s="69" t="s">
        <v>5641</v>
      </c>
      <c r="X1244" s="17" t="str">
        <f t="shared" si="707"/>
        <v>d.ident.148</v>
      </c>
      <c r="Y1244" s="17" t="str">
        <f t="shared" si="708"/>
        <v>Ação de identificar</v>
      </c>
      <c r="Z1244" s="62" t="s">
        <v>4244</v>
      </c>
      <c r="AA1244" s="18" t="str">
        <f t="shared" si="715"/>
        <v>null</v>
      </c>
      <c r="AB1244" s="19" t="s">
        <v>0</v>
      </c>
      <c r="AC1244" s="18" t="str">
        <f t="shared" si="716"/>
        <v>null</v>
      </c>
      <c r="AD1244" s="19" t="s">
        <v>0</v>
      </c>
      <c r="AE1244" s="18" t="str">
        <f t="shared" si="717"/>
        <v>null</v>
      </c>
      <c r="AF1244" s="75" t="s">
        <v>0</v>
      </c>
      <c r="AG1244" s="38" t="s">
        <v>8431</v>
      </c>
    </row>
    <row r="1245" spans="1:33" ht="6" customHeight="1" x14ac:dyDescent="0.4">
      <c r="A1245" s="4">
        <f>ROW()</f>
        <v>1245</v>
      </c>
      <c r="B1245" s="9" t="s">
        <v>27</v>
      </c>
      <c r="C1245" s="44" t="str">
        <f t="shared" si="711"/>
        <v>p.identificar</v>
      </c>
      <c r="D1245" s="6" t="str">
        <f t="shared" si="712"/>
        <v>é.sigla</v>
      </c>
      <c r="E1245" s="8" t="s">
        <v>28</v>
      </c>
      <c r="F1245" s="34" t="str">
        <f t="shared" si="710"/>
        <v>d.identificar</v>
      </c>
      <c r="G1245" s="14" t="s">
        <v>131</v>
      </c>
      <c r="H1245" s="33" t="s">
        <v>1581</v>
      </c>
      <c r="I1245" s="92" t="str">
        <f t="shared" si="709"/>
        <v>null</v>
      </c>
      <c r="J1245" s="82" t="s">
        <v>0</v>
      </c>
      <c r="K1245" s="82" t="s">
        <v>0</v>
      </c>
      <c r="L1245" s="82" t="s">
        <v>0</v>
      </c>
      <c r="M1245" s="82" t="s">
        <v>0</v>
      </c>
      <c r="N1245" s="80" t="s">
        <v>0</v>
      </c>
      <c r="O1245" s="82" t="s">
        <v>0</v>
      </c>
      <c r="P1245" s="82" t="s">
        <v>0</v>
      </c>
      <c r="Q1245" s="82" t="s">
        <v>0</v>
      </c>
      <c r="R1245" s="84" t="s">
        <v>0</v>
      </c>
      <c r="S1245" s="10" t="s">
        <v>1</v>
      </c>
      <c r="T1245" s="10" t="s">
        <v>10221</v>
      </c>
      <c r="U1245" s="5" t="str">
        <f t="shared" si="713"/>
        <v>Propriedade destinada a identificar: é.sigla</v>
      </c>
      <c r="V1245" s="5" t="str">
        <f t="shared" si="714"/>
        <v>Dado para identificar:  sigla  Deve ser formatado como (rdfs:Literal  or  xsd:string)</v>
      </c>
      <c r="W1245" s="69" t="s">
        <v>5610</v>
      </c>
      <c r="X1245" s="17" t="str">
        <f t="shared" si="707"/>
        <v>d.ident.149</v>
      </c>
      <c r="Y1245" s="17" t="str">
        <f t="shared" si="708"/>
        <v>Ação de identificar</v>
      </c>
      <c r="Z1245" s="62" t="s">
        <v>4216</v>
      </c>
      <c r="AA1245" s="18" t="str">
        <f t="shared" si="715"/>
        <v>null</v>
      </c>
      <c r="AB1245" s="19" t="s">
        <v>0</v>
      </c>
      <c r="AC1245" s="18" t="str">
        <f t="shared" si="716"/>
        <v>null</v>
      </c>
      <c r="AD1245" s="19" t="s">
        <v>0</v>
      </c>
      <c r="AE1245" s="18" t="str">
        <f t="shared" si="717"/>
        <v>null</v>
      </c>
      <c r="AF1245" s="75" t="s">
        <v>0</v>
      </c>
      <c r="AG1245" s="38" t="s">
        <v>8398</v>
      </c>
    </row>
    <row r="1246" spans="1:33" ht="6" customHeight="1" x14ac:dyDescent="0.4">
      <c r="A1246" s="4">
        <f>ROW()</f>
        <v>1246</v>
      </c>
      <c r="B1246" s="9" t="s">
        <v>27</v>
      </c>
      <c r="C1246" s="44" t="str">
        <f t="shared" si="711"/>
        <v>p.identificar</v>
      </c>
      <c r="D1246" s="6" t="str">
        <f t="shared" si="712"/>
        <v>é.sobrenome</v>
      </c>
      <c r="E1246" s="8" t="s">
        <v>28</v>
      </c>
      <c r="F1246" s="34" t="str">
        <f t="shared" si="710"/>
        <v>d.identificar</v>
      </c>
      <c r="G1246" s="14" t="s">
        <v>2384</v>
      </c>
      <c r="H1246" s="33" t="s">
        <v>1581</v>
      </c>
      <c r="I1246" s="92" t="str">
        <f t="shared" si="709"/>
        <v>null</v>
      </c>
      <c r="J1246" s="82" t="s">
        <v>0</v>
      </c>
      <c r="K1246" s="82" t="s">
        <v>0</v>
      </c>
      <c r="L1246" s="82" t="s">
        <v>0</v>
      </c>
      <c r="M1246" s="82" t="s">
        <v>0</v>
      </c>
      <c r="N1246" s="80" t="s">
        <v>0</v>
      </c>
      <c r="O1246" s="82" t="s">
        <v>0</v>
      </c>
      <c r="P1246" s="82" t="s">
        <v>0</v>
      </c>
      <c r="Q1246" s="82" t="s">
        <v>0</v>
      </c>
      <c r="R1246" s="84" t="s">
        <v>0</v>
      </c>
      <c r="S1246" s="10" t="s">
        <v>1</v>
      </c>
      <c r="T1246" s="10" t="s">
        <v>10221</v>
      </c>
      <c r="U1246" s="5" t="str">
        <f t="shared" si="713"/>
        <v>Propriedade destinada a identificar: é.sobrenome</v>
      </c>
      <c r="V1246" s="5" t="str">
        <f t="shared" si="714"/>
        <v>Dado para identificar:  sobrenome  Deve ser formatado como (rdfs:Literal  or  xsd:string)</v>
      </c>
      <c r="W1246" s="69" t="s">
        <v>5642</v>
      </c>
      <c r="X1246" s="17" t="str">
        <f t="shared" si="707"/>
        <v>d.ident.150</v>
      </c>
      <c r="Y1246" s="17" t="str">
        <f t="shared" si="708"/>
        <v>Ação de identificar</v>
      </c>
      <c r="Z1246" s="62" t="s">
        <v>4229</v>
      </c>
      <c r="AA1246" s="18" t="str">
        <f t="shared" si="715"/>
        <v>null</v>
      </c>
      <c r="AB1246" s="19" t="s">
        <v>0</v>
      </c>
      <c r="AC1246" s="18" t="str">
        <f t="shared" si="716"/>
        <v>null</v>
      </c>
      <c r="AD1246" s="19" t="s">
        <v>0</v>
      </c>
      <c r="AE1246" s="18" t="str">
        <f t="shared" si="717"/>
        <v>null</v>
      </c>
      <c r="AF1246" s="75" t="s">
        <v>0</v>
      </c>
      <c r="AG1246" s="38" t="s">
        <v>8432</v>
      </c>
    </row>
    <row r="1247" spans="1:33" ht="6" customHeight="1" x14ac:dyDescent="0.4">
      <c r="A1247" s="4">
        <f>ROW()</f>
        <v>1247</v>
      </c>
      <c r="B1247" s="9" t="s">
        <v>27</v>
      </c>
      <c r="C1247" s="44" t="str">
        <f t="shared" si="711"/>
        <v>p.identificar</v>
      </c>
      <c r="D1247" s="6" t="str">
        <f t="shared" si="712"/>
        <v>é.título.eleitoral</v>
      </c>
      <c r="E1247" s="8" t="s">
        <v>28</v>
      </c>
      <c r="F1247" s="34" t="str">
        <f t="shared" si="710"/>
        <v>d.identificar</v>
      </c>
      <c r="G1247" s="14" t="s">
        <v>686</v>
      </c>
      <c r="H1247" s="33" t="s">
        <v>1581</v>
      </c>
      <c r="I1247" s="92" t="str">
        <f t="shared" si="709"/>
        <v>Functional</v>
      </c>
      <c r="J1247" s="82" t="s">
        <v>0</v>
      </c>
      <c r="K1247" s="82" t="s">
        <v>262</v>
      </c>
      <c r="L1247" s="82" t="s">
        <v>0</v>
      </c>
      <c r="M1247" s="82" t="s">
        <v>0</v>
      </c>
      <c r="N1247" s="80" t="s">
        <v>0</v>
      </c>
      <c r="O1247" s="82" t="s">
        <v>0</v>
      </c>
      <c r="P1247" s="82" t="s">
        <v>0</v>
      </c>
      <c r="Q1247" s="82" t="s">
        <v>0</v>
      </c>
      <c r="R1247" s="84" t="s">
        <v>0</v>
      </c>
      <c r="S1247" s="10" t="s">
        <v>1</v>
      </c>
      <c r="T1247" s="10" t="s">
        <v>10221</v>
      </c>
      <c r="U1247" s="5" t="str">
        <f t="shared" si="713"/>
        <v>Propriedade destinada a identificar: é.título.eleitoral</v>
      </c>
      <c r="V1247" s="5" t="str">
        <f t="shared" si="714"/>
        <v>Dado para identificar:  título.eleitoral  Deve ser formatado como (rdfs:Literal  or  xsd:string)</v>
      </c>
      <c r="W1247" s="69" t="s">
        <v>5643</v>
      </c>
      <c r="X1247" s="17" t="str">
        <f t="shared" si="707"/>
        <v>d.ident.151</v>
      </c>
      <c r="Y1247" s="17" t="str">
        <f t="shared" si="708"/>
        <v>Ação de identificar</v>
      </c>
      <c r="Z1247" s="62" t="s">
        <v>4245</v>
      </c>
      <c r="AA1247" s="18" t="str">
        <f t="shared" si="715"/>
        <v>null</v>
      </c>
      <c r="AB1247" s="19" t="s">
        <v>0</v>
      </c>
      <c r="AC1247" s="18" t="str">
        <f t="shared" si="716"/>
        <v>null</v>
      </c>
      <c r="AD1247" s="19" t="s">
        <v>0</v>
      </c>
      <c r="AE1247" s="18" t="str">
        <f t="shared" si="717"/>
        <v>null</v>
      </c>
      <c r="AF1247" s="75" t="s">
        <v>0</v>
      </c>
      <c r="AG1247" s="38" t="s">
        <v>8433</v>
      </c>
    </row>
    <row r="1248" spans="1:33" ht="6" customHeight="1" x14ac:dyDescent="0.4">
      <c r="A1248" s="4">
        <f>ROW()</f>
        <v>1248</v>
      </c>
      <c r="B1248" s="9" t="s">
        <v>27</v>
      </c>
      <c r="C1248" s="44" t="str">
        <f t="shared" si="711"/>
        <v>p.identificar</v>
      </c>
      <c r="D1248" s="6" t="str">
        <f t="shared" si="712"/>
        <v>é.visitante</v>
      </c>
      <c r="E1248" s="8" t="s">
        <v>28</v>
      </c>
      <c r="F1248" s="34" t="str">
        <f t="shared" si="710"/>
        <v>d.identificar</v>
      </c>
      <c r="G1248" s="14" t="s">
        <v>257</v>
      </c>
      <c r="H1248" s="33" t="s">
        <v>1581</v>
      </c>
      <c r="I1248" s="92" t="str">
        <f t="shared" si="709"/>
        <v>null</v>
      </c>
      <c r="J1248" s="82" t="s">
        <v>0</v>
      </c>
      <c r="K1248" s="82" t="s">
        <v>0</v>
      </c>
      <c r="L1248" s="82" t="s">
        <v>0</v>
      </c>
      <c r="M1248" s="82" t="s">
        <v>0</v>
      </c>
      <c r="N1248" s="80" t="s">
        <v>0</v>
      </c>
      <c r="O1248" s="82" t="s">
        <v>0</v>
      </c>
      <c r="P1248" s="82" t="s">
        <v>0</v>
      </c>
      <c r="Q1248" s="82" t="s">
        <v>0</v>
      </c>
      <c r="R1248" s="84" t="s">
        <v>0</v>
      </c>
      <c r="S1248" s="10" t="s">
        <v>1</v>
      </c>
      <c r="T1248" s="10" t="s">
        <v>10221</v>
      </c>
      <c r="U1248" s="5" t="str">
        <f t="shared" si="713"/>
        <v>Propriedade destinada a identificar: é.visitante</v>
      </c>
      <c r="V1248" s="5" t="str">
        <f t="shared" si="714"/>
        <v>Dado para identificar:  visitante  Deve ser formatado como (rdfs:Literal  or  xsd:string)</v>
      </c>
      <c r="W1248" s="69" t="s">
        <v>5644</v>
      </c>
      <c r="X1248" s="17" t="str">
        <f t="shared" si="707"/>
        <v>d.ident.152</v>
      </c>
      <c r="Y1248" s="17" t="str">
        <f t="shared" si="708"/>
        <v>Ação de identificar</v>
      </c>
      <c r="Z1248" s="62" t="s">
        <v>6497</v>
      </c>
      <c r="AA1248" s="18" t="str">
        <f t="shared" si="715"/>
        <v>null</v>
      </c>
      <c r="AB1248" s="19" t="s">
        <v>0</v>
      </c>
      <c r="AC1248" s="18" t="str">
        <f t="shared" si="716"/>
        <v>null</v>
      </c>
      <c r="AD1248" s="19" t="s">
        <v>0</v>
      </c>
      <c r="AE1248" s="18" t="str">
        <f t="shared" si="717"/>
        <v>null</v>
      </c>
      <c r="AF1248" s="75" t="s">
        <v>0</v>
      </c>
      <c r="AG1248" s="38" t="s">
        <v>8436</v>
      </c>
    </row>
    <row r="1249" spans="1:33" ht="6" customHeight="1" x14ac:dyDescent="0.4">
      <c r="A1249" s="4">
        <f>ROW()</f>
        <v>1249</v>
      </c>
      <c r="B1249" s="9" t="s">
        <v>27</v>
      </c>
      <c r="C1249" s="43" t="str">
        <f t="shared" ref="C1249" si="718">SUBSTITUTE(F1249,"d.","p.")</f>
        <v>p.iluminar</v>
      </c>
      <c r="D1249" s="6" t="str">
        <f t="shared" si="712"/>
        <v>é.carga.de.iluminação</v>
      </c>
      <c r="E1249" s="8" t="s">
        <v>28</v>
      </c>
      <c r="F1249" s="41" t="s">
        <v>2190</v>
      </c>
      <c r="G1249" s="13" t="s">
        <v>704</v>
      </c>
      <c r="H1249" s="34" t="s">
        <v>35</v>
      </c>
      <c r="I1249" s="92" t="str">
        <f t="shared" si="709"/>
        <v>null</v>
      </c>
      <c r="J1249" s="80" t="s">
        <v>0</v>
      </c>
      <c r="K1249" s="80" t="s">
        <v>0</v>
      </c>
      <c r="L1249" s="80" t="s">
        <v>0</v>
      </c>
      <c r="M1249" s="80" t="s">
        <v>0</v>
      </c>
      <c r="N1249" s="80" t="s">
        <v>0</v>
      </c>
      <c r="O1249" s="80" t="s">
        <v>0</v>
      </c>
      <c r="P1249" s="80" t="s">
        <v>0</v>
      </c>
      <c r="Q1249" s="80" t="s">
        <v>0</v>
      </c>
      <c r="R1249" s="84" t="s">
        <v>0</v>
      </c>
      <c r="S1249" s="10" t="s">
        <v>1</v>
      </c>
      <c r="T1249" s="10" t="s">
        <v>10221</v>
      </c>
      <c r="U1249" s="5" t="str">
        <f t="shared" si="713"/>
        <v>Propriedade destinada a iluminar: é.carga.de.iluminação</v>
      </c>
      <c r="V1249" s="5" t="str">
        <f t="shared" si="714"/>
        <v>Dado para iluminar:  carga.de.iluminação  Deve ser formatado como (xsd:double)</v>
      </c>
      <c r="W1249" s="69" t="s">
        <v>9997</v>
      </c>
      <c r="X1249" s="17" t="str">
        <f t="shared" si="707"/>
        <v>d.ilumi.100</v>
      </c>
      <c r="Y1249" s="17" t="str">
        <f t="shared" si="708"/>
        <v>Ação de iluminar</v>
      </c>
      <c r="Z1249" s="62" t="s">
        <v>1336</v>
      </c>
      <c r="AA1249" s="18" t="str">
        <f t="shared" si="715"/>
        <v>categoria.revit</v>
      </c>
      <c r="AB1249" s="19" t="s">
        <v>2121</v>
      </c>
      <c r="AC1249" s="18" t="str">
        <f t="shared" si="716"/>
        <v>classe.ifc</v>
      </c>
      <c r="AD1249" s="19" t="s">
        <v>2084</v>
      </c>
      <c r="AE1249" s="18" t="str">
        <f t="shared" si="717"/>
        <v>propriedade</v>
      </c>
      <c r="AF1249" s="75" t="s">
        <v>1825</v>
      </c>
      <c r="AG1249" s="38" t="s">
        <v>8459</v>
      </c>
    </row>
    <row r="1250" spans="1:33" ht="6" customHeight="1" x14ac:dyDescent="0.4">
      <c r="A1250" s="4">
        <f>ROW()</f>
        <v>1250</v>
      </c>
      <c r="B1250" s="9" t="s">
        <v>27</v>
      </c>
      <c r="C1250" s="44" t="str">
        <f t="shared" ref="C1250:C1281" si="719">SUBSTITUTE(F1250,"d.","p.")</f>
        <v>p.iluminar</v>
      </c>
      <c r="D1250" s="6" t="str">
        <f t="shared" si="712"/>
        <v>é.carga.de.iluminação.necessária</v>
      </c>
      <c r="E1250" s="8" t="s">
        <v>28</v>
      </c>
      <c r="F1250" s="34" t="str">
        <f t="shared" ref="F1250:F1281" si="720">F1249</f>
        <v>d.iluminar</v>
      </c>
      <c r="G1250" s="13" t="s">
        <v>705</v>
      </c>
      <c r="H1250" s="34" t="s">
        <v>35</v>
      </c>
      <c r="I1250" s="92" t="str">
        <f t="shared" si="709"/>
        <v>null</v>
      </c>
      <c r="J1250" s="80" t="s">
        <v>0</v>
      </c>
      <c r="K1250" s="80" t="s">
        <v>0</v>
      </c>
      <c r="L1250" s="80" t="s">
        <v>0</v>
      </c>
      <c r="M1250" s="80" t="s">
        <v>0</v>
      </c>
      <c r="N1250" s="80" t="s">
        <v>0</v>
      </c>
      <c r="O1250" s="80" t="s">
        <v>0</v>
      </c>
      <c r="P1250" s="80" t="s">
        <v>0</v>
      </c>
      <c r="Q1250" s="80" t="s">
        <v>0</v>
      </c>
      <c r="R1250" s="84" t="s">
        <v>0</v>
      </c>
      <c r="S1250" s="10" t="s">
        <v>1</v>
      </c>
      <c r="T1250" s="10" t="s">
        <v>10221</v>
      </c>
      <c r="U1250" s="5" t="str">
        <f t="shared" si="713"/>
        <v>Propriedade destinada a iluminar: é.carga.de.iluminação.necessária</v>
      </c>
      <c r="V1250" s="5" t="str">
        <f t="shared" si="714"/>
        <v>Dado para iluminar:  carga.de.iluminação.necessária  Deve ser formatado como (xsd:double)</v>
      </c>
      <c r="W1250" s="69" t="s">
        <v>9996</v>
      </c>
      <c r="X1250" s="17" t="str">
        <f t="shared" si="707"/>
        <v>d.ilumi.101</v>
      </c>
      <c r="Y1250" s="17" t="str">
        <f t="shared" si="708"/>
        <v>Ação de iluminar</v>
      </c>
      <c r="Z1250" s="62" t="s">
        <v>1337</v>
      </c>
      <c r="AA1250" s="18" t="str">
        <f t="shared" si="715"/>
        <v>categoria.revit</v>
      </c>
      <c r="AB1250" s="19" t="s">
        <v>2121</v>
      </c>
      <c r="AC1250" s="18" t="str">
        <f t="shared" si="716"/>
        <v>classe.ifc</v>
      </c>
      <c r="AD1250" s="19" t="s">
        <v>2084</v>
      </c>
      <c r="AE1250" s="18" t="str">
        <f t="shared" si="717"/>
        <v>propriedade</v>
      </c>
      <c r="AF1250" s="75" t="s">
        <v>1825</v>
      </c>
      <c r="AG1250" s="38" t="s">
        <v>8460</v>
      </c>
    </row>
    <row r="1251" spans="1:33" ht="6" customHeight="1" x14ac:dyDescent="0.4">
      <c r="A1251" s="4">
        <f>ROW()</f>
        <v>1251</v>
      </c>
      <c r="B1251" s="9" t="s">
        <v>27</v>
      </c>
      <c r="C1251" s="44" t="str">
        <f t="shared" si="719"/>
        <v>p.iluminar</v>
      </c>
      <c r="D1251" s="6" t="str">
        <f t="shared" si="712"/>
        <v>é.carga.de.iluminação.por.área</v>
      </c>
      <c r="E1251" s="8" t="s">
        <v>28</v>
      </c>
      <c r="F1251" s="34" t="str">
        <f t="shared" si="720"/>
        <v>d.iluminar</v>
      </c>
      <c r="G1251" s="13" t="s">
        <v>706</v>
      </c>
      <c r="H1251" s="34" t="s">
        <v>35</v>
      </c>
      <c r="I1251" s="92" t="str">
        <f t="shared" si="709"/>
        <v>null</v>
      </c>
      <c r="J1251" s="80" t="s">
        <v>0</v>
      </c>
      <c r="K1251" s="80" t="s">
        <v>0</v>
      </c>
      <c r="L1251" s="80" t="s">
        <v>0</v>
      </c>
      <c r="M1251" s="80" t="s">
        <v>0</v>
      </c>
      <c r="N1251" s="80" t="s">
        <v>0</v>
      </c>
      <c r="O1251" s="80" t="s">
        <v>0</v>
      </c>
      <c r="P1251" s="80" t="s">
        <v>0</v>
      </c>
      <c r="Q1251" s="80" t="s">
        <v>0</v>
      </c>
      <c r="R1251" s="84" t="s">
        <v>0</v>
      </c>
      <c r="S1251" s="10" t="s">
        <v>1</v>
      </c>
      <c r="T1251" s="10" t="s">
        <v>10221</v>
      </c>
      <c r="U1251" s="5" t="str">
        <f t="shared" si="713"/>
        <v>Propriedade destinada a iluminar: é.carga.de.iluminação.por.área</v>
      </c>
      <c r="V1251" s="5" t="str">
        <f t="shared" si="714"/>
        <v>Dado para iluminar:  carga.de.iluminação.por.área  Deve ser formatado como (xsd:double)</v>
      </c>
      <c r="W1251" s="69" t="s">
        <v>9998</v>
      </c>
      <c r="X1251" s="17" t="str">
        <f t="shared" si="707"/>
        <v>d.ilumi.102</v>
      </c>
      <c r="Y1251" s="17" t="str">
        <f t="shared" si="708"/>
        <v>Ação de iluminar</v>
      </c>
      <c r="Z1251" s="62" t="s">
        <v>1338</v>
      </c>
      <c r="AA1251" s="18" t="str">
        <f t="shared" si="715"/>
        <v>categoria.revit</v>
      </c>
      <c r="AB1251" s="19" t="s">
        <v>2121</v>
      </c>
      <c r="AC1251" s="18" t="str">
        <f t="shared" si="716"/>
        <v>classe.ifc</v>
      </c>
      <c r="AD1251" s="19" t="s">
        <v>2084</v>
      </c>
      <c r="AE1251" s="18" t="str">
        <f t="shared" si="717"/>
        <v>propriedade</v>
      </c>
      <c r="AF1251" s="75" t="s">
        <v>1825</v>
      </c>
      <c r="AG1251" s="38" t="s">
        <v>8461</v>
      </c>
    </row>
    <row r="1252" spans="1:33" ht="6" customHeight="1" x14ac:dyDescent="0.4">
      <c r="A1252" s="4">
        <f>ROW()</f>
        <v>1252</v>
      </c>
      <c r="B1252" s="9" t="s">
        <v>27</v>
      </c>
      <c r="C1252" s="44" t="str">
        <f t="shared" si="719"/>
        <v>p.iluminar</v>
      </c>
      <c r="D1252" s="6" t="str">
        <f t="shared" si="712"/>
        <v>é.carga.de.iluminação.real</v>
      </c>
      <c r="E1252" s="8" t="s">
        <v>28</v>
      </c>
      <c r="F1252" s="34" t="str">
        <f t="shared" si="720"/>
        <v>d.iluminar</v>
      </c>
      <c r="G1252" s="13" t="s">
        <v>1584</v>
      </c>
      <c r="H1252" s="34" t="s">
        <v>35</v>
      </c>
      <c r="I1252" s="92" t="str">
        <f t="shared" si="709"/>
        <v>null</v>
      </c>
      <c r="J1252" s="80" t="s">
        <v>0</v>
      </c>
      <c r="K1252" s="80" t="s">
        <v>0</v>
      </c>
      <c r="L1252" s="80" t="s">
        <v>0</v>
      </c>
      <c r="M1252" s="80" t="s">
        <v>0</v>
      </c>
      <c r="N1252" s="80" t="s">
        <v>0</v>
      </c>
      <c r="O1252" s="80" t="s">
        <v>0</v>
      </c>
      <c r="P1252" s="80" t="s">
        <v>0</v>
      </c>
      <c r="Q1252" s="80" t="s">
        <v>0</v>
      </c>
      <c r="R1252" s="84" t="s">
        <v>0</v>
      </c>
      <c r="S1252" s="10" t="s">
        <v>1</v>
      </c>
      <c r="T1252" s="10" t="s">
        <v>10221</v>
      </c>
      <c r="U1252" s="5" t="str">
        <f t="shared" si="713"/>
        <v>Propriedade destinada a iluminar: é.carga.de.iluminação.real</v>
      </c>
      <c r="V1252" s="5" t="str">
        <f t="shared" si="714"/>
        <v>Dado para iluminar:  carga.de.iluminação.real  Deve ser formatado como (xsd:double)</v>
      </c>
      <c r="W1252" s="69" t="s">
        <v>9999</v>
      </c>
      <c r="X1252" s="17" t="str">
        <f t="shared" si="707"/>
        <v>d.ilumi.103</v>
      </c>
      <c r="Y1252" s="17" t="str">
        <f t="shared" si="708"/>
        <v>Ação de iluminar</v>
      </c>
      <c r="Z1252" s="62" t="s">
        <v>1339</v>
      </c>
      <c r="AA1252" s="18" t="str">
        <f t="shared" si="715"/>
        <v>categoria.revit</v>
      </c>
      <c r="AB1252" s="19" t="s">
        <v>2121</v>
      </c>
      <c r="AC1252" s="18" t="str">
        <f t="shared" si="716"/>
        <v>classe.ifc</v>
      </c>
      <c r="AD1252" s="19" t="s">
        <v>2084</v>
      </c>
      <c r="AE1252" s="18" t="str">
        <f t="shared" si="717"/>
        <v>propriedade</v>
      </c>
      <c r="AF1252" s="75" t="s">
        <v>1825</v>
      </c>
      <c r="AG1252" s="38" t="s">
        <v>8462</v>
      </c>
    </row>
    <row r="1253" spans="1:33" ht="6" customHeight="1" x14ac:dyDescent="0.4">
      <c r="A1253" s="4">
        <f>ROW()</f>
        <v>1253</v>
      </c>
      <c r="B1253" s="9" t="s">
        <v>27</v>
      </c>
      <c r="C1253" s="44" t="str">
        <f t="shared" si="719"/>
        <v>p.iluminar</v>
      </c>
      <c r="D1253" s="6" t="str">
        <f t="shared" si="712"/>
        <v>é.carga.de.iluminação.real.por.área</v>
      </c>
      <c r="E1253" s="8" t="s">
        <v>28</v>
      </c>
      <c r="F1253" s="34" t="str">
        <f t="shared" si="720"/>
        <v>d.iluminar</v>
      </c>
      <c r="G1253" s="13" t="s">
        <v>1585</v>
      </c>
      <c r="H1253" s="34" t="s">
        <v>35</v>
      </c>
      <c r="I1253" s="92" t="str">
        <f t="shared" si="709"/>
        <v>null</v>
      </c>
      <c r="J1253" s="80" t="s">
        <v>0</v>
      </c>
      <c r="K1253" s="80" t="s">
        <v>0</v>
      </c>
      <c r="L1253" s="80" t="s">
        <v>0</v>
      </c>
      <c r="M1253" s="80" t="s">
        <v>0</v>
      </c>
      <c r="N1253" s="80" t="s">
        <v>0</v>
      </c>
      <c r="O1253" s="80" t="s">
        <v>0</v>
      </c>
      <c r="P1253" s="80" t="s">
        <v>0</v>
      </c>
      <c r="Q1253" s="80" t="s">
        <v>0</v>
      </c>
      <c r="R1253" s="84" t="s">
        <v>0</v>
      </c>
      <c r="S1253" s="10" t="s">
        <v>1</v>
      </c>
      <c r="T1253" s="10" t="s">
        <v>10221</v>
      </c>
      <c r="U1253" s="5" t="str">
        <f t="shared" si="713"/>
        <v>Propriedade destinada a iluminar: é.carga.de.iluminação.real.por.área</v>
      </c>
      <c r="V1253" s="5" t="str">
        <f t="shared" si="714"/>
        <v>Dado para iluminar:  carga.de.iluminação.real.por.área  Deve ser formatado como (xsd:double)</v>
      </c>
      <c r="W1253" s="69" t="s">
        <v>10000</v>
      </c>
      <c r="X1253" s="17" t="str">
        <f t="shared" si="707"/>
        <v>d.ilumi.104</v>
      </c>
      <c r="Y1253" s="17" t="str">
        <f t="shared" si="708"/>
        <v>Ação de iluminar</v>
      </c>
      <c r="Z1253" s="62" t="s">
        <v>1340</v>
      </c>
      <c r="AA1253" s="18" t="str">
        <f t="shared" si="715"/>
        <v>categoria.revit</v>
      </c>
      <c r="AB1253" s="19" t="s">
        <v>2121</v>
      </c>
      <c r="AC1253" s="18" t="str">
        <f t="shared" si="716"/>
        <v>classe.ifc</v>
      </c>
      <c r="AD1253" s="19" t="s">
        <v>2084</v>
      </c>
      <c r="AE1253" s="18" t="str">
        <f t="shared" si="717"/>
        <v>propriedade</v>
      </c>
      <c r="AF1253" s="75" t="s">
        <v>1825</v>
      </c>
      <c r="AG1253" s="38" t="s">
        <v>8463</v>
      </c>
    </row>
    <row r="1254" spans="1:33" ht="6" customHeight="1" x14ac:dyDescent="0.4">
      <c r="A1254" s="4">
        <f>ROW()</f>
        <v>1254</v>
      </c>
      <c r="B1254" s="9" t="s">
        <v>27</v>
      </c>
      <c r="C1254" s="44" t="str">
        <f t="shared" si="719"/>
        <v>p.iluminar</v>
      </c>
      <c r="D1254" s="6" t="str">
        <f t="shared" si="712"/>
        <v>é.carga.de.iluminação.unidade</v>
      </c>
      <c r="E1254" s="8" t="s">
        <v>28</v>
      </c>
      <c r="F1254" s="34" t="str">
        <f t="shared" si="720"/>
        <v>d.iluminar</v>
      </c>
      <c r="G1254" s="13" t="s">
        <v>9995</v>
      </c>
      <c r="H1254" s="34" t="s">
        <v>35</v>
      </c>
      <c r="I1254" s="92" t="str">
        <f t="shared" si="709"/>
        <v>null</v>
      </c>
      <c r="J1254" s="80" t="s">
        <v>0</v>
      </c>
      <c r="K1254" s="80" t="s">
        <v>0</v>
      </c>
      <c r="L1254" s="80" t="s">
        <v>0</v>
      </c>
      <c r="M1254" s="80" t="s">
        <v>0</v>
      </c>
      <c r="N1254" s="80" t="s">
        <v>0</v>
      </c>
      <c r="O1254" s="80" t="s">
        <v>0</v>
      </c>
      <c r="P1254" s="80" t="s">
        <v>0</v>
      </c>
      <c r="Q1254" s="80" t="s">
        <v>0</v>
      </c>
      <c r="R1254" s="84" t="s">
        <v>0</v>
      </c>
      <c r="S1254" s="10" t="s">
        <v>1</v>
      </c>
      <c r="T1254" s="10" t="s">
        <v>10221</v>
      </c>
      <c r="U1254" s="5" t="str">
        <f t="shared" si="713"/>
        <v>Propriedade destinada a iluminar: é.carga.de.iluminação.unidade</v>
      </c>
      <c r="V1254" s="5" t="str">
        <f t="shared" si="714"/>
        <v>Dado para iluminar:  carga.de.iluminação.unidade  Deve ser formatado como (xsd:double)</v>
      </c>
      <c r="W1254" s="69" t="s">
        <v>10001</v>
      </c>
      <c r="X1254" s="17" t="str">
        <f t="shared" si="707"/>
        <v>d.ilumi.105</v>
      </c>
      <c r="Y1254" s="17" t="str">
        <f t="shared" si="708"/>
        <v>Ação de iluminar</v>
      </c>
      <c r="Z1254" s="62" t="s">
        <v>1346</v>
      </c>
      <c r="AA1254" s="18" t="str">
        <f t="shared" si="715"/>
        <v>categoria.revit</v>
      </c>
      <c r="AB1254" s="19" t="s">
        <v>2121</v>
      </c>
      <c r="AC1254" s="18" t="str">
        <f t="shared" si="716"/>
        <v>classe.ifc</v>
      </c>
      <c r="AD1254" s="19" t="s">
        <v>2084</v>
      </c>
      <c r="AE1254" s="18" t="str">
        <f t="shared" si="717"/>
        <v>propriedade</v>
      </c>
      <c r="AF1254" s="75" t="s">
        <v>1825</v>
      </c>
      <c r="AG1254" s="38" t="s">
        <v>8469</v>
      </c>
    </row>
    <row r="1255" spans="1:33" ht="6" customHeight="1" x14ac:dyDescent="0.4">
      <c r="A1255" s="4">
        <f>ROW()</f>
        <v>1255</v>
      </c>
      <c r="B1255" s="9" t="s">
        <v>27</v>
      </c>
      <c r="C1255" s="44" t="str">
        <f t="shared" si="719"/>
        <v>p.iluminar</v>
      </c>
      <c r="D1255" s="6" t="str">
        <f t="shared" si="712"/>
        <v>é.contribuição.da.iluminação.pleno</v>
      </c>
      <c r="E1255" s="8" t="s">
        <v>28</v>
      </c>
      <c r="F1255" s="34" t="str">
        <f t="shared" si="720"/>
        <v>d.iluminar</v>
      </c>
      <c r="G1255" s="13" t="s">
        <v>707</v>
      </c>
      <c r="H1255" s="34" t="s">
        <v>35</v>
      </c>
      <c r="I1255" s="92" t="str">
        <f t="shared" si="709"/>
        <v>null</v>
      </c>
      <c r="J1255" s="80" t="s">
        <v>0</v>
      </c>
      <c r="K1255" s="80" t="s">
        <v>0</v>
      </c>
      <c r="L1255" s="80" t="s">
        <v>0</v>
      </c>
      <c r="M1255" s="80" t="s">
        <v>0</v>
      </c>
      <c r="N1255" s="80" t="s">
        <v>0</v>
      </c>
      <c r="O1255" s="80" t="s">
        <v>0</v>
      </c>
      <c r="P1255" s="80" t="s">
        <v>0</v>
      </c>
      <c r="Q1255" s="80" t="s">
        <v>0</v>
      </c>
      <c r="R1255" s="84" t="s">
        <v>0</v>
      </c>
      <c r="S1255" s="10" t="s">
        <v>1</v>
      </c>
      <c r="T1255" s="10" t="s">
        <v>10221</v>
      </c>
      <c r="U1255" s="5" t="str">
        <f t="shared" si="713"/>
        <v>Propriedade destinada a iluminar: é.contribuição.da.iluminação.pleno</v>
      </c>
      <c r="V1255" s="5" t="str">
        <f t="shared" si="714"/>
        <v>Dado para iluminar:  contribuição.da.iluminação.pleno  Deve ser formatado como (xsd:double)</v>
      </c>
      <c r="W1255" s="69" t="s">
        <v>5667</v>
      </c>
      <c r="X1255" s="17" t="str">
        <f t="shared" si="707"/>
        <v>d.ilumi.106</v>
      </c>
      <c r="Y1255" s="17" t="str">
        <f t="shared" si="708"/>
        <v>Ação de iluminar</v>
      </c>
      <c r="Z1255" s="62" t="s">
        <v>1341</v>
      </c>
      <c r="AA1255" s="18" t="str">
        <f t="shared" si="715"/>
        <v>categoria.revit</v>
      </c>
      <c r="AB1255" s="19" t="s">
        <v>2121</v>
      </c>
      <c r="AC1255" s="18" t="str">
        <f t="shared" si="716"/>
        <v>classe.ifc</v>
      </c>
      <c r="AD1255" s="19" t="s">
        <v>2084</v>
      </c>
      <c r="AE1255" s="18" t="str">
        <f t="shared" si="717"/>
        <v>propriedade</v>
      </c>
      <c r="AF1255" s="75" t="s">
        <v>1825</v>
      </c>
      <c r="AG1255" s="38" t="s">
        <v>8464</v>
      </c>
    </row>
    <row r="1256" spans="1:33" ht="6" customHeight="1" x14ac:dyDescent="0.4">
      <c r="A1256" s="4">
        <f>ROW()</f>
        <v>1256</v>
      </c>
      <c r="B1256" s="9" t="s">
        <v>27</v>
      </c>
      <c r="C1256" s="44" t="str">
        <f t="shared" si="719"/>
        <v>p.iluminar</v>
      </c>
      <c r="D1256" s="6" t="str">
        <f t="shared" si="712"/>
        <v>é.eficiência.luminosa</v>
      </c>
      <c r="E1256" s="8" t="s">
        <v>28</v>
      </c>
      <c r="F1256" s="34" t="str">
        <f t="shared" si="720"/>
        <v>d.iluminar</v>
      </c>
      <c r="G1256" s="13" t="s">
        <v>699</v>
      </c>
      <c r="H1256" s="34" t="s">
        <v>35</v>
      </c>
      <c r="I1256" s="92" t="str">
        <f t="shared" si="709"/>
        <v>null</v>
      </c>
      <c r="J1256" s="80" t="s">
        <v>0</v>
      </c>
      <c r="K1256" s="80" t="s">
        <v>0</v>
      </c>
      <c r="L1256" s="80" t="s">
        <v>0</v>
      </c>
      <c r="M1256" s="80" t="s">
        <v>0</v>
      </c>
      <c r="N1256" s="80" t="s">
        <v>0</v>
      </c>
      <c r="O1256" s="80" t="s">
        <v>0</v>
      </c>
      <c r="P1256" s="80" t="s">
        <v>0</v>
      </c>
      <c r="Q1256" s="80" t="s">
        <v>0</v>
      </c>
      <c r="R1256" s="84" t="s">
        <v>0</v>
      </c>
      <c r="S1256" s="10" t="s">
        <v>1</v>
      </c>
      <c r="T1256" s="10" t="s">
        <v>10221</v>
      </c>
      <c r="U1256" s="5" t="str">
        <f t="shared" si="713"/>
        <v>Propriedade destinada a iluminar: é.eficiência.luminosa</v>
      </c>
      <c r="V1256" s="5" t="str">
        <f t="shared" si="714"/>
        <v>Dado para iluminar:  eficiência.luminosa  Deve ser formatado como (xsd:double)</v>
      </c>
      <c r="W1256" s="69" t="s">
        <v>5655</v>
      </c>
      <c r="X1256" s="17" t="str">
        <f t="shared" si="707"/>
        <v>d.ilumi.107</v>
      </c>
      <c r="Y1256" s="17" t="str">
        <f t="shared" si="708"/>
        <v>Ação de iluminar</v>
      </c>
      <c r="Z1256" s="62" t="s">
        <v>4449</v>
      </c>
      <c r="AA1256" s="18" t="str">
        <f t="shared" si="715"/>
        <v>categoria.revit</v>
      </c>
      <c r="AB1256" s="19" t="s">
        <v>2121</v>
      </c>
      <c r="AC1256" s="18" t="str">
        <f t="shared" si="716"/>
        <v>classe.ifc</v>
      </c>
      <c r="AD1256" s="19" t="s">
        <v>2084</v>
      </c>
      <c r="AE1256" s="18" t="str">
        <f t="shared" si="717"/>
        <v>propriedade</v>
      </c>
      <c r="AF1256" s="75" t="s">
        <v>1827</v>
      </c>
      <c r="AG1256" s="38" t="s">
        <v>8447</v>
      </c>
    </row>
    <row r="1257" spans="1:33" ht="6" customHeight="1" x14ac:dyDescent="0.4">
      <c r="A1257" s="4">
        <f>ROW()</f>
        <v>1257</v>
      </c>
      <c r="B1257" s="9" t="s">
        <v>27</v>
      </c>
      <c r="C1257" s="44" t="str">
        <f t="shared" si="719"/>
        <v>p.iluminar</v>
      </c>
      <c r="D1257" s="6" t="str">
        <f t="shared" si="712"/>
        <v>é.fluxo.luminoso</v>
      </c>
      <c r="E1257" s="8" t="s">
        <v>28</v>
      </c>
      <c r="F1257" s="34" t="str">
        <f t="shared" si="720"/>
        <v>d.iluminar</v>
      </c>
      <c r="G1257" s="13" t="s">
        <v>698</v>
      </c>
      <c r="H1257" s="34" t="s">
        <v>35</v>
      </c>
      <c r="I1257" s="92" t="str">
        <f t="shared" si="709"/>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13"/>
        <v>Propriedade destinada a iluminar: é.fluxo.luminoso</v>
      </c>
      <c r="V1257" s="5" t="str">
        <f t="shared" si="714"/>
        <v>Dado para iluminar:  fluxo.luminoso  Deve ser formatado como (xsd:double)</v>
      </c>
      <c r="W1257" s="69" t="s">
        <v>5653</v>
      </c>
      <c r="X1257" s="17" t="str">
        <f t="shared" si="707"/>
        <v>d.ilumi.108</v>
      </c>
      <c r="Y1257" s="17" t="str">
        <f t="shared" si="708"/>
        <v>Ação de iluminar</v>
      </c>
      <c r="Z1257" s="62" t="s">
        <v>4447</v>
      </c>
      <c r="AA1257" s="18" t="str">
        <f t="shared" si="715"/>
        <v>categoria.revit</v>
      </c>
      <c r="AB1257" s="19" t="s">
        <v>2121</v>
      </c>
      <c r="AC1257" s="18" t="str">
        <f t="shared" si="716"/>
        <v>classe.ifc</v>
      </c>
      <c r="AD1257" s="19" t="s">
        <v>2084</v>
      </c>
      <c r="AE1257" s="18" t="str">
        <f t="shared" si="717"/>
        <v>propriedade</v>
      </c>
      <c r="AF1257" s="75" t="s">
        <v>1825</v>
      </c>
      <c r="AG1257" s="38" t="s">
        <v>8445</v>
      </c>
    </row>
    <row r="1258" spans="1:33" ht="6" customHeight="1" x14ac:dyDescent="0.4">
      <c r="A1258" s="4">
        <f>ROW()</f>
        <v>1258</v>
      </c>
      <c r="B1258" s="9" t="s">
        <v>27</v>
      </c>
      <c r="C1258" s="44" t="str">
        <f t="shared" si="719"/>
        <v>p.iluminar</v>
      </c>
      <c r="D1258" s="6" t="str">
        <f t="shared" si="712"/>
        <v>é.fotometria</v>
      </c>
      <c r="E1258" s="8" t="s">
        <v>28</v>
      </c>
      <c r="F1258" s="34" t="str">
        <f t="shared" si="720"/>
        <v>d.iluminar</v>
      </c>
      <c r="G1258" s="13" t="s">
        <v>138</v>
      </c>
      <c r="H1258" s="34" t="s">
        <v>1581</v>
      </c>
      <c r="I1258" s="92" t="str">
        <f t="shared" si="709"/>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13"/>
        <v>Propriedade destinada a iluminar: é.fotometria</v>
      </c>
      <c r="V1258" s="5" t="str">
        <f t="shared" si="714"/>
        <v>Dado para iluminar:  fotometria  Deve ser formatado como (rdfs:Literal  or  xsd:string)</v>
      </c>
      <c r="W1258" s="69" t="s">
        <v>5657</v>
      </c>
      <c r="X1258" s="17" t="str">
        <f t="shared" si="707"/>
        <v>d.ilumi.109</v>
      </c>
      <c r="Y1258" s="17" t="str">
        <f t="shared" si="708"/>
        <v>Ação de iluminar</v>
      </c>
      <c r="Z1258" s="62" t="s">
        <v>4451</v>
      </c>
      <c r="AA1258" s="18" t="str">
        <f t="shared" si="715"/>
        <v>categoria.revit</v>
      </c>
      <c r="AB1258" s="19" t="s">
        <v>2121</v>
      </c>
      <c r="AC1258" s="18" t="str">
        <f t="shared" si="716"/>
        <v>classe.ifc</v>
      </c>
      <c r="AD1258" s="19" t="s">
        <v>2084</v>
      </c>
      <c r="AE1258" s="18" t="str">
        <f t="shared" si="717"/>
        <v>propriedade</v>
      </c>
      <c r="AF1258" s="75" t="s">
        <v>1825</v>
      </c>
      <c r="AG1258" s="38" t="s">
        <v>8449</v>
      </c>
    </row>
    <row r="1259" spans="1:33" ht="6" customHeight="1" x14ac:dyDescent="0.4">
      <c r="A1259" s="4">
        <f>ROW()</f>
        <v>1259</v>
      </c>
      <c r="B1259" s="9" t="s">
        <v>27</v>
      </c>
      <c r="C1259" s="44" t="str">
        <f t="shared" si="719"/>
        <v>p.iluminar</v>
      </c>
      <c r="D1259" s="6" t="str">
        <f t="shared" si="712"/>
        <v>é.iluminação.média.estimada</v>
      </c>
      <c r="E1259" s="8" t="s">
        <v>28</v>
      </c>
      <c r="F1259" s="34" t="str">
        <f t="shared" si="720"/>
        <v>d.iluminar</v>
      </c>
      <c r="G1259" s="13" t="s">
        <v>708</v>
      </c>
      <c r="H1259" s="34" t="s">
        <v>35</v>
      </c>
      <c r="I1259" s="92" t="str">
        <f t="shared" si="709"/>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13"/>
        <v>Propriedade destinada a iluminar: é.iluminação.média.estimada</v>
      </c>
      <c r="V1259" s="5" t="str">
        <f t="shared" si="714"/>
        <v>Dado para iluminar:  iluminação.média.estimada  Deve ser formatado como (xsd:double)</v>
      </c>
      <c r="W1259" s="69" t="s">
        <v>5668</v>
      </c>
      <c r="X1259" s="17" t="str">
        <f t="shared" si="707"/>
        <v>d.ilumi.110</v>
      </c>
      <c r="Y1259" s="17" t="str">
        <f t="shared" si="708"/>
        <v>Ação de iluminar</v>
      </c>
      <c r="Z1259" s="62" t="s">
        <v>1342</v>
      </c>
      <c r="AA1259" s="18" t="str">
        <f t="shared" si="715"/>
        <v>categoria.revit</v>
      </c>
      <c r="AB1259" s="19" t="s">
        <v>2121</v>
      </c>
      <c r="AC1259" s="18" t="str">
        <f t="shared" si="716"/>
        <v>classe.ifc</v>
      </c>
      <c r="AD1259" s="19" t="s">
        <v>2084</v>
      </c>
      <c r="AE1259" s="18" t="str">
        <f t="shared" si="717"/>
        <v>propriedade</v>
      </c>
      <c r="AF1259" s="75" t="s">
        <v>1825</v>
      </c>
      <c r="AG1259" s="38" t="s">
        <v>8465</v>
      </c>
    </row>
    <row r="1260" spans="1:33" ht="6" customHeight="1" x14ac:dyDescent="0.4">
      <c r="A1260" s="4">
        <f>ROW()</f>
        <v>1260</v>
      </c>
      <c r="B1260" s="9" t="s">
        <v>27</v>
      </c>
      <c r="C1260" s="44" t="str">
        <f t="shared" si="719"/>
        <v>p.iluminar</v>
      </c>
      <c r="D1260" s="6" t="str">
        <f t="shared" si="712"/>
        <v>é.iluminado.por</v>
      </c>
      <c r="E1260" s="8" t="s">
        <v>28</v>
      </c>
      <c r="F1260" s="34" t="str">
        <f t="shared" si="720"/>
        <v>d.iluminar</v>
      </c>
      <c r="G1260" s="13" t="s">
        <v>2619</v>
      </c>
      <c r="H1260" s="34" t="s">
        <v>1581</v>
      </c>
      <c r="I1260" s="92" t="str">
        <f t="shared" si="709"/>
        <v>null</v>
      </c>
      <c r="J1260" s="80" t="s">
        <v>0</v>
      </c>
      <c r="K1260" s="80" t="s">
        <v>0</v>
      </c>
      <c r="L1260" s="80" t="s">
        <v>0</v>
      </c>
      <c r="M1260" s="80" t="s">
        <v>0</v>
      </c>
      <c r="N1260" s="80" t="s">
        <v>0</v>
      </c>
      <c r="O1260" s="80" t="s">
        <v>0</v>
      </c>
      <c r="P1260" s="80" t="s">
        <v>0</v>
      </c>
      <c r="Q1260" s="80" t="s">
        <v>691</v>
      </c>
      <c r="R1260" s="84" t="s">
        <v>0</v>
      </c>
      <c r="S1260" s="10" t="s">
        <v>1</v>
      </c>
      <c r="T1260" s="10" t="s">
        <v>10221</v>
      </c>
      <c r="U1260" s="5" t="str">
        <f t="shared" si="713"/>
        <v>Propriedade destinada a iluminar: é.iluminado.por</v>
      </c>
      <c r="V1260" s="5" t="str">
        <f t="shared" si="714"/>
        <v>Dado para iluminar:  iluminado.por  Deve ser formatado como (rdfs:Literal  or  xsd:string)</v>
      </c>
      <c r="W1260" s="69" t="s">
        <v>5646</v>
      </c>
      <c r="X1260" s="17" t="str">
        <f t="shared" si="707"/>
        <v>d.ilumi.111</v>
      </c>
      <c r="Y1260" s="17" t="str">
        <f t="shared" si="708"/>
        <v>Ação de iluminar</v>
      </c>
      <c r="Z1260" s="62" t="s">
        <v>2346</v>
      </c>
      <c r="AA1260" s="18" t="str">
        <f t="shared" si="715"/>
        <v>categoria.revit</v>
      </c>
      <c r="AB1260" s="19" t="s">
        <v>2121</v>
      </c>
      <c r="AC1260" s="18" t="str">
        <f t="shared" si="716"/>
        <v>classe.ifc</v>
      </c>
      <c r="AD1260" s="19" t="s">
        <v>2084</v>
      </c>
      <c r="AE1260" s="18" t="str">
        <f t="shared" si="717"/>
        <v>propriedade</v>
      </c>
      <c r="AF1260" s="75" t="s">
        <v>1825</v>
      </c>
      <c r="AG1260" s="38" t="s">
        <v>8438</v>
      </c>
    </row>
    <row r="1261" spans="1:33" ht="6" customHeight="1" x14ac:dyDescent="0.4">
      <c r="A1261" s="4">
        <f>ROW()</f>
        <v>1261</v>
      </c>
      <c r="B1261" s="9" t="s">
        <v>27</v>
      </c>
      <c r="C1261" s="44" t="str">
        <f t="shared" si="719"/>
        <v>p.iluminar</v>
      </c>
      <c r="D1261" s="6" t="str">
        <f t="shared" ref="D1261:D1281" si="721">_xlfn.CONCAT("é.",G1261)</f>
        <v>é.iluminador.de</v>
      </c>
      <c r="E1261" s="8" t="s">
        <v>28</v>
      </c>
      <c r="F1261" s="34" t="str">
        <f t="shared" si="720"/>
        <v>d.iluminar</v>
      </c>
      <c r="G1261" s="13" t="s">
        <v>2618</v>
      </c>
      <c r="H1261" s="34" t="s">
        <v>1581</v>
      </c>
      <c r="I1261" s="92" t="str">
        <f t="shared" si="709"/>
        <v>null</v>
      </c>
      <c r="J1261" s="80" t="s">
        <v>0</v>
      </c>
      <c r="K1261" s="80" t="s">
        <v>0</v>
      </c>
      <c r="L1261" s="80" t="s">
        <v>0</v>
      </c>
      <c r="M1261" s="80" t="s">
        <v>0</v>
      </c>
      <c r="N1261" s="80" t="s">
        <v>0</v>
      </c>
      <c r="O1261" s="80" t="s">
        <v>0</v>
      </c>
      <c r="P1261" s="80" t="s">
        <v>0</v>
      </c>
      <c r="Q1261" s="80" t="s">
        <v>690</v>
      </c>
      <c r="R1261" s="84" t="s">
        <v>0</v>
      </c>
      <c r="S1261" s="10" t="s">
        <v>1</v>
      </c>
      <c r="T1261" s="10" t="s">
        <v>10221</v>
      </c>
      <c r="U1261" s="5" t="str">
        <f t="shared" ref="U1261:U1281" si="722">_xlfn.CONCAT("Propriedade destinada a ",MID(C1261,FIND("p.",C1261,1)+2,100),": ",D1261)</f>
        <v>Propriedade destinada a iluminar: é.iluminador.de</v>
      </c>
      <c r="V1261" s="5" t="str">
        <f t="shared" ref="V1261:V1281" si="723">_xlfn.CONCAT("Dado para ",MID(F1261,FIND("d.",F1261,1)+2,100),":  ",G1261, "  Deve ser formatado como (",H1261, ")")</f>
        <v>Dado para iluminar:  iluminador.de  Deve ser formatado como (rdfs:Literal  or  xsd:string)</v>
      </c>
      <c r="W1261" s="69" t="s">
        <v>5645</v>
      </c>
      <c r="X1261" s="17" t="str">
        <f t="shared" si="707"/>
        <v>d.ilumi.112</v>
      </c>
      <c r="Y1261" s="17" t="str">
        <f t="shared" si="708"/>
        <v>Ação de iluminar</v>
      </c>
      <c r="Z1261" s="62" t="s">
        <v>2345</v>
      </c>
      <c r="AA1261" s="18" t="str">
        <f t="shared" ref="AA1261:AA1281" si="724">IF(AB1261="null", "null", "categoria.revit")</f>
        <v>categoria.revit</v>
      </c>
      <c r="AB1261" s="19" t="s">
        <v>2121</v>
      </c>
      <c r="AC1261" s="18" t="str">
        <f t="shared" ref="AC1261:AC1281" si="725">IF(AD1261="null", "null", "classe.ifc")</f>
        <v>classe.ifc</v>
      </c>
      <c r="AD1261" s="19" t="s">
        <v>2084</v>
      </c>
      <c r="AE1261" s="18" t="str">
        <f t="shared" ref="AE1261:AE1281" si="726">IF(AF1261="null", "null", "propriedade")</f>
        <v>propriedade</v>
      </c>
      <c r="AF1261" s="75" t="s">
        <v>1825</v>
      </c>
      <c r="AG1261" s="38" t="s">
        <v>8437</v>
      </c>
    </row>
    <row r="1262" spans="1:33" ht="6" customHeight="1" x14ac:dyDescent="0.4">
      <c r="A1262" s="4">
        <f>ROW()</f>
        <v>1262</v>
      </c>
      <c r="B1262" s="9" t="s">
        <v>27</v>
      </c>
      <c r="C1262" s="44" t="str">
        <f t="shared" si="719"/>
        <v>p.iluminar</v>
      </c>
      <c r="D1262" s="6" t="str">
        <f t="shared" si="721"/>
        <v>é.iluminância</v>
      </c>
      <c r="E1262" s="8" t="s">
        <v>28</v>
      </c>
      <c r="F1262" s="34" t="str">
        <f t="shared" si="720"/>
        <v>d.iluminar</v>
      </c>
      <c r="G1262" s="13" t="s">
        <v>261</v>
      </c>
      <c r="H1262" s="34" t="s">
        <v>32</v>
      </c>
      <c r="I1262" s="92" t="str">
        <f t="shared" si="709"/>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22"/>
        <v>Propriedade destinada a iluminar: é.iluminância</v>
      </c>
      <c r="V1262" s="5" t="str">
        <f t="shared" si="723"/>
        <v>Dado para iluminar:  iluminância  Deve ser formatado como (xsd:integer)</v>
      </c>
      <c r="W1262" s="69" t="s">
        <v>5654</v>
      </c>
      <c r="X1262" s="17" t="str">
        <f t="shared" si="707"/>
        <v>d.ilumi.113</v>
      </c>
      <c r="Y1262" s="17" t="str">
        <f t="shared" si="708"/>
        <v>Ação de iluminar</v>
      </c>
      <c r="Z1262" s="62" t="s">
        <v>4448</v>
      </c>
      <c r="AA1262" s="18" t="str">
        <f t="shared" si="724"/>
        <v>categoria.revit</v>
      </c>
      <c r="AB1262" s="19" t="s">
        <v>2121</v>
      </c>
      <c r="AC1262" s="18" t="str">
        <f t="shared" si="725"/>
        <v>classe.ifc</v>
      </c>
      <c r="AD1262" s="19" t="s">
        <v>2084</v>
      </c>
      <c r="AE1262" s="18" t="str">
        <f t="shared" si="726"/>
        <v>propriedade</v>
      </c>
      <c r="AF1262" s="75" t="s">
        <v>1826</v>
      </c>
      <c r="AG1262" s="38" t="s">
        <v>8446</v>
      </c>
    </row>
    <row r="1263" spans="1:33" ht="6" customHeight="1" x14ac:dyDescent="0.4">
      <c r="A1263" s="4">
        <f>ROW()</f>
        <v>1263</v>
      </c>
      <c r="B1263" s="9" t="s">
        <v>27</v>
      </c>
      <c r="C1263" s="44" t="str">
        <f t="shared" si="719"/>
        <v>p.iluminar</v>
      </c>
      <c r="D1263" s="6" t="str">
        <f t="shared" si="721"/>
        <v>é.iluminância.alvo</v>
      </c>
      <c r="E1263" s="8" t="s">
        <v>28</v>
      </c>
      <c r="F1263" s="34" t="str">
        <f t="shared" si="720"/>
        <v>d.iluminar</v>
      </c>
      <c r="G1263" s="13" t="s">
        <v>702</v>
      </c>
      <c r="H1263" s="34" t="s">
        <v>35</v>
      </c>
      <c r="I1263" s="92" t="str">
        <f t="shared" si="709"/>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22"/>
        <v>Propriedade destinada a iluminar: é.iluminância.alvo</v>
      </c>
      <c r="V1263" s="5" t="str">
        <f t="shared" si="723"/>
        <v>Dado para iluminar:  iluminância.alvo  Deve ser formatado como (xsd:double)</v>
      </c>
      <c r="W1263" s="69" t="s">
        <v>5662</v>
      </c>
      <c r="X1263" s="17" t="str">
        <f t="shared" si="707"/>
        <v>d.ilumi.114</v>
      </c>
      <c r="Y1263" s="17" t="str">
        <f t="shared" si="708"/>
        <v>Ação de iluminar</v>
      </c>
      <c r="Z1263" s="62" t="s">
        <v>4749</v>
      </c>
      <c r="AA1263" s="18" t="str">
        <f t="shared" si="724"/>
        <v>categoria.revit</v>
      </c>
      <c r="AB1263" s="19" t="s">
        <v>2121</v>
      </c>
      <c r="AC1263" s="18" t="str">
        <f t="shared" si="725"/>
        <v>classe.ifc</v>
      </c>
      <c r="AD1263" s="19" t="s">
        <v>2084</v>
      </c>
      <c r="AE1263" s="18" t="str">
        <f t="shared" si="726"/>
        <v>propriedade</v>
      </c>
      <c r="AF1263" s="75" t="s">
        <v>1825</v>
      </c>
      <c r="AG1263" s="38" t="s">
        <v>8454</v>
      </c>
    </row>
    <row r="1264" spans="1:33" ht="6" customHeight="1" x14ac:dyDescent="0.4">
      <c r="A1264" s="4">
        <f>ROW()</f>
        <v>1264</v>
      </c>
      <c r="B1264" s="9" t="s">
        <v>27</v>
      </c>
      <c r="C1264" s="44" t="str">
        <f t="shared" si="719"/>
        <v>p.iluminar</v>
      </c>
      <c r="D1264" s="6" t="str">
        <f t="shared" si="721"/>
        <v>é.iluminância.alvo.mínima</v>
      </c>
      <c r="E1264" s="8" t="s">
        <v>28</v>
      </c>
      <c r="F1264" s="34" t="str">
        <f t="shared" si="720"/>
        <v>d.iluminar</v>
      </c>
      <c r="G1264" s="13" t="s">
        <v>3036</v>
      </c>
      <c r="H1264" s="34" t="s">
        <v>35</v>
      </c>
      <c r="I1264" s="92" t="str">
        <f t="shared" si="709"/>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22"/>
        <v>Propriedade destinada a iluminar: é.iluminância.alvo.mínima</v>
      </c>
      <c r="V1264" s="5" t="str">
        <f t="shared" si="723"/>
        <v>Dado para iluminar:  iluminância.alvo.mínima  Deve ser formatado como (xsd:double)</v>
      </c>
      <c r="W1264" s="69" t="s">
        <v>5663</v>
      </c>
      <c r="X1264" s="17" t="str">
        <f t="shared" si="707"/>
        <v>d.ilumi.115</v>
      </c>
      <c r="Y1264" s="17" t="str">
        <f t="shared" si="708"/>
        <v>Ação de iluminar</v>
      </c>
      <c r="Z1264" s="62" t="s">
        <v>4750</v>
      </c>
      <c r="AA1264" s="18" t="str">
        <f t="shared" si="724"/>
        <v>categoria.revit</v>
      </c>
      <c r="AB1264" s="19" t="s">
        <v>2121</v>
      </c>
      <c r="AC1264" s="18" t="str">
        <f t="shared" si="725"/>
        <v>classe.ifc</v>
      </c>
      <c r="AD1264" s="19" t="s">
        <v>2084</v>
      </c>
      <c r="AE1264" s="18" t="str">
        <f t="shared" si="726"/>
        <v>propriedade</v>
      </c>
      <c r="AF1264" s="75" t="s">
        <v>1825</v>
      </c>
      <c r="AG1264" s="38" t="s">
        <v>8455</v>
      </c>
    </row>
    <row r="1265" spans="1:33" ht="6" customHeight="1" x14ac:dyDescent="0.4">
      <c r="A1265" s="4">
        <f>ROW()</f>
        <v>1265</v>
      </c>
      <c r="B1265" s="9" t="s">
        <v>27</v>
      </c>
      <c r="C1265" s="44" t="str">
        <f t="shared" si="719"/>
        <v>p.iluminar</v>
      </c>
      <c r="D1265" s="6" t="str">
        <f t="shared" si="721"/>
        <v>é.índice.de.ofuscamento</v>
      </c>
      <c r="E1265" s="8" t="s">
        <v>28</v>
      </c>
      <c r="F1265" s="34" t="str">
        <f t="shared" si="720"/>
        <v>d.iluminar</v>
      </c>
      <c r="G1265" s="13" t="s">
        <v>2601</v>
      </c>
      <c r="H1265" s="34" t="s">
        <v>35</v>
      </c>
      <c r="I1265" s="92" t="str">
        <f t="shared" si="709"/>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22"/>
        <v>Propriedade destinada a iluminar: é.índice.de.ofuscamento</v>
      </c>
      <c r="V1265" s="5" t="str">
        <f t="shared" si="723"/>
        <v>Dado para iluminar:  índice.de.ofuscamento  Deve ser formatado como (xsd:double)</v>
      </c>
      <c r="W1265" s="69" t="s">
        <v>5658</v>
      </c>
      <c r="X1265" s="17" t="str">
        <f t="shared" si="707"/>
        <v>d.ilumi.116</v>
      </c>
      <c r="Y1265" s="17" t="str">
        <f t="shared" si="708"/>
        <v>Ação de iluminar</v>
      </c>
      <c r="Z1265" s="62" t="s">
        <v>4452</v>
      </c>
      <c r="AA1265" s="18" t="str">
        <f t="shared" si="724"/>
        <v>categoria.revit</v>
      </c>
      <c r="AB1265" s="19" t="s">
        <v>2121</v>
      </c>
      <c r="AC1265" s="18" t="str">
        <f t="shared" si="725"/>
        <v>classe.ifc</v>
      </c>
      <c r="AD1265" s="19" t="s">
        <v>2084</v>
      </c>
      <c r="AE1265" s="18" t="str">
        <f t="shared" si="726"/>
        <v>propriedade</v>
      </c>
      <c r="AF1265" s="75" t="s">
        <v>1831</v>
      </c>
      <c r="AG1265" s="38" t="s">
        <v>8450</v>
      </c>
    </row>
    <row r="1266" spans="1:33" ht="6" customHeight="1" x14ac:dyDescent="0.4">
      <c r="A1266" s="4">
        <f>ROW()</f>
        <v>1266</v>
      </c>
      <c r="B1266" s="9" t="s">
        <v>27</v>
      </c>
      <c r="C1266" s="44" t="str">
        <f t="shared" si="719"/>
        <v>p.iluminar</v>
      </c>
      <c r="D1266" s="6" t="str">
        <f t="shared" si="721"/>
        <v>é.insolação.direta.excessiva</v>
      </c>
      <c r="E1266" s="8" t="s">
        <v>28</v>
      </c>
      <c r="F1266" s="34" t="str">
        <f t="shared" si="720"/>
        <v>d.iluminar</v>
      </c>
      <c r="G1266" s="13" t="s">
        <v>701</v>
      </c>
      <c r="H1266" s="34" t="s">
        <v>35</v>
      </c>
      <c r="I1266" s="92" t="str">
        <f t="shared" si="709"/>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22"/>
        <v>Propriedade destinada a iluminar: é.insolação.direta.excessiva</v>
      </c>
      <c r="V1266" s="5" t="str">
        <f t="shared" si="723"/>
        <v>Dado para iluminar:  insolação.direta.excessiva  Deve ser formatado como (xsd:double)</v>
      </c>
      <c r="W1266" s="69" t="s">
        <v>5661</v>
      </c>
      <c r="X1266" s="17" t="str">
        <f t="shared" si="707"/>
        <v>d.ilumi.117</v>
      </c>
      <c r="Y1266" s="17" t="str">
        <f t="shared" si="708"/>
        <v>Ação de iluminar</v>
      </c>
      <c r="Z1266" s="62" t="s">
        <v>4455</v>
      </c>
      <c r="AA1266" s="18" t="str">
        <f t="shared" si="724"/>
        <v>categoria.revit</v>
      </c>
      <c r="AB1266" s="19" t="s">
        <v>2121</v>
      </c>
      <c r="AC1266" s="18" t="str">
        <f t="shared" si="725"/>
        <v>classe.ifc</v>
      </c>
      <c r="AD1266" s="19" t="s">
        <v>2084</v>
      </c>
      <c r="AE1266" s="18" t="str">
        <f t="shared" si="726"/>
        <v>propriedade</v>
      </c>
      <c r="AF1266" s="75" t="s">
        <v>1825</v>
      </c>
      <c r="AG1266" s="38" t="s">
        <v>8453</v>
      </c>
    </row>
    <row r="1267" spans="1:33" ht="6" customHeight="1" x14ac:dyDescent="0.4">
      <c r="A1267" s="4">
        <f>ROW()</f>
        <v>1267</v>
      </c>
      <c r="B1267" s="9" t="s">
        <v>27</v>
      </c>
      <c r="C1267" s="44" t="str">
        <f t="shared" si="719"/>
        <v>p.iluminar</v>
      </c>
      <c r="D1267" s="6" t="str">
        <f t="shared" si="721"/>
        <v>é.irc</v>
      </c>
      <c r="E1267" s="8" t="s">
        <v>28</v>
      </c>
      <c r="F1267" s="34" t="str">
        <f t="shared" si="720"/>
        <v>d.iluminar</v>
      </c>
      <c r="G1267" s="13" t="s">
        <v>139</v>
      </c>
      <c r="H1267" s="34" t="s">
        <v>1581</v>
      </c>
      <c r="I1267" s="92" t="str">
        <f t="shared" si="709"/>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22"/>
        <v>Propriedade destinada a iluminar: é.irc</v>
      </c>
      <c r="V1267" s="5" t="str">
        <f t="shared" si="723"/>
        <v>Dado para iluminar:  irc  Deve ser formatado como (rdfs:Literal  or  xsd:string)</v>
      </c>
      <c r="W1267" s="69" t="s">
        <v>5659</v>
      </c>
      <c r="X1267" s="17" t="str">
        <f t="shared" si="707"/>
        <v>d.ilumi.118</v>
      </c>
      <c r="Y1267" s="17" t="str">
        <f t="shared" si="708"/>
        <v>Ação de iluminar</v>
      </c>
      <c r="Z1267" s="62" t="s">
        <v>4453</v>
      </c>
      <c r="AA1267" s="18" t="str">
        <f t="shared" si="724"/>
        <v>categoria.revit</v>
      </c>
      <c r="AB1267" s="19" t="s">
        <v>2121</v>
      </c>
      <c r="AC1267" s="18" t="str">
        <f t="shared" si="725"/>
        <v>classe.ifc</v>
      </c>
      <c r="AD1267" s="19" t="s">
        <v>2084</v>
      </c>
      <c r="AE1267" s="18" t="str">
        <f t="shared" si="726"/>
        <v>propriedade</v>
      </c>
      <c r="AF1267" s="75" t="s">
        <v>1825</v>
      </c>
      <c r="AG1267" s="38" t="s">
        <v>8451</v>
      </c>
    </row>
    <row r="1268" spans="1:33" ht="6" customHeight="1" x14ac:dyDescent="0.4">
      <c r="A1268" s="4">
        <f>ROW()</f>
        <v>1268</v>
      </c>
      <c r="B1268" s="9" t="s">
        <v>27</v>
      </c>
      <c r="C1268" s="44" t="str">
        <f t="shared" si="719"/>
        <v>p.iluminar</v>
      </c>
      <c r="D1268" s="6" t="str">
        <f t="shared" si="721"/>
        <v>é.lâmpada</v>
      </c>
      <c r="E1268" s="8" t="s">
        <v>28</v>
      </c>
      <c r="F1268" s="34" t="str">
        <f t="shared" si="720"/>
        <v>d.iluminar</v>
      </c>
      <c r="G1268" s="13" t="s">
        <v>2647</v>
      </c>
      <c r="H1268" s="33" t="s">
        <v>1581</v>
      </c>
      <c r="I1268" s="92" t="str">
        <f t="shared" si="709"/>
        <v>null</v>
      </c>
      <c r="J1268" s="80" t="s">
        <v>0</v>
      </c>
      <c r="K1268" s="80" t="s">
        <v>0</v>
      </c>
      <c r="L1268" s="80" t="s">
        <v>0</v>
      </c>
      <c r="M1268" s="80" t="s">
        <v>0</v>
      </c>
      <c r="N1268" s="80" t="s">
        <v>0</v>
      </c>
      <c r="O1268" s="80" t="s">
        <v>0</v>
      </c>
      <c r="P1268" s="80" t="s">
        <v>0</v>
      </c>
      <c r="Q1268" s="80" t="s">
        <v>0</v>
      </c>
      <c r="R1268" s="84" t="s">
        <v>0</v>
      </c>
      <c r="S1268" s="10" t="s">
        <v>1</v>
      </c>
      <c r="T1268" s="10" t="s">
        <v>10221</v>
      </c>
      <c r="U1268" s="5" t="str">
        <f t="shared" si="722"/>
        <v>Propriedade destinada a iluminar: é.lâmpada</v>
      </c>
      <c r="V1268" s="5" t="str">
        <f t="shared" si="723"/>
        <v>Dado para iluminar:  lâmpada  Deve ser formatado como (rdfs:Literal  or  xsd:string)</v>
      </c>
      <c r="W1268" s="69" t="s">
        <v>5660</v>
      </c>
      <c r="X1268" s="17" t="str">
        <f t="shared" si="707"/>
        <v>d.ilumi.119</v>
      </c>
      <c r="Y1268" s="17" t="str">
        <f t="shared" si="708"/>
        <v>Ação de iluminar</v>
      </c>
      <c r="Z1268" s="62" t="s">
        <v>4454</v>
      </c>
      <c r="AA1268" s="18" t="str">
        <f t="shared" si="724"/>
        <v>categoria.revit</v>
      </c>
      <c r="AB1268" s="19" t="s">
        <v>2121</v>
      </c>
      <c r="AC1268" s="18" t="str">
        <f t="shared" si="725"/>
        <v>classe.ifc</v>
      </c>
      <c r="AD1268" s="19" t="s">
        <v>2084</v>
      </c>
      <c r="AE1268" s="18" t="str">
        <f t="shared" si="726"/>
        <v>propriedade</v>
      </c>
      <c r="AF1268" s="75" t="s">
        <v>1825</v>
      </c>
      <c r="AG1268" s="38" t="s">
        <v>8452</v>
      </c>
    </row>
    <row r="1269" spans="1:33" ht="6" customHeight="1" x14ac:dyDescent="0.4">
      <c r="A1269" s="4">
        <f>ROW()</f>
        <v>1269</v>
      </c>
      <c r="B1269" s="9" t="s">
        <v>27</v>
      </c>
      <c r="C1269" s="44" t="str">
        <f t="shared" si="719"/>
        <v>p.iluminar</v>
      </c>
      <c r="D1269" s="6" t="str">
        <f t="shared" si="721"/>
        <v>é.luz.de.aviso</v>
      </c>
      <c r="E1269" s="8" t="s">
        <v>28</v>
      </c>
      <c r="F1269" s="34" t="str">
        <f t="shared" si="720"/>
        <v>d.iluminar</v>
      </c>
      <c r="G1269" s="13" t="s">
        <v>696</v>
      </c>
      <c r="H1269" s="34" t="s">
        <v>35</v>
      </c>
      <c r="I1269" s="92" t="str">
        <f t="shared" si="709"/>
        <v>null</v>
      </c>
      <c r="J1269" s="80" t="s">
        <v>0</v>
      </c>
      <c r="K1269" s="80" t="s">
        <v>0</v>
      </c>
      <c r="L1269" s="80" t="s">
        <v>0</v>
      </c>
      <c r="M1269" s="80" t="s">
        <v>0</v>
      </c>
      <c r="N1269" s="80" t="s">
        <v>0</v>
      </c>
      <c r="O1269" s="80" t="s">
        <v>0</v>
      </c>
      <c r="P1269" s="80" t="s">
        <v>0</v>
      </c>
      <c r="Q1269" s="80" t="s">
        <v>0</v>
      </c>
      <c r="R1269" s="84" t="s">
        <v>0</v>
      </c>
      <c r="S1269" s="10" t="s">
        <v>1</v>
      </c>
      <c r="T1269" s="10" t="s">
        <v>10221</v>
      </c>
      <c r="U1269" s="5" t="str">
        <f t="shared" si="722"/>
        <v>Propriedade destinada a iluminar: é.luz.de.aviso</v>
      </c>
      <c r="V1269" s="5" t="str">
        <f t="shared" si="723"/>
        <v>Dado para iluminar:  luz.de.aviso  Deve ser formatado como (xsd:double)</v>
      </c>
      <c r="W1269" s="69" t="s">
        <v>5651</v>
      </c>
      <c r="X1269" s="17" t="str">
        <f t="shared" si="707"/>
        <v>d.ilumi.120</v>
      </c>
      <c r="Y1269" s="17" t="str">
        <f t="shared" si="708"/>
        <v>Ação de iluminar</v>
      </c>
      <c r="Z1269" s="62" t="s">
        <v>4444</v>
      </c>
      <c r="AA1269" s="18" t="str">
        <f t="shared" si="724"/>
        <v>categoria.revit</v>
      </c>
      <c r="AB1269" s="19" t="s">
        <v>2121</v>
      </c>
      <c r="AC1269" s="18" t="str">
        <f t="shared" si="725"/>
        <v>classe.ifc</v>
      </c>
      <c r="AD1269" s="19" t="s">
        <v>2084</v>
      </c>
      <c r="AE1269" s="18" t="str">
        <f t="shared" si="726"/>
        <v>propriedade</v>
      </c>
      <c r="AF1269" s="75" t="s">
        <v>1825</v>
      </c>
      <c r="AG1269" s="38" t="s">
        <v>8443</v>
      </c>
    </row>
    <row r="1270" spans="1:33" ht="6" customHeight="1" x14ac:dyDescent="0.4">
      <c r="A1270" s="4">
        <f>ROW()</f>
        <v>1270</v>
      </c>
      <c r="B1270" s="9" t="s">
        <v>27</v>
      </c>
      <c r="C1270" s="44" t="str">
        <f t="shared" si="719"/>
        <v>p.iluminar</v>
      </c>
      <c r="D1270" s="6" t="str">
        <f t="shared" si="721"/>
        <v>é.luz.de.emergência</v>
      </c>
      <c r="E1270" s="8" t="s">
        <v>28</v>
      </c>
      <c r="F1270" s="34" t="str">
        <f t="shared" si="720"/>
        <v>d.iluminar</v>
      </c>
      <c r="G1270" s="13" t="s">
        <v>695</v>
      </c>
      <c r="H1270" s="34" t="s">
        <v>35</v>
      </c>
      <c r="I1270" s="92" t="str">
        <f t="shared" si="709"/>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22"/>
        <v>Propriedade destinada a iluminar: é.luz.de.emergência</v>
      </c>
      <c r="V1270" s="5" t="str">
        <f t="shared" si="723"/>
        <v>Dado para iluminar:  luz.de.emergência  Deve ser formatado como (xsd:double)</v>
      </c>
      <c r="W1270" s="69" t="s">
        <v>5650</v>
      </c>
      <c r="X1270" s="17" t="str">
        <f t="shared" si="707"/>
        <v>d.ilumi.121</v>
      </c>
      <c r="Y1270" s="17" t="str">
        <f t="shared" si="708"/>
        <v>Ação de iluminar</v>
      </c>
      <c r="Z1270" s="62" t="s">
        <v>4445</v>
      </c>
      <c r="AA1270" s="18" t="str">
        <f t="shared" si="724"/>
        <v>categoria.revit</v>
      </c>
      <c r="AB1270" s="19" t="s">
        <v>2121</v>
      </c>
      <c r="AC1270" s="18" t="str">
        <f t="shared" si="725"/>
        <v>classe.ifc</v>
      </c>
      <c r="AD1270" s="19" t="s">
        <v>2084</v>
      </c>
      <c r="AE1270" s="18" t="str">
        <f t="shared" si="726"/>
        <v>propriedade</v>
      </c>
      <c r="AF1270" s="75" t="s">
        <v>1825</v>
      </c>
      <c r="AG1270" s="38" t="s">
        <v>8442</v>
      </c>
    </row>
    <row r="1271" spans="1:33" ht="6" customHeight="1" x14ac:dyDescent="0.4">
      <c r="A1271" s="4">
        <f>ROW()</f>
        <v>1271</v>
      </c>
      <c r="B1271" s="9" t="s">
        <v>27</v>
      </c>
      <c r="C1271" s="44" t="str">
        <f t="shared" si="719"/>
        <v>p.iluminar</v>
      </c>
      <c r="D1271" s="6" t="str">
        <f t="shared" si="721"/>
        <v>é.luz.de.trabalho</v>
      </c>
      <c r="E1271" s="8" t="s">
        <v>28</v>
      </c>
      <c r="F1271" s="34" t="str">
        <f t="shared" si="720"/>
        <v>d.iluminar</v>
      </c>
      <c r="G1271" s="13" t="s">
        <v>694</v>
      </c>
      <c r="H1271" s="34" t="s">
        <v>35</v>
      </c>
      <c r="I1271" s="92" t="str">
        <f t="shared" si="709"/>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22"/>
        <v>Propriedade destinada a iluminar: é.luz.de.trabalho</v>
      </c>
      <c r="V1271" s="5" t="str">
        <f t="shared" si="723"/>
        <v>Dado para iluminar:  luz.de.trabalho  Deve ser formatado como (xsd:double)</v>
      </c>
      <c r="W1271" s="69" t="s">
        <v>5649</v>
      </c>
      <c r="X1271" s="17" t="str">
        <f t="shared" si="707"/>
        <v>d.ilumi.122</v>
      </c>
      <c r="Y1271" s="17" t="str">
        <f t="shared" si="708"/>
        <v>Ação de iluminar</v>
      </c>
      <c r="Z1271" s="62" t="s">
        <v>4442</v>
      </c>
      <c r="AA1271" s="18" t="str">
        <f t="shared" si="724"/>
        <v>categoria.revit</v>
      </c>
      <c r="AB1271" s="19" t="s">
        <v>2121</v>
      </c>
      <c r="AC1271" s="18" t="str">
        <f t="shared" si="725"/>
        <v>classe.ifc</v>
      </c>
      <c r="AD1271" s="19" t="s">
        <v>2084</v>
      </c>
      <c r="AE1271" s="18" t="str">
        <f t="shared" si="726"/>
        <v>propriedade</v>
      </c>
      <c r="AF1271" s="75" t="s">
        <v>1825</v>
      </c>
      <c r="AG1271" s="38" t="s">
        <v>8441</v>
      </c>
    </row>
    <row r="1272" spans="1:33" ht="6" customHeight="1" x14ac:dyDescent="0.4">
      <c r="A1272" s="4">
        <f>ROW()</f>
        <v>1272</v>
      </c>
      <c r="B1272" s="9" t="s">
        <v>27</v>
      </c>
      <c r="C1272" s="44" t="str">
        <f t="shared" si="719"/>
        <v>p.iluminar</v>
      </c>
      <c r="D1272" s="6" t="str">
        <f t="shared" si="721"/>
        <v>é.luz.focal</v>
      </c>
      <c r="E1272" s="8" t="s">
        <v>28</v>
      </c>
      <c r="F1272" s="34" t="str">
        <f t="shared" si="720"/>
        <v>d.iluminar</v>
      </c>
      <c r="G1272" s="13" t="s">
        <v>693</v>
      </c>
      <c r="H1272" s="34" t="s">
        <v>35</v>
      </c>
      <c r="I1272" s="92" t="str">
        <f t="shared" si="709"/>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22"/>
        <v>Propriedade destinada a iluminar: é.luz.focal</v>
      </c>
      <c r="V1272" s="5" t="str">
        <f t="shared" si="723"/>
        <v>Dado para iluminar:  luz.focal  Deve ser formatado como (xsd:double)</v>
      </c>
      <c r="W1272" s="69" t="s">
        <v>5648</v>
      </c>
      <c r="X1272" s="17" t="str">
        <f t="shared" si="707"/>
        <v>d.ilumi.123</v>
      </c>
      <c r="Y1272" s="17" t="str">
        <f t="shared" si="708"/>
        <v>Ação de iluminar</v>
      </c>
      <c r="Z1272" s="62" t="s">
        <v>4443</v>
      </c>
      <c r="AA1272" s="18" t="str">
        <f t="shared" si="724"/>
        <v>categoria.revit</v>
      </c>
      <c r="AB1272" s="19" t="s">
        <v>2121</v>
      </c>
      <c r="AC1272" s="18" t="str">
        <f t="shared" si="725"/>
        <v>classe.ifc</v>
      </c>
      <c r="AD1272" s="19" t="s">
        <v>2084</v>
      </c>
      <c r="AE1272" s="18" t="str">
        <f t="shared" si="726"/>
        <v>propriedade</v>
      </c>
      <c r="AF1272" s="75" t="s">
        <v>1825</v>
      </c>
      <c r="AG1272" s="38" t="s">
        <v>8440</v>
      </c>
    </row>
    <row r="1273" spans="1:33" ht="6" customHeight="1" x14ac:dyDescent="0.4">
      <c r="A1273" s="4">
        <f>ROW()</f>
        <v>1273</v>
      </c>
      <c r="B1273" s="9" t="s">
        <v>27</v>
      </c>
      <c r="C1273" s="44" t="str">
        <f t="shared" si="719"/>
        <v>p.iluminar</v>
      </c>
      <c r="D1273" s="6" t="str">
        <f t="shared" si="721"/>
        <v>é.luz.natural</v>
      </c>
      <c r="E1273" s="8" t="s">
        <v>28</v>
      </c>
      <c r="F1273" s="34" t="str">
        <f t="shared" si="720"/>
        <v>d.iluminar</v>
      </c>
      <c r="G1273" s="13" t="s">
        <v>692</v>
      </c>
      <c r="H1273" s="34" t="s">
        <v>35</v>
      </c>
      <c r="I1273" s="92" t="str">
        <f t="shared" si="709"/>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22"/>
        <v>Propriedade destinada a iluminar: é.luz.natural</v>
      </c>
      <c r="V1273" s="5" t="str">
        <f t="shared" si="723"/>
        <v>Dado para iluminar:  luz.natural  Deve ser formatado como (xsd:double)</v>
      </c>
      <c r="W1273" s="69" t="s">
        <v>5647</v>
      </c>
      <c r="X1273" s="17" t="str">
        <f t="shared" si="707"/>
        <v>d.ilumi.124</v>
      </c>
      <c r="Y1273" s="17" t="str">
        <f t="shared" si="708"/>
        <v>Ação de iluminar</v>
      </c>
      <c r="Z1273" s="62" t="s">
        <v>4441</v>
      </c>
      <c r="AA1273" s="18" t="str">
        <f t="shared" si="724"/>
        <v>categoria.revit</v>
      </c>
      <c r="AB1273" s="19" t="s">
        <v>2121</v>
      </c>
      <c r="AC1273" s="18" t="str">
        <f t="shared" si="725"/>
        <v>classe.ifc</v>
      </c>
      <c r="AD1273" s="19" t="s">
        <v>2084</v>
      </c>
      <c r="AE1273" s="18" t="str">
        <f t="shared" si="726"/>
        <v>propriedade</v>
      </c>
      <c r="AF1273" s="75" t="s">
        <v>1825</v>
      </c>
      <c r="AG1273" s="38" t="s">
        <v>8439</v>
      </c>
    </row>
    <row r="1274" spans="1:33" ht="6" customHeight="1" x14ac:dyDescent="0.4">
      <c r="A1274" s="4">
        <f>ROW()</f>
        <v>1274</v>
      </c>
      <c r="B1274" s="9" t="s">
        <v>27</v>
      </c>
      <c r="C1274" s="44" t="str">
        <f t="shared" si="719"/>
        <v>p.iluminar</v>
      </c>
      <c r="D1274" s="6" t="str">
        <f t="shared" si="721"/>
        <v>é.luz.ornamental</v>
      </c>
      <c r="E1274" s="8" t="s">
        <v>28</v>
      </c>
      <c r="F1274" s="34" t="str">
        <f t="shared" si="720"/>
        <v>d.iluminar</v>
      </c>
      <c r="G1274" s="13" t="s">
        <v>697</v>
      </c>
      <c r="H1274" s="34" t="s">
        <v>35</v>
      </c>
      <c r="I1274" s="92" t="str">
        <f t="shared" si="709"/>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22"/>
        <v>Propriedade destinada a iluminar: é.luz.ornamental</v>
      </c>
      <c r="V1274" s="5" t="str">
        <f t="shared" si="723"/>
        <v>Dado para iluminar:  luz.ornamental  Deve ser formatado como (xsd:double)</v>
      </c>
      <c r="W1274" s="69" t="s">
        <v>5652</v>
      </c>
      <c r="X1274" s="17" t="str">
        <f t="shared" si="707"/>
        <v>d.ilumi.125</v>
      </c>
      <c r="Y1274" s="17" t="str">
        <f t="shared" si="708"/>
        <v>Ação de iluminar</v>
      </c>
      <c r="Z1274" s="62" t="s">
        <v>4446</v>
      </c>
      <c r="AA1274" s="18" t="str">
        <f t="shared" si="724"/>
        <v>categoria.revit</v>
      </c>
      <c r="AB1274" s="19" t="s">
        <v>2121</v>
      </c>
      <c r="AC1274" s="18" t="str">
        <f t="shared" si="725"/>
        <v>classe.ifc</v>
      </c>
      <c r="AD1274" s="19" t="s">
        <v>2084</v>
      </c>
      <c r="AE1274" s="18" t="str">
        <f t="shared" si="726"/>
        <v>propriedade</v>
      </c>
      <c r="AF1274" s="75" t="s">
        <v>1825</v>
      </c>
      <c r="AG1274" s="38" t="s">
        <v>8444</v>
      </c>
    </row>
    <row r="1275" spans="1:33" ht="6" customHeight="1" x14ac:dyDescent="0.4">
      <c r="A1275" s="4">
        <f>ROW()</f>
        <v>1275</v>
      </c>
      <c r="B1275" s="9" t="s">
        <v>27</v>
      </c>
      <c r="C1275" s="44" t="str">
        <f t="shared" si="719"/>
        <v>p.iluminar</v>
      </c>
      <c r="D1275" s="6" t="str">
        <f t="shared" si="721"/>
        <v>é.refletância.de.parede</v>
      </c>
      <c r="E1275" s="8" t="s">
        <v>28</v>
      </c>
      <c r="F1275" s="34" t="str">
        <f t="shared" si="720"/>
        <v>d.iluminar</v>
      </c>
      <c r="G1275" s="13" t="s">
        <v>709</v>
      </c>
      <c r="H1275" s="34" t="s">
        <v>35</v>
      </c>
      <c r="I1275" s="92" t="str">
        <f t="shared" si="709"/>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22"/>
        <v>Propriedade destinada a iluminar: é.refletância.de.parede</v>
      </c>
      <c r="V1275" s="5" t="str">
        <f t="shared" si="723"/>
        <v>Dado para iluminar:  refletância.de.parede  Deve ser formatado como (xsd:double)</v>
      </c>
      <c r="W1275" s="69" t="s">
        <v>5670</v>
      </c>
      <c r="X1275" s="17" t="str">
        <f t="shared" si="707"/>
        <v>d.ilumi.126</v>
      </c>
      <c r="Y1275" s="17" t="str">
        <f t="shared" si="708"/>
        <v>Ação de iluminar</v>
      </c>
      <c r="Z1275" s="62" t="s">
        <v>1343</v>
      </c>
      <c r="AA1275" s="18" t="str">
        <f t="shared" si="724"/>
        <v>categoria.revit</v>
      </c>
      <c r="AB1275" s="19" t="s">
        <v>2121</v>
      </c>
      <c r="AC1275" s="18" t="str">
        <f t="shared" si="725"/>
        <v>classe.ifc</v>
      </c>
      <c r="AD1275" s="19" t="s">
        <v>2084</v>
      </c>
      <c r="AE1275" s="18" t="str">
        <f t="shared" si="726"/>
        <v>propriedade</v>
      </c>
      <c r="AF1275" s="75" t="s">
        <v>1828</v>
      </c>
      <c r="AG1275" s="38" t="s">
        <v>8467</v>
      </c>
    </row>
    <row r="1276" spans="1:33" ht="6" customHeight="1" x14ac:dyDescent="0.4">
      <c r="A1276" s="4">
        <f>ROW()</f>
        <v>1276</v>
      </c>
      <c r="B1276" s="9" t="s">
        <v>27</v>
      </c>
      <c r="C1276" s="44" t="str">
        <f t="shared" si="719"/>
        <v>p.iluminar</v>
      </c>
      <c r="D1276" s="6" t="str">
        <f t="shared" si="721"/>
        <v>é.refletância.de.piso</v>
      </c>
      <c r="E1276" s="8" t="s">
        <v>28</v>
      </c>
      <c r="F1276" s="34" t="str">
        <f t="shared" si="720"/>
        <v>d.iluminar</v>
      </c>
      <c r="G1276" s="13" t="s">
        <v>710</v>
      </c>
      <c r="H1276" s="34" t="s">
        <v>35</v>
      </c>
      <c r="I1276" s="92" t="str">
        <f t="shared" si="709"/>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22"/>
        <v>Propriedade destinada a iluminar: é.refletância.de.piso</v>
      </c>
      <c r="V1276" s="5" t="str">
        <f t="shared" si="723"/>
        <v>Dado para iluminar:  refletância.de.piso  Deve ser formatado como (xsd:double)</v>
      </c>
      <c r="W1276" s="69" t="s">
        <v>5671</v>
      </c>
      <c r="X1276" s="17" t="str">
        <f t="shared" si="707"/>
        <v>d.ilumi.127</v>
      </c>
      <c r="Y1276" s="17" t="str">
        <f t="shared" si="708"/>
        <v>Ação de iluminar</v>
      </c>
      <c r="Z1276" s="62" t="s">
        <v>1344</v>
      </c>
      <c r="AA1276" s="18" t="str">
        <f t="shared" si="724"/>
        <v>categoria.revit</v>
      </c>
      <c r="AB1276" s="19" t="s">
        <v>2121</v>
      </c>
      <c r="AC1276" s="18" t="str">
        <f t="shared" si="725"/>
        <v>classe.ifc</v>
      </c>
      <c r="AD1276" s="19" t="s">
        <v>2084</v>
      </c>
      <c r="AE1276" s="18" t="str">
        <f t="shared" si="726"/>
        <v>propriedade</v>
      </c>
      <c r="AF1276" s="75" t="s">
        <v>1829</v>
      </c>
      <c r="AG1276" s="38" t="s">
        <v>8468</v>
      </c>
    </row>
    <row r="1277" spans="1:33" ht="6" customHeight="1" x14ac:dyDescent="0.4">
      <c r="A1277" s="4">
        <f>ROW()</f>
        <v>1277</v>
      </c>
      <c r="B1277" s="9" t="s">
        <v>27</v>
      </c>
      <c r="C1277" s="44" t="str">
        <f t="shared" si="719"/>
        <v>p.iluminar</v>
      </c>
      <c r="D1277" s="6" t="str">
        <f t="shared" si="721"/>
        <v>é.refletância.de.teto</v>
      </c>
      <c r="E1277" s="8" t="s">
        <v>28</v>
      </c>
      <c r="F1277" s="34" t="str">
        <f t="shared" si="720"/>
        <v>d.iluminar</v>
      </c>
      <c r="G1277" s="13" t="s">
        <v>711</v>
      </c>
      <c r="H1277" s="34" t="s">
        <v>35</v>
      </c>
      <c r="I1277" s="92" t="str">
        <f t="shared" si="709"/>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22"/>
        <v>Propriedade destinada a iluminar: é.refletância.de.teto</v>
      </c>
      <c r="V1277" s="5" t="str">
        <f t="shared" si="723"/>
        <v>Dado para iluminar:  refletância.de.teto  Deve ser formatado como (xsd:double)</v>
      </c>
      <c r="W1277" s="69" t="s">
        <v>5669</v>
      </c>
      <c r="X1277" s="17" t="str">
        <f t="shared" si="707"/>
        <v>d.ilumi.128</v>
      </c>
      <c r="Y1277" s="17" t="str">
        <f t="shared" si="708"/>
        <v>Ação de iluminar</v>
      </c>
      <c r="Z1277" s="62" t="s">
        <v>1345</v>
      </c>
      <c r="AA1277" s="18" t="str">
        <f t="shared" si="724"/>
        <v>categoria.revit</v>
      </c>
      <c r="AB1277" s="19" t="s">
        <v>2121</v>
      </c>
      <c r="AC1277" s="18" t="str">
        <f t="shared" si="725"/>
        <v>classe.ifc</v>
      </c>
      <c r="AD1277" s="19" t="s">
        <v>2084</v>
      </c>
      <c r="AE1277" s="18" t="str">
        <f t="shared" si="726"/>
        <v>propriedade</v>
      </c>
      <c r="AF1277" s="75" t="s">
        <v>1830</v>
      </c>
      <c r="AG1277" s="38" t="s">
        <v>8466</v>
      </c>
    </row>
    <row r="1278" spans="1:33" ht="6" customHeight="1" x14ac:dyDescent="0.4">
      <c r="A1278" s="4">
        <f>ROW()</f>
        <v>1278</v>
      </c>
      <c r="B1278" s="9" t="s">
        <v>27</v>
      </c>
      <c r="C1278" s="44" t="str">
        <f t="shared" si="719"/>
        <v>p.iluminar</v>
      </c>
      <c r="D1278" s="6" t="str">
        <f t="shared" si="721"/>
        <v>é.superfície.de.iluminação</v>
      </c>
      <c r="E1278" s="8" t="s">
        <v>28</v>
      </c>
      <c r="F1278" s="34" t="str">
        <f t="shared" si="720"/>
        <v>d.iluminar</v>
      </c>
      <c r="G1278" s="13" t="s">
        <v>1056</v>
      </c>
      <c r="H1278" s="34" t="s">
        <v>35</v>
      </c>
      <c r="I1278" s="92" t="str">
        <f t="shared" si="709"/>
        <v>null</v>
      </c>
      <c r="J1278" s="80" t="s">
        <v>0</v>
      </c>
      <c r="K1278" s="80" t="s">
        <v>0</v>
      </c>
      <c r="L1278" s="80" t="s">
        <v>0</v>
      </c>
      <c r="M1278" s="80" t="s">
        <v>0</v>
      </c>
      <c r="N1278" s="80" t="s">
        <v>0</v>
      </c>
      <c r="O1278" s="80" t="s">
        <v>0</v>
      </c>
      <c r="P1278" s="80" t="s">
        <v>0</v>
      </c>
      <c r="Q1278" s="80" t="s">
        <v>0</v>
      </c>
      <c r="R1278" s="84" t="s">
        <v>1064</v>
      </c>
      <c r="S1278" s="10" t="s">
        <v>1</v>
      </c>
      <c r="T1278" s="10" t="s">
        <v>10221</v>
      </c>
      <c r="U1278" s="5" t="str">
        <f t="shared" si="722"/>
        <v>Propriedade destinada a iluminar: é.superfície.de.iluminação</v>
      </c>
      <c r="V1278" s="5" t="str">
        <f t="shared" si="723"/>
        <v>Dado para iluminar:  superfície.de.iluminação  Deve ser formatado como (xsd:double)</v>
      </c>
      <c r="W1278" s="69" t="s">
        <v>5666</v>
      </c>
      <c r="X1278" s="17" t="str">
        <f t="shared" si="707"/>
        <v>d.ilumi.129</v>
      </c>
      <c r="Y1278" s="17" t="str">
        <f t="shared" si="708"/>
        <v>Ação de iluminar</v>
      </c>
      <c r="Z1278" s="62" t="s">
        <v>1335</v>
      </c>
      <c r="AA1278" s="18" t="str">
        <f t="shared" si="724"/>
        <v>categoria.revit</v>
      </c>
      <c r="AB1278" s="19" t="s">
        <v>2121</v>
      </c>
      <c r="AC1278" s="18" t="str">
        <f t="shared" si="725"/>
        <v>classe.ifc</v>
      </c>
      <c r="AD1278" s="19" t="s">
        <v>2084</v>
      </c>
      <c r="AE1278" s="18" t="str">
        <f t="shared" si="726"/>
        <v>propriedade</v>
      </c>
      <c r="AF1278" s="75" t="s">
        <v>1825</v>
      </c>
      <c r="AG1278" s="38" t="s">
        <v>8458</v>
      </c>
    </row>
    <row r="1279" spans="1:33" ht="6" customHeight="1" x14ac:dyDescent="0.4">
      <c r="A1279" s="4">
        <f>ROW()</f>
        <v>1279</v>
      </c>
      <c r="B1279" s="9" t="s">
        <v>27</v>
      </c>
      <c r="C1279" s="44" t="str">
        <f t="shared" si="719"/>
        <v>p.iluminar</v>
      </c>
      <c r="D1279" s="6" t="str">
        <f t="shared" si="721"/>
        <v>é.superfície.de.referência</v>
      </c>
      <c r="E1279" s="8" t="s">
        <v>28</v>
      </c>
      <c r="F1279" s="34" t="str">
        <f t="shared" si="720"/>
        <v>d.iluminar</v>
      </c>
      <c r="G1279" s="13" t="s">
        <v>1055</v>
      </c>
      <c r="H1279" s="34" t="s">
        <v>35</v>
      </c>
      <c r="I1279" s="92" t="str">
        <f t="shared" si="709"/>
        <v>null</v>
      </c>
      <c r="J1279" s="80" t="s">
        <v>0</v>
      </c>
      <c r="K1279" s="80" t="s">
        <v>0</v>
      </c>
      <c r="L1279" s="80" t="s">
        <v>0</v>
      </c>
      <c r="M1279" s="80" t="s">
        <v>0</v>
      </c>
      <c r="N1279" s="80" t="s">
        <v>0</v>
      </c>
      <c r="O1279" s="80" t="s">
        <v>0</v>
      </c>
      <c r="P1279" s="80" t="s">
        <v>0</v>
      </c>
      <c r="Q1279" s="80" t="s">
        <v>0</v>
      </c>
      <c r="R1279" s="84" t="s">
        <v>1063</v>
      </c>
      <c r="S1279" s="10" t="s">
        <v>1</v>
      </c>
      <c r="T1279" s="10" t="s">
        <v>10221</v>
      </c>
      <c r="U1279" s="5" t="str">
        <f t="shared" si="722"/>
        <v>Propriedade destinada a iluminar: é.superfície.de.referência</v>
      </c>
      <c r="V1279" s="5" t="str">
        <f t="shared" si="723"/>
        <v>Dado para iluminar:  superfície.de.referência  Deve ser formatado como (xsd:double)</v>
      </c>
      <c r="W1279" s="69" t="s">
        <v>5665</v>
      </c>
      <c r="X1279" s="17" t="str">
        <f t="shared" si="707"/>
        <v>d.ilumi.130</v>
      </c>
      <c r="Y1279" s="17" t="str">
        <f t="shared" si="708"/>
        <v>Ação de iluminar</v>
      </c>
      <c r="Z1279" s="62" t="s">
        <v>4457</v>
      </c>
      <c r="AA1279" s="18" t="str">
        <f t="shared" si="724"/>
        <v>categoria.revit</v>
      </c>
      <c r="AB1279" s="19" t="s">
        <v>2121</v>
      </c>
      <c r="AC1279" s="18" t="str">
        <f t="shared" si="725"/>
        <v>classe.ifc</v>
      </c>
      <c r="AD1279" s="19" t="s">
        <v>2084</v>
      </c>
      <c r="AE1279" s="18" t="str">
        <f t="shared" si="726"/>
        <v>propriedade</v>
      </c>
      <c r="AF1279" s="75" t="s">
        <v>1825</v>
      </c>
      <c r="AG1279" s="38" t="s">
        <v>8457</v>
      </c>
    </row>
    <row r="1280" spans="1:33" ht="6" customHeight="1" x14ac:dyDescent="0.4">
      <c r="A1280" s="4">
        <f>ROW()</f>
        <v>1280</v>
      </c>
      <c r="B1280" s="9" t="s">
        <v>27</v>
      </c>
      <c r="C1280" s="44" t="str">
        <f t="shared" si="719"/>
        <v>p.iluminar</v>
      </c>
      <c r="D1280" s="6" t="str">
        <f t="shared" si="721"/>
        <v>é.superfície.de.trabalho</v>
      </c>
      <c r="E1280" s="8" t="s">
        <v>28</v>
      </c>
      <c r="F1280" s="34" t="str">
        <f t="shared" si="720"/>
        <v>d.iluminar</v>
      </c>
      <c r="G1280" s="13" t="s">
        <v>1054</v>
      </c>
      <c r="H1280" s="34" t="s">
        <v>35</v>
      </c>
      <c r="I1280" s="92" t="str">
        <f t="shared" si="709"/>
        <v>null</v>
      </c>
      <c r="J1280" s="80" t="s">
        <v>0</v>
      </c>
      <c r="K1280" s="80" t="s">
        <v>0</v>
      </c>
      <c r="L1280" s="80" t="s">
        <v>0</v>
      </c>
      <c r="M1280" s="80" t="s">
        <v>0</v>
      </c>
      <c r="N1280" s="80" t="s">
        <v>0</v>
      </c>
      <c r="O1280" s="80" t="s">
        <v>0</v>
      </c>
      <c r="P1280" s="80" t="s">
        <v>0</v>
      </c>
      <c r="Q1280" s="80" t="s">
        <v>0</v>
      </c>
      <c r="R1280" s="84" t="s">
        <v>1062</v>
      </c>
      <c r="S1280" s="10" t="s">
        <v>1</v>
      </c>
      <c r="T1280" s="10" t="s">
        <v>10221</v>
      </c>
      <c r="U1280" s="5" t="str">
        <f t="shared" si="722"/>
        <v>Propriedade destinada a iluminar: é.superfície.de.trabalho</v>
      </c>
      <c r="V1280" s="5" t="str">
        <f t="shared" si="723"/>
        <v>Dado para iluminar:  superfície.de.trabalho  Deve ser formatado como (xsd:double)</v>
      </c>
      <c r="W1280" s="69" t="s">
        <v>5664</v>
      </c>
      <c r="X1280" s="17" t="str">
        <f t="shared" si="707"/>
        <v>d.ilumi.131</v>
      </c>
      <c r="Y1280" s="17" t="str">
        <f t="shared" si="708"/>
        <v>Ação de iluminar</v>
      </c>
      <c r="Z1280" s="62" t="s">
        <v>4456</v>
      </c>
      <c r="AA1280" s="18" t="str">
        <f t="shared" si="724"/>
        <v>categoria.revit</v>
      </c>
      <c r="AB1280" s="19" t="s">
        <v>2121</v>
      </c>
      <c r="AC1280" s="18" t="str">
        <f t="shared" si="725"/>
        <v>classe.ifc</v>
      </c>
      <c r="AD1280" s="19" t="s">
        <v>2084</v>
      </c>
      <c r="AE1280" s="18" t="str">
        <f t="shared" si="726"/>
        <v>propriedade</v>
      </c>
      <c r="AF1280" s="75" t="s">
        <v>1832</v>
      </c>
      <c r="AG1280" s="38" t="s">
        <v>8456</v>
      </c>
    </row>
    <row r="1281" spans="1:33" ht="6" customHeight="1" x14ac:dyDescent="0.4">
      <c r="A1281" s="4">
        <f>ROW()</f>
        <v>1281</v>
      </c>
      <c r="B1281" s="9" t="s">
        <v>27</v>
      </c>
      <c r="C1281" s="44" t="str">
        <f t="shared" si="719"/>
        <v>p.iluminar</v>
      </c>
      <c r="D1281" s="6" t="str">
        <f t="shared" si="721"/>
        <v>é.temperatura.de.cor</v>
      </c>
      <c r="E1281" s="8" t="s">
        <v>28</v>
      </c>
      <c r="F1281" s="34" t="str">
        <f t="shared" si="720"/>
        <v>d.iluminar</v>
      </c>
      <c r="G1281" s="13" t="s">
        <v>700</v>
      </c>
      <c r="H1281" s="34" t="s">
        <v>32</v>
      </c>
      <c r="I1281" s="92" t="str">
        <f t="shared" si="709"/>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22"/>
        <v>Propriedade destinada a iluminar: é.temperatura.de.cor</v>
      </c>
      <c r="V1281" s="5" t="str">
        <f t="shared" si="723"/>
        <v>Dado para iluminar:  temperatura.de.cor  Deve ser formatado como (xsd:integer)</v>
      </c>
      <c r="W1281" s="69" t="s">
        <v>5656</v>
      </c>
      <c r="X1281" s="17" t="str">
        <f t="shared" si="707"/>
        <v>d.ilumi.132</v>
      </c>
      <c r="Y1281" s="17" t="str">
        <f t="shared" si="708"/>
        <v>Ação de iluminar</v>
      </c>
      <c r="Z1281" s="62" t="s">
        <v>4450</v>
      </c>
      <c r="AA1281" s="18" t="str">
        <f t="shared" si="724"/>
        <v>categoria.revit</v>
      </c>
      <c r="AB1281" s="19" t="s">
        <v>2121</v>
      </c>
      <c r="AC1281" s="18" t="str">
        <f t="shared" si="725"/>
        <v>classe.ifc</v>
      </c>
      <c r="AD1281" s="19" t="s">
        <v>2084</v>
      </c>
      <c r="AE1281" s="18" t="str">
        <f t="shared" si="726"/>
        <v>propriedade</v>
      </c>
      <c r="AF1281" s="75" t="s">
        <v>1825</v>
      </c>
      <c r="AG1281" s="38" t="s">
        <v>8448</v>
      </c>
    </row>
    <row r="1282" spans="1:33" ht="6" customHeight="1" x14ac:dyDescent="0.4">
      <c r="A1282" s="4">
        <f>ROW()</f>
        <v>1282</v>
      </c>
      <c r="B1282" s="9" t="s">
        <v>27</v>
      </c>
      <c r="C1282" s="43" t="str">
        <f t="shared" ref="C1282:C1315" si="727">SUBSTITUTE(F1282,"d.","p.")</f>
        <v>p.implantar</v>
      </c>
      <c r="D1282" s="6" t="str">
        <f t="shared" ref="D1282:D1340" si="728">_xlfn.CONCAT("é.",G1282)</f>
        <v>é.transportador</v>
      </c>
      <c r="E1282" s="8" t="s">
        <v>28</v>
      </c>
      <c r="F1282" s="41" t="s">
        <v>2191</v>
      </c>
      <c r="G1282" s="14" t="s">
        <v>2648</v>
      </c>
      <c r="H1282" s="33" t="s">
        <v>1581</v>
      </c>
      <c r="I1282" s="92" t="str">
        <f t="shared" si="709"/>
        <v>null</v>
      </c>
      <c r="J1282" s="80" t="s">
        <v>0</v>
      </c>
      <c r="K1282" s="82" t="s">
        <v>0</v>
      </c>
      <c r="L1282" s="82" t="s">
        <v>0</v>
      </c>
      <c r="M1282" s="82" t="s">
        <v>0</v>
      </c>
      <c r="N1282" s="82" t="s">
        <v>0</v>
      </c>
      <c r="O1282" s="82" t="s">
        <v>0</v>
      </c>
      <c r="P1282" s="82" t="s">
        <v>0</v>
      </c>
      <c r="Q1282" s="82" t="s">
        <v>0</v>
      </c>
      <c r="R1282" s="84" t="s">
        <v>0</v>
      </c>
      <c r="S1282" s="10" t="s">
        <v>1</v>
      </c>
      <c r="T1282" s="10" t="s">
        <v>10221</v>
      </c>
      <c r="U1282" s="5" t="str">
        <f t="shared" ref="U1282:U1334" si="729">_xlfn.CONCAT("Propriedade destinada a ",MID(C1282,FIND("p.",C1282,1)+2,100),": ",D1282)</f>
        <v>Propriedade destinada a implantar: é.transportador</v>
      </c>
      <c r="V1282" s="5" t="str">
        <f t="shared" ref="V1282:V1334" si="730">_xlfn.CONCAT("Dado para ",MID(F1282,FIND("d.",F1282,1)+2,100),":  ",G1282, "  Deve ser formatado como (",H1282, ")")</f>
        <v>Dado para implantar:  transportador  Deve ser formatado como (rdfs:Literal  or  xsd:string)</v>
      </c>
      <c r="W1282" s="69" t="s">
        <v>5672</v>
      </c>
      <c r="X1282" s="17" t="str">
        <f t="shared" si="707"/>
        <v>d.impla.100</v>
      </c>
      <c r="Y1282" s="17" t="str">
        <f t="shared" si="708"/>
        <v>Ação de implantar</v>
      </c>
      <c r="Z1282" s="62" t="s">
        <v>2347</v>
      </c>
      <c r="AA1282" s="18" t="str">
        <f t="shared" ref="AA1282:AA1315" si="731">IF(AB1282="null", "null", "categoria.revit")</f>
        <v>categoria.revit</v>
      </c>
      <c r="AB1282" s="19" t="s">
        <v>2132</v>
      </c>
      <c r="AC1282" s="18" t="str">
        <f t="shared" ref="AC1282:AC1315" si="732">IF(AD1282="null", "null", "classe.ifc")</f>
        <v>classe.ifc</v>
      </c>
      <c r="AD1282" s="19" t="s">
        <v>2072</v>
      </c>
      <c r="AE1282" s="18" t="str">
        <f t="shared" ref="AE1282:AE1315" si="733">IF(AF1282="null", "null", "propriedade")</f>
        <v>null</v>
      </c>
      <c r="AF1282" s="75" t="s">
        <v>0</v>
      </c>
      <c r="AG1282" s="38" t="s">
        <v>8470</v>
      </c>
    </row>
    <row r="1283" spans="1:33" ht="6" customHeight="1" x14ac:dyDescent="0.4">
      <c r="A1283" s="4">
        <f>ROW()</f>
        <v>1283</v>
      </c>
      <c r="B1283" s="9" t="s">
        <v>27</v>
      </c>
      <c r="C1283" s="44" t="str">
        <f t="shared" si="727"/>
        <v>p.implantar</v>
      </c>
      <c r="D1283" s="6" t="str">
        <f t="shared" si="728"/>
        <v>é.empilhadeira</v>
      </c>
      <c r="E1283" s="8" t="s">
        <v>28</v>
      </c>
      <c r="F1283" s="34" t="str">
        <f t="shared" ref="F1283:F1289" si="734">F1282</f>
        <v>d.implantar</v>
      </c>
      <c r="G1283" s="14" t="s">
        <v>3037</v>
      </c>
      <c r="H1283" s="33" t="s">
        <v>36</v>
      </c>
      <c r="I1283" s="92" t="str">
        <f t="shared" si="709"/>
        <v>null</v>
      </c>
      <c r="J1283" s="80" t="s">
        <v>0</v>
      </c>
      <c r="K1283" s="82" t="s">
        <v>0</v>
      </c>
      <c r="L1283" s="82" t="s">
        <v>0</v>
      </c>
      <c r="M1283" s="82" t="s">
        <v>0</v>
      </c>
      <c r="N1283" s="82" t="s">
        <v>0</v>
      </c>
      <c r="O1283" s="82" t="s">
        <v>0</v>
      </c>
      <c r="P1283" s="82" t="s">
        <v>0</v>
      </c>
      <c r="Q1283" s="82" t="s">
        <v>0</v>
      </c>
      <c r="R1283" s="84" t="s">
        <v>0</v>
      </c>
      <c r="S1283" s="10" t="s">
        <v>1</v>
      </c>
      <c r="T1283" s="10" t="s">
        <v>10221</v>
      </c>
      <c r="U1283" s="5" t="str">
        <f t="shared" si="729"/>
        <v>Propriedade destinada a implantar: é.empilhadeira</v>
      </c>
      <c r="V1283" s="5" t="str">
        <f t="shared" si="730"/>
        <v>Dado para implantar:  empilhadeira  Deve ser formatado como (xsd:boolean)</v>
      </c>
      <c r="W1283" s="69" t="s">
        <v>5673</v>
      </c>
      <c r="X1283" s="17" t="str">
        <f t="shared" ref="X1283:X1346" si="735">IF(F1282&lt;&gt;F1283,_xlfn.CONCAT(RIGHT(LEFT(F1283,7),7),".100"),_xlfn.CONCAT(RIGHT(LEFT(F1283,7),7),".",SUM(VALUE(RIGHT(X1282,3)),1)))</f>
        <v>d.impla.101</v>
      </c>
      <c r="Y1283" s="17" t="str">
        <f t="shared" ref="Y1283:Y1346" si="736">_xlfn.CONCAT("Ação de ", SUBSTITUTE(F1283, "d.",  ""))</f>
        <v>Ação de implantar</v>
      </c>
      <c r="Z1283" s="62" t="s">
        <v>4458</v>
      </c>
      <c r="AA1283" s="18" t="str">
        <f t="shared" si="731"/>
        <v>categoria.revit</v>
      </c>
      <c r="AB1283" s="19" t="s">
        <v>2132</v>
      </c>
      <c r="AC1283" s="18" t="str">
        <f t="shared" si="732"/>
        <v>classe.ifc</v>
      </c>
      <c r="AD1283" s="19" t="s">
        <v>2072</v>
      </c>
      <c r="AE1283" s="18" t="str">
        <f t="shared" si="733"/>
        <v>null</v>
      </c>
      <c r="AF1283" s="75" t="s">
        <v>0</v>
      </c>
      <c r="AG1283" s="38" t="s">
        <v>8471</v>
      </c>
    </row>
    <row r="1284" spans="1:33" ht="6" customHeight="1" x14ac:dyDescent="0.4">
      <c r="A1284" s="4">
        <f>ROW()</f>
        <v>1284</v>
      </c>
      <c r="B1284" s="9" t="s">
        <v>27</v>
      </c>
      <c r="C1284" s="44" t="str">
        <f t="shared" si="727"/>
        <v>p.implantar</v>
      </c>
      <c r="D1284" s="6" t="str">
        <f t="shared" si="728"/>
        <v>é.caminhão</v>
      </c>
      <c r="E1284" s="8" t="s">
        <v>28</v>
      </c>
      <c r="F1284" s="34" t="str">
        <f t="shared" si="734"/>
        <v>d.implantar</v>
      </c>
      <c r="G1284" s="14" t="s">
        <v>308</v>
      </c>
      <c r="H1284" s="33" t="s">
        <v>36</v>
      </c>
      <c r="I1284" s="92" t="str">
        <f t="shared" si="709"/>
        <v>null</v>
      </c>
      <c r="J1284" s="80" t="s">
        <v>0</v>
      </c>
      <c r="K1284" s="82" t="s">
        <v>0</v>
      </c>
      <c r="L1284" s="82" t="s">
        <v>0</v>
      </c>
      <c r="M1284" s="82" t="s">
        <v>0</v>
      </c>
      <c r="N1284" s="82" t="s">
        <v>0</v>
      </c>
      <c r="O1284" s="82" t="s">
        <v>0</v>
      </c>
      <c r="P1284" s="82" t="s">
        <v>0</v>
      </c>
      <c r="Q1284" s="82" t="s">
        <v>0</v>
      </c>
      <c r="R1284" s="84" t="s">
        <v>0</v>
      </c>
      <c r="S1284" s="10" t="s">
        <v>1</v>
      </c>
      <c r="T1284" s="10" t="s">
        <v>10221</v>
      </c>
      <c r="U1284" s="5" t="str">
        <f t="shared" si="729"/>
        <v>Propriedade destinada a implantar: é.caminhão</v>
      </c>
      <c r="V1284" s="5" t="str">
        <f t="shared" si="730"/>
        <v>Dado para implantar:  caminhão  Deve ser formatado como (xsd:boolean)</v>
      </c>
      <c r="W1284" s="69" t="s">
        <v>5674</v>
      </c>
      <c r="X1284" s="17" t="str">
        <f t="shared" si="735"/>
        <v>d.impla.102</v>
      </c>
      <c r="Y1284" s="17" t="str">
        <f t="shared" si="736"/>
        <v>Ação de implantar</v>
      </c>
      <c r="Z1284" s="62" t="s">
        <v>1422</v>
      </c>
      <c r="AA1284" s="18" t="str">
        <f t="shared" si="731"/>
        <v>categoria.revit</v>
      </c>
      <c r="AB1284" s="19" t="s">
        <v>2132</v>
      </c>
      <c r="AC1284" s="18" t="str">
        <f t="shared" si="732"/>
        <v>classe.ifc</v>
      </c>
      <c r="AD1284" s="19" t="s">
        <v>2072</v>
      </c>
      <c r="AE1284" s="18" t="str">
        <f t="shared" si="733"/>
        <v>null</v>
      </c>
      <c r="AF1284" s="75" t="s">
        <v>0</v>
      </c>
      <c r="AG1284" s="38" t="s">
        <v>8472</v>
      </c>
    </row>
    <row r="1285" spans="1:33" ht="6" customHeight="1" x14ac:dyDescent="0.4">
      <c r="A1285" s="4">
        <f>ROW()</f>
        <v>1285</v>
      </c>
      <c r="B1285" s="9" t="s">
        <v>27</v>
      </c>
      <c r="C1285" s="44" t="str">
        <f t="shared" si="727"/>
        <v>p.implantar</v>
      </c>
      <c r="D1285" s="6" t="str">
        <f t="shared" si="728"/>
        <v>é.esteira</v>
      </c>
      <c r="E1285" s="8" t="s">
        <v>28</v>
      </c>
      <c r="F1285" s="34" t="str">
        <f t="shared" si="734"/>
        <v>d.implantar</v>
      </c>
      <c r="G1285" s="14" t="s">
        <v>309</v>
      </c>
      <c r="H1285" s="33" t="s">
        <v>36</v>
      </c>
      <c r="I1285" s="92" t="str">
        <f t="shared" si="709"/>
        <v>null</v>
      </c>
      <c r="J1285" s="80" t="s">
        <v>0</v>
      </c>
      <c r="K1285" s="82" t="s">
        <v>0</v>
      </c>
      <c r="L1285" s="82" t="s">
        <v>0</v>
      </c>
      <c r="M1285" s="82" t="s">
        <v>0</v>
      </c>
      <c r="N1285" s="82" t="s">
        <v>0</v>
      </c>
      <c r="O1285" s="82" t="s">
        <v>0</v>
      </c>
      <c r="P1285" s="82" t="s">
        <v>0</v>
      </c>
      <c r="Q1285" s="82" t="s">
        <v>0</v>
      </c>
      <c r="R1285" s="84" t="s">
        <v>0</v>
      </c>
      <c r="S1285" s="10" t="s">
        <v>1</v>
      </c>
      <c r="T1285" s="10" t="s">
        <v>10221</v>
      </c>
      <c r="U1285" s="5" t="str">
        <f t="shared" si="729"/>
        <v>Propriedade destinada a implantar: é.esteira</v>
      </c>
      <c r="V1285" s="5" t="str">
        <f t="shared" si="730"/>
        <v>Dado para implantar:  esteira  Deve ser formatado como (xsd:boolean)</v>
      </c>
      <c r="W1285" s="69" t="s">
        <v>5675</v>
      </c>
      <c r="X1285" s="17" t="str">
        <f t="shared" si="735"/>
        <v>d.impla.103</v>
      </c>
      <c r="Y1285" s="17" t="str">
        <f t="shared" si="736"/>
        <v>Ação de implantar</v>
      </c>
      <c r="Z1285" s="62" t="s">
        <v>1423</v>
      </c>
      <c r="AA1285" s="18" t="str">
        <f t="shared" si="731"/>
        <v>categoria.revit</v>
      </c>
      <c r="AB1285" s="19" t="s">
        <v>2132</v>
      </c>
      <c r="AC1285" s="18" t="str">
        <f t="shared" si="732"/>
        <v>classe.ifc</v>
      </c>
      <c r="AD1285" s="19" t="s">
        <v>2072</v>
      </c>
      <c r="AE1285" s="18" t="str">
        <f t="shared" si="733"/>
        <v>null</v>
      </c>
      <c r="AF1285" s="75" t="s">
        <v>0</v>
      </c>
      <c r="AG1285" s="38" t="s">
        <v>8473</v>
      </c>
    </row>
    <row r="1286" spans="1:33" ht="6" customHeight="1" x14ac:dyDescent="0.4">
      <c r="A1286" s="4">
        <f>ROW()</f>
        <v>1286</v>
      </c>
      <c r="B1286" s="9" t="s">
        <v>27</v>
      </c>
      <c r="C1286" s="44" t="str">
        <f t="shared" si="727"/>
        <v>p.implantar</v>
      </c>
      <c r="D1286" s="6" t="str">
        <f t="shared" si="728"/>
        <v>é.cinta.transportadora</v>
      </c>
      <c r="E1286" s="8" t="s">
        <v>28</v>
      </c>
      <c r="F1286" s="34" t="str">
        <f t="shared" si="734"/>
        <v>d.implantar</v>
      </c>
      <c r="G1286" s="14" t="s">
        <v>958</v>
      </c>
      <c r="H1286" s="33" t="s">
        <v>36</v>
      </c>
      <c r="I1286" s="92" t="str">
        <f t="shared" si="709"/>
        <v>null</v>
      </c>
      <c r="J1286" s="80" t="s">
        <v>0</v>
      </c>
      <c r="K1286" s="82" t="s">
        <v>0</v>
      </c>
      <c r="L1286" s="82" t="s">
        <v>0</v>
      </c>
      <c r="M1286" s="82" t="s">
        <v>0</v>
      </c>
      <c r="N1286" s="82" t="s">
        <v>0</v>
      </c>
      <c r="O1286" s="82" t="s">
        <v>0</v>
      </c>
      <c r="P1286" s="82" t="s">
        <v>0</v>
      </c>
      <c r="Q1286" s="82" t="s">
        <v>0</v>
      </c>
      <c r="R1286" s="84" t="s">
        <v>0</v>
      </c>
      <c r="S1286" s="10" t="s">
        <v>1</v>
      </c>
      <c r="T1286" s="10" t="s">
        <v>10221</v>
      </c>
      <c r="U1286" s="5" t="str">
        <f t="shared" si="729"/>
        <v>Propriedade destinada a implantar: é.cinta.transportadora</v>
      </c>
      <c r="V1286" s="5" t="str">
        <f t="shared" si="730"/>
        <v>Dado para implantar:  cinta.transportadora  Deve ser formatado como (xsd:boolean)</v>
      </c>
      <c r="W1286" s="69" t="s">
        <v>5676</v>
      </c>
      <c r="X1286" s="17" t="str">
        <f t="shared" si="735"/>
        <v>d.impla.104</v>
      </c>
      <c r="Y1286" s="17" t="str">
        <f t="shared" si="736"/>
        <v>Ação de implantar</v>
      </c>
      <c r="Z1286" s="62" t="s">
        <v>1423</v>
      </c>
      <c r="AA1286" s="18" t="str">
        <f t="shared" si="731"/>
        <v>categoria.revit</v>
      </c>
      <c r="AB1286" s="19" t="s">
        <v>2132</v>
      </c>
      <c r="AC1286" s="18" t="str">
        <f t="shared" si="732"/>
        <v>classe.ifc</v>
      </c>
      <c r="AD1286" s="19" t="s">
        <v>2072</v>
      </c>
      <c r="AE1286" s="18" t="str">
        <f t="shared" si="733"/>
        <v>null</v>
      </c>
      <c r="AF1286" s="75" t="s">
        <v>0</v>
      </c>
      <c r="AG1286" s="38" t="s">
        <v>8473</v>
      </c>
    </row>
    <row r="1287" spans="1:33" ht="6" customHeight="1" x14ac:dyDescent="0.4">
      <c r="A1287" s="4">
        <f>ROW()</f>
        <v>1287</v>
      </c>
      <c r="B1287" s="9" t="s">
        <v>27</v>
      </c>
      <c r="C1287" s="44" t="str">
        <f t="shared" si="727"/>
        <v>p.implantar</v>
      </c>
      <c r="D1287" s="6" t="str">
        <f t="shared" si="728"/>
        <v>é.plataforma.elevação</v>
      </c>
      <c r="E1287" s="8" t="s">
        <v>28</v>
      </c>
      <c r="F1287" s="34" t="str">
        <f t="shared" si="734"/>
        <v>d.implantar</v>
      </c>
      <c r="G1287" s="14" t="s">
        <v>959</v>
      </c>
      <c r="H1287" s="33" t="s">
        <v>36</v>
      </c>
      <c r="I1287" s="92" t="str">
        <f t="shared" si="709"/>
        <v>null</v>
      </c>
      <c r="J1287" s="80" t="s">
        <v>0</v>
      </c>
      <c r="K1287" s="82" t="s">
        <v>0</v>
      </c>
      <c r="L1287" s="82" t="s">
        <v>0</v>
      </c>
      <c r="M1287" s="82" t="s">
        <v>0</v>
      </c>
      <c r="N1287" s="82" t="s">
        <v>0</v>
      </c>
      <c r="O1287" s="82" t="s">
        <v>0</v>
      </c>
      <c r="P1287" s="82" t="s">
        <v>0</v>
      </c>
      <c r="Q1287" s="82" t="s">
        <v>0</v>
      </c>
      <c r="R1287" s="84" t="s">
        <v>0</v>
      </c>
      <c r="S1287" s="10" t="s">
        <v>1</v>
      </c>
      <c r="T1287" s="10" t="s">
        <v>10221</v>
      </c>
      <c r="U1287" s="5" t="str">
        <f t="shared" si="729"/>
        <v>Propriedade destinada a implantar: é.plataforma.elevação</v>
      </c>
      <c r="V1287" s="5" t="str">
        <f t="shared" si="730"/>
        <v>Dado para implantar:  plataforma.elevação  Deve ser formatado como (xsd:boolean)</v>
      </c>
      <c r="W1287" s="69" t="s">
        <v>5677</v>
      </c>
      <c r="X1287" s="17" t="str">
        <f t="shared" si="735"/>
        <v>d.impla.105</v>
      </c>
      <c r="Y1287" s="17" t="str">
        <f t="shared" si="736"/>
        <v>Ação de implantar</v>
      </c>
      <c r="Z1287" s="62" t="s">
        <v>4459</v>
      </c>
      <c r="AA1287" s="18" t="str">
        <f t="shared" si="731"/>
        <v>categoria.revit</v>
      </c>
      <c r="AB1287" s="19" t="s">
        <v>2132</v>
      </c>
      <c r="AC1287" s="18" t="str">
        <f t="shared" si="732"/>
        <v>classe.ifc</v>
      </c>
      <c r="AD1287" s="19" t="s">
        <v>2072</v>
      </c>
      <c r="AE1287" s="18" t="str">
        <f t="shared" si="733"/>
        <v>null</v>
      </c>
      <c r="AF1287" s="75" t="s">
        <v>0</v>
      </c>
      <c r="AG1287" s="38" t="s">
        <v>8474</v>
      </c>
    </row>
    <row r="1288" spans="1:33" ht="6" customHeight="1" x14ac:dyDescent="0.4">
      <c r="A1288" s="4">
        <f>ROW()</f>
        <v>1288</v>
      </c>
      <c r="B1288" s="9" t="s">
        <v>27</v>
      </c>
      <c r="C1288" s="44" t="str">
        <f t="shared" si="727"/>
        <v>p.implantar</v>
      </c>
      <c r="D1288" s="6" t="str">
        <f t="shared" si="728"/>
        <v>é.tartaruga.de.carga</v>
      </c>
      <c r="E1288" s="8" t="s">
        <v>28</v>
      </c>
      <c r="F1288" s="34" t="str">
        <f t="shared" si="734"/>
        <v>d.implantar</v>
      </c>
      <c r="G1288" s="14" t="s">
        <v>960</v>
      </c>
      <c r="H1288" s="33" t="s">
        <v>36</v>
      </c>
      <c r="I1288" s="92" t="str">
        <f t="shared" ref="I1288:I1351" si="737">IF(OR(J1288="Functional",K1288="InverseFunctional"),"Functional","null")</f>
        <v>null</v>
      </c>
      <c r="J1288" s="80" t="s">
        <v>0</v>
      </c>
      <c r="K1288" s="82" t="s">
        <v>0</v>
      </c>
      <c r="L1288" s="82" t="s">
        <v>0</v>
      </c>
      <c r="M1288" s="82" t="s">
        <v>0</v>
      </c>
      <c r="N1288" s="82" t="s">
        <v>0</v>
      </c>
      <c r="O1288" s="82" t="s">
        <v>0</v>
      </c>
      <c r="P1288" s="82" t="s">
        <v>0</v>
      </c>
      <c r="Q1288" s="82" t="s">
        <v>0</v>
      </c>
      <c r="R1288" s="84" t="s">
        <v>0</v>
      </c>
      <c r="S1288" s="10" t="s">
        <v>1</v>
      </c>
      <c r="T1288" s="10" t="s">
        <v>10221</v>
      </c>
      <c r="U1288" s="5" t="str">
        <f t="shared" si="729"/>
        <v>Propriedade destinada a implantar: é.tartaruga.de.carga</v>
      </c>
      <c r="V1288" s="5" t="str">
        <f t="shared" si="730"/>
        <v>Dado para implantar:  tartaruga.de.carga  Deve ser formatado como (xsd:boolean)</v>
      </c>
      <c r="W1288" s="69" t="s">
        <v>5678</v>
      </c>
      <c r="X1288" s="17" t="str">
        <f t="shared" si="735"/>
        <v>d.impla.106</v>
      </c>
      <c r="Y1288" s="17" t="str">
        <f t="shared" si="736"/>
        <v>Ação de implantar</v>
      </c>
      <c r="Z1288" s="62" t="s">
        <v>1424</v>
      </c>
      <c r="AA1288" s="18" t="str">
        <f t="shared" si="731"/>
        <v>categoria.revit</v>
      </c>
      <c r="AB1288" s="19" t="s">
        <v>2132</v>
      </c>
      <c r="AC1288" s="18" t="str">
        <f t="shared" si="732"/>
        <v>classe.ifc</v>
      </c>
      <c r="AD1288" s="19" t="s">
        <v>2072</v>
      </c>
      <c r="AE1288" s="18" t="str">
        <f t="shared" si="733"/>
        <v>null</v>
      </c>
      <c r="AF1288" s="75" t="s">
        <v>0</v>
      </c>
      <c r="AG1288" s="38" t="s">
        <v>8475</v>
      </c>
    </row>
    <row r="1289" spans="1:33" ht="6" customHeight="1" x14ac:dyDescent="0.4">
      <c r="A1289" s="4">
        <f>ROW()</f>
        <v>1289</v>
      </c>
      <c r="B1289" s="9" t="s">
        <v>27</v>
      </c>
      <c r="C1289" s="44" t="str">
        <f t="shared" si="727"/>
        <v>p.implantar</v>
      </c>
      <c r="D1289" s="6" t="str">
        <f t="shared" si="728"/>
        <v>é.granel</v>
      </c>
      <c r="E1289" s="8" t="s">
        <v>28</v>
      </c>
      <c r="F1289" s="34" t="str">
        <f t="shared" si="734"/>
        <v>d.implantar</v>
      </c>
      <c r="G1289" s="14" t="s">
        <v>307</v>
      </c>
      <c r="H1289" s="33" t="s">
        <v>36</v>
      </c>
      <c r="I1289" s="92" t="str">
        <f t="shared" si="737"/>
        <v>null</v>
      </c>
      <c r="J1289" s="80" t="s">
        <v>0</v>
      </c>
      <c r="K1289" s="82" t="s">
        <v>0</v>
      </c>
      <c r="L1289" s="82" t="s">
        <v>0</v>
      </c>
      <c r="M1289" s="82" t="s">
        <v>0</v>
      </c>
      <c r="N1289" s="82" t="s">
        <v>0</v>
      </c>
      <c r="O1289" s="82" t="s">
        <v>0</v>
      </c>
      <c r="P1289" s="82" t="s">
        <v>0</v>
      </c>
      <c r="Q1289" s="82" t="s">
        <v>0</v>
      </c>
      <c r="R1289" s="84" t="s">
        <v>0</v>
      </c>
      <c r="S1289" s="10" t="s">
        <v>1</v>
      </c>
      <c r="T1289" s="10" t="s">
        <v>10221</v>
      </c>
      <c r="U1289" s="5" t="str">
        <f t="shared" si="729"/>
        <v>Propriedade destinada a implantar: é.granel</v>
      </c>
      <c r="V1289" s="5" t="str">
        <f t="shared" si="730"/>
        <v>Dado para implantar:  granel  Deve ser formatado como (xsd:boolean)</v>
      </c>
      <c r="W1289" s="69" t="s">
        <v>5679</v>
      </c>
      <c r="X1289" s="17" t="str">
        <f t="shared" si="735"/>
        <v>d.impla.107</v>
      </c>
      <c r="Y1289" s="17" t="str">
        <f t="shared" si="736"/>
        <v>Ação de implantar</v>
      </c>
      <c r="Z1289" s="62" t="s">
        <v>961</v>
      </c>
      <c r="AA1289" s="18" t="str">
        <f t="shared" si="731"/>
        <v>categoria.revit</v>
      </c>
      <c r="AB1289" s="19" t="s">
        <v>2132</v>
      </c>
      <c r="AC1289" s="18" t="str">
        <f t="shared" si="732"/>
        <v>classe.ifc</v>
      </c>
      <c r="AD1289" s="19" t="s">
        <v>2072</v>
      </c>
      <c r="AE1289" s="18" t="str">
        <f t="shared" si="733"/>
        <v>null</v>
      </c>
      <c r="AF1289" s="75" t="s">
        <v>0</v>
      </c>
      <c r="AG1289" s="38" t="s">
        <v>8476</v>
      </c>
    </row>
    <row r="1290" spans="1:33" ht="6" customHeight="1" x14ac:dyDescent="0.4">
      <c r="A1290" s="4">
        <f>ROW()</f>
        <v>1290</v>
      </c>
      <c r="B1290" s="9" t="s">
        <v>27</v>
      </c>
      <c r="C1290" s="43" t="str">
        <f t="shared" si="727"/>
        <v>p.incentivar</v>
      </c>
      <c r="D1290" s="6" t="str">
        <f t="shared" si="728"/>
        <v>é.incentivo</v>
      </c>
      <c r="E1290" s="8" t="s">
        <v>28</v>
      </c>
      <c r="F1290" s="41" t="s">
        <v>2192</v>
      </c>
      <c r="G1290" s="13" t="s">
        <v>238</v>
      </c>
      <c r="H1290" s="34" t="s">
        <v>1581</v>
      </c>
      <c r="I1290" s="92" t="str">
        <f t="shared" si="737"/>
        <v>null</v>
      </c>
      <c r="J1290" s="80" t="s">
        <v>0</v>
      </c>
      <c r="K1290" s="80" t="s">
        <v>0</v>
      </c>
      <c r="L1290" s="80" t="s">
        <v>0</v>
      </c>
      <c r="M1290" s="80" t="s">
        <v>0</v>
      </c>
      <c r="N1290" s="80" t="s">
        <v>0</v>
      </c>
      <c r="O1290" s="80" t="s">
        <v>0</v>
      </c>
      <c r="P1290" s="80" t="s">
        <v>0</v>
      </c>
      <c r="Q1290" s="80" t="s">
        <v>0</v>
      </c>
      <c r="R1290" s="84" t="s">
        <v>0</v>
      </c>
      <c r="S1290" s="10" t="s">
        <v>1</v>
      </c>
      <c r="T1290" s="10" t="s">
        <v>10221</v>
      </c>
      <c r="U1290" s="5" t="str">
        <f t="shared" si="729"/>
        <v>Propriedade destinada a incentivar: é.incentivo</v>
      </c>
      <c r="V1290" s="5" t="str">
        <f t="shared" si="730"/>
        <v>Dado para incentivar:  incentivo  Deve ser formatado como (rdfs:Literal  or  xsd:string)</v>
      </c>
      <c r="W1290" s="69" t="s">
        <v>5680</v>
      </c>
      <c r="X1290" s="17" t="str">
        <f t="shared" si="735"/>
        <v>d.incen.100</v>
      </c>
      <c r="Y1290" s="17" t="str">
        <f t="shared" si="736"/>
        <v>Ação de incentivar</v>
      </c>
      <c r="Z1290" s="62" t="s">
        <v>1347</v>
      </c>
      <c r="AA1290" s="18" t="str">
        <f t="shared" si="731"/>
        <v>null</v>
      </c>
      <c r="AB1290" s="19" t="s">
        <v>0</v>
      </c>
      <c r="AC1290" s="18" t="str">
        <f t="shared" si="732"/>
        <v>null</v>
      </c>
      <c r="AD1290" s="19" t="s">
        <v>0</v>
      </c>
      <c r="AE1290" s="18" t="str">
        <f t="shared" si="733"/>
        <v>null</v>
      </c>
      <c r="AF1290" s="75" t="s">
        <v>0</v>
      </c>
      <c r="AG1290" s="38" t="s">
        <v>8477</v>
      </c>
    </row>
    <row r="1291" spans="1:33" ht="6" customHeight="1" x14ac:dyDescent="0.4">
      <c r="A1291" s="4">
        <f>ROW()</f>
        <v>1291</v>
      </c>
      <c r="B1291" s="9" t="s">
        <v>27</v>
      </c>
      <c r="C1291" s="44" t="str">
        <f t="shared" si="727"/>
        <v>p.incentivar</v>
      </c>
      <c r="D1291" s="6" t="str">
        <f t="shared" si="728"/>
        <v>é.cepac</v>
      </c>
      <c r="E1291" s="8" t="s">
        <v>28</v>
      </c>
      <c r="F1291" s="34" t="str">
        <f>F1290</f>
        <v>d.incentivar</v>
      </c>
      <c r="G1291" s="13" t="s">
        <v>239</v>
      </c>
      <c r="H1291" s="34" t="s">
        <v>1581</v>
      </c>
      <c r="I1291" s="92" t="str">
        <f t="shared" si="737"/>
        <v>null</v>
      </c>
      <c r="J1291" s="80" t="s">
        <v>0</v>
      </c>
      <c r="K1291" s="80" t="s">
        <v>0</v>
      </c>
      <c r="L1291" s="80" t="s">
        <v>0</v>
      </c>
      <c r="M1291" s="80" t="s">
        <v>0</v>
      </c>
      <c r="N1291" s="80" t="s">
        <v>0</v>
      </c>
      <c r="O1291" s="80" t="s">
        <v>0</v>
      </c>
      <c r="P1291" s="80" t="s">
        <v>0</v>
      </c>
      <c r="Q1291" s="80" t="s">
        <v>0</v>
      </c>
      <c r="R1291" s="84" t="s">
        <v>0</v>
      </c>
      <c r="S1291" s="10" t="s">
        <v>1</v>
      </c>
      <c r="T1291" s="10" t="s">
        <v>10221</v>
      </c>
      <c r="U1291" s="5" t="str">
        <f t="shared" si="729"/>
        <v>Propriedade destinada a incentivar: é.cepac</v>
      </c>
      <c r="V1291" s="5" t="str">
        <f t="shared" si="730"/>
        <v>Dado para incentivar:  cepac  Deve ser formatado como (rdfs:Literal  or  xsd:string)</v>
      </c>
      <c r="W1291" s="69" t="s">
        <v>5681</v>
      </c>
      <c r="X1291" s="17" t="str">
        <f t="shared" si="735"/>
        <v>d.incen.101</v>
      </c>
      <c r="Y1291" s="17" t="str">
        <f t="shared" si="736"/>
        <v>Ação de incentivar</v>
      </c>
      <c r="Z1291" s="62" t="s">
        <v>1348</v>
      </c>
      <c r="AA1291" s="18" t="str">
        <f t="shared" si="731"/>
        <v>null</v>
      </c>
      <c r="AB1291" s="19" t="s">
        <v>0</v>
      </c>
      <c r="AC1291" s="18" t="str">
        <f t="shared" si="732"/>
        <v>null</v>
      </c>
      <c r="AD1291" s="19" t="s">
        <v>0</v>
      </c>
      <c r="AE1291" s="18" t="str">
        <f t="shared" si="733"/>
        <v>null</v>
      </c>
      <c r="AF1291" s="75" t="s">
        <v>0</v>
      </c>
      <c r="AG1291" s="38" t="s">
        <v>8478</v>
      </c>
    </row>
    <row r="1292" spans="1:33" ht="6" customHeight="1" x14ac:dyDescent="0.4">
      <c r="A1292" s="4">
        <f>ROW()</f>
        <v>1292</v>
      </c>
      <c r="B1292" s="9" t="s">
        <v>27</v>
      </c>
      <c r="C1292" s="44" t="str">
        <f t="shared" si="727"/>
        <v>p.incentivar</v>
      </c>
      <c r="D1292" s="6" t="str">
        <f t="shared" si="728"/>
        <v>é.revitalizado</v>
      </c>
      <c r="E1292" s="8" t="s">
        <v>28</v>
      </c>
      <c r="F1292" s="34" t="str">
        <f>F1291</f>
        <v>d.incentivar</v>
      </c>
      <c r="G1292" s="13" t="s">
        <v>240</v>
      </c>
      <c r="H1292" s="34" t="s">
        <v>1581</v>
      </c>
      <c r="I1292" s="92" t="str">
        <f t="shared" si="737"/>
        <v>null</v>
      </c>
      <c r="J1292" s="80" t="s">
        <v>0</v>
      </c>
      <c r="K1292" s="80" t="s">
        <v>0</v>
      </c>
      <c r="L1292" s="80" t="s">
        <v>0</v>
      </c>
      <c r="M1292" s="80" t="s">
        <v>0</v>
      </c>
      <c r="N1292" s="80" t="s">
        <v>0</v>
      </c>
      <c r="O1292" s="80" t="s">
        <v>0</v>
      </c>
      <c r="P1292" s="80" t="s">
        <v>0</v>
      </c>
      <c r="Q1292" s="80" t="s">
        <v>0</v>
      </c>
      <c r="R1292" s="84" t="s">
        <v>0</v>
      </c>
      <c r="S1292" s="10" t="s">
        <v>1</v>
      </c>
      <c r="T1292" s="10" t="s">
        <v>10221</v>
      </c>
      <c r="U1292" s="5" t="str">
        <f t="shared" si="729"/>
        <v>Propriedade destinada a incentivar: é.revitalizado</v>
      </c>
      <c r="V1292" s="5" t="str">
        <f t="shared" si="730"/>
        <v>Dado para incentivar:  revitalizado  Deve ser formatado como (rdfs:Literal  or  xsd:string)</v>
      </c>
      <c r="W1292" s="69" t="s">
        <v>5682</v>
      </c>
      <c r="X1292" s="17" t="str">
        <f t="shared" si="735"/>
        <v>d.incen.102</v>
      </c>
      <c r="Y1292" s="17" t="str">
        <f t="shared" si="736"/>
        <v>Ação de incentivar</v>
      </c>
      <c r="Z1292" s="62" t="s">
        <v>1349</v>
      </c>
      <c r="AA1292" s="18" t="str">
        <f t="shared" si="731"/>
        <v>null</v>
      </c>
      <c r="AB1292" s="19" t="s">
        <v>0</v>
      </c>
      <c r="AC1292" s="18" t="str">
        <f t="shared" si="732"/>
        <v>null</v>
      </c>
      <c r="AD1292" s="19" t="s">
        <v>0</v>
      </c>
      <c r="AE1292" s="18" t="str">
        <f t="shared" si="733"/>
        <v>null</v>
      </c>
      <c r="AF1292" s="75" t="s">
        <v>0</v>
      </c>
      <c r="AG1292" s="38" t="s">
        <v>8479</v>
      </c>
    </row>
    <row r="1293" spans="1:33" ht="6" customHeight="1" x14ac:dyDescent="0.4">
      <c r="A1293" s="4">
        <f>ROW()</f>
        <v>1293</v>
      </c>
      <c r="B1293" s="9" t="s">
        <v>27</v>
      </c>
      <c r="C1293" s="43" t="str">
        <f t="shared" si="727"/>
        <v>p.incluir</v>
      </c>
      <c r="D1293" s="6" t="str">
        <f t="shared" si="728"/>
        <v>é.uso.equitativo</v>
      </c>
      <c r="E1293" s="8" t="s">
        <v>28</v>
      </c>
      <c r="F1293" s="40" t="s">
        <v>3856</v>
      </c>
      <c r="G1293" s="14" t="s">
        <v>3857</v>
      </c>
      <c r="H1293" s="33" t="s">
        <v>36</v>
      </c>
      <c r="I1293" s="92" t="str">
        <f t="shared" si="737"/>
        <v>null</v>
      </c>
      <c r="J1293" s="82" t="s">
        <v>0</v>
      </c>
      <c r="K1293" s="82" t="s">
        <v>0</v>
      </c>
      <c r="L1293" s="82" t="s">
        <v>0</v>
      </c>
      <c r="M1293" s="82" t="s">
        <v>0</v>
      </c>
      <c r="N1293" s="80" t="s">
        <v>0</v>
      </c>
      <c r="O1293" s="82" t="s">
        <v>0</v>
      </c>
      <c r="P1293" s="82" t="s">
        <v>0</v>
      </c>
      <c r="Q1293" s="82" t="s">
        <v>0</v>
      </c>
      <c r="R1293" s="84" t="s">
        <v>0</v>
      </c>
      <c r="S1293" s="10" t="s">
        <v>1</v>
      </c>
      <c r="T1293" s="10" t="s">
        <v>10221</v>
      </c>
      <c r="U1293" s="5" t="str">
        <f t="shared" si="729"/>
        <v>Propriedade destinada a incluir: é.uso.equitativo</v>
      </c>
      <c r="V1293" s="5" t="str">
        <f t="shared" si="730"/>
        <v>Dado para incluir:  uso.equitativo  Deve ser formatado como (xsd:boolean)</v>
      </c>
      <c r="W1293" s="69" t="s">
        <v>3922</v>
      </c>
      <c r="X1293" s="17" t="str">
        <f t="shared" si="735"/>
        <v>d.inclu.100</v>
      </c>
      <c r="Y1293" s="17" t="str">
        <f t="shared" si="736"/>
        <v>Ação de incluir</v>
      </c>
      <c r="Z1293" s="62" t="s">
        <v>3964</v>
      </c>
      <c r="AA1293" s="18" t="str">
        <f t="shared" ref="AA1293:AA1300" si="738">IF(AB1293="null", "null", "categoria.revit")</f>
        <v>null</v>
      </c>
      <c r="AB1293" s="19" t="s">
        <v>0</v>
      </c>
      <c r="AC1293" s="18" t="str">
        <f t="shared" ref="AC1293:AC1300" si="739">IF(AD1293="null", "null", "classe.ifc")</f>
        <v>null</v>
      </c>
      <c r="AD1293" s="19" t="s">
        <v>0</v>
      </c>
      <c r="AE1293" s="18" t="str">
        <f t="shared" ref="AE1293:AE1300" si="740">IF(AF1293="null", "null", "propriedade")</f>
        <v>null</v>
      </c>
      <c r="AF1293" s="75" t="s">
        <v>0</v>
      </c>
      <c r="AG1293" s="38" t="s">
        <v>8480</v>
      </c>
    </row>
    <row r="1294" spans="1:33" ht="6" customHeight="1" x14ac:dyDescent="0.4">
      <c r="A1294" s="4">
        <f>ROW()</f>
        <v>1294</v>
      </c>
      <c r="B1294" s="9" t="s">
        <v>27</v>
      </c>
      <c r="C1294" s="44" t="str">
        <f t="shared" ref="C1294:C1300" si="741">SUBSTITUTE(F1294,"d.","p.")</f>
        <v>p.incluir</v>
      </c>
      <c r="D1294" s="6" t="str">
        <f t="shared" si="728"/>
        <v>é.uso.baixo.esforço.físico</v>
      </c>
      <c r="E1294" s="8" t="s">
        <v>28</v>
      </c>
      <c r="F1294" s="34" t="str">
        <f t="shared" ref="F1294:F1299" si="742">F1293</f>
        <v>d.incluir</v>
      </c>
      <c r="G1294" s="14" t="s">
        <v>3860</v>
      </c>
      <c r="H1294" s="33" t="s">
        <v>36</v>
      </c>
      <c r="I1294" s="92" t="str">
        <f t="shared" si="737"/>
        <v>null</v>
      </c>
      <c r="J1294" s="82" t="s">
        <v>0</v>
      </c>
      <c r="K1294" s="82" t="s">
        <v>0</v>
      </c>
      <c r="L1294" s="82" t="s">
        <v>0</v>
      </c>
      <c r="M1294" s="82" t="s">
        <v>0</v>
      </c>
      <c r="N1294" s="80" t="s">
        <v>0</v>
      </c>
      <c r="O1294" s="82" t="s">
        <v>0</v>
      </c>
      <c r="P1294" s="82" t="s">
        <v>0</v>
      </c>
      <c r="Q1294" s="82" t="s">
        <v>0</v>
      </c>
      <c r="R1294" s="84" t="s">
        <v>0</v>
      </c>
      <c r="S1294" s="10" t="s">
        <v>1</v>
      </c>
      <c r="T1294" s="10" t="s">
        <v>10221</v>
      </c>
      <c r="U1294" s="5" t="str">
        <f t="shared" si="729"/>
        <v>Propriedade destinada a incluir: é.uso.baixo.esforço.físico</v>
      </c>
      <c r="V1294" s="5" t="str">
        <f t="shared" si="730"/>
        <v>Dado para incluir:  uso.baixo.esforço.físico  Deve ser formatado como (xsd:boolean)</v>
      </c>
      <c r="W1294" s="69" t="s">
        <v>3923</v>
      </c>
      <c r="X1294" s="17" t="str">
        <f t="shared" si="735"/>
        <v>d.inclu.101</v>
      </c>
      <c r="Y1294" s="17" t="str">
        <f t="shared" si="736"/>
        <v>Ação de incluir</v>
      </c>
      <c r="Z1294" s="62" t="s">
        <v>3965</v>
      </c>
      <c r="AA1294" s="18" t="str">
        <f t="shared" si="738"/>
        <v>null</v>
      </c>
      <c r="AB1294" s="19" t="s">
        <v>0</v>
      </c>
      <c r="AC1294" s="18" t="str">
        <f t="shared" si="739"/>
        <v>null</v>
      </c>
      <c r="AD1294" s="19" t="s">
        <v>0</v>
      </c>
      <c r="AE1294" s="18" t="str">
        <f t="shared" si="740"/>
        <v>null</v>
      </c>
      <c r="AF1294" s="75" t="s">
        <v>0</v>
      </c>
      <c r="AG1294" s="38" t="s">
        <v>8481</v>
      </c>
    </row>
    <row r="1295" spans="1:33" ht="6" customHeight="1" x14ac:dyDescent="0.4">
      <c r="A1295" s="4">
        <f>ROW()</f>
        <v>1295</v>
      </c>
      <c r="B1295" s="9" t="s">
        <v>27</v>
      </c>
      <c r="C1295" s="44" t="str">
        <f t="shared" si="741"/>
        <v>p.incluir</v>
      </c>
      <c r="D1295" s="6" t="str">
        <f t="shared" si="728"/>
        <v>é.uso.dimensionado.aproximação</v>
      </c>
      <c r="E1295" s="8" t="s">
        <v>28</v>
      </c>
      <c r="F1295" s="34" t="str">
        <f t="shared" si="742"/>
        <v>d.incluir</v>
      </c>
      <c r="G1295" s="14" t="s">
        <v>3863</v>
      </c>
      <c r="H1295" s="33" t="s">
        <v>36</v>
      </c>
      <c r="I1295" s="92" t="str">
        <f t="shared" si="737"/>
        <v>null</v>
      </c>
      <c r="J1295" s="82" t="s">
        <v>0</v>
      </c>
      <c r="K1295" s="82" t="s">
        <v>0</v>
      </c>
      <c r="L1295" s="82" t="s">
        <v>0</v>
      </c>
      <c r="M1295" s="82" t="s">
        <v>0</v>
      </c>
      <c r="N1295" s="80" t="s">
        <v>0</v>
      </c>
      <c r="O1295" s="82" t="s">
        <v>0</v>
      </c>
      <c r="P1295" s="82" t="s">
        <v>0</v>
      </c>
      <c r="Q1295" s="82" t="s">
        <v>0</v>
      </c>
      <c r="R1295" s="84" t="s">
        <v>0</v>
      </c>
      <c r="S1295" s="10" t="s">
        <v>1</v>
      </c>
      <c r="T1295" s="10" t="s">
        <v>10221</v>
      </c>
      <c r="U1295" s="5" t="str">
        <f t="shared" si="729"/>
        <v>Propriedade destinada a incluir: é.uso.dimensionado.aproximação</v>
      </c>
      <c r="V1295" s="5" t="str">
        <f t="shared" si="730"/>
        <v>Dado para incluir:  uso.dimensionado.aproximação  Deve ser formatado como (xsd:boolean)</v>
      </c>
      <c r="W1295" s="69" t="s">
        <v>3924</v>
      </c>
      <c r="X1295" s="17" t="str">
        <f t="shared" si="735"/>
        <v>d.inclu.102</v>
      </c>
      <c r="Y1295" s="17" t="str">
        <f t="shared" si="736"/>
        <v>Ação de incluir</v>
      </c>
      <c r="Z1295" s="62" t="s">
        <v>3966</v>
      </c>
      <c r="AA1295" s="18" t="str">
        <f t="shared" si="738"/>
        <v>null</v>
      </c>
      <c r="AB1295" s="19" t="s">
        <v>0</v>
      </c>
      <c r="AC1295" s="18" t="str">
        <f t="shared" si="739"/>
        <v>null</v>
      </c>
      <c r="AD1295" s="19" t="s">
        <v>0</v>
      </c>
      <c r="AE1295" s="18" t="str">
        <f t="shared" si="740"/>
        <v>null</v>
      </c>
      <c r="AF1295" s="75" t="s">
        <v>0</v>
      </c>
      <c r="AG1295" s="38" t="s">
        <v>8482</v>
      </c>
    </row>
    <row r="1296" spans="1:33" ht="6" customHeight="1" x14ac:dyDescent="0.4">
      <c r="A1296" s="4">
        <f>ROW()</f>
        <v>1296</v>
      </c>
      <c r="B1296" s="9" t="s">
        <v>27</v>
      </c>
      <c r="C1296" s="44" t="str">
        <f t="shared" si="741"/>
        <v>p.incluir</v>
      </c>
      <c r="D1296" s="6" t="str">
        <f t="shared" si="728"/>
        <v xml:space="preserve">é.uso.flexível </v>
      </c>
      <c r="E1296" s="8" t="s">
        <v>28</v>
      </c>
      <c r="F1296" s="34" t="str">
        <f t="shared" si="742"/>
        <v>d.incluir</v>
      </c>
      <c r="G1296" s="14" t="s">
        <v>3858</v>
      </c>
      <c r="H1296" s="33" t="s">
        <v>36</v>
      </c>
      <c r="I1296" s="92" t="str">
        <f t="shared" si="737"/>
        <v>null</v>
      </c>
      <c r="J1296" s="82" t="s">
        <v>0</v>
      </c>
      <c r="K1296" s="82" t="s">
        <v>0</v>
      </c>
      <c r="L1296" s="82" t="s">
        <v>0</v>
      </c>
      <c r="M1296" s="82" t="s">
        <v>0</v>
      </c>
      <c r="N1296" s="80" t="s">
        <v>0</v>
      </c>
      <c r="O1296" s="82" t="s">
        <v>0</v>
      </c>
      <c r="P1296" s="82" t="s">
        <v>0</v>
      </c>
      <c r="Q1296" s="82" t="s">
        <v>0</v>
      </c>
      <c r="R1296" s="84" t="s">
        <v>0</v>
      </c>
      <c r="S1296" s="10" t="s">
        <v>1</v>
      </c>
      <c r="T1296" s="10" t="s">
        <v>10221</v>
      </c>
      <c r="U1296" s="5" t="str">
        <f t="shared" si="729"/>
        <v xml:space="preserve">Propriedade destinada a incluir: é.uso.flexível </v>
      </c>
      <c r="V1296" s="5" t="str">
        <f t="shared" si="730"/>
        <v>Dado para incluir:  uso.flexível   Deve ser formatado como (xsd:boolean)</v>
      </c>
      <c r="W1296" s="69" t="s">
        <v>3925</v>
      </c>
      <c r="X1296" s="17" t="str">
        <f t="shared" si="735"/>
        <v>d.inclu.103</v>
      </c>
      <c r="Y1296" s="17" t="str">
        <f t="shared" si="736"/>
        <v>Ação de incluir</v>
      </c>
      <c r="Z1296" s="62" t="s">
        <v>3967</v>
      </c>
      <c r="AA1296" s="18" t="str">
        <f t="shared" si="738"/>
        <v>null</v>
      </c>
      <c r="AB1296" s="19" t="s">
        <v>0</v>
      </c>
      <c r="AC1296" s="18" t="str">
        <f t="shared" si="739"/>
        <v>null</v>
      </c>
      <c r="AD1296" s="19" t="s">
        <v>0</v>
      </c>
      <c r="AE1296" s="18" t="str">
        <f t="shared" si="740"/>
        <v>null</v>
      </c>
      <c r="AF1296" s="75" t="s">
        <v>0</v>
      </c>
      <c r="AG1296" s="38" t="s">
        <v>8483</v>
      </c>
    </row>
    <row r="1297" spans="1:33" ht="6" customHeight="1" x14ac:dyDescent="0.4">
      <c r="A1297" s="4">
        <f>ROW()</f>
        <v>1297</v>
      </c>
      <c r="B1297" s="9" t="s">
        <v>27</v>
      </c>
      <c r="C1297" s="44" t="str">
        <f t="shared" si="741"/>
        <v>p.incluir</v>
      </c>
      <c r="D1297" s="6" t="str">
        <f t="shared" si="728"/>
        <v>é.uso.informação.perceptível</v>
      </c>
      <c r="E1297" s="8" t="s">
        <v>28</v>
      </c>
      <c r="F1297" s="34" t="str">
        <f t="shared" si="742"/>
        <v>d.incluir</v>
      </c>
      <c r="G1297" s="14" t="s">
        <v>3862</v>
      </c>
      <c r="H1297" s="33" t="s">
        <v>36</v>
      </c>
      <c r="I1297" s="92" t="str">
        <f t="shared" si="737"/>
        <v>null</v>
      </c>
      <c r="J1297" s="82" t="s">
        <v>0</v>
      </c>
      <c r="K1297" s="82" t="s">
        <v>0</v>
      </c>
      <c r="L1297" s="82" t="s">
        <v>0</v>
      </c>
      <c r="M1297" s="82" t="s">
        <v>0</v>
      </c>
      <c r="N1297" s="80" t="s">
        <v>0</v>
      </c>
      <c r="O1297" s="82" t="s">
        <v>0</v>
      </c>
      <c r="P1297" s="82" t="s">
        <v>0</v>
      </c>
      <c r="Q1297" s="82" t="s">
        <v>0</v>
      </c>
      <c r="R1297" s="84" t="s">
        <v>0</v>
      </c>
      <c r="S1297" s="10" t="s">
        <v>1</v>
      </c>
      <c r="T1297" s="10" t="s">
        <v>10221</v>
      </c>
      <c r="U1297" s="5" t="str">
        <f t="shared" si="729"/>
        <v>Propriedade destinada a incluir: é.uso.informação.perceptível</v>
      </c>
      <c r="V1297" s="5" t="str">
        <f t="shared" si="730"/>
        <v>Dado para incluir:  uso.informação.perceptível  Deve ser formatado como (xsd:boolean)</v>
      </c>
      <c r="W1297" s="69" t="s">
        <v>3926</v>
      </c>
      <c r="X1297" s="17" t="str">
        <f t="shared" si="735"/>
        <v>d.inclu.104</v>
      </c>
      <c r="Y1297" s="17" t="str">
        <f t="shared" si="736"/>
        <v>Ação de incluir</v>
      </c>
      <c r="Z1297" s="62" t="s">
        <v>3968</v>
      </c>
      <c r="AA1297" s="18" t="str">
        <f t="shared" si="738"/>
        <v>null</v>
      </c>
      <c r="AB1297" s="19" t="s">
        <v>0</v>
      </c>
      <c r="AC1297" s="18" t="str">
        <f t="shared" si="739"/>
        <v>null</v>
      </c>
      <c r="AD1297" s="19" t="s">
        <v>0</v>
      </c>
      <c r="AE1297" s="18" t="str">
        <f t="shared" si="740"/>
        <v>null</v>
      </c>
      <c r="AF1297" s="75" t="s">
        <v>0</v>
      </c>
      <c r="AG1297" s="38" t="s">
        <v>8484</v>
      </c>
    </row>
    <row r="1298" spans="1:33" ht="6" customHeight="1" x14ac:dyDescent="0.4">
      <c r="A1298" s="4">
        <f>ROW()</f>
        <v>1298</v>
      </c>
      <c r="B1298" s="9" t="s">
        <v>27</v>
      </c>
      <c r="C1298" s="44" t="str">
        <f t="shared" si="741"/>
        <v>p.incluir</v>
      </c>
      <c r="D1298" s="6" t="str">
        <f t="shared" si="728"/>
        <v>é.uso.intuitivo</v>
      </c>
      <c r="E1298" s="8" t="s">
        <v>28</v>
      </c>
      <c r="F1298" s="34" t="str">
        <f t="shared" si="742"/>
        <v>d.incluir</v>
      </c>
      <c r="G1298" s="14" t="s">
        <v>3859</v>
      </c>
      <c r="H1298" s="33" t="s">
        <v>36</v>
      </c>
      <c r="I1298" s="92" t="str">
        <f t="shared" si="737"/>
        <v>null</v>
      </c>
      <c r="J1298" s="82" t="s">
        <v>0</v>
      </c>
      <c r="K1298" s="82" t="s">
        <v>0</v>
      </c>
      <c r="L1298" s="82" t="s">
        <v>0</v>
      </c>
      <c r="M1298" s="82" t="s">
        <v>0</v>
      </c>
      <c r="N1298" s="80" t="s">
        <v>0</v>
      </c>
      <c r="O1298" s="82" t="s">
        <v>0</v>
      </c>
      <c r="P1298" s="82" t="s">
        <v>0</v>
      </c>
      <c r="Q1298" s="82" t="s">
        <v>0</v>
      </c>
      <c r="R1298" s="84" t="s">
        <v>0</v>
      </c>
      <c r="S1298" s="10" t="s">
        <v>1</v>
      </c>
      <c r="T1298" s="10" t="s">
        <v>10221</v>
      </c>
      <c r="U1298" s="5" t="str">
        <f t="shared" si="729"/>
        <v>Propriedade destinada a incluir: é.uso.intuitivo</v>
      </c>
      <c r="V1298" s="5" t="str">
        <f t="shared" si="730"/>
        <v>Dado para incluir:  uso.intuitivo  Deve ser formatado como (xsd:boolean)</v>
      </c>
      <c r="W1298" s="69" t="s">
        <v>3927</v>
      </c>
      <c r="X1298" s="17" t="str">
        <f t="shared" si="735"/>
        <v>d.inclu.105</v>
      </c>
      <c r="Y1298" s="17" t="str">
        <f t="shared" si="736"/>
        <v>Ação de incluir</v>
      </c>
      <c r="Z1298" s="62" t="s">
        <v>3969</v>
      </c>
      <c r="AA1298" s="18" t="str">
        <f t="shared" si="738"/>
        <v>null</v>
      </c>
      <c r="AB1298" s="19" t="s">
        <v>0</v>
      </c>
      <c r="AC1298" s="18" t="str">
        <f t="shared" si="739"/>
        <v>null</v>
      </c>
      <c r="AD1298" s="19" t="s">
        <v>0</v>
      </c>
      <c r="AE1298" s="18" t="str">
        <f t="shared" si="740"/>
        <v>null</v>
      </c>
      <c r="AF1298" s="75" t="s">
        <v>0</v>
      </c>
      <c r="AG1298" s="38" t="s">
        <v>8485</v>
      </c>
    </row>
    <row r="1299" spans="1:33" ht="6" customHeight="1" x14ac:dyDescent="0.4">
      <c r="A1299" s="4">
        <f>ROW()</f>
        <v>1299</v>
      </c>
      <c r="B1299" s="9" t="s">
        <v>27</v>
      </c>
      <c r="C1299" s="44" t="str">
        <f t="shared" si="741"/>
        <v>p.incluir</v>
      </c>
      <c r="D1299" s="6" t="str">
        <f t="shared" si="728"/>
        <v>é.uso.tolerante.ao.erro</v>
      </c>
      <c r="E1299" s="8" t="s">
        <v>28</v>
      </c>
      <c r="F1299" s="34" t="str">
        <f t="shared" si="742"/>
        <v>d.incluir</v>
      </c>
      <c r="G1299" s="14" t="s">
        <v>3861</v>
      </c>
      <c r="H1299" s="33" t="s">
        <v>36</v>
      </c>
      <c r="I1299" s="92" t="str">
        <f t="shared" si="737"/>
        <v>null</v>
      </c>
      <c r="J1299" s="82" t="s">
        <v>0</v>
      </c>
      <c r="K1299" s="82" t="s">
        <v>0</v>
      </c>
      <c r="L1299" s="82" t="s">
        <v>0</v>
      </c>
      <c r="M1299" s="82" t="s">
        <v>0</v>
      </c>
      <c r="N1299" s="80" t="s">
        <v>0</v>
      </c>
      <c r="O1299" s="82" t="s">
        <v>0</v>
      </c>
      <c r="P1299" s="82" t="s">
        <v>0</v>
      </c>
      <c r="Q1299" s="82" t="s">
        <v>0</v>
      </c>
      <c r="R1299" s="84" t="s">
        <v>0</v>
      </c>
      <c r="S1299" s="10" t="s">
        <v>1</v>
      </c>
      <c r="T1299" s="10" t="s">
        <v>10221</v>
      </c>
      <c r="U1299" s="5" t="str">
        <f t="shared" si="729"/>
        <v>Propriedade destinada a incluir: é.uso.tolerante.ao.erro</v>
      </c>
      <c r="V1299" s="5" t="str">
        <f t="shared" si="730"/>
        <v>Dado para incluir:  uso.tolerante.ao.erro  Deve ser formatado como (xsd:boolean)</v>
      </c>
      <c r="W1299" s="69" t="s">
        <v>3928</v>
      </c>
      <c r="X1299" s="17" t="str">
        <f t="shared" si="735"/>
        <v>d.inclu.106</v>
      </c>
      <c r="Y1299" s="17" t="str">
        <f t="shared" si="736"/>
        <v>Ação de incluir</v>
      </c>
      <c r="Z1299" s="62" t="s">
        <v>3970</v>
      </c>
      <c r="AA1299" s="18" t="str">
        <f t="shared" si="738"/>
        <v>null</v>
      </c>
      <c r="AB1299" s="19" t="s">
        <v>0</v>
      </c>
      <c r="AC1299" s="18" t="str">
        <f t="shared" si="739"/>
        <v>null</v>
      </c>
      <c r="AD1299" s="19" t="s">
        <v>0</v>
      </c>
      <c r="AE1299" s="18" t="str">
        <f t="shared" si="740"/>
        <v>null</v>
      </c>
      <c r="AF1299" s="75" t="s">
        <v>0</v>
      </c>
      <c r="AG1299" s="38" t="s">
        <v>8486</v>
      </c>
    </row>
    <row r="1300" spans="1:33" ht="6" customHeight="1" x14ac:dyDescent="0.4">
      <c r="A1300" s="4">
        <f>ROW()</f>
        <v>1300</v>
      </c>
      <c r="B1300" s="9" t="s">
        <v>27</v>
      </c>
      <c r="C1300" s="43" t="str">
        <f t="shared" si="741"/>
        <v>p.informar</v>
      </c>
      <c r="D1300" s="6" t="str">
        <f t="shared" si="728"/>
        <v>é.ata.de.reunião</v>
      </c>
      <c r="E1300" s="8" t="s">
        <v>28</v>
      </c>
      <c r="F1300" s="41" t="s">
        <v>2193</v>
      </c>
      <c r="G1300" s="13" t="s">
        <v>712</v>
      </c>
      <c r="H1300" s="34" t="s">
        <v>1581</v>
      </c>
      <c r="I1300" s="92" t="str">
        <f t="shared" si="737"/>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9"/>
        <v>Propriedade destinada a informar: é.ata.de.reunião</v>
      </c>
      <c r="V1300" s="5" t="str">
        <f t="shared" si="730"/>
        <v>Dado para informar:  ata.de.reunião  Deve ser formatado como (rdfs:Literal  or  xsd:string)</v>
      </c>
      <c r="W1300" s="69" t="s">
        <v>5683</v>
      </c>
      <c r="X1300" s="17" t="str">
        <f t="shared" si="735"/>
        <v>d.infor.100</v>
      </c>
      <c r="Y1300" s="17" t="str">
        <f t="shared" si="736"/>
        <v>Ação de informar</v>
      </c>
      <c r="Z1300" s="62" t="s">
        <v>1350</v>
      </c>
      <c r="AA1300" s="18" t="str">
        <f t="shared" si="738"/>
        <v>null</v>
      </c>
      <c r="AB1300" s="19" t="s">
        <v>0</v>
      </c>
      <c r="AC1300" s="18" t="str">
        <f t="shared" si="739"/>
        <v>null</v>
      </c>
      <c r="AD1300" s="19" t="s">
        <v>0</v>
      </c>
      <c r="AE1300" s="18" t="str">
        <f t="shared" si="740"/>
        <v>null</v>
      </c>
      <c r="AF1300" s="75" t="s">
        <v>0</v>
      </c>
      <c r="AG1300" s="38" t="s">
        <v>8487</v>
      </c>
    </row>
    <row r="1301" spans="1:33" ht="6" customHeight="1" x14ac:dyDescent="0.4">
      <c r="A1301" s="4">
        <f>ROW()</f>
        <v>1301</v>
      </c>
      <c r="B1301" s="9" t="s">
        <v>27</v>
      </c>
      <c r="C1301" s="44" t="str">
        <f t="shared" ref="C1301:C1312" si="743">SUBSTITUTE(F1301,"d.","p.")</f>
        <v>p.informar</v>
      </c>
      <c r="D1301" s="6" t="str">
        <f t="shared" ref="D1301:D1312" si="744">_xlfn.CONCAT("é.",G1301)</f>
        <v>é.ato.oficial</v>
      </c>
      <c r="E1301" s="8" t="s">
        <v>28</v>
      </c>
      <c r="F1301" s="34" t="str">
        <f>F1300</f>
        <v>d.informar</v>
      </c>
      <c r="G1301" s="13" t="s">
        <v>713</v>
      </c>
      <c r="H1301" s="34" t="s">
        <v>1581</v>
      </c>
      <c r="I1301" s="92" t="str">
        <f t="shared" si="737"/>
        <v>null</v>
      </c>
      <c r="J1301" s="80" t="s">
        <v>0</v>
      </c>
      <c r="K1301" s="80" t="s">
        <v>0</v>
      </c>
      <c r="L1301" s="80" t="s">
        <v>0</v>
      </c>
      <c r="M1301" s="80" t="s">
        <v>0</v>
      </c>
      <c r="N1301" s="80" t="s">
        <v>0</v>
      </c>
      <c r="O1301" s="80" t="s">
        <v>0</v>
      </c>
      <c r="P1301" s="80" t="s">
        <v>0</v>
      </c>
      <c r="Q1301" s="80" t="s">
        <v>0</v>
      </c>
      <c r="R1301" s="84" t="s">
        <v>0</v>
      </c>
      <c r="S1301" s="10" t="s">
        <v>1</v>
      </c>
      <c r="T1301" s="10" t="s">
        <v>10221</v>
      </c>
      <c r="U1301" s="5" t="str">
        <f t="shared" ref="U1301:U1312" si="745">_xlfn.CONCAT("Propriedade destinada a ",MID(C1301,FIND("p.",C1301,1)+2,100),": ",D1301)</f>
        <v>Propriedade destinada a informar: é.ato.oficial</v>
      </c>
      <c r="V1301" s="5" t="str">
        <f t="shared" ref="V1301:V1312" si="746">_xlfn.CONCAT("Dado para ",MID(F1301,FIND("d.",F1301,1)+2,100),":  ",G1301, "  Deve ser formatado como (",H1301, ")")</f>
        <v>Dado para informar:  ato.oficial  Deve ser formatado como (rdfs:Literal  or  xsd:string)</v>
      </c>
      <c r="W1301" s="69" t="s">
        <v>5684</v>
      </c>
      <c r="X1301" s="17" t="str">
        <f t="shared" si="735"/>
        <v>d.infor.101</v>
      </c>
      <c r="Y1301" s="17" t="str">
        <f t="shared" si="736"/>
        <v>Ação de informar</v>
      </c>
      <c r="Z1301" s="62" t="s">
        <v>1351</v>
      </c>
      <c r="AA1301" s="18" t="str">
        <f t="shared" ref="AA1301:AA1312" si="747">IF(AB1301="null", "null", "categoria.revit")</f>
        <v>null</v>
      </c>
      <c r="AB1301" s="19" t="s">
        <v>0</v>
      </c>
      <c r="AC1301" s="18" t="str">
        <f t="shared" ref="AC1301:AC1312" si="748">IF(AD1301="null", "null", "classe.ifc")</f>
        <v>null</v>
      </c>
      <c r="AD1301" s="19" t="s">
        <v>0</v>
      </c>
      <c r="AE1301" s="18" t="str">
        <f t="shared" ref="AE1301:AE1312" si="749">IF(AF1301="null", "null", "propriedade")</f>
        <v>null</v>
      </c>
      <c r="AF1301" s="75" t="s">
        <v>0</v>
      </c>
      <c r="AG1301" s="38" t="s">
        <v>8488</v>
      </c>
    </row>
    <row r="1302" spans="1:33" ht="6" customHeight="1" x14ac:dyDescent="0.4">
      <c r="A1302" s="4">
        <f>ROW()</f>
        <v>1302</v>
      </c>
      <c r="B1302" s="9" t="s">
        <v>27</v>
      </c>
      <c r="C1302" s="44" t="str">
        <f t="shared" si="743"/>
        <v>p.informar</v>
      </c>
      <c r="D1302" s="6" t="str">
        <f t="shared" si="744"/>
        <v>é.boletim.de.ocorrência</v>
      </c>
      <c r="E1302" s="8" t="s">
        <v>28</v>
      </c>
      <c r="F1302" s="34" t="str">
        <f>F1301</f>
        <v>d.informar</v>
      </c>
      <c r="G1302" s="13" t="s">
        <v>716</v>
      </c>
      <c r="H1302" s="34" t="s">
        <v>1581</v>
      </c>
      <c r="I1302" s="92" t="str">
        <f t="shared" si="737"/>
        <v>null</v>
      </c>
      <c r="J1302" s="80" t="s">
        <v>0</v>
      </c>
      <c r="K1302" s="80" t="s">
        <v>0</v>
      </c>
      <c r="L1302" s="80" t="s">
        <v>0</v>
      </c>
      <c r="M1302" s="80" t="s">
        <v>0</v>
      </c>
      <c r="N1302" s="80" t="s">
        <v>0</v>
      </c>
      <c r="O1302" s="80" t="s">
        <v>0</v>
      </c>
      <c r="P1302" s="80" t="s">
        <v>0</v>
      </c>
      <c r="Q1302" s="80" t="s">
        <v>0</v>
      </c>
      <c r="R1302" s="84" t="s">
        <v>0</v>
      </c>
      <c r="S1302" s="10" t="s">
        <v>1</v>
      </c>
      <c r="T1302" s="10" t="s">
        <v>10221</v>
      </c>
      <c r="U1302" s="5" t="str">
        <f t="shared" si="745"/>
        <v>Propriedade destinada a informar: é.boletim.de.ocorrência</v>
      </c>
      <c r="V1302" s="5" t="str">
        <f t="shared" si="746"/>
        <v>Dado para informar:  boletim.de.ocorrência  Deve ser formatado como (rdfs:Literal  or  xsd:string)</v>
      </c>
      <c r="W1302" s="69" t="s">
        <v>5687</v>
      </c>
      <c r="X1302" s="17" t="str">
        <f t="shared" si="735"/>
        <v>d.infor.102</v>
      </c>
      <c r="Y1302" s="17" t="str">
        <f t="shared" si="736"/>
        <v>Ação de informar</v>
      </c>
      <c r="Z1302" s="62" t="s">
        <v>1353</v>
      </c>
      <c r="AA1302" s="18" t="str">
        <f t="shared" si="747"/>
        <v>null</v>
      </c>
      <c r="AB1302" s="19" t="s">
        <v>0</v>
      </c>
      <c r="AC1302" s="18" t="str">
        <f t="shared" si="748"/>
        <v>null</v>
      </c>
      <c r="AD1302" s="19" t="s">
        <v>0</v>
      </c>
      <c r="AE1302" s="18" t="str">
        <f t="shared" si="749"/>
        <v>null</v>
      </c>
      <c r="AF1302" s="75" t="s">
        <v>0</v>
      </c>
      <c r="AG1302" s="38" t="s">
        <v>8491</v>
      </c>
    </row>
    <row r="1303" spans="1:33" ht="6" customHeight="1" x14ac:dyDescent="0.4">
      <c r="A1303" s="4">
        <f>ROW()</f>
        <v>1303</v>
      </c>
      <c r="B1303" s="9" t="s">
        <v>27</v>
      </c>
      <c r="C1303" s="44" t="str">
        <f t="shared" si="743"/>
        <v>p.informar</v>
      </c>
      <c r="D1303" s="6" t="str">
        <f t="shared" si="744"/>
        <v>é.boletim.escolar</v>
      </c>
      <c r="E1303" s="8" t="s">
        <v>28</v>
      </c>
      <c r="F1303" s="34" t="str">
        <f>F1302</f>
        <v>d.informar</v>
      </c>
      <c r="G1303" s="13" t="s">
        <v>715</v>
      </c>
      <c r="H1303" s="34" t="s">
        <v>1581</v>
      </c>
      <c r="I1303" s="92" t="str">
        <f t="shared" si="737"/>
        <v>null</v>
      </c>
      <c r="J1303" s="80" t="s">
        <v>0</v>
      </c>
      <c r="K1303" s="80" t="s">
        <v>0</v>
      </c>
      <c r="L1303" s="80" t="s">
        <v>0</v>
      </c>
      <c r="M1303" s="80" t="s">
        <v>0</v>
      </c>
      <c r="N1303" s="80" t="s">
        <v>0</v>
      </c>
      <c r="O1303" s="80" t="s">
        <v>0</v>
      </c>
      <c r="P1303" s="80" t="s">
        <v>0</v>
      </c>
      <c r="Q1303" s="80" t="s">
        <v>0</v>
      </c>
      <c r="R1303" s="84" t="s">
        <v>0</v>
      </c>
      <c r="S1303" s="10" t="s">
        <v>1</v>
      </c>
      <c r="T1303" s="10" t="s">
        <v>10221</v>
      </c>
      <c r="U1303" s="5" t="str">
        <f t="shared" si="745"/>
        <v>Propriedade destinada a informar: é.boletim.escolar</v>
      </c>
      <c r="V1303" s="5" t="str">
        <f t="shared" si="746"/>
        <v>Dado para informar:  boletim.escolar  Deve ser formatado como (rdfs:Literal  or  xsd:string)</v>
      </c>
      <c r="W1303" s="69" t="s">
        <v>5686</v>
      </c>
      <c r="X1303" s="17" t="str">
        <f t="shared" si="735"/>
        <v>d.infor.103</v>
      </c>
      <c r="Y1303" s="17" t="str">
        <f t="shared" si="736"/>
        <v>Ação de informar</v>
      </c>
      <c r="Z1303" s="62" t="s">
        <v>2740</v>
      </c>
      <c r="AA1303" s="18" t="str">
        <f t="shared" si="747"/>
        <v>null</v>
      </c>
      <c r="AB1303" s="19" t="s">
        <v>0</v>
      </c>
      <c r="AC1303" s="18" t="str">
        <f t="shared" si="748"/>
        <v>null</v>
      </c>
      <c r="AD1303" s="19" t="s">
        <v>0</v>
      </c>
      <c r="AE1303" s="18" t="str">
        <f t="shared" si="749"/>
        <v>null</v>
      </c>
      <c r="AF1303" s="75" t="s">
        <v>0</v>
      </c>
      <c r="AG1303" s="38" t="s">
        <v>8490</v>
      </c>
    </row>
    <row r="1304" spans="1:33" ht="6" customHeight="1" x14ac:dyDescent="0.4">
      <c r="A1304" s="4">
        <f>ROW()</f>
        <v>1304</v>
      </c>
      <c r="B1304" s="9" t="s">
        <v>27</v>
      </c>
      <c r="C1304" s="44" t="str">
        <f t="shared" si="743"/>
        <v>p.informar</v>
      </c>
      <c r="D1304" s="6" t="str">
        <f t="shared" si="744"/>
        <v>é.boletim.informativo</v>
      </c>
      <c r="E1304" s="8" t="s">
        <v>28</v>
      </c>
      <c r="F1304" s="34" t="str">
        <f>F1303</f>
        <v>d.informar</v>
      </c>
      <c r="G1304" s="13" t="s">
        <v>714</v>
      </c>
      <c r="H1304" s="34" t="s">
        <v>1581</v>
      </c>
      <c r="I1304" s="92" t="str">
        <f t="shared" si="737"/>
        <v>null</v>
      </c>
      <c r="J1304" s="80" t="s">
        <v>0</v>
      </c>
      <c r="K1304" s="80" t="s">
        <v>0</v>
      </c>
      <c r="L1304" s="80" t="s">
        <v>0</v>
      </c>
      <c r="M1304" s="80" t="s">
        <v>0</v>
      </c>
      <c r="N1304" s="80" t="s">
        <v>0</v>
      </c>
      <c r="O1304" s="80" t="s">
        <v>0</v>
      </c>
      <c r="P1304" s="80" t="s">
        <v>0</v>
      </c>
      <c r="Q1304" s="80" t="s">
        <v>0</v>
      </c>
      <c r="R1304" s="84" t="s">
        <v>0</v>
      </c>
      <c r="S1304" s="10" t="s">
        <v>1</v>
      </c>
      <c r="T1304" s="10" t="s">
        <v>10221</v>
      </c>
      <c r="U1304" s="5" t="str">
        <f t="shared" si="745"/>
        <v>Propriedade destinada a informar: é.boletim.informativo</v>
      </c>
      <c r="V1304" s="5" t="str">
        <f t="shared" si="746"/>
        <v>Dado para informar:  boletim.informativo  Deve ser formatado como (rdfs:Literal  or  xsd:string)</v>
      </c>
      <c r="W1304" s="69" t="s">
        <v>5685</v>
      </c>
      <c r="X1304" s="17" t="str">
        <f t="shared" si="735"/>
        <v>d.infor.104</v>
      </c>
      <c r="Y1304" s="17" t="str">
        <f t="shared" si="736"/>
        <v>Ação de informar</v>
      </c>
      <c r="Z1304" s="62" t="s">
        <v>1352</v>
      </c>
      <c r="AA1304" s="18" t="str">
        <f t="shared" si="747"/>
        <v>null</v>
      </c>
      <c r="AB1304" s="19" t="s">
        <v>0</v>
      </c>
      <c r="AC1304" s="18" t="str">
        <f t="shared" si="748"/>
        <v>null</v>
      </c>
      <c r="AD1304" s="19" t="s">
        <v>0</v>
      </c>
      <c r="AE1304" s="18" t="str">
        <f t="shared" si="749"/>
        <v>null</v>
      </c>
      <c r="AF1304" s="75" t="s">
        <v>0</v>
      </c>
      <c r="AG1304" s="38" t="s">
        <v>8489</v>
      </c>
    </row>
    <row r="1305" spans="1:33" ht="6" customHeight="1" x14ac:dyDescent="0.4">
      <c r="A1305" s="4">
        <f>ROW()</f>
        <v>1305</v>
      </c>
      <c r="B1305" s="9" t="s">
        <v>27</v>
      </c>
      <c r="C1305" s="44" t="str">
        <f t="shared" si="743"/>
        <v>p.informar</v>
      </c>
      <c r="D1305" s="6" t="str">
        <f t="shared" si="744"/>
        <v>é.diário.oficial.da.união</v>
      </c>
      <c r="E1305" s="8" t="s">
        <v>28</v>
      </c>
      <c r="F1305" s="34" t="str">
        <f>F1303</f>
        <v>d.informar</v>
      </c>
      <c r="G1305" s="14" t="s">
        <v>738</v>
      </c>
      <c r="H1305" s="33" t="s">
        <v>1581</v>
      </c>
      <c r="I1305" s="92" t="str">
        <f t="shared" si="737"/>
        <v>Functional</v>
      </c>
      <c r="J1305" s="80" t="s">
        <v>29</v>
      </c>
      <c r="K1305" s="82" t="s">
        <v>0</v>
      </c>
      <c r="L1305" s="82" t="s">
        <v>0</v>
      </c>
      <c r="M1305" s="82" t="s">
        <v>0</v>
      </c>
      <c r="N1305" s="80" t="s">
        <v>0</v>
      </c>
      <c r="O1305" s="82" t="s">
        <v>0</v>
      </c>
      <c r="P1305" s="82" t="s">
        <v>0</v>
      </c>
      <c r="Q1305" s="82" t="s">
        <v>0</v>
      </c>
      <c r="R1305" s="84" t="s">
        <v>739</v>
      </c>
      <c r="S1305" s="10" t="s">
        <v>1</v>
      </c>
      <c r="T1305" s="10" t="s">
        <v>10221</v>
      </c>
      <c r="U1305" s="5" t="str">
        <f t="shared" si="745"/>
        <v>Propriedade destinada a informar: é.diário.oficial.da.união</v>
      </c>
      <c r="V1305" s="5" t="str">
        <f t="shared" si="746"/>
        <v>Dado para informar:  diário.oficial.da.união  Deve ser formatado como (rdfs:Literal  or  xsd:string)</v>
      </c>
      <c r="W1305" s="69" t="s">
        <v>9752</v>
      </c>
      <c r="X1305" s="17" t="str">
        <f t="shared" si="735"/>
        <v>d.infor.105</v>
      </c>
      <c r="Y1305" s="17" t="str">
        <f t="shared" si="736"/>
        <v>Ação de informar</v>
      </c>
      <c r="Z1305" s="62" t="s">
        <v>9757</v>
      </c>
      <c r="AA1305" s="18" t="str">
        <f t="shared" si="747"/>
        <v>null</v>
      </c>
      <c r="AB1305" s="19" t="s">
        <v>0</v>
      </c>
      <c r="AC1305" s="18" t="str">
        <f t="shared" si="748"/>
        <v>null</v>
      </c>
      <c r="AD1305" s="19" t="s">
        <v>0</v>
      </c>
      <c r="AE1305" s="18" t="str">
        <f t="shared" si="749"/>
        <v>null</v>
      </c>
      <c r="AF1305" s="75" t="s">
        <v>0</v>
      </c>
      <c r="AG1305" s="38" t="s">
        <v>9753</v>
      </c>
    </row>
    <row r="1306" spans="1:33" ht="6" customHeight="1" x14ac:dyDescent="0.4">
      <c r="A1306" s="4">
        <f>ROW()</f>
        <v>1306</v>
      </c>
      <c r="B1306" s="9" t="s">
        <v>27</v>
      </c>
      <c r="C1306" s="44" t="str">
        <f t="shared" si="743"/>
        <v>p.informar</v>
      </c>
      <c r="D1306" s="6" t="str">
        <f t="shared" si="744"/>
        <v>é.diário.oficial.do.estado</v>
      </c>
      <c r="E1306" s="8" t="s">
        <v>28</v>
      </c>
      <c r="F1306" s="34" t="str">
        <f>F1303</f>
        <v>d.informar</v>
      </c>
      <c r="G1306" s="14" t="s">
        <v>9747</v>
      </c>
      <c r="H1306" s="33" t="s">
        <v>1581</v>
      </c>
      <c r="I1306" s="92" t="str">
        <f t="shared" si="737"/>
        <v>Functional</v>
      </c>
      <c r="J1306" s="80" t="s">
        <v>29</v>
      </c>
      <c r="K1306" s="82" t="s">
        <v>0</v>
      </c>
      <c r="L1306" s="82" t="s">
        <v>0</v>
      </c>
      <c r="M1306" s="82" t="s">
        <v>0</v>
      </c>
      <c r="N1306" s="80" t="s">
        <v>0</v>
      </c>
      <c r="O1306" s="82" t="s">
        <v>0</v>
      </c>
      <c r="P1306" s="82" t="s">
        <v>0</v>
      </c>
      <c r="Q1306" s="82" t="s">
        <v>0</v>
      </c>
      <c r="R1306" s="84" t="s">
        <v>9762</v>
      </c>
      <c r="S1306" s="10" t="s">
        <v>1</v>
      </c>
      <c r="T1306" s="10" t="s">
        <v>10221</v>
      </c>
      <c r="U1306" s="5" t="str">
        <f t="shared" si="745"/>
        <v>Propriedade destinada a informar: é.diário.oficial.do.estado</v>
      </c>
      <c r="V1306" s="5" t="str">
        <f t="shared" si="746"/>
        <v>Dado para informar:  diário.oficial.do.estado  Deve ser formatado como (rdfs:Literal  or  xsd:string)</v>
      </c>
      <c r="W1306" s="69" t="s">
        <v>9751</v>
      </c>
      <c r="X1306" s="17" t="str">
        <f t="shared" si="735"/>
        <v>d.infor.106</v>
      </c>
      <c r="Y1306" s="17" t="str">
        <f t="shared" si="736"/>
        <v>Ação de informar</v>
      </c>
      <c r="Z1306" s="62" t="s">
        <v>9758</v>
      </c>
      <c r="AA1306" s="18" t="str">
        <f t="shared" si="747"/>
        <v>null</v>
      </c>
      <c r="AB1306" s="19" t="s">
        <v>0</v>
      </c>
      <c r="AC1306" s="18" t="str">
        <f t="shared" si="748"/>
        <v>null</v>
      </c>
      <c r="AD1306" s="19" t="s">
        <v>0</v>
      </c>
      <c r="AE1306" s="18" t="str">
        <f t="shared" si="749"/>
        <v>null</v>
      </c>
      <c r="AF1306" s="75" t="s">
        <v>0</v>
      </c>
      <c r="AG1306" s="38" t="s">
        <v>9754</v>
      </c>
    </row>
    <row r="1307" spans="1:33" ht="6" customHeight="1" x14ac:dyDescent="0.4">
      <c r="A1307" s="4">
        <f>ROW()</f>
        <v>1307</v>
      </c>
      <c r="B1307" s="9" t="s">
        <v>27</v>
      </c>
      <c r="C1307" s="44" t="str">
        <f t="shared" si="743"/>
        <v>p.informar</v>
      </c>
      <c r="D1307" s="6" t="str">
        <f t="shared" si="744"/>
        <v>é.diário.oficial.do.município</v>
      </c>
      <c r="E1307" s="8" t="s">
        <v>28</v>
      </c>
      <c r="F1307" s="34" t="str">
        <f>F1304</f>
        <v>d.informar</v>
      </c>
      <c r="G1307" s="14" t="s">
        <v>9743</v>
      </c>
      <c r="H1307" s="33" t="s">
        <v>1581</v>
      </c>
      <c r="I1307" s="92" t="str">
        <f t="shared" si="737"/>
        <v>Functional</v>
      </c>
      <c r="J1307" s="80" t="s">
        <v>29</v>
      </c>
      <c r="K1307" s="82" t="s">
        <v>0</v>
      </c>
      <c r="L1307" s="82" t="s">
        <v>0</v>
      </c>
      <c r="M1307" s="82" t="s">
        <v>0</v>
      </c>
      <c r="N1307" s="80" t="s">
        <v>0</v>
      </c>
      <c r="O1307" s="82" t="s">
        <v>0</v>
      </c>
      <c r="P1307" s="82" t="s">
        <v>0</v>
      </c>
      <c r="Q1307" s="82" t="s">
        <v>0</v>
      </c>
      <c r="R1307" s="84" t="s">
        <v>9744</v>
      </c>
      <c r="S1307" s="10" t="s">
        <v>1</v>
      </c>
      <c r="T1307" s="10" t="s">
        <v>10221</v>
      </c>
      <c r="U1307" s="5" t="str">
        <f t="shared" si="745"/>
        <v>Propriedade destinada a informar: é.diário.oficial.do.município</v>
      </c>
      <c r="V1307" s="5" t="str">
        <f t="shared" si="746"/>
        <v>Dado para informar:  diário.oficial.do.município  Deve ser formatado como (rdfs:Literal  or  xsd:string)</v>
      </c>
      <c r="W1307" s="69" t="s">
        <v>9750</v>
      </c>
      <c r="X1307" s="17" t="str">
        <f t="shared" si="735"/>
        <v>d.infor.107</v>
      </c>
      <c r="Y1307" s="17" t="str">
        <f t="shared" si="736"/>
        <v>Ação de informar</v>
      </c>
      <c r="Z1307" s="62" t="s">
        <v>9759</v>
      </c>
      <c r="AA1307" s="18" t="str">
        <f t="shared" si="747"/>
        <v>null</v>
      </c>
      <c r="AB1307" s="19" t="s">
        <v>0</v>
      </c>
      <c r="AC1307" s="18" t="str">
        <f t="shared" si="748"/>
        <v>null</v>
      </c>
      <c r="AD1307" s="19" t="s">
        <v>0</v>
      </c>
      <c r="AE1307" s="18" t="str">
        <f t="shared" si="749"/>
        <v>null</v>
      </c>
      <c r="AF1307" s="75" t="s">
        <v>0</v>
      </c>
      <c r="AG1307" s="38" t="s">
        <v>9755</v>
      </c>
    </row>
    <row r="1308" spans="1:33" ht="6" customHeight="1" x14ac:dyDescent="0.4">
      <c r="A1308" s="4">
        <f>ROW()</f>
        <v>1308</v>
      </c>
      <c r="B1308" s="9" t="s">
        <v>27</v>
      </c>
      <c r="C1308" s="44" t="str">
        <f t="shared" si="743"/>
        <v>p.informar</v>
      </c>
      <c r="D1308" s="6" t="str">
        <f t="shared" si="744"/>
        <v>é.diário.oficial.judicial</v>
      </c>
      <c r="E1308" s="8" t="s">
        <v>28</v>
      </c>
      <c r="F1308" s="34" t="str">
        <f>F1307</f>
        <v>d.informar</v>
      </c>
      <c r="G1308" s="13" t="s">
        <v>9766</v>
      </c>
      <c r="H1308" s="34" t="s">
        <v>1581</v>
      </c>
      <c r="I1308" s="92" t="str">
        <f t="shared" si="737"/>
        <v>Functional</v>
      </c>
      <c r="J1308" s="80" t="s">
        <v>29</v>
      </c>
      <c r="K1308" s="80" t="s">
        <v>0</v>
      </c>
      <c r="L1308" s="80" t="s">
        <v>0</v>
      </c>
      <c r="M1308" s="80" t="s">
        <v>0</v>
      </c>
      <c r="N1308" s="80" t="s">
        <v>0</v>
      </c>
      <c r="O1308" s="80" t="s">
        <v>0</v>
      </c>
      <c r="P1308" s="80" t="s">
        <v>0</v>
      </c>
      <c r="Q1308" s="80" t="s">
        <v>0</v>
      </c>
      <c r="R1308" s="84" t="s">
        <v>0</v>
      </c>
      <c r="S1308" s="10" t="s">
        <v>1</v>
      </c>
      <c r="T1308" s="10" t="s">
        <v>10221</v>
      </c>
      <c r="U1308" s="5" t="str">
        <f t="shared" si="745"/>
        <v>Propriedade destinada a informar: é.diário.oficial.judicial</v>
      </c>
      <c r="V1308" s="5" t="str">
        <f t="shared" si="746"/>
        <v>Dado para informar:  diário.oficial.judicial  Deve ser formatado como (rdfs:Literal  or  xsd:string)</v>
      </c>
      <c r="W1308" s="69" t="s">
        <v>9768</v>
      </c>
      <c r="X1308" s="17" t="str">
        <f t="shared" si="735"/>
        <v>d.infor.108</v>
      </c>
      <c r="Y1308" s="17" t="str">
        <f t="shared" si="736"/>
        <v>Ação de informar</v>
      </c>
      <c r="Z1308" s="62" t="s">
        <v>9769</v>
      </c>
      <c r="AA1308" s="18" t="str">
        <f t="shared" si="747"/>
        <v>null</v>
      </c>
      <c r="AB1308" s="19" t="s">
        <v>0</v>
      </c>
      <c r="AC1308" s="18" t="str">
        <f t="shared" si="748"/>
        <v>null</v>
      </c>
      <c r="AD1308" s="19" t="s">
        <v>0</v>
      </c>
      <c r="AE1308" s="18" t="str">
        <f t="shared" si="749"/>
        <v>null</v>
      </c>
      <c r="AF1308" s="75" t="s">
        <v>0</v>
      </c>
      <c r="AG1308" s="38" t="s">
        <v>9767</v>
      </c>
    </row>
    <row r="1309" spans="1:33" ht="6" customHeight="1" x14ac:dyDescent="0.4">
      <c r="A1309" s="4">
        <f>ROW()</f>
        <v>1309</v>
      </c>
      <c r="B1309" s="9" t="s">
        <v>27</v>
      </c>
      <c r="C1309" s="44" t="str">
        <f t="shared" si="743"/>
        <v>p.informar</v>
      </c>
      <c r="D1309" s="6" t="str">
        <f t="shared" si="744"/>
        <v>é.doe</v>
      </c>
      <c r="E1309" s="8" t="s">
        <v>28</v>
      </c>
      <c r="F1309" s="34" t="str">
        <f>F1307</f>
        <v>d.informar</v>
      </c>
      <c r="G1309" s="13" t="s">
        <v>9748</v>
      </c>
      <c r="H1309" s="34" t="s">
        <v>1581</v>
      </c>
      <c r="I1309" s="92" t="str">
        <f t="shared" si="737"/>
        <v>Functional</v>
      </c>
      <c r="J1309" s="80" t="s">
        <v>29</v>
      </c>
      <c r="K1309" s="80" t="s">
        <v>0</v>
      </c>
      <c r="L1309" s="80" t="s">
        <v>0</v>
      </c>
      <c r="M1309" s="80" t="s">
        <v>0</v>
      </c>
      <c r="N1309" s="80" t="s">
        <v>0</v>
      </c>
      <c r="O1309" s="80" t="s">
        <v>0</v>
      </c>
      <c r="P1309" s="80" t="s">
        <v>0</v>
      </c>
      <c r="Q1309" s="80" t="s">
        <v>0</v>
      </c>
      <c r="R1309" s="84" t="s">
        <v>9761</v>
      </c>
      <c r="S1309" s="10" t="s">
        <v>1</v>
      </c>
      <c r="T1309" s="10" t="s">
        <v>10221</v>
      </c>
      <c r="U1309" s="5" t="str">
        <f t="shared" si="745"/>
        <v>Propriedade destinada a informar: é.doe</v>
      </c>
      <c r="V1309" s="5" t="str">
        <f t="shared" si="746"/>
        <v>Dado para informar:  doe  Deve ser formatado como (rdfs:Literal  or  xsd:string)</v>
      </c>
      <c r="W1309" s="69" t="s">
        <v>9751</v>
      </c>
      <c r="X1309" s="17" t="str">
        <f t="shared" si="735"/>
        <v>d.infor.109</v>
      </c>
      <c r="Y1309" s="17" t="str">
        <f t="shared" si="736"/>
        <v>Ação de informar</v>
      </c>
      <c r="Z1309" s="62" t="s">
        <v>9758</v>
      </c>
      <c r="AA1309" s="18" t="str">
        <f t="shared" si="747"/>
        <v>null</v>
      </c>
      <c r="AB1309" s="19" t="s">
        <v>0</v>
      </c>
      <c r="AC1309" s="18" t="str">
        <f t="shared" si="748"/>
        <v>null</v>
      </c>
      <c r="AD1309" s="19" t="s">
        <v>0</v>
      </c>
      <c r="AE1309" s="18" t="str">
        <f t="shared" si="749"/>
        <v>null</v>
      </c>
      <c r="AF1309" s="75" t="s">
        <v>0</v>
      </c>
      <c r="AG1309" s="38" t="s">
        <v>9754</v>
      </c>
    </row>
    <row r="1310" spans="1:33" ht="6" customHeight="1" x14ac:dyDescent="0.4">
      <c r="A1310" s="4">
        <f>ROW()</f>
        <v>1310</v>
      </c>
      <c r="B1310" s="9" t="s">
        <v>27</v>
      </c>
      <c r="C1310" s="44" t="str">
        <f t="shared" si="743"/>
        <v>p.informar</v>
      </c>
      <c r="D1310" s="6" t="str">
        <f t="shared" si="744"/>
        <v>é.dom</v>
      </c>
      <c r="E1310" s="8" t="s">
        <v>28</v>
      </c>
      <c r="F1310" s="34" t="str">
        <f>F1308</f>
        <v>d.informar</v>
      </c>
      <c r="G1310" s="13" t="s">
        <v>9745</v>
      </c>
      <c r="H1310" s="34" t="s">
        <v>1581</v>
      </c>
      <c r="I1310" s="92" t="str">
        <f t="shared" si="737"/>
        <v>Functional</v>
      </c>
      <c r="J1310" s="80" t="s">
        <v>29</v>
      </c>
      <c r="K1310" s="80" t="s">
        <v>0</v>
      </c>
      <c r="L1310" s="80" t="s">
        <v>0</v>
      </c>
      <c r="M1310" s="80" t="s">
        <v>0</v>
      </c>
      <c r="N1310" s="80" t="s">
        <v>0</v>
      </c>
      <c r="O1310" s="80" t="s">
        <v>0</v>
      </c>
      <c r="P1310" s="80" t="s">
        <v>0</v>
      </c>
      <c r="Q1310" s="80" t="s">
        <v>0</v>
      </c>
      <c r="R1310" s="84" t="s">
        <v>9746</v>
      </c>
      <c r="S1310" s="10" t="s">
        <v>1</v>
      </c>
      <c r="T1310" s="10" t="s">
        <v>10221</v>
      </c>
      <c r="U1310" s="5" t="str">
        <f t="shared" si="745"/>
        <v>Propriedade destinada a informar: é.dom</v>
      </c>
      <c r="V1310" s="5" t="str">
        <f t="shared" si="746"/>
        <v>Dado para informar:  dom  Deve ser formatado como (rdfs:Literal  or  xsd:string)</v>
      </c>
      <c r="W1310" s="69" t="s">
        <v>9750</v>
      </c>
      <c r="X1310" s="17" t="str">
        <f t="shared" si="735"/>
        <v>d.infor.110</v>
      </c>
      <c r="Y1310" s="17" t="str">
        <f t="shared" si="736"/>
        <v>Ação de informar</v>
      </c>
      <c r="Z1310" s="62" t="s">
        <v>9759</v>
      </c>
      <c r="AA1310" s="18" t="str">
        <f t="shared" si="747"/>
        <v>null</v>
      </c>
      <c r="AB1310" s="19" t="s">
        <v>0</v>
      </c>
      <c r="AC1310" s="18" t="str">
        <f t="shared" si="748"/>
        <v>null</v>
      </c>
      <c r="AD1310" s="19" t="s">
        <v>0</v>
      </c>
      <c r="AE1310" s="18" t="str">
        <f t="shared" si="749"/>
        <v>null</v>
      </c>
      <c r="AF1310" s="75" t="s">
        <v>0</v>
      </c>
      <c r="AG1310" s="38" t="s">
        <v>9755</v>
      </c>
    </row>
    <row r="1311" spans="1:33" ht="6" customHeight="1" x14ac:dyDescent="0.4">
      <c r="A1311" s="4">
        <f>ROW()</f>
        <v>1311</v>
      </c>
      <c r="B1311" s="9" t="s">
        <v>27</v>
      </c>
      <c r="C1311" s="44" t="str">
        <f t="shared" si="743"/>
        <v>p.informar</v>
      </c>
      <c r="D1311" s="6" t="str">
        <f t="shared" si="744"/>
        <v>é.dou</v>
      </c>
      <c r="E1311" s="8" t="s">
        <v>28</v>
      </c>
      <c r="F1311" s="34" t="str">
        <f>F1309</f>
        <v>d.informar</v>
      </c>
      <c r="G1311" s="13" t="s">
        <v>192</v>
      </c>
      <c r="H1311" s="34" t="s">
        <v>1581</v>
      </c>
      <c r="I1311" s="92" t="str">
        <f t="shared" si="737"/>
        <v>Functional</v>
      </c>
      <c r="J1311" s="80" t="s">
        <v>29</v>
      </c>
      <c r="K1311" s="80" t="s">
        <v>0</v>
      </c>
      <c r="L1311" s="80" t="s">
        <v>0</v>
      </c>
      <c r="M1311" s="80" t="s">
        <v>0</v>
      </c>
      <c r="N1311" s="80" t="s">
        <v>0</v>
      </c>
      <c r="O1311" s="80" t="s">
        <v>0</v>
      </c>
      <c r="P1311" s="80" t="s">
        <v>0</v>
      </c>
      <c r="Q1311" s="80" t="s">
        <v>0</v>
      </c>
      <c r="R1311" s="84" t="s">
        <v>737</v>
      </c>
      <c r="S1311" s="10" t="s">
        <v>1</v>
      </c>
      <c r="T1311" s="10" t="s">
        <v>10221</v>
      </c>
      <c r="U1311" s="5" t="str">
        <f t="shared" si="745"/>
        <v>Propriedade destinada a informar: é.dou</v>
      </c>
      <c r="V1311" s="5" t="str">
        <f t="shared" si="746"/>
        <v>Dado para informar:  dou  Deve ser formatado como (rdfs:Literal  or  xsd:string)</v>
      </c>
      <c r="W1311" s="69" t="s">
        <v>9752</v>
      </c>
      <c r="X1311" s="17" t="str">
        <f t="shared" si="735"/>
        <v>d.infor.111</v>
      </c>
      <c r="Y1311" s="17" t="str">
        <f t="shared" si="736"/>
        <v>Ação de informar</v>
      </c>
      <c r="Z1311" s="62" t="s">
        <v>9757</v>
      </c>
      <c r="AA1311" s="18" t="str">
        <f t="shared" si="747"/>
        <v>null</v>
      </c>
      <c r="AB1311" s="19" t="s">
        <v>0</v>
      </c>
      <c r="AC1311" s="18" t="str">
        <f t="shared" si="748"/>
        <v>null</v>
      </c>
      <c r="AD1311" s="19" t="s">
        <v>0</v>
      </c>
      <c r="AE1311" s="18" t="str">
        <f t="shared" si="749"/>
        <v>null</v>
      </c>
      <c r="AF1311" s="75" t="s">
        <v>0</v>
      </c>
      <c r="AG1311" s="38" t="s">
        <v>9753</v>
      </c>
    </row>
    <row r="1312" spans="1:33" ht="6" customHeight="1" x14ac:dyDescent="0.4">
      <c r="A1312" s="4">
        <f>ROW()</f>
        <v>1312</v>
      </c>
      <c r="B1312" s="9" t="s">
        <v>27</v>
      </c>
      <c r="C1312" s="44" t="str">
        <f t="shared" si="743"/>
        <v>p.informar</v>
      </c>
      <c r="D1312" s="6" t="str">
        <f t="shared" si="744"/>
        <v>é.resolução.oficial</v>
      </c>
      <c r="E1312" s="8" t="s">
        <v>28</v>
      </c>
      <c r="F1312" s="34" t="str">
        <f>F1311</f>
        <v>d.informar</v>
      </c>
      <c r="G1312" s="13" t="s">
        <v>717</v>
      </c>
      <c r="H1312" s="34" t="s">
        <v>1581</v>
      </c>
      <c r="I1312" s="92" t="str">
        <f t="shared" si="737"/>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45"/>
        <v>Propriedade destinada a informar: é.resolução.oficial</v>
      </c>
      <c r="V1312" s="5" t="str">
        <f t="shared" si="746"/>
        <v>Dado para informar:  resolução.oficial  Deve ser formatado como (rdfs:Literal  or  xsd:string)</v>
      </c>
      <c r="W1312" s="69" t="s">
        <v>5688</v>
      </c>
      <c r="X1312" s="17" t="str">
        <f t="shared" si="735"/>
        <v>d.infor.112</v>
      </c>
      <c r="Y1312" s="17" t="str">
        <f t="shared" si="736"/>
        <v>Ação de informar</v>
      </c>
      <c r="Z1312" s="62" t="s">
        <v>1354</v>
      </c>
      <c r="AA1312" s="18" t="str">
        <f t="shared" si="747"/>
        <v>null</v>
      </c>
      <c r="AB1312" s="19" t="s">
        <v>0</v>
      </c>
      <c r="AC1312" s="18" t="str">
        <f t="shared" si="748"/>
        <v>null</v>
      </c>
      <c r="AD1312" s="19" t="s">
        <v>0</v>
      </c>
      <c r="AE1312" s="18" t="str">
        <f t="shared" si="749"/>
        <v>null</v>
      </c>
      <c r="AF1312" s="75" t="s">
        <v>0</v>
      </c>
      <c r="AG1312" s="38" t="s">
        <v>8492</v>
      </c>
    </row>
    <row r="1313" spans="1:33" ht="6" customHeight="1" x14ac:dyDescent="0.4">
      <c r="A1313" s="4">
        <f>ROW()</f>
        <v>1313</v>
      </c>
      <c r="B1313" s="9" t="s">
        <v>27</v>
      </c>
      <c r="C1313" s="43" t="str">
        <f t="shared" si="727"/>
        <v>p.inserir</v>
      </c>
      <c r="D1313" s="6" t="str">
        <f t="shared" si="728"/>
        <v>é.arquivo.inserido</v>
      </c>
      <c r="E1313" s="8" t="s">
        <v>28</v>
      </c>
      <c r="F1313" s="41" t="s">
        <v>3336</v>
      </c>
      <c r="G1313" s="14" t="s">
        <v>3344</v>
      </c>
      <c r="H1313" s="33" t="s">
        <v>1581</v>
      </c>
      <c r="I1313" s="92" t="str">
        <f t="shared" si="737"/>
        <v>null</v>
      </c>
      <c r="J1313" s="82" t="s">
        <v>0</v>
      </c>
      <c r="K1313" s="82" t="s">
        <v>0</v>
      </c>
      <c r="L1313" s="82" t="s">
        <v>0</v>
      </c>
      <c r="M1313" s="82" t="s">
        <v>0</v>
      </c>
      <c r="N1313" s="82" t="s">
        <v>0</v>
      </c>
      <c r="O1313" s="82" t="s">
        <v>0</v>
      </c>
      <c r="P1313" s="82" t="s">
        <v>0</v>
      </c>
      <c r="Q1313" s="82" t="s">
        <v>0</v>
      </c>
      <c r="R1313" s="84" t="s">
        <v>0</v>
      </c>
      <c r="S1313" s="10" t="s">
        <v>1</v>
      </c>
      <c r="T1313" s="10" t="s">
        <v>10221</v>
      </c>
      <c r="U1313" s="5" t="str">
        <f t="shared" si="729"/>
        <v>Propriedade destinada a inserir: é.arquivo.inserido</v>
      </c>
      <c r="V1313" s="5" t="str">
        <f t="shared" si="730"/>
        <v>Dado para inserir:  arquivo.inserido  Deve ser formatado como (rdfs:Literal  or  xsd:string)</v>
      </c>
      <c r="W1313" s="69" t="s">
        <v>3339</v>
      </c>
      <c r="X1313" s="17" t="str">
        <f t="shared" si="735"/>
        <v>d.inser.100</v>
      </c>
      <c r="Y1313" s="17" t="str">
        <f t="shared" si="736"/>
        <v>Ação de inserir</v>
      </c>
      <c r="Z1313" s="62" t="s">
        <v>3341</v>
      </c>
      <c r="AA1313" s="18" t="str">
        <f t="shared" ref="AA1313" si="750">IF(AB1313="null", "null", "categoria.revit")</f>
        <v>categoria.revit</v>
      </c>
      <c r="AB1313" s="19" t="s">
        <v>3342</v>
      </c>
      <c r="AC1313" s="18" t="str">
        <f t="shared" ref="AC1313" si="751">IF(AD1313="null", "null", "classe.ifc")</f>
        <v>classe.ifc</v>
      </c>
      <c r="AD1313" s="19" t="s">
        <v>3332</v>
      </c>
      <c r="AE1313" s="18" t="str">
        <f t="shared" ref="AE1313" si="752">IF(AF1313="null", "null", "propriedade")</f>
        <v>null</v>
      </c>
      <c r="AF1313" s="75" t="s">
        <v>0</v>
      </c>
      <c r="AG1313" s="38" t="s">
        <v>8493</v>
      </c>
    </row>
    <row r="1314" spans="1:33" ht="6" customHeight="1" x14ac:dyDescent="0.4">
      <c r="A1314" s="4">
        <f>ROW()</f>
        <v>1314</v>
      </c>
      <c r="B1314" s="9" t="s">
        <v>27</v>
      </c>
      <c r="C1314" s="44" t="str">
        <f t="shared" si="727"/>
        <v>p.inserir</v>
      </c>
      <c r="D1314" s="6" t="str">
        <f t="shared" si="728"/>
        <v>é.imagem.inserida</v>
      </c>
      <c r="E1314" s="8" t="s">
        <v>28</v>
      </c>
      <c r="F1314" s="34" t="str">
        <f>F1313</f>
        <v>d.inserir</v>
      </c>
      <c r="G1314" s="14" t="s">
        <v>3343</v>
      </c>
      <c r="H1314" s="33" t="s">
        <v>1581</v>
      </c>
      <c r="I1314" s="92" t="str">
        <f t="shared" si="737"/>
        <v>null</v>
      </c>
      <c r="J1314" s="82" t="s">
        <v>0</v>
      </c>
      <c r="K1314" s="82" t="s">
        <v>0</v>
      </c>
      <c r="L1314" s="82" t="s">
        <v>0</v>
      </c>
      <c r="M1314" s="82" t="s">
        <v>0</v>
      </c>
      <c r="N1314" s="82" t="s">
        <v>0</v>
      </c>
      <c r="O1314" s="82" t="s">
        <v>0</v>
      </c>
      <c r="P1314" s="82" t="s">
        <v>0</v>
      </c>
      <c r="Q1314" s="82" t="s">
        <v>0</v>
      </c>
      <c r="R1314" s="84" t="s">
        <v>0</v>
      </c>
      <c r="S1314" s="10" t="s">
        <v>1</v>
      </c>
      <c r="T1314" s="10" t="s">
        <v>10221</v>
      </c>
      <c r="U1314" s="5" t="str">
        <f t="shared" si="729"/>
        <v>Propriedade destinada a inserir: é.imagem.inserida</v>
      </c>
      <c r="V1314" s="5" t="str">
        <f t="shared" si="730"/>
        <v>Dado para inserir:  imagem.inserida  Deve ser formatado como (rdfs:Literal  or  xsd:string)</v>
      </c>
      <c r="W1314" s="69" t="s">
        <v>3338</v>
      </c>
      <c r="X1314" s="17" t="str">
        <f t="shared" si="735"/>
        <v>d.inser.101</v>
      </c>
      <c r="Y1314" s="17" t="str">
        <f t="shared" si="736"/>
        <v>Ação de inserir</v>
      </c>
      <c r="Z1314" s="62" t="s">
        <v>3340</v>
      </c>
      <c r="AA1314" s="18" t="str">
        <f t="shared" si="731"/>
        <v>categoria.revit</v>
      </c>
      <c r="AB1314" s="19" t="s">
        <v>3337</v>
      </c>
      <c r="AC1314" s="18" t="str">
        <f t="shared" si="732"/>
        <v>classe.ifc</v>
      </c>
      <c r="AD1314" s="19" t="s">
        <v>3332</v>
      </c>
      <c r="AE1314" s="18" t="str">
        <f t="shared" si="733"/>
        <v>null</v>
      </c>
      <c r="AF1314" s="75" t="s">
        <v>0</v>
      </c>
      <c r="AG1314" s="38" t="s">
        <v>8494</v>
      </c>
    </row>
    <row r="1315" spans="1:33" ht="6" customHeight="1" x14ac:dyDescent="0.4">
      <c r="A1315" s="4">
        <f>ROW()</f>
        <v>1315</v>
      </c>
      <c r="B1315" s="9" t="s">
        <v>27</v>
      </c>
      <c r="C1315" s="43" t="str">
        <f t="shared" si="727"/>
        <v>p.instalar</v>
      </c>
      <c r="D1315" s="6" t="str">
        <f t="shared" si="728"/>
        <v>é.acessório</v>
      </c>
      <c r="E1315" s="8" t="s">
        <v>28</v>
      </c>
      <c r="F1315" s="41" t="s">
        <v>2194</v>
      </c>
      <c r="G1315" s="13" t="s">
        <v>283</v>
      </c>
      <c r="H1315" s="34" t="s">
        <v>36</v>
      </c>
      <c r="I1315" s="92" t="str">
        <f t="shared" si="737"/>
        <v>null</v>
      </c>
      <c r="J1315" s="80" t="s">
        <v>0</v>
      </c>
      <c r="K1315" s="80" t="s">
        <v>0</v>
      </c>
      <c r="L1315" s="80" t="s">
        <v>0</v>
      </c>
      <c r="M1315" s="80" t="s">
        <v>0</v>
      </c>
      <c r="N1315" s="80" t="s">
        <v>0</v>
      </c>
      <c r="O1315" s="80" t="s">
        <v>0</v>
      </c>
      <c r="P1315" s="80" t="s">
        <v>0</v>
      </c>
      <c r="Q1315" s="80" t="s">
        <v>0</v>
      </c>
      <c r="R1315" s="84" t="s">
        <v>0</v>
      </c>
      <c r="S1315" s="10" t="s">
        <v>1</v>
      </c>
      <c r="T1315" s="10" t="s">
        <v>10221</v>
      </c>
      <c r="U1315" s="5" t="str">
        <f t="shared" si="729"/>
        <v>Propriedade destinada a instalar: é.acessório</v>
      </c>
      <c r="V1315" s="5" t="str">
        <f t="shared" si="730"/>
        <v>Dado para instalar:  acessório  Deve ser formatado como (xsd:boolean)</v>
      </c>
      <c r="W1315" s="69" t="s">
        <v>5689</v>
      </c>
      <c r="X1315" s="17" t="str">
        <f t="shared" si="735"/>
        <v>d.insta.100</v>
      </c>
      <c r="Y1315" s="17" t="str">
        <f t="shared" si="736"/>
        <v>Ação de instalar</v>
      </c>
      <c r="Z1315" s="62" t="s">
        <v>1358</v>
      </c>
      <c r="AA1315" s="18" t="str">
        <f t="shared" si="731"/>
        <v>null</v>
      </c>
      <c r="AB1315" s="19" t="s">
        <v>0</v>
      </c>
      <c r="AC1315" s="18" t="str">
        <f t="shared" si="732"/>
        <v>null</v>
      </c>
      <c r="AD1315" s="19" t="s">
        <v>0</v>
      </c>
      <c r="AE1315" s="18" t="str">
        <f t="shared" si="733"/>
        <v>null</v>
      </c>
      <c r="AF1315" s="75" t="s">
        <v>0</v>
      </c>
      <c r="AG1315" s="38" t="s">
        <v>8495</v>
      </c>
    </row>
    <row r="1316" spans="1:33" ht="6" customHeight="1" x14ac:dyDescent="0.4">
      <c r="A1316" s="4">
        <f>ROW()</f>
        <v>1316</v>
      </c>
      <c r="B1316" s="9" t="s">
        <v>27</v>
      </c>
      <c r="C1316" s="44" t="str">
        <f t="shared" ref="C1316:C1341" si="753">SUBSTITUTE(F1316,"d.","p.")</f>
        <v>p.instalar</v>
      </c>
      <c r="D1316" s="6" t="str">
        <f t="shared" si="728"/>
        <v>é.acústica</v>
      </c>
      <c r="E1316" s="8" t="s">
        <v>28</v>
      </c>
      <c r="F1316" s="34" t="str">
        <f t="shared" ref="F1316:F1340" si="754">F1315</f>
        <v>d.instalar</v>
      </c>
      <c r="G1316" s="13" t="s">
        <v>290</v>
      </c>
      <c r="H1316" s="34" t="s">
        <v>36</v>
      </c>
      <c r="I1316" s="92" t="str">
        <f t="shared" si="737"/>
        <v>null</v>
      </c>
      <c r="J1316" s="80" t="s">
        <v>0</v>
      </c>
      <c r="K1316" s="80" t="s">
        <v>0</v>
      </c>
      <c r="L1316" s="80" t="s">
        <v>0</v>
      </c>
      <c r="M1316" s="80" t="s">
        <v>0</v>
      </c>
      <c r="N1316" s="80" t="s">
        <v>0</v>
      </c>
      <c r="O1316" s="80" t="s">
        <v>0</v>
      </c>
      <c r="P1316" s="80" t="s">
        <v>0</v>
      </c>
      <c r="Q1316" s="80" t="s">
        <v>0</v>
      </c>
      <c r="R1316" s="84" t="s">
        <v>0</v>
      </c>
      <c r="S1316" s="10" t="s">
        <v>1</v>
      </c>
      <c r="T1316" s="10" t="s">
        <v>10221</v>
      </c>
      <c r="U1316" s="5" t="str">
        <f t="shared" si="729"/>
        <v>Propriedade destinada a instalar: é.acústica</v>
      </c>
      <c r="V1316" s="5" t="str">
        <f t="shared" si="730"/>
        <v>Dado para instalar:  acústica  Deve ser formatado como (xsd:boolean)</v>
      </c>
      <c r="W1316" s="69" t="s">
        <v>5690</v>
      </c>
      <c r="X1316" s="17" t="str">
        <f t="shared" si="735"/>
        <v>d.insta.101</v>
      </c>
      <c r="Y1316" s="17" t="str">
        <f t="shared" si="736"/>
        <v>Ação de instalar</v>
      </c>
      <c r="Z1316" s="62" t="s">
        <v>2741</v>
      </c>
      <c r="AA1316" s="18" t="str">
        <f t="shared" ref="AA1316:AA1340" si="755">IF(AB1316="null", "null", "categoria.revit")</f>
        <v>null</v>
      </c>
      <c r="AB1316" s="19" t="s">
        <v>0</v>
      </c>
      <c r="AC1316" s="18" t="str">
        <f t="shared" ref="AC1316:AC1340" si="756">IF(AD1316="null", "null", "classe.ifc")</f>
        <v>null</v>
      </c>
      <c r="AD1316" s="19" t="s">
        <v>0</v>
      </c>
      <c r="AE1316" s="18" t="str">
        <f t="shared" ref="AE1316:AE1340" si="757">IF(AF1316="null", "null", "propriedade")</f>
        <v>null</v>
      </c>
      <c r="AF1316" s="75" t="s">
        <v>0</v>
      </c>
      <c r="AG1316" s="38" t="s">
        <v>8496</v>
      </c>
    </row>
    <row r="1317" spans="1:33" ht="6" customHeight="1" x14ac:dyDescent="0.4">
      <c r="A1317" s="4">
        <f>ROW()</f>
        <v>1317</v>
      </c>
      <c r="B1317" s="9" t="s">
        <v>27</v>
      </c>
      <c r="C1317" s="44" t="str">
        <f t="shared" si="753"/>
        <v>p.instalar</v>
      </c>
      <c r="D1317" s="6" t="str">
        <f t="shared" si="728"/>
        <v>é.ajustado</v>
      </c>
      <c r="E1317" s="8" t="s">
        <v>28</v>
      </c>
      <c r="F1317" s="34" t="str">
        <f t="shared" si="754"/>
        <v>d.instalar</v>
      </c>
      <c r="G1317" s="13" t="s">
        <v>281</v>
      </c>
      <c r="H1317" s="34" t="s">
        <v>36</v>
      </c>
      <c r="I1317" s="92" t="str">
        <f t="shared" si="737"/>
        <v>null</v>
      </c>
      <c r="J1317" s="80" t="s">
        <v>0</v>
      </c>
      <c r="K1317" s="80" t="s">
        <v>0</v>
      </c>
      <c r="L1317" s="80" t="s">
        <v>0</v>
      </c>
      <c r="M1317" s="80" t="s">
        <v>0</v>
      </c>
      <c r="N1317" s="80" t="s">
        <v>0</v>
      </c>
      <c r="O1317" s="80" t="s">
        <v>0</v>
      </c>
      <c r="P1317" s="80" t="s">
        <v>0</v>
      </c>
      <c r="Q1317" s="80" t="s">
        <v>0</v>
      </c>
      <c r="R1317" s="84" t="s">
        <v>0</v>
      </c>
      <c r="S1317" s="10" t="s">
        <v>1</v>
      </c>
      <c r="T1317" s="10" t="s">
        <v>10221</v>
      </c>
      <c r="U1317" s="5" t="str">
        <f t="shared" si="729"/>
        <v>Propriedade destinada a instalar: é.ajustado</v>
      </c>
      <c r="V1317" s="5" t="str">
        <f t="shared" si="730"/>
        <v>Dado para instalar:  ajustado  Deve ser formatado como (xsd:boolean)</v>
      </c>
      <c r="W1317" s="69" t="s">
        <v>5691</v>
      </c>
      <c r="X1317" s="17" t="str">
        <f t="shared" si="735"/>
        <v>d.insta.102</v>
      </c>
      <c r="Y1317" s="17" t="str">
        <f t="shared" si="736"/>
        <v>Ação de instalar</v>
      </c>
      <c r="Z1317" s="62" t="s">
        <v>2742</v>
      </c>
      <c r="AA1317" s="18" t="str">
        <f t="shared" si="755"/>
        <v>null</v>
      </c>
      <c r="AB1317" s="19" t="s">
        <v>0</v>
      </c>
      <c r="AC1317" s="18" t="str">
        <f t="shared" si="756"/>
        <v>null</v>
      </c>
      <c r="AD1317" s="19" t="s">
        <v>0</v>
      </c>
      <c r="AE1317" s="18" t="str">
        <f t="shared" si="757"/>
        <v>null</v>
      </c>
      <c r="AF1317" s="75" t="s">
        <v>0</v>
      </c>
      <c r="AG1317" s="38" t="s">
        <v>8497</v>
      </c>
    </row>
    <row r="1318" spans="1:33" ht="6" customHeight="1" x14ac:dyDescent="0.4">
      <c r="A1318" s="4">
        <f>ROW()</f>
        <v>1318</v>
      </c>
      <c r="B1318" s="9" t="s">
        <v>27</v>
      </c>
      <c r="C1318" s="44" t="str">
        <f t="shared" si="753"/>
        <v>p.instalar</v>
      </c>
      <c r="D1318" s="6" t="str">
        <f t="shared" si="728"/>
        <v>é.com.avac</v>
      </c>
      <c r="E1318" s="8" t="s">
        <v>28</v>
      </c>
      <c r="F1318" s="34" t="str">
        <f t="shared" si="754"/>
        <v>d.instalar</v>
      </c>
      <c r="G1318" s="13" t="s">
        <v>721</v>
      </c>
      <c r="H1318" s="34" t="s">
        <v>36</v>
      </c>
      <c r="I1318" s="92" t="str">
        <f t="shared" si="737"/>
        <v>null</v>
      </c>
      <c r="J1318" s="80" t="s">
        <v>0</v>
      </c>
      <c r="K1318" s="80" t="s">
        <v>0</v>
      </c>
      <c r="L1318" s="80" t="s">
        <v>0</v>
      </c>
      <c r="M1318" s="80" t="s">
        <v>0</v>
      </c>
      <c r="N1318" s="80" t="s">
        <v>0</v>
      </c>
      <c r="O1318" s="80" t="s">
        <v>0</v>
      </c>
      <c r="P1318" s="80" t="s">
        <v>0</v>
      </c>
      <c r="Q1318" s="80" t="s">
        <v>0</v>
      </c>
      <c r="R1318" s="84" t="s">
        <v>0</v>
      </c>
      <c r="S1318" s="10" t="s">
        <v>1</v>
      </c>
      <c r="T1318" s="10" t="s">
        <v>10221</v>
      </c>
      <c r="U1318" s="5" t="str">
        <f t="shared" si="729"/>
        <v>Propriedade destinada a instalar: é.com.avac</v>
      </c>
      <c r="V1318" s="5" t="str">
        <f t="shared" si="730"/>
        <v>Dado para instalar:  com.avac  Deve ser formatado como (xsd:boolean)</v>
      </c>
      <c r="W1318" s="69" t="s">
        <v>5692</v>
      </c>
      <c r="X1318" s="17" t="str">
        <f t="shared" si="735"/>
        <v>d.insta.103</v>
      </c>
      <c r="Y1318" s="17" t="str">
        <f t="shared" si="736"/>
        <v>Ação de instalar</v>
      </c>
      <c r="Z1318" s="62" t="s">
        <v>1355</v>
      </c>
      <c r="AA1318" s="18" t="str">
        <f t="shared" si="755"/>
        <v>null</v>
      </c>
      <c r="AB1318" s="19" t="s">
        <v>0</v>
      </c>
      <c r="AC1318" s="18" t="str">
        <f t="shared" si="756"/>
        <v>null</v>
      </c>
      <c r="AD1318" s="19" t="s">
        <v>0</v>
      </c>
      <c r="AE1318" s="18" t="str">
        <f t="shared" si="757"/>
        <v>null</v>
      </c>
      <c r="AF1318" s="75" t="s">
        <v>0</v>
      </c>
      <c r="AG1318" s="38" t="s">
        <v>8498</v>
      </c>
    </row>
    <row r="1319" spans="1:33" ht="6" customHeight="1" x14ac:dyDescent="0.4">
      <c r="A1319" s="4">
        <f>ROW()</f>
        <v>1319</v>
      </c>
      <c r="B1319" s="9" t="s">
        <v>27</v>
      </c>
      <c r="C1319" s="44" t="str">
        <f t="shared" si="753"/>
        <v>p.instalar</v>
      </c>
      <c r="D1319" s="6" t="str">
        <f t="shared" si="728"/>
        <v>é.com.elétrica</v>
      </c>
      <c r="E1319" s="8" t="s">
        <v>28</v>
      </c>
      <c r="F1319" s="34" t="str">
        <f t="shared" si="754"/>
        <v>d.instalar</v>
      </c>
      <c r="G1319" s="13" t="s">
        <v>718</v>
      </c>
      <c r="H1319" s="34" t="s">
        <v>36</v>
      </c>
      <c r="I1319" s="92" t="str">
        <f t="shared" si="737"/>
        <v>null</v>
      </c>
      <c r="J1319" s="80" t="s">
        <v>0</v>
      </c>
      <c r="K1319" s="80" t="s">
        <v>0</v>
      </c>
      <c r="L1319" s="80" t="s">
        <v>0</v>
      </c>
      <c r="M1319" s="80" t="s">
        <v>0</v>
      </c>
      <c r="N1319" s="80" t="s">
        <v>0</v>
      </c>
      <c r="O1319" s="80" t="s">
        <v>0</v>
      </c>
      <c r="P1319" s="80" t="s">
        <v>0</v>
      </c>
      <c r="Q1319" s="80" t="s">
        <v>0</v>
      </c>
      <c r="R1319" s="84" t="s">
        <v>0</v>
      </c>
      <c r="S1319" s="10" t="s">
        <v>1</v>
      </c>
      <c r="T1319" s="10" t="s">
        <v>10221</v>
      </c>
      <c r="U1319" s="5" t="str">
        <f t="shared" si="729"/>
        <v>Propriedade destinada a instalar: é.com.elétrica</v>
      </c>
      <c r="V1319" s="5" t="str">
        <f t="shared" si="730"/>
        <v>Dado para instalar:  com.elétrica  Deve ser formatado como (xsd:boolean)</v>
      </c>
      <c r="W1319" s="69" t="s">
        <v>5693</v>
      </c>
      <c r="X1319" s="17" t="str">
        <f t="shared" si="735"/>
        <v>d.insta.104</v>
      </c>
      <c r="Y1319" s="17" t="str">
        <f t="shared" si="736"/>
        <v>Ação de instalar</v>
      </c>
      <c r="Z1319" s="62" t="s">
        <v>2743</v>
      </c>
      <c r="AA1319" s="18" t="str">
        <f t="shared" si="755"/>
        <v>null</v>
      </c>
      <c r="AB1319" s="19" t="s">
        <v>0</v>
      </c>
      <c r="AC1319" s="18" t="str">
        <f t="shared" si="756"/>
        <v>null</v>
      </c>
      <c r="AD1319" s="19" t="s">
        <v>0</v>
      </c>
      <c r="AE1319" s="18" t="str">
        <f t="shared" si="757"/>
        <v>null</v>
      </c>
      <c r="AF1319" s="75" t="s">
        <v>0</v>
      </c>
      <c r="AG1319" s="38" t="s">
        <v>8499</v>
      </c>
    </row>
    <row r="1320" spans="1:33" ht="6" customHeight="1" x14ac:dyDescent="0.4">
      <c r="A1320" s="4">
        <f>ROW()</f>
        <v>1320</v>
      </c>
      <c r="B1320" s="9" t="s">
        <v>27</v>
      </c>
      <c r="C1320" s="44" t="str">
        <f t="shared" si="753"/>
        <v>p.instalar</v>
      </c>
      <c r="D1320" s="6" t="str">
        <f t="shared" si="728"/>
        <v>é.com.gás</v>
      </c>
      <c r="E1320" s="8" t="s">
        <v>28</v>
      </c>
      <c r="F1320" s="34" t="str">
        <f t="shared" si="754"/>
        <v>d.instalar</v>
      </c>
      <c r="G1320" s="13" t="s">
        <v>720</v>
      </c>
      <c r="H1320" s="34" t="s">
        <v>36</v>
      </c>
      <c r="I1320" s="92" t="str">
        <f t="shared" si="737"/>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29"/>
        <v>Propriedade destinada a instalar: é.com.gás</v>
      </c>
      <c r="V1320" s="5" t="str">
        <f t="shared" si="730"/>
        <v>Dado para instalar:  com.gás  Deve ser formatado como (xsd:boolean)</v>
      </c>
      <c r="W1320" s="69" t="s">
        <v>5694</v>
      </c>
      <c r="X1320" s="17" t="str">
        <f t="shared" si="735"/>
        <v>d.insta.105</v>
      </c>
      <c r="Y1320" s="17" t="str">
        <f t="shared" si="736"/>
        <v>Ação de instalar</v>
      </c>
      <c r="Z1320" s="62" t="s">
        <v>2745</v>
      </c>
      <c r="AA1320" s="18" t="str">
        <f t="shared" si="755"/>
        <v>null</v>
      </c>
      <c r="AB1320" s="19" t="s">
        <v>0</v>
      </c>
      <c r="AC1320" s="18" t="str">
        <f t="shared" si="756"/>
        <v>null</v>
      </c>
      <c r="AD1320" s="19" t="s">
        <v>0</v>
      </c>
      <c r="AE1320" s="18" t="str">
        <f t="shared" si="757"/>
        <v>null</v>
      </c>
      <c r="AF1320" s="75" t="s">
        <v>0</v>
      </c>
      <c r="AG1320" s="38" t="s">
        <v>8500</v>
      </c>
    </row>
    <row r="1321" spans="1:33" ht="6" customHeight="1" x14ac:dyDescent="0.4">
      <c r="A1321" s="4">
        <f>ROW()</f>
        <v>1321</v>
      </c>
      <c r="B1321" s="9" t="s">
        <v>27</v>
      </c>
      <c r="C1321" s="44" t="str">
        <f t="shared" si="753"/>
        <v>p.instalar</v>
      </c>
      <c r="D1321" s="6" t="str">
        <f t="shared" si="728"/>
        <v>é.com.hidráulica</v>
      </c>
      <c r="E1321" s="8" t="s">
        <v>28</v>
      </c>
      <c r="F1321" s="34" t="str">
        <f t="shared" si="754"/>
        <v>d.instalar</v>
      </c>
      <c r="G1321" s="13" t="s">
        <v>719</v>
      </c>
      <c r="H1321" s="34" t="s">
        <v>36</v>
      </c>
      <c r="I1321" s="92" t="str">
        <f t="shared" si="737"/>
        <v>null</v>
      </c>
      <c r="J1321" s="80" t="s">
        <v>0</v>
      </c>
      <c r="K1321" s="80" t="s">
        <v>0</v>
      </c>
      <c r="L1321" s="80" t="s">
        <v>0</v>
      </c>
      <c r="M1321" s="80" t="s">
        <v>0</v>
      </c>
      <c r="N1321" s="80" t="s">
        <v>0</v>
      </c>
      <c r="O1321" s="80" t="s">
        <v>0</v>
      </c>
      <c r="P1321" s="80" t="s">
        <v>0</v>
      </c>
      <c r="Q1321" s="80" t="s">
        <v>0</v>
      </c>
      <c r="R1321" s="84" t="s">
        <v>0</v>
      </c>
      <c r="S1321" s="10" t="s">
        <v>1</v>
      </c>
      <c r="T1321" s="10" t="s">
        <v>10221</v>
      </c>
      <c r="U1321" s="5" t="str">
        <f t="shared" si="729"/>
        <v>Propriedade destinada a instalar: é.com.hidráulica</v>
      </c>
      <c r="V1321" s="5" t="str">
        <f t="shared" si="730"/>
        <v>Dado para instalar:  com.hidráulica  Deve ser formatado como (xsd:boolean)</v>
      </c>
      <c r="W1321" s="69" t="s">
        <v>5695</v>
      </c>
      <c r="X1321" s="17" t="str">
        <f t="shared" si="735"/>
        <v>d.insta.106</v>
      </c>
      <c r="Y1321" s="17" t="str">
        <f t="shared" si="736"/>
        <v>Ação de instalar</v>
      </c>
      <c r="Z1321" s="62" t="s">
        <v>2744</v>
      </c>
      <c r="AA1321" s="18" t="str">
        <f t="shared" si="755"/>
        <v>null</v>
      </c>
      <c r="AB1321" s="19" t="s">
        <v>0</v>
      </c>
      <c r="AC1321" s="18" t="str">
        <f t="shared" si="756"/>
        <v>null</v>
      </c>
      <c r="AD1321" s="19" t="s">
        <v>0</v>
      </c>
      <c r="AE1321" s="18" t="str">
        <f t="shared" si="757"/>
        <v>null</v>
      </c>
      <c r="AF1321" s="75" t="s">
        <v>0</v>
      </c>
      <c r="AG1321" s="38" t="s">
        <v>8501</v>
      </c>
    </row>
    <row r="1322" spans="1:33" ht="6" customHeight="1" x14ac:dyDescent="0.4">
      <c r="A1322" s="4">
        <f>ROW()</f>
        <v>1322</v>
      </c>
      <c r="B1322" s="9" t="s">
        <v>27</v>
      </c>
      <c r="C1322" s="44" t="str">
        <f t="shared" si="753"/>
        <v>p.instalar</v>
      </c>
      <c r="D1322" s="6" t="str">
        <f t="shared" si="728"/>
        <v>é.com.lógica</v>
      </c>
      <c r="E1322" s="8" t="s">
        <v>28</v>
      </c>
      <c r="F1322" s="34" t="str">
        <f t="shared" si="754"/>
        <v>d.instalar</v>
      </c>
      <c r="G1322" s="13" t="s">
        <v>722</v>
      </c>
      <c r="H1322" s="34" t="s">
        <v>36</v>
      </c>
      <c r="I1322" s="92" t="str">
        <f t="shared" si="737"/>
        <v>null</v>
      </c>
      <c r="J1322" s="80" t="s">
        <v>0</v>
      </c>
      <c r="K1322" s="80" t="s">
        <v>0</v>
      </c>
      <c r="L1322" s="80" t="s">
        <v>0</v>
      </c>
      <c r="M1322" s="80" t="s">
        <v>0</v>
      </c>
      <c r="N1322" s="80" t="s">
        <v>0</v>
      </c>
      <c r="O1322" s="80" t="s">
        <v>0</v>
      </c>
      <c r="P1322" s="80" t="s">
        <v>0</v>
      </c>
      <c r="Q1322" s="80" t="s">
        <v>0</v>
      </c>
      <c r="R1322" s="84" t="s">
        <v>0</v>
      </c>
      <c r="S1322" s="10" t="s">
        <v>1</v>
      </c>
      <c r="T1322" s="10" t="s">
        <v>10221</v>
      </c>
      <c r="U1322" s="5" t="str">
        <f t="shared" si="729"/>
        <v>Propriedade destinada a instalar: é.com.lógica</v>
      </c>
      <c r="V1322" s="5" t="str">
        <f t="shared" si="730"/>
        <v>Dado para instalar:  com.lógica  Deve ser formatado como (xsd:boolean)</v>
      </c>
      <c r="W1322" s="69" t="s">
        <v>5696</v>
      </c>
      <c r="X1322" s="17" t="str">
        <f t="shared" si="735"/>
        <v>d.insta.107</v>
      </c>
      <c r="Y1322" s="17" t="str">
        <f t="shared" si="736"/>
        <v>Ação de instalar</v>
      </c>
      <c r="Z1322" s="62" t="s">
        <v>1356</v>
      </c>
      <c r="AA1322" s="18" t="str">
        <f t="shared" si="755"/>
        <v>null</v>
      </c>
      <c r="AB1322" s="19" t="s">
        <v>0</v>
      </c>
      <c r="AC1322" s="18" t="str">
        <f t="shared" si="756"/>
        <v>null</v>
      </c>
      <c r="AD1322" s="19" t="s">
        <v>0</v>
      </c>
      <c r="AE1322" s="18" t="str">
        <f t="shared" si="757"/>
        <v>null</v>
      </c>
      <c r="AF1322" s="75" t="s">
        <v>0</v>
      </c>
      <c r="AG1322" s="38" t="s">
        <v>8502</v>
      </c>
    </row>
    <row r="1323" spans="1:33" ht="6" customHeight="1" x14ac:dyDescent="0.4">
      <c r="A1323" s="4">
        <f>ROW()</f>
        <v>1323</v>
      </c>
      <c r="B1323" s="9" t="s">
        <v>27</v>
      </c>
      <c r="C1323" s="44" t="str">
        <f t="shared" si="753"/>
        <v>p.instalar</v>
      </c>
      <c r="D1323" s="6" t="str">
        <f t="shared" si="728"/>
        <v>é.condicionado.por</v>
      </c>
      <c r="E1323" s="8" t="s">
        <v>28</v>
      </c>
      <c r="F1323" s="34" t="str">
        <f t="shared" si="754"/>
        <v>d.instalar</v>
      </c>
      <c r="G1323" s="13" t="s">
        <v>723</v>
      </c>
      <c r="H1323" s="34" t="s">
        <v>36</v>
      </c>
      <c r="I1323" s="92" t="str">
        <f t="shared" si="737"/>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9"/>
        <v>Propriedade destinada a instalar: é.condicionado.por</v>
      </c>
      <c r="V1323" s="5" t="str">
        <f t="shared" si="730"/>
        <v>Dado para instalar:  condicionado.por  Deve ser formatado como (xsd:boolean)</v>
      </c>
      <c r="W1323" s="69" t="s">
        <v>5697</v>
      </c>
      <c r="X1323" s="17" t="str">
        <f t="shared" si="735"/>
        <v>d.insta.108</v>
      </c>
      <c r="Y1323" s="17" t="str">
        <f t="shared" si="736"/>
        <v>Ação de instalar</v>
      </c>
      <c r="Z1323" s="62" t="s">
        <v>1360</v>
      </c>
      <c r="AA1323" s="18" t="str">
        <f t="shared" si="755"/>
        <v>null</v>
      </c>
      <c r="AB1323" s="19" t="s">
        <v>0</v>
      </c>
      <c r="AC1323" s="18" t="str">
        <f t="shared" si="756"/>
        <v>null</v>
      </c>
      <c r="AD1323" s="19" t="s">
        <v>0</v>
      </c>
      <c r="AE1323" s="18" t="str">
        <f t="shared" si="757"/>
        <v>null</v>
      </c>
      <c r="AF1323" s="75" t="s">
        <v>0</v>
      </c>
      <c r="AG1323" s="38" t="s">
        <v>8503</v>
      </c>
    </row>
    <row r="1324" spans="1:33" ht="6" customHeight="1" x14ac:dyDescent="0.4">
      <c r="A1324" s="4">
        <f>ROW()</f>
        <v>1324</v>
      </c>
      <c r="B1324" s="9" t="s">
        <v>27</v>
      </c>
      <c r="C1324" s="44" t="str">
        <f t="shared" si="753"/>
        <v>p.instalar</v>
      </c>
      <c r="D1324" s="6" t="str">
        <f t="shared" si="728"/>
        <v>é.instalação.essencial</v>
      </c>
      <c r="E1324" s="8" t="s">
        <v>28</v>
      </c>
      <c r="F1324" s="34" t="str">
        <f t="shared" si="754"/>
        <v>d.instalar</v>
      </c>
      <c r="G1324" s="13" t="s">
        <v>2723</v>
      </c>
      <c r="H1324" s="34" t="s">
        <v>36</v>
      </c>
      <c r="I1324" s="92" t="str">
        <f t="shared" si="737"/>
        <v>null</v>
      </c>
      <c r="J1324" s="80" t="s">
        <v>0</v>
      </c>
      <c r="K1324" s="80" t="s">
        <v>0</v>
      </c>
      <c r="L1324" s="80" t="s">
        <v>0</v>
      </c>
      <c r="M1324" s="80" t="s">
        <v>0</v>
      </c>
      <c r="N1324" s="80" t="s">
        <v>0</v>
      </c>
      <c r="O1324" s="80" t="s">
        <v>0</v>
      </c>
      <c r="P1324" s="80" t="s">
        <v>0</v>
      </c>
      <c r="Q1324" s="80" t="s">
        <v>0</v>
      </c>
      <c r="R1324" s="84" t="s">
        <v>2733</v>
      </c>
      <c r="S1324" s="10" t="s">
        <v>1</v>
      </c>
      <c r="T1324" s="10" t="s">
        <v>10221</v>
      </c>
      <c r="U1324" s="5" t="str">
        <f t="shared" si="729"/>
        <v>Propriedade destinada a instalar: é.instalação.essencial</v>
      </c>
      <c r="V1324" s="5" t="str">
        <f t="shared" si="730"/>
        <v>Dado para instalar:  instalação.essencial  Deve ser formatado como (xsd:boolean)</v>
      </c>
      <c r="W1324" s="69" t="s">
        <v>5698</v>
      </c>
      <c r="X1324" s="17" t="str">
        <f t="shared" si="735"/>
        <v>d.insta.109</v>
      </c>
      <c r="Y1324" s="17" t="str">
        <f t="shared" si="736"/>
        <v>Ação de instalar</v>
      </c>
      <c r="Z1324" s="62" t="s">
        <v>1357</v>
      </c>
      <c r="AA1324" s="18" t="str">
        <f t="shared" si="755"/>
        <v>null</v>
      </c>
      <c r="AB1324" s="19" t="s">
        <v>0</v>
      </c>
      <c r="AC1324" s="18" t="str">
        <f t="shared" si="756"/>
        <v>null</v>
      </c>
      <c r="AD1324" s="19" t="s">
        <v>0</v>
      </c>
      <c r="AE1324" s="18" t="str">
        <f t="shared" si="757"/>
        <v>null</v>
      </c>
      <c r="AF1324" s="75" t="s">
        <v>0</v>
      </c>
      <c r="AG1324" s="38" t="s">
        <v>8504</v>
      </c>
    </row>
    <row r="1325" spans="1:33" ht="6" customHeight="1" x14ac:dyDescent="0.4">
      <c r="A1325" s="4">
        <f>ROW()</f>
        <v>1325</v>
      </c>
      <c r="B1325" s="9" t="s">
        <v>27</v>
      </c>
      <c r="C1325" s="44" t="str">
        <f t="shared" si="753"/>
        <v>p.instalar</v>
      </c>
      <c r="D1325" s="6" t="str">
        <f t="shared" si="728"/>
        <v>é.instalação.estratégica</v>
      </c>
      <c r="E1325" s="8" t="s">
        <v>28</v>
      </c>
      <c r="F1325" s="34" t="str">
        <f t="shared" si="754"/>
        <v>d.instalar</v>
      </c>
      <c r="G1325" s="13" t="s">
        <v>2739</v>
      </c>
      <c r="H1325" s="34" t="s">
        <v>36</v>
      </c>
      <c r="I1325" s="92" t="str">
        <f t="shared" si="737"/>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9"/>
        <v>Propriedade destinada a instalar: é.instalação.estratégica</v>
      </c>
      <c r="V1325" s="5" t="str">
        <f t="shared" si="730"/>
        <v>Dado para instalar:  instalação.estratégica  Deve ser formatado como (xsd:boolean)</v>
      </c>
      <c r="W1325" s="69" t="s">
        <v>5699</v>
      </c>
      <c r="X1325" s="17" t="str">
        <f t="shared" si="735"/>
        <v>d.insta.110</v>
      </c>
      <c r="Y1325" s="17" t="str">
        <f t="shared" si="736"/>
        <v>Ação de instalar</v>
      </c>
      <c r="Z1325" s="62" t="s">
        <v>1361</v>
      </c>
      <c r="AA1325" s="18" t="str">
        <f t="shared" si="755"/>
        <v>null</v>
      </c>
      <c r="AB1325" s="19" t="s">
        <v>0</v>
      </c>
      <c r="AC1325" s="18" t="str">
        <f t="shared" si="756"/>
        <v>null</v>
      </c>
      <c r="AD1325" s="19" t="s">
        <v>0</v>
      </c>
      <c r="AE1325" s="18" t="str">
        <f t="shared" si="757"/>
        <v>null</v>
      </c>
      <c r="AF1325" s="75" t="s">
        <v>0</v>
      </c>
      <c r="AG1325" s="38" t="s">
        <v>8505</v>
      </c>
    </row>
    <row r="1326" spans="1:33" ht="6" customHeight="1" x14ac:dyDescent="0.4">
      <c r="A1326" s="4">
        <f>ROW()</f>
        <v>1326</v>
      </c>
      <c r="B1326" s="9" t="s">
        <v>27</v>
      </c>
      <c r="C1326" s="44" t="str">
        <f t="shared" si="753"/>
        <v>p.instalar</v>
      </c>
      <c r="D1326" s="6" t="str">
        <f t="shared" si="728"/>
        <v>é.instalação.lenta</v>
      </c>
      <c r="E1326" s="8" t="s">
        <v>28</v>
      </c>
      <c r="F1326" s="34" t="str">
        <f t="shared" si="754"/>
        <v>d.instalar</v>
      </c>
      <c r="G1326" s="13" t="s">
        <v>2736</v>
      </c>
      <c r="H1326" s="34" t="s">
        <v>36</v>
      </c>
      <c r="I1326" s="92" t="str">
        <f t="shared" si="737"/>
        <v>null</v>
      </c>
      <c r="J1326" s="80" t="s">
        <v>0</v>
      </c>
      <c r="K1326" s="80" t="s">
        <v>0</v>
      </c>
      <c r="L1326" s="80" t="s">
        <v>0</v>
      </c>
      <c r="M1326" s="80" t="s">
        <v>0</v>
      </c>
      <c r="N1326" s="80" t="s">
        <v>0</v>
      </c>
      <c r="O1326" s="80" t="s">
        <v>0</v>
      </c>
      <c r="P1326" s="80" t="s">
        <v>0</v>
      </c>
      <c r="Q1326" s="80" t="s">
        <v>2734</v>
      </c>
      <c r="R1326" s="84" t="s">
        <v>0</v>
      </c>
      <c r="S1326" s="10" t="s">
        <v>1</v>
      </c>
      <c r="T1326" s="10" t="s">
        <v>10221</v>
      </c>
      <c r="U1326" s="5" t="str">
        <f t="shared" si="729"/>
        <v>Propriedade destinada a instalar: é.instalação.lenta</v>
      </c>
      <c r="V1326" s="5" t="str">
        <f t="shared" si="730"/>
        <v>Dado para instalar:  instalação.lenta  Deve ser formatado como (xsd:boolean)</v>
      </c>
      <c r="W1326" s="69" t="s">
        <v>5700</v>
      </c>
      <c r="X1326" s="17" t="str">
        <f t="shared" si="735"/>
        <v>d.insta.111</v>
      </c>
      <c r="Y1326" s="17" t="str">
        <f t="shared" si="736"/>
        <v>Ação de instalar</v>
      </c>
      <c r="Z1326" s="62" t="s">
        <v>2746</v>
      </c>
      <c r="AA1326" s="18" t="str">
        <f t="shared" si="755"/>
        <v>null</v>
      </c>
      <c r="AB1326" s="19" t="s">
        <v>0</v>
      </c>
      <c r="AC1326" s="18" t="str">
        <f t="shared" si="756"/>
        <v>null</v>
      </c>
      <c r="AD1326" s="19" t="s">
        <v>0</v>
      </c>
      <c r="AE1326" s="18" t="str">
        <f t="shared" si="757"/>
        <v>null</v>
      </c>
      <c r="AF1326" s="75" t="s">
        <v>0</v>
      </c>
      <c r="AG1326" s="38" t="s">
        <v>8506</v>
      </c>
    </row>
    <row r="1327" spans="1:33" ht="6" customHeight="1" x14ac:dyDescent="0.4">
      <c r="A1327" s="4">
        <f>ROW()</f>
        <v>1327</v>
      </c>
      <c r="B1327" s="9" t="s">
        <v>27</v>
      </c>
      <c r="C1327" s="44" t="str">
        <f t="shared" si="753"/>
        <v>p.instalar</v>
      </c>
      <c r="D1327" s="6" t="str">
        <f t="shared" si="728"/>
        <v>é.instalação.leve</v>
      </c>
      <c r="E1327" s="8" t="s">
        <v>28</v>
      </c>
      <c r="F1327" s="34" t="str">
        <f t="shared" si="754"/>
        <v>d.instalar</v>
      </c>
      <c r="G1327" s="13" t="s">
        <v>2738</v>
      </c>
      <c r="H1327" s="34" t="s">
        <v>36</v>
      </c>
      <c r="I1327" s="92" t="str">
        <f t="shared" si="737"/>
        <v>null</v>
      </c>
      <c r="J1327" s="80" t="s">
        <v>0</v>
      </c>
      <c r="K1327" s="80" t="s">
        <v>0</v>
      </c>
      <c r="L1327" s="80" t="s">
        <v>0</v>
      </c>
      <c r="M1327" s="80" t="s">
        <v>0</v>
      </c>
      <c r="N1327" s="80" t="s">
        <v>0</v>
      </c>
      <c r="O1327" s="80" t="s">
        <v>0</v>
      </c>
      <c r="P1327" s="80" t="s">
        <v>0</v>
      </c>
      <c r="Q1327" s="80" t="s">
        <v>3930</v>
      </c>
      <c r="R1327" s="84" t="s">
        <v>0</v>
      </c>
      <c r="S1327" s="10" t="s">
        <v>1</v>
      </c>
      <c r="T1327" s="10" t="s">
        <v>10221</v>
      </c>
      <c r="U1327" s="5" t="str">
        <f t="shared" si="729"/>
        <v>Propriedade destinada a instalar: é.instalação.leve</v>
      </c>
      <c r="V1327" s="5" t="str">
        <f t="shared" si="730"/>
        <v>Dado para instalar:  instalação.leve  Deve ser formatado como (xsd:boolean)</v>
      </c>
      <c r="W1327" s="69" t="s">
        <v>5701</v>
      </c>
      <c r="X1327" s="17" t="str">
        <f t="shared" si="735"/>
        <v>d.insta.112</v>
      </c>
      <c r="Y1327" s="17" t="str">
        <f t="shared" si="736"/>
        <v>Ação de instalar</v>
      </c>
      <c r="Z1327" s="62" t="s">
        <v>2747</v>
      </c>
      <c r="AA1327" s="18" t="str">
        <f t="shared" si="755"/>
        <v>null</v>
      </c>
      <c r="AB1327" s="19" t="s">
        <v>0</v>
      </c>
      <c r="AC1327" s="18" t="str">
        <f t="shared" si="756"/>
        <v>null</v>
      </c>
      <c r="AD1327" s="19" t="s">
        <v>0</v>
      </c>
      <c r="AE1327" s="18" t="str">
        <f t="shared" si="757"/>
        <v>null</v>
      </c>
      <c r="AF1327" s="75" t="s">
        <v>0</v>
      </c>
      <c r="AG1327" s="38" t="s">
        <v>8507</v>
      </c>
    </row>
    <row r="1328" spans="1:33" ht="6" customHeight="1" x14ac:dyDescent="0.4">
      <c r="A1328" s="4">
        <f>ROW()</f>
        <v>1328</v>
      </c>
      <c r="B1328" s="9" t="s">
        <v>27</v>
      </c>
      <c r="C1328" s="44" t="str">
        <f t="shared" si="753"/>
        <v>p.instalar</v>
      </c>
      <c r="D1328" s="6" t="str">
        <f t="shared" si="728"/>
        <v>é.instalação.nivelada</v>
      </c>
      <c r="E1328" s="8" t="s">
        <v>28</v>
      </c>
      <c r="F1328" s="34" t="str">
        <f t="shared" si="754"/>
        <v>d.instalar</v>
      </c>
      <c r="G1328" s="13" t="s">
        <v>2737</v>
      </c>
      <c r="H1328" s="34" t="s">
        <v>36</v>
      </c>
      <c r="I1328" s="92" t="str">
        <f t="shared" si="737"/>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9"/>
        <v>Propriedade destinada a instalar: é.instalação.nivelada</v>
      </c>
      <c r="V1328" s="5" t="str">
        <f t="shared" si="730"/>
        <v>Dado para instalar:  instalação.nivelada  Deve ser formatado como (xsd:boolean)</v>
      </c>
      <c r="W1328" s="69" t="s">
        <v>5702</v>
      </c>
      <c r="X1328" s="17" t="str">
        <f t="shared" si="735"/>
        <v>d.insta.113</v>
      </c>
      <c r="Y1328" s="17" t="str">
        <f t="shared" si="736"/>
        <v>Ação de instalar</v>
      </c>
      <c r="Z1328" s="62" t="s">
        <v>2748</v>
      </c>
      <c r="AA1328" s="18" t="str">
        <f t="shared" si="755"/>
        <v>null</v>
      </c>
      <c r="AB1328" s="19" t="s">
        <v>0</v>
      </c>
      <c r="AC1328" s="18" t="str">
        <f t="shared" si="756"/>
        <v>null</v>
      </c>
      <c r="AD1328" s="19" t="s">
        <v>0</v>
      </c>
      <c r="AE1328" s="18" t="str">
        <f t="shared" si="757"/>
        <v>null</v>
      </c>
      <c r="AF1328" s="75" t="s">
        <v>0</v>
      </c>
      <c r="AG1328" s="38" t="s">
        <v>8508</v>
      </c>
    </row>
    <row r="1329" spans="1:33" ht="6" customHeight="1" x14ac:dyDescent="0.4">
      <c r="A1329" s="4">
        <f>ROW()</f>
        <v>1329</v>
      </c>
      <c r="B1329" s="9" t="s">
        <v>27</v>
      </c>
      <c r="C1329" s="44" t="str">
        <f t="shared" si="753"/>
        <v>p.instalar</v>
      </c>
      <c r="D1329" s="6" t="str">
        <f t="shared" si="728"/>
        <v>é.instalação.obrigatória</v>
      </c>
      <c r="E1329" s="8" t="s">
        <v>28</v>
      </c>
      <c r="F1329" s="34" t="str">
        <f t="shared" si="754"/>
        <v>d.instalar</v>
      </c>
      <c r="G1329" s="13" t="s">
        <v>2722</v>
      </c>
      <c r="H1329" s="34" t="s">
        <v>36</v>
      </c>
      <c r="I1329" s="92" t="str">
        <f t="shared" si="737"/>
        <v>null</v>
      </c>
      <c r="J1329" s="80" t="s">
        <v>0</v>
      </c>
      <c r="K1329" s="80" t="s">
        <v>0</v>
      </c>
      <c r="L1329" s="80" t="s">
        <v>0</v>
      </c>
      <c r="M1329" s="80" t="s">
        <v>0</v>
      </c>
      <c r="N1329" s="80" t="s">
        <v>0</v>
      </c>
      <c r="O1329" s="80" t="s">
        <v>0</v>
      </c>
      <c r="P1329" s="80" t="s">
        <v>0</v>
      </c>
      <c r="Q1329" s="80" t="s">
        <v>0</v>
      </c>
      <c r="R1329" s="84" t="s">
        <v>2732</v>
      </c>
      <c r="S1329" s="10" t="s">
        <v>1</v>
      </c>
      <c r="T1329" s="10" t="s">
        <v>10221</v>
      </c>
      <c r="U1329" s="5" t="str">
        <f t="shared" si="729"/>
        <v>Propriedade destinada a instalar: é.instalação.obrigatória</v>
      </c>
      <c r="V1329" s="5" t="str">
        <f t="shared" si="730"/>
        <v>Dado para instalar:  instalação.obrigatória  Deve ser formatado como (xsd:boolean)</v>
      </c>
      <c r="W1329" s="69" t="s">
        <v>5703</v>
      </c>
      <c r="X1329" s="17" t="str">
        <f t="shared" si="735"/>
        <v>d.insta.114</v>
      </c>
      <c r="Y1329" s="17" t="str">
        <f t="shared" si="736"/>
        <v>Ação de instalar</v>
      </c>
      <c r="Z1329" s="62" t="s">
        <v>1357</v>
      </c>
      <c r="AA1329" s="18" t="str">
        <f t="shared" si="755"/>
        <v>null</v>
      </c>
      <c r="AB1329" s="19" t="s">
        <v>0</v>
      </c>
      <c r="AC1329" s="18" t="str">
        <f t="shared" si="756"/>
        <v>null</v>
      </c>
      <c r="AD1329" s="19" t="s">
        <v>0</v>
      </c>
      <c r="AE1329" s="18" t="str">
        <f t="shared" si="757"/>
        <v>null</v>
      </c>
      <c r="AF1329" s="75" t="s">
        <v>0</v>
      </c>
      <c r="AG1329" s="38" t="s">
        <v>8504</v>
      </c>
    </row>
    <row r="1330" spans="1:33" ht="6" customHeight="1" x14ac:dyDescent="0.4">
      <c r="A1330" s="4">
        <f>ROW()</f>
        <v>1330</v>
      </c>
      <c r="B1330" s="9" t="s">
        <v>27</v>
      </c>
      <c r="C1330" s="44" t="str">
        <f t="shared" si="753"/>
        <v>p.instalar</v>
      </c>
      <c r="D1330" s="6" t="str">
        <f t="shared" si="728"/>
        <v>é.instalação.oculta</v>
      </c>
      <c r="E1330" s="8" t="s">
        <v>28</v>
      </c>
      <c r="F1330" s="34" t="str">
        <f t="shared" si="754"/>
        <v>d.instalar</v>
      </c>
      <c r="G1330" s="13" t="s">
        <v>2728</v>
      </c>
      <c r="H1330" s="34" t="s">
        <v>36</v>
      </c>
      <c r="I1330" s="92" t="str">
        <f t="shared" si="737"/>
        <v>null</v>
      </c>
      <c r="J1330" s="80" t="s">
        <v>0</v>
      </c>
      <c r="K1330" s="80" t="s">
        <v>0</v>
      </c>
      <c r="L1330" s="80" t="s">
        <v>0</v>
      </c>
      <c r="M1330" s="80" t="s">
        <v>0</v>
      </c>
      <c r="N1330" s="80" t="s">
        <v>0</v>
      </c>
      <c r="O1330" s="80" t="s">
        <v>0</v>
      </c>
      <c r="P1330" s="80" t="s">
        <v>0</v>
      </c>
      <c r="Q1330" s="80" t="s">
        <v>0</v>
      </c>
      <c r="R1330" s="84" t="s">
        <v>2731</v>
      </c>
      <c r="S1330" s="10" t="s">
        <v>1</v>
      </c>
      <c r="T1330" s="10" t="s">
        <v>10221</v>
      </c>
      <c r="U1330" s="5" t="str">
        <f t="shared" si="729"/>
        <v>Propriedade destinada a instalar: é.instalação.oculta</v>
      </c>
      <c r="V1330" s="5" t="str">
        <f t="shared" si="730"/>
        <v>Dado para instalar:  instalação.oculta  Deve ser formatado como (xsd:boolean)</v>
      </c>
      <c r="W1330" s="69" t="s">
        <v>5704</v>
      </c>
      <c r="X1330" s="17" t="str">
        <f t="shared" si="735"/>
        <v>d.insta.115</v>
      </c>
      <c r="Y1330" s="17" t="str">
        <f t="shared" si="736"/>
        <v>Ação de instalar</v>
      </c>
      <c r="Z1330" s="62" t="s">
        <v>2749</v>
      </c>
      <c r="AA1330" s="18" t="str">
        <f t="shared" si="755"/>
        <v>null</v>
      </c>
      <c r="AB1330" s="19" t="s">
        <v>0</v>
      </c>
      <c r="AC1330" s="18" t="str">
        <f t="shared" si="756"/>
        <v>null</v>
      </c>
      <c r="AD1330" s="19" t="s">
        <v>0</v>
      </c>
      <c r="AE1330" s="18" t="str">
        <f t="shared" si="757"/>
        <v>null</v>
      </c>
      <c r="AF1330" s="75" t="s">
        <v>0</v>
      </c>
      <c r="AG1330" s="38" t="s">
        <v>8509</v>
      </c>
    </row>
    <row r="1331" spans="1:33" ht="6" customHeight="1" x14ac:dyDescent="0.4">
      <c r="A1331" s="4">
        <f>ROW()</f>
        <v>1331</v>
      </c>
      <c r="B1331" s="9" t="s">
        <v>27</v>
      </c>
      <c r="C1331" s="44" t="str">
        <f t="shared" si="753"/>
        <v>p.instalar</v>
      </c>
      <c r="D1331" s="6" t="str">
        <f t="shared" si="728"/>
        <v>é.instalação.oculto</v>
      </c>
      <c r="E1331" s="8" t="s">
        <v>28</v>
      </c>
      <c r="F1331" s="34" t="str">
        <f t="shared" si="754"/>
        <v>d.instalar</v>
      </c>
      <c r="G1331" s="13" t="s">
        <v>2729</v>
      </c>
      <c r="H1331" s="34" t="s">
        <v>36</v>
      </c>
      <c r="I1331" s="92" t="str">
        <f t="shared" si="737"/>
        <v>null</v>
      </c>
      <c r="J1331" s="80" t="s">
        <v>0</v>
      </c>
      <c r="K1331" s="80" t="s">
        <v>0</v>
      </c>
      <c r="L1331" s="80" t="s">
        <v>0</v>
      </c>
      <c r="M1331" s="80" t="s">
        <v>0</v>
      </c>
      <c r="N1331" s="80" t="s">
        <v>0</v>
      </c>
      <c r="O1331" s="80" t="s">
        <v>0</v>
      </c>
      <c r="P1331" s="80" t="s">
        <v>0</v>
      </c>
      <c r="Q1331" s="80" t="s">
        <v>0</v>
      </c>
      <c r="R1331" s="84" t="s">
        <v>2730</v>
      </c>
      <c r="S1331" s="10" t="s">
        <v>1</v>
      </c>
      <c r="T1331" s="10" t="s">
        <v>10221</v>
      </c>
      <c r="U1331" s="5" t="str">
        <f t="shared" si="729"/>
        <v>Propriedade destinada a instalar: é.instalação.oculto</v>
      </c>
      <c r="V1331" s="5" t="str">
        <f t="shared" si="730"/>
        <v>Dado para instalar:  instalação.oculto  Deve ser formatado como (xsd:boolean)</v>
      </c>
      <c r="W1331" s="69" t="s">
        <v>5705</v>
      </c>
      <c r="X1331" s="17" t="str">
        <f t="shared" si="735"/>
        <v>d.insta.116</v>
      </c>
      <c r="Y1331" s="17" t="str">
        <f t="shared" si="736"/>
        <v>Ação de instalar</v>
      </c>
      <c r="Z1331" s="62" t="s">
        <v>2750</v>
      </c>
      <c r="AA1331" s="18" t="str">
        <f t="shared" si="755"/>
        <v>null</v>
      </c>
      <c r="AB1331" s="19" t="s">
        <v>0</v>
      </c>
      <c r="AC1331" s="18" t="str">
        <f t="shared" si="756"/>
        <v>null</v>
      </c>
      <c r="AD1331" s="19" t="s">
        <v>0</v>
      </c>
      <c r="AE1331" s="18" t="str">
        <f t="shared" si="757"/>
        <v>null</v>
      </c>
      <c r="AF1331" s="75" t="s">
        <v>0</v>
      </c>
      <c r="AG1331" s="38" t="s">
        <v>8509</v>
      </c>
    </row>
    <row r="1332" spans="1:33" ht="6" customHeight="1" x14ac:dyDescent="0.4">
      <c r="A1332" s="4">
        <f>ROW()</f>
        <v>1332</v>
      </c>
      <c r="B1332" s="9" t="s">
        <v>27</v>
      </c>
      <c r="C1332" s="44" t="str">
        <f t="shared" si="753"/>
        <v>p.instalar</v>
      </c>
      <c r="D1332" s="6" t="str">
        <f t="shared" si="728"/>
        <v>é.instalação.opcional</v>
      </c>
      <c r="E1332" s="8" t="s">
        <v>28</v>
      </c>
      <c r="F1332" s="34" t="str">
        <f t="shared" si="754"/>
        <v>d.instalar</v>
      </c>
      <c r="G1332" s="13" t="s">
        <v>2725</v>
      </c>
      <c r="H1332" s="34" t="s">
        <v>36</v>
      </c>
      <c r="I1332" s="92" t="str">
        <f t="shared" si="737"/>
        <v>null</v>
      </c>
      <c r="J1332" s="80" t="s">
        <v>0</v>
      </c>
      <c r="K1332" s="80" t="s">
        <v>0</v>
      </c>
      <c r="L1332" s="80" t="s">
        <v>0</v>
      </c>
      <c r="M1332" s="80" t="s">
        <v>0</v>
      </c>
      <c r="N1332" s="80" t="s">
        <v>0</v>
      </c>
      <c r="O1332" s="80" t="s">
        <v>0</v>
      </c>
      <c r="P1332" s="80" t="s">
        <v>0</v>
      </c>
      <c r="Q1332" s="80" t="s">
        <v>0</v>
      </c>
      <c r="R1332" s="84" t="s">
        <v>0</v>
      </c>
      <c r="S1332" s="10" t="s">
        <v>1</v>
      </c>
      <c r="T1332" s="10" t="s">
        <v>10221</v>
      </c>
      <c r="U1332" s="5" t="str">
        <f t="shared" si="729"/>
        <v>Propriedade destinada a instalar: é.instalação.opcional</v>
      </c>
      <c r="V1332" s="5" t="str">
        <f t="shared" si="730"/>
        <v>Dado para instalar:  instalação.opcional  Deve ser formatado como (xsd:boolean)</v>
      </c>
      <c r="W1332" s="69" t="s">
        <v>5706</v>
      </c>
      <c r="X1332" s="17" t="str">
        <f t="shared" si="735"/>
        <v>d.insta.117</v>
      </c>
      <c r="Y1332" s="17" t="str">
        <f t="shared" si="736"/>
        <v>Ação de instalar</v>
      </c>
      <c r="Z1332" s="62" t="s">
        <v>1359</v>
      </c>
      <c r="AA1332" s="18" t="str">
        <f t="shared" si="755"/>
        <v>null</v>
      </c>
      <c r="AB1332" s="19" t="s">
        <v>0</v>
      </c>
      <c r="AC1332" s="18" t="str">
        <f t="shared" si="756"/>
        <v>null</v>
      </c>
      <c r="AD1332" s="19" t="s">
        <v>0</v>
      </c>
      <c r="AE1332" s="18" t="str">
        <f t="shared" si="757"/>
        <v>null</v>
      </c>
      <c r="AF1332" s="75" t="s">
        <v>0</v>
      </c>
      <c r="AG1332" s="38" t="s">
        <v>8510</v>
      </c>
    </row>
    <row r="1333" spans="1:33" ht="6" customHeight="1" x14ac:dyDescent="0.4">
      <c r="A1333" s="4">
        <f>ROW()</f>
        <v>1333</v>
      </c>
      <c r="B1333" s="9" t="s">
        <v>27</v>
      </c>
      <c r="C1333" s="44" t="str">
        <f t="shared" si="753"/>
        <v>p.instalar</v>
      </c>
      <c r="D1333" s="6" t="str">
        <f t="shared" si="728"/>
        <v>é.instalação.pendurada</v>
      </c>
      <c r="E1333" s="8" t="s">
        <v>28</v>
      </c>
      <c r="F1333" s="34" t="str">
        <f t="shared" si="754"/>
        <v>d.instalar</v>
      </c>
      <c r="G1333" s="13" t="s">
        <v>3938</v>
      </c>
      <c r="H1333" s="34" t="s">
        <v>36</v>
      </c>
      <c r="I1333" s="92" t="str">
        <f t="shared" si="737"/>
        <v>null</v>
      </c>
      <c r="J1333" s="80" t="s">
        <v>0</v>
      </c>
      <c r="K1333" s="80" t="s">
        <v>0</v>
      </c>
      <c r="L1333" s="80" t="s">
        <v>0</v>
      </c>
      <c r="M1333" s="80" t="s">
        <v>0</v>
      </c>
      <c r="N1333" s="80" t="s">
        <v>0</v>
      </c>
      <c r="O1333" s="80" t="s">
        <v>0</v>
      </c>
      <c r="P1333" s="80" t="s">
        <v>0</v>
      </c>
      <c r="Q1333" s="80" t="s">
        <v>0</v>
      </c>
      <c r="R1333" s="84" t="s">
        <v>3940</v>
      </c>
      <c r="S1333" s="10" t="s">
        <v>1</v>
      </c>
      <c r="T1333" s="10" t="s">
        <v>10221</v>
      </c>
      <c r="U1333" s="5" t="str">
        <f t="shared" si="729"/>
        <v>Propriedade destinada a instalar: é.instalação.pendurada</v>
      </c>
      <c r="V1333" s="5" t="str">
        <f t="shared" si="730"/>
        <v>Dado para instalar:  instalação.pendurada  Deve ser formatado como (xsd:boolean)</v>
      </c>
      <c r="W1333" s="69" t="s">
        <v>3933</v>
      </c>
      <c r="X1333" s="17" t="str">
        <f t="shared" si="735"/>
        <v>d.insta.118</v>
      </c>
      <c r="Y1333" s="17" t="str">
        <f t="shared" si="736"/>
        <v>Ação de instalar</v>
      </c>
      <c r="Z1333" s="62" t="s">
        <v>3937</v>
      </c>
      <c r="AA1333" s="18" t="str">
        <f t="shared" si="755"/>
        <v>null</v>
      </c>
      <c r="AB1333" s="19" t="s">
        <v>0</v>
      </c>
      <c r="AC1333" s="18" t="str">
        <f t="shared" si="756"/>
        <v>null</v>
      </c>
      <c r="AD1333" s="19" t="s">
        <v>0</v>
      </c>
      <c r="AE1333" s="18" t="str">
        <f t="shared" si="757"/>
        <v>null</v>
      </c>
      <c r="AF1333" s="75" t="s">
        <v>0</v>
      </c>
      <c r="AG1333" s="38" t="s">
        <v>8511</v>
      </c>
    </row>
    <row r="1334" spans="1:33" ht="6" customHeight="1" x14ac:dyDescent="0.4">
      <c r="A1334" s="4">
        <f>ROW()</f>
        <v>1334</v>
      </c>
      <c r="B1334" s="9" t="s">
        <v>27</v>
      </c>
      <c r="C1334" s="44" t="str">
        <f t="shared" si="753"/>
        <v>p.instalar</v>
      </c>
      <c r="D1334" s="6" t="str">
        <f t="shared" si="728"/>
        <v>é.instalação.pendurado</v>
      </c>
      <c r="E1334" s="8" t="s">
        <v>28</v>
      </c>
      <c r="F1334" s="34" t="str">
        <f t="shared" si="754"/>
        <v>d.instalar</v>
      </c>
      <c r="G1334" s="13" t="s">
        <v>3939</v>
      </c>
      <c r="H1334" s="34" t="s">
        <v>36</v>
      </c>
      <c r="I1334" s="92" t="str">
        <f t="shared" si="737"/>
        <v>null</v>
      </c>
      <c r="J1334" s="80" t="s">
        <v>0</v>
      </c>
      <c r="K1334" s="80" t="s">
        <v>0</v>
      </c>
      <c r="L1334" s="80" t="s">
        <v>0</v>
      </c>
      <c r="M1334" s="80" t="s">
        <v>0</v>
      </c>
      <c r="N1334" s="80" t="s">
        <v>0</v>
      </c>
      <c r="O1334" s="80" t="s">
        <v>0</v>
      </c>
      <c r="P1334" s="80" t="s">
        <v>0</v>
      </c>
      <c r="Q1334" s="80" t="s">
        <v>0</v>
      </c>
      <c r="R1334" s="84" t="s">
        <v>3941</v>
      </c>
      <c r="S1334" s="10" t="s">
        <v>1</v>
      </c>
      <c r="T1334" s="10" t="s">
        <v>10221</v>
      </c>
      <c r="U1334" s="5" t="str">
        <f t="shared" si="729"/>
        <v>Propriedade destinada a instalar: é.instalação.pendurado</v>
      </c>
      <c r="V1334" s="5" t="str">
        <f t="shared" si="730"/>
        <v>Dado para instalar:  instalação.pendurado  Deve ser formatado como (xsd:boolean)</v>
      </c>
      <c r="W1334" s="69" t="s">
        <v>3934</v>
      </c>
      <c r="X1334" s="17" t="str">
        <f t="shared" si="735"/>
        <v>d.insta.119</v>
      </c>
      <c r="Y1334" s="17" t="str">
        <f t="shared" si="736"/>
        <v>Ação de instalar</v>
      </c>
      <c r="Z1334" s="62" t="s">
        <v>3936</v>
      </c>
      <c r="AA1334" s="18" t="str">
        <f t="shared" si="755"/>
        <v>null</v>
      </c>
      <c r="AB1334" s="19" t="s">
        <v>0</v>
      </c>
      <c r="AC1334" s="18" t="str">
        <f t="shared" si="756"/>
        <v>null</v>
      </c>
      <c r="AD1334" s="19" t="s">
        <v>0</v>
      </c>
      <c r="AE1334" s="18" t="str">
        <f t="shared" si="757"/>
        <v>null</v>
      </c>
      <c r="AF1334" s="75" t="s">
        <v>0</v>
      </c>
      <c r="AG1334" s="38" t="s">
        <v>8512</v>
      </c>
    </row>
    <row r="1335" spans="1:33" ht="6" customHeight="1" x14ac:dyDescent="0.4">
      <c r="A1335" s="4">
        <f>ROW()</f>
        <v>1335</v>
      </c>
      <c r="B1335" s="9" t="s">
        <v>27</v>
      </c>
      <c r="C1335" s="44" t="str">
        <f t="shared" si="753"/>
        <v>p.instalar</v>
      </c>
      <c r="D1335" s="6" t="str">
        <f t="shared" si="728"/>
        <v>é.instalação.pesada</v>
      </c>
      <c r="E1335" s="8" t="s">
        <v>28</v>
      </c>
      <c r="F1335" s="34" t="str">
        <f t="shared" si="754"/>
        <v>d.instalar</v>
      </c>
      <c r="G1335" s="13" t="s">
        <v>3932</v>
      </c>
      <c r="H1335" s="34" t="s">
        <v>36</v>
      </c>
      <c r="I1335" s="92" t="str">
        <f t="shared" si="737"/>
        <v>null</v>
      </c>
      <c r="J1335" s="80" t="s">
        <v>0</v>
      </c>
      <c r="K1335" s="80" t="s">
        <v>0</v>
      </c>
      <c r="L1335" s="80" t="s">
        <v>0</v>
      </c>
      <c r="M1335" s="80" t="s">
        <v>0</v>
      </c>
      <c r="N1335" s="80" t="s">
        <v>0</v>
      </c>
      <c r="O1335" s="80" t="s">
        <v>0</v>
      </c>
      <c r="P1335" s="80" t="s">
        <v>0</v>
      </c>
      <c r="Q1335" s="80" t="s">
        <v>3929</v>
      </c>
      <c r="R1335" s="84" t="s">
        <v>0</v>
      </c>
      <c r="S1335" s="10" t="s">
        <v>1</v>
      </c>
      <c r="T1335" s="10" t="s">
        <v>10221</v>
      </c>
      <c r="U1335" s="5" t="str">
        <f t="shared" ref="U1335:U1405" si="758">_xlfn.CONCAT("Propriedade destinada a ",MID(C1335,FIND("p.",C1335,1)+2,100),": ",D1335)</f>
        <v>Propriedade destinada a instalar: é.instalação.pesada</v>
      </c>
      <c r="V1335" s="5" t="str">
        <f t="shared" ref="V1335:V1405" si="759">_xlfn.CONCAT("Dado para ",MID(F1335,FIND("d.",F1335,1)+2,100),":  ",G1335, "  Deve ser formatado como (",H1335, ")")</f>
        <v>Dado para instalar:  instalação.pesada  Deve ser formatado como (xsd:boolean)</v>
      </c>
      <c r="W1335" s="69" t="s">
        <v>3931</v>
      </c>
      <c r="X1335" s="17" t="str">
        <f t="shared" si="735"/>
        <v>d.insta.120</v>
      </c>
      <c r="Y1335" s="17" t="str">
        <f t="shared" si="736"/>
        <v>Ação de instalar</v>
      </c>
      <c r="Z1335" s="62" t="s">
        <v>3935</v>
      </c>
      <c r="AA1335" s="18" t="str">
        <f t="shared" si="755"/>
        <v>null</v>
      </c>
      <c r="AB1335" s="19" t="s">
        <v>0</v>
      </c>
      <c r="AC1335" s="18" t="str">
        <f t="shared" si="756"/>
        <v>null</v>
      </c>
      <c r="AD1335" s="19" t="s">
        <v>0</v>
      </c>
      <c r="AE1335" s="18" t="str">
        <f t="shared" si="757"/>
        <v>null</v>
      </c>
      <c r="AF1335" s="75" t="s">
        <v>0</v>
      </c>
      <c r="AG1335" s="38" t="s">
        <v>8513</v>
      </c>
    </row>
    <row r="1336" spans="1:33" ht="6" customHeight="1" x14ac:dyDescent="0.4">
      <c r="A1336" s="4">
        <f>ROW()</f>
        <v>1336</v>
      </c>
      <c r="B1336" s="9" t="s">
        <v>27</v>
      </c>
      <c r="C1336" s="44" t="str">
        <f t="shared" si="753"/>
        <v>p.instalar</v>
      </c>
      <c r="D1336" s="6" t="str">
        <f t="shared" si="728"/>
        <v>é.instalação.precisa</v>
      </c>
      <c r="E1336" s="8" t="s">
        <v>28</v>
      </c>
      <c r="F1336" s="34" t="str">
        <f t="shared" si="754"/>
        <v>d.instalar</v>
      </c>
      <c r="G1336" s="13" t="s">
        <v>2727</v>
      </c>
      <c r="H1336" s="34" t="s">
        <v>36</v>
      </c>
      <c r="I1336" s="92" t="str">
        <f t="shared" si="737"/>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58"/>
        <v>Propriedade destinada a instalar: é.instalação.precisa</v>
      </c>
      <c r="V1336" s="5" t="str">
        <f t="shared" si="759"/>
        <v>Dado para instalar:  instalação.precisa  Deve ser formatado como (xsd:boolean)</v>
      </c>
      <c r="W1336" s="69" t="s">
        <v>5707</v>
      </c>
      <c r="X1336" s="17" t="str">
        <f t="shared" si="735"/>
        <v>d.insta.121</v>
      </c>
      <c r="Y1336" s="17" t="str">
        <f t="shared" si="736"/>
        <v>Ação de instalar</v>
      </c>
      <c r="Z1336" s="62" t="s">
        <v>2751</v>
      </c>
      <c r="AA1336" s="18" t="str">
        <f t="shared" si="755"/>
        <v>null</v>
      </c>
      <c r="AB1336" s="19" t="s">
        <v>0</v>
      </c>
      <c r="AC1336" s="18" t="str">
        <f t="shared" si="756"/>
        <v>null</v>
      </c>
      <c r="AD1336" s="19" t="s">
        <v>0</v>
      </c>
      <c r="AE1336" s="18" t="str">
        <f t="shared" si="757"/>
        <v>null</v>
      </c>
      <c r="AF1336" s="75" t="s">
        <v>0</v>
      </c>
      <c r="AG1336" s="38" t="s">
        <v>8514</v>
      </c>
    </row>
    <row r="1337" spans="1:33" ht="6" customHeight="1" x14ac:dyDescent="0.4">
      <c r="A1337" s="4">
        <f>ROW()</f>
        <v>1337</v>
      </c>
      <c r="B1337" s="9" t="s">
        <v>27</v>
      </c>
      <c r="C1337" s="44" t="str">
        <f t="shared" si="753"/>
        <v>p.instalar</v>
      </c>
      <c r="D1337" s="6" t="str">
        <f t="shared" si="728"/>
        <v>é.instalação.preparada</v>
      </c>
      <c r="E1337" s="8" t="s">
        <v>28</v>
      </c>
      <c r="F1337" s="34" t="str">
        <f t="shared" si="754"/>
        <v>d.instalar</v>
      </c>
      <c r="G1337" s="13" t="s">
        <v>3942</v>
      </c>
      <c r="H1337" s="34" t="s">
        <v>36</v>
      </c>
      <c r="I1337" s="92" t="str">
        <f t="shared" si="737"/>
        <v>null</v>
      </c>
      <c r="J1337" s="80" t="s">
        <v>0</v>
      </c>
      <c r="K1337" s="80" t="s">
        <v>0</v>
      </c>
      <c r="L1337" s="80" t="s">
        <v>0</v>
      </c>
      <c r="M1337" s="80" t="s">
        <v>0</v>
      </c>
      <c r="N1337" s="80" t="s">
        <v>0</v>
      </c>
      <c r="O1337" s="80" t="s">
        <v>0</v>
      </c>
      <c r="P1337" s="80" t="s">
        <v>0</v>
      </c>
      <c r="Q1337" s="80" t="s">
        <v>0</v>
      </c>
      <c r="R1337" s="84" t="s">
        <v>0</v>
      </c>
      <c r="S1337" s="10" t="s">
        <v>1</v>
      </c>
      <c r="T1337" s="10" t="s">
        <v>10221</v>
      </c>
      <c r="U1337" s="5" t="str">
        <f t="shared" si="758"/>
        <v>Propriedade destinada a instalar: é.instalação.preparada</v>
      </c>
      <c r="V1337" s="5" t="str">
        <f t="shared" si="759"/>
        <v>Dado para instalar:  instalação.preparada  Deve ser formatado como (xsd:boolean)</v>
      </c>
      <c r="W1337" s="69" t="s">
        <v>3943</v>
      </c>
      <c r="X1337" s="17" t="str">
        <f t="shared" si="735"/>
        <v>d.insta.122</v>
      </c>
      <c r="Y1337" s="17" t="str">
        <f t="shared" si="736"/>
        <v>Ação de instalar</v>
      </c>
      <c r="Z1337" s="62" t="s">
        <v>2755</v>
      </c>
      <c r="AA1337" s="18" t="str">
        <f t="shared" si="755"/>
        <v>null</v>
      </c>
      <c r="AB1337" s="19" t="s">
        <v>0</v>
      </c>
      <c r="AC1337" s="18" t="str">
        <f t="shared" si="756"/>
        <v>null</v>
      </c>
      <c r="AD1337" s="19" t="s">
        <v>0</v>
      </c>
      <c r="AE1337" s="18" t="str">
        <f t="shared" si="757"/>
        <v>null</v>
      </c>
      <c r="AF1337" s="75" t="s">
        <v>0</v>
      </c>
      <c r="AG1337" s="38" t="s">
        <v>8515</v>
      </c>
    </row>
    <row r="1338" spans="1:33" ht="6" customHeight="1" x14ac:dyDescent="0.4">
      <c r="A1338" s="4">
        <f>ROW()</f>
        <v>1338</v>
      </c>
      <c r="B1338" s="9" t="s">
        <v>27</v>
      </c>
      <c r="C1338" s="44" t="str">
        <f t="shared" si="753"/>
        <v>p.instalar</v>
      </c>
      <c r="D1338" s="6" t="str">
        <f t="shared" si="728"/>
        <v>é.instalação.prioritária</v>
      </c>
      <c r="E1338" s="8" t="s">
        <v>28</v>
      </c>
      <c r="F1338" s="34" t="str">
        <f t="shared" si="754"/>
        <v>d.instalar</v>
      </c>
      <c r="G1338" s="13" t="s">
        <v>2724</v>
      </c>
      <c r="H1338" s="34" t="s">
        <v>36</v>
      </c>
      <c r="I1338" s="92" t="str">
        <f t="shared" si="737"/>
        <v>null</v>
      </c>
      <c r="J1338" s="80" t="s">
        <v>0</v>
      </c>
      <c r="K1338" s="80" t="s">
        <v>0</v>
      </c>
      <c r="L1338" s="80" t="s">
        <v>0</v>
      </c>
      <c r="M1338" s="80" t="s">
        <v>0</v>
      </c>
      <c r="N1338" s="80" t="s">
        <v>0</v>
      </c>
      <c r="O1338" s="80" t="s">
        <v>0</v>
      </c>
      <c r="P1338" s="80" t="s">
        <v>0</v>
      </c>
      <c r="Q1338" s="80" t="s">
        <v>0</v>
      </c>
      <c r="R1338" s="84" t="s">
        <v>0</v>
      </c>
      <c r="S1338" s="10" t="s">
        <v>1</v>
      </c>
      <c r="T1338" s="10" t="s">
        <v>10221</v>
      </c>
      <c r="U1338" s="5" t="str">
        <f t="shared" si="758"/>
        <v>Propriedade destinada a instalar: é.instalação.prioritária</v>
      </c>
      <c r="V1338" s="5" t="str">
        <f t="shared" si="759"/>
        <v>Dado para instalar:  instalação.prioritária  Deve ser formatado como (xsd:boolean)</v>
      </c>
      <c r="W1338" s="69" t="s">
        <v>5708</v>
      </c>
      <c r="X1338" s="17" t="str">
        <f t="shared" si="735"/>
        <v>d.insta.123</v>
      </c>
      <c r="Y1338" s="17" t="str">
        <f t="shared" si="736"/>
        <v>Ação de instalar</v>
      </c>
      <c r="Z1338" s="62" t="s">
        <v>2752</v>
      </c>
      <c r="AA1338" s="18" t="str">
        <f t="shared" si="755"/>
        <v>null</v>
      </c>
      <c r="AB1338" s="19" t="s">
        <v>0</v>
      </c>
      <c r="AC1338" s="18" t="str">
        <f t="shared" si="756"/>
        <v>null</v>
      </c>
      <c r="AD1338" s="19" t="s">
        <v>0</v>
      </c>
      <c r="AE1338" s="18" t="str">
        <f t="shared" si="757"/>
        <v>null</v>
      </c>
      <c r="AF1338" s="75" t="s">
        <v>0</v>
      </c>
      <c r="AG1338" s="38" t="s">
        <v>8516</v>
      </c>
    </row>
    <row r="1339" spans="1:33" ht="6" customHeight="1" x14ac:dyDescent="0.4">
      <c r="A1339" s="4">
        <f>ROW()</f>
        <v>1339</v>
      </c>
      <c r="B1339" s="9" t="s">
        <v>27</v>
      </c>
      <c r="C1339" s="44" t="str">
        <f t="shared" si="753"/>
        <v>p.instalar</v>
      </c>
      <c r="D1339" s="6" t="str">
        <f t="shared" si="728"/>
        <v>é.instalação.rápida</v>
      </c>
      <c r="E1339" s="8" t="s">
        <v>28</v>
      </c>
      <c r="F1339" s="34" t="str">
        <f t="shared" si="754"/>
        <v>d.instalar</v>
      </c>
      <c r="G1339" s="13" t="s">
        <v>2726</v>
      </c>
      <c r="H1339" s="34" t="s">
        <v>36</v>
      </c>
      <c r="I1339" s="92" t="str">
        <f t="shared" si="737"/>
        <v>null</v>
      </c>
      <c r="J1339" s="80" t="s">
        <v>0</v>
      </c>
      <c r="K1339" s="80" t="s">
        <v>0</v>
      </c>
      <c r="L1339" s="80" t="s">
        <v>0</v>
      </c>
      <c r="M1339" s="80" t="s">
        <v>0</v>
      </c>
      <c r="N1339" s="80" t="s">
        <v>0</v>
      </c>
      <c r="O1339" s="80" t="s">
        <v>0</v>
      </c>
      <c r="P1339" s="80" t="s">
        <v>0</v>
      </c>
      <c r="Q1339" s="80" t="s">
        <v>2735</v>
      </c>
      <c r="R1339" s="84" t="s">
        <v>0</v>
      </c>
      <c r="S1339" s="10" t="s">
        <v>1</v>
      </c>
      <c r="T1339" s="10" t="s">
        <v>10221</v>
      </c>
      <c r="U1339" s="5" t="str">
        <f t="shared" si="758"/>
        <v>Propriedade destinada a instalar: é.instalação.rápida</v>
      </c>
      <c r="V1339" s="5" t="str">
        <f t="shared" si="759"/>
        <v>Dado para instalar:  instalação.rápida  Deve ser formatado como (xsd:boolean)</v>
      </c>
      <c r="W1339" s="69" t="s">
        <v>5709</v>
      </c>
      <c r="X1339" s="17" t="str">
        <f t="shared" si="735"/>
        <v>d.insta.124</v>
      </c>
      <c r="Y1339" s="17" t="str">
        <f t="shared" si="736"/>
        <v>Ação de instalar</v>
      </c>
      <c r="Z1339" s="62" t="s">
        <v>2753</v>
      </c>
      <c r="AA1339" s="18" t="str">
        <f t="shared" si="755"/>
        <v>null</v>
      </c>
      <c r="AB1339" s="19" t="s">
        <v>0</v>
      </c>
      <c r="AC1339" s="18" t="str">
        <f t="shared" si="756"/>
        <v>null</v>
      </c>
      <c r="AD1339" s="19" t="s">
        <v>0</v>
      </c>
      <c r="AE1339" s="18" t="str">
        <f t="shared" si="757"/>
        <v>null</v>
      </c>
      <c r="AF1339" s="75" t="s">
        <v>0</v>
      </c>
      <c r="AG1339" s="38" t="s">
        <v>8517</v>
      </c>
    </row>
    <row r="1340" spans="1:33" ht="6" customHeight="1" x14ac:dyDescent="0.4">
      <c r="A1340" s="4">
        <f>ROW()</f>
        <v>1340</v>
      </c>
      <c r="B1340" s="9" t="s">
        <v>27</v>
      </c>
      <c r="C1340" s="44" t="str">
        <f t="shared" si="753"/>
        <v>p.instalar</v>
      </c>
      <c r="D1340" s="6" t="str">
        <f t="shared" si="728"/>
        <v>é.montado.com</v>
      </c>
      <c r="E1340" s="8" t="s">
        <v>28</v>
      </c>
      <c r="F1340" s="34" t="str">
        <f t="shared" si="754"/>
        <v>d.instalar</v>
      </c>
      <c r="G1340" s="13" t="s">
        <v>1465</v>
      </c>
      <c r="H1340" s="34" t="s">
        <v>36</v>
      </c>
      <c r="I1340" s="92" t="str">
        <f t="shared" si="737"/>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58"/>
        <v>Propriedade destinada a instalar: é.montado.com</v>
      </c>
      <c r="V1340" s="5" t="str">
        <f t="shared" si="759"/>
        <v>Dado para instalar:  montado.com  Deve ser formatado como (xsd:boolean)</v>
      </c>
      <c r="W1340" s="69" t="s">
        <v>5710</v>
      </c>
      <c r="X1340" s="17" t="str">
        <f t="shared" si="735"/>
        <v>d.insta.125</v>
      </c>
      <c r="Y1340" s="17" t="str">
        <f t="shared" si="736"/>
        <v>Ação de instalar</v>
      </c>
      <c r="Z1340" s="62" t="s">
        <v>2754</v>
      </c>
      <c r="AA1340" s="18" t="str">
        <f t="shared" si="755"/>
        <v>null</v>
      </c>
      <c r="AB1340" s="19" t="s">
        <v>0</v>
      </c>
      <c r="AC1340" s="18" t="str">
        <f t="shared" si="756"/>
        <v>null</v>
      </c>
      <c r="AD1340" s="19" t="s">
        <v>0</v>
      </c>
      <c r="AE1340" s="18" t="str">
        <f t="shared" si="757"/>
        <v>null</v>
      </c>
      <c r="AF1340" s="75" t="s">
        <v>0</v>
      </c>
      <c r="AG1340" s="38" t="s">
        <v>8518</v>
      </c>
    </row>
    <row r="1341" spans="1:33" ht="6" customHeight="1" x14ac:dyDescent="0.4">
      <c r="A1341" s="4">
        <f>ROW()</f>
        <v>1341</v>
      </c>
      <c r="B1341" s="9" t="s">
        <v>27</v>
      </c>
      <c r="C1341" s="43" t="str">
        <f t="shared" si="753"/>
        <v>p.interoperar</v>
      </c>
      <c r="D1341" s="6" t="str">
        <f>_xlfn.CONCAT("é.",G1341)</f>
        <v>é.arquivo.revit</v>
      </c>
      <c r="E1341" s="8" t="s">
        <v>28</v>
      </c>
      <c r="F1341" s="41" t="s">
        <v>2195</v>
      </c>
      <c r="G1341" s="14" t="s">
        <v>2405</v>
      </c>
      <c r="H1341" s="33" t="s">
        <v>1581</v>
      </c>
      <c r="I1341" s="92" t="str">
        <f t="shared" si="737"/>
        <v>null</v>
      </c>
      <c r="J1341" s="82" t="s">
        <v>0</v>
      </c>
      <c r="K1341" s="82" t="s">
        <v>0</v>
      </c>
      <c r="L1341" s="82" t="s">
        <v>0</v>
      </c>
      <c r="M1341" s="82" t="s">
        <v>0</v>
      </c>
      <c r="N1341" s="80" t="s">
        <v>0</v>
      </c>
      <c r="O1341" s="82" t="s">
        <v>0</v>
      </c>
      <c r="P1341" s="82" t="s">
        <v>0</v>
      </c>
      <c r="Q1341" s="82" t="s">
        <v>0</v>
      </c>
      <c r="R1341" s="84" t="s">
        <v>0</v>
      </c>
      <c r="S1341" s="10" t="s">
        <v>1</v>
      </c>
      <c r="T1341" s="10" t="s">
        <v>10221</v>
      </c>
      <c r="U1341" s="5" t="str">
        <f>_xlfn.CONCAT("Propriedade destinada a ",MID(C1341,FIND("p.",C1341,1)+2,100),": ",D1341)</f>
        <v>Propriedade destinada a interoperar: é.arquivo.revit</v>
      </c>
      <c r="V1341" s="5" t="str">
        <f>_xlfn.CONCAT("Dado para ",MID(F1341,FIND("d.",F1341,1)+2,100),":  ",G1341, "  Deve ser formatado como (",H1341, ")")</f>
        <v>Dado para interoperar:  arquivo.revit  Deve ser formatado como (rdfs:Literal  or  xsd:string)</v>
      </c>
      <c r="W1341" s="69" t="s">
        <v>5712</v>
      </c>
      <c r="X1341" s="17" t="str">
        <f t="shared" si="735"/>
        <v>d.inter.100</v>
      </c>
      <c r="Y1341" s="17" t="str">
        <f t="shared" si="736"/>
        <v>Ação de interoperar</v>
      </c>
      <c r="Z1341" s="62" t="s">
        <v>3290</v>
      </c>
      <c r="AA1341" s="18" t="str">
        <f>IF(AB1341="null", "null", "categoria.revit")</f>
        <v>null</v>
      </c>
      <c r="AB1341" s="19" t="s">
        <v>0</v>
      </c>
      <c r="AC1341" s="18" t="str">
        <f>IF(AD1341="null", "null", "classe.ifc")</f>
        <v>null</v>
      </c>
      <c r="AD1341" s="19" t="s">
        <v>0</v>
      </c>
      <c r="AE1341" s="18" t="str">
        <f>IF(AF1341="null", "null", "propriedade")</f>
        <v>null</v>
      </c>
      <c r="AF1341" s="75" t="s">
        <v>0</v>
      </c>
      <c r="AG1341" s="38" t="s">
        <v>8519</v>
      </c>
    </row>
    <row r="1342" spans="1:33" ht="6" customHeight="1" x14ac:dyDescent="0.4">
      <c r="A1342" s="4">
        <f>ROW()</f>
        <v>1342</v>
      </c>
      <c r="B1342" s="9" t="s">
        <v>27</v>
      </c>
      <c r="C1342" s="44" t="str">
        <f t="shared" ref="C1342:C1374" si="760">SUBSTITUTE(F1342,"d.","p.")</f>
        <v>p.interoperar</v>
      </c>
      <c r="D1342" s="6" t="str">
        <f t="shared" ref="D1342" si="761">_xlfn.CONCAT("é.",G1342)</f>
        <v>é.categoria.revit</v>
      </c>
      <c r="E1342" s="8" t="s">
        <v>28</v>
      </c>
      <c r="F1342" s="34" t="str">
        <f>F1341</f>
        <v>d.interoperar</v>
      </c>
      <c r="G1342" s="13" t="s">
        <v>591</v>
      </c>
      <c r="H1342" s="33" t="s">
        <v>1581</v>
      </c>
      <c r="I1342" s="92" t="str">
        <f t="shared" si="737"/>
        <v>null</v>
      </c>
      <c r="J1342" s="80" t="s">
        <v>0</v>
      </c>
      <c r="K1342" s="80" t="s">
        <v>0</v>
      </c>
      <c r="L1342" s="80" t="s">
        <v>0</v>
      </c>
      <c r="M1342" s="80" t="s">
        <v>0</v>
      </c>
      <c r="N1342" s="80" t="s">
        <v>0</v>
      </c>
      <c r="O1342" s="80" t="s">
        <v>0</v>
      </c>
      <c r="P1342" s="80" t="s">
        <v>0</v>
      </c>
      <c r="Q1342" s="80" t="s">
        <v>0</v>
      </c>
      <c r="R1342" s="84" t="s">
        <v>0</v>
      </c>
      <c r="S1342" s="10" t="s">
        <v>1</v>
      </c>
      <c r="T1342" s="10" t="s">
        <v>10221</v>
      </c>
      <c r="U1342" s="5" t="str">
        <f t="shared" ref="U1342" si="762">_xlfn.CONCAT("Propriedade destinada a ",MID(C1342,FIND("p.",C1342,1)+2,100),": ",D1342)</f>
        <v>Propriedade destinada a interoperar: é.categoria.revit</v>
      </c>
      <c r="V1342" s="5" t="str">
        <f t="shared" ref="V1342" si="763">_xlfn.CONCAT("Dado para ",MID(F1342,FIND("d.",F1342,1)+2,100),":  ",G1342, "  Deve ser formatado como (",H1342, ")")</f>
        <v>Dado para interoperar:  categoria.revit  Deve ser formatado como (rdfs:Literal  or  xsd:string)</v>
      </c>
      <c r="W1342" s="69" t="s">
        <v>5711</v>
      </c>
      <c r="X1342" s="17" t="str">
        <f t="shared" si="735"/>
        <v>d.inter.101</v>
      </c>
      <c r="Y1342" s="17" t="str">
        <f t="shared" si="736"/>
        <v>Ação de interoperar</v>
      </c>
      <c r="Z1342" s="62" t="s">
        <v>4460</v>
      </c>
      <c r="AA1342" s="18" t="str">
        <f t="shared" ref="AA1342" si="764">IF(AB1342="null", "null", "categoria.revit")</f>
        <v>null</v>
      </c>
      <c r="AB1342" s="19" t="s">
        <v>0</v>
      </c>
      <c r="AC1342" s="18" t="str">
        <f t="shared" ref="AC1342" si="765">IF(AD1342="null", "null", "classe.ifc")</f>
        <v>null</v>
      </c>
      <c r="AD1342" s="19" t="s">
        <v>0</v>
      </c>
      <c r="AE1342" s="18" t="str">
        <f t="shared" ref="AE1342" si="766">IF(AF1342="null", "null", "propriedade")</f>
        <v>null</v>
      </c>
      <c r="AF1342" s="75" t="s">
        <v>0</v>
      </c>
      <c r="AG1342" s="38" t="s">
        <v>8520</v>
      </c>
    </row>
    <row r="1343" spans="1:33" ht="6" customHeight="1" x14ac:dyDescent="0.4">
      <c r="A1343" s="4">
        <f>ROW()</f>
        <v>1343</v>
      </c>
      <c r="B1343" s="9" t="s">
        <v>27</v>
      </c>
      <c r="C1343" s="44" t="str">
        <f t="shared" si="760"/>
        <v>p.interoperar</v>
      </c>
      <c r="D1343" s="6" t="str">
        <f t="shared" ref="D1343:D1374" si="767">_xlfn.CONCAT("é.",G1343)</f>
        <v>é.classe.ifc</v>
      </c>
      <c r="E1343" s="8" t="s">
        <v>28</v>
      </c>
      <c r="F1343" s="34" t="str">
        <f t="shared" ref="F1343:F1374" si="768">F1342</f>
        <v>d.interoperar</v>
      </c>
      <c r="G1343" s="13" t="s">
        <v>592</v>
      </c>
      <c r="H1343" s="33" t="s">
        <v>1581</v>
      </c>
      <c r="I1343" s="92" t="str">
        <f t="shared" si="737"/>
        <v>null</v>
      </c>
      <c r="J1343" s="80" t="s">
        <v>0</v>
      </c>
      <c r="K1343" s="80" t="s">
        <v>0</v>
      </c>
      <c r="L1343" s="80" t="s">
        <v>0</v>
      </c>
      <c r="M1343" s="80" t="s">
        <v>0</v>
      </c>
      <c r="N1343" s="80" t="s">
        <v>0</v>
      </c>
      <c r="O1343" s="80" t="s">
        <v>0</v>
      </c>
      <c r="P1343" s="80" t="s">
        <v>0</v>
      </c>
      <c r="Q1343" s="80" t="s">
        <v>0</v>
      </c>
      <c r="R1343" s="84" t="s">
        <v>0</v>
      </c>
      <c r="S1343" s="10" t="s">
        <v>1</v>
      </c>
      <c r="T1343" s="10" t="s">
        <v>10221</v>
      </c>
      <c r="U1343" s="5" t="str">
        <f t="shared" ref="U1343:U1374" si="769">_xlfn.CONCAT("Propriedade destinada a ",MID(C1343,FIND("p.",C1343,1)+2,100),": ",D1343)</f>
        <v>Propriedade destinada a interoperar: é.classe.ifc</v>
      </c>
      <c r="V1343" s="5" t="str">
        <f t="shared" ref="V1343:V1374" si="770">_xlfn.CONCAT("Dado para ",MID(F1343,FIND("d.",F1343,1)+2,100),":  ",G1343, "  Deve ser formatado como (",H1343, ")")</f>
        <v>Dado para interoperar:  classe.ifc  Deve ser formatado como (rdfs:Literal  or  xsd:string)</v>
      </c>
      <c r="W1343" s="69" t="s">
        <v>5721</v>
      </c>
      <c r="X1343" s="17" t="str">
        <f t="shared" si="735"/>
        <v>d.inter.102</v>
      </c>
      <c r="Y1343" s="17" t="str">
        <f t="shared" si="736"/>
        <v>Ação de interoperar</v>
      </c>
      <c r="Z1343" s="62" t="s">
        <v>4464</v>
      </c>
      <c r="AA1343" s="18" t="str">
        <f t="shared" ref="AA1343:AA1374" si="771">IF(AB1343="null", "null", "categoria.revit")</f>
        <v>null</v>
      </c>
      <c r="AB1343" s="19" t="s">
        <v>0</v>
      </c>
      <c r="AC1343" s="18" t="str">
        <f t="shared" ref="AC1343:AC1374" si="772">IF(AD1343="null", "null", "classe.ifc")</f>
        <v>null</v>
      </c>
      <c r="AD1343" s="19" t="s">
        <v>0</v>
      </c>
      <c r="AE1343" s="18" t="str">
        <f t="shared" ref="AE1343:AE1374" si="773">IF(AF1343="null", "null", "propriedade")</f>
        <v>null</v>
      </c>
      <c r="AF1343" s="75" t="s">
        <v>0</v>
      </c>
      <c r="AG1343" s="38" t="s">
        <v>8521</v>
      </c>
    </row>
    <row r="1344" spans="1:33" ht="6" customHeight="1" x14ac:dyDescent="0.4">
      <c r="A1344" s="4">
        <f>ROW()</f>
        <v>1344</v>
      </c>
      <c r="B1344" s="9" t="s">
        <v>27</v>
      </c>
      <c r="C1344" s="44" t="str">
        <f t="shared" si="760"/>
        <v>p.interoperar</v>
      </c>
      <c r="D1344" s="6" t="str">
        <f t="shared" si="767"/>
        <v>é.classe.ifc.relativa</v>
      </c>
      <c r="E1344" s="8" t="s">
        <v>28</v>
      </c>
      <c r="F1344" s="34" t="str">
        <f t="shared" si="768"/>
        <v>d.interoperar</v>
      </c>
      <c r="G1344" s="13" t="s">
        <v>1930</v>
      </c>
      <c r="H1344" s="33" t="s">
        <v>1581</v>
      </c>
      <c r="I1344" s="92" t="str">
        <f t="shared" si="737"/>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69"/>
        <v>Propriedade destinada a interoperar: é.classe.ifc.relativa</v>
      </c>
      <c r="V1344" s="5" t="str">
        <f t="shared" si="770"/>
        <v>Dado para interoperar:  classe.ifc.relativa  Deve ser formatado como (rdfs:Literal  or  xsd:string)</v>
      </c>
      <c r="W1344" s="69" t="s">
        <v>5722</v>
      </c>
      <c r="X1344" s="17" t="str">
        <f t="shared" si="735"/>
        <v>d.inter.103</v>
      </c>
      <c r="Y1344" s="17" t="str">
        <f t="shared" si="736"/>
        <v>Ação de interoperar</v>
      </c>
      <c r="Z1344" s="62" t="s">
        <v>4465</v>
      </c>
      <c r="AA1344" s="18" t="str">
        <f t="shared" si="771"/>
        <v>null</v>
      </c>
      <c r="AB1344" s="19" t="s">
        <v>0</v>
      </c>
      <c r="AC1344" s="18" t="str">
        <f t="shared" si="772"/>
        <v>null</v>
      </c>
      <c r="AD1344" s="19" t="s">
        <v>0</v>
      </c>
      <c r="AE1344" s="18" t="str">
        <f t="shared" si="773"/>
        <v>null</v>
      </c>
      <c r="AF1344" s="75" t="s">
        <v>0</v>
      </c>
      <c r="AG1344" s="38" t="s">
        <v>8522</v>
      </c>
    </row>
    <row r="1345" spans="1:33" ht="6" customHeight="1" x14ac:dyDescent="0.4">
      <c r="A1345" s="4">
        <f>ROW()</f>
        <v>1345</v>
      </c>
      <c r="B1345" s="9" t="s">
        <v>27</v>
      </c>
      <c r="C1345" s="44" t="str">
        <f t="shared" si="760"/>
        <v>p.interoperar</v>
      </c>
      <c r="D1345" s="6" t="str">
        <f t="shared" si="767"/>
        <v>é.dado.ifc</v>
      </c>
      <c r="E1345" s="8" t="s">
        <v>28</v>
      </c>
      <c r="F1345" s="34" t="str">
        <f>F1341</f>
        <v>d.interoperar</v>
      </c>
      <c r="G1345" s="13" t="s">
        <v>1939</v>
      </c>
      <c r="H1345" s="33" t="s">
        <v>1581</v>
      </c>
      <c r="I1345" s="92" t="str">
        <f t="shared" si="737"/>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69"/>
        <v>Propriedade destinada a interoperar: é.dado.ifc</v>
      </c>
      <c r="V1345" s="5" t="str">
        <f t="shared" si="770"/>
        <v>Dado para interoperar:  dado.ifc  Deve ser formatado como (rdfs:Literal  or  xsd:string)</v>
      </c>
      <c r="W1345" s="69" t="s">
        <v>5723</v>
      </c>
      <c r="X1345" s="17" t="str">
        <f t="shared" si="735"/>
        <v>d.inter.104</v>
      </c>
      <c r="Y1345" s="17" t="str">
        <f t="shared" si="736"/>
        <v>Ação de interoperar</v>
      </c>
      <c r="Z1345" s="62" t="s">
        <v>4466</v>
      </c>
      <c r="AA1345" s="18" t="str">
        <f t="shared" si="771"/>
        <v>null</v>
      </c>
      <c r="AB1345" s="19" t="s">
        <v>0</v>
      </c>
      <c r="AC1345" s="18" t="str">
        <f t="shared" si="772"/>
        <v>null</v>
      </c>
      <c r="AD1345" s="19" t="s">
        <v>0</v>
      </c>
      <c r="AE1345" s="18" t="str">
        <f t="shared" si="773"/>
        <v>null</v>
      </c>
      <c r="AF1345" s="75" t="s">
        <v>0</v>
      </c>
      <c r="AG1345" s="38" t="s">
        <v>8523</v>
      </c>
    </row>
    <row r="1346" spans="1:33" ht="6" customHeight="1" x14ac:dyDescent="0.4">
      <c r="A1346" s="4">
        <f>ROW()</f>
        <v>1346</v>
      </c>
      <c r="B1346" s="9" t="s">
        <v>27</v>
      </c>
      <c r="C1346" s="44" t="str">
        <f t="shared" si="760"/>
        <v>p.interoperar</v>
      </c>
      <c r="D1346" s="6" t="str">
        <f t="shared" si="767"/>
        <v>é.ativo.ifc</v>
      </c>
      <c r="E1346" s="8" t="s">
        <v>28</v>
      </c>
      <c r="F1346" s="34" t="str">
        <f>F1342</f>
        <v>d.interoperar</v>
      </c>
      <c r="G1346" s="13" t="s">
        <v>7084</v>
      </c>
      <c r="H1346" s="33" t="s">
        <v>1581</v>
      </c>
      <c r="I1346" s="92" t="str">
        <f t="shared" si="737"/>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69"/>
        <v>Propriedade destinada a interoperar: é.ativo.ifc</v>
      </c>
      <c r="V1346" s="5" t="str">
        <f t="shared" si="770"/>
        <v>Dado para interoperar:  ativo.ifc  Deve ser formatado como (rdfs:Literal  or  xsd:string)</v>
      </c>
      <c r="W1346" s="71" t="s">
        <v>7090</v>
      </c>
      <c r="X1346" s="17" t="str">
        <f t="shared" si="735"/>
        <v>d.inter.105</v>
      </c>
      <c r="Y1346" s="17" t="str">
        <f t="shared" si="736"/>
        <v>Ação de interoperar</v>
      </c>
      <c r="Z1346" s="62" t="s">
        <v>7168</v>
      </c>
      <c r="AA1346" s="18" t="str">
        <f t="shared" si="771"/>
        <v>null</v>
      </c>
      <c r="AB1346" s="19" t="s">
        <v>0</v>
      </c>
      <c r="AC1346" s="18" t="str">
        <f t="shared" si="772"/>
        <v>classe.ifc</v>
      </c>
      <c r="AD1346" s="19" t="s">
        <v>7087</v>
      </c>
      <c r="AE1346" s="18" t="str">
        <f t="shared" si="773"/>
        <v>null</v>
      </c>
      <c r="AF1346" s="75" t="s">
        <v>0</v>
      </c>
      <c r="AG1346" s="62" t="s">
        <v>8524</v>
      </c>
    </row>
    <row r="1347" spans="1:33" ht="6" customHeight="1" x14ac:dyDescent="0.4">
      <c r="A1347" s="4">
        <f>ROW()</f>
        <v>1347</v>
      </c>
      <c r="B1347" s="9" t="s">
        <v>27</v>
      </c>
      <c r="C1347" s="44" t="str">
        <f t="shared" si="760"/>
        <v>p.interoperar</v>
      </c>
      <c r="D1347" s="6" t="str">
        <f t="shared" si="767"/>
        <v>é.produto.ifc</v>
      </c>
      <c r="E1347" s="8" t="s">
        <v>28</v>
      </c>
      <c r="F1347" s="34" t="str">
        <f>F1343</f>
        <v>d.interoperar</v>
      </c>
      <c r="G1347" s="13" t="s">
        <v>7085</v>
      </c>
      <c r="H1347" s="33" t="s">
        <v>1581</v>
      </c>
      <c r="I1347" s="92" t="str">
        <f t="shared" si="737"/>
        <v>null</v>
      </c>
      <c r="J1347" s="80" t="s">
        <v>0</v>
      </c>
      <c r="K1347" s="80" t="s">
        <v>0</v>
      </c>
      <c r="L1347" s="80" t="s">
        <v>0</v>
      </c>
      <c r="M1347" s="80" t="s">
        <v>0</v>
      </c>
      <c r="N1347" s="80" t="s">
        <v>0</v>
      </c>
      <c r="O1347" s="80" t="s">
        <v>0</v>
      </c>
      <c r="P1347" s="80" t="s">
        <v>0</v>
      </c>
      <c r="Q1347" s="80" t="s">
        <v>0</v>
      </c>
      <c r="R1347" s="84" t="s">
        <v>0</v>
      </c>
      <c r="S1347" s="10" t="s">
        <v>1</v>
      </c>
      <c r="T1347" s="10" t="s">
        <v>10221</v>
      </c>
      <c r="U1347" s="5" t="str">
        <f t="shared" si="769"/>
        <v>Propriedade destinada a interoperar: é.produto.ifc</v>
      </c>
      <c r="V1347" s="5" t="str">
        <f t="shared" si="770"/>
        <v>Dado para interoperar:  produto.ifc  Deve ser formatado como (rdfs:Literal  or  xsd:string)</v>
      </c>
      <c r="W1347" s="71" t="s">
        <v>7089</v>
      </c>
      <c r="X1347" s="17" t="str">
        <f t="shared" ref="X1347:X1410" si="774">IF(F1346&lt;&gt;F1347,_xlfn.CONCAT(RIGHT(LEFT(F1347,7),7),".100"),_xlfn.CONCAT(RIGHT(LEFT(F1347,7),7),".",SUM(VALUE(RIGHT(X1346,3)),1)))</f>
        <v>d.inter.106</v>
      </c>
      <c r="Y1347" s="17" t="str">
        <f t="shared" ref="Y1347:Y1410" si="775">_xlfn.CONCAT("Ação de ", SUBSTITUTE(F1347, "d.",  ""))</f>
        <v>Ação de interoperar</v>
      </c>
      <c r="Z1347" s="62" t="s">
        <v>7169</v>
      </c>
      <c r="AA1347" s="18" t="str">
        <f t="shared" si="771"/>
        <v>null</v>
      </c>
      <c r="AB1347" s="19" t="s">
        <v>0</v>
      </c>
      <c r="AC1347" s="18" t="str">
        <f t="shared" si="772"/>
        <v>classe.ifc</v>
      </c>
      <c r="AD1347" s="19" t="s">
        <v>7088</v>
      </c>
      <c r="AE1347" s="18" t="str">
        <f t="shared" si="773"/>
        <v>null</v>
      </c>
      <c r="AF1347" s="75" t="s">
        <v>0</v>
      </c>
      <c r="AG1347" s="62" t="s">
        <v>8525</v>
      </c>
    </row>
    <row r="1348" spans="1:33" ht="6" customHeight="1" x14ac:dyDescent="0.4">
      <c r="A1348" s="4">
        <f>ROW()</f>
        <v>1348</v>
      </c>
      <c r="B1348" s="9" t="s">
        <v>27</v>
      </c>
      <c r="C1348" s="44" t="str">
        <f t="shared" si="760"/>
        <v>p.interoperar</v>
      </c>
      <c r="D1348" s="6" t="str">
        <f t="shared" si="767"/>
        <v>é.recurso.ifc</v>
      </c>
      <c r="E1348" s="8" t="s">
        <v>28</v>
      </c>
      <c r="F1348" s="34" t="str">
        <f>F1344</f>
        <v>d.interoperar</v>
      </c>
      <c r="G1348" s="13" t="s">
        <v>7083</v>
      </c>
      <c r="H1348" s="33" t="s">
        <v>1581</v>
      </c>
      <c r="I1348" s="92" t="str">
        <f t="shared" si="737"/>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69"/>
        <v>Propriedade destinada a interoperar: é.recurso.ifc</v>
      </c>
      <c r="V1348" s="5" t="str">
        <f t="shared" si="770"/>
        <v>Dado para interoperar:  recurso.ifc  Deve ser formatado como (rdfs:Literal  or  xsd:string)</v>
      </c>
      <c r="W1348" s="71" t="s">
        <v>7092</v>
      </c>
      <c r="X1348" s="17" t="str">
        <f t="shared" si="774"/>
        <v>d.inter.107</v>
      </c>
      <c r="Y1348" s="17" t="str">
        <f t="shared" si="775"/>
        <v>Ação de interoperar</v>
      </c>
      <c r="Z1348" s="62" t="s">
        <v>7170</v>
      </c>
      <c r="AA1348" s="18" t="str">
        <f t="shared" si="771"/>
        <v>null</v>
      </c>
      <c r="AB1348" s="19" t="s">
        <v>0</v>
      </c>
      <c r="AC1348" s="18" t="str">
        <f t="shared" si="772"/>
        <v>classe.ifc</v>
      </c>
      <c r="AD1348" s="19" t="s">
        <v>7091</v>
      </c>
      <c r="AE1348" s="18" t="str">
        <f t="shared" si="773"/>
        <v>null</v>
      </c>
      <c r="AF1348" s="75" t="s">
        <v>0</v>
      </c>
      <c r="AG1348" s="62" t="s">
        <v>8526</v>
      </c>
    </row>
    <row r="1349" spans="1:33" ht="6" customHeight="1" x14ac:dyDescent="0.4">
      <c r="A1349" s="4">
        <f>ROW()</f>
        <v>1349</v>
      </c>
      <c r="B1349" s="9" t="s">
        <v>27</v>
      </c>
      <c r="C1349" s="44" t="str">
        <f t="shared" si="760"/>
        <v>p.interoperar</v>
      </c>
      <c r="D1349" s="6" t="str">
        <f t="shared" si="767"/>
        <v>é.domínio</v>
      </c>
      <c r="E1349" s="8" t="s">
        <v>28</v>
      </c>
      <c r="F1349" s="34" t="str">
        <f t="shared" si="768"/>
        <v>d.interoperar</v>
      </c>
      <c r="G1349" s="14" t="s">
        <v>1993</v>
      </c>
      <c r="H1349" s="33" t="s">
        <v>1581</v>
      </c>
      <c r="I1349" s="92" t="str">
        <f t="shared" si="737"/>
        <v>null</v>
      </c>
      <c r="J1349" s="82" t="s">
        <v>0</v>
      </c>
      <c r="K1349" s="82" t="s">
        <v>0</v>
      </c>
      <c r="L1349" s="82" t="s">
        <v>0</v>
      </c>
      <c r="M1349" s="82" t="s">
        <v>0</v>
      </c>
      <c r="N1349" s="80" t="s">
        <v>0</v>
      </c>
      <c r="O1349" s="82" t="s">
        <v>0</v>
      </c>
      <c r="P1349" s="82" t="s">
        <v>0</v>
      </c>
      <c r="Q1349" s="82" t="s">
        <v>0</v>
      </c>
      <c r="R1349" s="84" t="s">
        <v>0</v>
      </c>
      <c r="S1349" s="10" t="s">
        <v>1</v>
      </c>
      <c r="T1349" s="10" t="s">
        <v>10221</v>
      </c>
      <c r="U1349" s="5" t="str">
        <f t="shared" si="769"/>
        <v>Propriedade destinada a interoperar: é.domínio</v>
      </c>
      <c r="V1349" s="5" t="str">
        <f t="shared" si="770"/>
        <v>Dado para interoperar:  domínio  Deve ser formatado como (rdfs:Literal  or  xsd:string)</v>
      </c>
      <c r="W1349" s="69" t="s">
        <v>5724</v>
      </c>
      <c r="X1349" s="17" t="str">
        <f t="shared" si="774"/>
        <v>d.inter.108</v>
      </c>
      <c r="Y1349" s="17" t="str">
        <f t="shared" si="775"/>
        <v>Ação de interoperar</v>
      </c>
      <c r="Z1349" s="62" t="s">
        <v>4467</v>
      </c>
      <c r="AA1349" s="18" t="str">
        <f t="shared" si="771"/>
        <v>null</v>
      </c>
      <c r="AB1349" s="19" t="s">
        <v>0</v>
      </c>
      <c r="AC1349" s="18" t="str">
        <f t="shared" si="772"/>
        <v>null</v>
      </c>
      <c r="AD1349" s="19" t="s">
        <v>0</v>
      </c>
      <c r="AE1349" s="18" t="str">
        <f t="shared" si="773"/>
        <v>null</v>
      </c>
      <c r="AF1349" s="75" t="s">
        <v>0</v>
      </c>
      <c r="AG1349" s="38" t="s">
        <v>8527</v>
      </c>
    </row>
    <row r="1350" spans="1:33" ht="6" customHeight="1" x14ac:dyDescent="0.4">
      <c r="A1350" s="4">
        <f>ROW()</f>
        <v>1350</v>
      </c>
      <c r="B1350" s="9" t="s">
        <v>27</v>
      </c>
      <c r="C1350" s="44" t="str">
        <f t="shared" si="760"/>
        <v>p.interoperar</v>
      </c>
      <c r="D1350" s="6" t="str">
        <f t="shared" si="767"/>
        <v>é.entidade.cad</v>
      </c>
      <c r="E1350" s="8" t="s">
        <v>28</v>
      </c>
      <c r="F1350" s="34" t="str">
        <f t="shared" si="768"/>
        <v>d.interoperar</v>
      </c>
      <c r="G1350" s="14" t="s">
        <v>593</v>
      </c>
      <c r="H1350" s="33" t="s">
        <v>1581</v>
      </c>
      <c r="I1350" s="92" t="str">
        <f t="shared" si="737"/>
        <v>null</v>
      </c>
      <c r="J1350" s="82" t="s">
        <v>0</v>
      </c>
      <c r="K1350" s="82" t="s">
        <v>0</v>
      </c>
      <c r="L1350" s="82" t="s">
        <v>0</v>
      </c>
      <c r="M1350" s="82" t="s">
        <v>0</v>
      </c>
      <c r="N1350" s="80" t="s">
        <v>0</v>
      </c>
      <c r="O1350" s="82" t="s">
        <v>0</v>
      </c>
      <c r="P1350" s="82" t="s">
        <v>0</v>
      </c>
      <c r="Q1350" s="82" t="s">
        <v>0</v>
      </c>
      <c r="R1350" s="84" t="s">
        <v>0</v>
      </c>
      <c r="S1350" s="10" t="s">
        <v>1</v>
      </c>
      <c r="T1350" s="10" t="s">
        <v>10221</v>
      </c>
      <c r="U1350" s="5" t="str">
        <f t="shared" si="769"/>
        <v>Propriedade destinada a interoperar: é.entidade.cad</v>
      </c>
      <c r="V1350" s="5" t="str">
        <f t="shared" si="770"/>
        <v>Dado para interoperar:  entidade.cad  Deve ser formatado como (rdfs:Literal  or  xsd:string)</v>
      </c>
      <c r="W1350" s="69" t="s">
        <v>5725</v>
      </c>
      <c r="X1350" s="17" t="str">
        <f t="shared" si="774"/>
        <v>d.inter.109</v>
      </c>
      <c r="Y1350" s="17" t="str">
        <f t="shared" si="775"/>
        <v>Ação de interoperar</v>
      </c>
      <c r="Z1350" s="62" t="s">
        <v>4468</v>
      </c>
      <c r="AA1350" s="18" t="str">
        <f t="shared" si="771"/>
        <v>null</v>
      </c>
      <c r="AB1350" s="19" t="s">
        <v>0</v>
      </c>
      <c r="AC1350" s="18" t="str">
        <f t="shared" si="772"/>
        <v>null</v>
      </c>
      <c r="AD1350" s="19" t="s">
        <v>0</v>
      </c>
      <c r="AE1350" s="18" t="str">
        <f t="shared" si="773"/>
        <v>null</v>
      </c>
      <c r="AF1350" s="75" t="s">
        <v>0</v>
      </c>
      <c r="AG1350" s="38" t="s">
        <v>8528</v>
      </c>
    </row>
    <row r="1351" spans="1:33" ht="6" customHeight="1" x14ac:dyDescent="0.4">
      <c r="A1351" s="4">
        <f>ROW()</f>
        <v>1351</v>
      </c>
      <c r="B1351" s="9" t="s">
        <v>27</v>
      </c>
      <c r="C1351" s="44" t="str">
        <f t="shared" si="760"/>
        <v>p.interoperar</v>
      </c>
      <c r="D1351" s="6" t="str">
        <f t="shared" si="767"/>
        <v>é.entidade.ifc</v>
      </c>
      <c r="E1351" s="8" t="s">
        <v>28</v>
      </c>
      <c r="F1351" s="34" t="str">
        <f t="shared" si="768"/>
        <v>d.interoperar</v>
      </c>
      <c r="G1351" s="13" t="s">
        <v>1933</v>
      </c>
      <c r="H1351" s="33" t="s">
        <v>1581</v>
      </c>
      <c r="I1351" s="92" t="str">
        <f t="shared" si="737"/>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si="769"/>
        <v>Propriedade destinada a interoperar: é.entidade.ifc</v>
      </c>
      <c r="V1351" s="5" t="str">
        <f t="shared" si="770"/>
        <v>Dado para interoperar:  entidade.ifc  Deve ser formatado como (rdfs:Literal  or  xsd:string)</v>
      </c>
      <c r="W1351" s="69" t="s">
        <v>5726</v>
      </c>
      <c r="X1351" s="17" t="str">
        <f t="shared" si="774"/>
        <v>d.inter.110</v>
      </c>
      <c r="Y1351" s="17" t="str">
        <f t="shared" si="775"/>
        <v>Ação de interoperar</v>
      </c>
      <c r="Z1351" s="62" t="s">
        <v>4469</v>
      </c>
      <c r="AA1351" s="18" t="str">
        <f t="shared" si="771"/>
        <v>null</v>
      </c>
      <c r="AB1351" s="19" t="s">
        <v>0</v>
      </c>
      <c r="AC1351" s="18" t="str">
        <f t="shared" si="772"/>
        <v>null</v>
      </c>
      <c r="AD1351" s="19" t="s">
        <v>0</v>
      </c>
      <c r="AE1351" s="18" t="str">
        <f t="shared" si="773"/>
        <v>null</v>
      </c>
      <c r="AF1351" s="75" t="s">
        <v>0</v>
      </c>
      <c r="AG1351" s="38" t="s">
        <v>8529</v>
      </c>
    </row>
    <row r="1352" spans="1:33" ht="6" customHeight="1" x14ac:dyDescent="0.4">
      <c r="A1352" s="4">
        <f>ROW()</f>
        <v>1352</v>
      </c>
      <c r="B1352" s="9" t="s">
        <v>27</v>
      </c>
      <c r="C1352" s="44" t="str">
        <f t="shared" si="760"/>
        <v>p.interoperar</v>
      </c>
      <c r="D1352" s="6" t="str">
        <f t="shared" si="767"/>
        <v>é.enumeração.ifc</v>
      </c>
      <c r="E1352" s="8" t="s">
        <v>28</v>
      </c>
      <c r="F1352" s="34" t="str">
        <f t="shared" si="768"/>
        <v>d.interoperar</v>
      </c>
      <c r="G1352" s="13" t="s">
        <v>1934</v>
      </c>
      <c r="H1352" s="33" t="s">
        <v>1581</v>
      </c>
      <c r="I1352" s="92" t="str">
        <f t="shared" ref="I1352:I1419" si="776">IF(OR(J1352="Functional",K1352="InverseFunctional"),"Functional","null")</f>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9"/>
        <v>Propriedade destinada a interoperar: é.enumeração.ifc</v>
      </c>
      <c r="V1352" s="5" t="str">
        <f t="shared" si="770"/>
        <v>Dado para interoperar:  enumeração.ifc  Deve ser formatado como (rdfs:Literal  or  xsd:string)</v>
      </c>
      <c r="W1352" s="69" t="s">
        <v>5727</v>
      </c>
      <c r="X1352" s="17" t="str">
        <f t="shared" si="774"/>
        <v>d.inter.111</v>
      </c>
      <c r="Y1352" s="17" t="str">
        <f t="shared" si="775"/>
        <v>Ação de interoperar</v>
      </c>
      <c r="Z1352" s="62" t="s">
        <v>4470</v>
      </c>
      <c r="AA1352" s="18" t="str">
        <f t="shared" si="771"/>
        <v>null</v>
      </c>
      <c r="AB1352" s="19" t="s">
        <v>0</v>
      </c>
      <c r="AC1352" s="18" t="str">
        <f t="shared" si="772"/>
        <v>null</v>
      </c>
      <c r="AD1352" s="19" t="s">
        <v>0</v>
      </c>
      <c r="AE1352" s="18" t="str">
        <f t="shared" si="773"/>
        <v>null</v>
      </c>
      <c r="AF1352" s="75" t="s">
        <v>0</v>
      </c>
      <c r="AG1352" s="38" t="s">
        <v>8530</v>
      </c>
    </row>
    <row r="1353" spans="1:33" ht="6" customHeight="1" x14ac:dyDescent="0.4">
      <c r="A1353" s="4">
        <f>ROW()</f>
        <v>1353</v>
      </c>
      <c r="B1353" s="9" t="s">
        <v>27</v>
      </c>
      <c r="C1353" s="44" t="str">
        <f t="shared" si="760"/>
        <v>p.interoperar</v>
      </c>
      <c r="D1353" s="6" t="str">
        <f t="shared" si="767"/>
        <v>é.família.de.componente</v>
      </c>
      <c r="E1353" s="8" t="s">
        <v>28</v>
      </c>
      <c r="F1353" s="34" t="str">
        <f t="shared" si="768"/>
        <v>d.interoperar</v>
      </c>
      <c r="G1353" s="14" t="s">
        <v>519</v>
      </c>
      <c r="H1353" s="33" t="s">
        <v>1581</v>
      </c>
      <c r="I1353" s="92" t="str">
        <f t="shared" si="776"/>
        <v>null</v>
      </c>
      <c r="J1353" s="82" t="s">
        <v>0</v>
      </c>
      <c r="K1353" s="82" t="s">
        <v>0</v>
      </c>
      <c r="L1353" s="82" t="s">
        <v>0</v>
      </c>
      <c r="M1353" s="82" t="s">
        <v>0</v>
      </c>
      <c r="N1353" s="80" t="s">
        <v>0</v>
      </c>
      <c r="O1353" s="82" t="s">
        <v>0</v>
      </c>
      <c r="P1353" s="82" t="s">
        <v>0</v>
      </c>
      <c r="Q1353" s="82" t="s">
        <v>0</v>
      </c>
      <c r="R1353" s="84" t="s">
        <v>0</v>
      </c>
      <c r="S1353" s="10" t="s">
        <v>1</v>
      </c>
      <c r="T1353" s="10" t="s">
        <v>10221</v>
      </c>
      <c r="U1353" s="5" t="str">
        <f t="shared" si="769"/>
        <v>Propriedade destinada a interoperar: é.família.de.componente</v>
      </c>
      <c r="V1353" s="5" t="str">
        <f t="shared" si="770"/>
        <v>Dado para interoperar:  família.de.componente  Deve ser formatado como (rdfs:Literal  or  xsd:string)</v>
      </c>
      <c r="W1353" s="69" t="s">
        <v>5717</v>
      </c>
      <c r="X1353" s="17" t="str">
        <f t="shared" si="774"/>
        <v>d.inter.112</v>
      </c>
      <c r="Y1353" s="17" t="str">
        <f t="shared" si="775"/>
        <v>Ação de interoperar</v>
      </c>
      <c r="Z1353" s="62" t="s">
        <v>4462</v>
      </c>
      <c r="AA1353" s="18" t="str">
        <f t="shared" si="771"/>
        <v>null</v>
      </c>
      <c r="AB1353" s="19" t="s">
        <v>0</v>
      </c>
      <c r="AC1353" s="18" t="str">
        <f t="shared" si="772"/>
        <v>null</v>
      </c>
      <c r="AD1353" s="19" t="s">
        <v>0</v>
      </c>
      <c r="AE1353" s="18" t="str">
        <f t="shared" si="773"/>
        <v>null</v>
      </c>
      <c r="AF1353" s="75" t="s">
        <v>0</v>
      </c>
      <c r="AG1353" s="38" t="s">
        <v>8531</v>
      </c>
    </row>
    <row r="1354" spans="1:33" ht="6" customHeight="1" x14ac:dyDescent="0.4">
      <c r="A1354" s="4">
        <f>ROW()</f>
        <v>1354</v>
      </c>
      <c r="B1354" s="9" t="s">
        <v>27</v>
      </c>
      <c r="C1354" s="44" t="str">
        <f t="shared" si="760"/>
        <v>p.interoperar</v>
      </c>
      <c r="D1354" s="6" t="str">
        <f t="shared" si="767"/>
        <v>é.família.de.sistema</v>
      </c>
      <c r="E1354" s="8" t="s">
        <v>28</v>
      </c>
      <c r="F1354" s="34" t="str">
        <f t="shared" si="768"/>
        <v>d.interoperar</v>
      </c>
      <c r="G1354" s="14" t="s">
        <v>520</v>
      </c>
      <c r="H1354" s="33" t="s">
        <v>1581</v>
      </c>
      <c r="I1354" s="92" t="str">
        <f t="shared" si="776"/>
        <v>null</v>
      </c>
      <c r="J1354" s="82" t="s">
        <v>0</v>
      </c>
      <c r="K1354" s="82" t="s">
        <v>0</v>
      </c>
      <c r="L1354" s="82" t="s">
        <v>0</v>
      </c>
      <c r="M1354" s="82" t="s">
        <v>0</v>
      </c>
      <c r="N1354" s="80" t="s">
        <v>0</v>
      </c>
      <c r="O1354" s="82" t="s">
        <v>0</v>
      </c>
      <c r="P1354" s="82" t="s">
        <v>0</v>
      </c>
      <c r="Q1354" s="82" t="s">
        <v>0</v>
      </c>
      <c r="R1354" s="84" t="s">
        <v>0</v>
      </c>
      <c r="S1354" s="10" t="s">
        <v>1</v>
      </c>
      <c r="T1354" s="10" t="s">
        <v>10221</v>
      </c>
      <c r="U1354" s="5" t="str">
        <f t="shared" si="769"/>
        <v>Propriedade destinada a interoperar: é.família.de.sistema</v>
      </c>
      <c r="V1354" s="5" t="str">
        <f t="shared" si="770"/>
        <v>Dado para interoperar:  família.de.sistema  Deve ser formatado como (rdfs:Literal  or  xsd:string)</v>
      </c>
      <c r="W1354" s="69" t="s">
        <v>5718</v>
      </c>
      <c r="X1354" s="17" t="str">
        <f t="shared" si="774"/>
        <v>d.inter.113</v>
      </c>
      <c r="Y1354" s="17" t="str">
        <f t="shared" si="775"/>
        <v>Ação de interoperar</v>
      </c>
      <c r="Z1354" s="62" t="s">
        <v>4463</v>
      </c>
      <c r="AA1354" s="18" t="str">
        <f t="shared" si="771"/>
        <v>null</v>
      </c>
      <c r="AB1354" s="19" t="s">
        <v>0</v>
      </c>
      <c r="AC1354" s="18" t="str">
        <f t="shared" si="772"/>
        <v>null</v>
      </c>
      <c r="AD1354" s="19" t="s">
        <v>0</v>
      </c>
      <c r="AE1354" s="18" t="str">
        <f t="shared" si="773"/>
        <v>null</v>
      </c>
      <c r="AF1354" s="75" t="s">
        <v>0</v>
      </c>
      <c r="AG1354" s="38" t="s">
        <v>8532</v>
      </c>
    </row>
    <row r="1355" spans="1:33" ht="6" customHeight="1" x14ac:dyDescent="0.4">
      <c r="A1355" s="4">
        <f>ROW()</f>
        <v>1355</v>
      </c>
      <c r="B1355" s="9" t="s">
        <v>27</v>
      </c>
      <c r="C1355" s="44" t="str">
        <f t="shared" si="760"/>
        <v>p.interoperar</v>
      </c>
      <c r="D1355" s="6" t="str">
        <f t="shared" si="767"/>
        <v>é.função.ifc</v>
      </c>
      <c r="E1355" s="8" t="s">
        <v>28</v>
      </c>
      <c r="F1355" s="34" t="str">
        <f t="shared" si="768"/>
        <v>d.interoperar</v>
      </c>
      <c r="G1355" s="13" t="s">
        <v>1937</v>
      </c>
      <c r="H1355" s="33" t="s">
        <v>1581</v>
      </c>
      <c r="I1355" s="92" t="str">
        <f t="shared" si="776"/>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9"/>
        <v>Propriedade destinada a interoperar: é.função.ifc</v>
      </c>
      <c r="V1355" s="5" t="str">
        <f t="shared" si="770"/>
        <v>Dado para interoperar:  função.ifc  Deve ser formatado como (rdfs:Literal  or  xsd:string)</v>
      </c>
      <c r="W1355" s="69" t="s">
        <v>5728</v>
      </c>
      <c r="X1355" s="17" t="str">
        <f t="shared" si="774"/>
        <v>d.inter.114</v>
      </c>
      <c r="Y1355" s="17" t="str">
        <f t="shared" si="775"/>
        <v>Ação de interoperar</v>
      </c>
      <c r="Z1355" s="62" t="s">
        <v>4471</v>
      </c>
      <c r="AA1355" s="18" t="str">
        <f t="shared" si="771"/>
        <v>null</v>
      </c>
      <c r="AB1355" s="19" t="s">
        <v>0</v>
      </c>
      <c r="AC1355" s="18" t="str">
        <f t="shared" si="772"/>
        <v>null</v>
      </c>
      <c r="AD1355" s="19" t="s">
        <v>0</v>
      </c>
      <c r="AE1355" s="18" t="str">
        <f t="shared" si="773"/>
        <v>null</v>
      </c>
      <c r="AF1355" s="75" t="s">
        <v>0</v>
      </c>
      <c r="AG1355" s="38" t="s">
        <v>8533</v>
      </c>
    </row>
    <row r="1356" spans="1:33" ht="6" customHeight="1" x14ac:dyDescent="0.4">
      <c r="A1356" s="4">
        <f>ROW()</f>
        <v>1356</v>
      </c>
      <c r="B1356" s="9" t="s">
        <v>27</v>
      </c>
      <c r="C1356" s="44" t="str">
        <f t="shared" si="760"/>
        <v>p.interoperar</v>
      </c>
      <c r="D1356" s="6" t="str">
        <f t="shared" si="767"/>
        <v>é.identificador.ifc</v>
      </c>
      <c r="E1356" s="8" t="s">
        <v>28</v>
      </c>
      <c r="F1356" s="34" t="str">
        <f t="shared" si="768"/>
        <v>d.interoperar</v>
      </c>
      <c r="G1356" s="13" t="s">
        <v>2721</v>
      </c>
      <c r="H1356" s="34" t="s">
        <v>1581</v>
      </c>
      <c r="I1356" s="92" t="str">
        <f t="shared" si="776"/>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9"/>
        <v>Propriedade destinada a interoperar: é.identificador.ifc</v>
      </c>
      <c r="V1356" s="5" t="str">
        <f t="shared" si="770"/>
        <v>Dado para interoperar:  identificador.ifc  Deve ser formatado como (rdfs:Literal  or  xsd:string)</v>
      </c>
      <c r="W1356" s="69" t="s">
        <v>5735</v>
      </c>
      <c r="X1356" s="17" t="str">
        <f t="shared" si="774"/>
        <v>d.inter.115</v>
      </c>
      <c r="Y1356" s="17" t="str">
        <f t="shared" si="775"/>
        <v>Ação de interoperar</v>
      </c>
      <c r="Z1356" s="62" t="s">
        <v>2412</v>
      </c>
      <c r="AA1356" s="18" t="str">
        <f t="shared" si="771"/>
        <v>categoria.revit</v>
      </c>
      <c r="AB1356" s="19" t="s">
        <v>2119</v>
      </c>
      <c r="AC1356" s="18" t="str">
        <f t="shared" si="772"/>
        <v>classe.ifc</v>
      </c>
      <c r="AD1356" s="19" t="s">
        <v>2069</v>
      </c>
      <c r="AE1356" s="18" t="str">
        <f t="shared" si="773"/>
        <v>null</v>
      </c>
      <c r="AF1356" s="75" t="s">
        <v>0</v>
      </c>
      <c r="AG1356" s="38" t="s">
        <v>8534</v>
      </c>
    </row>
    <row r="1357" spans="1:33" ht="6" customHeight="1" x14ac:dyDescent="0.4">
      <c r="A1357" s="4">
        <f>ROW()</f>
        <v>1357</v>
      </c>
      <c r="B1357" s="9" t="s">
        <v>27</v>
      </c>
      <c r="C1357" s="44" t="str">
        <f t="shared" si="760"/>
        <v>p.interoperar</v>
      </c>
      <c r="D1357" s="6" t="str">
        <f t="shared" si="767"/>
        <v>é.identificador.revit</v>
      </c>
      <c r="E1357" s="8" t="s">
        <v>28</v>
      </c>
      <c r="F1357" s="34" t="str">
        <f t="shared" si="768"/>
        <v>d.interoperar</v>
      </c>
      <c r="G1357" s="13" t="s">
        <v>2411</v>
      </c>
      <c r="H1357" s="34" t="s">
        <v>1581</v>
      </c>
      <c r="I1357" s="92" t="str">
        <f t="shared" si="776"/>
        <v>null</v>
      </c>
      <c r="J1357" s="80" t="s">
        <v>0</v>
      </c>
      <c r="K1357" s="80" t="s">
        <v>0</v>
      </c>
      <c r="L1357" s="80" t="s">
        <v>0</v>
      </c>
      <c r="M1357" s="80" t="s">
        <v>0</v>
      </c>
      <c r="N1357" s="80" t="s">
        <v>0</v>
      </c>
      <c r="O1357" s="80" t="s">
        <v>0</v>
      </c>
      <c r="P1357" s="80" t="s">
        <v>0</v>
      </c>
      <c r="Q1357" s="80" t="s">
        <v>0</v>
      </c>
      <c r="R1357" s="84" t="s">
        <v>0</v>
      </c>
      <c r="S1357" s="10" t="s">
        <v>1</v>
      </c>
      <c r="T1357" s="10" t="s">
        <v>10221</v>
      </c>
      <c r="U1357" s="5" t="str">
        <f t="shared" si="769"/>
        <v>Propriedade destinada a interoperar: é.identificador.revit</v>
      </c>
      <c r="V1357" s="5" t="str">
        <f t="shared" si="770"/>
        <v>Dado para interoperar:  identificador.revit  Deve ser formatado como (rdfs:Literal  or  xsd:string)</v>
      </c>
      <c r="W1357" s="69" t="s">
        <v>5716</v>
      </c>
      <c r="X1357" s="17" t="str">
        <f t="shared" si="774"/>
        <v>d.inter.116</v>
      </c>
      <c r="Y1357" s="17" t="str">
        <f t="shared" si="775"/>
        <v>Ação de interoperar</v>
      </c>
      <c r="Z1357" s="62" t="s">
        <v>2413</v>
      </c>
      <c r="AA1357" s="18" t="str">
        <f t="shared" si="771"/>
        <v>categoria.revit</v>
      </c>
      <c r="AB1357" s="19" t="s">
        <v>2119</v>
      </c>
      <c r="AC1357" s="18" t="str">
        <f t="shared" si="772"/>
        <v>classe.ifc</v>
      </c>
      <c r="AD1357" s="19" t="s">
        <v>2069</v>
      </c>
      <c r="AE1357" s="18" t="str">
        <f t="shared" si="773"/>
        <v>null</v>
      </c>
      <c r="AF1357" s="75" t="s">
        <v>0</v>
      </c>
      <c r="AG1357" s="38" t="s">
        <v>8535</v>
      </c>
    </row>
    <row r="1358" spans="1:33" ht="6" customHeight="1" x14ac:dyDescent="0.4">
      <c r="A1358" s="4">
        <f>ROW()</f>
        <v>1358</v>
      </c>
      <c r="B1358" s="9" t="s">
        <v>27</v>
      </c>
      <c r="C1358" s="44" t="str">
        <f t="shared" si="760"/>
        <v>p.interoperar</v>
      </c>
      <c r="D1358" s="6" t="str">
        <f t="shared" si="767"/>
        <v>é.link.ifc</v>
      </c>
      <c r="E1358" s="8" t="s">
        <v>28</v>
      </c>
      <c r="F1358" s="34" t="str">
        <f t="shared" si="768"/>
        <v>d.interoperar</v>
      </c>
      <c r="G1358" s="13" t="s">
        <v>1929</v>
      </c>
      <c r="H1358" s="33" t="s">
        <v>1581</v>
      </c>
      <c r="I1358" s="92" t="str">
        <f t="shared" si="776"/>
        <v>null</v>
      </c>
      <c r="J1358" s="80" t="s">
        <v>0</v>
      </c>
      <c r="K1358" s="80" t="s">
        <v>0</v>
      </c>
      <c r="L1358" s="80" t="s">
        <v>0</v>
      </c>
      <c r="M1358" s="80" t="s">
        <v>0</v>
      </c>
      <c r="N1358" s="80" t="s">
        <v>0</v>
      </c>
      <c r="O1358" s="80" t="s">
        <v>0</v>
      </c>
      <c r="P1358" s="80" t="s">
        <v>0</v>
      </c>
      <c r="Q1358" s="80" t="s">
        <v>0</v>
      </c>
      <c r="R1358" s="84" t="s">
        <v>0</v>
      </c>
      <c r="S1358" s="10" t="s">
        <v>1</v>
      </c>
      <c r="T1358" s="10" t="s">
        <v>10221</v>
      </c>
      <c r="U1358" s="5" t="str">
        <f t="shared" si="769"/>
        <v>Propriedade destinada a interoperar: é.link.ifc</v>
      </c>
      <c r="V1358" s="5" t="str">
        <f t="shared" si="770"/>
        <v>Dado para interoperar:  link.ifc  Deve ser formatado como (rdfs:Literal  or  xsd:string)</v>
      </c>
      <c r="W1358" s="69" t="s">
        <v>7086</v>
      </c>
      <c r="X1358" s="17" t="str">
        <f t="shared" si="774"/>
        <v>d.inter.117</v>
      </c>
      <c r="Y1358" s="17" t="str">
        <f t="shared" si="775"/>
        <v>Ação de interoperar</v>
      </c>
      <c r="Z1358" s="62" t="s">
        <v>4472</v>
      </c>
      <c r="AA1358" s="18" t="str">
        <f t="shared" si="771"/>
        <v>null</v>
      </c>
      <c r="AB1358" s="19" t="s">
        <v>0</v>
      </c>
      <c r="AC1358" s="18" t="str">
        <f t="shared" si="772"/>
        <v>null</v>
      </c>
      <c r="AD1358" s="19" t="s">
        <v>0</v>
      </c>
      <c r="AE1358" s="18" t="str">
        <f t="shared" si="773"/>
        <v>null</v>
      </c>
      <c r="AF1358" s="75" t="s">
        <v>0</v>
      </c>
      <c r="AG1358" s="38" t="s">
        <v>8536</v>
      </c>
    </row>
    <row r="1359" spans="1:33" ht="6" customHeight="1" x14ac:dyDescent="0.4">
      <c r="A1359" s="4">
        <f>ROW()</f>
        <v>1359</v>
      </c>
      <c r="B1359" s="9" t="s">
        <v>27</v>
      </c>
      <c r="C1359" s="44" t="str">
        <f t="shared" si="760"/>
        <v>p.interoperar</v>
      </c>
      <c r="D1359" s="6" t="str">
        <f t="shared" si="767"/>
        <v>é.material.ifc</v>
      </c>
      <c r="E1359" s="8" t="s">
        <v>28</v>
      </c>
      <c r="F1359" s="34" t="str">
        <f t="shared" si="768"/>
        <v>d.interoperar</v>
      </c>
      <c r="G1359" s="14" t="s">
        <v>2408</v>
      </c>
      <c r="H1359" s="33" t="s">
        <v>1581</v>
      </c>
      <c r="I1359" s="92" t="str">
        <f t="shared" si="776"/>
        <v>null</v>
      </c>
      <c r="J1359" s="82" t="s">
        <v>0</v>
      </c>
      <c r="K1359" s="82" t="s">
        <v>0</v>
      </c>
      <c r="L1359" s="82" t="s">
        <v>0</v>
      </c>
      <c r="M1359" s="82" t="s">
        <v>0</v>
      </c>
      <c r="N1359" s="80" t="s">
        <v>0</v>
      </c>
      <c r="O1359" s="82" t="s">
        <v>0</v>
      </c>
      <c r="P1359" s="82" t="s">
        <v>0</v>
      </c>
      <c r="Q1359" s="82" t="s">
        <v>0</v>
      </c>
      <c r="R1359" s="84" t="s">
        <v>0</v>
      </c>
      <c r="S1359" s="10" t="s">
        <v>1</v>
      </c>
      <c r="T1359" s="10" t="s">
        <v>10221</v>
      </c>
      <c r="U1359" s="5" t="str">
        <f t="shared" si="769"/>
        <v>Propriedade destinada a interoperar: é.material.ifc</v>
      </c>
      <c r="V1359" s="5" t="str">
        <f t="shared" si="770"/>
        <v>Dado para interoperar:  material.ifc  Deve ser formatado como (rdfs:Literal  or  xsd:string)</v>
      </c>
      <c r="W1359" s="69" t="s">
        <v>5720</v>
      </c>
      <c r="X1359" s="17" t="str">
        <f t="shared" si="774"/>
        <v>d.inter.118</v>
      </c>
      <c r="Y1359" s="17" t="str">
        <f t="shared" si="775"/>
        <v>Ação de interoperar</v>
      </c>
      <c r="Z1359" s="62" t="s">
        <v>3294</v>
      </c>
      <c r="AA1359" s="18" t="str">
        <f t="shared" si="771"/>
        <v>null</v>
      </c>
      <c r="AB1359" s="19" t="s">
        <v>0</v>
      </c>
      <c r="AC1359" s="18" t="str">
        <f t="shared" si="772"/>
        <v>null</v>
      </c>
      <c r="AD1359" s="19" t="s">
        <v>0</v>
      </c>
      <c r="AE1359" s="18" t="str">
        <f t="shared" si="773"/>
        <v>null</v>
      </c>
      <c r="AF1359" s="75" t="s">
        <v>0</v>
      </c>
      <c r="AG1359" s="38" t="s">
        <v>8537</v>
      </c>
    </row>
    <row r="1360" spans="1:33" ht="6" customHeight="1" x14ac:dyDescent="0.4">
      <c r="A1360" s="4">
        <f>ROW()</f>
        <v>1360</v>
      </c>
      <c r="B1360" s="9" t="s">
        <v>27</v>
      </c>
      <c r="C1360" s="44" t="str">
        <f t="shared" si="760"/>
        <v>p.interoperar</v>
      </c>
      <c r="D1360" s="6" t="str">
        <f t="shared" si="767"/>
        <v>é.material.revit</v>
      </c>
      <c r="E1360" s="8" t="s">
        <v>28</v>
      </c>
      <c r="F1360" s="34" t="str">
        <f t="shared" si="768"/>
        <v>d.interoperar</v>
      </c>
      <c r="G1360" s="14" t="s">
        <v>2406</v>
      </c>
      <c r="H1360" s="33" t="s">
        <v>1581</v>
      </c>
      <c r="I1360" s="92" t="str">
        <f t="shared" si="776"/>
        <v>null</v>
      </c>
      <c r="J1360" s="82" t="s">
        <v>0</v>
      </c>
      <c r="K1360" s="82" t="s">
        <v>0</v>
      </c>
      <c r="L1360" s="82" t="s">
        <v>0</v>
      </c>
      <c r="M1360" s="82" t="s">
        <v>0</v>
      </c>
      <c r="N1360" s="80" t="s">
        <v>0</v>
      </c>
      <c r="O1360" s="82" t="s">
        <v>0</v>
      </c>
      <c r="P1360" s="82" t="s">
        <v>0</v>
      </c>
      <c r="Q1360" s="82" t="s">
        <v>0</v>
      </c>
      <c r="R1360" s="84" t="s">
        <v>0</v>
      </c>
      <c r="S1360" s="10" t="s">
        <v>1</v>
      </c>
      <c r="T1360" s="10" t="s">
        <v>10221</v>
      </c>
      <c r="U1360" s="5" t="str">
        <f t="shared" si="769"/>
        <v>Propriedade destinada a interoperar: é.material.revit</v>
      </c>
      <c r="V1360" s="5" t="str">
        <f t="shared" si="770"/>
        <v>Dado para interoperar:  material.revit  Deve ser formatado como (rdfs:Literal  or  xsd:string)</v>
      </c>
      <c r="W1360" s="69" t="s">
        <v>5714</v>
      </c>
      <c r="X1360" s="17" t="str">
        <f t="shared" si="774"/>
        <v>d.inter.119</v>
      </c>
      <c r="Y1360" s="17" t="str">
        <f t="shared" si="775"/>
        <v>Ação de interoperar</v>
      </c>
      <c r="Z1360" s="62" t="s">
        <v>3292</v>
      </c>
      <c r="AA1360" s="18" t="str">
        <f t="shared" si="771"/>
        <v>null</v>
      </c>
      <c r="AB1360" s="19" t="s">
        <v>0</v>
      </c>
      <c r="AC1360" s="18" t="str">
        <f t="shared" si="772"/>
        <v>null</v>
      </c>
      <c r="AD1360" s="19" t="s">
        <v>0</v>
      </c>
      <c r="AE1360" s="18" t="str">
        <f t="shared" si="773"/>
        <v>null</v>
      </c>
      <c r="AF1360" s="75" t="s">
        <v>0</v>
      </c>
      <c r="AG1360" s="38" t="s">
        <v>8538</v>
      </c>
    </row>
    <row r="1361" spans="1:33" ht="6" customHeight="1" x14ac:dyDescent="0.4">
      <c r="A1361" s="4">
        <f>ROW()</f>
        <v>1361</v>
      </c>
      <c r="B1361" s="9" t="s">
        <v>27</v>
      </c>
      <c r="C1361" s="44" t="str">
        <f t="shared" si="760"/>
        <v>p.interoperar</v>
      </c>
      <c r="D1361" s="6" t="str">
        <f t="shared" si="767"/>
        <v>é.propriedade.ifc</v>
      </c>
      <c r="E1361" s="8" t="s">
        <v>28</v>
      </c>
      <c r="F1361" s="34" t="str">
        <f t="shared" si="768"/>
        <v>d.interoperar</v>
      </c>
      <c r="G1361" s="13" t="s">
        <v>1927</v>
      </c>
      <c r="H1361" s="33" t="s">
        <v>1581</v>
      </c>
      <c r="I1361" s="92" t="str">
        <f t="shared" si="776"/>
        <v>null</v>
      </c>
      <c r="J1361" s="80" t="s">
        <v>0</v>
      </c>
      <c r="K1361" s="80" t="s">
        <v>0</v>
      </c>
      <c r="L1361" s="80" t="s">
        <v>0</v>
      </c>
      <c r="M1361" s="80" t="s">
        <v>0</v>
      </c>
      <c r="N1361" s="80" t="s">
        <v>0</v>
      </c>
      <c r="O1361" s="80" t="s">
        <v>0</v>
      </c>
      <c r="P1361" s="80" t="s">
        <v>0</v>
      </c>
      <c r="Q1361" s="80" t="s">
        <v>0</v>
      </c>
      <c r="R1361" s="84" t="s">
        <v>0</v>
      </c>
      <c r="S1361" s="10" t="s">
        <v>1</v>
      </c>
      <c r="T1361" s="10" t="s">
        <v>10221</v>
      </c>
      <c r="U1361" s="5" t="str">
        <f t="shared" si="769"/>
        <v>Propriedade destinada a interoperar: é.propriedade.ifc</v>
      </c>
      <c r="V1361" s="5" t="str">
        <f t="shared" si="770"/>
        <v>Dado para interoperar:  propriedade.ifc  Deve ser formatado como (rdfs:Literal  or  xsd:string)</v>
      </c>
      <c r="W1361" s="69" t="s">
        <v>5729</v>
      </c>
      <c r="X1361" s="17" t="str">
        <f t="shared" si="774"/>
        <v>d.inter.120</v>
      </c>
      <c r="Y1361" s="17" t="str">
        <f t="shared" si="775"/>
        <v>Ação de interoperar</v>
      </c>
      <c r="Z1361" s="62" t="s">
        <v>4473</v>
      </c>
      <c r="AA1361" s="18" t="str">
        <f t="shared" si="771"/>
        <v>null</v>
      </c>
      <c r="AB1361" s="19" t="s">
        <v>0</v>
      </c>
      <c r="AC1361" s="18" t="str">
        <f t="shared" si="772"/>
        <v>null</v>
      </c>
      <c r="AD1361" s="19" t="s">
        <v>0</v>
      </c>
      <c r="AE1361" s="18" t="str">
        <f t="shared" si="773"/>
        <v>propriedade</v>
      </c>
      <c r="AF1361" s="75" t="s">
        <v>1881</v>
      </c>
      <c r="AG1361" s="38" t="s">
        <v>8539</v>
      </c>
    </row>
    <row r="1362" spans="1:33" ht="6" customHeight="1" x14ac:dyDescent="0.4">
      <c r="A1362" s="4">
        <f>ROW()</f>
        <v>1362</v>
      </c>
      <c r="B1362" s="9" t="s">
        <v>27</v>
      </c>
      <c r="C1362" s="44" t="str">
        <f t="shared" si="760"/>
        <v>p.interoperar</v>
      </c>
      <c r="D1362" s="6" t="str">
        <f t="shared" si="767"/>
        <v>é.pset.ifc</v>
      </c>
      <c r="E1362" s="8" t="s">
        <v>28</v>
      </c>
      <c r="F1362" s="34" t="str">
        <f t="shared" si="768"/>
        <v>d.interoperar</v>
      </c>
      <c r="G1362" s="13" t="s">
        <v>1928</v>
      </c>
      <c r="H1362" s="33" t="s">
        <v>1581</v>
      </c>
      <c r="I1362" s="92" t="str">
        <f t="shared" si="776"/>
        <v>null</v>
      </c>
      <c r="J1362" s="80" t="s">
        <v>0</v>
      </c>
      <c r="K1362" s="80" t="s">
        <v>0</v>
      </c>
      <c r="L1362" s="80" t="s">
        <v>0</v>
      </c>
      <c r="M1362" s="80" t="s">
        <v>0</v>
      </c>
      <c r="N1362" s="80" t="s">
        <v>0</v>
      </c>
      <c r="O1362" s="80" t="s">
        <v>0</v>
      </c>
      <c r="P1362" s="80" t="s">
        <v>0</v>
      </c>
      <c r="Q1362" s="80" t="s">
        <v>0</v>
      </c>
      <c r="R1362" s="84" t="s">
        <v>0</v>
      </c>
      <c r="S1362" s="10" t="s">
        <v>1</v>
      </c>
      <c r="T1362" s="10" t="s">
        <v>10221</v>
      </c>
      <c r="U1362" s="5" t="str">
        <f t="shared" si="769"/>
        <v>Propriedade destinada a interoperar: é.pset.ifc</v>
      </c>
      <c r="V1362" s="5" t="str">
        <f t="shared" si="770"/>
        <v>Dado para interoperar:  pset.ifc  Deve ser formatado como (rdfs:Literal  or  xsd:string)</v>
      </c>
      <c r="W1362" s="69" t="s">
        <v>5730</v>
      </c>
      <c r="X1362" s="17" t="str">
        <f t="shared" si="774"/>
        <v>d.inter.121</v>
      </c>
      <c r="Y1362" s="17" t="str">
        <f t="shared" si="775"/>
        <v>Ação de interoperar</v>
      </c>
      <c r="Z1362" s="62" t="s">
        <v>4474</v>
      </c>
      <c r="AA1362" s="18" t="str">
        <f t="shared" si="771"/>
        <v>null</v>
      </c>
      <c r="AB1362" s="19" t="s">
        <v>0</v>
      </c>
      <c r="AC1362" s="18" t="str">
        <f t="shared" si="772"/>
        <v>null</v>
      </c>
      <c r="AD1362" s="19" t="s">
        <v>0</v>
      </c>
      <c r="AE1362" s="18" t="str">
        <f t="shared" si="773"/>
        <v>null</v>
      </c>
      <c r="AF1362" s="75" t="s">
        <v>0</v>
      </c>
      <c r="AG1362" s="38" t="s">
        <v>8540</v>
      </c>
    </row>
    <row r="1363" spans="1:33" ht="6" customHeight="1" x14ac:dyDescent="0.4">
      <c r="A1363" s="4">
        <f>ROW()</f>
        <v>1363</v>
      </c>
      <c r="B1363" s="9" t="s">
        <v>27</v>
      </c>
      <c r="C1363" s="44" t="str">
        <f t="shared" si="760"/>
        <v>p.interoperar</v>
      </c>
      <c r="D1363" s="6" t="str">
        <f t="shared" si="767"/>
        <v>é.qto.ifc</v>
      </c>
      <c r="E1363" s="8" t="s">
        <v>28</v>
      </c>
      <c r="F1363" s="34" t="str">
        <f t="shared" si="768"/>
        <v>d.interoperar</v>
      </c>
      <c r="G1363" s="13" t="s">
        <v>1938</v>
      </c>
      <c r="H1363" s="33" t="s">
        <v>1581</v>
      </c>
      <c r="I1363" s="92" t="str">
        <f t="shared" si="776"/>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9"/>
        <v>Propriedade destinada a interoperar: é.qto.ifc</v>
      </c>
      <c r="V1363" s="5" t="str">
        <f t="shared" si="770"/>
        <v>Dado para interoperar:  qto.ifc  Deve ser formatado como (rdfs:Literal  or  xsd:string)</v>
      </c>
      <c r="W1363" s="69" t="s">
        <v>5731</v>
      </c>
      <c r="X1363" s="17" t="str">
        <f t="shared" si="774"/>
        <v>d.inter.122</v>
      </c>
      <c r="Y1363" s="17" t="str">
        <f t="shared" si="775"/>
        <v>Ação de interoperar</v>
      </c>
      <c r="Z1363" s="62" t="s">
        <v>4475</v>
      </c>
      <c r="AA1363" s="18" t="str">
        <f t="shared" si="771"/>
        <v>null</v>
      </c>
      <c r="AB1363" s="19" t="s">
        <v>0</v>
      </c>
      <c r="AC1363" s="18" t="str">
        <f t="shared" si="772"/>
        <v>null</v>
      </c>
      <c r="AD1363" s="19" t="s">
        <v>0</v>
      </c>
      <c r="AE1363" s="18" t="str">
        <f t="shared" si="773"/>
        <v>null</v>
      </c>
      <c r="AF1363" s="75" t="s">
        <v>0</v>
      </c>
      <c r="AG1363" s="38" t="s">
        <v>8541</v>
      </c>
    </row>
    <row r="1364" spans="1:33" ht="6" customHeight="1" x14ac:dyDescent="0.4">
      <c r="A1364" s="4">
        <f>ROW()</f>
        <v>1364</v>
      </c>
      <c r="B1364" s="9" t="s">
        <v>27</v>
      </c>
      <c r="C1364" s="44" t="str">
        <f t="shared" si="760"/>
        <v>p.interoperar</v>
      </c>
      <c r="D1364" s="6" t="str">
        <f t="shared" si="767"/>
        <v>é.regra.ifc</v>
      </c>
      <c r="E1364" s="8" t="s">
        <v>28</v>
      </c>
      <c r="F1364" s="34" t="str">
        <f t="shared" si="768"/>
        <v>d.interoperar</v>
      </c>
      <c r="G1364" s="13" t="s">
        <v>1936</v>
      </c>
      <c r="H1364" s="33" t="s">
        <v>1581</v>
      </c>
      <c r="I1364" s="92" t="str">
        <f t="shared" si="776"/>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9"/>
        <v>Propriedade destinada a interoperar: é.regra.ifc</v>
      </c>
      <c r="V1364" s="5" t="str">
        <f t="shared" si="770"/>
        <v>Dado para interoperar:  regra.ifc  Deve ser formatado como (rdfs:Literal  or  xsd:string)</v>
      </c>
      <c r="W1364" s="69" t="s">
        <v>5732</v>
      </c>
      <c r="X1364" s="17" t="str">
        <f t="shared" si="774"/>
        <v>d.inter.123</v>
      </c>
      <c r="Y1364" s="17" t="str">
        <f t="shared" si="775"/>
        <v>Ação de interoperar</v>
      </c>
      <c r="Z1364" s="62" t="s">
        <v>4476</v>
      </c>
      <c r="AA1364" s="18" t="str">
        <f t="shared" si="771"/>
        <v>null</v>
      </c>
      <c r="AB1364" s="19" t="s">
        <v>0</v>
      </c>
      <c r="AC1364" s="18" t="str">
        <f t="shared" si="772"/>
        <v>null</v>
      </c>
      <c r="AD1364" s="19" t="s">
        <v>0</v>
      </c>
      <c r="AE1364" s="18" t="str">
        <f t="shared" si="773"/>
        <v>null</v>
      </c>
      <c r="AF1364" s="75" t="s">
        <v>0</v>
      </c>
      <c r="AG1364" s="38" t="s">
        <v>8542</v>
      </c>
    </row>
    <row r="1365" spans="1:33" ht="6" customHeight="1" x14ac:dyDescent="0.4">
      <c r="A1365" s="4">
        <f>ROW()</f>
        <v>1365</v>
      </c>
      <c r="B1365" s="9" t="s">
        <v>27</v>
      </c>
      <c r="C1365" s="44" t="str">
        <f t="shared" si="760"/>
        <v>p.interoperar</v>
      </c>
      <c r="D1365" s="6" t="str">
        <f t="shared" si="767"/>
        <v>é.seleção.ifc</v>
      </c>
      <c r="E1365" s="8" t="s">
        <v>28</v>
      </c>
      <c r="F1365" s="34" t="str">
        <f t="shared" si="768"/>
        <v>d.interoperar</v>
      </c>
      <c r="G1365" s="13" t="s">
        <v>1940</v>
      </c>
      <c r="H1365" s="33" t="s">
        <v>1581</v>
      </c>
      <c r="I1365" s="92" t="str">
        <f t="shared" si="776"/>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9"/>
        <v>Propriedade destinada a interoperar: é.seleção.ifc</v>
      </c>
      <c r="V1365" s="5" t="str">
        <f t="shared" si="770"/>
        <v>Dado para interoperar:  seleção.ifc  Deve ser formatado como (rdfs:Literal  or  xsd:string)</v>
      </c>
      <c r="W1365" s="69" t="s">
        <v>5733</v>
      </c>
      <c r="X1365" s="17" t="str">
        <f t="shared" si="774"/>
        <v>d.inter.124</v>
      </c>
      <c r="Y1365" s="17" t="str">
        <f t="shared" si="775"/>
        <v>Ação de interoperar</v>
      </c>
      <c r="Z1365" s="62" t="s">
        <v>4477</v>
      </c>
      <c r="AA1365" s="18" t="str">
        <f t="shared" si="771"/>
        <v>null</v>
      </c>
      <c r="AB1365" s="19" t="s">
        <v>0</v>
      </c>
      <c r="AC1365" s="18" t="str">
        <f t="shared" si="772"/>
        <v>null</v>
      </c>
      <c r="AD1365" s="19" t="s">
        <v>0</v>
      </c>
      <c r="AE1365" s="18" t="str">
        <f t="shared" si="773"/>
        <v>null</v>
      </c>
      <c r="AF1365" s="75" t="s">
        <v>0</v>
      </c>
      <c r="AG1365" s="38" t="s">
        <v>8543</v>
      </c>
    </row>
    <row r="1366" spans="1:33" ht="6" customHeight="1" x14ac:dyDescent="0.4">
      <c r="A1366" s="4">
        <f>ROW()</f>
        <v>1366</v>
      </c>
      <c r="B1366" s="9" t="s">
        <v>27</v>
      </c>
      <c r="C1366" s="44" t="str">
        <f t="shared" si="760"/>
        <v>p.interoperar</v>
      </c>
      <c r="D1366" s="6" t="str">
        <f t="shared" si="767"/>
        <v>é.tipo.ifc</v>
      </c>
      <c r="E1366" s="8" t="s">
        <v>28</v>
      </c>
      <c r="F1366" s="34" t="str">
        <f t="shared" si="768"/>
        <v>d.interoperar</v>
      </c>
      <c r="G1366" s="13" t="s">
        <v>1935</v>
      </c>
      <c r="H1366" s="33" t="s">
        <v>1581</v>
      </c>
      <c r="I1366" s="92" t="str">
        <f t="shared" si="776"/>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9"/>
        <v>Propriedade destinada a interoperar: é.tipo.ifc</v>
      </c>
      <c r="V1366" s="5" t="str">
        <f t="shared" si="770"/>
        <v>Dado para interoperar:  tipo.ifc  Deve ser formatado como (rdfs:Literal  or  xsd:string)</v>
      </c>
      <c r="W1366" s="69" t="s">
        <v>5734</v>
      </c>
      <c r="X1366" s="17" t="str">
        <f t="shared" si="774"/>
        <v>d.inter.125</v>
      </c>
      <c r="Y1366" s="17" t="str">
        <f t="shared" si="775"/>
        <v>Ação de interoperar</v>
      </c>
      <c r="Z1366" s="62" t="s">
        <v>4478</v>
      </c>
      <c r="AA1366" s="18" t="str">
        <f t="shared" si="771"/>
        <v>null</v>
      </c>
      <c r="AB1366" s="19" t="s">
        <v>0</v>
      </c>
      <c r="AC1366" s="18" t="str">
        <f t="shared" si="772"/>
        <v>null</v>
      </c>
      <c r="AD1366" s="19" t="s">
        <v>0</v>
      </c>
      <c r="AE1366" s="18" t="str">
        <f t="shared" si="773"/>
        <v>null</v>
      </c>
      <c r="AF1366" s="75" t="s">
        <v>0</v>
      </c>
      <c r="AG1366" s="38" t="s">
        <v>8544</v>
      </c>
    </row>
    <row r="1367" spans="1:33" ht="6" customHeight="1" x14ac:dyDescent="0.4">
      <c r="A1367" s="4">
        <f>ROW()</f>
        <v>1367</v>
      </c>
      <c r="B1367" s="9" t="s">
        <v>27</v>
      </c>
      <c r="C1367" s="44" t="str">
        <f t="shared" si="760"/>
        <v>p.interoperar</v>
      </c>
      <c r="D1367" s="6" t="str">
        <f t="shared" si="767"/>
        <v>é.tipo.revit</v>
      </c>
      <c r="E1367" s="8" t="s">
        <v>28</v>
      </c>
      <c r="F1367" s="34" t="str">
        <f t="shared" si="768"/>
        <v>d.interoperar</v>
      </c>
      <c r="G1367" s="14" t="s">
        <v>2045</v>
      </c>
      <c r="H1367" s="33" t="s">
        <v>1581</v>
      </c>
      <c r="I1367" s="92" t="str">
        <f t="shared" si="776"/>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9"/>
        <v>Propriedade destinada a interoperar: é.tipo.revit</v>
      </c>
      <c r="V1367" s="5" t="str">
        <f t="shared" si="770"/>
        <v>Dado para interoperar:  tipo.revit  Deve ser formatado como (rdfs:Literal  or  xsd:string)</v>
      </c>
      <c r="W1367" s="69" t="s">
        <v>5715</v>
      </c>
      <c r="X1367" s="17" t="str">
        <f t="shared" si="774"/>
        <v>d.inter.126</v>
      </c>
      <c r="Y1367" s="17" t="str">
        <f t="shared" si="775"/>
        <v>Ação de interoperar</v>
      </c>
      <c r="Z1367" s="62" t="s">
        <v>4461</v>
      </c>
      <c r="AA1367" s="18" t="str">
        <f t="shared" si="771"/>
        <v>null</v>
      </c>
      <c r="AB1367" s="19" t="s">
        <v>0</v>
      </c>
      <c r="AC1367" s="18" t="str">
        <f t="shared" si="772"/>
        <v>null</v>
      </c>
      <c r="AD1367" s="19" t="s">
        <v>0</v>
      </c>
      <c r="AE1367" s="18" t="str">
        <f t="shared" si="773"/>
        <v>null</v>
      </c>
      <c r="AF1367" s="75" t="s">
        <v>0</v>
      </c>
      <c r="AG1367" s="38" t="s">
        <v>8545</v>
      </c>
    </row>
    <row r="1368" spans="1:33" ht="6" customHeight="1" x14ac:dyDescent="0.4">
      <c r="A1368" s="4">
        <f>ROW()</f>
        <v>1368</v>
      </c>
      <c r="B1368" s="9" t="s">
        <v>27</v>
      </c>
      <c r="C1368" s="44" t="str">
        <f t="shared" si="760"/>
        <v>p.interoperar</v>
      </c>
      <c r="D1368" s="6" t="str">
        <f t="shared" si="767"/>
        <v>é.tradução.ifc</v>
      </c>
      <c r="E1368" s="8" t="s">
        <v>28</v>
      </c>
      <c r="F1368" s="34" t="str">
        <f t="shared" si="768"/>
        <v>d.interoperar</v>
      </c>
      <c r="G1368" s="14" t="s">
        <v>1998</v>
      </c>
      <c r="H1368" s="33" t="s">
        <v>1581</v>
      </c>
      <c r="I1368" s="92" t="str">
        <f t="shared" si="776"/>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9"/>
        <v>Propriedade destinada a interoperar: é.tradução.ifc</v>
      </c>
      <c r="V1368" s="5" t="str">
        <f t="shared" si="770"/>
        <v>Dado para interoperar:  tradução.ifc  Deve ser formatado como (rdfs:Literal  or  xsd:string)</v>
      </c>
      <c r="W1368" s="69" t="s">
        <v>5736</v>
      </c>
      <c r="X1368" s="17" t="str">
        <f t="shared" si="774"/>
        <v>d.inter.127</v>
      </c>
      <c r="Y1368" s="17" t="str">
        <f t="shared" si="775"/>
        <v>Ação de interoperar</v>
      </c>
      <c r="Z1368" s="62" t="s">
        <v>4479</v>
      </c>
      <c r="AA1368" s="18" t="str">
        <f t="shared" si="771"/>
        <v>null</v>
      </c>
      <c r="AB1368" s="19" t="s">
        <v>0</v>
      </c>
      <c r="AC1368" s="18" t="str">
        <f t="shared" si="772"/>
        <v>null</v>
      </c>
      <c r="AD1368" s="19" t="s">
        <v>0</v>
      </c>
      <c r="AE1368" s="18" t="str">
        <f t="shared" si="773"/>
        <v>null</v>
      </c>
      <c r="AF1368" s="75" t="s">
        <v>0</v>
      </c>
      <c r="AG1368" s="38" t="s">
        <v>8546</v>
      </c>
    </row>
    <row r="1369" spans="1:33" ht="6" customHeight="1" x14ac:dyDescent="0.4">
      <c r="A1369" s="4">
        <f>ROW()</f>
        <v>1369</v>
      </c>
      <c r="B1369" s="9" t="s">
        <v>27</v>
      </c>
      <c r="C1369" s="44" t="str">
        <f t="shared" si="760"/>
        <v>p.interoperar</v>
      </c>
      <c r="D1369" s="6" t="str">
        <f t="shared" si="767"/>
        <v>é.versão.ifc</v>
      </c>
      <c r="E1369" s="8" t="s">
        <v>28</v>
      </c>
      <c r="F1369" s="34" t="str">
        <f t="shared" si="768"/>
        <v>d.interoperar</v>
      </c>
      <c r="G1369" s="14" t="s">
        <v>2410</v>
      </c>
      <c r="H1369" s="33" t="s">
        <v>1581</v>
      </c>
      <c r="I1369" s="92" t="str">
        <f t="shared" si="776"/>
        <v>null</v>
      </c>
      <c r="J1369" s="82" t="s">
        <v>0</v>
      </c>
      <c r="K1369" s="82" t="s">
        <v>0</v>
      </c>
      <c r="L1369" s="82" t="s">
        <v>0</v>
      </c>
      <c r="M1369" s="82" t="s">
        <v>0</v>
      </c>
      <c r="N1369" s="80" t="s">
        <v>0</v>
      </c>
      <c r="O1369" s="82" t="s">
        <v>0</v>
      </c>
      <c r="P1369" s="82" t="s">
        <v>0</v>
      </c>
      <c r="Q1369" s="82" t="s">
        <v>0</v>
      </c>
      <c r="R1369" s="84" t="s">
        <v>0</v>
      </c>
      <c r="S1369" s="10" t="s">
        <v>1</v>
      </c>
      <c r="T1369" s="10" t="s">
        <v>10221</v>
      </c>
      <c r="U1369" s="5" t="str">
        <f t="shared" si="769"/>
        <v>Propriedade destinada a interoperar: é.versão.ifc</v>
      </c>
      <c r="V1369" s="5" t="str">
        <f t="shared" si="770"/>
        <v>Dado para interoperar:  versão.ifc  Deve ser formatado como (rdfs:Literal  or  xsd:string)</v>
      </c>
      <c r="W1369" s="69" t="s">
        <v>5719</v>
      </c>
      <c r="X1369" s="17" t="str">
        <f t="shared" si="774"/>
        <v>d.inter.128</v>
      </c>
      <c r="Y1369" s="17" t="str">
        <f t="shared" si="775"/>
        <v>Ação de interoperar</v>
      </c>
      <c r="Z1369" s="62" t="s">
        <v>3293</v>
      </c>
      <c r="AA1369" s="18" t="str">
        <f t="shared" si="771"/>
        <v>null</v>
      </c>
      <c r="AB1369" s="19" t="s">
        <v>0</v>
      </c>
      <c r="AC1369" s="18" t="str">
        <f t="shared" si="772"/>
        <v>null</v>
      </c>
      <c r="AD1369" s="19" t="s">
        <v>0</v>
      </c>
      <c r="AE1369" s="18" t="str">
        <f t="shared" si="773"/>
        <v>null</v>
      </c>
      <c r="AF1369" s="75" t="s">
        <v>0</v>
      </c>
      <c r="AG1369" s="38" t="s">
        <v>8547</v>
      </c>
    </row>
    <row r="1370" spans="1:33" ht="6" customHeight="1" x14ac:dyDescent="0.4">
      <c r="A1370" s="4">
        <f>ROW()</f>
        <v>1370</v>
      </c>
      <c r="B1370" s="9" t="s">
        <v>27</v>
      </c>
      <c r="C1370" s="44" t="str">
        <f t="shared" si="760"/>
        <v>p.interoperar</v>
      </c>
      <c r="D1370" s="6" t="str">
        <f t="shared" si="767"/>
        <v>é.versão.revit</v>
      </c>
      <c r="E1370" s="8" t="s">
        <v>28</v>
      </c>
      <c r="F1370" s="34" t="str">
        <f t="shared" si="768"/>
        <v>d.interoperar</v>
      </c>
      <c r="G1370" s="14" t="s">
        <v>2409</v>
      </c>
      <c r="H1370" s="33" t="s">
        <v>1581</v>
      </c>
      <c r="I1370" s="92" t="str">
        <f t="shared" si="776"/>
        <v>null</v>
      </c>
      <c r="J1370" s="82" t="s">
        <v>0</v>
      </c>
      <c r="K1370" s="82" t="s">
        <v>0</v>
      </c>
      <c r="L1370" s="82" t="s">
        <v>0</v>
      </c>
      <c r="M1370" s="82" t="s">
        <v>0</v>
      </c>
      <c r="N1370" s="80" t="s">
        <v>0</v>
      </c>
      <c r="O1370" s="82" t="s">
        <v>0</v>
      </c>
      <c r="P1370" s="82" t="s">
        <v>0</v>
      </c>
      <c r="Q1370" s="82" t="s">
        <v>0</v>
      </c>
      <c r="R1370" s="84" t="s">
        <v>0</v>
      </c>
      <c r="S1370" s="10" t="s">
        <v>1</v>
      </c>
      <c r="T1370" s="10" t="s">
        <v>10221</v>
      </c>
      <c r="U1370" s="5" t="str">
        <f t="shared" si="769"/>
        <v>Propriedade destinada a interoperar: é.versão.revit</v>
      </c>
      <c r="V1370" s="5" t="str">
        <f t="shared" si="770"/>
        <v>Dado para interoperar:  versão.revit  Deve ser formatado como (rdfs:Literal  or  xsd:string)</v>
      </c>
      <c r="W1370" s="69" t="s">
        <v>5713</v>
      </c>
      <c r="X1370" s="17" t="str">
        <f t="shared" si="774"/>
        <v>d.inter.129</v>
      </c>
      <c r="Y1370" s="17" t="str">
        <f t="shared" si="775"/>
        <v>Ação de interoperar</v>
      </c>
      <c r="Z1370" s="62" t="s">
        <v>3291</v>
      </c>
      <c r="AA1370" s="18" t="str">
        <f t="shared" si="771"/>
        <v>null</v>
      </c>
      <c r="AB1370" s="19" t="s">
        <v>0</v>
      </c>
      <c r="AC1370" s="18" t="str">
        <f t="shared" si="772"/>
        <v>null</v>
      </c>
      <c r="AD1370" s="19" t="s">
        <v>0</v>
      </c>
      <c r="AE1370" s="18" t="str">
        <f t="shared" si="773"/>
        <v>null</v>
      </c>
      <c r="AF1370" s="75" t="s">
        <v>0</v>
      </c>
      <c r="AG1370" s="38" t="s">
        <v>8548</v>
      </c>
    </row>
    <row r="1371" spans="1:33" ht="6" customHeight="1" x14ac:dyDescent="0.4">
      <c r="A1371" s="4">
        <f>ROW()</f>
        <v>1371</v>
      </c>
      <c r="B1371" s="9" t="s">
        <v>27</v>
      </c>
      <c r="C1371" s="43" t="str">
        <f t="shared" ref="C1371:C1372" si="777">SUBSTITUTE(F1371,"d.","p.")</f>
        <v>p.inventariar</v>
      </c>
      <c r="D1371" s="6" t="str">
        <f t="shared" ref="D1371:D1372" si="778">_xlfn.CONCAT("é.",G1371)</f>
        <v>é.código.de.inventário</v>
      </c>
      <c r="E1371" s="8" t="s">
        <v>28</v>
      </c>
      <c r="F1371" s="41" t="s">
        <v>10217</v>
      </c>
      <c r="G1371" s="14" t="s">
        <v>10219</v>
      </c>
      <c r="H1371" s="33" t="s">
        <v>1581</v>
      </c>
      <c r="I1371" s="92" t="str">
        <f t="shared" ref="I1371:I1372" si="779">IF(OR(J1371="Functional",K1371="InverseFunctional"),"Functional","null")</f>
        <v>Functional</v>
      </c>
      <c r="J1371" s="82" t="s">
        <v>0</v>
      </c>
      <c r="K1371" s="82" t="s">
        <v>262</v>
      </c>
      <c r="L1371" s="82" t="s">
        <v>0</v>
      </c>
      <c r="M1371" s="82" t="s">
        <v>0</v>
      </c>
      <c r="N1371" s="80" t="s">
        <v>0</v>
      </c>
      <c r="O1371" s="82" t="s">
        <v>0</v>
      </c>
      <c r="P1371" s="82" t="s">
        <v>0</v>
      </c>
      <c r="Q1371" s="82" t="s">
        <v>0</v>
      </c>
      <c r="R1371" s="84" t="s">
        <v>10226</v>
      </c>
      <c r="S1371" s="10" t="s">
        <v>1</v>
      </c>
      <c r="T1371" s="10" t="s">
        <v>10221</v>
      </c>
      <c r="U1371" s="5" t="str">
        <f t="shared" ref="U1371:U1372" si="780">_xlfn.CONCAT("Propriedade destinada a ",MID(C1371,FIND("p.",C1371,1)+2,100),": ",D1371)</f>
        <v>Propriedade destinada a inventariar: é.código.de.inventário</v>
      </c>
      <c r="V1371" s="5" t="str">
        <f t="shared" ref="V1371:V1372" si="781">_xlfn.CONCAT("Dado para ",MID(F1371,FIND("d.",F1371,1)+2,100),":  ",G1371, "  Deve ser formatado como (",H1371, ")")</f>
        <v>Dado para inventariar:  código.de.inventário  Deve ser formatado como (rdfs:Literal  or  xsd:string)</v>
      </c>
      <c r="W1371" s="69" t="s">
        <v>10222</v>
      </c>
      <c r="X1371" s="17" t="str">
        <f t="shared" si="774"/>
        <v>d.inven.100</v>
      </c>
      <c r="Y1371" s="17" t="str">
        <f t="shared" si="775"/>
        <v>Ação de inventariar</v>
      </c>
      <c r="Z1371" s="62" t="str">
        <f>_xlfn.TRANSLATE(W1371,"pt","es")</f>
        <v>Declara el código de inventario.</v>
      </c>
      <c r="AA1371" s="18" t="str">
        <f t="shared" ref="AA1371:AA1372" si="782">IF(AB1371="null", "null", "categoria.revit")</f>
        <v>null</v>
      </c>
      <c r="AB1371" s="19" t="s">
        <v>0</v>
      </c>
      <c r="AC1371" s="18" t="str">
        <f t="shared" ref="AC1371:AC1372" si="783">IF(AD1371="null", "null", "classe.ifc")</f>
        <v>null</v>
      </c>
      <c r="AD1371" s="19" t="s">
        <v>0</v>
      </c>
      <c r="AE1371" s="18" t="str">
        <f t="shared" ref="AE1371:AE1372" si="784">IF(AF1371="null", "null", "propriedade")</f>
        <v>null</v>
      </c>
      <c r="AF1371" s="75" t="s">
        <v>0</v>
      </c>
      <c r="AG1371" s="62" t="s">
        <v>11272</v>
      </c>
    </row>
    <row r="1372" spans="1:33" ht="6" customHeight="1" x14ac:dyDescent="0.4">
      <c r="A1372" s="4">
        <f>ROW()</f>
        <v>1372</v>
      </c>
      <c r="B1372" s="9" t="s">
        <v>27</v>
      </c>
      <c r="C1372" s="44" t="str">
        <f t="shared" si="777"/>
        <v>p.inventariar</v>
      </c>
      <c r="D1372" s="6" t="str">
        <f t="shared" si="778"/>
        <v>é.item.de.inventário</v>
      </c>
      <c r="E1372" s="8" t="s">
        <v>28</v>
      </c>
      <c r="F1372" s="34" t="str">
        <f t="shared" si="768"/>
        <v>d.inventariar</v>
      </c>
      <c r="G1372" s="14" t="s">
        <v>10220</v>
      </c>
      <c r="H1372" s="33" t="s">
        <v>1581</v>
      </c>
      <c r="I1372" s="92" t="str">
        <f t="shared" si="779"/>
        <v>null</v>
      </c>
      <c r="J1372" s="82" t="s">
        <v>0</v>
      </c>
      <c r="K1372" s="82" t="s">
        <v>0</v>
      </c>
      <c r="L1372" s="82" t="s">
        <v>0</v>
      </c>
      <c r="M1372" s="82" t="s">
        <v>0</v>
      </c>
      <c r="N1372" s="80" t="s">
        <v>0</v>
      </c>
      <c r="O1372" s="82" t="s">
        <v>0</v>
      </c>
      <c r="P1372" s="82" t="s">
        <v>0</v>
      </c>
      <c r="Q1372" s="82" t="s">
        <v>0</v>
      </c>
      <c r="R1372" s="84" t="s">
        <v>0</v>
      </c>
      <c r="S1372" s="10" t="s">
        <v>1</v>
      </c>
      <c r="T1372" s="10" t="s">
        <v>10221</v>
      </c>
      <c r="U1372" s="5" t="str">
        <f t="shared" si="780"/>
        <v>Propriedade destinada a inventariar: é.item.de.inventário</v>
      </c>
      <c r="V1372" s="5" t="str">
        <f t="shared" si="781"/>
        <v>Dado para inventariar:  item.de.inventário  Deve ser formatado como (rdfs:Literal  or  xsd:string)</v>
      </c>
      <c r="W1372" s="69" t="s">
        <v>10223</v>
      </c>
      <c r="X1372" s="17" t="str">
        <f t="shared" si="774"/>
        <v>d.inven.101</v>
      </c>
      <c r="Y1372" s="17" t="str">
        <f t="shared" si="775"/>
        <v>Ação de inventariar</v>
      </c>
      <c r="Z1372" s="62" t="str">
        <f>_xlfn.TRANSLATE(W1372,"pt","es")</f>
        <v>Declara la descripción del objeto inventariado.</v>
      </c>
      <c r="AA1372" s="18" t="str">
        <f t="shared" si="782"/>
        <v>null</v>
      </c>
      <c r="AB1372" s="19" t="s">
        <v>0</v>
      </c>
      <c r="AC1372" s="18" t="str">
        <f t="shared" si="783"/>
        <v>null</v>
      </c>
      <c r="AD1372" s="19" t="s">
        <v>0</v>
      </c>
      <c r="AE1372" s="18" t="str">
        <f t="shared" si="784"/>
        <v>null</v>
      </c>
      <c r="AF1372" s="75" t="s">
        <v>0</v>
      </c>
      <c r="AG1372" s="62" t="s">
        <v>11273</v>
      </c>
    </row>
    <row r="1373" spans="1:33" ht="6" customHeight="1" x14ac:dyDescent="0.4">
      <c r="A1373" s="4">
        <f>ROW()</f>
        <v>1373</v>
      </c>
      <c r="B1373" s="9" t="s">
        <v>27</v>
      </c>
      <c r="C1373" s="44" t="str">
        <f t="shared" si="760"/>
        <v>p.inventariar</v>
      </c>
      <c r="D1373" s="6" t="str">
        <f t="shared" si="767"/>
        <v>é.número.de.inventário</v>
      </c>
      <c r="E1373" s="8" t="s">
        <v>28</v>
      </c>
      <c r="F1373" s="34" t="str">
        <f t="shared" si="768"/>
        <v>d.inventariar</v>
      </c>
      <c r="G1373" s="14" t="s">
        <v>10218</v>
      </c>
      <c r="H1373" s="33" t="s">
        <v>1581</v>
      </c>
      <c r="I1373" s="92" t="str">
        <f t="shared" si="776"/>
        <v>Functional</v>
      </c>
      <c r="J1373" s="82" t="s">
        <v>0</v>
      </c>
      <c r="K1373" s="82" t="s">
        <v>262</v>
      </c>
      <c r="L1373" s="82" t="s">
        <v>0</v>
      </c>
      <c r="M1373" s="82" t="s">
        <v>0</v>
      </c>
      <c r="N1373" s="80" t="s">
        <v>0</v>
      </c>
      <c r="O1373" s="82" t="s">
        <v>0</v>
      </c>
      <c r="P1373" s="82" t="s">
        <v>0</v>
      </c>
      <c r="Q1373" s="82" t="s">
        <v>0</v>
      </c>
      <c r="R1373" s="84" t="s">
        <v>10227</v>
      </c>
      <c r="S1373" s="10" t="s">
        <v>1</v>
      </c>
      <c r="T1373" s="10" t="s">
        <v>10221</v>
      </c>
      <c r="U1373" s="5" t="str">
        <f t="shared" si="769"/>
        <v>Propriedade destinada a inventariar: é.número.de.inventário</v>
      </c>
      <c r="V1373" s="5" t="str">
        <f t="shared" si="770"/>
        <v>Dado para inventariar:  número.de.inventário  Deve ser formatado como (rdfs:Literal  or  xsd:string)</v>
      </c>
      <c r="W1373" s="69" t="s">
        <v>10224</v>
      </c>
      <c r="X1373" s="17" t="str">
        <f t="shared" si="774"/>
        <v>d.inven.102</v>
      </c>
      <c r="Y1373" s="17" t="str">
        <f t="shared" si="775"/>
        <v>Ação de inventariar</v>
      </c>
      <c r="Z1373" s="62" t="str">
        <f>_xlfn.TRANSLATE(W1373,"pt","es")</f>
        <v>Declara el número de inventario.</v>
      </c>
      <c r="AA1373" s="18" t="str">
        <f t="shared" si="771"/>
        <v>null</v>
      </c>
      <c r="AB1373" s="19" t="s">
        <v>0</v>
      </c>
      <c r="AC1373" s="18" t="str">
        <f t="shared" si="772"/>
        <v>null</v>
      </c>
      <c r="AD1373" s="19" t="s">
        <v>0</v>
      </c>
      <c r="AE1373" s="18" t="str">
        <f t="shared" si="773"/>
        <v>null</v>
      </c>
      <c r="AF1373" s="75" t="s">
        <v>0</v>
      </c>
      <c r="AG1373" s="62" t="s">
        <v>11216</v>
      </c>
    </row>
    <row r="1374" spans="1:33" ht="6" customHeight="1" x14ac:dyDescent="0.4">
      <c r="A1374" s="4">
        <f>ROW()</f>
        <v>1374</v>
      </c>
      <c r="B1374" s="9" t="s">
        <v>27</v>
      </c>
      <c r="C1374" s="44" t="str">
        <f t="shared" si="760"/>
        <v>p.inventariar</v>
      </c>
      <c r="D1374" s="6" t="str">
        <f t="shared" si="767"/>
        <v>é.origem.inventarial</v>
      </c>
      <c r="E1374" s="8" t="s">
        <v>28</v>
      </c>
      <c r="F1374" s="34" t="str">
        <f t="shared" si="768"/>
        <v>d.inventariar</v>
      </c>
      <c r="G1374" s="14" t="s">
        <v>523</v>
      </c>
      <c r="H1374" s="33" t="s">
        <v>1581</v>
      </c>
      <c r="I1374" s="92" t="str">
        <f t="shared" si="776"/>
        <v>null</v>
      </c>
      <c r="J1374" s="82" t="s">
        <v>0</v>
      </c>
      <c r="K1374" s="82" t="s">
        <v>0</v>
      </c>
      <c r="L1374" s="82" t="s">
        <v>0</v>
      </c>
      <c r="M1374" s="82" t="s">
        <v>0</v>
      </c>
      <c r="N1374" s="80" t="s">
        <v>0</v>
      </c>
      <c r="O1374" s="82" t="s">
        <v>0</v>
      </c>
      <c r="P1374" s="82" t="s">
        <v>0</v>
      </c>
      <c r="Q1374" s="82" t="s">
        <v>0</v>
      </c>
      <c r="R1374" s="84" t="s">
        <v>0</v>
      </c>
      <c r="S1374" s="10" t="s">
        <v>1</v>
      </c>
      <c r="T1374" s="10" t="s">
        <v>10221</v>
      </c>
      <c r="U1374" s="5" t="str">
        <f t="shared" si="769"/>
        <v>Propriedade destinada a inventariar: é.origem.inventarial</v>
      </c>
      <c r="V1374" s="5" t="str">
        <f t="shared" si="770"/>
        <v>Dado para inventariar:  origem.inventarial  Deve ser formatado como (rdfs:Literal  or  xsd:string)</v>
      </c>
      <c r="W1374" s="69" t="s">
        <v>10225</v>
      </c>
      <c r="X1374" s="17" t="str">
        <f t="shared" si="774"/>
        <v>d.inven.103</v>
      </c>
      <c r="Y1374" s="17" t="str">
        <f t="shared" si="775"/>
        <v>Ação de inventariar</v>
      </c>
      <c r="Z1374" s="62" t="str">
        <f>_xlfn.TRANSLATE(W1374,"pt","es")</f>
        <v>Declara el origen del cuerpo del inventario.</v>
      </c>
      <c r="AA1374" s="18" t="str">
        <f t="shared" si="771"/>
        <v>null</v>
      </c>
      <c r="AB1374" s="19" t="s">
        <v>0</v>
      </c>
      <c r="AC1374" s="18" t="str">
        <f t="shared" si="772"/>
        <v>null</v>
      </c>
      <c r="AD1374" s="19" t="s">
        <v>0</v>
      </c>
      <c r="AE1374" s="18" t="str">
        <f t="shared" si="773"/>
        <v>null</v>
      </c>
      <c r="AF1374" s="75" t="s">
        <v>0</v>
      </c>
      <c r="AG1374" s="62" t="s">
        <v>11274</v>
      </c>
    </row>
    <row r="1375" spans="1:33" s="66" customFormat="1" ht="6" customHeight="1" x14ac:dyDescent="0.4">
      <c r="A1375" s="4">
        <f>ROW()</f>
        <v>1375</v>
      </c>
      <c r="B1375" s="9" t="s">
        <v>27</v>
      </c>
      <c r="C1375" s="43" t="str">
        <f t="shared" ref="C1375:C1476" si="785">SUBSTITUTE(F1375,"d.","p.")</f>
        <v>p.investigar</v>
      </c>
      <c r="D1375" s="6" t="str">
        <f t="shared" ref="D1375:D1422" si="786">_xlfn.CONCAT("é.",G1375)</f>
        <v>é.ambiental.água</v>
      </c>
      <c r="E1375" s="8" t="s">
        <v>28</v>
      </c>
      <c r="F1375" s="41" t="s">
        <v>3538</v>
      </c>
      <c r="G1375" s="34" t="s">
        <v>3651</v>
      </c>
      <c r="H1375" s="33" t="s">
        <v>1581</v>
      </c>
      <c r="I1375" s="92" t="str">
        <f t="shared" si="776"/>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58"/>
        <v>Propriedade destinada a investigar: é.ambiental.água</v>
      </c>
      <c r="V1375" s="5" t="str">
        <f t="shared" si="759"/>
        <v>Dado para investigar:  ambiental.água  Deve ser formatado como (rdfs:Literal  or  xsd:string)</v>
      </c>
      <c r="W1375" s="72" t="s">
        <v>3709</v>
      </c>
      <c r="X1375" s="17" t="str">
        <f t="shared" si="774"/>
        <v>d.inves.100</v>
      </c>
      <c r="Y1375" s="17" t="str">
        <f t="shared" si="775"/>
        <v>Ação de investigar</v>
      </c>
      <c r="Z1375" s="62" t="s">
        <v>3770</v>
      </c>
      <c r="AA1375" s="18" t="str">
        <f t="shared" ref="AA1375:AA1409" si="787">IF(AB1375="null", "null", "categoria.revit")</f>
        <v>categoria.revit</v>
      </c>
      <c r="AB1375" s="55" t="s">
        <v>3598</v>
      </c>
      <c r="AC1375" s="18" t="str">
        <f t="shared" ref="AC1375:AC1409" si="788">IF(AD1375="null", "null", "classe.ifc")</f>
        <v>classe.ifc</v>
      </c>
      <c r="AD1375" s="56" t="s">
        <v>2081</v>
      </c>
      <c r="AE1375" s="18" t="str">
        <f t="shared" ref="AE1375:AE1409" si="789">IF(AF1375="null", "null", "propriedade")</f>
        <v>propriedade</v>
      </c>
      <c r="AF1375" s="75" t="s">
        <v>3570</v>
      </c>
      <c r="AG1375" s="38" t="s">
        <v>8549</v>
      </c>
    </row>
    <row r="1376" spans="1:33" s="66" customFormat="1" ht="6" customHeight="1" x14ac:dyDescent="0.4">
      <c r="A1376" s="4">
        <f>ROW()</f>
        <v>1376</v>
      </c>
      <c r="B1376" s="9" t="s">
        <v>27</v>
      </c>
      <c r="C1376" s="44" t="str">
        <f t="shared" ref="C1376:C1410" si="790">SUBSTITUTE(F1376,"d.","p.")</f>
        <v>p.investigar</v>
      </c>
      <c r="D1376" s="6" t="str">
        <f t="shared" si="786"/>
        <v>é.ambiental.meio.ambiente</v>
      </c>
      <c r="E1376" s="8" t="s">
        <v>28</v>
      </c>
      <c r="F1376" s="34" t="str">
        <f t="shared" ref="F1376:F1410" si="791">F1375</f>
        <v>d.investigar</v>
      </c>
      <c r="G1376" s="34" t="s">
        <v>3661</v>
      </c>
      <c r="H1376" s="33" t="s">
        <v>1581</v>
      </c>
      <c r="I1376" s="92" t="str">
        <f t="shared" si="776"/>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58"/>
        <v>Propriedade destinada a investigar: é.ambiental.meio.ambiente</v>
      </c>
      <c r="V1376" s="5" t="str">
        <f t="shared" si="759"/>
        <v>Dado para investigar:  ambiental.meio.ambiente  Deve ser formatado como (rdfs:Literal  or  xsd:string)</v>
      </c>
      <c r="W1376" s="72" t="s">
        <v>3710</v>
      </c>
      <c r="X1376" s="17" t="str">
        <f t="shared" si="774"/>
        <v>d.inves.101</v>
      </c>
      <c r="Y1376" s="17" t="str">
        <f t="shared" si="775"/>
        <v>Ação de investigar</v>
      </c>
      <c r="Z1376" s="62" t="s">
        <v>3771</v>
      </c>
      <c r="AA1376" s="18" t="str">
        <f t="shared" si="787"/>
        <v>categoria.revit</v>
      </c>
      <c r="AB1376" s="55" t="s">
        <v>3598</v>
      </c>
      <c r="AC1376" s="18" t="str">
        <f t="shared" si="788"/>
        <v>classe.ifc</v>
      </c>
      <c r="AD1376" s="56" t="s">
        <v>2081</v>
      </c>
      <c r="AE1376" s="18" t="str">
        <f t="shared" si="789"/>
        <v>propriedade</v>
      </c>
      <c r="AF1376" s="75" t="s">
        <v>3589</v>
      </c>
      <c r="AG1376" s="38" t="s">
        <v>8550</v>
      </c>
    </row>
    <row r="1377" spans="1:33" s="66" customFormat="1" ht="6" customHeight="1" x14ac:dyDescent="0.4">
      <c r="A1377" s="4">
        <f>ROW()</f>
        <v>1377</v>
      </c>
      <c r="B1377" s="9" t="s">
        <v>27</v>
      </c>
      <c r="C1377" s="44" t="str">
        <f t="shared" si="790"/>
        <v>p.investigar</v>
      </c>
      <c r="D1377" s="6" t="str">
        <f t="shared" si="786"/>
        <v>é.ambiental.terra</v>
      </c>
      <c r="E1377" s="8" t="s">
        <v>28</v>
      </c>
      <c r="F1377" s="34" t="str">
        <f t="shared" si="791"/>
        <v>d.investigar</v>
      </c>
      <c r="G1377" s="34" t="s">
        <v>3652</v>
      </c>
      <c r="H1377" s="33" t="s">
        <v>1581</v>
      </c>
      <c r="I1377" s="92" t="str">
        <f t="shared" si="776"/>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58"/>
        <v>Propriedade destinada a investigar: é.ambiental.terra</v>
      </c>
      <c r="V1377" s="5" t="str">
        <f t="shared" si="759"/>
        <v>Dado para investigar:  ambiental.terra  Deve ser formatado como (rdfs:Literal  or  xsd:string)</v>
      </c>
      <c r="W1377" s="72" t="s">
        <v>3711</v>
      </c>
      <c r="X1377" s="17" t="str">
        <f t="shared" si="774"/>
        <v>d.inves.102</v>
      </c>
      <c r="Y1377" s="17" t="str">
        <f t="shared" si="775"/>
        <v>Ação de investigar</v>
      </c>
      <c r="Z1377" s="62" t="s">
        <v>3772</v>
      </c>
      <c r="AA1377" s="18" t="str">
        <f t="shared" si="787"/>
        <v>categoria.revit</v>
      </c>
      <c r="AB1377" s="55" t="s">
        <v>3598</v>
      </c>
      <c r="AC1377" s="18" t="str">
        <f t="shared" si="788"/>
        <v>classe.ifc</v>
      </c>
      <c r="AD1377" s="56" t="s">
        <v>2081</v>
      </c>
      <c r="AE1377" s="18" t="str">
        <f t="shared" si="789"/>
        <v>propriedade</v>
      </c>
      <c r="AF1377" s="75" t="s">
        <v>3591</v>
      </c>
      <c r="AG1377" s="38" t="s">
        <v>8551</v>
      </c>
    </row>
    <row r="1378" spans="1:33" s="66" customFormat="1" ht="6" customHeight="1" x14ac:dyDescent="0.4">
      <c r="A1378" s="4">
        <f>ROW()</f>
        <v>1378</v>
      </c>
      <c r="B1378" s="9" t="s">
        <v>27</v>
      </c>
      <c r="C1378" s="44" t="str">
        <f t="shared" si="790"/>
        <v>p.investigar</v>
      </c>
      <c r="D1378" s="6" t="str">
        <f t="shared" si="786"/>
        <v>é.apoio.laboratorial</v>
      </c>
      <c r="E1378" s="8" t="s">
        <v>28</v>
      </c>
      <c r="F1378" s="34" t="str">
        <f t="shared" si="791"/>
        <v>d.investigar</v>
      </c>
      <c r="G1378" s="34" t="s">
        <v>3599</v>
      </c>
      <c r="H1378" s="33" t="s">
        <v>1581</v>
      </c>
      <c r="I1378" s="92" t="str">
        <f t="shared" si="776"/>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58"/>
        <v>Propriedade destinada a investigar: é.apoio.laboratorial</v>
      </c>
      <c r="V1378" s="5" t="str">
        <f t="shared" si="759"/>
        <v>Dado para investigar:  apoio.laboratorial  Deve ser formatado como (rdfs:Literal  or  xsd:string)</v>
      </c>
      <c r="W1378" s="72" t="s">
        <v>4717</v>
      </c>
      <c r="X1378" s="17" t="str">
        <f t="shared" si="774"/>
        <v>d.inves.103</v>
      </c>
      <c r="Y1378" s="17" t="str">
        <f t="shared" si="775"/>
        <v>Ação de investigar</v>
      </c>
      <c r="Z1378" s="62" t="s">
        <v>4693</v>
      </c>
      <c r="AA1378" s="18" t="str">
        <f t="shared" si="787"/>
        <v>categoria.revit</v>
      </c>
      <c r="AB1378" s="55" t="s">
        <v>3598</v>
      </c>
      <c r="AC1378" s="18" t="str">
        <f t="shared" si="788"/>
        <v>classe.ifc</v>
      </c>
      <c r="AD1378" s="56" t="s">
        <v>2081</v>
      </c>
      <c r="AE1378" s="18" t="str">
        <f t="shared" si="789"/>
        <v>propriedade</v>
      </c>
      <c r="AF1378" s="75" t="s">
        <v>3563</v>
      </c>
      <c r="AG1378" s="38" t="s">
        <v>8552</v>
      </c>
    </row>
    <row r="1379" spans="1:33" s="66" customFormat="1" ht="6" customHeight="1" x14ac:dyDescent="0.4">
      <c r="A1379" s="4">
        <f>ROW()</f>
        <v>1379</v>
      </c>
      <c r="B1379" s="9" t="s">
        <v>27</v>
      </c>
      <c r="C1379" s="44" t="str">
        <f t="shared" si="790"/>
        <v>p.investigar</v>
      </c>
      <c r="D1379" s="6" t="str">
        <f t="shared" si="786"/>
        <v>é.astronomia</v>
      </c>
      <c r="E1379" s="8" t="s">
        <v>28</v>
      </c>
      <c r="F1379" s="34" t="str">
        <f t="shared" si="791"/>
        <v>d.investigar</v>
      </c>
      <c r="G1379" s="34" t="s">
        <v>3644</v>
      </c>
      <c r="H1379" s="33" t="s">
        <v>1581</v>
      </c>
      <c r="I1379" s="92" t="str">
        <f t="shared" si="776"/>
        <v>null</v>
      </c>
      <c r="J1379" s="82" t="s">
        <v>0</v>
      </c>
      <c r="K1379" s="82" t="s">
        <v>0</v>
      </c>
      <c r="L1379" s="82" t="s">
        <v>0</v>
      </c>
      <c r="M1379" s="82" t="s">
        <v>0</v>
      </c>
      <c r="N1379" s="80" t="s">
        <v>0</v>
      </c>
      <c r="O1379" s="82" t="s">
        <v>0</v>
      </c>
      <c r="P1379" s="82" t="s">
        <v>0</v>
      </c>
      <c r="Q1379" s="82" t="s">
        <v>0</v>
      </c>
      <c r="R1379" s="84" t="s">
        <v>0</v>
      </c>
      <c r="S1379" s="10" t="s">
        <v>1</v>
      </c>
      <c r="T1379" s="10" t="s">
        <v>10221</v>
      </c>
      <c r="U1379" s="5" t="str">
        <f t="shared" si="758"/>
        <v>Propriedade destinada a investigar: é.astronomia</v>
      </c>
      <c r="V1379" s="5" t="str">
        <f t="shared" si="759"/>
        <v>Dado para investigar:  astronomia  Deve ser formatado como (rdfs:Literal  or  xsd:string)</v>
      </c>
      <c r="W1379" s="72" t="s">
        <v>3691</v>
      </c>
      <c r="X1379" s="17" t="str">
        <f t="shared" si="774"/>
        <v>d.inves.104</v>
      </c>
      <c r="Y1379" s="17" t="str">
        <f t="shared" si="775"/>
        <v>Ação de investigar</v>
      </c>
      <c r="Z1379" s="62" t="s">
        <v>3773</v>
      </c>
      <c r="AA1379" s="18" t="str">
        <f t="shared" si="787"/>
        <v>categoria.revit</v>
      </c>
      <c r="AB1379" s="55" t="s">
        <v>3598</v>
      </c>
      <c r="AC1379" s="18" t="str">
        <f t="shared" si="788"/>
        <v>classe.ifc</v>
      </c>
      <c r="AD1379" s="56" t="s">
        <v>2081</v>
      </c>
      <c r="AE1379" s="18" t="str">
        <f t="shared" si="789"/>
        <v>propriedade</v>
      </c>
      <c r="AF1379" s="75" t="s">
        <v>3588</v>
      </c>
      <c r="AG1379" s="38" t="s">
        <v>8553</v>
      </c>
    </row>
    <row r="1380" spans="1:33" s="66" customFormat="1" ht="6" customHeight="1" x14ac:dyDescent="0.4">
      <c r="A1380" s="4">
        <f>ROW()</f>
        <v>1380</v>
      </c>
      <c r="B1380" s="9" t="s">
        <v>27</v>
      </c>
      <c r="C1380" s="44" t="str">
        <f t="shared" si="790"/>
        <v>p.investigar</v>
      </c>
      <c r="D1380" s="6" t="str">
        <f t="shared" si="786"/>
        <v>é.atividade.forense</v>
      </c>
      <c r="E1380" s="8" t="s">
        <v>28</v>
      </c>
      <c r="F1380" s="34" t="str">
        <f t="shared" si="791"/>
        <v>d.investigar</v>
      </c>
      <c r="G1380" s="34" t="s">
        <v>3618</v>
      </c>
      <c r="H1380" s="33" t="s">
        <v>1581</v>
      </c>
      <c r="I1380" s="92" t="str">
        <f t="shared" si="776"/>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58"/>
        <v>Propriedade destinada a investigar: é.atividade.forense</v>
      </c>
      <c r="V1380" s="5" t="str">
        <f t="shared" si="759"/>
        <v>Dado para investigar:  atividade.forense  Deve ser formatado como (rdfs:Literal  or  xsd:string)</v>
      </c>
      <c r="W1380" s="38" t="s">
        <v>3712</v>
      </c>
      <c r="X1380" s="17" t="str">
        <f t="shared" si="774"/>
        <v>d.inves.105</v>
      </c>
      <c r="Y1380" s="17" t="str">
        <f t="shared" si="775"/>
        <v>Ação de investigar</v>
      </c>
      <c r="Z1380" s="62" t="s">
        <v>4480</v>
      </c>
      <c r="AA1380" s="18" t="str">
        <f t="shared" si="787"/>
        <v>categoria.revit</v>
      </c>
      <c r="AB1380" s="55" t="s">
        <v>3598</v>
      </c>
      <c r="AC1380" s="18" t="str">
        <f t="shared" si="788"/>
        <v>classe.ifc</v>
      </c>
      <c r="AD1380" s="56" t="s">
        <v>2081</v>
      </c>
      <c r="AE1380" s="18" t="str">
        <f t="shared" si="789"/>
        <v>propriedade</v>
      </c>
      <c r="AF1380" s="75" t="s">
        <v>3592</v>
      </c>
      <c r="AG1380" s="38" t="s">
        <v>8554</v>
      </c>
    </row>
    <row r="1381" spans="1:33" s="66" customFormat="1" ht="6" customHeight="1" x14ac:dyDescent="0.4">
      <c r="A1381" s="4">
        <f>ROW()</f>
        <v>1381</v>
      </c>
      <c r="B1381" s="9" t="s">
        <v>27</v>
      </c>
      <c r="C1381" s="44" t="str">
        <f t="shared" si="790"/>
        <v>p.investigar</v>
      </c>
      <c r="D1381" s="6" t="str">
        <f t="shared" si="786"/>
        <v>é.barreira.biológica</v>
      </c>
      <c r="E1381" s="8" t="s">
        <v>28</v>
      </c>
      <c r="F1381" s="34" t="str">
        <f t="shared" si="791"/>
        <v>d.investigar</v>
      </c>
      <c r="G1381" s="34" t="s">
        <v>3623</v>
      </c>
      <c r="H1381" s="33" t="s">
        <v>1581</v>
      </c>
      <c r="I1381" s="92" t="str">
        <f t="shared" si="776"/>
        <v>null</v>
      </c>
      <c r="J1381" s="82" t="s">
        <v>0</v>
      </c>
      <c r="K1381" s="82" t="s">
        <v>0</v>
      </c>
      <c r="L1381" s="82" t="s">
        <v>0</v>
      </c>
      <c r="M1381" s="82" t="s">
        <v>0</v>
      </c>
      <c r="N1381" s="80" t="s">
        <v>0</v>
      </c>
      <c r="O1381" s="82" t="s">
        <v>0</v>
      </c>
      <c r="P1381" s="82" t="s">
        <v>0</v>
      </c>
      <c r="Q1381" s="82" t="s">
        <v>0</v>
      </c>
      <c r="R1381" s="84" t="s">
        <v>0</v>
      </c>
      <c r="S1381" s="10" t="s">
        <v>1</v>
      </c>
      <c r="T1381" s="10" t="s">
        <v>10221</v>
      </c>
      <c r="U1381" s="5" t="str">
        <f t="shared" si="758"/>
        <v>Propriedade destinada a investigar: é.barreira.biológica</v>
      </c>
      <c r="V1381" s="5" t="str">
        <f t="shared" si="759"/>
        <v>Dado para investigar:  barreira.biológica  Deve ser formatado como (rdfs:Literal  or  xsd:string)</v>
      </c>
      <c r="W1381" s="72" t="s">
        <v>3713</v>
      </c>
      <c r="X1381" s="17" t="str">
        <f t="shared" si="774"/>
        <v>d.inves.106</v>
      </c>
      <c r="Y1381" s="17" t="str">
        <f t="shared" si="775"/>
        <v>Ação de investigar</v>
      </c>
      <c r="Z1381" s="62" t="s">
        <v>4481</v>
      </c>
      <c r="AA1381" s="18" t="str">
        <f t="shared" si="787"/>
        <v>categoria.revit</v>
      </c>
      <c r="AB1381" s="55" t="s">
        <v>3598</v>
      </c>
      <c r="AC1381" s="18" t="str">
        <f t="shared" si="788"/>
        <v>classe.ifc</v>
      </c>
      <c r="AD1381" s="56" t="s">
        <v>2081</v>
      </c>
      <c r="AE1381" s="18" t="str">
        <f t="shared" si="789"/>
        <v>propriedade</v>
      </c>
      <c r="AF1381" s="75" t="s">
        <v>3575</v>
      </c>
      <c r="AG1381" s="38" t="s">
        <v>8555</v>
      </c>
    </row>
    <row r="1382" spans="1:33" s="66" customFormat="1" ht="6" customHeight="1" x14ac:dyDescent="0.4">
      <c r="A1382" s="4">
        <f>ROW()</f>
        <v>1382</v>
      </c>
      <c r="B1382" s="9" t="s">
        <v>27</v>
      </c>
      <c r="C1382" s="44" t="str">
        <f t="shared" si="790"/>
        <v>p.investigar</v>
      </c>
      <c r="D1382" s="6" t="str">
        <f t="shared" si="786"/>
        <v>é.biópsia.dermatológica</v>
      </c>
      <c r="E1382" s="8" t="s">
        <v>28</v>
      </c>
      <c r="F1382" s="34" t="str">
        <f t="shared" si="791"/>
        <v>d.investigar</v>
      </c>
      <c r="G1382" s="34" t="s">
        <v>3632</v>
      </c>
      <c r="H1382" s="33" t="s">
        <v>1581</v>
      </c>
      <c r="I1382" s="92" t="str">
        <f t="shared" si="776"/>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58"/>
        <v>Propriedade destinada a investigar: é.biópsia.dermatológica</v>
      </c>
      <c r="V1382" s="5" t="str">
        <f t="shared" si="759"/>
        <v>Dado para investigar:  biópsia.dermatológica  Deve ser formatado como (rdfs:Literal  or  xsd:string)</v>
      </c>
      <c r="W1382" s="72" t="s">
        <v>3636</v>
      </c>
      <c r="X1382" s="17" t="str">
        <f t="shared" si="774"/>
        <v>d.inves.107</v>
      </c>
      <c r="Y1382" s="17" t="str">
        <f t="shared" si="775"/>
        <v>Ação de investigar</v>
      </c>
      <c r="Z1382" s="62" t="s">
        <v>3774</v>
      </c>
      <c r="AA1382" s="18" t="str">
        <f t="shared" si="787"/>
        <v>categoria.revit</v>
      </c>
      <c r="AB1382" s="55" t="s">
        <v>3598</v>
      </c>
      <c r="AC1382" s="18" t="str">
        <f t="shared" si="788"/>
        <v>classe.ifc</v>
      </c>
      <c r="AD1382" s="56" t="s">
        <v>2081</v>
      </c>
      <c r="AE1382" s="18" t="str">
        <f t="shared" si="789"/>
        <v>propriedade</v>
      </c>
      <c r="AF1382" s="75" t="s">
        <v>3557</v>
      </c>
      <c r="AG1382" s="38" t="s">
        <v>8556</v>
      </c>
    </row>
    <row r="1383" spans="1:33" s="66" customFormat="1" ht="6" customHeight="1" x14ac:dyDescent="0.4">
      <c r="A1383" s="4">
        <f>ROW()</f>
        <v>1383</v>
      </c>
      <c r="B1383" s="9" t="s">
        <v>27</v>
      </c>
      <c r="C1383" s="44" t="str">
        <f t="shared" si="790"/>
        <v>p.investigar</v>
      </c>
      <c r="D1383" s="6" t="str">
        <f t="shared" si="786"/>
        <v>é.bioquímica</v>
      </c>
      <c r="E1383" s="8" t="s">
        <v>28</v>
      </c>
      <c r="F1383" s="34" t="str">
        <f t="shared" si="791"/>
        <v>d.investigar</v>
      </c>
      <c r="G1383" s="34" t="s">
        <v>3645</v>
      </c>
      <c r="H1383" s="33" t="s">
        <v>1581</v>
      </c>
      <c r="I1383" s="92" t="str">
        <f t="shared" si="776"/>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58"/>
        <v>Propriedade destinada a investigar: é.bioquímica</v>
      </c>
      <c r="V1383" s="5" t="str">
        <f t="shared" si="759"/>
        <v>Dado para investigar:  bioquímica  Deve ser formatado como (rdfs:Literal  or  xsd:string)</v>
      </c>
      <c r="W1383" s="72" t="s">
        <v>3692</v>
      </c>
      <c r="X1383" s="17" t="str">
        <f t="shared" si="774"/>
        <v>d.inves.108</v>
      </c>
      <c r="Y1383" s="17" t="str">
        <f t="shared" si="775"/>
        <v>Ação de investigar</v>
      </c>
      <c r="Z1383" s="62" t="s">
        <v>3775</v>
      </c>
      <c r="AA1383" s="18" t="str">
        <f t="shared" si="787"/>
        <v>categoria.revit</v>
      </c>
      <c r="AB1383" s="55" t="s">
        <v>3598</v>
      </c>
      <c r="AC1383" s="18" t="str">
        <f t="shared" si="788"/>
        <v>classe.ifc</v>
      </c>
      <c r="AD1383" s="56" t="s">
        <v>2081</v>
      </c>
      <c r="AE1383" s="18" t="str">
        <f t="shared" si="789"/>
        <v>propriedade</v>
      </c>
      <c r="AF1383" s="75" t="s">
        <v>3576</v>
      </c>
      <c r="AG1383" s="38" t="s">
        <v>8557</v>
      </c>
    </row>
    <row r="1384" spans="1:33" s="66" customFormat="1" ht="6" customHeight="1" x14ac:dyDescent="0.4">
      <c r="A1384" s="4">
        <f>ROW()</f>
        <v>1384</v>
      </c>
      <c r="B1384" s="9" t="s">
        <v>27</v>
      </c>
      <c r="C1384" s="44" t="str">
        <f t="shared" si="790"/>
        <v>p.investigar</v>
      </c>
      <c r="D1384" s="6" t="str">
        <f t="shared" si="786"/>
        <v>é.biossegurança.nb1</v>
      </c>
      <c r="E1384" s="8" t="s">
        <v>28</v>
      </c>
      <c r="F1384" s="34" t="str">
        <f>F1381</f>
        <v>d.investigar</v>
      </c>
      <c r="G1384" s="34" t="s">
        <v>3714</v>
      </c>
      <c r="H1384" s="33" t="s">
        <v>1581</v>
      </c>
      <c r="I1384" s="92" t="str">
        <f t="shared" si="776"/>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58"/>
        <v>Propriedade destinada a investigar: é.biossegurança.nb1</v>
      </c>
      <c r="V1384" s="5" t="str">
        <f t="shared" si="759"/>
        <v>Dado para investigar:  biossegurança.nb1  Deve ser formatado como (rdfs:Literal  or  xsd:string)</v>
      </c>
      <c r="W1384" s="72" t="s">
        <v>4718</v>
      </c>
      <c r="X1384" s="17" t="str">
        <f t="shared" si="774"/>
        <v>d.inves.109</v>
      </c>
      <c r="Y1384" s="17" t="str">
        <f t="shared" si="775"/>
        <v>Ação de investigar</v>
      </c>
      <c r="Z1384" s="62" t="s">
        <v>4694</v>
      </c>
      <c r="AA1384" s="18" t="str">
        <f t="shared" si="787"/>
        <v>categoria.revit</v>
      </c>
      <c r="AB1384" s="55" t="s">
        <v>3598</v>
      </c>
      <c r="AC1384" s="18" t="str">
        <f t="shared" si="788"/>
        <v>classe.ifc</v>
      </c>
      <c r="AD1384" s="56" t="s">
        <v>2081</v>
      </c>
      <c r="AE1384" s="18" t="str">
        <f t="shared" si="789"/>
        <v>propriedade</v>
      </c>
      <c r="AF1384" s="75" t="s">
        <v>3577</v>
      </c>
      <c r="AG1384" s="38" t="s">
        <v>8558</v>
      </c>
    </row>
    <row r="1385" spans="1:33" s="66" customFormat="1" ht="6" customHeight="1" x14ac:dyDescent="0.4">
      <c r="A1385" s="4">
        <f>ROW()</f>
        <v>1385</v>
      </c>
      <c r="B1385" s="9" t="s">
        <v>27</v>
      </c>
      <c r="C1385" s="44" t="str">
        <f t="shared" ref="C1385:C1386" si="792">SUBSTITUTE(F1385,"d.","p.")</f>
        <v>p.investigar</v>
      </c>
      <c r="D1385" s="6" t="str">
        <f t="shared" si="786"/>
        <v>é.biossegurança.nb2</v>
      </c>
      <c r="E1385" s="8" t="s">
        <v>28</v>
      </c>
      <c r="F1385" s="34" t="str">
        <f>F1382</f>
        <v>d.investigar</v>
      </c>
      <c r="G1385" s="34" t="s">
        <v>3715</v>
      </c>
      <c r="H1385" s="33" t="s">
        <v>1581</v>
      </c>
      <c r="I1385" s="92" t="str">
        <f t="shared" si="776"/>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58"/>
        <v>Propriedade destinada a investigar: é.biossegurança.nb2</v>
      </c>
      <c r="V1385" s="5" t="str">
        <f t="shared" si="759"/>
        <v>Dado para investigar:  biossegurança.nb2  Deve ser formatado como (rdfs:Literal  or  xsd:string)</v>
      </c>
      <c r="W1385" s="72" t="s">
        <v>4719</v>
      </c>
      <c r="X1385" s="17" t="str">
        <f t="shared" si="774"/>
        <v>d.inves.110</v>
      </c>
      <c r="Y1385" s="17" t="str">
        <f t="shared" si="775"/>
        <v>Ação de investigar</v>
      </c>
      <c r="Z1385" s="62" t="s">
        <v>4695</v>
      </c>
      <c r="AA1385" s="18" t="str">
        <f t="shared" si="787"/>
        <v>categoria.revit</v>
      </c>
      <c r="AB1385" s="55" t="s">
        <v>3598</v>
      </c>
      <c r="AC1385" s="18" t="str">
        <f t="shared" si="788"/>
        <v>classe.ifc</v>
      </c>
      <c r="AD1385" s="56" t="s">
        <v>2081</v>
      </c>
      <c r="AE1385" s="18" t="str">
        <f t="shared" si="789"/>
        <v>propriedade</v>
      </c>
      <c r="AF1385" s="75" t="s">
        <v>3577</v>
      </c>
      <c r="AG1385" s="38" t="s">
        <v>8559</v>
      </c>
    </row>
    <row r="1386" spans="1:33" s="66" customFormat="1" ht="6" customHeight="1" x14ac:dyDescent="0.4">
      <c r="A1386" s="4">
        <f>ROW()</f>
        <v>1386</v>
      </c>
      <c r="B1386" s="9" t="s">
        <v>27</v>
      </c>
      <c r="C1386" s="44" t="str">
        <f t="shared" si="792"/>
        <v>p.investigar</v>
      </c>
      <c r="D1386" s="6" t="str">
        <f t="shared" si="786"/>
        <v>é.biossegurança.nb3</v>
      </c>
      <c r="E1386" s="8" t="s">
        <v>28</v>
      </c>
      <c r="F1386" s="34" t="str">
        <f>F1382</f>
        <v>d.investigar</v>
      </c>
      <c r="G1386" s="34" t="s">
        <v>3621</v>
      </c>
      <c r="H1386" s="33" t="s">
        <v>1581</v>
      </c>
      <c r="I1386" s="92" t="str">
        <f t="shared" si="776"/>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58"/>
        <v>Propriedade destinada a investigar: é.biossegurança.nb3</v>
      </c>
      <c r="V1386" s="5" t="str">
        <f t="shared" si="759"/>
        <v>Dado para investigar:  biossegurança.nb3  Deve ser formatado como (rdfs:Literal  or  xsd:string)</v>
      </c>
      <c r="W1386" s="72" t="s">
        <v>4720</v>
      </c>
      <c r="X1386" s="17" t="str">
        <f t="shared" si="774"/>
        <v>d.inves.111</v>
      </c>
      <c r="Y1386" s="17" t="str">
        <f t="shared" si="775"/>
        <v>Ação de investigar</v>
      </c>
      <c r="Z1386" s="62" t="s">
        <v>4696</v>
      </c>
      <c r="AA1386" s="18" t="str">
        <f t="shared" si="787"/>
        <v>categoria.revit</v>
      </c>
      <c r="AB1386" s="55" t="s">
        <v>3598</v>
      </c>
      <c r="AC1386" s="18" t="str">
        <f t="shared" si="788"/>
        <v>classe.ifc</v>
      </c>
      <c r="AD1386" s="56" t="s">
        <v>2081</v>
      </c>
      <c r="AE1386" s="18" t="str">
        <f t="shared" si="789"/>
        <v>propriedade</v>
      </c>
      <c r="AF1386" s="75" t="s">
        <v>3716</v>
      </c>
      <c r="AG1386" s="38" t="s">
        <v>8560</v>
      </c>
    </row>
    <row r="1387" spans="1:33" s="66" customFormat="1" ht="6" customHeight="1" x14ac:dyDescent="0.4">
      <c r="A1387" s="4">
        <f>ROW()</f>
        <v>1387</v>
      </c>
      <c r="B1387" s="9" t="s">
        <v>27</v>
      </c>
      <c r="C1387" s="44" t="str">
        <f t="shared" si="790"/>
        <v>p.investigar</v>
      </c>
      <c r="D1387" s="6" t="str">
        <f t="shared" si="786"/>
        <v>é.biossegurança.nb4</v>
      </c>
      <c r="E1387" s="8" t="s">
        <v>28</v>
      </c>
      <c r="F1387" s="34" t="str">
        <f>F1383</f>
        <v>d.investigar</v>
      </c>
      <c r="G1387" s="34" t="s">
        <v>3717</v>
      </c>
      <c r="H1387" s="33" t="s">
        <v>1581</v>
      </c>
      <c r="I1387" s="92" t="str">
        <f t="shared" si="776"/>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58"/>
        <v>Propriedade destinada a investigar: é.biossegurança.nb4</v>
      </c>
      <c r="V1387" s="5" t="str">
        <f t="shared" si="759"/>
        <v>Dado para investigar:  biossegurança.nb4  Deve ser formatado como (rdfs:Literal  or  xsd:string)</v>
      </c>
      <c r="W1387" s="72" t="s">
        <v>4721</v>
      </c>
      <c r="X1387" s="17" t="str">
        <f t="shared" si="774"/>
        <v>d.inves.112</v>
      </c>
      <c r="Y1387" s="17" t="str">
        <f t="shared" si="775"/>
        <v>Ação de investigar</v>
      </c>
      <c r="Z1387" s="62" t="s">
        <v>4697</v>
      </c>
      <c r="AA1387" s="18" t="str">
        <f t="shared" si="787"/>
        <v>categoria.revit</v>
      </c>
      <c r="AB1387" s="55" t="s">
        <v>3598</v>
      </c>
      <c r="AC1387" s="18" t="str">
        <f t="shared" si="788"/>
        <v>classe.ifc</v>
      </c>
      <c r="AD1387" s="56" t="s">
        <v>2081</v>
      </c>
      <c r="AE1387" s="18" t="str">
        <f t="shared" si="789"/>
        <v>propriedade</v>
      </c>
      <c r="AF1387" s="75" t="s">
        <v>3716</v>
      </c>
      <c r="AG1387" s="38" t="s">
        <v>8561</v>
      </c>
    </row>
    <row r="1388" spans="1:33" s="66" customFormat="1" ht="6" customHeight="1" x14ac:dyDescent="0.4">
      <c r="A1388" s="4">
        <f>ROW()</f>
        <v>1388</v>
      </c>
      <c r="B1388" s="9" t="s">
        <v>27</v>
      </c>
      <c r="C1388" s="44" t="str">
        <f t="shared" si="790"/>
        <v>p.investigar</v>
      </c>
      <c r="D1388" s="6" t="str">
        <f t="shared" si="786"/>
        <v>é.citologia</v>
      </c>
      <c r="E1388" s="8" t="s">
        <v>28</v>
      </c>
      <c r="F1388" s="34" t="str">
        <f t="shared" si="791"/>
        <v>d.investigar</v>
      </c>
      <c r="G1388" s="34" t="s">
        <v>3601</v>
      </c>
      <c r="H1388" s="33" t="s">
        <v>1581</v>
      </c>
      <c r="I1388" s="92" t="str">
        <f t="shared" si="776"/>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58"/>
        <v>Propriedade destinada a investigar: é.citologia</v>
      </c>
      <c r="V1388" s="5" t="str">
        <f t="shared" si="759"/>
        <v>Dado para investigar:  citologia  Deve ser formatado como (rdfs:Literal  or  xsd:string)</v>
      </c>
      <c r="W1388" s="72" t="s">
        <v>3637</v>
      </c>
      <c r="X1388" s="17" t="str">
        <f t="shared" si="774"/>
        <v>d.inves.113</v>
      </c>
      <c r="Y1388" s="17" t="str">
        <f t="shared" si="775"/>
        <v>Ação de investigar</v>
      </c>
      <c r="Z1388" s="62" t="s">
        <v>3776</v>
      </c>
      <c r="AA1388" s="18" t="str">
        <f t="shared" si="787"/>
        <v>categoria.revit</v>
      </c>
      <c r="AB1388" s="55" t="s">
        <v>3598</v>
      </c>
      <c r="AC1388" s="18" t="str">
        <f t="shared" si="788"/>
        <v>classe.ifc</v>
      </c>
      <c r="AD1388" s="56" t="s">
        <v>2081</v>
      </c>
      <c r="AE1388" s="18" t="str">
        <f t="shared" si="789"/>
        <v>propriedade</v>
      </c>
      <c r="AF1388" s="75" t="s">
        <v>3546</v>
      </c>
      <c r="AG1388" s="38" t="s">
        <v>8562</v>
      </c>
    </row>
    <row r="1389" spans="1:33" s="66" customFormat="1" ht="6" customHeight="1" x14ac:dyDescent="0.4">
      <c r="A1389" s="4">
        <f>ROW()</f>
        <v>1389</v>
      </c>
      <c r="B1389" s="9" t="s">
        <v>27</v>
      </c>
      <c r="C1389" s="44" t="str">
        <f t="shared" si="790"/>
        <v>p.investigar</v>
      </c>
      <c r="D1389" s="6" t="str">
        <f t="shared" si="786"/>
        <v>é.dermatologia</v>
      </c>
      <c r="E1389" s="8" t="s">
        <v>28</v>
      </c>
      <c r="F1389" s="34" t="str">
        <f t="shared" si="791"/>
        <v>d.investigar</v>
      </c>
      <c r="G1389" s="34" t="s">
        <v>3602</v>
      </c>
      <c r="H1389" s="33" t="s">
        <v>1581</v>
      </c>
      <c r="I1389" s="92" t="str">
        <f t="shared" si="776"/>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58"/>
        <v>Propriedade destinada a investigar: é.dermatologia</v>
      </c>
      <c r="V1389" s="5" t="str">
        <f t="shared" si="759"/>
        <v>Dado para investigar:  dermatologia  Deve ser formatado como (rdfs:Literal  or  xsd:string)</v>
      </c>
      <c r="W1389" s="72" t="s">
        <v>3638</v>
      </c>
      <c r="X1389" s="17" t="str">
        <f t="shared" si="774"/>
        <v>d.inves.114</v>
      </c>
      <c r="Y1389" s="17" t="str">
        <f t="shared" si="775"/>
        <v>Ação de investigar</v>
      </c>
      <c r="Z1389" s="62" t="s">
        <v>3777</v>
      </c>
      <c r="AA1389" s="18" t="str">
        <f t="shared" si="787"/>
        <v>categoria.revit</v>
      </c>
      <c r="AB1389" s="55" t="s">
        <v>3598</v>
      </c>
      <c r="AC1389" s="18" t="str">
        <f t="shared" si="788"/>
        <v>classe.ifc</v>
      </c>
      <c r="AD1389" s="56" t="s">
        <v>2081</v>
      </c>
      <c r="AE1389" s="18" t="str">
        <f t="shared" si="789"/>
        <v>propriedade</v>
      </c>
      <c r="AF1389" s="75" t="s">
        <v>3547</v>
      </c>
      <c r="AG1389" s="38" t="s">
        <v>8563</v>
      </c>
    </row>
    <row r="1390" spans="1:33" s="66" customFormat="1" ht="6" customHeight="1" x14ac:dyDescent="0.4">
      <c r="A1390" s="4">
        <f>ROW()</f>
        <v>1390</v>
      </c>
      <c r="B1390" s="9" t="s">
        <v>27</v>
      </c>
      <c r="C1390" s="44" t="str">
        <f t="shared" si="790"/>
        <v>p.investigar</v>
      </c>
      <c r="D1390" s="6" t="str">
        <f t="shared" si="786"/>
        <v>é.diagnóstico</v>
      </c>
      <c r="E1390" s="8" t="s">
        <v>28</v>
      </c>
      <c r="F1390" s="34" t="str">
        <f t="shared" si="791"/>
        <v>d.investigar</v>
      </c>
      <c r="G1390" s="34" t="s">
        <v>3620</v>
      </c>
      <c r="H1390" s="33" t="s">
        <v>1581</v>
      </c>
      <c r="I1390" s="92" t="str">
        <f t="shared" si="776"/>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58"/>
        <v>Propriedade destinada a investigar: é.diagnóstico</v>
      </c>
      <c r="V1390" s="5" t="str">
        <f t="shared" si="759"/>
        <v>Dado para investigar:  diagnóstico  Deve ser formatado como (rdfs:Literal  or  xsd:string)</v>
      </c>
      <c r="W1390" s="72" t="s">
        <v>3640</v>
      </c>
      <c r="X1390" s="17" t="str">
        <f t="shared" si="774"/>
        <v>d.inves.115</v>
      </c>
      <c r="Y1390" s="17" t="str">
        <f t="shared" si="775"/>
        <v>Ação de investigar</v>
      </c>
      <c r="Z1390" s="62" t="s">
        <v>3778</v>
      </c>
      <c r="AA1390" s="18" t="str">
        <f t="shared" si="787"/>
        <v>categoria.revit</v>
      </c>
      <c r="AB1390" s="55" t="s">
        <v>3598</v>
      </c>
      <c r="AC1390" s="18" t="str">
        <f t="shared" si="788"/>
        <v>classe.ifc</v>
      </c>
      <c r="AD1390" s="56" t="s">
        <v>2081</v>
      </c>
      <c r="AE1390" s="18" t="str">
        <f t="shared" si="789"/>
        <v>propriedade</v>
      </c>
      <c r="AF1390" s="75" t="s">
        <v>3580</v>
      </c>
      <c r="AG1390" s="38" t="s">
        <v>8564</v>
      </c>
    </row>
    <row r="1391" spans="1:33" s="66" customFormat="1" ht="6" customHeight="1" x14ac:dyDescent="0.4">
      <c r="A1391" s="4">
        <f>ROW()</f>
        <v>1391</v>
      </c>
      <c r="B1391" s="9" t="s">
        <v>27</v>
      </c>
      <c r="C1391" s="44" t="str">
        <f t="shared" si="790"/>
        <v>p.investigar</v>
      </c>
      <c r="D1391" s="6" t="str">
        <f t="shared" si="786"/>
        <v>é.dissecção.de.osso</v>
      </c>
      <c r="E1391" s="8" t="s">
        <v>28</v>
      </c>
      <c r="F1391" s="34" t="str">
        <f t="shared" si="791"/>
        <v>d.investigar</v>
      </c>
      <c r="G1391" s="34" t="s">
        <v>3657</v>
      </c>
      <c r="H1391" s="33" t="s">
        <v>1581</v>
      </c>
      <c r="I1391" s="92" t="str">
        <f t="shared" si="776"/>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58"/>
        <v>Propriedade destinada a investigar: é.dissecção.de.osso</v>
      </c>
      <c r="V1391" s="5" t="str">
        <f t="shared" si="759"/>
        <v>Dado para investigar:  dissecção.de.osso  Deve ser formatado como (rdfs:Literal  or  xsd:string)</v>
      </c>
      <c r="W1391" s="72" t="s">
        <v>3641</v>
      </c>
      <c r="X1391" s="17" t="str">
        <f t="shared" si="774"/>
        <v>d.inves.116</v>
      </c>
      <c r="Y1391" s="17" t="str">
        <f t="shared" si="775"/>
        <v>Ação de investigar</v>
      </c>
      <c r="Z1391" s="62" t="s">
        <v>3779</v>
      </c>
      <c r="AA1391" s="18" t="str">
        <f t="shared" si="787"/>
        <v>categoria.revit</v>
      </c>
      <c r="AB1391" s="55" t="s">
        <v>3598</v>
      </c>
      <c r="AC1391" s="18" t="str">
        <f t="shared" si="788"/>
        <v>classe.ifc</v>
      </c>
      <c r="AD1391" s="56" t="s">
        <v>2081</v>
      </c>
      <c r="AE1391" s="18" t="str">
        <f t="shared" si="789"/>
        <v>propriedade</v>
      </c>
      <c r="AF1391" s="75" t="s">
        <v>3543</v>
      </c>
      <c r="AG1391" s="38" t="s">
        <v>8565</v>
      </c>
    </row>
    <row r="1392" spans="1:33" s="66" customFormat="1" ht="6" customHeight="1" x14ac:dyDescent="0.4">
      <c r="A1392" s="4">
        <f>ROW()</f>
        <v>1392</v>
      </c>
      <c r="B1392" s="9" t="s">
        <v>27</v>
      </c>
      <c r="C1392" s="44" t="str">
        <f t="shared" si="790"/>
        <v>p.investigar</v>
      </c>
      <c r="D1392" s="6" t="str">
        <f t="shared" si="786"/>
        <v>é.doença.infecciosa</v>
      </c>
      <c r="E1392" s="8" t="s">
        <v>28</v>
      </c>
      <c r="F1392" s="34" t="str">
        <f t="shared" si="791"/>
        <v>d.investigar</v>
      </c>
      <c r="G1392" s="34" t="s">
        <v>3658</v>
      </c>
      <c r="H1392" s="33" t="s">
        <v>1581</v>
      </c>
      <c r="I1392" s="92" t="str">
        <f t="shared" si="776"/>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58"/>
        <v>Propriedade destinada a investigar: é.doença.infecciosa</v>
      </c>
      <c r="V1392" s="5" t="str">
        <f t="shared" si="759"/>
        <v>Dado para investigar:  doença.infecciosa  Deve ser formatado como (rdfs:Literal  or  xsd:string)</v>
      </c>
      <c r="W1392" s="72" t="s">
        <v>3642</v>
      </c>
      <c r="X1392" s="17" t="str">
        <f t="shared" si="774"/>
        <v>d.inves.117</v>
      </c>
      <c r="Y1392" s="17" t="str">
        <f t="shared" si="775"/>
        <v>Ação de investigar</v>
      </c>
      <c r="Z1392" s="62" t="s">
        <v>3780</v>
      </c>
      <c r="AA1392" s="18" t="str">
        <f t="shared" si="787"/>
        <v>categoria.revit</v>
      </c>
      <c r="AB1392" s="55" t="s">
        <v>3598</v>
      </c>
      <c r="AC1392" s="18" t="str">
        <f t="shared" si="788"/>
        <v>classe.ifc</v>
      </c>
      <c r="AD1392" s="56" t="s">
        <v>2081</v>
      </c>
      <c r="AE1392" s="18" t="str">
        <f t="shared" si="789"/>
        <v>propriedade</v>
      </c>
      <c r="AF1392" s="75" t="s">
        <v>3579</v>
      </c>
      <c r="AG1392" s="38" t="s">
        <v>8566</v>
      </c>
    </row>
    <row r="1393" spans="1:33" s="66" customFormat="1" ht="6" customHeight="1" x14ac:dyDescent="0.4">
      <c r="A1393" s="4">
        <f>ROW()</f>
        <v>1393</v>
      </c>
      <c r="B1393" s="9" t="s">
        <v>27</v>
      </c>
      <c r="C1393" s="44" t="str">
        <f t="shared" si="790"/>
        <v>p.investigar</v>
      </c>
      <c r="D1393" s="6" t="str">
        <f t="shared" si="786"/>
        <v>é.doença.nb3</v>
      </c>
      <c r="E1393" s="8" t="s">
        <v>28</v>
      </c>
      <c r="F1393" s="34" t="str">
        <f t="shared" si="791"/>
        <v>d.investigar</v>
      </c>
      <c r="G1393" s="34" t="s">
        <v>3659</v>
      </c>
      <c r="H1393" s="33" t="s">
        <v>1581</v>
      </c>
      <c r="I1393" s="92" t="str">
        <f t="shared" si="776"/>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58"/>
        <v>Propriedade destinada a investigar: é.doença.nb3</v>
      </c>
      <c r="V1393" s="5" t="str">
        <f t="shared" si="759"/>
        <v>Dado para investigar:  doença.nb3  Deve ser formatado como (rdfs:Literal  or  xsd:string)</v>
      </c>
      <c r="W1393" s="72" t="s">
        <v>3719</v>
      </c>
      <c r="X1393" s="17" t="str">
        <f t="shared" si="774"/>
        <v>d.inves.118</v>
      </c>
      <c r="Y1393" s="17" t="str">
        <f t="shared" si="775"/>
        <v>Ação de investigar</v>
      </c>
      <c r="Z1393" s="62" t="s">
        <v>3781</v>
      </c>
      <c r="AA1393" s="18" t="str">
        <f t="shared" si="787"/>
        <v>categoria.revit</v>
      </c>
      <c r="AB1393" s="55" t="s">
        <v>3598</v>
      </c>
      <c r="AC1393" s="18" t="str">
        <f t="shared" si="788"/>
        <v>classe.ifc</v>
      </c>
      <c r="AD1393" s="56" t="s">
        <v>2081</v>
      </c>
      <c r="AE1393" s="18" t="str">
        <f t="shared" si="789"/>
        <v>propriedade</v>
      </c>
      <c r="AF1393" s="75" t="s">
        <v>3578</v>
      </c>
      <c r="AG1393" s="38" t="s">
        <v>8567</v>
      </c>
    </row>
    <row r="1394" spans="1:33" s="66" customFormat="1" ht="6" customHeight="1" x14ac:dyDescent="0.4">
      <c r="A1394" s="4">
        <f>ROW()</f>
        <v>1394</v>
      </c>
      <c r="B1394" s="9" t="s">
        <v>27</v>
      </c>
      <c r="C1394" s="44" t="str">
        <f t="shared" si="790"/>
        <v>p.investigar</v>
      </c>
      <c r="D1394" s="6" t="str">
        <f t="shared" si="786"/>
        <v>é.entomologia</v>
      </c>
      <c r="E1394" s="8" t="s">
        <v>28</v>
      </c>
      <c r="F1394" s="34" t="str">
        <f t="shared" si="791"/>
        <v>d.investigar</v>
      </c>
      <c r="G1394" s="34" t="s">
        <v>3539</v>
      </c>
      <c r="H1394" s="33" t="s">
        <v>1581</v>
      </c>
      <c r="I1394" s="92" t="str">
        <f t="shared" si="776"/>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58"/>
        <v>Propriedade destinada a investigar: é.entomologia</v>
      </c>
      <c r="V1394" s="5" t="str">
        <f t="shared" si="759"/>
        <v>Dado para investigar:  entomologia  Deve ser formatado como (rdfs:Literal  or  xsd:string)</v>
      </c>
      <c r="W1394" s="72" t="s">
        <v>3643</v>
      </c>
      <c r="X1394" s="17" t="str">
        <f t="shared" si="774"/>
        <v>d.inves.119</v>
      </c>
      <c r="Y1394" s="17" t="str">
        <f t="shared" si="775"/>
        <v>Ação de investigar</v>
      </c>
      <c r="Z1394" s="62" t="s">
        <v>3782</v>
      </c>
      <c r="AA1394" s="18" t="str">
        <f t="shared" si="787"/>
        <v>categoria.revit</v>
      </c>
      <c r="AB1394" s="55" t="s">
        <v>3598</v>
      </c>
      <c r="AC1394" s="18" t="str">
        <f t="shared" si="788"/>
        <v>classe.ifc</v>
      </c>
      <c r="AD1394" s="56" t="s">
        <v>2081</v>
      </c>
      <c r="AE1394" s="18" t="str">
        <f t="shared" si="789"/>
        <v>propriedade</v>
      </c>
      <c r="AF1394" s="75" t="s">
        <v>3548</v>
      </c>
      <c r="AG1394" s="38" t="s">
        <v>8568</v>
      </c>
    </row>
    <row r="1395" spans="1:33" s="66" customFormat="1" ht="6" customHeight="1" x14ac:dyDescent="0.4">
      <c r="A1395" s="4">
        <f>ROW()</f>
        <v>1395</v>
      </c>
      <c r="B1395" s="9" t="s">
        <v>27</v>
      </c>
      <c r="C1395" s="44" t="str">
        <f t="shared" si="790"/>
        <v>p.investigar</v>
      </c>
      <c r="D1395" s="6" t="str">
        <f t="shared" si="786"/>
        <v>é.física</v>
      </c>
      <c r="E1395" s="8" t="s">
        <v>28</v>
      </c>
      <c r="F1395" s="34" t="str">
        <f t="shared" si="791"/>
        <v>d.investigar</v>
      </c>
      <c r="G1395" s="34" t="s">
        <v>3646</v>
      </c>
      <c r="H1395" s="33" t="s">
        <v>1581</v>
      </c>
      <c r="I1395" s="92" t="str">
        <f t="shared" si="776"/>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58"/>
        <v>Propriedade destinada a investigar: é.física</v>
      </c>
      <c r="V1395" s="5" t="str">
        <f t="shared" si="759"/>
        <v>Dado para investigar:  física  Deve ser formatado como (rdfs:Literal  or  xsd:string)</v>
      </c>
      <c r="W1395" s="72" t="s">
        <v>3693</v>
      </c>
      <c r="X1395" s="17" t="str">
        <f t="shared" si="774"/>
        <v>d.inves.120</v>
      </c>
      <c r="Y1395" s="17" t="str">
        <f t="shared" si="775"/>
        <v>Ação de investigar</v>
      </c>
      <c r="Z1395" s="62" t="s">
        <v>3783</v>
      </c>
      <c r="AA1395" s="18" t="str">
        <f t="shared" si="787"/>
        <v>categoria.revit</v>
      </c>
      <c r="AB1395" s="55" t="s">
        <v>3598</v>
      </c>
      <c r="AC1395" s="18" t="str">
        <f t="shared" si="788"/>
        <v>classe.ifc</v>
      </c>
      <c r="AD1395" s="56" t="s">
        <v>2081</v>
      </c>
      <c r="AE1395" s="18" t="str">
        <f t="shared" si="789"/>
        <v>propriedade</v>
      </c>
      <c r="AF1395" s="75" t="s">
        <v>3586</v>
      </c>
      <c r="AG1395" s="38" t="s">
        <v>8569</v>
      </c>
    </row>
    <row r="1396" spans="1:33" s="66" customFormat="1" ht="6" customHeight="1" x14ac:dyDescent="0.4">
      <c r="A1396" s="4">
        <f>ROW()</f>
        <v>1396</v>
      </c>
      <c r="B1396" s="9" t="s">
        <v>27</v>
      </c>
      <c r="C1396" s="44" t="str">
        <f t="shared" si="790"/>
        <v>p.investigar</v>
      </c>
      <c r="D1396" s="6" t="str">
        <f t="shared" si="786"/>
        <v>é.geologia</v>
      </c>
      <c r="E1396" s="8" t="s">
        <v>28</v>
      </c>
      <c r="F1396" s="34" t="str">
        <f t="shared" si="791"/>
        <v>d.investigar</v>
      </c>
      <c r="G1396" s="34" t="s">
        <v>3603</v>
      </c>
      <c r="H1396" s="33" t="s">
        <v>1581</v>
      </c>
      <c r="I1396" s="92" t="str">
        <f t="shared" si="776"/>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58"/>
        <v>Propriedade destinada a investigar: é.geologia</v>
      </c>
      <c r="V1396" s="5" t="str">
        <f t="shared" si="759"/>
        <v>Dado para investigar:  geologia  Deve ser formatado como (rdfs:Literal  or  xsd:string)</v>
      </c>
      <c r="W1396" s="72" t="s">
        <v>3694</v>
      </c>
      <c r="X1396" s="17" t="str">
        <f t="shared" si="774"/>
        <v>d.inves.121</v>
      </c>
      <c r="Y1396" s="17" t="str">
        <f t="shared" si="775"/>
        <v>Ação de investigar</v>
      </c>
      <c r="Z1396" s="62" t="s">
        <v>3784</v>
      </c>
      <c r="AA1396" s="18" t="str">
        <f t="shared" si="787"/>
        <v>categoria.revit</v>
      </c>
      <c r="AB1396" s="55" t="s">
        <v>3598</v>
      </c>
      <c r="AC1396" s="18" t="str">
        <f t="shared" si="788"/>
        <v>classe.ifc</v>
      </c>
      <c r="AD1396" s="56" t="s">
        <v>2081</v>
      </c>
      <c r="AE1396" s="18" t="str">
        <f t="shared" si="789"/>
        <v>propriedade</v>
      </c>
      <c r="AF1396" s="75" t="s">
        <v>3590</v>
      </c>
      <c r="AG1396" s="38" t="s">
        <v>8570</v>
      </c>
    </row>
    <row r="1397" spans="1:33" s="66" customFormat="1" ht="6" customHeight="1" x14ac:dyDescent="0.4">
      <c r="A1397" s="4">
        <f>ROW()</f>
        <v>1397</v>
      </c>
      <c r="B1397" s="9" t="s">
        <v>27</v>
      </c>
      <c r="C1397" s="44" t="str">
        <f t="shared" si="790"/>
        <v>p.investigar</v>
      </c>
      <c r="D1397" s="6" t="str">
        <f t="shared" si="786"/>
        <v>é.hematologia</v>
      </c>
      <c r="E1397" s="8" t="s">
        <v>28</v>
      </c>
      <c r="F1397" s="34" t="str">
        <f t="shared" si="791"/>
        <v>d.investigar</v>
      </c>
      <c r="G1397" s="34" t="s">
        <v>3611</v>
      </c>
      <c r="H1397" s="33" t="s">
        <v>1581</v>
      </c>
      <c r="I1397" s="92" t="str">
        <f t="shared" si="776"/>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58"/>
        <v>Propriedade destinada a investigar: é.hematologia</v>
      </c>
      <c r="V1397" s="5" t="str">
        <f t="shared" si="759"/>
        <v>Dado para investigar:  hematologia  Deve ser formatado como (rdfs:Literal  or  xsd:string)</v>
      </c>
      <c r="W1397" s="72" t="s">
        <v>3695</v>
      </c>
      <c r="X1397" s="17" t="str">
        <f t="shared" si="774"/>
        <v>d.inves.122</v>
      </c>
      <c r="Y1397" s="17" t="str">
        <f t="shared" si="775"/>
        <v>Ação de investigar</v>
      </c>
      <c r="Z1397" s="62" t="s">
        <v>4482</v>
      </c>
      <c r="AA1397" s="18" t="str">
        <f t="shared" si="787"/>
        <v>categoria.revit</v>
      </c>
      <c r="AB1397" s="55" t="s">
        <v>3598</v>
      </c>
      <c r="AC1397" s="18" t="str">
        <f t="shared" si="788"/>
        <v>classe.ifc</v>
      </c>
      <c r="AD1397" s="56" t="s">
        <v>2081</v>
      </c>
      <c r="AE1397" s="18" t="str">
        <f t="shared" si="789"/>
        <v>propriedade</v>
      </c>
      <c r="AF1397" s="75" t="s">
        <v>3551</v>
      </c>
      <c r="AG1397" s="38" t="s">
        <v>8571</v>
      </c>
    </row>
    <row r="1398" spans="1:33" s="66" customFormat="1" ht="6" customHeight="1" x14ac:dyDescent="0.4">
      <c r="A1398" s="4">
        <f>ROW()</f>
        <v>1398</v>
      </c>
      <c r="B1398" s="9" t="s">
        <v>27</v>
      </c>
      <c r="C1398" s="44" t="str">
        <f t="shared" si="790"/>
        <v>p.investigar</v>
      </c>
      <c r="D1398" s="6" t="str">
        <f t="shared" si="786"/>
        <v>é.hematologia.gasometria</v>
      </c>
      <c r="E1398" s="8" t="s">
        <v>28</v>
      </c>
      <c r="F1398" s="34" t="str">
        <f t="shared" si="791"/>
        <v>d.investigar</v>
      </c>
      <c r="G1398" s="34" t="s">
        <v>3648</v>
      </c>
      <c r="H1398" s="33" t="s">
        <v>1581</v>
      </c>
      <c r="I1398" s="92" t="str">
        <f t="shared" si="776"/>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58"/>
        <v>Propriedade destinada a investigar: é.hematologia.gasometria</v>
      </c>
      <c r="V1398" s="5" t="str">
        <f t="shared" si="759"/>
        <v>Dado para investigar:  hematologia.gasometria  Deve ser formatado como (rdfs:Literal  or  xsd:string)</v>
      </c>
      <c r="W1398" s="72" t="s">
        <v>3696</v>
      </c>
      <c r="X1398" s="17" t="str">
        <f t="shared" si="774"/>
        <v>d.inves.123</v>
      </c>
      <c r="Y1398" s="17" t="str">
        <f t="shared" si="775"/>
        <v>Ação de investigar</v>
      </c>
      <c r="Z1398" s="62" t="s">
        <v>4483</v>
      </c>
      <c r="AA1398" s="18" t="str">
        <f t="shared" si="787"/>
        <v>categoria.revit</v>
      </c>
      <c r="AB1398" s="55" t="s">
        <v>3598</v>
      </c>
      <c r="AC1398" s="18" t="str">
        <f t="shared" si="788"/>
        <v>classe.ifc</v>
      </c>
      <c r="AD1398" s="56" t="s">
        <v>2081</v>
      </c>
      <c r="AE1398" s="18" t="str">
        <f t="shared" si="789"/>
        <v>propriedade</v>
      </c>
      <c r="AF1398" s="75" t="s">
        <v>3542</v>
      </c>
      <c r="AG1398" s="38" t="s">
        <v>8572</v>
      </c>
    </row>
    <row r="1399" spans="1:33" s="66" customFormat="1" ht="6" customHeight="1" x14ac:dyDescent="0.4">
      <c r="A1399" s="4">
        <f>ROW()</f>
        <v>1399</v>
      </c>
      <c r="B1399" s="9" t="s">
        <v>27</v>
      </c>
      <c r="C1399" s="44" t="str">
        <f t="shared" si="790"/>
        <v>p.investigar</v>
      </c>
      <c r="D1399" s="6" t="str">
        <f t="shared" si="786"/>
        <v>é.hematologia.hemostasia</v>
      </c>
      <c r="E1399" s="8" t="s">
        <v>28</v>
      </c>
      <c r="F1399" s="34" t="str">
        <f t="shared" si="791"/>
        <v>d.investigar</v>
      </c>
      <c r="G1399" s="34" t="s">
        <v>3647</v>
      </c>
      <c r="H1399" s="33" t="s">
        <v>1581</v>
      </c>
      <c r="I1399" s="92" t="str">
        <f t="shared" si="776"/>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58"/>
        <v>Propriedade destinada a investigar: é.hematologia.hemostasia</v>
      </c>
      <c r="V1399" s="5" t="str">
        <f t="shared" si="759"/>
        <v>Dado para investigar:  hematologia.hemostasia  Deve ser formatado como (rdfs:Literal  or  xsd:string)</v>
      </c>
      <c r="W1399" s="72" t="s">
        <v>3720</v>
      </c>
      <c r="X1399" s="17" t="str">
        <f t="shared" si="774"/>
        <v>d.inves.124</v>
      </c>
      <c r="Y1399" s="17" t="str">
        <f t="shared" si="775"/>
        <v>Ação de investigar</v>
      </c>
      <c r="Z1399" s="62" t="s">
        <v>3785</v>
      </c>
      <c r="AA1399" s="18" t="str">
        <f t="shared" si="787"/>
        <v>categoria.revit</v>
      </c>
      <c r="AB1399" s="55" t="s">
        <v>3598</v>
      </c>
      <c r="AC1399" s="18" t="str">
        <f t="shared" si="788"/>
        <v>classe.ifc</v>
      </c>
      <c r="AD1399" s="56" t="s">
        <v>2081</v>
      </c>
      <c r="AE1399" s="18" t="str">
        <f t="shared" si="789"/>
        <v>propriedade</v>
      </c>
      <c r="AF1399" s="75" t="s">
        <v>3550</v>
      </c>
      <c r="AG1399" s="38" t="s">
        <v>8573</v>
      </c>
    </row>
    <row r="1400" spans="1:33" s="66" customFormat="1" ht="6" customHeight="1" x14ac:dyDescent="0.4">
      <c r="A1400" s="4">
        <f>ROW()</f>
        <v>1400</v>
      </c>
      <c r="B1400" s="9" t="s">
        <v>27</v>
      </c>
      <c r="C1400" s="44" t="str">
        <f t="shared" si="790"/>
        <v>p.investigar</v>
      </c>
      <c r="D1400" s="6" t="str">
        <f t="shared" si="786"/>
        <v>é.histologia</v>
      </c>
      <c r="E1400" s="8" t="s">
        <v>28</v>
      </c>
      <c r="F1400" s="34" t="str">
        <f t="shared" si="791"/>
        <v>d.investigar</v>
      </c>
      <c r="G1400" s="34" t="s">
        <v>3604</v>
      </c>
      <c r="H1400" s="33" t="s">
        <v>1581</v>
      </c>
      <c r="I1400" s="92" t="str">
        <f t="shared" si="776"/>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58"/>
        <v>Propriedade destinada a investigar: é.histologia</v>
      </c>
      <c r="V1400" s="5" t="str">
        <f t="shared" si="759"/>
        <v>Dado para investigar:  histologia  Deve ser formatado como (rdfs:Literal  or  xsd:string)</v>
      </c>
      <c r="W1400" s="72" t="s">
        <v>3635</v>
      </c>
      <c r="X1400" s="17" t="str">
        <f t="shared" si="774"/>
        <v>d.inves.125</v>
      </c>
      <c r="Y1400" s="17" t="str">
        <f t="shared" si="775"/>
        <v>Ação de investigar</v>
      </c>
      <c r="Z1400" s="62" t="s">
        <v>3786</v>
      </c>
      <c r="AA1400" s="18" t="str">
        <f t="shared" si="787"/>
        <v>categoria.revit</v>
      </c>
      <c r="AB1400" s="55" t="s">
        <v>3598</v>
      </c>
      <c r="AC1400" s="18" t="str">
        <f t="shared" si="788"/>
        <v>classe.ifc</v>
      </c>
      <c r="AD1400" s="56" t="s">
        <v>2081</v>
      </c>
      <c r="AE1400" s="18" t="str">
        <f t="shared" si="789"/>
        <v>propriedade</v>
      </c>
      <c r="AF1400" s="75" t="s">
        <v>3552</v>
      </c>
      <c r="AG1400" s="38" t="s">
        <v>8574</v>
      </c>
    </row>
    <row r="1401" spans="1:33" s="66" customFormat="1" ht="6" customHeight="1" x14ac:dyDescent="0.4">
      <c r="A1401" s="4">
        <f>ROW()</f>
        <v>1401</v>
      </c>
      <c r="B1401" s="9" t="s">
        <v>27</v>
      </c>
      <c r="C1401" s="44" t="str">
        <f t="shared" si="790"/>
        <v>p.investigar</v>
      </c>
      <c r="D1401" s="6" t="str">
        <f t="shared" si="786"/>
        <v>é.imunopatologia</v>
      </c>
      <c r="E1401" s="8" t="s">
        <v>28</v>
      </c>
      <c r="F1401" s="34" t="str">
        <f t="shared" si="791"/>
        <v>d.investigar</v>
      </c>
      <c r="G1401" s="34" t="s">
        <v>3605</v>
      </c>
      <c r="H1401" s="33" t="s">
        <v>1581</v>
      </c>
      <c r="I1401" s="92" t="str">
        <f t="shared" si="776"/>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58"/>
        <v>Propriedade destinada a investigar: é.imunopatologia</v>
      </c>
      <c r="V1401" s="5" t="str">
        <f t="shared" si="759"/>
        <v>Dado para investigar:  imunopatologia  Deve ser formatado como (rdfs:Literal  or  xsd:string)</v>
      </c>
      <c r="W1401" s="72" t="s">
        <v>3697</v>
      </c>
      <c r="X1401" s="17" t="str">
        <f t="shared" si="774"/>
        <v>d.inves.126</v>
      </c>
      <c r="Y1401" s="17" t="str">
        <f t="shared" si="775"/>
        <v>Ação de investigar</v>
      </c>
      <c r="Z1401" s="62" t="s">
        <v>3787</v>
      </c>
      <c r="AA1401" s="18" t="str">
        <f t="shared" si="787"/>
        <v>categoria.revit</v>
      </c>
      <c r="AB1401" s="55" t="s">
        <v>3598</v>
      </c>
      <c r="AC1401" s="18" t="str">
        <f t="shared" si="788"/>
        <v>classe.ifc</v>
      </c>
      <c r="AD1401" s="56" t="s">
        <v>2081</v>
      </c>
      <c r="AE1401" s="18" t="str">
        <f t="shared" si="789"/>
        <v>propriedade</v>
      </c>
      <c r="AF1401" s="75" t="s">
        <v>3553</v>
      </c>
      <c r="AG1401" s="38" t="s">
        <v>8575</v>
      </c>
    </row>
    <row r="1402" spans="1:33" s="66" customFormat="1" ht="6" customHeight="1" x14ac:dyDescent="0.4">
      <c r="A1402" s="4">
        <f>ROW()</f>
        <v>1402</v>
      </c>
      <c r="B1402" s="9" t="s">
        <v>27</v>
      </c>
      <c r="C1402" s="44" t="str">
        <f t="shared" si="790"/>
        <v>p.investigar</v>
      </c>
      <c r="D1402" s="6" t="str">
        <f t="shared" si="786"/>
        <v>é.laboratório.automatizado</v>
      </c>
      <c r="E1402" s="8" t="s">
        <v>28</v>
      </c>
      <c r="F1402" s="34" t="str">
        <f t="shared" si="791"/>
        <v>d.investigar</v>
      </c>
      <c r="G1402" s="34" t="s">
        <v>3600</v>
      </c>
      <c r="H1402" s="33" t="s">
        <v>1581</v>
      </c>
      <c r="I1402" s="92" t="str">
        <f t="shared" si="776"/>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58"/>
        <v>Propriedade destinada a investigar: é.laboratório.automatizado</v>
      </c>
      <c r="V1402" s="5" t="str">
        <f t="shared" si="759"/>
        <v>Dado para investigar:  laboratório.automatizado  Deve ser formatado como (rdfs:Literal  or  xsd:string)</v>
      </c>
      <c r="W1402" s="72" t="s">
        <v>3698</v>
      </c>
      <c r="X1402" s="17" t="str">
        <f t="shared" si="774"/>
        <v>d.inves.127</v>
      </c>
      <c r="Y1402" s="17" t="str">
        <f t="shared" si="775"/>
        <v>Ação de investigar</v>
      </c>
      <c r="Z1402" s="62" t="s">
        <v>3788</v>
      </c>
      <c r="AA1402" s="18" t="str">
        <f t="shared" si="787"/>
        <v>categoria.revit</v>
      </c>
      <c r="AB1402" s="55" t="s">
        <v>3598</v>
      </c>
      <c r="AC1402" s="18" t="str">
        <f t="shared" si="788"/>
        <v>classe.ifc</v>
      </c>
      <c r="AD1402" s="56" t="s">
        <v>2081</v>
      </c>
      <c r="AE1402" s="18" t="str">
        <f t="shared" si="789"/>
        <v>propriedade</v>
      </c>
      <c r="AF1402" s="75" t="s">
        <v>3541</v>
      </c>
      <c r="AG1402" s="38" t="s">
        <v>8576</v>
      </c>
    </row>
    <row r="1403" spans="1:33" s="66" customFormat="1" ht="6" customHeight="1" x14ac:dyDescent="0.4">
      <c r="A1403" s="4">
        <f>ROW()</f>
        <v>1403</v>
      </c>
      <c r="B1403" s="9" t="s">
        <v>27</v>
      </c>
      <c r="C1403" s="44" t="str">
        <f t="shared" si="790"/>
        <v>p.investigar</v>
      </c>
      <c r="D1403" s="6" t="str">
        <f t="shared" si="786"/>
        <v>é.laboratório.clínico</v>
      </c>
      <c r="E1403" s="8" t="s">
        <v>28</v>
      </c>
      <c r="F1403" s="34" t="str">
        <f t="shared" si="791"/>
        <v>d.investigar</v>
      </c>
      <c r="G1403" s="34" t="s">
        <v>3622</v>
      </c>
      <c r="H1403" s="33" t="s">
        <v>1581</v>
      </c>
      <c r="I1403" s="92" t="str">
        <f t="shared" si="776"/>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58"/>
        <v>Propriedade destinada a investigar: é.laboratório.clínico</v>
      </c>
      <c r="V1403" s="5" t="str">
        <f t="shared" si="759"/>
        <v>Dado para investigar:  laboratório.clínico  Deve ser formatado como (rdfs:Literal  or  xsd:string)</v>
      </c>
      <c r="W1403" s="72" t="s">
        <v>3699</v>
      </c>
      <c r="X1403" s="17" t="str">
        <f t="shared" si="774"/>
        <v>d.inves.128</v>
      </c>
      <c r="Y1403" s="17" t="str">
        <f t="shared" si="775"/>
        <v>Ação de investigar</v>
      </c>
      <c r="Z1403" s="62" t="s">
        <v>4484</v>
      </c>
      <c r="AA1403" s="18" t="str">
        <f t="shared" si="787"/>
        <v>categoria.revit</v>
      </c>
      <c r="AB1403" s="55" t="s">
        <v>3598</v>
      </c>
      <c r="AC1403" s="18" t="str">
        <f t="shared" si="788"/>
        <v>classe.ifc</v>
      </c>
      <c r="AD1403" s="56" t="s">
        <v>2081</v>
      </c>
      <c r="AE1403" s="18" t="str">
        <f t="shared" si="789"/>
        <v>propriedade</v>
      </c>
      <c r="AF1403" s="75" t="s">
        <v>3549</v>
      </c>
      <c r="AG1403" s="38" t="s">
        <v>8577</v>
      </c>
    </row>
    <row r="1404" spans="1:33" s="66" customFormat="1" ht="6" customHeight="1" x14ac:dyDescent="0.4">
      <c r="A1404" s="4">
        <f>ROW()</f>
        <v>1404</v>
      </c>
      <c r="B1404" s="9" t="s">
        <v>27</v>
      </c>
      <c r="C1404" s="44" t="str">
        <f t="shared" si="790"/>
        <v>p.investigar</v>
      </c>
      <c r="D1404" s="6" t="str">
        <f t="shared" si="786"/>
        <v>é.laboratório.de.astronomia</v>
      </c>
      <c r="E1404" s="8" t="s">
        <v>28</v>
      </c>
      <c r="F1404" s="34" t="str">
        <f t="shared" si="791"/>
        <v>d.investigar</v>
      </c>
      <c r="G1404" s="34" t="s">
        <v>3612</v>
      </c>
      <c r="H1404" s="33" t="s">
        <v>1581</v>
      </c>
      <c r="I1404" s="92" t="str">
        <f t="shared" si="776"/>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58"/>
        <v>Propriedade destinada a investigar: é.laboratório.de.astronomia</v>
      </c>
      <c r="V1404" s="5" t="str">
        <f t="shared" si="759"/>
        <v>Dado para investigar:  laboratório.de.astronomia  Deve ser formatado como (rdfs:Literal  or  xsd:string)</v>
      </c>
      <c r="W1404" s="72" t="s">
        <v>3689</v>
      </c>
      <c r="X1404" s="17" t="str">
        <f t="shared" si="774"/>
        <v>d.inves.129</v>
      </c>
      <c r="Y1404" s="17" t="str">
        <f t="shared" si="775"/>
        <v>Ação de investigar</v>
      </c>
      <c r="Z1404" s="62" t="s">
        <v>3789</v>
      </c>
      <c r="AA1404" s="18" t="str">
        <f t="shared" si="787"/>
        <v>categoria.revit</v>
      </c>
      <c r="AB1404" s="55" t="s">
        <v>3598</v>
      </c>
      <c r="AC1404" s="18" t="str">
        <f t="shared" si="788"/>
        <v>classe.ifc</v>
      </c>
      <c r="AD1404" s="56" t="s">
        <v>2081</v>
      </c>
      <c r="AE1404" s="18" t="str">
        <f t="shared" si="789"/>
        <v>propriedade</v>
      </c>
      <c r="AF1404" s="75" t="s">
        <v>3587</v>
      </c>
      <c r="AG1404" s="38" t="s">
        <v>8578</v>
      </c>
    </row>
    <row r="1405" spans="1:33" s="66" customFormat="1" ht="6" customHeight="1" x14ac:dyDescent="0.4">
      <c r="A1405" s="4">
        <f>ROW()</f>
        <v>1405</v>
      </c>
      <c r="B1405" s="9" t="s">
        <v>27</v>
      </c>
      <c r="C1405" s="44" t="str">
        <f t="shared" si="790"/>
        <v>p.investigar</v>
      </c>
      <c r="D1405" s="6" t="str">
        <f t="shared" si="786"/>
        <v>é.laboratório.de.biociência</v>
      </c>
      <c r="E1405" s="8" t="s">
        <v>28</v>
      </c>
      <c r="F1405" s="34" t="str">
        <f t="shared" si="791"/>
        <v>d.investigar</v>
      </c>
      <c r="G1405" s="34" t="s">
        <v>3615</v>
      </c>
      <c r="H1405" s="33" t="s">
        <v>1581</v>
      </c>
      <c r="I1405" s="92" t="str">
        <f t="shared" si="776"/>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58"/>
        <v>Propriedade destinada a investigar: é.laboratório.de.biociência</v>
      </c>
      <c r="V1405" s="5" t="str">
        <f t="shared" si="759"/>
        <v>Dado para investigar:  laboratório.de.biociência  Deve ser formatado como (rdfs:Literal  or  xsd:string)</v>
      </c>
      <c r="W1405" s="72" t="s">
        <v>3690</v>
      </c>
      <c r="X1405" s="17" t="str">
        <f t="shared" si="774"/>
        <v>d.inves.130</v>
      </c>
      <c r="Y1405" s="17" t="str">
        <f t="shared" si="775"/>
        <v>Ação de investigar</v>
      </c>
      <c r="Z1405" s="62" t="s">
        <v>3790</v>
      </c>
      <c r="AA1405" s="18" t="str">
        <f t="shared" si="787"/>
        <v>categoria.revit</v>
      </c>
      <c r="AB1405" s="55" t="s">
        <v>3598</v>
      </c>
      <c r="AC1405" s="18" t="str">
        <f t="shared" si="788"/>
        <v>classe.ifc</v>
      </c>
      <c r="AD1405" s="56" t="s">
        <v>2081</v>
      </c>
      <c r="AE1405" s="18" t="str">
        <f t="shared" si="789"/>
        <v>propriedade</v>
      </c>
      <c r="AF1405" s="75" t="s">
        <v>3583</v>
      </c>
      <c r="AG1405" s="38" t="s">
        <v>8579</v>
      </c>
    </row>
    <row r="1406" spans="1:33" s="66" customFormat="1" ht="6" customHeight="1" x14ac:dyDescent="0.4">
      <c r="A1406" s="4">
        <f>ROW()</f>
        <v>1406</v>
      </c>
      <c r="B1406" s="9" t="s">
        <v>27</v>
      </c>
      <c r="C1406" s="44" t="str">
        <f t="shared" si="790"/>
        <v>p.investigar</v>
      </c>
      <c r="D1406" s="6" t="str">
        <f t="shared" si="786"/>
        <v>é.laboratório.de.física</v>
      </c>
      <c r="E1406" s="8" t="s">
        <v>28</v>
      </c>
      <c r="F1406" s="34" t="str">
        <f t="shared" si="791"/>
        <v>d.investigar</v>
      </c>
      <c r="G1406" s="34" t="s">
        <v>3616</v>
      </c>
      <c r="H1406" s="33" t="s">
        <v>1581</v>
      </c>
      <c r="I1406" s="92" t="str">
        <f t="shared" si="776"/>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ref="U1406:U1453" si="793">_xlfn.CONCAT("Propriedade destinada a ",MID(C1406,FIND("p.",C1406,1)+2,100),": ",D1406)</f>
        <v>Propriedade destinada a investigar: é.laboratório.de.física</v>
      </c>
      <c r="V1406" s="5" t="str">
        <f t="shared" ref="V1406:V1453" si="794">_xlfn.CONCAT("Dado para ",MID(F1406,FIND("d.",F1406,1)+2,100),":  ",G1406, "  Deve ser formatado como (",H1406, ")")</f>
        <v>Dado para investigar:  laboratório.de.física  Deve ser formatado como (rdfs:Literal  or  xsd:string)</v>
      </c>
      <c r="W1406" s="72" t="s">
        <v>3700</v>
      </c>
      <c r="X1406" s="17" t="str">
        <f t="shared" si="774"/>
        <v>d.inves.131</v>
      </c>
      <c r="Y1406" s="17" t="str">
        <f t="shared" si="775"/>
        <v>Ação de investigar</v>
      </c>
      <c r="Z1406" s="62" t="s">
        <v>3791</v>
      </c>
      <c r="AA1406" s="18" t="str">
        <f t="shared" si="787"/>
        <v>categoria.revit</v>
      </c>
      <c r="AB1406" s="55" t="s">
        <v>3598</v>
      </c>
      <c r="AC1406" s="18" t="str">
        <f t="shared" si="788"/>
        <v>classe.ifc</v>
      </c>
      <c r="AD1406" s="56" t="s">
        <v>2081</v>
      </c>
      <c r="AE1406" s="18" t="str">
        <f t="shared" si="789"/>
        <v>propriedade</v>
      </c>
      <c r="AF1406" s="75" t="s">
        <v>3584</v>
      </c>
      <c r="AG1406" s="38" t="s">
        <v>8580</v>
      </c>
    </row>
    <row r="1407" spans="1:33" s="66" customFormat="1" ht="6" customHeight="1" x14ac:dyDescent="0.4">
      <c r="A1407" s="4">
        <f>ROW()</f>
        <v>1407</v>
      </c>
      <c r="B1407" s="9" t="s">
        <v>27</v>
      </c>
      <c r="C1407" s="44" t="str">
        <f t="shared" si="790"/>
        <v>p.investigar</v>
      </c>
      <c r="D1407" s="6" t="str">
        <f t="shared" si="786"/>
        <v>é.laboratório.de.montagem</v>
      </c>
      <c r="E1407" s="8" t="s">
        <v>28</v>
      </c>
      <c r="F1407" s="34" t="str">
        <f t="shared" si="791"/>
        <v>d.investigar</v>
      </c>
      <c r="G1407" s="34" t="s">
        <v>3617</v>
      </c>
      <c r="H1407" s="33" t="s">
        <v>1581</v>
      </c>
      <c r="I1407" s="92" t="str">
        <f t="shared" si="776"/>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93"/>
        <v>Propriedade destinada a investigar: é.laboratório.de.montagem</v>
      </c>
      <c r="V1407" s="5" t="str">
        <f t="shared" si="794"/>
        <v>Dado para investigar:  laboratório.de.montagem  Deve ser formatado como (rdfs:Literal  or  xsd:string)</v>
      </c>
      <c r="W1407" s="72" t="s">
        <v>3701</v>
      </c>
      <c r="X1407" s="17" t="str">
        <f t="shared" si="774"/>
        <v>d.inves.132</v>
      </c>
      <c r="Y1407" s="17" t="str">
        <f t="shared" si="775"/>
        <v>Ação de investigar</v>
      </c>
      <c r="Z1407" s="62" t="s">
        <v>3792</v>
      </c>
      <c r="AA1407" s="18" t="str">
        <f t="shared" si="787"/>
        <v>categoria.revit</v>
      </c>
      <c r="AB1407" s="55" t="s">
        <v>3598</v>
      </c>
      <c r="AC1407" s="18" t="str">
        <f t="shared" si="788"/>
        <v>classe.ifc</v>
      </c>
      <c r="AD1407" s="56" t="s">
        <v>2081</v>
      </c>
      <c r="AE1407" s="18" t="str">
        <f t="shared" si="789"/>
        <v>propriedade</v>
      </c>
      <c r="AF1407" s="75" t="s">
        <v>3596</v>
      </c>
      <c r="AG1407" s="38" t="s">
        <v>8581</v>
      </c>
    </row>
    <row r="1408" spans="1:33" s="66" customFormat="1" ht="6" customHeight="1" x14ac:dyDescent="0.4">
      <c r="A1408" s="4">
        <f>ROW()</f>
        <v>1408</v>
      </c>
      <c r="B1408" s="9" t="s">
        <v>27</v>
      </c>
      <c r="C1408" s="44" t="str">
        <f t="shared" si="790"/>
        <v>p.investigar</v>
      </c>
      <c r="D1408" s="6" t="str">
        <f t="shared" si="786"/>
        <v>é.laboratório.de.perícia</v>
      </c>
      <c r="E1408" s="8" t="s">
        <v>28</v>
      </c>
      <c r="F1408" s="34" t="str">
        <f t="shared" si="791"/>
        <v>d.investigar</v>
      </c>
      <c r="G1408" s="34" t="s">
        <v>3613</v>
      </c>
      <c r="H1408" s="33" t="s">
        <v>1581</v>
      </c>
      <c r="I1408" s="92" t="str">
        <f t="shared" si="776"/>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93"/>
        <v>Propriedade destinada a investigar: é.laboratório.de.perícia</v>
      </c>
      <c r="V1408" s="5" t="str">
        <f t="shared" si="794"/>
        <v>Dado para investigar:  laboratório.de.perícia  Deve ser formatado como (rdfs:Literal  or  xsd:string)</v>
      </c>
      <c r="W1408" s="72" t="s">
        <v>3686</v>
      </c>
      <c r="X1408" s="17" t="str">
        <f t="shared" si="774"/>
        <v>d.inves.133</v>
      </c>
      <c r="Y1408" s="17" t="str">
        <f t="shared" si="775"/>
        <v>Ação de investigar</v>
      </c>
      <c r="Z1408" s="62" t="s">
        <v>3793</v>
      </c>
      <c r="AA1408" s="18" t="str">
        <f t="shared" si="787"/>
        <v>categoria.revit</v>
      </c>
      <c r="AB1408" s="55" t="s">
        <v>3598</v>
      </c>
      <c r="AC1408" s="18" t="str">
        <f t="shared" si="788"/>
        <v>classe.ifc</v>
      </c>
      <c r="AD1408" s="56" t="s">
        <v>2081</v>
      </c>
      <c r="AE1408" s="18" t="str">
        <f t="shared" si="789"/>
        <v>propriedade</v>
      </c>
      <c r="AF1408" s="75" t="s">
        <v>3592</v>
      </c>
      <c r="AG1408" s="38" t="s">
        <v>8582</v>
      </c>
    </row>
    <row r="1409" spans="1:33" s="66" customFormat="1" ht="6" customHeight="1" x14ac:dyDescent="0.4">
      <c r="A1409" s="4">
        <f>ROW()</f>
        <v>1409</v>
      </c>
      <c r="B1409" s="9" t="s">
        <v>27</v>
      </c>
      <c r="C1409" s="44" t="str">
        <f t="shared" si="790"/>
        <v>p.investigar</v>
      </c>
      <c r="D1409" s="6" t="str">
        <f t="shared" si="786"/>
        <v>é.laboratório.de.psicologia</v>
      </c>
      <c r="E1409" s="8" t="s">
        <v>28</v>
      </c>
      <c r="F1409" s="34" t="str">
        <f t="shared" si="791"/>
        <v>d.investigar</v>
      </c>
      <c r="G1409" s="34" t="s">
        <v>3614</v>
      </c>
      <c r="H1409" s="33" t="s">
        <v>1581</v>
      </c>
      <c r="I1409" s="92" t="str">
        <f t="shared" si="776"/>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93"/>
        <v>Propriedade destinada a investigar: é.laboratório.de.psicologia</v>
      </c>
      <c r="V1409" s="5" t="str">
        <f t="shared" si="794"/>
        <v>Dado para investigar:  laboratório.de.psicologia  Deve ser formatado como (rdfs:Literal  or  xsd:string)</v>
      </c>
      <c r="W1409" s="72" t="s">
        <v>3687</v>
      </c>
      <c r="X1409" s="17" t="str">
        <f t="shared" si="774"/>
        <v>d.inves.134</v>
      </c>
      <c r="Y1409" s="17" t="str">
        <f t="shared" si="775"/>
        <v>Ação de investigar</v>
      </c>
      <c r="Z1409" s="62" t="s">
        <v>4485</v>
      </c>
      <c r="AA1409" s="18" t="str">
        <f t="shared" si="787"/>
        <v>categoria.revit</v>
      </c>
      <c r="AB1409" s="55" t="s">
        <v>3598</v>
      </c>
      <c r="AC1409" s="18" t="str">
        <f t="shared" si="788"/>
        <v>classe.ifc</v>
      </c>
      <c r="AD1409" s="56" t="s">
        <v>2081</v>
      </c>
      <c r="AE1409" s="18" t="str">
        <f t="shared" si="789"/>
        <v>propriedade</v>
      </c>
      <c r="AF1409" s="75" t="s">
        <v>3593</v>
      </c>
      <c r="AG1409" s="38" t="s">
        <v>8583</v>
      </c>
    </row>
    <row r="1410" spans="1:33" s="66" customFormat="1" ht="6" customHeight="1" x14ac:dyDescent="0.4">
      <c r="A1410" s="4">
        <f>ROW()</f>
        <v>1410</v>
      </c>
      <c r="B1410" s="9" t="s">
        <v>27</v>
      </c>
      <c r="C1410" s="44" t="str">
        <f t="shared" si="790"/>
        <v>p.investigar</v>
      </c>
      <c r="D1410" s="6" t="str">
        <f t="shared" si="786"/>
        <v>é.laboratório.de.teste</v>
      </c>
      <c r="E1410" s="8" t="s">
        <v>28</v>
      </c>
      <c r="F1410" s="34" t="str">
        <f t="shared" si="791"/>
        <v>d.investigar</v>
      </c>
      <c r="G1410" s="34" t="s">
        <v>3656</v>
      </c>
      <c r="H1410" s="33" t="s">
        <v>1581</v>
      </c>
      <c r="I1410" s="92" t="str">
        <f t="shared" si="776"/>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93"/>
        <v>Propriedade destinada a investigar: é.laboratório.de.teste</v>
      </c>
      <c r="V1410" s="5" t="str">
        <f t="shared" si="794"/>
        <v>Dado para investigar:  laboratório.de.teste  Deve ser formatado como (rdfs:Literal  or  xsd:string)</v>
      </c>
      <c r="W1410" s="72" t="s">
        <v>3688</v>
      </c>
      <c r="X1410" s="17" t="str">
        <f t="shared" si="774"/>
        <v>d.inves.135</v>
      </c>
      <c r="Y1410" s="17" t="str">
        <f t="shared" si="775"/>
        <v>Ação de investigar</v>
      </c>
      <c r="Z1410" s="62" t="s">
        <v>3794</v>
      </c>
      <c r="AA1410" s="18" t="str">
        <f t="shared" ref="AA1410:AA1437" si="795">IF(AB1410="null", "null", "categoria.revit")</f>
        <v>categoria.revit</v>
      </c>
      <c r="AB1410" s="55" t="s">
        <v>3598</v>
      </c>
      <c r="AC1410" s="18" t="str">
        <f t="shared" ref="AC1410:AC1437" si="796">IF(AD1410="null", "null", "classe.ifc")</f>
        <v>classe.ifc</v>
      </c>
      <c r="AD1410" s="56" t="s">
        <v>2081</v>
      </c>
      <c r="AE1410" s="18" t="str">
        <f t="shared" ref="AE1410:AE1437" si="797">IF(AF1410="null", "null", "propriedade")</f>
        <v>propriedade</v>
      </c>
      <c r="AF1410" s="75" t="s">
        <v>3594</v>
      </c>
      <c r="AG1410" s="38" t="s">
        <v>8584</v>
      </c>
    </row>
    <row r="1411" spans="1:33" s="66" customFormat="1" ht="6" customHeight="1" x14ac:dyDescent="0.4">
      <c r="A1411" s="4">
        <f>ROW()</f>
        <v>1411</v>
      </c>
      <c r="B1411" s="9" t="s">
        <v>27</v>
      </c>
      <c r="C1411" s="44" t="str">
        <f t="shared" ref="C1411:C1437" si="798">SUBSTITUTE(F1411,"d.","p.")</f>
        <v>p.investigar</v>
      </c>
      <c r="D1411" s="6" t="str">
        <f t="shared" si="786"/>
        <v>é.líquido.e.gás</v>
      </c>
      <c r="E1411" s="8" t="s">
        <v>28</v>
      </c>
      <c r="F1411" s="34" t="str">
        <f t="shared" ref="F1411:F1437" si="799">F1410</f>
        <v>d.investigar</v>
      </c>
      <c r="G1411" s="34" t="s">
        <v>3660</v>
      </c>
      <c r="H1411" s="33" t="s">
        <v>1581</v>
      </c>
      <c r="I1411" s="92" t="str">
        <f t="shared" si="776"/>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93"/>
        <v>Propriedade destinada a investigar: é.líquido.e.gás</v>
      </c>
      <c r="V1411" s="5" t="str">
        <f t="shared" si="794"/>
        <v>Dado para investigar:  líquido.e.gás  Deve ser formatado como (rdfs:Literal  or  xsd:string)</v>
      </c>
      <c r="W1411" s="72" t="s">
        <v>3702</v>
      </c>
      <c r="X1411" s="17" t="str">
        <f t="shared" ref="X1411:X1474" si="800">IF(F1410&lt;&gt;F1411,_xlfn.CONCAT(RIGHT(LEFT(F1411,7),7),".100"),_xlfn.CONCAT(RIGHT(LEFT(F1411,7),7),".",SUM(VALUE(RIGHT(X1410,3)),1)))</f>
        <v>d.inves.136</v>
      </c>
      <c r="Y1411" s="17" t="str">
        <f t="shared" ref="Y1411:Y1474" si="801">_xlfn.CONCAT("Ação de ", SUBSTITUTE(F1411, "d.",  ""))</f>
        <v>Ação de investigar</v>
      </c>
      <c r="Z1411" s="62" t="s">
        <v>3795</v>
      </c>
      <c r="AA1411" s="18" t="str">
        <f t="shared" si="795"/>
        <v>categoria.revit</v>
      </c>
      <c r="AB1411" s="55" t="s">
        <v>3598</v>
      </c>
      <c r="AC1411" s="18" t="str">
        <f t="shared" si="796"/>
        <v>classe.ifc</v>
      </c>
      <c r="AD1411" s="56" t="s">
        <v>2081</v>
      </c>
      <c r="AE1411" s="18" t="str">
        <f t="shared" si="797"/>
        <v>propriedade</v>
      </c>
      <c r="AF1411" s="75" t="s">
        <v>3597</v>
      </c>
      <c r="AG1411" s="38" t="s">
        <v>8585</v>
      </c>
    </row>
    <row r="1412" spans="1:33" s="66" customFormat="1" ht="6" customHeight="1" x14ac:dyDescent="0.4">
      <c r="A1412" s="4">
        <f>ROW()</f>
        <v>1412</v>
      </c>
      <c r="B1412" s="9" t="s">
        <v>27</v>
      </c>
      <c r="C1412" s="44" t="str">
        <f t="shared" si="798"/>
        <v>p.investigar</v>
      </c>
      <c r="D1412" s="6" t="str">
        <f t="shared" si="786"/>
        <v>é.maxilofacial</v>
      </c>
      <c r="E1412" s="8" t="s">
        <v>28</v>
      </c>
      <c r="F1412" s="34" t="str">
        <f t="shared" si="799"/>
        <v>d.investigar</v>
      </c>
      <c r="G1412" s="34" t="s">
        <v>3627</v>
      </c>
      <c r="H1412" s="33" t="s">
        <v>1581</v>
      </c>
      <c r="I1412" s="92" t="str">
        <f t="shared" si="776"/>
        <v>null</v>
      </c>
      <c r="J1412" s="82" t="s">
        <v>0</v>
      </c>
      <c r="K1412" s="82" t="s">
        <v>0</v>
      </c>
      <c r="L1412" s="82" t="s">
        <v>0</v>
      </c>
      <c r="M1412" s="82" t="s">
        <v>0</v>
      </c>
      <c r="N1412" s="80" t="s">
        <v>0</v>
      </c>
      <c r="O1412" s="82" t="s">
        <v>0</v>
      </c>
      <c r="P1412" s="82" t="s">
        <v>0</v>
      </c>
      <c r="Q1412" s="82" t="s">
        <v>0</v>
      </c>
      <c r="R1412" s="84" t="s">
        <v>3705</v>
      </c>
      <c r="S1412" s="10" t="s">
        <v>1</v>
      </c>
      <c r="T1412" s="10" t="s">
        <v>10221</v>
      </c>
      <c r="U1412" s="5" t="str">
        <f t="shared" si="793"/>
        <v>Propriedade destinada a investigar: é.maxilofacial</v>
      </c>
      <c r="V1412" s="5" t="str">
        <f t="shared" si="794"/>
        <v>Dado para investigar:  maxilofacial  Deve ser formatado como (rdfs:Literal  or  xsd:string)</v>
      </c>
      <c r="W1412" s="72" t="s">
        <v>3685</v>
      </c>
      <c r="X1412" s="17" t="str">
        <f t="shared" si="800"/>
        <v>d.inves.137</v>
      </c>
      <c r="Y1412" s="17" t="str">
        <f t="shared" si="801"/>
        <v>Ação de investigar</v>
      </c>
      <c r="Z1412" s="62" t="s">
        <v>4488</v>
      </c>
      <c r="AA1412" s="18" t="str">
        <f t="shared" si="795"/>
        <v>categoria.revit</v>
      </c>
      <c r="AB1412" s="55" t="s">
        <v>3598</v>
      </c>
      <c r="AC1412" s="18" t="str">
        <f t="shared" si="796"/>
        <v>classe.ifc</v>
      </c>
      <c r="AD1412" s="56" t="s">
        <v>2081</v>
      </c>
      <c r="AE1412" s="18" t="str">
        <f t="shared" si="797"/>
        <v>propriedade</v>
      </c>
      <c r="AF1412" s="75" t="s">
        <v>3573</v>
      </c>
      <c r="AG1412" s="38" t="s">
        <v>8586</v>
      </c>
    </row>
    <row r="1413" spans="1:33" s="66" customFormat="1" ht="6" customHeight="1" x14ac:dyDescent="0.4">
      <c r="A1413" s="4">
        <f>ROW()</f>
        <v>1413</v>
      </c>
      <c r="B1413" s="9" t="s">
        <v>27</v>
      </c>
      <c r="C1413" s="44" t="str">
        <f t="shared" si="798"/>
        <v>p.investigar</v>
      </c>
      <c r="D1413" s="6" t="str">
        <f t="shared" si="786"/>
        <v>é.micobactérias</v>
      </c>
      <c r="E1413" s="8" t="s">
        <v>28</v>
      </c>
      <c r="F1413" s="34" t="str">
        <f t="shared" si="799"/>
        <v>d.investigar</v>
      </c>
      <c r="G1413" s="34" t="s">
        <v>3666</v>
      </c>
      <c r="H1413" s="33" t="s">
        <v>1581</v>
      </c>
      <c r="I1413" s="92" t="str">
        <f t="shared" si="776"/>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93"/>
        <v>Propriedade destinada a investigar: é.micobactérias</v>
      </c>
      <c r="V1413" s="5" t="str">
        <f t="shared" si="794"/>
        <v>Dado para investigar:  micobactérias  Deve ser formatado como (rdfs:Literal  or  xsd:string)</v>
      </c>
      <c r="W1413" s="72" t="s">
        <v>3665</v>
      </c>
      <c r="X1413" s="17" t="str">
        <f t="shared" si="800"/>
        <v>d.inves.138</v>
      </c>
      <c r="Y1413" s="17" t="str">
        <f t="shared" si="801"/>
        <v>Ação de investigar</v>
      </c>
      <c r="Z1413" s="62" t="s">
        <v>4486</v>
      </c>
      <c r="AA1413" s="18" t="str">
        <f t="shared" si="795"/>
        <v>categoria.revit</v>
      </c>
      <c r="AB1413" s="55" t="s">
        <v>3598</v>
      </c>
      <c r="AC1413" s="18" t="str">
        <f t="shared" si="796"/>
        <v>classe.ifc</v>
      </c>
      <c r="AD1413" s="56" t="s">
        <v>2081</v>
      </c>
      <c r="AE1413" s="18" t="str">
        <f t="shared" si="797"/>
        <v>propriedade</v>
      </c>
      <c r="AF1413" s="75" t="s">
        <v>3556</v>
      </c>
      <c r="AG1413" s="38" t="s">
        <v>8587</v>
      </c>
    </row>
    <row r="1414" spans="1:33" s="66" customFormat="1" ht="6" customHeight="1" x14ac:dyDescent="0.4">
      <c r="A1414" s="4">
        <f>ROW()</f>
        <v>1414</v>
      </c>
      <c r="B1414" s="9" t="s">
        <v>27</v>
      </c>
      <c r="C1414" s="44" t="str">
        <f t="shared" si="798"/>
        <v>p.investigar</v>
      </c>
      <c r="D1414" s="6" t="str">
        <f t="shared" si="786"/>
        <v>é.micologia</v>
      </c>
      <c r="E1414" s="8" t="s">
        <v>28</v>
      </c>
      <c r="F1414" s="34" t="str">
        <f t="shared" si="799"/>
        <v>d.investigar</v>
      </c>
      <c r="G1414" s="34" t="s">
        <v>3606</v>
      </c>
      <c r="H1414" s="33" t="s">
        <v>1581</v>
      </c>
      <c r="I1414" s="92" t="str">
        <f t="shared" si="776"/>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si="793"/>
        <v>Propriedade destinada a investigar: é.micologia</v>
      </c>
      <c r="V1414" s="5" t="str">
        <f t="shared" si="794"/>
        <v>Dado para investigar:  micologia  Deve ser formatado como (rdfs:Literal  or  xsd:string)</v>
      </c>
      <c r="W1414" s="72" t="s">
        <v>3668</v>
      </c>
      <c r="X1414" s="17" t="str">
        <f t="shared" si="800"/>
        <v>d.inves.139</v>
      </c>
      <c r="Y1414" s="17" t="str">
        <f t="shared" si="801"/>
        <v>Ação de investigar</v>
      </c>
      <c r="Z1414" s="62" t="s">
        <v>4487</v>
      </c>
      <c r="AA1414" s="18" t="str">
        <f t="shared" si="795"/>
        <v>categoria.revit</v>
      </c>
      <c r="AB1414" s="55" t="s">
        <v>3598</v>
      </c>
      <c r="AC1414" s="18" t="str">
        <f t="shared" si="796"/>
        <v>classe.ifc</v>
      </c>
      <c r="AD1414" s="56" t="s">
        <v>2081</v>
      </c>
      <c r="AE1414" s="18" t="str">
        <f t="shared" si="797"/>
        <v>propriedade</v>
      </c>
      <c r="AF1414" s="75" t="s">
        <v>3558</v>
      </c>
      <c r="AG1414" s="38" t="s">
        <v>8588</v>
      </c>
    </row>
    <row r="1415" spans="1:33" s="66" customFormat="1" ht="6" customHeight="1" x14ac:dyDescent="0.4">
      <c r="A1415" s="4">
        <f>ROW()</f>
        <v>1415</v>
      </c>
      <c r="B1415" s="9" t="s">
        <v>27</v>
      </c>
      <c r="C1415" s="44" t="str">
        <f t="shared" si="798"/>
        <v>p.investigar</v>
      </c>
      <c r="D1415" s="6" t="str">
        <f t="shared" si="786"/>
        <v>é.micologia.microbiológica</v>
      </c>
      <c r="E1415" s="8" t="s">
        <v>28</v>
      </c>
      <c r="F1415" s="34" t="str">
        <f t="shared" si="799"/>
        <v>d.investigar</v>
      </c>
      <c r="G1415" s="34" t="s">
        <v>3663</v>
      </c>
      <c r="H1415" s="33" t="s">
        <v>1581</v>
      </c>
      <c r="I1415" s="92" t="str">
        <f t="shared" si="776"/>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93"/>
        <v>Propriedade destinada a investigar: é.micologia.microbiológica</v>
      </c>
      <c r="V1415" s="5" t="str">
        <f t="shared" si="794"/>
        <v>Dado para investigar:  micologia.microbiológica  Deve ser formatado como (rdfs:Literal  or  xsd:string)</v>
      </c>
      <c r="W1415" s="72" t="s">
        <v>3667</v>
      </c>
      <c r="X1415" s="17" t="str">
        <f t="shared" si="800"/>
        <v>d.inves.140</v>
      </c>
      <c r="Y1415" s="17" t="str">
        <f t="shared" si="801"/>
        <v>Ação de investigar</v>
      </c>
      <c r="Z1415" s="62" t="s">
        <v>3796</v>
      </c>
      <c r="AA1415" s="18" t="str">
        <f t="shared" si="795"/>
        <v>categoria.revit</v>
      </c>
      <c r="AB1415" s="55" t="s">
        <v>3598</v>
      </c>
      <c r="AC1415" s="18" t="str">
        <f t="shared" si="796"/>
        <v>classe.ifc</v>
      </c>
      <c r="AD1415" s="56" t="s">
        <v>2081</v>
      </c>
      <c r="AE1415" s="18" t="str">
        <f t="shared" si="797"/>
        <v>propriedade</v>
      </c>
      <c r="AF1415" s="75" t="s">
        <v>3555</v>
      </c>
      <c r="AG1415" s="38" t="s">
        <v>8589</v>
      </c>
    </row>
    <row r="1416" spans="1:33" s="66" customFormat="1" ht="6" customHeight="1" x14ac:dyDescent="0.4">
      <c r="A1416" s="4">
        <f>ROW()</f>
        <v>1416</v>
      </c>
      <c r="B1416" s="9" t="s">
        <v>27</v>
      </c>
      <c r="C1416" s="44" t="str">
        <f t="shared" si="798"/>
        <v>p.investigar</v>
      </c>
      <c r="D1416" s="6" t="str">
        <f t="shared" si="786"/>
        <v>é.microbiologia.clínica</v>
      </c>
      <c r="E1416" s="8" t="s">
        <v>28</v>
      </c>
      <c r="F1416" s="34" t="str">
        <f t="shared" si="799"/>
        <v>d.investigar</v>
      </c>
      <c r="G1416" s="34" t="s">
        <v>3624</v>
      </c>
      <c r="H1416" s="33" t="s">
        <v>1581</v>
      </c>
      <c r="I1416" s="92" t="str">
        <f t="shared" si="776"/>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93"/>
        <v>Propriedade destinada a investigar: é.microbiologia.clínica</v>
      </c>
      <c r="V1416" s="5" t="str">
        <f t="shared" si="794"/>
        <v>Dado para investigar:  microbiologia.clínica  Deve ser formatado como (rdfs:Literal  or  xsd:string)</v>
      </c>
      <c r="W1416" s="72" t="s">
        <v>3708</v>
      </c>
      <c r="X1416" s="17" t="str">
        <f t="shared" si="800"/>
        <v>d.inves.141</v>
      </c>
      <c r="Y1416" s="17" t="str">
        <f t="shared" si="801"/>
        <v>Ação de investigar</v>
      </c>
      <c r="Z1416" s="62" t="s">
        <v>3797</v>
      </c>
      <c r="AA1416" s="18" t="str">
        <f t="shared" si="795"/>
        <v>categoria.revit</v>
      </c>
      <c r="AB1416" s="55" t="s">
        <v>3598</v>
      </c>
      <c r="AC1416" s="18" t="str">
        <f t="shared" si="796"/>
        <v>classe.ifc</v>
      </c>
      <c r="AD1416" s="56" t="s">
        <v>2081</v>
      </c>
      <c r="AE1416" s="18" t="str">
        <f t="shared" si="797"/>
        <v>propriedade</v>
      </c>
      <c r="AF1416" s="75" t="s">
        <v>3545</v>
      </c>
      <c r="AG1416" s="38" t="s">
        <v>8590</v>
      </c>
    </row>
    <row r="1417" spans="1:33" s="66" customFormat="1" ht="6" customHeight="1" x14ac:dyDescent="0.4">
      <c r="A1417" s="4">
        <f>ROW()</f>
        <v>1417</v>
      </c>
      <c r="B1417" s="9" t="s">
        <v>27</v>
      </c>
      <c r="C1417" s="44" t="str">
        <f t="shared" si="798"/>
        <v>p.investigar</v>
      </c>
      <c r="D1417" s="6" t="str">
        <f t="shared" si="786"/>
        <v>é.microbiologia.cultura</v>
      </c>
      <c r="E1417" s="8" t="s">
        <v>28</v>
      </c>
      <c r="F1417" s="34" t="str">
        <f t="shared" si="799"/>
        <v>d.investigar</v>
      </c>
      <c r="G1417" s="34" t="s">
        <v>3707</v>
      </c>
      <c r="H1417" s="33" t="s">
        <v>1581</v>
      </c>
      <c r="I1417" s="92" t="str">
        <f t="shared" si="776"/>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93"/>
        <v>Propriedade destinada a investigar: é.microbiologia.cultura</v>
      </c>
      <c r="V1417" s="5" t="str">
        <f t="shared" si="794"/>
        <v>Dado para investigar:  microbiologia.cultura  Deve ser formatado como (rdfs:Literal  or  xsd:string)</v>
      </c>
      <c r="W1417" s="72" t="s">
        <v>3706</v>
      </c>
      <c r="X1417" s="17" t="str">
        <f t="shared" si="800"/>
        <v>d.inves.142</v>
      </c>
      <c r="Y1417" s="17" t="str">
        <f t="shared" si="801"/>
        <v>Ação de investigar</v>
      </c>
      <c r="Z1417" s="62" t="s">
        <v>3798</v>
      </c>
      <c r="AA1417" s="18" t="str">
        <f t="shared" si="795"/>
        <v>categoria.revit</v>
      </c>
      <c r="AB1417" s="55" t="s">
        <v>3598</v>
      </c>
      <c r="AC1417" s="18" t="str">
        <f t="shared" si="796"/>
        <v>classe.ifc</v>
      </c>
      <c r="AD1417" s="56" t="s">
        <v>2081</v>
      </c>
      <c r="AE1417" s="18" t="str">
        <f t="shared" si="797"/>
        <v>propriedade</v>
      </c>
      <c r="AF1417" s="75" t="s">
        <v>3569</v>
      </c>
      <c r="AG1417" s="38" t="s">
        <v>8591</v>
      </c>
    </row>
    <row r="1418" spans="1:33" s="66" customFormat="1" ht="6" customHeight="1" x14ac:dyDescent="0.4">
      <c r="A1418" s="4">
        <f>ROW()</f>
        <v>1418</v>
      </c>
      <c r="B1418" s="9" t="s">
        <v>27</v>
      </c>
      <c r="C1418" s="44" t="str">
        <f t="shared" si="798"/>
        <v>p.investigar</v>
      </c>
      <c r="D1418" s="6" t="str">
        <f t="shared" si="786"/>
        <v>é.microbiologia.segurança</v>
      </c>
      <c r="E1418" s="8" t="s">
        <v>28</v>
      </c>
      <c r="F1418" s="34" t="str">
        <f t="shared" si="799"/>
        <v>d.investigar</v>
      </c>
      <c r="G1418" s="34" t="s">
        <v>3664</v>
      </c>
      <c r="H1418" s="33" t="s">
        <v>1581</v>
      </c>
      <c r="I1418" s="92" t="str">
        <f t="shared" si="776"/>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93"/>
        <v>Propriedade destinada a investigar: é.microbiologia.segurança</v>
      </c>
      <c r="V1418" s="5" t="str">
        <f t="shared" si="794"/>
        <v>Dado para investigar:  microbiologia.segurança  Deve ser formatado como (rdfs:Literal  or  xsd:string)</v>
      </c>
      <c r="W1418" s="72" t="s">
        <v>3703</v>
      </c>
      <c r="X1418" s="17" t="str">
        <f t="shared" si="800"/>
        <v>d.inves.143</v>
      </c>
      <c r="Y1418" s="17" t="str">
        <f t="shared" si="801"/>
        <v>Ação de investigar</v>
      </c>
      <c r="Z1418" s="62" t="s">
        <v>3799</v>
      </c>
      <c r="AA1418" s="18" t="str">
        <f t="shared" si="795"/>
        <v>categoria.revit</v>
      </c>
      <c r="AB1418" s="55" t="s">
        <v>3598</v>
      </c>
      <c r="AC1418" s="18" t="str">
        <f t="shared" si="796"/>
        <v>classe.ifc</v>
      </c>
      <c r="AD1418" s="56" t="s">
        <v>2081</v>
      </c>
      <c r="AE1418" s="18" t="str">
        <f t="shared" si="797"/>
        <v>propriedade</v>
      </c>
      <c r="AF1418" s="75" t="s">
        <v>3554</v>
      </c>
      <c r="AG1418" s="38" t="s">
        <v>8592</v>
      </c>
    </row>
    <row r="1419" spans="1:33" s="66" customFormat="1" ht="6" customHeight="1" x14ac:dyDescent="0.4">
      <c r="A1419" s="4">
        <f>ROW()</f>
        <v>1419</v>
      </c>
      <c r="B1419" s="9" t="s">
        <v>27</v>
      </c>
      <c r="C1419" s="44" t="str">
        <f t="shared" si="798"/>
        <v>p.investigar</v>
      </c>
      <c r="D1419" s="6" t="str">
        <f t="shared" si="786"/>
        <v>é.mídia.descontaminação</v>
      </c>
      <c r="E1419" s="8" t="s">
        <v>28</v>
      </c>
      <c r="F1419" s="34" t="str">
        <f t="shared" si="799"/>
        <v>d.investigar</v>
      </c>
      <c r="G1419" s="34" t="s">
        <v>3653</v>
      </c>
      <c r="H1419" s="33" t="s">
        <v>1581</v>
      </c>
      <c r="I1419" s="92" t="str">
        <f t="shared" si="776"/>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93"/>
        <v>Propriedade destinada a investigar: é.mídia.descontaminação</v>
      </c>
      <c r="V1419" s="5" t="str">
        <f t="shared" si="794"/>
        <v>Dado para investigar:  mídia.descontaminação  Deve ser formatado como (rdfs:Literal  or  xsd:string)</v>
      </c>
      <c r="W1419" s="72" t="s">
        <v>3639</v>
      </c>
      <c r="X1419" s="17" t="str">
        <f t="shared" si="800"/>
        <v>d.inves.144</v>
      </c>
      <c r="Y1419" s="17" t="str">
        <f t="shared" si="801"/>
        <v>Ação de investigar</v>
      </c>
      <c r="Z1419" s="62" t="s">
        <v>3800</v>
      </c>
      <c r="AA1419" s="18" t="str">
        <f t="shared" si="795"/>
        <v>categoria.revit</v>
      </c>
      <c r="AB1419" s="55" t="s">
        <v>3598</v>
      </c>
      <c r="AC1419" s="18" t="str">
        <f t="shared" si="796"/>
        <v>classe.ifc</v>
      </c>
      <c r="AD1419" s="56" t="s">
        <v>2081</v>
      </c>
      <c r="AE1419" s="18" t="str">
        <f t="shared" si="797"/>
        <v>propriedade</v>
      </c>
      <c r="AF1419" s="75" t="s">
        <v>3564</v>
      </c>
      <c r="AG1419" s="38" t="s">
        <v>8593</v>
      </c>
    </row>
    <row r="1420" spans="1:33" s="66" customFormat="1" ht="6" customHeight="1" x14ac:dyDescent="0.4">
      <c r="A1420" s="4">
        <f>ROW()</f>
        <v>1420</v>
      </c>
      <c r="B1420" s="9" t="s">
        <v>27</v>
      </c>
      <c r="C1420" s="44" t="str">
        <f t="shared" si="798"/>
        <v>p.investigar</v>
      </c>
      <c r="D1420" s="6" t="str">
        <f t="shared" si="786"/>
        <v>é.mídia.esterilização</v>
      </c>
      <c r="E1420" s="8" t="s">
        <v>28</v>
      </c>
      <c r="F1420" s="34" t="str">
        <f t="shared" si="799"/>
        <v>d.investigar</v>
      </c>
      <c r="G1420" s="34" t="s">
        <v>3631</v>
      </c>
      <c r="H1420" s="33" t="s">
        <v>1581</v>
      </c>
      <c r="I1420" s="92" t="str">
        <f t="shared" ref="I1420:I1483" si="802">IF(OR(J1420="Functional",K1420="InverseFunctional"),"Functional","null")</f>
        <v>null</v>
      </c>
      <c r="J1420" s="82" t="s">
        <v>0</v>
      </c>
      <c r="K1420" s="82" t="s">
        <v>0</v>
      </c>
      <c r="L1420" s="82" t="s">
        <v>0</v>
      </c>
      <c r="M1420" s="82" t="s">
        <v>0</v>
      </c>
      <c r="N1420" s="80" t="s">
        <v>0</v>
      </c>
      <c r="O1420" s="82" t="s">
        <v>0</v>
      </c>
      <c r="P1420" s="82" t="s">
        <v>0</v>
      </c>
      <c r="Q1420" s="82" t="s">
        <v>0</v>
      </c>
      <c r="R1420" s="84" t="s">
        <v>0</v>
      </c>
      <c r="S1420" s="10" t="s">
        <v>1</v>
      </c>
      <c r="T1420" s="10" t="s">
        <v>10221</v>
      </c>
      <c r="U1420" s="5" t="str">
        <f t="shared" si="793"/>
        <v>Propriedade destinada a investigar: é.mídia.esterilização</v>
      </c>
      <c r="V1420" s="5" t="str">
        <f t="shared" si="794"/>
        <v>Dado para investigar:  mídia.esterilização  Deve ser formatado como (rdfs:Literal  or  xsd:string)</v>
      </c>
      <c r="W1420" s="72" t="s">
        <v>3669</v>
      </c>
      <c r="X1420" s="17" t="str">
        <f t="shared" si="800"/>
        <v>d.inves.145</v>
      </c>
      <c r="Y1420" s="17" t="str">
        <f t="shared" si="801"/>
        <v>Ação de investigar</v>
      </c>
      <c r="Z1420" s="62" t="s">
        <v>3801</v>
      </c>
      <c r="AA1420" s="18" t="str">
        <f t="shared" si="795"/>
        <v>categoria.revit</v>
      </c>
      <c r="AB1420" s="55" t="s">
        <v>3598</v>
      </c>
      <c r="AC1420" s="18" t="str">
        <f t="shared" si="796"/>
        <v>classe.ifc</v>
      </c>
      <c r="AD1420" s="56" t="s">
        <v>2081</v>
      </c>
      <c r="AE1420" s="18" t="str">
        <f t="shared" si="797"/>
        <v>propriedade</v>
      </c>
      <c r="AF1420" s="75" t="s">
        <v>3567</v>
      </c>
      <c r="AG1420" s="38" t="s">
        <v>8594</v>
      </c>
    </row>
    <row r="1421" spans="1:33" s="66" customFormat="1" ht="6" customHeight="1" x14ac:dyDescent="0.4">
      <c r="A1421" s="4">
        <f>ROW()</f>
        <v>1421</v>
      </c>
      <c r="B1421" s="9" t="s">
        <v>27</v>
      </c>
      <c r="C1421" s="44" t="str">
        <f t="shared" si="798"/>
        <v>p.investigar</v>
      </c>
      <c r="D1421" s="6" t="str">
        <f t="shared" si="786"/>
        <v>é.mídia.lâmina</v>
      </c>
      <c r="E1421" s="8" t="s">
        <v>28</v>
      </c>
      <c r="F1421" s="34" t="str">
        <f t="shared" si="799"/>
        <v>d.investigar</v>
      </c>
      <c r="G1421" s="34" t="s">
        <v>3654</v>
      </c>
      <c r="H1421" s="33" t="s">
        <v>1581</v>
      </c>
      <c r="I1421" s="92" t="str">
        <f t="shared" si="802"/>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93"/>
        <v>Propriedade destinada a investigar: é.mídia.lâmina</v>
      </c>
      <c r="V1421" s="5" t="str">
        <f t="shared" si="794"/>
        <v>Dado para investigar:  mídia.lâmina  Deve ser formatado como (rdfs:Literal  or  xsd:string)</v>
      </c>
      <c r="W1421" s="72" t="s">
        <v>3670</v>
      </c>
      <c r="X1421" s="17" t="str">
        <f t="shared" si="800"/>
        <v>d.inves.146</v>
      </c>
      <c r="Y1421" s="17" t="str">
        <f t="shared" si="801"/>
        <v>Ação de investigar</v>
      </c>
      <c r="Z1421" s="62" t="s">
        <v>3802</v>
      </c>
      <c r="AA1421" s="18" t="str">
        <f t="shared" si="795"/>
        <v>categoria.revit</v>
      </c>
      <c r="AB1421" s="55" t="s">
        <v>3598</v>
      </c>
      <c r="AC1421" s="18" t="str">
        <f t="shared" si="796"/>
        <v>classe.ifc</v>
      </c>
      <c r="AD1421" s="56" t="s">
        <v>2081</v>
      </c>
      <c r="AE1421" s="18" t="str">
        <f t="shared" si="797"/>
        <v>propriedade</v>
      </c>
      <c r="AF1421" s="75" t="s">
        <v>3566</v>
      </c>
      <c r="AG1421" s="38" t="s">
        <v>8595</v>
      </c>
    </row>
    <row r="1422" spans="1:33" s="66" customFormat="1" ht="6" customHeight="1" x14ac:dyDescent="0.4">
      <c r="A1422" s="4">
        <f>ROW()</f>
        <v>1422</v>
      </c>
      <c r="B1422" s="9" t="s">
        <v>27</v>
      </c>
      <c r="C1422" s="44" t="str">
        <f t="shared" si="798"/>
        <v>p.investigar</v>
      </c>
      <c r="D1422" s="6" t="str">
        <f t="shared" si="786"/>
        <v>é.mídia.lavagem</v>
      </c>
      <c r="E1422" s="8" t="s">
        <v>28</v>
      </c>
      <c r="F1422" s="34" t="str">
        <f t="shared" si="799"/>
        <v>d.investigar</v>
      </c>
      <c r="G1422" s="34" t="s">
        <v>3630</v>
      </c>
      <c r="H1422" s="33" t="s">
        <v>1581</v>
      </c>
      <c r="I1422" s="92" t="str">
        <f t="shared" si="802"/>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93"/>
        <v>Propriedade destinada a investigar: é.mídia.lavagem</v>
      </c>
      <c r="V1422" s="5" t="str">
        <f t="shared" si="794"/>
        <v>Dado para investigar:  mídia.lavagem  Deve ser formatado como (rdfs:Literal  or  xsd:string)</v>
      </c>
      <c r="W1422" s="72" t="s">
        <v>3671</v>
      </c>
      <c r="X1422" s="17" t="str">
        <f t="shared" si="800"/>
        <v>d.inves.147</v>
      </c>
      <c r="Y1422" s="17" t="str">
        <f t="shared" si="801"/>
        <v>Ação de investigar</v>
      </c>
      <c r="Z1422" s="62" t="s">
        <v>3803</v>
      </c>
      <c r="AA1422" s="18" t="str">
        <f t="shared" si="795"/>
        <v>categoria.revit</v>
      </c>
      <c r="AB1422" s="55" t="s">
        <v>3598</v>
      </c>
      <c r="AC1422" s="18" t="str">
        <f t="shared" si="796"/>
        <v>classe.ifc</v>
      </c>
      <c r="AD1422" s="56" t="s">
        <v>2081</v>
      </c>
      <c r="AE1422" s="18" t="str">
        <f t="shared" si="797"/>
        <v>propriedade</v>
      </c>
      <c r="AF1422" s="75" t="s">
        <v>3565</v>
      </c>
      <c r="AG1422" s="38" t="s">
        <v>8596</v>
      </c>
    </row>
    <row r="1423" spans="1:33" s="66" customFormat="1" ht="6" customHeight="1" x14ac:dyDescent="0.4">
      <c r="A1423" s="4">
        <f>ROW()</f>
        <v>1423</v>
      </c>
      <c r="B1423" s="9" t="s">
        <v>27</v>
      </c>
      <c r="C1423" s="44" t="str">
        <f t="shared" si="798"/>
        <v>p.investigar</v>
      </c>
      <c r="D1423" s="6" t="str">
        <f t="shared" ref="D1423:D1453" si="803">_xlfn.CONCAT("é.",G1423)</f>
        <v>é.mídia.tecido</v>
      </c>
      <c r="E1423" s="8" t="s">
        <v>28</v>
      </c>
      <c r="F1423" s="34" t="str">
        <f t="shared" si="799"/>
        <v>d.investigar</v>
      </c>
      <c r="G1423" s="34" t="s">
        <v>3655</v>
      </c>
      <c r="H1423" s="33" t="s">
        <v>1581</v>
      </c>
      <c r="I1423" s="92" t="str">
        <f t="shared" si="802"/>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93"/>
        <v>Propriedade destinada a investigar: é.mídia.tecido</v>
      </c>
      <c r="V1423" s="5" t="str">
        <f t="shared" si="794"/>
        <v>Dado para investigar:  mídia.tecido  Deve ser formatado como (rdfs:Literal  or  xsd:string)</v>
      </c>
      <c r="W1423" s="72" t="s">
        <v>3672</v>
      </c>
      <c r="X1423" s="17" t="str">
        <f t="shared" si="800"/>
        <v>d.inves.148</v>
      </c>
      <c r="Y1423" s="17" t="str">
        <f t="shared" si="801"/>
        <v>Ação de investigar</v>
      </c>
      <c r="Z1423" s="62" t="s">
        <v>3804</v>
      </c>
      <c r="AA1423" s="18" t="str">
        <f t="shared" si="795"/>
        <v>categoria.revit</v>
      </c>
      <c r="AB1423" s="55" t="s">
        <v>3598</v>
      </c>
      <c r="AC1423" s="18" t="str">
        <f t="shared" si="796"/>
        <v>classe.ifc</v>
      </c>
      <c r="AD1423" s="56" t="s">
        <v>2081</v>
      </c>
      <c r="AE1423" s="18" t="str">
        <f t="shared" si="797"/>
        <v>propriedade</v>
      </c>
      <c r="AF1423" s="75" t="s">
        <v>3568</v>
      </c>
      <c r="AG1423" s="38" t="s">
        <v>8597</v>
      </c>
    </row>
    <row r="1424" spans="1:33" s="66" customFormat="1" ht="6" customHeight="1" x14ac:dyDescent="0.4">
      <c r="A1424" s="4">
        <f>ROW()</f>
        <v>1424</v>
      </c>
      <c r="B1424" s="9" t="s">
        <v>27</v>
      </c>
      <c r="C1424" s="44" t="str">
        <f t="shared" si="798"/>
        <v>p.investigar</v>
      </c>
      <c r="D1424" s="6" t="str">
        <f t="shared" si="803"/>
        <v>é.nefrologia</v>
      </c>
      <c r="E1424" s="8" t="s">
        <v>28</v>
      </c>
      <c r="F1424" s="34" t="str">
        <f t="shared" si="799"/>
        <v>d.investigar</v>
      </c>
      <c r="G1424" s="34" t="s">
        <v>3633</v>
      </c>
      <c r="H1424" s="33" t="s">
        <v>1581</v>
      </c>
      <c r="I1424" s="92" t="str">
        <f t="shared" si="802"/>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93"/>
        <v>Propriedade destinada a investigar: é.nefrologia</v>
      </c>
      <c r="V1424" s="5" t="str">
        <f t="shared" si="794"/>
        <v>Dado para investigar:  nefrologia  Deve ser formatado como (rdfs:Literal  or  xsd:string)</v>
      </c>
      <c r="W1424" s="72" t="s">
        <v>3673</v>
      </c>
      <c r="X1424" s="17" t="str">
        <f t="shared" si="800"/>
        <v>d.inves.149</v>
      </c>
      <c r="Y1424" s="17" t="str">
        <f t="shared" si="801"/>
        <v>Ação de investigar</v>
      </c>
      <c r="Z1424" s="62" t="s">
        <v>3805</v>
      </c>
      <c r="AA1424" s="18" t="str">
        <f t="shared" si="795"/>
        <v>categoria.revit</v>
      </c>
      <c r="AB1424" s="55" t="s">
        <v>3598</v>
      </c>
      <c r="AC1424" s="18" t="str">
        <f t="shared" si="796"/>
        <v>classe.ifc</v>
      </c>
      <c r="AD1424" s="56" t="s">
        <v>2081</v>
      </c>
      <c r="AE1424" s="18" t="str">
        <f t="shared" si="797"/>
        <v>propriedade</v>
      </c>
      <c r="AF1424" s="75" t="s">
        <v>3559</v>
      </c>
      <c r="AG1424" s="38" t="s">
        <v>8598</v>
      </c>
    </row>
    <row r="1425" spans="1:33" s="66" customFormat="1" ht="6" customHeight="1" x14ac:dyDescent="0.4">
      <c r="A1425" s="4">
        <f>ROW()</f>
        <v>1425</v>
      </c>
      <c r="B1425" s="9" t="s">
        <v>27</v>
      </c>
      <c r="C1425" s="44" t="str">
        <f t="shared" si="798"/>
        <v>p.investigar</v>
      </c>
      <c r="D1425" s="6" t="str">
        <f t="shared" si="803"/>
        <v>é.odontologia.minitratamento</v>
      </c>
      <c r="E1425" s="8" t="s">
        <v>28</v>
      </c>
      <c r="F1425" s="34" t="str">
        <f t="shared" si="799"/>
        <v>d.investigar</v>
      </c>
      <c r="G1425" s="34" t="s">
        <v>3649</v>
      </c>
      <c r="H1425" s="33" t="s">
        <v>1581</v>
      </c>
      <c r="I1425" s="92" t="str">
        <f t="shared" si="802"/>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93"/>
        <v>Propriedade destinada a investigar: é.odontologia.minitratamento</v>
      </c>
      <c r="V1425" s="5" t="str">
        <f t="shared" si="794"/>
        <v>Dado para investigar:  odontologia.minitratamento  Deve ser formatado como (rdfs:Literal  or  xsd:string)</v>
      </c>
      <c r="W1425" s="72" t="s">
        <v>3674</v>
      </c>
      <c r="X1425" s="17" t="str">
        <f t="shared" si="800"/>
        <v>d.inves.150</v>
      </c>
      <c r="Y1425" s="17" t="str">
        <f t="shared" si="801"/>
        <v>Ação de investigar</v>
      </c>
      <c r="Z1425" s="62" t="s">
        <v>3806</v>
      </c>
      <c r="AA1425" s="18" t="str">
        <f t="shared" si="795"/>
        <v>categoria.revit</v>
      </c>
      <c r="AB1425" s="55" t="s">
        <v>3598</v>
      </c>
      <c r="AC1425" s="18" t="str">
        <f t="shared" si="796"/>
        <v>classe.ifc</v>
      </c>
      <c r="AD1425" s="56" t="s">
        <v>2081</v>
      </c>
      <c r="AE1425" s="18" t="str">
        <f t="shared" si="797"/>
        <v>propriedade</v>
      </c>
      <c r="AF1425" s="75" t="s">
        <v>3572</v>
      </c>
      <c r="AG1425" s="38" t="s">
        <v>8599</v>
      </c>
    </row>
    <row r="1426" spans="1:33" s="66" customFormat="1" ht="6" customHeight="1" x14ac:dyDescent="0.4">
      <c r="A1426" s="4">
        <f>ROW()</f>
        <v>1426</v>
      </c>
      <c r="B1426" s="9" t="s">
        <v>27</v>
      </c>
      <c r="C1426" s="44" t="str">
        <f t="shared" si="798"/>
        <v>p.investigar</v>
      </c>
      <c r="D1426" s="6" t="str">
        <f t="shared" si="803"/>
        <v>é.odontologia.prótese</v>
      </c>
      <c r="E1426" s="8" t="s">
        <v>28</v>
      </c>
      <c r="F1426" s="34" t="str">
        <f t="shared" si="799"/>
        <v>d.investigar</v>
      </c>
      <c r="G1426" s="34" t="s">
        <v>3650</v>
      </c>
      <c r="H1426" s="33" t="s">
        <v>1581</v>
      </c>
      <c r="I1426" s="92" t="str">
        <f t="shared" si="802"/>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93"/>
        <v>Propriedade destinada a investigar: é.odontologia.prótese</v>
      </c>
      <c r="V1426" s="5" t="str">
        <f t="shared" si="794"/>
        <v>Dado para investigar:  odontologia.prótese  Deve ser formatado como (rdfs:Literal  or  xsd:string)</v>
      </c>
      <c r="W1426" s="72" t="s">
        <v>3675</v>
      </c>
      <c r="X1426" s="17" t="str">
        <f t="shared" si="800"/>
        <v>d.inves.151</v>
      </c>
      <c r="Y1426" s="17" t="str">
        <f t="shared" si="801"/>
        <v>Ação de investigar</v>
      </c>
      <c r="Z1426" s="62" t="s">
        <v>3807</v>
      </c>
      <c r="AA1426" s="18" t="str">
        <f t="shared" si="795"/>
        <v>categoria.revit</v>
      </c>
      <c r="AB1426" s="55" t="s">
        <v>3598</v>
      </c>
      <c r="AC1426" s="18" t="str">
        <f t="shared" si="796"/>
        <v>classe.ifc</v>
      </c>
      <c r="AD1426" s="56" t="s">
        <v>2081</v>
      </c>
      <c r="AE1426" s="18" t="str">
        <f t="shared" si="797"/>
        <v>propriedade</v>
      </c>
      <c r="AF1426" s="75" t="s">
        <v>3571</v>
      </c>
      <c r="AG1426" s="38" t="s">
        <v>8600</v>
      </c>
    </row>
    <row r="1427" spans="1:33" s="66" customFormat="1" ht="6" customHeight="1" x14ac:dyDescent="0.4">
      <c r="A1427" s="4">
        <f>ROW()</f>
        <v>1427</v>
      </c>
      <c r="B1427" s="9" t="s">
        <v>27</v>
      </c>
      <c r="C1427" s="44" t="str">
        <f t="shared" si="798"/>
        <v>p.investigar</v>
      </c>
      <c r="D1427" s="6" t="str">
        <f t="shared" si="803"/>
        <v>é.óptica</v>
      </c>
      <c r="E1427" s="8" t="s">
        <v>28</v>
      </c>
      <c r="F1427" s="34" t="str">
        <f t="shared" si="799"/>
        <v>d.investigar</v>
      </c>
      <c r="G1427" s="34" t="s">
        <v>3619</v>
      </c>
      <c r="H1427" s="33" t="s">
        <v>1581</v>
      </c>
      <c r="I1427" s="92" t="str">
        <f t="shared" si="802"/>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93"/>
        <v>Propriedade destinada a investigar: é.óptica</v>
      </c>
      <c r="V1427" s="5" t="str">
        <f t="shared" si="794"/>
        <v>Dado para investigar:  óptica  Deve ser formatado como (rdfs:Literal  or  xsd:string)</v>
      </c>
      <c r="W1427" s="72" t="s">
        <v>3676</v>
      </c>
      <c r="X1427" s="17" t="str">
        <f t="shared" si="800"/>
        <v>d.inves.152</v>
      </c>
      <c r="Y1427" s="17" t="str">
        <f t="shared" si="801"/>
        <v>Ação de investigar</v>
      </c>
      <c r="Z1427" s="62" t="s">
        <v>3808</v>
      </c>
      <c r="AA1427" s="18" t="str">
        <f t="shared" si="795"/>
        <v>categoria.revit</v>
      </c>
      <c r="AB1427" s="55" t="s">
        <v>3598</v>
      </c>
      <c r="AC1427" s="18" t="str">
        <f t="shared" si="796"/>
        <v>classe.ifc</v>
      </c>
      <c r="AD1427" s="56" t="s">
        <v>2081</v>
      </c>
      <c r="AE1427" s="18" t="str">
        <f t="shared" si="797"/>
        <v>propriedade</v>
      </c>
      <c r="AF1427" s="75" t="s">
        <v>3585</v>
      </c>
      <c r="AG1427" s="38" t="s">
        <v>8601</v>
      </c>
    </row>
    <row r="1428" spans="1:33" s="66" customFormat="1" ht="6" customHeight="1" x14ac:dyDescent="0.4">
      <c r="A1428" s="4">
        <f>ROW()</f>
        <v>1428</v>
      </c>
      <c r="B1428" s="9" t="s">
        <v>27</v>
      </c>
      <c r="C1428" s="44" t="str">
        <f t="shared" si="798"/>
        <v>p.investigar</v>
      </c>
      <c r="D1428" s="6" t="str">
        <f t="shared" si="803"/>
        <v>é.patologia.oral</v>
      </c>
      <c r="E1428" s="8" t="s">
        <v>28</v>
      </c>
      <c r="F1428" s="34" t="str">
        <f t="shared" si="799"/>
        <v>d.investigar</v>
      </c>
      <c r="G1428" s="34" t="s">
        <v>3625</v>
      </c>
      <c r="H1428" s="33" t="s">
        <v>1581</v>
      </c>
      <c r="I1428" s="92" t="str">
        <f t="shared" si="802"/>
        <v>null</v>
      </c>
      <c r="J1428" s="82" t="s">
        <v>0</v>
      </c>
      <c r="K1428" s="82" t="s">
        <v>0</v>
      </c>
      <c r="L1428" s="82" t="s">
        <v>0</v>
      </c>
      <c r="M1428" s="82" t="s">
        <v>0</v>
      </c>
      <c r="N1428" s="80" t="s">
        <v>0</v>
      </c>
      <c r="O1428" s="82" t="s">
        <v>0</v>
      </c>
      <c r="P1428" s="82" t="s">
        <v>0</v>
      </c>
      <c r="Q1428" s="82" t="s">
        <v>0</v>
      </c>
      <c r="R1428" s="84" t="s">
        <v>3704</v>
      </c>
      <c r="S1428" s="10" t="s">
        <v>1</v>
      </c>
      <c r="T1428" s="10" t="s">
        <v>10221</v>
      </c>
      <c r="U1428" s="5" t="str">
        <f t="shared" si="793"/>
        <v>Propriedade destinada a investigar: é.patologia.oral</v>
      </c>
      <c r="V1428" s="5" t="str">
        <f t="shared" si="794"/>
        <v>Dado para investigar:  patologia.oral  Deve ser formatado como (rdfs:Literal  or  xsd:string)</v>
      </c>
      <c r="W1428" s="72" t="s">
        <v>3677</v>
      </c>
      <c r="X1428" s="17" t="str">
        <f t="shared" si="800"/>
        <v>d.inves.153</v>
      </c>
      <c r="Y1428" s="17" t="str">
        <f t="shared" si="801"/>
        <v>Ação de investigar</v>
      </c>
      <c r="Z1428" s="62" t="s">
        <v>3809</v>
      </c>
      <c r="AA1428" s="18" t="str">
        <f t="shared" si="795"/>
        <v>categoria.revit</v>
      </c>
      <c r="AB1428" s="55" t="s">
        <v>3598</v>
      </c>
      <c r="AC1428" s="18" t="str">
        <f t="shared" si="796"/>
        <v>classe.ifc</v>
      </c>
      <c r="AD1428" s="56" t="s">
        <v>2081</v>
      </c>
      <c r="AE1428" s="18" t="str">
        <f t="shared" si="797"/>
        <v>propriedade</v>
      </c>
      <c r="AF1428" s="75" t="s">
        <v>3574</v>
      </c>
      <c r="AG1428" s="38" t="s">
        <v>8602</v>
      </c>
    </row>
    <row r="1429" spans="1:33" s="66" customFormat="1" ht="6" customHeight="1" x14ac:dyDescent="0.4">
      <c r="A1429" s="4">
        <f>ROW()</f>
        <v>1429</v>
      </c>
      <c r="B1429" s="9" t="s">
        <v>27</v>
      </c>
      <c r="C1429" s="44" t="str">
        <f t="shared" si="798"/>
        <v>p.investigar</v>
      </c>
      <c r="D1429" s="6" t="str">
        <f t="shared" si="803"/>
        <v>é.pesquisa.geral</v>
      </c>
      <c r="E1429" s="8" t="s">
        <v>28</v>
      </c>
      <c r="F1429" s="34" t="str">
        <f t="shared" si="799"/>
        <v>d.investigar</v>
      </c>
      <c r="G1429" s="34" t="s">
        <v>3629</v>
      </c>
      <c r="H1429" s="33" t="s">
        <v>1581</v>
      </c>
      <c r="I1429" s="92" t="str">
        <f t="shared" si="802"/>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93"/>
        <v>Propriedade destinada a investigar: é.pesquisa.geral</v>
      </c>
      <c r="V1429" s="5" t="str">
        <f t="shared" si="794"/>
        <v>Dado para investigar:  pesquisa.geral  Deve ser formatado como (rdfs:Literal  or  xsd:string)</v>
      </c>
      <c r="W1429" s="72" t="s">
        <v>3678</v>
      </c>
      <c r="X1429" s="17" t="str">
        <f t="shared" si="800"/>
        <v>d.inves.154</v>
      </c>
      <c r="Y1429" s="17" t="str">
        <f t="shared" si="801"/>
        <v>Ação de investigar</v>
      </c>
      <c r="Z1429" s="62" t="s">
        <v>4489</v>
      </c>
      <c r="AA1429" s="18" t="str">
        <f t="shared" si="795"/>
        <v>categoria.revit</v>
      </c>
      <c r="AB1429" s="55" t="s">
        <v>3598</v>
      </c>
      <c r="AC1429" s="18" t="str">
        <f t="shared" si="796"/>
        <v>classe.ifc</v>
      </c>
      <c r="AD1429" s="56" t="s">
        <v>2081</v>
      </c>
      <c r="AE1429" s="18" t="str">
        <f t="shared" si="797"/>
        <v>propriedade</v>
      </c>
      <c r="AF1429" s="75" t="s">
        <v>3581</v>
      </c>
      <c r="AG1429" s="38" t="s">
        <v>8603</v>
      </c>
    </row>
    <row r="1430" spans="1:33" s="66" customFormat="1" ht="6" customHeight="1" x14ac:dyDescent="0.4">
      <c r="A1430" s="4">
        <f>ROW()</f>
        <v>1430</v>
      </c>
      <c r="B1430" s="9" t="s">
        <v>27</v>
      </c>
      <c r="C1430" s="44" t="str">
        <f t="shared" si="798"/>
        <v>p.investigar</v>
      </c>
      <c r="D1430" s="6" t="str">
        <f t="shared" si="803"/>
        <v>é.química</v>
      </c>
      <c r="E1430" s="8" t="s">
        <v>28</v>
      </c>
      <c r="F1430" s="34" t="str">
        <f t="shared" si="799"/>
        <v>d.investigar</v>
      </c>
      <c r="G1430" s="34" t="s">
        <v>3626</v>
      </c>
      <c r="H1430" s="33" t="s">
        <v>1581</v>
      </c>
      <c r="I1430" s="92" t="str">
        <f t="shared" si="802"/>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93"/>
        <v>Propriedade destinada a investigar: é.química</v>
      </c>
      <c r="V1430" s="5" t="str">
        <f t="shared" si="794"/>
        <v>Dado para investigar:  química  Deve ser formatado como (rdfs:Literal  or  xsd:string)</v>
      </c>
      <c r="W1430" s="72" t="s">
        <v>3679</v>
      </c>
      <c r="X1430" s="17" t="str">
        <f t="shared" si="800"/>
        <v>d.inves.155</v>
      </c>
      <c r="Y1430" s="17" t="str">
        <f t="shared" si="801"/>
        <v>Ação de investigar</v>
      </c>
      <c r="Z1430" s="62" t="s">
        <v>3810</v>
      </c>
      <c r="AA1430" s="18" t="str">
        <f t="shared" si="795"/>
        <v>categoria.revit</v>
      </c>
      <c r="AB1430" s="55" t="s">
        <v>3598</v>
      </c>
      <c r="AC1430" s="18" t="str">
        <f t="shared" si="796"/>
        <v>classe.ifc</v>
      </c>
      <c r="AD1430" s="56" t="s">
        <v>2081</v>
      </c>
      <c r="AE1430" s="18" t="str">
        <f t="shared" si="797"/>
        <v>propriedade</v>
      </c>
      <c r="AF1430" s="75" t="s">
        <v>3582</v>
      </c>
      <c r="AG1430" s="38" t="s">
        <v>8604</v>
      </c>
    </row>
    <row r="1431" spans="1:33" s="66" customFormat="1" ht="6" customHeight="1" x14ac:dyDescent="0.4">
      <c r="A1431" s="4">
        <f>ROW()</f>
        <v>1431</v>
      </c>
      <c r="B1431" s="9" t="s">
        <v>27</v>
      </c>
      <c r="C1431" s="44" t="str">
        <f t="shared" si="798"/>
        <v>p.investigar</v>
      </c>
      <c r="D1431" s="6" t="str">
        <f t="shared" si="803"/>
        <v>é.química.clínica</v>
      </c>
      <c r="E1431" s="8" t="s">
        <v>28</v>
      </c>
      <c r="F1431" s="34" t="str">
        <f t="shared" si="799"/>
        <v>d.investigar</v>
      </c>
      <c r="G1431" s="34" t="s">
        <v>3609</v>
      </c>
      <c r="H1431" s="33" t="s">
        <v>1581</v>
      </c>
      <c r="I1431" s="92" t="str">
        <f t="shared" si="802"/>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93"/>
        <v>Propriedade destinada a investigar: é.química.clínica</v>
      </c>
      <c r="V1431" s="5" t="str">
        <f t="shared" si="794"/>
        <v>Dado para investigar:  química.clínica  Deve ser formatado como (rdfs:Literal  or  xsd:string)</v>
      </c>
      <c r="W1431" s="72" t="s">
        <v>3680</v>
      </c>
      <c r="X1431" s="17" t="str">
        <f t="shared" si="800"/>
        <v>d.inves.156</v>
      </c>
      <c r="Y1431" s="17" t="str">
        <f t="shared" si="801"/>
        <v>Ação de investigar</v>
      </c>
      <c r="Z1431" s="62" t="s">
        <v>3811</v>
      </c>
      <c r="AA1431" s="18" t="str">
        <f t="shared" si="795"/>
        <v>categoria.revit</v>
      </c>
      <c r="AB1431" s="55" t="s">
        <v>3598</v>
      </c>
      <c r="AC1431" s="18" t="str">
        <f t="shared" si="796"/>
        <v>classe.ifc</v>
      </c>
      <c r="AD1431" s="56" t="s">
        <v>2081</v>
      </c>
      <c r="AE1431" s="18" t="str">
        <f t="shared" si="797"/>
        <v>propriedade</v>
      </c>
      <c r="AF1431" s="75" t="s">
        <v>3544</v>
      </c>
      <c r="AG1431" s="38" t="s">
        <v>8605</v>
      </c>
    </row>
    <row r="1432" spans="1:33" s="66" customFormat="1" ht="6" customHeight="1" x14ac:dyDescent="0.4">
      <c r="A1432" s="4">
        <f>ROW()</f>
        <v>1432</v>
      </c>
      <c r="B1432" s="9" t="s">
        <v>27</v>
      </c>
      <c r="C1432" s="44" t="str">
        <f t="shared" si="798"/>
        <v>p.investigar</v>
      </c>
      <c r="D1432" s="6" t="str">
        <f t="shared" si="803"/>
        <v>é.química.especial</v>
      </c>
      <c r="E1432" s="8" t="s">
        <v>28</v>
      </c>
      <c r="F1432" s="34" t="str">
        <f t="shared" si="799"/>
        <v>d.investigar</v>
      </c>
      <c r="G1432" s="34" t="s">
        <v>3610</v>
      </c>
      <c r="H1432" s="33" t="s">
        <v>1581</v>
      </c>
      <c r="I1432" s="92" t="str">
        <f t="shared" si="802"/>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93"/>
        <v>Propriedade destinada a investigar: é.química.especial</v>
      </c>
      <c r="V1432" s="5" t="str">
        <f t="shared" si="794"/>
        <v>Dado para investigar:  química.especial  Deve ser formatado como (rdfs:Literal  or  xsd:string)</v>
      </c>
      <c r="W1432" s="72" t="s">
        <v>3681</v>
      </c>
      <c r="X1432" s="17" t="str">
        <f t="shared" si="800"/>
        <v>d.inves.157</v>
      </c>
      <c r="Y1432" s="17" t="str">
        <f t="shared" si="801"/>
        <v>Ação de investigar</v>
      </c>
      <c r="Z1432" s="62" t="s">
        <v>3812</v>
      </c>
      <c r="AA1432" s="18" t="str">
        <f t="shared" si="795"/>
        <v>categoria.revit</v>
      </c>
      <c r="AB1432" s="55" t="s">
        <v>3598</v>
      </c>
      <c r="AC1432" s="18" t="str">
        <f t="shared" si="796"/>
        <v>classe.ifc</v>
      </c>
      <c r="AD1432" s="56" t="s">
        <v>2081</v>
      </c>
      <c r="AE1432" s="18" t="str">
        <f t="shared" si="797"/>
        <v>propriedade</v>
      </c>
      <c r="AF1432" s="75" t="s">
        <v>3560</v>
      </c>
      <c r="AG1432" s="38" t="s">
        <v>8606</v>
      </c>
    </row>
    <row r="1433" spans="1:33" s="66" customFormat="1" ht="6" customHeight="1" x14ac:dyDescent="0.4">
      <c r="A1433" s="4">
        <f>ROW()</f>
        <v>1433</v>
      </c>
      <c r="B1433" s="9" t="s">
        <v>27</v>
      </c>
      <c r="C1433" s="44" t="str">
        <f t="shared" si="798"/>
        <v>p.investigar</v>
      </c>
      <c r="D1433" s="6" t="str">
        <f t="shared" si="803"/>
        <v>é.radioatividade</v>
      </c>
      <c r="E1433" s="8" t="s">
        <v>28</v>
      </c>
      <c r="F1433" s="34" t="str">
        <f t="shared" si="799"/>
        <v>d.investigar</v>
      </c>
      <c r="G1433" s="34" t="s">
        <v>3628</v>
      </c>
      <c r="H1433" s="33" t="s">
        <v>1581</v>
      </c>
      <c r="I1433" s="92" t="str">
        <f t="shared" si="802"/>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93"/>
        <v>Propriedade destinada a investigar: é.radioatividade</v>
      </c>
      <c r="V1433" s="5" t="str">
        <f t="shared" si="794"/>
        <v>Dado para investigar:  radioatividade  Deve ser formatado como (rdfs:Literal  or  xsd:string)</v>
      </c>
      <c r="W1433" s="38" t="s">
        <v>3540</v>
      </c>
      <c r="X1433" s="17" t="str">
        <f t="shared" si="800"/>
        <v>d.inves.158</v>
      </c>
      <c r="Y1433" s="17" t="str">
        <f t="shared" si="801"/>
        <v>Ação de investigar</v>
      </c>
      <c r="Z1433" s="62" t="s">
        <v>3813</v>
      </c>
      <c r="AA1433" s="18" t="str">
        <f t="shared" si="795"/>
        <v>categoria.revit</v>
      </c>
      <c r="AB1433" s="55" t="s">
        <v>3598</v>
      </c>
      <c r="AC1433" s="18" t="str">
        <f t="shared" si="796"/>
        <v>classe.ifc</v>
      </c>
      <c r="AD1433" s="56" t="s">
        <v>2081</v>
      </c>
      <c r="AE1433" s="18" t="str">
        <f t="shared" si="797"/>
        <v>propriedade</v>
      </c>
      <c r="AF1433" s="75" t="s">
        <v>3586</v>
      </c>
      <c r="AG1433" s="38" t="s">
        <v>8607</v>
      </c>
    </row>
    <row r="1434" spans="1:33" s="66" customFormat="1" ht="6" customHeight="1" x14ac:dyDescent="0.4">
      <c r="A1434" s="4">
        <f>ROW()</f>
        <v>1434</v>
      </c>
      <c r="B1434" s="9" t="s">
        <v>27</v>
      </c>
      <c r="C1434" s="44" t="str">
        <f t="shared" si="798"/>
        <v>p.investigar</v>
      </c>
      <c r="D1434" s="6" t="str">
        <f t="shared" si="803"/>
        <v>é.santuário.de.primate</v>
      </c>
      <c r="E1434" s="8" t="s">
        <v>28</v>
      </c>
      <c r="F1434" s="34" t="str">
        <f t="shared" si="799"/>
        <v>d.investigar</v>
      </c>
      <c r="G1434" s="14" t="s">
        <v>3662</v>
      </c>
      <c r="H1434" s="33" t="s">
        <v>1581</v>
      </c>
      <c r="I1434" s="92" t="str">
        <f t="shared" si="802"/>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93"/>
        <v>Propriedade destinada a investigar: é.santuário.de.primate</v>
      </c>
      <c r="V1434" s="5" t="str">
        <f t="shared" si="794"/>
        <v>Dado para investigar:  santuário.de.primate  Deve ser formatado como (rdfs:Literal  or  xsd:string)</v>
      </c>
      <c r="W1434" s="69" t="s">
        <v>5737</v>
      </c>
      <c r="X1434" s="17" t="str">
        <f t="shared" si="800"/>
        <v>d.inves.159</v>
      </c>
      <c r="Y1434" s="17" t="str">
        <f t="shared" si="801"/>
        <v>Ação de investigar</v>
      </c>
      <c r="Z1434" s="62" t="s">
        <v>3814</v>
      </c>
      <c r="AA1434" s="18" t="str">
        <f t="shared" si="795"/>
        <v>categoria.revit</v>
      </c>
      <c r="AB1434" s="55" t="s">
        <v>3598</v>
      </c>
      <c r="AC1434" s="18" t="str">
        <f t="shared" si="796"/>
        <v>classe.ifc</v>
      </c>
      <c r="AD1434" s="56" t="s">
        <v>2081</v>
      </c>
      <c r="AE1434" s="18" t="str">
        <f t="shared" si="797"/>
        <v>propriedade</v>
      </c>
      <c r="AF1434" s="75" t="s">
        <v>3718</v>
      </c>
      <c r="AG1434" s="38" t="s">
        <v>8608</v>
      </c>
    </row>
    <row r="1435" spans="1:33" s="67" customFormat="1" ht="6" customHeight="1" x14ac:dyDescent="0.4">
      <c r="A1435" s="4">
        <f>ROW()</f>
        <v>1435</v>
      </c>
      <c r="B1435" s="9" t="s">
        <v>27</v>
      </c>
      <c r="C1435" s="44" t="str">
        <f t="shared" si="798"/>
        <v>p.investigar</v>
      </c>
      <c r="D1435" s="6" t="str">
        <f t="shared" si="803"/>
        <v>é.semicondutor</v>
      </c>
      <c r="E1435" s="8" t="s">
        <v>28</v>
      </c>
      <c r="F1435" s="34" t="str">
        <f t="shared" si="799"/>
        <v>d.investigar</v>
      </c>
      <c r="G1435" s="34" t="s">
        <v>3634</v>
      </c>
      <c r="H1435" s="33" t="s">
        <v>1581</v>
      </c>
      <c r="I1435" s="92" t="str">
        <f t="shared" si="802"/>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93"/>
        <v>Propriedade destinada a investigar: é.semicondutor</v>
      </c>
      <c r="V1435" s="5" t="str">
        <f t="shared" si="794"/>
        <v>Dado para investigar:  semicondutor  Deve ser formatado como (rdfs:Literal  or  xsd:string)</v>
      </c>
      <c r="W1435" s="72" t="s">
        <v>3682</v>
      </c>
      <c r="X1435" s="17" t="str">
        <f t="shared" si="800"/>
        <v>d.inves.160</v>
      </c>
      <c r="Y1435" s="17" t="str">
        <f t="shared" si="801"/>
        <v>Ação de investigar</v>
      </c>
      <c r="Z1435" s="62" t="s">
        <v>3815</v>
      </c>
      <c r="AA1435" s="18" t="str">
        <f t="shared" si="795"/>
        <v>categoria.revit</v>
      </c>
      <c r="AB1435" s="55" t="s">
        <v>3598</v>
      </c>
      <c r="AC1435" s="18" t="str">
        <f t="shared" si="796"/>
        <v>classe.ifc</v>
      </c>
      <c r="AD1435" s="56" t="s">
        <v>2081</v>
      </c>
      <c r="AE1435" s="18" t="str">
        <f t="shared" si="797"/>
        <v>propriedade</v>
      </c>
      <c r="AF1435" s="75" t="s">
        <v>3595</v>
      </c>
      <c r="AG1435" s="38" t="s">
        <v>8609</v>
      </c>
    </row>
    <row r="1436" spans="1:33" s="67" customFormat="1" ht="6" customHeight="1" x14ac:dyDescent="0.4">
      <c r="A1436" s="4">
        <f>ROW()</f>
        <v>1436</v>
      </c>
      <c r="B1436" s="9" t="s">
        <v>27</v>
      </c>
      <c r="C1436" s="44" t="str">
        <f t="shared" si="798"/>
        <v>p.investigar</v>
      </c>
      <c r="D1436" s="6" t="str">
        <f t="shared" si="803"/>
        <v>é.urinálise</v>
      </c>
      <c r="E1436" s="8" t="s">
        <v>28</v>
      </c>
      <c r="F1436" s="34" t="str">
        <f t="shared" si="799"/>
        <v>d.investigar</v>
      </c>
      <c r="G1436" s="34" t="s">
        <v>3607</v>
      </c>
      <c r="H1436" s="33" t="s">
        <v>1581</v>
      </c>
      <c r="I1436" s="92" t="str">
        <f t="shared" si="802"/>
        <v>null</v>
      </c>
      <c r="J1436" s="82" t="s">
        <v>0</v>
      </c>
      <c r="K1436" s="82" t="s">
        <v>0</v>
      </c>
      <c r="L1436" s="82" t="s">
        <v>0</v>
      </c>
      <c r="M1436" s="82" t="s">
        <v>0</v>
      </c>
      <c r="N1436" s="80" t="s">
        <v>0</v>
      </c>
      <c r="O1436" s="82" t="s">
        <v>0</v>
      </c>
      <c r="P1436" s="82" t="s">
        <v>0</v>
      </c>
      <c r="Q1436" s="82" t="s">
        <v>0</v>
      </c>
      <c r="R1436" s="84" t="s">
        <v>0</v>
      </c>
      <c r="S1436" s="10" t="s">
        <v>1</v>
      </c>
      <c r="T1436" s="10" t="s">
        <v>10221</v>
      </c>
      <c r="U1436" s="5" t="str">
        <f t="shared" si="793"/>
        <v>Propriedade destinada a investigar: é.urinálise</v>
      </c>
      <c r="V1436" s="5" t="str">
        <f t="shared" si="794"/>
        <v>Dado para investigar:  urinálise  Deve ser formatado como (rdfs:Literal  or  xsd:string)</v>
      </c>
      <c r="W1436" s="72" t="s">
        <v>3683</v>
      </c>
      <c r="X1436" s="17" t="str">
        <f t="shared" si="800"/>
        <v>d.inves.161</v>
      </c>
      <c r="Y1436" s="17" t="str">
        <f t="shared" si="801"/>
        <v>Ação de investigar</v>
      </c>
      <c r="Z1436" s="62" t="s">
        <v>3816</v>
      </c>
      <c r="AA1436" s="18" t="str">
        <f t="shared" si="795"/>
        <v>categoria.revit</v>
      </c>
      <c r="AB1436" s="55" t="s">
        <v>3598</v>
      </c>
      <c r="AC1436" s="18" t="str">
        <f t="shared" si="796"/>
        <v>classe.ifc</v>
      </c>
      <c r="AD1436" s="56" t="s">
        <v>2081</v>
      </c>
      <c r="AE1436" s="18" t="str">
        <f t="shared" si="797"/>
        <v>propriedade</v>
      </c>
      <c r="AF1436" s="75" t="s">
        <v>3561</v>
      </c>
      <c r="AG1436" s="38" t="s">
        <v>8610</v>
      </c>
    </row>
    <row r="1437" spans="1:33" ht="6" customHeight="1" x14ac:dyDescent="0.4">
      <c r="A1437" s="4">
        <f>ROW()</f>
        <v>1437</v>
      </c>
      <c r="B1437" s="9" t="s">
        <v>27</v>
      </c>
      <c r="C1437" s="44" t="str">
        <f t="shared" si="798"/>
        <v>p.investigar</v>
      </c>
      <c r="D1437" s="6" t="str">
        <f t="shared" si="803"/>
        <v>é.urologia</v>
      </c>
      <c r="E1437" s="8" t="s">
        <v>28</v>
      </c>
      <c r="F1437" s="34" t="str">
        <f t="shared" si="799"/>
        <v>d.investigar</v>
      </c>
      <c r="G1437" s="34" t="s">
        <v>3608</v>
      </c>
      <c r="H1437" s="33" t="s">
        <v>1581</v>
      </c>
      <c r="I1437" s="92" t="str">
        <f t="shared" si="802"/>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93"/>
        <v>Propriedade destinada a investigar: é.urologia</v>
      </c>
      <c r="V1437" s="5" t="str">
        <f t="shared" si="794"/>
        <v>Dado para investigar:  urologia  Deve ser formatado como (rdfs:Literal  or  xsd:string)</v>
      </c>
      <c r="W1437" s="72" t="s">
        <v>3684</v>
      </c>
      <c r="X1437" s="17" t="str">
        <f t="shared" si="800"/>
        <v>d.inves.162</v>
      </c>
      <c r="Y1437" s="17" t="str">
        <f t="shared" si="801"/>
        <v>Ação de investigar</v>
      </c>
      <c r="Z1437" s="62" t="s">
        <v>3817</v>
      </c>
      <c r="AA1437" s="18" t="str">
        <f t="shared" si="795"/>
        <v>categoria.revit</v>
      </c>
      <c r="AB1437" s="56" t="s">
        <v>3598</v>
      </c>
      <c r="AC1437" s="18" t="str">
        <f t="shared" si="796"/>
        <v>classe.ifc</v>
      </c>
      <c r="AD1437" s="56" t="s">
        <v>2081</v>
      </c>
      <c r="AE1437" s="18" t="str">
        <f t="shared" si="797"/>
        <v>propriedade</v>
      </c>
      <c r="AF1437" s="75" t="s">
        <v>3562</v>
      </c>
      <c r="AG1437" s="38" t="s">
        <v>8611</v>
      </c>
    </row>
    <row r="1438" spans="1:33" ht="6" customHeight="1" x14ac:dyDescent="0.4">
      <c r="A1438" s="4">
        <f>ROW()</f>
        <v>1438</v>
      </c>
      <c r="B1438" s="9" t="s">
        <v>27</v>
      </c>
      <c r="C1438" s="43" t="str">
        <f t="shared" si="785"/>
        <v>p.isolar</v>
      </c>
      <c r="D1438" s="6" t="str">
        <f t="shared" si="803"/>
        <v>é.equivalência.pb</v>
      </c>
      <c r="E1438" s="8" t="s">
        <v>28</v>
      </c>
      <c r="F1438" s="41" t="s">
        <v>2196</v>
      </c>
      <c r="G1438" s="13" t="s">
        <v>1463</v>
      </c>
      <c r="H1438" s="33" t="s">
        <v>1581</v>
      </c>
      <c r="I1438" s="92" t="str">
        <f t="shared" si="802"/>
        <v>null</v>
      </c>
      <c r="J1438" s="80" t="s">
        <v>0</v>
      </c>
      <c r="K1438" s="80" t="s">
        <v>0</v>
      </c>
      <c r="L1438" s="80" t="s">
        <v>0</v>
      </c>
      <c r="M1438" s="80" t="s">
        <v>0</v>
      </c>
      <c r="N1438" s="80" t="s">
        <v>0</v>
      </c>
      <c r="O1438" s="80" t="s">
        <v>0</v>
      </c>
      <c r="P1438" s="80" t="s">
        <v>0</v>
      </c>
      <c r="Q1438" s="80" t="s">
        <v>0</v>
      </c>
      <c r="R1438" s="84" t="s">
        <v>0</v>
      </c>
      <c r="S1438" s="10" t="s">
        <v>1</v>
      </c>
      <c r="T1438" s="10" t="s">
        <v>10221</v>
      </c>
      <c r="U1438" s="5" t="str">
        <f t="shared" si="793"/>
        <v>Propriedade destinada a isolar: é.equivalência.pb</v>
      </c>
      <c r="V1438" s="5" t="str">
        <f t="shared" si="794"/>
        <v>Dado para isolar:  equivalência.pb  Deve ser formatado como (rdfs:Literal  or  xsd:string)</v>
      </c>
      <c r="W1438" s="69" t="s">
        <v>5738</v>
      </c>
      <c r="X1438" s="17" t="str">
        <f t="shared" si="800"/>
        <v>d.isola.100</v>
      </c>
      <c r="Y1438" s="17" t="str">
        <f t="shared" si="801"/>
        <v>Ação de isolar</v>
      </c>
      <c r="Z1438" s="62" t="s">
        <v>4751</v>
      </c>
      <c r="AA1438" s="18" t="str">
        <f t="shared" ref="AA1438:AA1453" si="804">IF(AB1438="null", "null", "categoria.revit")</f>
        <v>null</v>
      </c>
      <c r="AB1438" s="19" t="s">
        <v>0</v>
      </c>
      <c r="AC1438" s="18" t="str">
        <f t="shared" ref="AC1438:AC1453" si="805">IF(AD1438="null", "null", "classe.ifc")</f>
        <v>null</v>
      </c>
      <c r="AD1438" s="19" t="s">
        <v>0</v>
      </c>
      <c r="AE1438" s="18" t="str">
        <f t="shared" ref="AE1438:AE1453" si="806">IF(AF1438="null", "null", "propriedade")</f>
        <v>null</v>
      </c>
      <c r="AF1438" s="75" t="s">
        <v>0</v>
      </c>
      <c r="AG1438" s="38" t="s">
        <v>8612</v>
      </c>
    </row>
    <row r="1439" spans="1:33" ht="6" customHeight="1" x14ac:dyDescent="0.4">
      <c r="A1439" s="4">
        <f>ROW()</f>
        <v>1439</v>
      </c>
      <c r="B1439" s="9" t="s">
        <v>27</v>
      </c>
      <c r="C1439" s="44" t="str">
        <f t="shared" si="785"/>
        <v>p.isolar</v>
      </c>
      <c r="D1439" s="6" t="str">
        <f t="shared" si="803"/>
        <v>é.proteção.radiológica.padrão</v>
      </c>
      <c r="E1439" s="8" t="s">
        <v>28</v>
      </c>
      <c r="F1439" s="34" t="str">
        <f>F1438</f>
        <v>d.isolar</v>
      </c>
      <c r="G1439" s="13" t="s">
        <v>1464</v>
      </c>
      <c r="H1439" s="33" t="s">
        <v>1581</v>
      </c>
      <c r="I1439" s="92" t="str">
        <f t="shared" si="802"/>
        <v>null</v>
      </c>
      <c r="J1439" s="80" t="s">
        <v>0</v>
      </c>
      <c r="K1439" s="80" t="s">
        <v>0</v>
      </c>
      <c r="L1439" s="80" t="s">
        <v>0</v>
      </c>
      <c r="M1439" s="80" t="s">
        <v>0</v>
      </c>
      <c r="N1439" s="80" t="s">
        <v>0</v>
      </c>
      <c r="O1439" s="80" t="s">
        <v>0</v>
      </c>
      <c r="P1439" s="80" t="s">
        <v>0</v>
      </c>
      <c r="Q1439" s="80" t="s">
        <v>0</v>
      </c>
      <c r="R1439" s="84" t="s">
        <v>0</v>
      </c>
      <c r="S1439" s="10" t="s">
        <v>1</v>
      </c>
      <c r="T1439" s="10" t="s">
        <v>10221</v>
      </c>
      <c r="U1439" s="5" t="str">
        <f t="shared" si="793"/>
        <v>Propriedade destinada a isolar: é.proteção.radiológica.padrão</v>
      </c>
      <c r="V1439" s="5" t="str">
        <f t="shared" si="794"/>
        <v>Dado para isolar:  proteção.radiológica.padrão  Deve ser formatado como (rdfs:Literal  or  xsd:string)</v>
      </c>
      <c r="W1439" s="69" t="s">
        <v>5739</v>
      </c>
      <c r="X1439" s="17" t="str">
        <f t="shared" si="800"/>
        <v>d.isola.101</v>
      </c>
      <c r="Y1439" s="17" t="str">
        <f t="shared" si="801"/>
        <v>Ação de isolar</v>
      </c>
      <c r="Z1439" s="62" t="s">
        <v>4752</v>
      </c>
      <c r="AA1439" s="18" t="str">
        <f t="shared" si="804"/>
        <v>null</v>
      </c>
      <c r="AB1439" s="19" t="s">
        <v>0</v>
      </c>
      <c r="AC1439" s="18" t="str">
        <f t="shared" si="805"/>
        <v>null</v>
      </c>
      <c r="AD1439" s="19" t="s">
        <v>0</v>
      </c>
      <c r="AE1439" s="18" t="str">
        <f t="shared" si="806"/>
        <v>null</v>
      </c>
      <c r="AF1439" s="75" t="s">
        <v>0</v>
      </c>
      <c r="AG1439" s="38" t="s">
        <v>8613</v>
      </c>
    </row>
    <row r="1440" spans="1:33" ht="6" customHeight="1" x14ac:dyDescent="0.4">
      <c r="A1440" s="4">
        <f>ROW()</f>
        <v>1440</v>
      </c>
      <c r="B1440" s="9" t="s">
        <v>27</v>
      </c>
      <c r="C1440" s="43" t="str">
        <f t="shared" si="785"/>
        <v>p.juntar</v>
      </c>
      <c r="D1440" s="6" t="str">
        <f t="shared" si="803"/>
        <v>é.junta</v>
      </c>
      <c r="E1440" s="8" t="s">
        <v>28</v>
      </c>
      <c r="F1440" s="41" t="s">
        <v>2197</v>
      </c>
      <c r="G1440" s="13" t="s">
        <v>2649</v>
      </c>
      <c r="H1440" s="34" t="s">
        <v>1581</v>
      </c>
      <c r="I1440" s="92" t="str">
        <f t="shared" si="802"/>
        <v>null</v>
      </c>
      <c r="J1440" s="80" t="s">
        <v>0</v>
      </c>
      <c r="K1440" s="80" t="s">
        <v>0</v>
      </c>
      <c r="L1440" s="80" t="s">
        <v>0</v>
      </c>
      <c r="M1440" s="80" t="s">
        <v>0</v>
      </c>
      <c r="N1440" s="80" t="s">
        <v>0</v>
      </c>
      <c r="O1440" s="80" t="s">
        <v>0</v>
      </c>
      <c r="P1440" s="80" t="s">
        <v>0</v>
      </c>
      <c r="Q1440" s="80" t="s">
        <v>0</v>
      </c>
      <c r="R1440" s="84" t="s">
        <v>0</v>
      </c>
      <c r="S1440" s="10" t="s">
        <v>1</v>
      </c>
      <c r="T1440" s="10" t="s">
        <v>10221</v>
      </c>
      <c r="U1440" s="5" t="str">
        <f t="shared" si="793"/>
        <v>Propriedade destinada a juntar: é.junta</v>
      </c>
      <c r="V1440" s="5" t="str">
        <f t="shared" si="794"/>
        <v>Dado para juntar:  junta  Deve ser formatado como (rdfs:Literal  or  xsd:string)</v>
      </c>
      <c r="W1440" s="69" t="s">
        <v>5740</v>
      </c>
      <c r="X1440" s="17" t="str">
        <f t="shared" si="800"/>
        <v>d.junta.100</v>
      </c>
      <c r="Y1440" s="17" t="str">
        <f t="shared" si="801"/>
        <v>Ação de juntar</v>
      </c>
      <c r="Z1440" s="62" t="s">
        <v>2348</v>
      </c>
      <c r="AA1440" s="18" t="str">
        <f t="shared" si="804"/>
        <v>null</v>
      </c>
      <c r="AB1440" s="19" t="s">
        <v>0</v>
      </c>
      <c r="AC1440" s="18" t="str">
        <f t="shared" si="805"/>
        <v>null</v>
      </c>
      <c r="AD1440" s="19" t="s">
        <v>0</v>
      </c>
      <c r="AE1440" s="18" t="str">
        <f t="shared" si="806"/>
        <v>null</v>
      </c>
      <c r="AF1440" s="75" t="s">
        <v>0</v>
      </c>
      <c r="AG1440" s="38" t="s">
        <v>8614</v>
      </c>
    </row>
    <row r="1441" spans="1:33" ht="6" customHeight="1" x14ac:dyDescent="0.4">
      <c r="A1441" s="4">
        <f>ROW()</f>
        <v>1441</v>
      </c>
      <c r="B1441" s="9" t="s">
        <v>27</v>
      </c>
      <c r="C1441" s="44" t="str">
        <f t="shared" si="785"/>
        <v>p.juntar</v>
      </c>
      <c r="D1441" s="6" t="str">
        <f t="shared" si="803"/>
        <v>é.junta.rosqueada</v>
      </c>
      <c r="E1441" s="8" t="s">
        <v>28</v>
      </c>
      <c r="F1441" s="34" t="str">
        <f t="shared" ref="F1441:F1453" si="807">F1440</f>
        <v>d.juntar</v>
      </c>
      <c r="G1441" s="13" t="s">
        <v>724</v>
      </c>
      <c r="H1441" s="34" t="s">
        <v>1581</v>
      </c>
      <c r="I1441" s="92" t="str">
        <f t="shared" si="802"/>
        <v>null</v>
      </c>
      <c r="J1441" s="80" t="s">
        <v>0</v>
      </c>
      <c r="K1441" s="80" t="s">
        <v>0</v>
      </c>
      <c r="L1441" s="80" t="s">
        <v>0</v>
      </c>
      <c r="M1441" s="80" t="s">
        <v>0</v>
      </c>
      <c r="N1441" s="80" t="s">
        <v>0</v>
      </c>
      <c r="O1441" s="80" t="s">
        <v>0</v>
      </c>
      <c r="P1441" s="80" t="s">
        <v>0</v>
      </c>
      <c r="Q1441" s="80" t="s">
        <v>0</v>
      </c>
      <c r="R1441" s="84" t="s">
        <v>0</v>
      </c>
      <c r="S1441" s="10" t="s">
        <v>1</v>
      </c>
      <c r="T1441" s="10" t="s">
        <v>10221</v>
      </c>
      <c r="U1441" s="5" t="str">
        <f t="shared" si="793"/>
        <v>Propriedade destinada a juntar: é.junta.rosqueada</v>
      </c>
      <c r="V1441" s="5" t="str">
        <f t="shared" si="794"/>
        <v>Dado para juntar:  junta.rosqueada  Deve ser formatado como (rdfs:Literal  or  xsd:string)</v>
      </c>
      <c r="W1441" s="69" t="s">
        <v>5741</v>
      </c>
      <c r="X1441" s="17" t="str">
        <f t="shared" si="800"/>
        <v>d.junta.101</v>
      </c>
      <c r="Y1441" s="17" t="str">
        <f t="shared" si="801"/>
        <v>Ação de juntar</v>
      </c>
      <c r="Z1441" s="62" t="s">
        <v>4308</v>
      </c>
      <c r="AA1441" s="18" t="str">
        <f t="shared" si="804"/>
        <v>null</v>
      </c>
      <c r="AB1441" s="19" t="s">
        <v>0</v>
      </c>
      <c r="AC1441" s="18" t="str">
        <f t="shared" si="805"/>
        <v>null</v>
      </c>
      <c r="AD1441" s="19" t="s">
        <v>0</v>
      </c>
      <c r="AE1441" s="18" t="str">
        <f t="shared" si="806"/>
        <v>null</v>
      </c>
      <c r="AF1441" s="75" t="s">
        <v>0</v>
      </c>
      <c r="AG1441" s="38" t="s">
        <v>8615</v>
      </c>
    </row>
    <row r="1442" spans="1:33" ht="6" customHeight="1" x14ac:dyDescent="0.4">
      <c r="A1442" s="4">
        <f>ROW()</f>
        <v>1442</v>
      </c>
      <c r="B1442" s="9" t="s">
        <v>27</v>
      </c>
      <c r="C1442" s="44" t="str">
        <f t="shared" si="785"/>
        <v>p.juntar</v>
      </c>
      <c r="D1442" s="6" t="str">
        <f t="shared" si="803"/>
        <v>é.junta.colada</v>
      </c>
      <c r="E1442" s="8" t="s">
        <v>28</v>
      </c>
      <c r="F1442" s="34" t="str">
        <f t="shared" si="807"/>
        <v>d.juntar</v>
      </c>
      <c r="G1442" s="13" t="s">
        <v>725</v>
      </c>
      <c r="H1442" s="34" t="s">
        <v>1581</v>
      </c>
      <c r="I1442" s="92" t="str">
        <f t="shared" si="802"/>
        <v>null</v>
      </c>
      <c r="J1442" s="80" t="s">
        <v>0</v>
      </c>
      <c r="K1442" s="80" t="s">
        <v>0</v>
      </c>
      <c r="L1442" s="80" t="s">
        <v>0</v>
      </c>
      <c r="M1442" s="80" t="s">
        <v>0</v>
      </c>
      <c r="N1442" s="80" t="s">
        <v>0</v>
      </c>
      <c r="O1442" s="80" t="s">
        <v>0</v>
      </c>
      <c r="P1442" s="80" t="s">
        <v>0</v>
      </c>
      <c r="Q1442" s="80" t="s">
        <v>0</v>
      </c>
      <c r="R1442" s="84" t="s">
        <v>0</v>
      </c>
      <c r="S1442" s="10" t="s">
        <v>1</v>
      </c>
      <c r="T1442" s="10" t="s">
        <v>10221</v>
      </c>
      <c r="U1442" s="5" t="str">
        <f t="shared" si="793"/>
        <v>Propriedade destinada a juntar: é.junta.colada</v>
      </c>
      <c r="V1442" s="5" t="str">
        <f t="shared" si="794"/>
        <v>Dado para juntar:  junta.colada  Deve ser formatado como (rdfs:Literal  or  xsd:string)</v>
      </c>
      <c r="W1442" s="69" t="s">
        <v>5742</v>
      </c>
      <c r="X1442" s="17" t="str">
        <f t="shared" si="800"/>
        <v>d.junta.102</v>
      </c>
      <c r="Y1442" s="17" t="str">
        <f t="shared" si="801"/>
        <v>Ação de juntar</v>
      </c>
      <c r="Z1442" s="62" t="s">
        <v>4309</v>
      </c>
      <c r="AA1442" s="18" t="str">
        <f t="shared" si="804"/>
        <v>null</v>
      </c>
      <c r="AB1442" s="19" t="s">
        <v>0</v>
      </c>
      <c r="AC1442" s="18" t="str">
        <f t="shared" si="805"/>
        <v>null</v>
      </c>
      <c r="AD1442" s="19" t="s">
        <v>0</v>
      </c>
      <c r="AE1442" s="18" t="str">
        <f t="shared" si="806"/>
        <v>null</v>
      </c>
      <c r="AF1442" s="75" t="s">
        <v>0</v>
      </c>
      <c r="AG1442" s="38" t="s">
        <v>8616</v>
      </c>
    </row>
    <row r="1443" spans="1:33" ht="6" customHeight="1" x14ac:dyDescent="0.4">
      <c r="A1443" s="4">
        <f>ROW()</f>
        <v>1443</v>
      </c>
      <c r="B1443" s="9" t="s">
        <v>27</v>
      </c>
      <c r="C1443" s="44" t="str">
        <f t="shared" si="785"/>
        <v>p.juntar</v>
      </c>
      <c r="D1443" s="6" t="str">
        <f t="shared" si="803"/>
        <v>é.junta.soldada</v>
      </c>
      <c r="E1443" s="8" t="s">
        <v>28</v>
      </c>
      <c r="F1443" s="34" t="str">
        <f t="shared" si="807"/>
        <v>d.juntar</v>
      </c>
      <c r="G1443" s="13" t="s">
        <v>726</v>
      </c>
      <c r="H1443" s="34" t="s">
        <v>1581</v>
      </c>
      <c r="I1443" s="92" t="str">
        <f t="shared" si="802"/>
        <v>null</v>
      </c>
      <c r="J1443" s="80" t="s">
        <v>0</v>
      </c>
      <c r="K1443" s="80" t="s">
        <v>0</v>
      </c>
      <c r="L1443" s="80" t="s">
        <v>0</v>
      </c>
      <c r="M1443" s="80" t="s">
        <v>0</v>
      </c>
      <c r="N1443" s="80" t="s">
        <v>0</v>
      </c>
      <c r="O1443" s="80" t="s">
        <v>0</v>
      </c>
      <c r="P1443" s="80" t="s">
        <v>0</v>
      </c>
      <c r="Q1443" s="80" t="s">
        <v>0</v>
      </c>
      <c r="R1443" s="84" t="s">
        <v>0</v>
      </c>
      <c r="S1443" s="10" t="s">
        <v>1</v>
      </c>
      <c r="T1443" s="10" t="s">
        <v>10221</v>
      </c>
      <c r="U1443" s="5" t="str">
        <f t="shared" si="793"/>
        <v>Propriedade destinada a juntar: é.junta.soldada</v>
      </c>
      <c r="V1443" s="5" t="str">
        <f t="shared" si="794"/>
        <v>Dado para juntar:  junta.soldada  Deve ser formatado como (rdfs:Literal  or  xsd:string)</v>
      </c>
      <c r="W1443" s="69" t="s">
        <v>5743</v>
      </c>
      <c r="X1443" s="17" t="str">
        <f t="shared" si="800"/>
        <v>d.junta.103</v>
      </c>
      <c r="Y1443" s="17" t="str">
        <f t="shared" si="801"/>
        <v>Ação de juntar</v>
      </c>
      <c r="Z1443" s="62" t="s">
        <v>4310</v>
      </c>
      <c r="AA1443" s="18" t="str">
        <f t="shared" si="804"/>
        <v>null</v>
      </c>
      <c r="AB1443" s="19" t="s">
        <v>0</v>
      </c>
      <c r="AC1443" s="18" t="str">
        <f t="shared" si="805"/>
        <v>null</v>
      </c>
      <c r="AD1443" s="19" t="s">
        <v>0</v>
      </c>
      <c r="AE1443" s="18" t="str">
        <f t="shared" si="806"/>
        <v>null</v>
      </c>
      <c r="AF1443" s="75" t="s">
        <v>0</v>
      </c>
      <c r="AG1443" s="38" t="s">
        <v>8617</v>
      </c>
    </row>
    <row r="1444" spans="1:33" ht="6" customHeight="1" x14ac:dyDescent="0.4">
      <c r="A1444" s="4">
        <f>ROW()</f>
        <v>1444</v>
      </c>
      <c r="B1444" s="9" t="s">
        <v>27</v>
      </c>
      <c r="C1444" s="44" t="str">
        <f t="shared" si="785"/>
        <v>p.juntar</v>
      </c>
      <c r="D1444" s="6" t="str">
        <f t="shared" si="803"/>
        <v>é.junta.flangeada</v>
      </c>
      <c r="E1444" s="8" t="s">
        <v>28</v>
      </c>
      <c r="F1444" s="34" t="str">
        <f t="shared" si="807"/>
        <v>d.juntar</v>
      </c>
      <c r="G1444" s="13" t="s">
        <v>727</v>
      </c>
      <c r="H1444" s="34" t="s">
        <v>1581</v>
      </c>
      <c r="I1444" s="92" t="str">
        <f t="shared" si="802"/>
        <v>null</v>
      </c>
      <c r="J1444" s="80" t="s">
        <v>0</v>
      </c>
      <c r="K1444" s="80" t="s">
        <v>0</v>
      </c>
      <c r="L1444" s="80" t="s">
        <v>0</v>
      </c>
      <c r="M1444" s="80" t="s">
        <v>0</v>
      </c>
      <c r="N1444" s="80" t="s">
        <v>0</v>
      </c>
      <c r="O1444" s="80" t="s">
        <v>0</v>
      </c>
      <c r="P1444" s="80" t="s">
        <v>0</v>
      </c>
      <c r="Q1444" s="80" t="s">
        <v>0</v>
      </c>
      <c r="R1444" s="84" t="s">
        <v>0</v>
      </c>
      <c r="S1444" s="10" t="s">
        <v>1</v>
      </c>
      <c r="T1444" s="10" t="s">
        <v>10221</v>
      </c>
      <c r="U1444" s="5" t="str">
        <f t="shared" si="793"/>
        <v>Propriedade destinada a juntar: é.junta.flangeada</v>
      </c>
      <c r="V1444" s="5" t="str">
        <f t="shared" si="794"/>
        <v>Dado para juntar:  junta.flangeada  Deve ser formatado como (rdfs:Literal  or  xsd:string)</v>
      </c>
      <c r="W1444" s="69" t="s">
        <v>5744</v>
      </c>
      <c r="X1444" s="17" t="str">
        <f t="shared" si="800"/>
        <v>d.junta.104</v>
      </c>
      <c r="Y1444" s="17" t="str">
        <f t="shared" si="801"/>
        <v>Ação de juntar</v>
      </c>
      <c r="Z1444" s="62" t="s">
        <v>4311</v>
      </c>
      <c r="AA1444" s="18" t="str">
        <f t="shared" si="804"/>
        <v>null</v>
      </c>
      <c r="AB1444" s="19" t="s">
        <v>0</v>
      </c>
      <c r="AC1444" s="18" t="str">
        <f t="shared" si="805"/>
        <v>null</v>
      </c>
      <c r="AD1444" s="19" t="s">
        <v>0</v>
      </c>
      <c r="AE1444" s="18" t="str">
        <f t="shared" si="806"/>
        <v>null</v>
      </c>
      <c r="AF1444" s="75" t="s">
        <v>0</v>
      </c>
      <c r="AG1444" s="38" t="s">
        <v>8618</v>
      </c>
    </row>
    <row r="1445" spans="1:33" ht="6" customHeight="1" x14ac:dyDescent="0.4">
      <c r="A1445" s="4">
        <f>ROW()</f>
        <v>1445</v>
      </c>
      <c r="B1445" s="9" t="s">
        <v>27</v>
      </c>
      <c r="C1445" s="44" t="str">
        <f t="shared" si="785"/>
        <v>p.juntar</v>
      </c>
      <c r="D1445" s="6" t="str">
        <f t="shared" si="803"/>
        <v>é.junta.crimpada</v>
      </c>
      <c r="E1445" s="8" t="s">
        <v>28</v>
      </c>
      <c r="F1445" s="34" t="str">
        <f t="shared" si="807"/>
        <v>d.juntar</v>
      </c>
      <c r="G1445" s="13" t="s">
        <v>728</v>
      </c>
      <c r="H1445" s="34" t="s">
        <v>1581</v>
      </c>
      <c r="I1445" s="92" t="str">
        <f t="shared" si="802"/>
        <v>null</v>
      </c>
      <c r="J1445" s="80" t="s">
        <v>0</v>
      </c>
      <c r="K1445" s="80" t="s">
        <v>0</v>
      </c>
      <c r="L1445" s="80" t="s">
        <v>0</v>
      </c>
      <c r="M1445" s="80" t="s">
        <v>0</v>
      </c>
      <c r="N1445" s="80" t="s">
        <v>0</v>
      </c>
      <c r="O1445" s="80" t="s">
        <v>0</v>
      </c>
      <c r="P1445" s="80" t="s">
        <v>0</v>
      </c>
      <c r="Q1445" s="80" t="s">
        <v>0</v>
      </c>
      <c r="R1445" s="84" t="s">
        <v>0</v>
      </c>
      <c r="S1445" s="10" t="s">
        <v>1</v>
      </c>
      <c r="T1445" s="10" t="s">
        <v>10221</v>
      </c>
      <c r="U1445" s="5" t="str">
        <f t="shared" si="793"/>
        <v>Propriedade destinada a juntar: é.junta.crimpada</v>
      </c>
      <c r="V1445" s="5" t="str">
        <f t="shared" si="794"/>
        <v>Dado para juntar:  junta.crimpada  Deve ser formatado como (rdfs:Literal  or  xsd:string)</v>
      </c>
      <c r="W1445" s="69" t="s">
        <v>5745</v>
      </c>
      <c r="X1445" s="17" t="str">
        <f t="shared" si="800"/>
        <v>d.junta.105</v>
      </c>
      <c r="Y1445" s="17" t="str">
        <f t="shared" si="801"/>
        <v>Ação de juntar</v>
      </c>
      <c r="Z1445" s="62" t="s">
        <v>4312</v>
      </c>
      <c r="AA1445" s="18" t="str">
        <f t="shared" si="804"/>
        <v>null</v>
      </c>
      <c r="AB1445" s="19" t="s">
        <v>0</v>
      </c>
      <c r="AC1445" s="18" t="str">
        <f t="shared" si="805"/>
        <v>null</v>
      </c>
      <c r="AD1445" s="19" t="s">
        <v>0</v>
      </c>
      <c r="AE1445" s="18" t="str">
        <f t="shared" si="806"/>
        <v>null</v>
      </c>
      <c r="AF1445" s="75" t="s">
        <v>0</v>
      </c>
      <c r="AG1445" s="38" t="s">
        <v>8619</v>
      </c>
    </row>
    <row r="1446" spans="1:33" ht="6" customHeight="1" x14ac:dyDescent="0.4">
      <c r="A1446" s="4">
        <f>ROW()</f>
        <v>1446</v>
      </c>
      <c r="B1446" s="9" t="s">
        <v>27</v>
      </c>
      <c r="C1446" s="44" t="str">
        <f t="shared" si="785"/>
        <v>p.juntar</v>
      </c>
      <c r="D1446" s="6" t="str">
        <f t="shared" si="803"/>
        <v>é.junta.de.encaixe</v>
      </c>
      <c r="E1446" s="8" t="s">
        <v>28</v>
      </c>
      <c r="F1446" s="34" t="str">
        <f t="shared" si="807"/>
        <v>d.juntar</v>
      </c>
      <c r="G1446" s="13" t="s">
        <v>729</v>
      </c>
      <c r="H1446" s="34" t="s">
        <v>1581</v>
      </c>
      <c r="I1446" s="92" t="str">
        <f t="shared" si="802"/>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93"/>
        <v>Propriedade destinada a juntar: é.junta.de.encaixe</v>
      </c>
      <c r="V1446" s="5" t="str">
        <f t="shared" si="794"/>
        <v>Dado para juntar:  junta.de.encaixe  Deve ser formatado como (rdfs:Literal  or  xsd:string)</v>
      </c>
      <c r="W1446" s="69" t="s">
        <v>5746</v>
      </c>
      <c r="X1446" s="17" t="str">
        <f t="shared" si="800"/>
        <v>d.junta.106</v>
      </c>
      <c r="Y1446" s="17" t="str">
        <f t="shared" si="801"/>
        <v>Ação de juntar</v>
      </c>
      <c r="Z1446" s="62" t="s">
        <v>4313</v>
      </c>
      <c r="AA1446" s="18" t="str">
        <f t="shared" si="804"/>
        <v>null</v>
      </c>
      <c r="AB1446" s="19" t="s">
        <v>0</v>
      </c>
      <c r="AC1446" s="18" t="str">
        <f t="shared" si="805"/>
        <v>null</v>
      </c>
      <c r="AD1446" s="19" t="s">
        <v>0</v>
      </c>
      <c r="AE1446" s="18" t="str">
        <f t="shared" si="806"/>
        <v>null</v>
      </c>
      <c r="AF1446" s="75" t="s">
        <v>0</v>
      </c>
      <c r="AG1446" s="38" t="s">
        <v>8620</v>
      </c>
    </row>
    <row r="1447" spans="1:33" ht="6" customHeight="1" x14ac:dyDescent="0.4">
      <c r="A1447" s="4">
        <f>ROW()</f>
        <v>1447</v>
      </c>
      <c r="B1447" s="9" t="s">
        <v>27</v>
      </c>
      <c r="C1447" s="44" t="str">
        <f t="shared" si="785"/>
        <v>p.juntar</v>
      </c>
      <c r="D1447" s="6" t="str">
        <f t="shared" si="803"/>
        <v>é.junta.de.aperto</v>
      </c>
      <c r="E1447" s="8" t="s">
        <v>28</v>
      </c>
      <c r="F1447" s="34" t="str">
        <f t="shared" si="807"/>
        <v>d.juntar</v>
      </c>
      <c r="G1447" s="13" t="s">
        <v>730</v>
      </c>
      <c r="H1447" s="34" t="s">
        <v>1581</v>
      </c>
      <c r="I1447" s="92" t="str">
        <f t="shared" si="802"/>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93"/>
        <v>Propriedade destinada a juntar: é.junta.de.aperto</v>
      </c>
      <c r="V1447" s="5" t="str">
        <f t="shared" si="794"/>
        <v>Dado para juntar:  junta.de.aperto  Deve ser formatado como (rdfs:Literal  or  xsd:string)</v>
      </c>
      <c r="W1447" s="69" t="s">
        <v>5747</v>
      </c>
      <c r="X1447" s="17" t="str">
        <f t="shared" si="800"/>
        <v>d.junta.107</v>
      </c>
      <c r="Y1447" s="17" t="str">
        <f t="shared" si="801"/>
        <v>Ação de juntar</v>
      </c>
      <c r="Z1447" s="62" t="s">
        <v>4314</v>
      </c>
      <c r="AA1447" s="18" t="str">
        <f t="shared" si="804"/>
        <v>null</v>
      </c>
      <c r="AB1447" s="19" t="s">
        <v>0</v>
      </c>
      <c r="AC1447" s="18" t="str">
        <f t="shared" si="805"/>
        <v>null</v>
      </c>
      <c r="AD1447" s="19" t="s">
        <v>0</v>
      </c>
      <c r="AE1447" s="18" t="str">
        <f t="shared" si="806"/>
        <v>null</v>
      </c>
      <c r="AF1447" s="75" t="s">
        <v>0</v>
      </c>
      <c r="AG1447" s="38" t="s">
        <v>8621</v>
      </c>
    </row>
    <row r="1448" spans="1:33" ht="6" customHeight="1" x14ac:dyDescent="0.4">
      <c r="A1448" s="4">
        <f>ROW()</f>
        <v>1448</v>
      </c>
      <c r="B1448" s="9" t="s">
        <v>27</v>
      </c>
      <c r="C1448" s="44" t="str">
        <f t="shared" si="785"/>
        <v>p.juntar</v>
      </c>
      <c r="D1448" s="6" t="str">
        <f t="shared" si="803"/>
        <v>é.junta.push-fit</v>
      </c>
      <c r="E1448" s="8" t="s">
        <v>28</v>
      </c>
      <c r="F1448" s="34" t="str">
        <f t="shared" si="807"/>
        <v>d.juntar</v>
      </c>
      <c r="G1448" s="13" t="s">
        <v>731</v>
      </c>
      <c r="H1448" s="34" t="s">
        <v>1581</v>
      </c>
      <c r="I1448" s="92" t="str">
        <f t="shared" si="802"/>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93"/>
        <v>Propriedade destinada a juntar: é.junta.push-fit</v>
      </c>
      <c r="V1448" s="5" t="str">
        <f t="shared" si="794"/>
        <v>Dado para juntar:  junta.push-fit  Deve ser formatado como (rdfs:Literal  or  xsd:string)</v>
      </c>
      <c r="W1448" s="69" t="s">
        <v>5748</v>
      </c>
      <c r="X1448" s="17" t="str">
        <f t="shared" si="800"/>
        <v>d.junta.108</v>
      </c>
      <c r="Y1448" s="17" t="str">
        <f t="shared" si="801"/>
        <v>Ação de juntar</v>
      </c>
      <c r="Z1448" s="62" t="s">
        <v>4315</v>
      </c>
      <c r="AA1448" s="18" t="str">
        <f t="shared" si="804"/>
        <v>null</v>
      </c>
      <c r="AB1448" s="19" t="s">
        <v>0</v>
      </c>
      <c r="AC1448" s="18" t="str">
        <f t="shared" si="805"/>
        <v>null</v>
      </c>
      <c r="AD1448" s="19" t="s">
        <v>0</v>
      </c>
      <c r="AE1448" s="18" t="str">
        <f t="shared" si="806"/>
        <v>null</v>
      </c>
      <c r="AF1448" s="75" t="s">
        <v>0</v>
      </c>
      <c r="AG1448" s="38" t="s">
        <v>8622</v>
      </c>
    </row>
    <row r="1449" spans="1:33" ht="6" customHeight="1" x14ac:dyDescent="0.4">
      <c r="A1449" s="4">
        <f>ROW()</f>
        <v>1449</v>
      </c>
      <c r="B1449" s="9" t="s">
        <v>27</v>
      </c>
      <c r="C1449" s="44" t="str">
        <f t="shared" si="785"/>
        <v>p.juntar</v>
      </c>
      <c r="D1449" s="6" t="str">
        <f t="shared" si="803"/>
        <v>é.junta.elástica</v>
      </c>
      <c r="E1449" s="8" t="s">
        <v>28</v>
      </c>
      <c r="F1449" s="34" t="str">
        <f t="shared" si="807"/>
        <v>d.juntar</v>
      </c>
      <c r="G1449" s="13" t="s">
        <v>732</v>
      </c>
      <c r="H1449" s="34" t="s">
        <v>1581</v>
      </c>
      <c r="I1449" s="92" t="str">
        <f t="shared" si="802"/>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93"/>
        <v>Propriedade destinada a juntar: é.junta.elástica</v>
      </c>
      <c r="V1449" s="5" t="str">
        <f t="shared" si="794"/>
        <v>Dado para juntar:  junta.elástica  Deve ser formatado como (rdfs:Literal  or  xsd:string)</v>
      </c>
      <c r="W1449" s="69" t="s">
        <v>5749</v>
      </c>
      <c r="X1449" s="17" t="str">
        <f t="shared" si="800"/>
        <v>d.junta.109</v>
      </c>
      <c r="Y1449" s="17" t="str">
        <f t="shared" si="801"/>
        <v>Ação de juntar</v>
      </c>
      <c r="Z1449" s="62" t="s">
        <v>4316</v>
      </c>
      <c r="AA1449" s="18" t="str">
        <f t="shared" si="804"/>
        <v>null</v>
      </c>
      <c r="AB1449" s="19" t="s">
        <v>0</v>
      </c>
      <c r="AC1449" s="18" t="str">
        <f t="shared" si="805"/>
        <v>null</v>
      </c>
      <c r="AD1449" s="19" t="s">
        <v>0</v>
      </c>
      <c r="AE1449" s="18" t="str">
        <f t="shared" si="806"/>
        <v>null</v>
      </c>
      <c r="AF1449" s="75" t="s">
        <v>0</v>
      </c>
      <c r="AG1449" s="38" t="s">
        <v>8623</v>
      </c>
    </row>
    <row r="1450" spans="1:33" ht="6" customHeight="1" x14ac:dyDescent="0.4">
      <c r="A1450" s="4">
        <f>ROW()</f>
        <v>1450</v>
      </c>
      <c r="B1450" s="9" t="s">
        <v>27</v>
      </c>
      <c r="C1450" s="44" t="str">
        <f t="shared" si="785"/>
        <v>p.juntar</v>
      </c>
      <c r="D1450" s="6" t="str">
        <f t="shared" si="803"/>
        <v>é.junta.travada.interna</v>
      </c>
      <c r="E1450" s="8" t="s">
        <v>28</v>
      </c>
      <c r="F1450" s="34" t="str">
        <f t="shared" si="807"/>
        <v>d.juntar</v>
      </c>
      <c r="G1450" s="13" t="s">
        <v>733</v>
      </c>
      <c r="H1450" s="34" t="s">
        <v>1581</v>
      </c>
      <c r="I1450" s="92" t="str">
        <f t="shared" si="802"/>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93"/>
        <v>Propriedade destinada a juntar: é.junta.travada.interna</v>
      </c>
      <c r="V1450" s="5" t="str">
        <f t="shared" si="794"/>
        <v>Dado para juntar:  junta.travada.interna  Deve ser formatado como (rdfs:Literal  or  xsd:string)</v>
      </c>
      <c r="W1450" s="69" t="s">
        <v>5750</v>
      </c>
      <c r="X1450" s="17" t="str">
        <f t="shared" si="800"/>
        <v>d.junta.110</v>
      </c>
      <c r="Y1450" s="17" t="str">
        <f t="shared" si="801"/>
        <v>Ação de juntar</v>
      </c>
      <c r="Z1450" s="62" t="s">
        <v>4317</v>
      </c>
      <c r="AA1450" s="18" t="str">
        <f t="shared" si="804"/>
        <v>null</v>
      </c>
      <c r="AB1450" s="19" t="s">
        <v>0</v>
      </c>
      <c r="AC1450" s="18" t="str">
        <f t="shared" si="805"/>
        <v>null</v>
      </c>
      <c r="AD1450" s="19" t="s">
        <v>0</v>
      </c>
      <c r="AE1450" s="18" t="str">
        <f t="shared" si="806"/>
        <v>null</v>
      </c>
      <c r="AF1450" s="75" t="s">
        <v>0</v>
      </c>
      <c r="AG1450" s="38" t="s">
        <v>8624</v>
      </c>
    </row>
    <row r="1451" spans="1:33" ht="6" customHeight="1" x14ac:dyDescent="0.4">
      <c r="A1451" s="4">
        <f>ROW()</f>
        <v>1451</v>
      </c>
      <c r="B1451" s="9" t="s">
        <v>27</v>
      </c>
      <c r="C1451" s="44" t="str">
        <f t="shared" si="785"/>
        <v>p.juntar</v>
      </c>
      <c r="D1451" s="6" t="str">
        <f t="shared" si="803"/>
        <v>é.junta.travada.externa</v>
      </c>
      <c r="E1451" s="8" t="s">
        <v>28</v>
      </c>
      <c r="F1451" s="34" t="str">
        <f t="shared" si="807"/>
        <v>d.juntar</v>
      </c>
      <c r="G1451" s="13" t="s">
        <v>734</v>
      </c>
      <c r="H1451" s="34" t="s">
        <v>1581</v>
      </c>
      <c r="I1451" s="92" t="str">
        <f t="shared" si="802"/>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93"/>
        <v>Propriedade destinada a juntar: é.junta.travada.externa</v>
      </c>
      <c r="V1451" s="5" t="str">
        <f t="shared" si="794"/>
        <v>Dado para juntar:  junta.travada.externa  Deve ser formatado como (rdfs:Literal  or  xsd:string)</v>
      </c>
      <c r="W1451" s="69" t="s">
        <v>5751</v>
      </c>
      <c r="X1451" s="17" t="str">
        <f t="shared" si="800"/>
        <v>d.junta.111</v>
      </c>
      <c r="Y1451" s="17" t="str">
        <f t="shared" si="801"/>
        <v>Ação de juntar</v>
      </c>
      <c r="Z1451" s="62" t="s">
        <v>4318</v>
      </c>
      <c r="AA1451" s="18" t="str">
        <f t="shared" si="804"/>
        <v>null</v>
      </c>
      <c r="AB1451" s="19" t="s">
        <v>0</v>
      </c>
      <c r="AC1451" s="18" t="str">
        <f t="shared" si="805"/>
        <v>null</v>
      </c>
      <c r="AD1451" s="19" t="s">
        <v>0</v>
      </c>
      <c r="AE1451" s="18" t="str">
        <f t="shared" si="806"/>
        <v>null</v>
      </c>
      <c r="AF1451" s="75" t="s">
        <v>0</v>
      </c>
      <c r="AG1451" s="38" t="s">
        <v>8625</v>
      </c>
    </row>
    <row r="1452" spans="1:33" ht="6" customHeight="1" x14ac:dyDescent="0.4">
      <c r="A1452" s="4">
        <f>ROW()</f>
        <v>1452</v>
      </c>
      <c r="B1452" s="9" t="s">
        <v>27</v>
      </c>
      <c r="C1452" s="44" t="str">
        <f t="shared" si="785"/>
        <v>p.juntar</v>
      </c>
      <c r="D1452" s="6" t="str">
        <f t="shared" si="803"/>
        <v>é.junta.mecânica</v>
      </c>
      <c r="E1452" s="8" t="s">
        <v>28</v>
      </c>
      <c r="F1452" s="34" t="str">
        <f t="shared" si="807"/>
        <v>d.juntar</v>
      </c>
      <c r="G1452" s="13" t="s">
        <v>735</v>
      </c>
      <c r="H1452" s="34" t="s">
        <v>1581</v>
      </c>
      <c r="I1452" s="92" t="str">
        <f t="shared" si="802"/>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93"/>
        <v>Propriedade destinada a juntar: é.junta.mecânica</v>
      </c>
      <c r="V1452" s="5" t="str">
        <f t="shared" si="794"/>
        <v>Dado para juntar:  junta.mecânica  Deve ser formatado como (rdfs:Literal  or  xsd:string)</v>
      </c>
      <c r="W1452" s="69" t="s">
        <v>5752</v>
      </c>
      <c r="X1452" s="17" t="str">
        <f t="shared" si="800"/>
        <v>d.junta.112</v>
      </c>
      <c r="Y1452" s="17" t="str">
        <f t="shared" si="801"/>
        <v>Ação de juntar</v>
      </c>
      <c r="Z1452" s="62" t="s">
        <v>4319</v>
      </c>
      <c r="AA1452" s="18" t="str">
        <f t="shared" si="804"/>
        <v>null</v>
      </c>
      <c r="AB1452" s="19" t="s">
        <v>0</v>
      </c>
      <c r="AC1452" s="18" t="str">
        <f t="shared" si="805"/>
        <v>null</v>
      </c>
      <c r="AD1452" s="19" t="s">
        <v>0</v>
      </c>
      <c r="AE1452" s="18" t="str">
        <f t="shared" si="806"/>
        <v>null</v>
      </c>
      <c r="AF1452" s="75" t="s">
        <v>0</v>
      </c>
      <c r="AG1452" s="38" t="s">
        <v>8626</v>
      </c>
    </row>
    <row r="1453" spans="1:33" ht="6" customHeight="1" x14ac:dyDescent="0.4">
      <c r="A1453" s="4">
        <f>ROW()</f>
        <v>1453</v>
      </c>
      <c r="B1453" s="9" t="s">
        <v>27</v>
      </c>
      <c r="C1453" s="44" t="str">
        <f t="shared" si="785"/>
        <v>p.juntar</v>
      </c>
      <c r="D1453" s="6" t="str">
        <f t="shared" si="803"/>
        <v>é.junta.smu</v>
      </c>
      <c r="E1453" s="8" t="s">
        <v>28</v>
      </c>
      <c r="F1453" s="34" t="str">
        <f t="shared" si="807"/>
        <v>d.juntar</v>
      </c>
      <c r="G1453" s="13" t="s">
        <v>736</v>
      </c>
      <c r="H1453" s="34" t="s">
        <v>1581</v>
      </c>
      <c r="I1453" s="92" t="str">
        <f t="shared" si="802"/>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93"/>
        <v>Propriedade destinada a juntar: é.junta.smu</v>
      </c>
      <c r="V1453" s="5" t="str">
        <f t="shared" si="794"/>
        <v>Dado para juntar:  junta.smu  Deve ser formatado como (rdfs:Literal  or  xsd:string)</v>
      </c>
      <c r="W1453" s="69" t="s">
        <v>5753</v>
      </c>
      <c r="X1453" s="17" t="str">
        <f t="shared" si="800"/>
        <v>d.junta.113</v>
      </c>
      <c r="Y1453" s="17" t="str">
        <f t="shared" si="801"/>
        <v>Ação de juntar</v>
      </c>
      <c r="Z1453" s="62" t="s">
        <v>4320</v>
      </c>
      <c r="AA1453" s="18" t="str">
        <f t="shared" si="804"/>
        <v>null</v>
      </c>
      <c r="AB1453" s="19" t="s">
        <v>0</v>
      </c>
      <c r="AC1453" s="18" t="str">
        <f t="shared" si="805"/>
        <v>null</v>
      </c>
      <c r="AD1453" s="19" t="s">
        <v>0</v>
      </c>
      <c r="AE1453" s="18" t="str">
        <f t="shared" si="806"/>
        <v>null</v>
      </c>
      <c r="AF1453" s="75" t="s">
        <v>0</v>
      </c>
      <c r="AG1453" s="38" t="s">
        <v>8627</v>
      </c>
    </row>
    <row r="1454" spans="1:33" ht="6" customHeight="1" x14ac:dyDescent="0.4">
      <c r="A1454" s="4">
        <f>ROW()</f>
        <v>1454</v>
      </c>
      <c r="B1454" s="9" t="s">
        <v>27</v>
      </c>
      <c r="C1454" s="43" t="str">
        <f t="shared" si="785"/>
        <v>p.legislar</v>
      </c>
      <c r="D1454" s="6" t="str">
        <f t="shared" ref="D1454:D1475" si="808">_xlfn.CONCAT("é.",G1454)</f>
        <v>é.artigo</v>
      </c>
      <c r="E1454" s="8" t="s">
        <v>28</v>
      </c>
      <c r="F1454" s="41" t="s">
        <v>2198</v>
      </c>
      <c r="G1454" s="13" t="s">
        <v>193</v>
      </c>
      <c r="H1454" s="34" t="s">
        <v>1581</v>
      </c>
      <c r="I1454" s="92" t="str">
        <f t="shared" si="802"/>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ref="U1454:U1475" si="809">_xlfn.CONCAT("Propriedade destinada a ",MID(C1454,FIND("p.",C1454,1)+2,100),": ",D1454)</f>
        <v>Propriedade destinada a legislar: é.artigo</v>
      </c>
      <c r="V1454" s="5" t="str">
        <f t="shared" ref="V1454:V1475" si="810">_xlfn.CONCAT("Dado para ",MID(F1454,FIND("d.",F1454,1)+2,100),":  ",G1454, "  Deve ser formatado como (",H1454, ")")</f>
        <v>Dado para legislar:  artigo  Deve ser formatado como (rdfs:Literal  or  xsd:string)</v>
      </c>
      <c r="W1454" s="69" t="s">
        <v>5765</v>
      </c>
      <c r="X1454" s="17" t="str">
        <f t="shared" si="800"/>
        <v>d.legis.100</v>
      </c>
      <c r="Y1454" s="17" t="str">
        <f t="shared" si="801"/>
        <v>Ação de legislar</v>
      </c>
      <c r="Z1454" s="62" t="s">
        <v>4332</v>
      </c>
      <c r="AA1454" s="18" t="str">
        <f t="shared" ref="AA1454:AA1475" si="811">IF(AB1454="null", "null", "categoria.revit")</f>
        <v>null</v>
      </c>
      <c r="AB1454" s="19" t="s">
        <v>0</v>
      </c>
      <c r="AC1454" s="18" t="str">
        <f t="shared" ref="AC1454:AC1475" si="812">IF(AD1454="null", "null", "classe.ifc")</f>
        <v>null</v>
      </c>
      <c r="AD1454" s="19" t="s">
        <v>0</v>
      </c>
      <c r="AE1454" s="18" t="str">
        <f t="shared" ref="AE1454:AE1475" si="813">IF(AF1454="null", "null", "propriedade")</f>
        <v>null</v>
      </c>
      <c r="AF1454" s="75" t="s">
        <v>0</v>
      </c>
      <c r="AG1454" s="38" t="s">
        <v>8639</v>
      </c>
    </row>
    <row r="1455" spans="1:33" ht="6" customHeight="1" x14ac:dyDescent="0.4">
      <c r="A1455" s="4">
        <f>ROW()</f>
        <v>1455</v>
      </c>
      <c r="B1455" s="9" t="s">
        <v>27</v>
      </c>
      <c r="C1455" s="44" t="str">
        <f t="shared" ref="C1455:C1475" si="814">SUBSTITUTE(F1455,"d.","p.")</f>
        <v>p.legislar</v>
      </c>
      <c r="D1455" s="6" t="str">
        <f t="shared" si="808"/>
        <v>é.assinatura</v>
      </c>
      <c r="E1455" s="8" t="s">
        <v>28</v>
      </c>
      <c r="F1455" s="34" t="str">
        <f t="shared" ref="F1455:F1475" si="815">F1454</f>
        <v>d.legislar</v>
      </c>
      <c r="G1455" s="13" t="s">
        <v>198</v>
      </c>
      <c r="H1455" s="34" t="s">
        <v>1581</v>
      </c>
      <c r="I1455" s="92" t="str">
        <f t="shared" si="802"/>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809"/>
        <v>Propriedade destinada a legislar: é.assinatura</v>
      </c>
      <c r="V1455" s="5" t="str">
        <f t="shared" si="810"/>
        <v>Dado para legislar:  assinatura  Deve ser formatado como (rdfs:Literal  or  xsd:string)</v>
      </c>
      <c r="W1455" s="69" t="s">
        <v>5768</v>
      </c>
      <c r="X1455" s="17" t="str">
        <f t="shared" si="800"/>
        <v>d.legis.101</v>
      </c>
      <c r="Y1455" s="17" t="str">
        <f t="shared" si="801"/>
        <v>Ação de legislar</v>
      </c>
      <c r="Z1455" s="62" t="s">
        <v>4335</v>
      </c>
      <c r="AA1455" s="18" t="str">
        <f t="shared" si="811"/>
        <v>null</v>
      </c>
      <c r="AB1455" s="19" t="s">
        <v>0</v>
      </c>
      <c r="AC1455" s="18" t="str">
        <f t="shared" si="812"/>
        <v>null</v>
      </c>
      <c r="AD1455" s="19" t="s">
        <v>0</v>
      </c>
      <c r="AE1455" s="18" t="str">
        <f t="shared" si="813"/>
        <v>null</v>
      </c>
      <c r="AF1455" s="75" t="s">
        <v>0</v>
      </c>
      <c r="AG1455" s="38" t="s">
        <v>8642</v>
      </c>
    </row>
    <row r="1456" spans="1:33" ht="6" customHeight="1" x14ac:dyDescent="0.4">
      <c r="A1456" s="4">
        <f>ROW()</f>
        <v>1456</v>
      </c>
      <c r="B1456" s="9" t="s">
        <v>27</v>
      </c>
      <c r="C1456" s="44" t="str">
        <f t="shared" si="814"/>
        <v>p.legislar</v>
      </c>
      <c r="D1456" s="6" t="str">
        <f t="shared" si="808"/>
        <v>é.assunto</v>
      </c>
      <c r="E1456" s="8" t="s">
        <v>28</v>
      </c>
      <c r="F1456" s="34" t="str">
        <f t="shared" si="815"/>
        <v>d.legislar</v>
      </c>
      <c r="G1456" s="14" t="s">
        <v>242</v>
      </c>
      <c r="H1456" s="33" t="s">
        <v>1581</v>
      </c>
      <c r="I1456" s="92" t="str">
        <f t="shared" si="802"/>
        <v>null</v>
      </c>
      <c r="J1456" s="82" t="s">
        <v>0</v>
      </c>
      <c r="K1456" s="82" t="s">
        <v>0</v>
      </c>
      <c r="L1456" s="82" t="s">
        <v>0</v>
      </c>
      <c r="M1456" s="82" t="s">
        <v>0</v>
      </c>
      <c r="N1456" s="80" t="s">
        <v>0</v>
      </c>
      <c r="O1456" s="82" t="s">
        <v>0</v>
      </c>
      <c r="P1456" s="82" t="s">
        <v>0</v>
      </c>
      <c r="Q1456" s="82" t="s">
        <v>0</v>
      </c>
      <c r="R1456" s="84" t="s">
        <v>0</v>
      </c>
      <c r="S1456" s="10" t="s">
        <v>1</v>
      </c>
      <c r="T1456" s="10" t="s">
        <v>10221</v>
      </c>
      <c r="U1456" s="5" t="str">
        <f t="shared" si="809"/>
        <v>Propriedade destinada a legislar: é.assunto</v>
      </c>
      <c r="V1456" s="5" t="str">
        <f t="shared" si="810"/>
        <v>Dado para legislar:  assunto  Deve ser formatado como (rdfs:Literal  or  xsd:string)</v>
      </c>
      <c r="W1456" s="69" t="s">
        <v>5769</v>
      </c>
      <c r="X1456" s="17" t="str">
        <f t="shared" si="800"/>
        <v>d.legis.102</v>
      </c>
      <c r="Y1456" s="17" t="str">
        <f t="shared" si="801"/>
        <v>Ação de legislar</v>
      </c>
      <c r="Z1456" s="62" t="s">
        <v>4337</v>
      </c>
      <c r="AA1456" s="18" t="str">
        <f t="shared" si="811"/>
        <v>null</v>
      </c>
      <c r="AB1456" s="19" t="s">
        <v>0</v>
      </c>
      <c r="AC1456" s="18" t="str">
        <f t="shared" si="812"/>
        <v>null</v>
      </c>
      <c r="AD1456" s="19" t="s">
        <v>0</v>
      </c>
      <c r="AE1456" s="18" t="str">
        <f t="shared" si="813"/>
        <v>null</v>
      </c>
      <c r="AF1456" s="75" t="s">
        <v>0</v>
      </c>
      <c r="AG1456" s="38" t="s">
        <v>8644</v>
      </c>
    </row>
    <row r="1457" spans="1:33" ht="6" customHeight="1" x14ac:dyDescent="0.4">
      <c r="A1457" s="4">
        <f>ROW()</f>
        <v>1457</v>
      </c>
      <c r="B1457" s="9" t="s">
        <v>27</v>
      </c>
      <c r="C1457" s="44" t="str">
        <f t="shared" si="814"/>
        <v>p.legislar</v>
      </c>
      <c r="D1457" s="6" t="str">
        <f t="shared" si="808"/>
        <v>é.cláusula</v>
      </c>
      <c r="E1457" s="8" t="s">
        <v>28</v>
      </c>
      <c r="F1457" s="34" t="str">
        <f t="shared" si="815"/>
        <v>d.legislar</v>
      </c>
      <c r="G1457" s="13" t="s">
        <v>199</v>
      </c>
      <c r="H1457" s="34" t="s">
        <v>1581</v>
      </c>
      <c r="I1457" s="92" t="str">
        <f t="shared" si="802"/>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809"/>
        <v>Propriedade destinada a legislar: é.cláusula</v>
      </c>
      <c r="V1457" s="5" t="str">
        <f t="shared" si="810"/>
        <v>Dado para legislar:  cláusula  Deve ser formatado como (rdfs:Literal  or  xsd:string)</v>
      </c>
      <c r="W1457" s="69" t="s">
        <v>5767</v>
      </c>
      <c r="X1457" s="17" t="str">
        <f t="shared" si="800"/>
        <v>d.legis.103</v>
      </c>
      <c r="Y1457" s="17" t="str">
        <f t="shared" si="801"/>
        <v>Ação de legislar</v>
      </c>
      <c r="Z1457" s="62" t="s">
        <v>4334</v>
      </c>
      <c r="AA1457" s="18" t="str">
        <f t="shared" si="811"/>
        <v>null</v>
      </c>
      <c r="AB1457" s="19" t="s">
        <v>0</v>
      </c>
      <c r="AC1457" s="18" t="str">
        <f t="shared" si="812"/>
        <v>null</v>
      </c>
      <c r="AD1457" s="19" t="s">
        <v>0</v>
      </c>
      <c r="AE1457" s="18" t="str">
        <f t="shared" si="813"/>
        <v>null</v>
      </c>
      <c r="AF1457" s="75" t="s">
        <v>0</v>
      </c>
      <c r="AG1457" s="38" t="s">
        <v>8641</v>
      </c>
    </row>
    <row r="1458" spans="1:33" ht="6" customHeight="1" x14ac:dyDescent="0.4">
      <c r="A1458" s="4">
        <f>ROW()</f>
        <v>1458</v>
      </c>
      <c r="B1458" s="9" t="s">
        <v>27</v>
      </c>
      <c r="C1458" s="44" t="str">
        <f t="shared" si="814"/>
        <v>p.legislar</v>
      </c>
      <c r="D1458" s="6" t="str">
        <f t="shared" si="808"/>
        <v>é.código.jurídico</v>
      </c>
      <c r="E1458" s="8" t="s">
        <v>28</v>
      </c>
      <c r="F1458" s="34" t="str">
        <f t="shared" si="815"/>
        <v>d.legislar</v>
      </c>
      <c r="G1458" s="14" t="s">
        <v>1753</v>
      </c>
      <c r="H1458" s="33" t="s">
        <v>1581</v>
      </c>
      <c r="I1458" s="92" t="str">
        <f t="shared" si="802"/>
        <v>null</v>
      </c>
      <c r="J1458" s="82" t="s">
        <v>0</v>
      </c>
      <c r="K1458" s="82" t="s">
        <v>0</v>
      </c>
      <c r="L1458" s="82" t="s">
        <v>0</v>
      </c>
      <c r="M1458" s="82" t="s">
        <v>0</v>
      </c>
      <c r="N1458" s="80" t="s">
        <v>0</v>
      </c>
      <c r="O1458" s="82" t="s">
        <v>0</v>
      </c>
      <c r="P1458" s="82" t="s">
        <v>0</v>
      </c>
      <c r="Q1458" s="82" t="s">
        <v>0</v>
      </c>
      <c r="R1458" s="84" t="s">
        <v>0</v>
      </c>
      <c r="S1458" s="10" t="s">
        <v>1</v>
      </c>
      <c r="T1458" s="10" t="s">
        <v>10221</v>
      </c>
      <c r="U1458" s="5" t="str">
        <f t="shared" si="809"/>
        <v>Propriedade destinada a legislar: é.código.jurídico</v>
      </c>
      <c r="V1458" s="5" t="str">
        <f t="shared" si="810"/>
        <v>Dado para legislar:  código.jurídico  Deve ser formatado como (rdfs:Literal  or  xsd:string)</v>
      </c>
      <c r="W1458" s="69" t="s">
        <v>5755</v>
      </c>
      <c r="X1458" s="17" t="str">
        <f t="shared" si="800"/>
        <v>d.legis.104</v>
      </c>
      <c r="Y1458" s="17" t="str">
        <f t="shared" si="801"/>
        <v>Ação de legislar</v>
      </c>
      <c r="Z1458" s="62" t="s">
        <v>4322</v>
      </c>
      <c r="AA1458" s="18" t="str">
        <f t="shared" si="811"/>
        <v>null</v>
      </c>
      <c r="AB1458" s="19" t="s">
        <v>0</v>
      </c>
      <c r="AC1458" s="18" t="str">
        <f t="shared" si="812"/>
        <v>null</v>
      </c>
      <c r="AD1458" s="19" t="s">
        <v>0</v>
      </c>
      <c r="AE1458" s="18" t="str">
        <f t="shared" si="813"/>
        <v>null</v>
      </c>
      <c r="AF1458" s="75" t="s">
        <v>0</v>
      </c>
      <c r="AG1458" s="38" t="s">
        <v>8629</v>
      </c>
    </row>
    <row r="1459" spans="1:33" ht="6" customHeight="1" x14ac:dyDescent="0.4">
      <c r="A1459" s="4">
        <f>ROW()</f>
        <v>1459</v>
      </c>
      <c r="B1459" s="9" t="s">
        <v>27</v>
      </c>
      <c r="C1459" s="44" t="str">
        <f t="shared" si="814"/>
        <v>p.legislar</v>
      </c>
      <c r="D1459" s="6" t="str">
        <f t="shared" si="808"/>
        <v>é.decreto</v>
      </c>
      <c r="E1459" s="8" t="s">
        <v>28</v>
      </c>
      <c r="F1459" s="34" t="str">
        <f t="shared" si="815"/>
        <v>d.legislar</v>
      </c>
      <c r="G1459" s="14" t="s">
        <v>1749</v>
      </c>
      <c r="H1459" s="33" t="s">
        <v>1581</v>
      </c>
      <c r="I1459" s="92" t="str">
        <f t="shared" si="802"/>
        <v>null</v>
      </c>
      <c r="J1459" s="82" t="s">
        <v>0</v>
      </c>
      <c r="K1459" s="82" t="s">
        <v>0</v>
      </c>
      <c r="L1459" s="82" t="s">
        <v>0</v>
      </c>
      <c r="M1459" s="82" t="s">
        <v>0</v>
      </c>
      <c r="N1459" s="80" t="s">
        <v>0</v>
      </c>
      <c r="O1459" s="82" t="s">
        <v>0</v>
      </c>
      <c r="P1459" s="82" t="s">
        <v>0</v>
      </c>
      <c r="Q1459" s="82" t="s">
        <v>0</v>
      </c>
      <c r="R1459" s="84" t="s">
        <v>0</v>
      </c>
      <c r="S1459" s="10" t="s">
        <v>1</v>
      </c>
      <c r="T1459" s="10" t="s">
        <v>10221</v>
      </c>
      <c r="U1459" s="5" t="str">
        <f t="shared" si="809"/>
        <v>Propriedade destinada a legislar: é.decreto</v>
      </c>
      <c r="V1459" s="5" t="str">
        <f t="shared" si="810"/>
        <v>Dado para legislar:  decreto  Deve ser formatado como (rdfs:Literal  or  xsd:string)</v>
      </c>
      <c r="W1459" s="69" t="s">
        <v>5757</v>
      </c>
      <c r="X1459" s="17" t="str">
        <f t="shared" si="800"/>
        <v>d.legis.105</v>
      </c>
      <c r="Y1459" s="17" t="str">
        <f t="shared" si="801"/>
        <v>Ação de legislar</v>
      </c>
      <c r="Z1459" s="62" t="s">
        <v>4324</v>
      </c>
      <c r="AA1459" s="18" t="str">
        <f t="shared" si="811"/>
        <v>null</v>
      </c>
      <c r="AB1459" s="19" t="s">
        <v>0</v>
      </c>
      <c r="AC1459" s="18" t="str">
        <f t="shared" si="812"/>
        <v>null</v>
      </c>
      <c r="AD1459" s="19" t="s">
        <v>0</v>
      </c>
      <c r="AE1459" s="18" t="str">
        <f t="shared" si="813"/>
        <v>null</v>
      </c>
      <c r="AF1459" s="75" t="s">
        <v>0</v>
      </c>
      <c r="AG1459" s="38" t="s">
        <v>8631</v>
      </c>
    </row>
    <row r="1460" spans="1:33" ht="6" customHeight="1" x14ac:dyDescent="0.4">
      <c r="A1460" s="4">
        <f>ROW()</f>
        <v>1460</v>
      </c>
      <c r="B1460" s="9" t="s">
        <v>27</v>
      </c>
      <c r="C1460" s="44" t="str">
        <f t="shared" si="814"/>
        <v>p.legislar</v>
      </c>
      <c r="D1460" s="6" t="str">
        <f t="shared" si="808"/>
        <v>é.disposição</v>
      </c>
      <c r="E1460" s="8" t="s">
        <v>28</v>
      </c>
      <c r="F1460" s="34" t="str">
        <f t="shared" si="815"/>
        <v>d.legislar</v>
      </c>
      <c r="G1460" s="13" t="s">
        <v>197</v>
      </c>
      <c r="H1460" s="34" t="s">
        <v>1581</v>
      </c>
      <c r="I1460" s="92" t="str">
        <f t="shared" si="802"/>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809"/>
        <v>Propriedade destinada a legislar: é.disposição</v>
      </c>
      <c r="V1460" s="5" t="str">
        <f t="shared" si="810"/>
        <v>Dado para legislar:  disposição  Deve ser formatado como (rdfs:Literal  or  xsd:string)</v>
      </c>
      <c r="W1460" s="69" t="s">
        <v>9749</v>
      </c>
      <c r="X1460" s="17" t="str">
        <f t="shared" si="800"/>
        <v>d.legis.106</v>
      </c>
      <c r="Y1460" s="17" t="str">
        <f t="shared" si="801"/>
        <v>Ação de legislar</v>
      </c>
      <c r="Z1460" s="62" t="s">
        <v>9760</v>
      </c>
      <c r="AA1460" s="18" t="str">
        <f t="shared" si="811"/>
        <v>null</v>
      </c>
      <c r="AB1460" s="19" t="s">
        <v>0</v>
      </c>
      <c r="AC1460" s="18" t="str">
        <f t="shared" si="812"/>
        <v>null</v>
      </c>
      <c r="AD1460" s="19" t="s">
        <v>0</v>
      </c>
      <c r="AE1460" s="18" t="str">
        <f t="shared" si="813"/>
        <v>null</v>
      </c>
      <c r="AF1460" s="75" t="s">
        <v>0</v>
      </c>
      <c r="AG1460" s="38" t="s">
        <v>9756</v>
      </c>
    </row>
    <row r="1461" spans="1:33" ht="6" customHeight="1" x14ac:dyDescent="0.4">
      <c r="A1461" s="4">
        <f>ROW()</f>
        <v>1461</v>
      </c>
      <c r="B1461" s="9" t="s">
        <v>27</v>
      </c>
      <c r="C1461" s="44" t="str">
        <f t="shared" si="814"/>
        <v>p.legislar</v>
      </c>
      <c r="D1461" s="6" t="str">
        <f t="shared" si="808"/>
        <v>é.ementa.da.lei</v>
      </c>
      <c r="E1461" s="8" t="s">
        <v>28</v>
      </c>
      <c r="F1461" s="34" t="str">
        <f t="shared" si="815"/>
        <v>d.legislar</v>
      </c>
      <c r="G1461" s="13" t="s">
        <v>7397</v>
      </c>
      <c r="H1461" s="34" t="s">
        <v>1581</v>
      </c>
      <c r="I1461" s="92" t="str">
        <f t="shared" si="802"/>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809"/>
        <v>Propriedade destinada a legislar: é.ementa.da.lei</v>
      </c>
      <c r="V1461" s="5" t="str">
        <f t="shared" si="810"/>
        <v>Dado para legislar:  ementa.da.lei  Deve ser formatado como (rdfs:Literal  or  xsd:string)</v>
      </c>
      <c r="W1461" s="69" t="s">
        <v>5762</v>
      </c>
      <c r="X1461" s="17" t="str">
        <f t="shared" si="800"/>
        <v>d.legis.107</v>
      </c>
      <c r="Y1461" s="17" t="str">
        <f t="shared" si="801"/>
        <v>Ação de legislar</v>
      </c>
      <c r="Z1461" s="62" t="s">
        <v>4329</v>
      </c>
      <c r="AA1461" s="18" t="str">
        <f t="shared" si="811"/>
        <v>null</v>
      </c>
      <c r="AB1461" s="19" t="s">
        <v>0</v>
      </c>
      <c r="AC1461" s="18" t="str">
        <f t="shared" si="812"/>
        <v>null</v>
      </c>
      <c r="AD1461" s="19" t="s">
        <v>0</v>
      </c>
      <c r="AE1461" s="18" t="str">
        <f t="shared" si="813"/>
        <v>null</v>
      </c>
      <c r="AF1461" s="75" t="s">
        <v>0</v>
      </c>
      <c r="AG1461" s="38" t="s">
        <v>8636</v>
      </c>
    </row>
    <row r="1462" spans="1:33" ht="6" customHeight="1" x14ac:dyDescent="0.4">
      <c r="A1462" s="4">
        <f>ROW()</f>
        <v>1462</v>
      </c>
      <c r="B1462" s="9" t="s">
        <v>27</v>
      </c>
      <c r="C1462" s="44" t="str">
        <f t="shared" si="814"/>
        <v>p.legislar</v>
      </c>
      <c r="D1462" s="6" t="str">
        <f t="shared" si="808"/>
        <v>é.esfera</v>
      </c>
      <c r="E1462" s="8" t="s">
        <v>28</v>
      </c>
      <c r="F1462" s="34" t="str">
        <f t="shared" si="815"/>
        <v>d.legislar</v>
      </c>
      <c r="G1462" s="14" t="s">
        <v>40</v>
      </c>
      <c r="H1462" s="33" t="s">
        <v>1581</v>
      </c>
      <c r="I1462" s="92" t="str">
        <f t="shared" si="802"/>
        <v>null</v>
      </c>
      <c r="J1462" s="82" t="s">
        <v>0</v>
      </c>
      <c r="K1462" s="82" t="s">
        <v>0</v>
      </c>
      <c r="L1462" s="82" t="s">
        <v>0</v>
      </c>
      <c r="M1462" s="82" t="s">
        <v>0</v>
      </c>
      <c r="N1462" s="80" t="s">
        <v>0</v>
      </c>
      <c r="O1462" s="82" t="s">
        <v>0</v>
      </c>
      <c r="P1462" s="82" t="s">
        <v>0</v>
      </c>
      <c r="Q1462" s="82" t="s">
        <v>0</v>
      </c>
      <c r="R1462" s="84" t="s">
        <v>0</v>
      </c>
      <c r="S1462" s="10" t="s">
        <v>1</v>
      </c>
      <c r="T1462" s="10" t="s">
        <v>10221</v>
      </c>
      <c r="U1462" s="5" t="str">
        <f t="shared" si="809"/>
        <v>Propriedade destinada a legislar: é.esfera</v>
      </c>
      <c r="V1462" s="5" t="str">
        <f t="shared" si="810"/>
        <v>Dado para legislar:  esfera  Deve ser formatado como (rdfs:Literal  or  xsd:string)</v>
      </c>
      <c r="W1462" s="69" t="s">
        <v>5754</v>
      </c>
      <c r="X1462" s="17" t="str">
        <f t="shared" si="800"/>
        <v>d.legis.108</v>
      </c>
      <c r="Y1462" s="17" t="str">
        <f t="shared" si="801"/>
        <v>Ação de legislar</v>
      </c>
      <c r="Z1462" s="62" t="s">
        <v>4321</v>
      </c>
      <c r="AA1462" s="18" t="str">
        <f t="shared" si="811"/>
        <v>null</v>
      </c>
      <c r="AB1462" s="19" t="s">
        <v>0</v>
      </c>
      <c r="AC1462" s="18" t="str">
        <f t="shared" si="812"/>
        <v>null</v>
      </c>
      <c r="AD1462" s="19" t="s">
        <v>0</v>
      </c>
      <c r="AE1462" s="18" t="str">
        <f t="shared" si="813"/>
        <v>null</v>
      </c>
      <c r="AF1462" s="75" t="s">
        <v>0</v>
      </c>
      <c r="AG1462" s="38" t="s">
        <v>8628</v>
      </c>
    </row>
    <row r="1463" spans="1:33" ht="6" customHeight="1" x14ac:dyDescent="0.4">
      <c r="A1463" s="4">
        <f>ROW()</f>
        <v>1463</v>
      </c>
      <c r="B1463" s="9" t="s">
        <v>27</v>
      </c>
      <c r="C1463" s="44" t="str">
        <f t="shared" si="814"/>
        <v>p.legislar</v>
      </c>
      <c r="D1463" s="6" t="str">
        <f t="shared" si="808"/>
        <v>é.inciso</v>
      </c>
      <c r="E1463" s="8" t="s">
        <v>28</v>
      </c>
      <c r="F1463" s="34" t="str">
        <f t="shared" si="815"/>
        <v>d.legislar</v>
      </c>
      <c r="G1463" s="13" t="s">
        <v>194</v>
      </c>
      <c r="H1463" s="34" t="s">
        <v>1581</v>
      </c>
      <c r="I1463" s="92" t="str">
        <f t="shared" si="802"/>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9"/>
        <v>Propriedade destinada a legislar: é.inciso</v>
      </c>
      <c r="V1463" s="5" t="str">
        <f t="shared" si="810"/>
        <v>Dado para legislar:  inciso  Deve ser formatado como (rdfs:Literal  or  xsd:string)</v>
      </c>
      <c r="W1463" s="69" t="s">
        <v>5766</v>
      </c>
      <c r="X1463" s="17" t="str">
        <f t="shared" si="800"/>
        <v>d.legis.109</v>
      </c>
      <c r="Y1463" s="17" t="str">
        <f t="shared" si="801"/>
        <v>Ação de legislar</v>
      </c>
      <c r="Z1463" s="62" t="s">
        <v>4333</v>
      </c>
      <c r="AA1463" s="18" t="str">
        <f t="shared" si="811"/>
        <v>null</v>
      </c>
      <c r="AB1463" s="19" t="s">
        <v>0</v>
      </c>
      <c r="AC1463" s="18" t="str">
        <f t="shared" si="812"/>
        <v>null</v>
      </c>
      <c r="AD1463" s="19" t="s">
        <v>0</v>
      </c>
      <c r="AE1463" s="18" t="str">
        <f t="shared" si="813"/>
        <v>null</v>
      </c>
      <c r="AF1463" s="75" t="s">
        <v>0</v>
      </c>
      <c r="AG1463" s="38" t="s">
        <v>8640</v>
      </c>
    </row>
    <row r="1464" spans="1:33" ht="6" customHeight="1" x14ac:dyDescent="0.4">
      <c r="A1464" s="4">
        <f>ROW()</f>
        <v>1464</v>
      </c>
      <c r="B1464" s="9" t="s">
        <v>27</v>
      </c>
      <c r="C1464" s="44" t="str">
        <f t="shared" si="814"/>
        <v>p.legislar</v>
      </c>
      <c r="D1464" s="6" t="str">
        <f t="shared" si="808"/>
        <v>é.lei</v>
      </c>
      <c r="E1464" s="8" t="s">
        <v>28</v>
      </c>
      <c r="F1464" s="34" t="str">
        <f t="shared" si="815"/>
        <v>d.legislar</v>
      </c>
      <c r="G1464" s="14" t="s">
        <v>1748</v>
      </c>
      <c r="H1464" s="33" t="s">
        <v>1581</v>
      </c>
      <c r="I1464" s="92" t="str">
        <f t="shared" si="802"/>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9"/>
        <v>Propriedade destinada a legislar: é.lei</v>
      </c>
      <c r="V1464" s="5" t="str">
        <f t="shared" si="810"/>
        <v>Dado para legislar:  lei  Deve ser formatado como (rdfs:Literal  or  xsd:string)</v>
      </c>
      <c r="W1464" s="69" t="s">
        <v>5756</v>
      </c>
      <c r="X1464" s="17" t="str">
        <f t="shared" si="800"/>
        <v>d.legis.110</v>
      </c>
      <c r="Y1464" s="17" t="str">
        <f t="shared" si="801"/>
        <v>Ação de legislar</v>
      </c>
      <c r="Z1464" s="62" t="s">
        <v>4323</v>
      </c>
      <c r="AA1464" s="18" t="str">
        <f t="shared" si="811"/>
        <v>null</v>
      </c>
      <c r="AB1464" s="19" t="s">
        <v>0</v>
      </c>
      <c r="AC1464" s="18" t="str">
        <f t="shared" si="812"/>
        <v>null</v>
      </c>
      <c r="AD1464" s="19" t="s">
        <v>0</v>
      </c>
      <c r="AE1464" s="18" t="str">
        <f t="shared" si="813"/>
        <v>null</v>
      </c>
      <c r="AF1464" s="75" t="s">
        <v>0</v>
      </c>
      <c r="AG1464" s="38" t="s">
        <v>8630</v>
      </c>
    </row>
    <row r="1465" spans="1:33" ht="6" customHeight="1" x14ac:dyDescent="0.4">
      <c r="A1465" s="4">
        <f>ROW()</f>
        <v>1465</v>
      </c>
      <c r="B1465" s="9" t="s">
        <v>27</v>
      </c>
      <c r="C1465" s="44" t="str">
        <f t="shared" si="814"/>
        <v>p.legislar</v>
      </c>
      <c r="D1465" s="6" t="str">
        <f t="shared" si="808"/>
        <v>é.poder</v>
      </c>
      <c r="E1465" s="8" t="s">
        <v>28</v>
      </c>
      <c r="F1465" s="34" t="str">
        <f t="shared" si="815"/>
        <v>d.legislar</v>
      </c>
      <c r="G1465" s="14" t="s">
        <v>41</v>
      </c>
      <c r="H1465" s="33" t="s">
        <v>1581</v>
      </c>
      <c r="I1465" s="92" t="str">
        <f t="shared" si="802"/>
        <v>null</v>
      </c>
      <c r="J1465" s="82" t="s">
        <v>0</v>
      </c>
      <c r="K1465" s="82" t="s">
        <v>0</v>
      </c>
      <c r="L1465" s="82" t="s">
        <v>0</v>
      </c>
      <c r="M1465" s="82" t="s">
        <v>0</v>
      </c>
      <c r="N1465" s="80" t="s">
        <v>0</v>
      </c>
      <c r="O1465" s="82" t="s">
        <v>0</v>
      </c>
      <c r="P1465" s="82" t="s">
        <v>0</v>
      </c>
      <c r="Q1465" s="82" t="s">
        <v>0</v>
      </c>
      <c r="R1465" s="84" t="s">
        <v>0</v>
      </c>
      <c r="S1465" s="10" t="s">
        <v>1</v>
      </c>
      <c r="T1465" s="10" t="s">
        <v>10221</v>
      </c>
      <c r="U1465" s="5" t="str">
        <f t="shared" si="809"/>
        <v>Propriedade destinada a legislar: é.poder</v>
      </c>
      <c r="V1465" s="5" t="str">
        <f t="shared" si="810"/>
        <v>Dado para legislar:  poder  Deve ser formatado como (rdfs:Literal  or  xsd:string)</v>
      </c>
      <c r="W1465" s="69" t="s">
        <v>5760</v>
      </c>
      <c r="X1465" s="17" t="str">
        <f t="shared" si="800"/>
        <v>d.legis.111</v>
      </c>
      <c r="Y1465" s="17" t="str">
        <f t="shared" si="801"/>
        <v>Ação de legislar</v>
      </c>
      <c r="Z1465" s="62" t="s">
        <v>4327</v>
      </c>
      <c r="AA1465" s="18" t="str">
        <f t="shared" si="811"/>
        <v>null</v>
      </c>
      <c r="AB1465" s="19" t="s">
        <v>0</v>
      </c>
      <c r="AC1465" s="18" t="str">
        <f t="shared" si="812"/>
        <v>null</v>
      </c>
      <c r="AD1465" s="19" t="s">
        <v>0</v>
      </c>
      <c r="AE1465" s="18" t="str">
        <f t="shared" si="813"/>
        <v>null</v>
      </c>
      <c r="AF1465" s="75" t="s">
        <v>0</v>
      </c>
      <c r="AG1465" s="38" t="s">
        <v>8634</v>
      </c>
    </row>
    <row r="1466" spans="1:33" ht="6" customHeight="1" x14ac:dyDescent="0.4">
      <c r="A1466" s="4">
        <f>ROW()</f>
        <v>1466</v>
      </c>
      <c r="B1466" s="9" t="s">
        <v>27</v>
      </c>
      <c r="C1466" s="44" t="str">
        <f t="shared" si="814"/>
        <v>p.legislar</v>
      </c>
      <c r="D1466" s="6" t="str">
        <f t="shared" si="808"/>
        <v>é.portaria</v>
      </c>
      <c r="E1466" s="8" t="s">
        <v>28</v>
      </c>
      <c r="F1466" s="34" t="str">
        <f t="shared" si="815"/>
        <v>d.legislar</v>
      </c>
      <c r="G1466" s="13" t="s">
        <v>204</v>
      </c>
      <c r="H1466" s="34" t="s">
        <v>1581</v>
      </c>
      <c r="I1466" s="92" t="str">
        <f t="shared" si="802"/>
        <v>null</v>
      </c>
      <c r="J1466" s="80" t="s">
        <v>0</v>
      </c>
      <c r="K1466" s="80" t="s">
        <v>0</v>
      </c>
      <c r="L1466" s="80" t="s">
        <v>0</v>
      </c>
      <c r="M1466" s="80" t="s">
        <v>0</v>
      </c>
      <c r="N1466" s="80" t="s">
        <v>0</v>
      </c>
      <c r="O1466" s="80" t="s">
        <v>0</v>
      </c>
      <c r="P1466" s="80" t="s">
        <v>0</v>
      </c>
      <c r="Q1466" s="80" t="s">
        <v>0</v>
      </c>
      <c r="R1466" s="84" t="s">
        <v>0</v>
      </c>
      <c r="S1466" s="10" t="s">
        <v>1</v>
      </c>
      <c r="T1466" s="10" t="s">
        <v>10221</v>
      </c>
      <c r="U1466" s="5" t="str">
        <f t="shared" si="809"/>
        <v>Propriedade destinada a legislar: é.portaria</v>
      </c>
      <c r="V1466" s="5" t="str">
        <f t="shared" si="810"/>
        <v>Dado para legislar:  portaria  Deve ser formatado como (rdfs:Literal  or  xsd:string)</v>
      </c>
      <c r="W1466" s="69" t="s">
        <v>5761</v>
      </c>
      <c r="X1466" s="17" t="str">
        <f t="shared" si="800"/>
        <v>d.legis.112</v>
      </c>
      <c r="Y1466" s="17" t="str">
        <f t="shared" si="801"/>
        <v>Ação de legislar</v>
      </c>
      <c r="Z1466" s="62" t="s">
        <v>4328</v>
      </c>
      <c r="AA1466" s="18" t="str">
        <f t="shared" si="811"/>
        <v>null</v>
      </c>
      <c r="AB1466" s="19" t="s">
        <v>0</v>
      </c>
      <c r="AC1466" s="18" t="str">
        <f t="shared" si="812"/>
        <v>null</v>
      </c>
      <c r="AD1466" s="19" t="s">
        <v>0</v>
      </c>
      <c r="AE1466" s="18" t="str">
        <f t="shared" si="813"/>
        <v>null</v>
      </c>
      <c r="AF1466" s="75" t="s">
        <v>0</v>
      </c>
      <c r="AG1466" s="38" t="s">
        <v>8635</v>
      </c>
    </row>
    <row r="1467" spans="1:33" ht="6" customHeight="1" x14ac:dyDescent="0.4">
      <c r="A1467" s="4">
        <f>ROW()</f>
        <v>1467</v>
      </c>
      <c r="B1467" s="9" t="s">
        <v>27</v>
      </c>
      <c r="C1467" s="44" t="str">
        <f t="shared" si="814"/>
        <v>p.legislar</v>
      </c>
      <c r="D1467" s="6" t="str">
        <f t="shared" si="808"/>
        <v>é.preâmbulo</v>
      </c>
      <c r="E1467" s="8" t="s">
        <v>28</v>
      </c>
      <c r="F1467" s="34" t="str">
        <f t="shared" si="815"/>
        <v>d.legislar</v>
      </c>
      <c r="G1467" s="13" t="s">
        <v>196</v>
      </c>
      <c r="H1467" s="34" t="s">
        <v>1581</v>
      </c>
      <c r="I1467" s="92" t="str">
        <f t="shared" si="802"/>
        <v>null</v>
      </c>
      <c r="J1467" s="80" t="s">
        <v>0</v>
      </c>
      <c r="K1467" s="80" t="s">
        <v>0</v>
      </c>
      <c r="L1467" s="80" t="s">
        <v>0</v>
      </c>
      <c r="M1467" s="80" t="s">
        <v>0</v>
      </c>
      <c r="N1467" s="80" t="s">
        <v>0</v>
      </c>
      <c r="O1467" s="80" t="s">
        <v>0</v>
      </c>
      <c r="P1467" s="80" t="s">
        <v>0</v>
      </c>
      <c r="Q1467" s="80" t="s">
        <v>0</v>
      </c>
      <c r="R1467" s="84" t="s">
        <v>0</v>
      </c>
      <c r="S1467" s="10" t="s">
        <v>1</v>
      </c>
      <c r="T1467" s="10" t="s">
        <v>10221</v>
      </c>
      <c r="U1467" s="5" t="str">
        <f t="shared" si="809"/>
        <v>Propriedade destinada a legislar: é.preâmbulo</v>
      </c>
      <c r="V1467" s="5" t="str">
        <f t="shared" si="810"/>
        <v>Dado para legislar:  preâmbulo  Deve ser formatado como (rdfs:Literal  or  xsd:string)</v>
      </c>
      <c r="W1467" s="69" t="s">
        <v>5764</v>
      </c>
      <c r="X1467" s="17" t="str">
        <f t="shared" si="800"/>
        <v>d.legis.113</v>
      </c>
      <c r="Y1467" s="17" t="str">
        <f t="shared" si="801"/>
        <v>Ação de legislar</v>
      </c>
      <c r="Z1467" s="62" t="s">
        <v>4331</v>
      </c>
      <c r="AA1467" s="18" t="str">
        <f t="shared" si="811"/>
        <v>null</v>
      </c>
      <c r="AB1467" s="19" t="s">
        <v>0</v>
      </c>
      <c r="AC1467" s="18" t="str">
        <f t="shared" si="812"/>
        <v>null</v>
      </c>
      <c r="AD1467" s="19" t="s">
        <v>0</v>
      </c>
      <c r="AE1467" s="18" t="str">
        <f t="shared" si="813"/>
        <v>null</v>
      </c>
      <c r="AF1467" s="75" t="s">
        <v>0</v>
      </c>
      <c r="AG1467" s="38" t="s">
        <v>8638</v>
      </c>
    </row>
    <row r="1468" spans="1:33" ht="6" customHeight="1" x14ac:dyDescent="0.4">
      <c r="A1468" s="4">
        <f>ROW()</f>
        <v>1468</v>
      </c>
      <c r="B1468" s="9" t="s">
        <v>27</v>
      </c>
      <c r="C1468" s="44" t="str">
        <f t="shared" si="814"/>
        <v>p.legislar</v>
      </c>
      <c r="D1468" s="6" t="str">
        <f t="shared" si="808"/>
        <v>é.quem.assinou</v>
      </c>
      <c r="E1468" s="8" t="s">
        <v>28</v>
      </c>
      <c r="F1468" s="34" t="str">
        <f t="shared" si="815"/>
        <v>d.legislar</v>
      </c>
      <c r="G1468" s="13" t="s">
        <v>9741</v>
      </c>
      <c r="H1468" s="34" t="s">
        <v>1581</v>
      </c>
      <c r="I1468" s="92" t="str">
        <f t="shared" si="802"/>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9"/>
        <v>Propriedade destinada a legislar: é.quem.assinou</v>
      </c>
      <c r="V1468" s="5" t="str">
        <f t="shared" si="810"/>
        <v>Dado para legislar:  quem.assinou  Deve ser formatado como (rdfs:Literal  or  xsd:string)</v>
      </c>
      <c r="W1468" s="69" t="s">
        <v>9765</v>
      </c>
      <c r="X1468" s="17" t="str">
        <f t="shared" si="800"/>
        <v>d.legis.114</v>
      </c>
      <c r="Y1468" s="17" t="str">
        <f t="shared" si="801"/>
        <v>Ação de legislar</v>
      </c>
      <c r="Z1468" s="62" t="s">
        <v>4336</v>
      </c>
      <c r="AA1468" s="18" t="str">
        <f t="shared" si="811"/>
        <v>null</v>
      </c>
      <c r="AB1468" s="19" t="s">
        <v>0</v>
      </c>
      <c r="AC1468" s="18" t="str">
        <f t="shared" si="812"/>
        <v>null</v>
      </c>
      <c r="AD1468" s="19" t="s">
        <v>0</v>
      </c>
      <c r="AE1468" s="18" t="str">
        <f t="shared" si="813"/>
        <v>null</v>
      </c>
      <c r="AF1468" s="75" t="s">
        <v>0</v>
      </c>
      <c r="AG1468" s="38" t="s">
        <v>8643</v>
      </c>
    </row>
    <row r="1469" spans="1:33" ht="6" customHeight="1" x14ac:dyDescent="0.4">
      <c r="A1469" s="4">
        <f>ROW()</f>
        <v>1469</v>
      </c>
      <c r="B1469" s="9" t="s">
        <v>27</v>
      </c>
      <c r="C1469" s="44" t="str">
        <f t="shared" si="814"/>
        <v>p.legislar</v>
      </c>
      <c r="D1469" s="6" t="str">
        <f t="shared" si="808"/>
        <v>é.quem.referendou</v>
      </c>
      <c r="E1469" s="8" t="s">
        <v>28</v>
      </c>
      <c r="F1469" s="34" t="str">
        <f t="shared" si="815"/>
        <v>d.legislar</v>
      </c>
      <c r="G1469" s="14" t="s">
        <v>9742</v>
      </c>
      <c r="H1469" s="33" t="s">
        <v>1581</v>
      </c>
      <c r="I1469" s="92" t="str">
        <f t="shared" si="802"/>
        <v>null</v>
      </c>
      <c r="J1469" s="82" t="s">
        <v>0</v>
      </c>
      <c r="K1469" s="82" t="s">
        <v>0</v>
      </c>
      <c r="L1469" s="82" t="s">
        <v>0</v>
      </c>
      <c r="M1469" s="82" t="s">
        <v>0</v>
      </c>
      <c r="N1469" s="80" t="s">
        <v>0</v>
      </c>
      <c r="O1469" s="82" t="s">
        <v>0</v>
      </c>
      <c r="P1469" s="82" t="s">
        <v>0</v>
      </c>
      <c r="Q1469" s="82" t="s">
        <v>0</v>
      </c>
      <c r="R1469" s="84" t="s">
        <v>0</v>
      </c>
      <c r="S1469" s="10" t="s">
        <v>1</v>
      </c>
      <c r="T1469" s="10" t="s">
        <v>10221</v>
      </c>
      <c r="U1469" s="5" t="str">
        <f t="shared" si="809"/>
        <v>Propriedade destinada a legislar: é.quem.referendou</v>
      </c>
      <c r="V1469" s="5" t="str">
        <f t="shared" si="810"/>
        <v>Dado para legislar:  quem.referendou  Deve ser formatado como (rdfs:Literal  or  xsd:string)</v>
      </c>
      <c r="W1469" s="69" t="s">
        <v>5770</v>
      </c>
      <c r="X1469" s="17" t="str">
        <f t="shared" si="800"/>
        <v>d.legis.115</v>
      </c>
      <c r="Y1469" s="17" t="str">
        <f t="shared" si="801"/>
        <v>Ação de legislar</v>
      </c>
      <c r="Z1469" s="62" t="s">
        <v>4698</v>
      </c>
      <c r="AA1469" s="18" t="str">
        <f t="shared" si="811"/>
        <v>null</v>
      </c>
      <c r="AB1469" s="19" t="s">
        <v>0</v>
      </c>
      <c r="AC1469" s="18" t="str">
        <f t="shared" si="812"/>
        <v>null</v>
      </c>
      <c r="AD1469" s="19" t="s">
        <v>0</v>
      </c>
      <c r="AE1469" s="18" t="str">
        <f t="shared" si="813"/>
        <v>null</v>
      </c>
      <c r="AF1469" s="75" t="s">
        <v>0</v>
      </c>
      <c r="AG1469" s="38" t="s">
        <v>8645</v>
      </c>
    </row>
    <row r="1470" spans="1:33" ht="6" customHeight="1" x14ac:dyDescent="0.4">
      <c r="A1470" s="4">
        <f>ROW()</f>
        <v>1470</v>
      </c>
      <c r="B1470" s="9" t="s">
        <v>27</v>
      </c>
      <c r="C1470" s="44" t="str">
        <f t="shared" si="814"/>
        <v>p.legislar</v>
      </c>
      <c r="D1470" s="6" t="str">
        <f t="shared" si="808"/>
        <v>é.quem.revogou</v>
      </c>
      <c r="E1470" s="8" t="s">
        <v>28</v>
      </c>
      <c r="F1470" s="34" t="str">
        <f t="shared" si="815"/>
        <v>d.legislar</v>
      </c>
      <c r="G1470" s="13" t="s">
        <v>9764</v>
      </c>
      <c r="H1470" s="34" t="s">
        <v>1581</v>
      </c>
      <c r="I1470" s="92" t="str">
        <f t="shared" si="802"/>
        <v>null</v>
      </c>
      <c r="J1470" s="80" t="s">
        <v>0</v>
      </c>
      <c r="K1470" s="80" t="s">
        <v>0</v>
      </c>
      <c r="L1470" s="80" t="s">
        <v>0</v>
      </c>
      <c r="M1470" s="80" t="s">
        <v>0</v>
      </c>
      <c r="N1470" s="80" t="s">
        <v>0</v>
      </c>
      <c r="O1470" s="80" t="s">
        <v>0</v>
      </c>
      <c r="P1470" s="80" t="s">
        <v>0</v>
      </c>
      <c r="Q1470" s="82" t="s">
        <v>741</v>
      </c>
      <c r="R1470" s="84" t="s">
        <v>0</v>
      </c>
      <c r="S1470" s="10" t="s">
        <v>1</v>
      </c>
      <c r="T1470" s="10" t="s">
        <v>10221</v>
      </c>
      <c r="U1470" s="5" t="str">
        <f t="shared" si="809"/>
        <v>Propriedade destinada a legislar: é.quem.revogou</v>
      </c>
      <c r="V1470" s="5" t="str">
        <f t="shared" si="810"/>
        <v>Dado para legislar:  quem.revogou  Deve ser formatado como (rdfs:Literal  or  xsd:string)</v>
      </c>
      <c r="W1470" s="69" t="s">
        <v>5772</v>
      </c>
      <c r="X1470" s="17" t="str">
        <f t="shared" si="800"/>
        <v>d.legis.116</v>
      </c>
      <c r="Y1470" s="17" t="str">
        <f t="shared" si="801"/>
        <v>Ação de legislar</v>
      </c>
      <c r="Z1470" s="62" t="s">
        <v>4339</v>
      </c>
      <c r="AA1470" s="18" t="str">
        <f t="shared" si="811"/>
        <v>null</v>
      </c>
      <c r="AB1470" s="19" t="s">
        <v>0</v>
      </c>
      <c r="AC1470" s="18" t="str">
        <f t="shared" si="812"/>
        <v>null</v>
      </c>
      <c r="AD1470" s="19" t="s">
        <v>0</v>
      </c>
      <c r="AE1470" s="18" t="str">
        <f t="shared" si="813"/>
        <v>null</v>
      </c>
      <c r="AF1470" s="75" t="s">
        <v>0</v>
      </c>
      <c r="AG1470" s="38" t="s">
        <v>8647</v>
      </c>
    </row>
    <row r="1471" spans="1:33" ht="6" customHeight="1" x14ac:dyDescent="0.4">
      <c r="A1471" s="4">
        <f>ROW()</f>
        <v>1471</v>
      </c>
      <c r="B1471" s="9" t="s">
        <v>27</v>
      </c>
      <c r="C1471" s="44" t="str">
        <f t="shared" si="814"/>
        <v>p.legislar</v>
      </c>
      <c r="D1471" s="6" t="str">
        <f t="shared" si="808"/>
        <v>é.quem.vetou</v>
      </c>
      <c r="E1471" s="8" t="s">
        <v>28</v>
      </c>
      <c r="F1471" s="34" t="str">
        <f t="shared" si="815"/>
        <v>d.legislar</v>
      </c>
      <c r="G1471" s="13" t="s">
        <v>9763</v>
      </c>
      <c r="H1471" s="34" t="s">
        <v>1581</v>
      </c>
      <c r="I1471" s="92" t="str">
        <f t="shared" si="802"/>
        <v>null</v>
      </c>
      <c r="J1471" s="80" t="s">
        <v>0</v>
      </c>
      <c r="K1471" s="80" t="s">
        <v>0</v>
      </c>
      <c r="L1471" s="80" t="s">
        <v>0</v>
      </c>
      <c r="M1471" s="80" t="s">
        <v>0</v>
      </c>
      <c r="N1471" s="80" t="s">
        <v>0</v>
      </c>
      <c r="O1471" s="80" t="s">
        <v>0</v>
      </c>
      <c r="P1471" s="80" t="s">
        <v>0</v>
      </c>
      <c r="Q1471" s="82" t="s">
        <v>741</v>
      </c>
      <c r="R1471" s="84" t="s">
        <v>0</v>
      </c>
      <c r="S1471" s="10" t="s">
        <v>1</v>
      </c>
      <c r="T1471" s="10" t="s">
        <v>10221</v>
      </c>
      <c r="U1471" s="5" t="str">
        <f t="shared" si="809"/>
        <v>Propriedade destinada a legislar: é.quem.vetou</v>
      </c>
      <c r="V1471" s="5" t="str">
        <f t="shared" si="810"/>
        <v>Dado para legislar:  quem.vetou  Deve ser formatado como (rdfs:Literal  or  xsd:string)</v>
      </c>
      <c r="W1471" s="69" t="s">
        <v>5773</v>
      </c>
      <c r="X1471" s="17" t="str">
        <f t="shared" si="800"/>
        <v>d.legis.117</v>
      </c>
      <c r="Y1471" s="17" t="str">
        <f t="shared" si="801"/>
        <v>Ação de legislar</v>
      </c>
      <c r="Z1471" s="62" t="s">
        <v>4340</v>
      </c>
      <c r="AA1471" s="18" t="str">
        <f t="shared" si="811"/>
        <v>null</v>
      </c>
      <c r="AB1471" s="19" t="s">
        <v>0</v>
      </c>
      <c r="AC1471" s="18" t="str">
        <f t="shared" si="812"/>
        <v>null</v>
      </c>
      <c r="AD1471" s="19" t="s">
        <v>0</v>
      </c>
      <c r="AE1471" s="18" t="str">
        <f t="shared" si="813"/>
        <v>null</v>
      </c>
      <c r="AF1471" s="75" t="s">
        <v>0</v>
      </c>
      <c r="AG1471" s="38" t="s">
        <v>8648</v>
      </c>
    </row>
    <row r="1472" spans="1:33" ht="6" customHeight="1" x14ac:dyDescent="0.4">
      <c r="A1472" s="4">
        <f>ROW()</f>
        <v>1472</v>
      </c>
      <c r="B1472" s="9" t="s">
        <v>27</v>
      </c>
      <c r="C1472" s="44" t="str">
        <f t="shared" si="814"/>
        <v>p.legislar</v>
      </c>
      <c r="D1472" s="6" t="str">
        <f t="shared" si="808"/>
        <v>é.regulamentação</v>
      </c>
      <c r="E1472" s="8" t="s">
        <v>28</v>
      </c>
      <c r="F1472" s="34" t="str">
        <f t="shared" si="815"/>
        <v>d.legislar</v>
      </c>
      <c r="G1472" s="14" t="s">
        <v>1750</v>
      </c>
      <c r="H1472" s="33" t="s">
        <v>1581</v>
      </c>
      <c r="I1472" s="92" t="str">
        <f t="shared" si="802"/>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9"/>
        <v>Propriedade destinada a legislar: é.regulamentação</v>
      </c>
      <c r="V1472" s="5" t="str">
        <f t="shared" si="810"/>
        <v>Dado para legislar:  regulamentação  Deve ser formatado como (rdfs:Literal  or  xsd:string)</v>
      </c>
      <c r="W1472" s="69" t="s">
        <v>5758</v>
      </c>
      <c r="X1472" s="17" t="str">
        <f t="shared" si="800"/>
        <v>d.legis.118</v>
      </c>
      <c r="Y1472" s="17" t="str">
        <f t="shared" si="801"/>
        <v>Ação de legislar</v>
      </c>
      <c r="Z1472" s="62" t="s">
        <v>4325</v>
      </c>
      <c r="AA1472" s="18" t="str">
        <f t="shared" si="811"/>
        <v>null</v>
      </c>
      <c r="AB1472" s="19" t="s">
        <v>0</v>
      </c>
      <c r="AC1472" s="18" t="str">
        <f t="shared" si="812"/>
        <v>null</v>
      </c>
      <c r="AD1472" s="19" t="s">
        <v>0</v>
      </c>
      <c r="AE1472" s="18" t="str">
        <f t="shared" si="813"/>
        <v>null</v>
      </c>
      <c r="AF1472" s="75" t="s">
        <v>0</v>
      </c>
      <c r="AG1472" s="38" t="s">
        <v>8632</v>
      </c>
    </row>
    <row r="1473" spans="1:33" ht="6" customHeight="1" x14ac:dyDescent="0.4">
      <c r="A1473" s="4">
        <f>ROW()</f>
        <v>1473</v>
      </c>
      <c r="B1473" s="9" t="s">
        <v>27</v>
      </c>
      <c r="C1473" s="44" t="str">
        <f t="shared" si="814"/>
        <v>p.legislar</v>
      </c>
      <c r="D1473" s="6" t="str">
        <f t="shared" si="808"/>
        <v>é.resolução.jurídica</v>
      </c>
      <c r="E1473" s="8" t="s">
        <v>28</v>
      </c>
      <c r="F1473" s="34" t="str">
        <f t="shared" si="815"/>
        <v>d.legislar</v>
      </c>
      <c r="G1473" s="14" t="s">
        <v>1754</v>
      </c>
      <c r="H1473" s="33" t="s">
        <v>1581</v>
      </c>
      <c r="I1473" s="92" t="str">
        <f t="shared" si="802"/>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9"/>
        <v>Propriedade destinada a legislar: é.resolução.jurídica</v>
      </c>
      <c r="V1473" s="5" t="str">
        <f t="shared" si="810"/>
        <v>Dado para legislar:  resolução.jurídica  Deve ser formatado como (rdfs:Literal  or  xsd:string)</v>
      </c>
      <c r="W1473" s="69" t="s">
        <v>5759</v>
      </c>
      <c r="X1473" s="17" t="str">
        <f t="shared" si="800"/>
        <v>d.legis.119</v>
      </c>
      <c r="Y1473" s="17" t="str">
        <f t="shared" si="801"/>
        <v>Ação de legislar</v>
      </c>
      <c r="Z1473" s="62" t="s">
        <v>4326</v>
      </c>
      <c r="AA1473" s="18" t="str">
        <f t="shared" si="811"/>
        <v>null</v>
      </c>
      <c r="AB1473" s="19" t="s">
        <v>0</v>
      </c>
      <c r="AC1473" s="18" t="str">
        <f t="shared" si="812"/>
        <v>null</v>
      </c>
      <c r="AD1473" s="19" t="s">
        <v>0</v>
      </c>
      <c r="AE1473" s="18" t="str">
        <f t="shared" si="813"/>
        <v>null</v>
      </c>
      <c r="AF1473" s="75" t="s">
        <v>0</v>
      </c>
      <c r="AG1473" s="38" t="s">
        <v>8633</v>
      </c>
    </row>
    <row r="1474" spans="1:33" ht="6" customHeight="1" x14ac:dyDescent="0.4">
      <c r="A1474" s="4">
        <f>ROW()</f>
        <v>1474</v>
      </c>
      <c r="B1474" s="9" t="s">
        <v>27</v>
      </c>
      <c r="C1474" s="44" t="str">
        <f t="shared" si="814"/>
        <v>p.legislar</v>
      </c>
      <c r="D1474" s="6" t="str">
        <f t="shared" si="808"/>
        <v>é.revogante.de</v>
      </c>
      <c r="E1474" s="8" t="s">
        <v>28</v>
      </c>
      <c r="F1474" s="34" t="str">
        <f t="shared" si="815"/>
        <v>d.legislar</v>
      </c>
      <c r="G1474" s="13" t="s">
        <v>740</v>
      </c>
      <c r="H1474" s="34" t="s">
        <v>1581</v>
      </c>
      <c r="I1474" s="92" t="str">
        <f t="shared" si="802"/>
        <v>null</v>
      </c>
      <c r="J1474" s="80" t="s">
        <v>0</v>
      </c>
      <c r="K1474" s="80" t="s">
        <v>0</v>
      </c>
      <c r="L1474" s="80" t="s">
        <v>0</v>
      </c>
      <c r="M1474" s="80" t="s">
        <v>0</v>
      </c>
      <c r="N1474" s="80" t="s">
        <v>0</v>
      </c>
      <c r="O1474" s="80" t="s">
        <v>0</v>
      </c>
      <c r="P1474" s="80" t="s">
        <v>0</v>
      </c>
      <c r="Q1474" s="80" t="s">
        <v>9985</v>
      </c>
      <c r="R1474" s="84" t="s">
        <v>0</v>
      </c>
      <c r="S1474" s="10" t="s">
        <v>1</v>
      </c>
      <c r="T1474" s="10" t="s">
        <v>10221</v>
      </c>
      <c r="U1474" s="5" t="str">
        <f t="shared" si="809"/>
        <v>Propriedade destinada a legislar: é.revogante.de</v>
      </c>
      <c r="V1474" s="5" t="str">
        <f t="shared" si="810"/>
        <v>Dado para legislar:  revogante.de  Deve ser formatado como (rdfs:Literal  or  xsd:string)</v>
      </c>
      <c r="W1474" s="69" t="s">
        <v>5771</v>
      </c>
      <c r="X1474" s="17" t="str">
        <f t="shared" si="800"/>
        <v>d.legis.120</v>
      </c>
      <c r="Y1474" s="17" t="str">
        <f t="shared" si="801"/>
        <v>Ação de legislar</v>
      </c>
      <c r="Z1474" s="62" t="s">
        <v>4338</v>
      </c>
      <c r="AA1474" s="18" t="str">
        <f t="shared" si="811"/>
        <v>null</v>
      </c>
      <c r="AB1474" s="19" t="s">
        <v>0</v>
      </c>
      <c r="AC1474" s="18" t="str">
        <f t="shared" si="812"/>
        <v>null</v>
      </c>
      <c r="AD1474" s="19" t="s">
        <v>0</v>
      </c>
      <c r="AE1474" s="18" t="str">
        <f t="shared" si="813"/>
        <v>null</v>
      </c>
      <c r="AF1474" s="75" t="s">
        <v>0</v>
      </c>
      <c r="AG1474" s="38" t="s">
        <v>8646</v>
      </c>
    </row>
    <row r="1475" spans="1:33" ht="6" customHeight="1" x14ac:dyDescent="0.4">
      <c r="A1475" s="4">
        <f>ROW()</f>
        <v>1475</v>
      </c>
      <c r="B1475" s="9" t="s">
        <v>27</v>
      </c>
      <c r="C1475" s="44" t="str">
        <f t="shared" si="814"/>
        <v>p.legislar</v>
      </c>
      <c r="D1475" s="6" t="str">
        <f t="shared" si="808"/>
        <v>é.seção.da.lei</v>
      </c>
      <c r="E1475" s="8" t="s">
        <v>28</v>
      </c>
      <c r="F1475" s="34" t="str">
        <f t="shared" si="815"/>
        <v>d.legislar</v>
      </c>
      <c r="G1475" s="13" t="s">
        <v>9931</v>
      </c>
      <c r="H1475" s="34" t="s">
        <v>1581</v>
      </c>
      <c r="I1475" s="92" t="str">
        <f t="shared" si="802"/>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9"/>
        <v>Propriedade destinada a legislar: é.seção.da.lei</v>
      </c>
      <c r="V1475" s="5" t="str">
        <f t="shared" si="810"/>
        <v>Dado para legislar:  seção.da.lei  Deve ser formatado como (rdfs:Literal  or  xsd:string)</v>
      </c>
      <c r="W1475" s="69" t="s">
        <v>5763</v>
      </c>
      <c r="X1475" s="17" t="str">
        <f t="shared" ref="X1475:X1538" si="816">IF(F1474&lt;&gt;F1475,_xlfn.CONCAT(RIGHT(LEFT(F1475,7),7),".100"),_xlfn.CONCAT(RIGHT(LEFT(F1475,7),7),".",SUM(VALUE(RIGHT(X1474,3)),1)))</f>
        <v>d.legis.121</v>
      </c>
      <c r="Y1475" s="17" t="str">
        <f t="shared" ref="Y1475:Y1538" si="817">_xlfn.CONCAT("Ação de ", SUBSTITUTE(F1475, "d.",  ""))</f>
        <v>Ação de legislar</v>
      </c>
      <c r="Z1475" s="62" t="s">
        <v>4330</v>
      </c>
      <c r="AA1475" s="18" t="str">
        <f t="shared" si="811"/>
        <v>null</v>
      </c>
      <c r="AB1475" s="19" t="s">
        <v>0</v>
      </c>
      <c r="AC1475" s="18" t="str">
        <f t="shared" si="812"/>
        <v>null</v>
      </c>
      <c r="AD1475" s="19" t="s">
        <v>0</v>
      </c>
      <c r="AE1475" s="18" t="str">
        <f t="shared" si="813"/>
        <v>null</v>
      </c>
      <c r="AF1475" s="75" t="s">
        <v>0</v>
      </c>
      <c r="AG1475" s="38" t="s">
        <v>8637</v>
      </c>
    </row>
    <row r="1476" spans="1:33" ht="6" customHeight="1" x14ac:dyDescent="0.4">
      <c r="A1476" s="4">
        <f>ROW()</f>
        <v>1476</v>
      </c>
      <c r="B1476" s="9" t="s">
        <v>27</v>
      </c>
      <c r="C1476" s="43" t="str">
        <f t="shared" si="785"/>
        <v>p.licitar</v>
      </c>
      <c r="D1476" s="6" t="str">
        <f t="shared" ref="D1476:D1507" si="818">_xlfn.CONCAT("é.",G1476)</f>
        <v>é.ata.de.registro.de.preço</v>
      </c>
      <c r="E1476" s="8" t="s">
        <v>28</v>
      </c>
      <c r="F1476" s="40" t="s">
        <v>2199</v>
      </c>
      <c r="G1476" s="27" t="s">
        <v>1128</v>
      </c>
      <c r="H1476" s="33" t="s">
        <v>1581</v>
      </c>
      <c r="I1476" s="92" t="str">
        <f t="shared" si="802"/>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ref="U1476:U1507" si="819">_xlfn.CONCAT("Propriedade destinada a ",MID(C1476,FIND("p.",C1476,1)+2,100),": ",D1476)</f>
        <v>Propriedade destinada a licitar: é.ata.de.registro.de.preço</v>
      </c>
      <c r="V1476" s="5" t="str">
        <f t="shared" ref="V1476:V1507" si="820">_xlfn.CONCAT("Dado para ",MID(F1476,FIND("d.",F1476,1)+2,100),":  ",G1476, "  Deve ser formatado como (",H1476, ")")</f>
        <v>Dado para licitar:  ata.de.registro.de.preço  Deve ser formatado como (rdfs:Literal  or  xsd:string)</v>
      </c>
      <c r="W1476" s="69" t="s">
        <v>5780</v>
      </c>
      <c r="X1476" s="17" t="str">
        <f t="shared" si="816"/>
        <v>d.licit.100</v>
      </c>
      <c r="Y1476" s="17" t="str">
        <f t="shared" si="817"/>
        <v>Ação de licitar</v>
      </c>
      <c r="Z1476" s="62" t="s">
        <v>4347</v>
      </c>
      <c r="AA1476" s="18" t="str">
        <f t="shared" ref="AA1476:AA1507" si="821">IF(AB1476="null", "null", "categoria.revit")</f>
        <v>null</v>
      </c>
      <c r="AB1476" s="19" t="s">
        <v>0</v>
      </c>
      <c r="AC1476" s="18" t="str">
        <f t="shared" ref="AC1476:AC1507" si="822">IF(AD1476="null", "null", "classe.ifc")</f>
        <v>null</v>
      </c>
      <c r="AD1476" s="19" t="s">
        <v>0</v>
      </c>
      <c r="AE1476" s="18" t="str">
        <f t="shared" ref="AE1476:AE1507" si="823">IF(AF1476="null", "null", "propriedade")</f>
        <v>null</v>
      </c>
      <c r="AF1476" s="75" t="s">
        <v>0</v>
      </c>
      <c r="AG1476" s="38" t="s">
        <v>8649</v>
      </c>
    </row>
    <row r="1477" spans="1:33" ht="6" customHeight="1" x14ac:dyDescent="0.4">
      <c r="A1477" s="4">
        <f>ROW()</f>
        <v>1477</v>
      </c>
      <c r="B1477" s="9" t="s">
        <v>27</v>
      </c>
      <c r="C1477" s="44" t="str">
        <f t="shared" ref="C1477:C1507" si="824">SUBSTITUTE(F1477,"d.","p.")</f>
        <v>p.licitar</v>
      </c>
      <c r="D1477" s="6" t="str">
        <f t="shared" si="818"/>
        <v>é.comissão.de.contratação</v>
      </c>
      <c r="E1477" s="8" t="s">
        <v>28</v>
      </c>
      <c r="F1477" s="34" t="str">
        <f t="shared" ref="F1477:F1507" si="825">F1476</f>
        <v>d.licitar</v>
      </c>
      <c r="G1477" s="27" t="s">
        <v>1131</v>
      </c>
      <c r="H1477" s="33" t="s">
        <v>1581</v>
      </c>
      <c r="I1477" s="92" t="str">
        <f t="shared" si="802"/>
        <v>null</v>
      </c>
      <c r="J1477" s="80" t="s">
        <v>0</v>
      </c>
      <c r="K1477" s="80" t="s">
        <v>0</v>
      </c>
      <c r="L1477" s="80" t="s">
        <v>0</v>
      </c>
      <c r="M1477" s="80" t="s">
        <v>0</v>
      </c>
      <c r="N1477" s="80" t="s">
        <v>0</v>
      </c>
      <c r="O1477" s="80" t="s">
        <v>0</v>
      </c>
      <c r="P1477" s="80" t="s">
        <v>0</v>
      </c>
      <c r="Q1477" s="80" t="s">
        <v>0</v>
      </c>
      <c r="R1477" s="84" t="s">
        <v>0</v>
      </c>
      <c r="S1477" s="10" t="s">
        <v>1</v>
      </c>
      <c r="T1477" s="10" t="s">
        <v>10221</v>
      </c>
      <c r="U1477" s="5" t="str">
        <f t="shared" si="819"/>
        <v>Propriedade destinada a licitar: é.comissão.de.contratação</v>
      </c>
      <c r="V1477" s="5" t="str">
        <f t="shared" si="820"/>
        <v>Dado para licitar:  comissão.de.contratação  Deve ser formatado como (rdfs:Literal  or  xsd:string)</v>
      </c>
      <c r="W1477" s="69" t="s">
        <v>5791</v>
      </c>
      <c r="X1477" s="17" t="str">
        <f t="shared" si="816"/>
        <v>d.licit.101</v>
      </c>
      <c r="Y1477" s="17" t="str">
        <f t="shared" si="817"/>
        <v>Ação de licitar</v>
      </c>
      <c r="Z1477" s="62" t="s">
        <v>4500</v>
      </c>
      <c r="AA1477" s="18" t="str">
        <f t="shared" si="821"/>
        <v>null</v>
      </c>
      <c r="AB1477" s="19" t="s">
        <v>0</v>
      </c>
      <c r="AC1477" s="18" t="str">
        <f t="shared" si="822"/>
        <v>null</v>
      </c>
      <c r="AD1477" s="19" t="s">
        <v>0</v>
      </c>
      <c r="AE1477" s="18" t="str">
        <f t="shared" si="823"/>
        <v>null</v>
      </c>
      <c r="AF1477" s="75" t="s">
        <v>0</v>
      </c>
      <c r="AG1477" s="38" t="s">
        <v>8650</v>
      </c>
    </row>
    <row r="1478" spans="1:33" ht="6" customHeight="1" x14ac:dyDescent="0.4">
      <c r="A1478" s="4">
        <f>ROW()</f>
        <v>1478</v>
      </c>
      <c r="B1478" s="9" t="s">
        <v>27</v>
      </c>
      <c r="C1478" s="44" t="str">
        <f t="shared" si="824"/>
        <v>p.licitar</v>
      </c>
      <c r="D1478" s="6" t="str">
        <f t="shared" si="818"/>
        <v>é.contrato.de.eficiência</v>
      </c>
      <c r="E1478" s="8" t="s">
        <v>28</v>
      </c>
      <c r="F1478" s="34" t="str">
        <f t="shared" si="825"/>
        <v>d.licitar</v>
      </c>
      <c r="G1478" s="27" t="s">
        <v>1132</v>
      </c>
      <c r="H1478" s="33" t="s">
        <v>1581</v>
      </c>
      <c r="I1478" s="92" t="str">
        <f t="shared" si="802"/>
        <v>null</v>
      </c>
      <c r="J1478" s="80" t="s">
        <v>0</v>
      </c>
      <c r="K1478" s="80" t="s">
        <v>0</v>
      </c>
      <c r="L1478" s="80" t="s">
        <v>0</v>
      </c>
      <c r="M1478" s="80" t="s">
        <v>0</v>
      </c>
      <c r="N1478" s="80" t="s">
        <v>0</v>
      </c>
      <c r="O1478" s="80" t="s">
        <v>0</v>
      </c>
      <c r="P1478" s="80" t="s">
        <v>0</v>
      </c>
      <c r="Q1478" s="80" t="s">
        <v>0</v>
      </c>
      <c r="R1478" s="84" t="s">
        <v>0</v>
      </c>
      <c r="S1478" s="10" t="s">
        <v>1</v>
      </c>
      <c r="T1478" s="10" t="s">
        <v>10221</v>
      </c>
      <c r="U1478" s="5" t="str">
        <f t="shared" si="819"/>
        <v>Propriedade destinada a licitar: é.contrato.de.eficiência</v>
      </c>
      <c r="V1478" s="5" t="str">
        <f t="shared" si="820"/>
        <v>Dado para licitar:  contrato.de.eficiência  Deve ser formatado como (rdfs:Literal  or  xsd:string)</v>
      </c>
      <c r="W1478" s="69" t="s">
        <v>5790</v>
      </c>
      <c r="X1478" s="17" t="str">
        <f t="shared" si="816"/>
        <v>d.licit.102</v>
      </c>
      <c r="Y1478" s="17" t="str">
        <f t="shared" si="817"/>
        <v>Ação de licitar</v>
      </c>
      <c r="Z1478" s="62" t="s">
        <v>4499</v>
      </c>
      <c r="AA1478" s="18" t="str">
        <f t="shared" si="821"/>
        <v>null</v>
      </c>
      <c r="AB1478" s="19" t="s">
        <v>0</v>
      </c>
      <c r="AC1478" s="18" t="str">
        <f t="shared" si="822"/>
        <v>null</v>
      </c>
      <c r="AD1478" s="19" t="s">
        <v>0</v>
      </c>
      <c r="AE1478" s="18" t="str">
        <f t="shared" si="823"/>
        <v>null</v>
      </c>
      <c r="AF1478" s="75" t="s">
        <v>0</v>
      </c>
      <c r="AG1478" s="38" t="s">
        <v>8651</v>
      </c>
    </row>
    <row r="1479" spans="1:33" ht="6" customHeight="1" x14ac:dyDescent="0.4">
      <c r="A1479" s="4">
        <f>ROW()</f>
        <v>1479</v>
      </c>
      <c r="B1479" s="9" t="s">
        <v>27</v>
      </c>
      <c r="C1479" s="44" t="str">
        <f t="shared" si="824"/>
        <v>p.licitar</v>
      </c>
      <c r="D1479" s="6" t="str">
        <f t="shared" si="818"/>
        <v>é.critério.de.julgamento</v>
      </c>
      <c r="E1479" s="8" t="s">
        <v>28</v>
      </c>
      <c r="F1479" s="34" t="str">
        <f t="shared" si="825"/>
        <v>d.licitar</v>
      </c>
      <c r="G1479" s="27" t="s">
        <v>1120</v>
      </c>
      <c r="H1479" s="33" t="s">
        <v>1581</v>
      </c>
      <c r="I1479" s="92" t="str">
        <f t="shared" si="802"/>
        <v>null</v>
      </c>
      <c r="J1479" s="80" t="s">
        <v>0</v>
      </c>
      <c r="K1479" s="80" t="s">
        <v>0</v>
      </c>
      <c r="L1479" s="80" t="s">
        <v>0</v>
      </c>
      <c r="M1479" s="80" t="s">
        <v>0</v>
      </c>
      <c r="N1479" s="80" t="s">
        <v>0</v>
      </c>
      <c r="O1479" s="80" t="s">
        <v>0</v>
      </c>
      <c r="P1479" s="80" t="s">
        <v>0</v>
      </c>
      <c r="Q1479" s="80" t="s">
        <v>0</v>
      </c>
      <c r="R1479" s="84" t="s">
        <v>0</v>
      </c>
      <c r="S1479" s="10" t="s">
        <v>1</v>
      </c>
      <c r="T1479" s="10" t="s">
        <v>10221</v>
      </c>
      <c r="U1479" s="5" t="str">
        <f t="shared" si="819"/>
        <v>Propriedade destinada a licitar: é.critério.de.julgamento</v>
      </c>
      <c r="V1479" s="5" t="str">
        <f t="shared" si="820"/>
        <v>Dado para licitar:  critério.de.julgamento  Deve ser formatado como (rdfs:Literal  or  xsd:string)</v>
      </c>
      <c r="W1479" s="69" t="s">
        <v>5781</v>
      </c>
      <c r="X1479" s="17" t="str">
        <f t="shared" si="816"/>
        <v>d.licit.103</v>
      </c>
      <c r="Y1479" s="17" t="str">
        <f t="shared" si="817"/>
        <v>Ação de licitar</v>
      </c>
      <c r="Z1479" s="62" t="s">
        <v>4490</v>
      </c>
      <c r="AA1479" s="18" t="str">
        <f t="shared" si="821"/>
        <v>null</v>
      </c>
      <c r="AB1479" s="19" t="s">
        <v>0</v>
      </c>
      <c r="AC1479" s="18" t="str">
        <f t="shared" si="822"/>
        <v>null</v>
      </c>
      <c r="AD1479" s="19" t="s">
        <v>0</v>
      </c>
      <c r="AE1479" s="18" t="str">
        <f t="shared" si="823"/>
        <v>null</v>
      </c>
      <c r="AF1479" s="75" t="s">
        <v>0</v>
      </c>
      <c r="AG1479" s="38" t="s">
        <v>8652</v>
      </c>
    </row>
    <row r="1480" spans="1:33" ht="6" customHeight="1" x14ac:dyDescent="0.4">
      <c r="A1480" s="4">
        <f>ROW()</f>
        <v>1480</v>
      </c>
      <c r="B1480" s="9" t="s">
        <v>27</v>
      </c>
      <c r="C1480" s="44" t="str">
        <f t="shared" si="824"/>
        <v>p.licitar</v>
      </c>
      <c r="D1480" s="6" t="str">
        <f t="shared" si="818"/>
        <v>é.critério.maior.desconto</v>
      </c>
      <c r="E1480" s="8" t="s">
        <v>28</v>
      </c>
      <c r="F1480" s="34" t="str">
        <f t="shared" si="825"/>
        <v>d.licitar</v>
      </c>
      <c r="G1480" s="27" t="s">
        <v>6635</v>
      </c>
      <c r="H1480" s="33" t="s">
        <v>1581</v>
      </c>
      <c r="I1480" s="92" t="str">
        <f t="shared" si="802"/>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19"/>
        <v>Propriedade destinada a licitar: é.critério.maior.desconto</v>
      </c>
      <c r="V1480" s="5" t="str">
        <f t="shared" si="820"/>
        <v>Dado para licitar:  critério.maior.desconto  Deve ser formatado como (rdfs:Literal  or  xsd:string)</v>
      </c>
      <c r="W1480" s="69" t="s">
        <v>5783</v>
      </c>
      <c r="X1480" s="17" t="str">
        <f t="shared" si="816"/>
        <v>d.licit.104</v>
      </c>
      <c r="Y1480" s="17" t="str">
        <f t="shared" si="817"/>
        <v>Ação de licitar</v>
      </c>
      <c r="Z1480" s="62" t="s">
        <v>4491</v>
      </c>
      <c r="AA1480" s="18" t="str">
        <f t="shared" si="821"/>
        <v>null</v>
      </c>
      <c r="AB1480" s="19" t="s">
        <v>0</v>
      </c>
      <c r="AC1480" s="18" t="str">
        <f t="shared" si="822"/>
        <v>null</v>
      </c>
      <c r="AD1480" s="19" t="s">
        <v>0</v>
      </c>
      <c r="AE1480" s="18" t="str">
        <f t="shared" si="823"/>
        <v>null</v>
      </c>
      <c r="AF1480" s="75" t="s">
        <v>0</v>
      </c>
      <c r="AG1480" s="38" t="s">
        <v>8653</v>
      </c>
    </row>
    <row r="1481" spans="1:33" ht="6" customHeight="1" x14ac:dyDescent="0.4">
      <c r="A1481" s="4">
        <f>ROW()</f>
        <v>1481</v>
      </c>
      <c r="B1481" s="9" t="s">
        <v>27</v>
      </c>
      <c r="C1481" s="44" t="str">
        <f t="shared" si="824"/>
        <v>p.licitar</v>
      </c>
      <c r="D1481" s="6" t="str">
        <f t="shared" si="818"/>
        <v>é.critério.maior.lance</v>
      </c>
      <c r="E1481" s="8" t="s">
        <v>28</v>
      </c>
      <c r="F1481" s="34" t="str">
        <f t="shared" si="825"/>
        <v>d.licitar</v>
      </c>
      <c r="G1481" s="27" t="s">
        <v>6640</v>
      </c>
      <c r="H1481" s="33" t="s">
        <v>1581</v>
      </c>
      <c r="I1481" s="92" t="str">
        <f t="shared" si="802"/>
        <v>null</v>
      </c>
      <c r="J1481" s="80" t="s">
        <v>0</v>
      </c>
      <c r="K1481" s="80" t="s">
        <v>0</v>
      </c>
      <c r="L1481" s="80" t="s">
        <v>0</v>
      </c>
      <c r="M1481" s="80" t="s">
        <v>0</v>
      </c>
      <c r="N1481" s="80" t="s">
        <v>0</v>
      </c>
      <c r="O1481" s="80" t="s">
        <v>0</v>
      </c>
      <c r="P1481" s="80" t="s">
        <v>0</v>
      </c>
      <c r="Q1481" s="80" t="s">
        <v>0</v>
      </c>
      <c r="R1481" s="84" t="s">
        <v>0</v>
      </c>
      <c r="S1481" s="10" t="s">
        <v>1</v>
      </c>
      <c r="T1481" s="10" t="s">
        <v>10221</v>
      </c>
      <c r="U1481" s="5" t="str">
        <f t="shared" si="819"/>
        <v>Propriedade destinada a licitar: é.critério.maior.lance</v>
      </c>
      <c r="V1481" s="5" t="str">
        <f t="shared" si="820"/>
        <v>Dado para licitar:  critério.maior.lance  Deve ser formatado como (rdfs:Literal  or  xsd:string)</v>
      </c>
      <c r="W1481" s="69" t="s">
        <v>5787</v>
      </c>
      <c r="X1481" s="17" t="str">
        <f t="shared" si="816"/>
        <v>d.licit.105</v>
      </c>
      <c r="Y1481" s="17" t="str">
        <f t="shared" si="817"/>
        <v>Ação de licitar</v>
      </c>
      <c r="Z1481" s="62" t="s">
        <v>4492</v>
      </c>
      <c r="AA1481" s="18" t="str">
        <f t="shared" si="821"/>
        <v>null</v>
      </c>
      <c r="AB1481" s="19" t="s">
        <v>0</v>
      </c>
      <c r="AC1481" s="18" t="str">
        <f t="shared" si="822"/>
        <v>null</v>
      </c>
      <c r="AD1481" s="19" t="s">
        <v>0</v>
      </c>
      <c r="AE1481" s="18" t="str">
        <f t="shared" si="823"/>
        <v>null</v>
      </c>
      <c r="AF1481" s="75" t="s">
        <v>0</v>
      </c>
      <c r="AG1481" s="38" t="s">
        <v>8654</v>
      </c>
    </row>
    <row r="1482" spans="1:33" ht="6" customHeight="1" x14ac:dyDescent="0.4">
      <c r="A1482" s="4">
        <f>ROW()</f>
        <v>1482</v>
      </c>
      <c r="B1482" s="9" t="s">
        <v>27</v>
      </c>
      <c r="C1482" s="44" t="str">
        <f t="shared" si="824"/>
        <v>p.licitar</v>
      </c>
      <c r="D1482" s="6" t="str">
        <f t="shared" si="818"/>
        <v>é.critério.maior.retorno.econômico</v>
      </c>
      <c r="E1482" s="8" t="s">
        <v>28</v>
      </c>
      <c r="F1482" s="34" t="str">
        <f t="shared" si="825"/>
        <v>d.licitar</v>
      </c>
      <c r="G1482" s="27" t="s">
        <v>6636</v>
      </c>
      <c r="H1482" s="33" t="s">
        <v>1581</v>
      </c>
      <c r="I1482" s="92" t="str">
        <f t="shared" si="802"/>
        <v>null</v>
      </c>
      <c r="J1482" s="80" t="s">
        <v>0</v>
      </c>
      <c r="K1482" s="80" t="s">
        <v>0</v>
      </c>
      <c r="L1482" s="80" t="s">
        <v>0</v>
      </c>
      <c r="M1482" s="80" t="s">
        <v>0</v>
      </c>
      <c r="N1482" s="80" t="s">
        <v>0</v>
      </c>
      <c r="O1482" s="80" t="s">
        <v>0</v>
      </c>
      <c r="P1482" s="80" t="s">
        <v>0</v>
      </c>
      <c r="Q1482" s="80" t="s">
        <v>0</v>
      </c>
      <c r="R1482" s="84" t="s">
        <v>0</v>
      </c>
      <c r="S1482" s="10" t="s">
        <v>1</v>
      </c>
      <c r="T1482" s="10" t="s">
        <v>10221</v>
      </c>
      <c r="U1482" s="5" t="str">
        <f t="shared" si="819"/>
        <v>Propriedade destinada a licitar: é.critério.maior.retorno.econômico</v>
      </c>
      <c r="V1482" s="5" t="str">
        <f t="shared" si="820"/>
        <v>Dado para licitar:  critério.maior.retorno.econômico  Deve ser formatado como (rdfs:Literal  or  xsd:string)</v>
      </c>
      <c r="W1482" s="69" t="s">
        <v>5788</v>
      </c>
      <c r="X1482" s="17" t="str">
        <f t="shared" si="816"/>
        <v>d.licit.106</v>
      </c>
      <c r="Y1482" s="17" t="str">
        <f t="shared" si="817"/>
        <v>Ação de licitar</v>
      </c>
      <c r="Z1482" s="62" t="s">
        <v>4493</v>
      </c>
      <c r="AA1482" s="18" t="str">
        <f t="shared" si="821"/>
        <v>null</v>
      </c>
      <c r="AB1482" s="19" t="s">
        <v>0</v>
      </c>
      <c r="AC1482" s="18" t="str">
        <f t="shared" si="822"/>
        <v>null</v>
      </c>
      <c r="AD1482" s="19" t="s">
        <v>0</v>
      </c>
      <c r="AE1482" s="18" t="str">
        <f t="shared" si="823"/>
        <v>null</v>
      </c>
      <c r="AF1482" s="75" t="s">
        <v>0</v>
      </c>
      <c r="AG1482" s="38" t="s">
        <v>8655</v>
      </c>
    </row>
    <row r="1483" spans="1:33" ht="6" customHeight="1" x14ac:dyDescent="0.4">
      <c r="A1483" s="4">
        <f>ROW()</f>
        <v>1483</v>
      </c>
      <c r="B1483" s="9" t="s">
        <v>27</v>
      </c>
      <c r="C1483" s="44" t="str">
        <f t="shared" si="824"/>
        <v>p.licitar</v>
      </c>
      <c r="D1483" s="6" t="str">
        <f t="shared" si="818"/>
        <v>é.critério.melhor.conteúdo.artístico</v>
      </c>
      <c r="E1483" s="8" t="s">
        <v>28</v>
      </c>
      <c r="F1483" s="34" t="str">
        <f t="shared" si="825"/>
        <v>d.licitar</v>
      </c>
      <c r="G1483" s="27" t="s">
        <v>6637</v>
      </c>
      <c r="H1483" s="33" t="s">
        <v>1581</v>
      </c>
      <c r="I1483" s="92" t="str">
        <f t="shared" si="802"/>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19"/>
        <v>Propriedade destinada a licitar: é.critério.melhor.conteúdo.artístico</v>
      </c>
      <c r="V1483" s="5" t="str">
        <f t="shared" si="820"/>
        <v>Dado para licitar:  critério.melhor.conteúdo.artístico  Deve ser formatado como (rdfs:Literal  or  xsd:string)</v>
      </c>
      <c r="W1483" s="69" t="s">
        <v>5785</v>
      </c>
      <c r="X1483" s="17" t="str">
        <f t="shared" si="816"/>
        <v>d.licit.107</v>
      </c>
      <c r="Y1483" s="17" t="str">
        <f t="shared" si="817"/>
        <v>Ação de licitar</v>
      </c>
      <c r="Z1483" s="62" t="s">
        <v>4494</v>
      </c>
      <c r="AA1483" s="18" t="str">
        <f t="shared" si="821"/>
        <v>null</v>
      </c>
      <c r="AB1483" s="19" t="s">
        <v>0</v>
      </c>
      <c r="AC1483" s="18" t="str">
        <f t="shared" si="822"/>
        <v>null</v>
      </c>
      <c r="AD1483" s="19" t="s">
        <v>0</v>
      </c>
      <c r="AE1483" s="18" t="str">
        <f t="shared" si="823"/>
        <v>null</v>
      </c>
      <c r="AF1483" s="75" t="s">
        <v>0</v>
      </c>
      <c r="AG1483" s="38" t="s">
        <v>8656</v>
      </c>
    </row>
    <row r="1484" spans="1:33" ht="6" customHeight="1" x14ac:dyDescent="0.4">
      <c r="A1484" s="4">
        <f>ROW()</f>
        <v>1484</v>
      </c>
      <c r="B1484" s="9" t="s">
        <v>27</v>
      </c>
      <c r="C1484" s="44" t="str">
        <f t="shared" si="824"/>
        <v>p.licitar</v>
      </c>
      <c r="D1484" s="6" t="str">
        <f t="shared" si="818"/>
        <v>é.critério.melhor.técnica</v>
      </c>
      <c r="E1484" s="8" t="s">
        <v>28</v>
      </c>
      <c r="F1484" s="34" t="str">
        <f t="shared" si="825"/>
        <v>d.licitar</v>
      </c>
      <c r="G1484" s="27" t="s">
        <v>6638</v>
      </c>
      <c r="H1484" s="33" t="s">
        <v>1581</v>
      </c>
      <c r="I1484" s="92" t="str">
        <f t="shared" ref="I1484:I1547" si="826">IF(OR(J1484="Functional",K1484="InverseFunctional"),"Functional","null")</f>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si="819"/>
        <v>Propriedade destinada a licitar: é.critério.melhor.técnica</v>
      </c>
      <c r="V1484" s="5" t="str">
        <f t="shared" si="820"/>
        <v>Dado para licitar:  critério.melhor.técnica  Deve ser formatado como (rdfs:Literal  or  xsd:string)</v>
      </c>
      <c r="W1484" s="69" t="s">
        <v>5784</v>
      </c>
      <c r="X1484" s="17" t="str">
        <f t="shared" si="816"/>
        <v>d.licit.108</v>
      </c>
      <c r="Y1484" s="17" t="str">
        <f t="shared" si="817"/>
        <v>Ação de licitar</v>
      </c>
      <c r="Z1484" s="62" t="s">
        <v>4495</v>
      </c>
      <c r="AA1484" s="18" t="str">
        <f t="shared" si="821"/>
        <v>null</v>
      </c>
      <c r="AB1484" s="19" t="s">
        <v>0</v>
      </c>
      <c r="AC1484" s="18" t="str">
        <f t="shared" si="822"/>
        <v>null</v>
      </c>
      <c r="AD1484" s="19" t="s">
        <v>0</v>
      </c>
      <c r="AE1484" s="18" t="str">
        <f t="shared" si="823"/>
        <v>null</v>
      </c>
      <c r="AF1484" s="75" t="s">
        <v>0</v>
      </c>
      <c r="AG1484" s="38" t="s">
        <v>8657</v>
      </c>
    </row>
    <row r="1485" spans="1:33" ht="6" customHeight="1" x14ac:dyDescent="0.4">
      <c r="A1485" s="4">
        <f>ROW()</f>
        <v>1485</v>
      </c>
      <c r="B1485" s="9" t="s">
        <v>27</v>
      </c>
      <c r="C1485" s="44" t="str">
        <f t="shared" si="824"/>
        <v>p.licitar</v>
      </c>
      <c r="D1485" s="6" t="str">
        <f t="shared" si="818"/>
        <v>é.critério.menor.preço</v>
      </c>
      <c r="E1485" s="8" t="s">
        <v>28</v>
      </c>
      <c r="F1485" s="34" t="str">
        <f t="shared" si="825"/>
        <v>d.licitar</v>
      </c>
      <c r="G1485" s="27" t="s">
        <v>6639</v>
      </c>
      <c r="H1485" s="33" t="s">
        <v>1581</v>
      </c>
      <c r="I1485" s="92" t="str">
        <f t="shared" si="826"/>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9"/>
        <v>Propriedade destinada a licitar: é.critério.menor.preço</v>
      </c>
      <c r="V1485" s="5" t="str">
        <f t="shared" si="820"/>
        <v>Dado para licitar:  critério.menor.preço  Deve ser formatado como (rdfs:Literal  or  xsd:string)</v>
      </c>
      <c r="W1485" s="69" t="s">
        <v>5782</v>
      </c>
      <c r="X1485" s="17" t="str">
        <f t="shared" si="816"/>
        <v>d.licit.109</v>
      </c>
      <c r="Y1485" s="17" t="str">
        <f t="shared" si="817"/>
        <v>Ação de licitar</v>
      </c>
      <c r="Z1485" s="62" t="s">
        <v>4496</v>
      </c>
      <c r="AA1485" s="18" t="str">
        <f t="shared" si="821"/>
        <v>null</v>
      </c>
      <c r="AB1485" s="19" t="s">
        <v>0</v>
      </c>
      <c r="AC1485" s="18" t="str">
        <f t="shared" si="822"/>
        <v>null</v>
      </c>
      <c r="AD1485" s="19" t="s">
        <v>0</v>
      </c>
      <c r="AE1485" s="18" t="str">
        <f t="shared" si="823"/>
        <v>null</v>
      </c>
      <c r="AF1485" s="75" t="s">
        <v>0</v>
      </c>
      <c r="AG1485" s="38" t="s">
        <v>8658</v>
      </c>
    </row>
    <row r="1486" spans="1:33" ht="6" customHeight="1" x14ac:dyDescent="0.4">
      <c r="A1486" s="4">
        <f>ROW()</f>
        <v>1486</v>
      </c>
      <c r="B1486" s="9" t="s">
        <v>27</v>
      </c>
      <c r="C1486" s="44" t="str">
        <f t="shared" si="824"/>
        <v>p.licitar</v>
      </c>
      <c r="D1486" s="6" t="str">
        <f t="shared" si="818"/>
        <v>é.critério.técnica.e.preço</v>
      </c>
      <c r="E1486" s="8" t="s">
        <v>28</v>
      </c>
      <c r="F1486" s="34" t="str">
        <f t="shared" si="825"/>
        <v>d.licitar</v>
      </c>
      <c r="G1486" s="27" t="s">
        <v>6634</v>
      </c>
      <c r="H1486" s="33" t="s">
        <v>1581</v>
      </c>
      <c r="I1486" s="92" t="str">
        <f t="shared" si="826"/>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9"/>
        <v>Propriedade destinada a licitar: é.critério.técnica.e.preço</v>
      </c>
      <c r="V1486" s="5" t="str">
        <f t="shared" si="820"/>
        <v>Dado para licitar:  critério.técnica.e.preço  Deve ser formatado como (rdfs:Literal  or  xsd:string)</v>
      </c>
      <c r="W1486" s="69" t="s">
        <v>5786</v>
      </c>
      <c r="X1486" s="17" t="str">
        <f t="shared" si="816"/>
        <v>d.licit.110</v>
      </c>
      <c r="Y1486" s="17" t="str">
        <f t="shared" si="817"/>
        <v>Ação de licitar</v>
      </c>
      <c r="Z1486" s="62" t="s">
        <v>4497</v>
      </c>
      <c r="AA1486" s="18" t="str">
        <f t="shared" si="821"/>
        <v>null</v>
      </c>
      <c r="AB1486" s="19" t="s">
        <v>0</v>
      </c>
      <c r="AC1486" s="18" t="str">
        <f t="shared" si="822"/>
        <v>null</v>
      </c>
      <c r="AD1486" s="19" t="s">
        <v>0</v>
      </c>
      <c r="AE1486" s="18" t="str">
        <f t="shared" si="823"/>
        <v>null</v>
      </c>
      <c r="AF1486" s="75" t="s">
        <v>0</v>
      </c>
      <c r="AG1486" s="38" t="s">
        <v>8659</v>
      </c>
    </row>
    <row r="1487" spans="1:33" ht="6" customHeight="1" x14ac:dyDescent="0.4">
      <c r="A1487" s="4">
        <f>ROW()</f>
        <v>1487</v>
      </c>
      <c r="B1487" s="9" t="s">
        <v>27</v>
      </c>
      <c r="C1487" s="44" t="str">
        <f t="shared" si="824"/>
        <v>p.licitar</v>
      </c>
      <c r="D1487" s="6" t="str">
        <f t="shared" si="818"/>
        <v>é.fase.de.apresentação</v>
      </c>
      <c r="E1487" s="8" t="s">
        <v>28</v>
      </c>
      <c r="F1487" s="34" t="str">
        <f t="shared" si="825"/>
        <v>d.licitar</v>
      </c>
      <c r="G1487" s="28" t="s">
        <v>2604</v>
      </c>
      <c r="H1487" s="33" t="s">
        <v>1581</v>
      </c>
      <c r="I1487" s="92" t="str">
        <f t="shared" si="826"/>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9"/>
        <v>Propriedade destinada a licitar: é.fase.de.apresentação</v>
      </c>
      <c r="V1487" s="5" t="str">
        <f t="shared" si="820"/>
        <v>Dado para licitar:  fase.de.apresentação  Deve ser formatado como (rdfs:Literal  or  xsd:string)</v>
      </c>
      <c r="W1487" s="69" t="s">
        <v>5801</v>
      </c>
      <c r="X1487" s="17" t="str">
        <f t="shared" si="816"/>
        <v>d.licit.111</v>
      </c>
      <c r="Y1487" s="17" t="str">
        <f t="shared" si="817"/>
        <v>Ação de licitar</v>
      </c>
      <c r="Z1487" s="62" t="s">
        <v>4509</v>
      </c>
      <c r="AA1487" s="18" t="str">
        <f t="shared" si="821"/>
        <v>null</v>
      </c>
      <c r="AB1487" s="19" t="s">
        <v>0</v>
      </c>
      <c r="AC1487" s="18" t="str">
        <f t="shared" si="822"/>
        <v>null</v>
      </c>
      <c r="AD1487" s="19" t="s">
        <v>0</v>
      </c>
      <c r="AE1487" s="18" t="str">
        <f t="shared" si="823"/>
        <v>null</v>
      </c>
      <c r="AF1487" s="75" t="s">
        <v>0</v>
      </c>
      <c r="AG1487" s="38" t="s">
        <v>8660</v>
      </c>
    </row>
    <row r="1488" spans="1:33" ht="6" customHeight="1" x14ac:dyDescent="0.4">
      <c r="A1488" s="4">
        <f>ROW()</f>
        <v>1488</v>
      </c>
      <c r="B1488" s="9" t="s">
        <v>27</v>
      </c>
      <c r="C1488" s="44" t="str">
        <f t="shared" si="824"/>
        <v>p.licitar</v>
      </c>
      <c r="D1488" s="6" t="str">
        <f t="shared" si="818"/>
        <v>é.fase.de.divulgação.edital</v>
      </c>
      <c r="E1488" s="8" t="s">
        <v>28</v>
      </c>
      <c r="F1488" s="34" t="str">
        <f t="shared" si="825"/>
        <v>d.licitar</v>
      </c>
      <c r="G1488" s="28" t="s">
        <v>2602</v>
      </c>
      <c r="H1488" s="33" t="s">
        <v>1581</v>
      </c>
      <c r="I1488" s="92" t="str">
        <f t="shared" si="826"/>
        <v>null</v>
      </c>
      <c r="J1488" s="80" t="s">
        <v>0</v>
      </c>
      <c r="K1488" s="80" t="s">
        <v>0</v>
      </c>
      <c r="L1488" s="80" t="s">
        <v>0</v>
      </c>
      <c r="M1488" s="80" t="s">
        <v>0</v>
      </c>
      <c r="N1488" s="80" t="s">
        <v>0</v>
      </c>
      <c r="O1488" s="80" t="s">
        <v>0</v>
      </c>
      <c r="P1488" s="80" t="s">
        <v>0</v>
      </c>
      <c r="Q1488" s="80" t="s">
        <v>0</v>
      </c>
      <c r="R1488" s="84" t="s">
        <v>0</v>
      </c>
      <c r="S1488" s="10" t="s">
        <v>1</v>
      </c>
      <c r="T1488" s="10" t="s">
        <v>10221</v>
      </c>
      <c r="U1488" s="5" t="str">
        <f t="shared" si="819"/>
        <v>Propriedade destinada a licitar: é.fase.de.divulgação.edital</v>
      </c>
      <c r="V1488" s="5" t="str">
        <f t="shared" si="820"/>
        <v>Dado para licitar:  fase.de.divulgação.edital  Deve ser formatado como (rdfs:Literal  or  xsd:string)</v>
      </c>
      <c r="W1488" s="69" t="s">
        <v>5800</v>
      </c>
      <c r="X1488" s="17" t="str">
        <f t="shared" si="816"/>
        <v>d.licit.112</v>
      </c>
      <c r="Y1488" s="17" t="str">
        <f t="shared" si="817"/>
        <v>Ação de licitar</v>
      </c>
      <c r="Z1488" s="62" t="s">
        <v>4508</v>
      </c>
      <c r="AA1488" s="18" t="str">
        <f t="shared" si="821"/>
        <v>null</v>
      </c>
      <c r="AB1488" s="19" t="s">
        <v>0</v>
      </c>
      <c r="AC1488" s="18" t="str">
        <f t="shared" si="822"/>
        <v>null</v>
      </c>
      <c r="AD1488" s="19" t="s">
        <v>0</v>
      </c>
      <c r="AE1488" s="18" t="str">
        <f t="shared" si="823"/>
        <v>null</v>
      </c>
      <c r="AF1488" s="75" t="s">
        <v>0</v>
      </c>
      <c r="AG1488" s="38" t="s">
        <v>8661</v>
      </c>
    </row>
    <row r="1489" spans="1:33" ht="6" customHeight="1" x14ac:dyDescent="0.4">
      <c r="A1489" s="4">
        <f>ROW()</f>
        <v>1489</v>
      </c>
      <c r="B1489" s="9" t="s">
        <v>27</v>
      </c>
      <c r="C1489" s="44" t="str">
        <f t="shared" si="824"/>
        <v>p.licitar</v>
      </c>
      <c r="D1489" s="6" t="str">
        <f t="shared" si="818"/>
        <v>é.fase.de.habilitação</v>
      </c>
      <c r="E1489" s="8" t="s">
        <v>28</v>
      </c>
      <c r="F1489" s="34" t="str">
        <f t="shared" si="825"/>
        <v>d.licitar</v>
      </c>
      <c r="G1489" s="28" t="s">
        <v>1139</v>
      </c>
      <c r="H1489" s="33" t="s">
        <v>1581</v>
      </c>
      <c r="I1489" s="92" t="str">
        <f t="shared" si="826"/>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9"/>
        <v>Propriedade destinada a licitar: é.fase.de.habilitação</v>
      </c>
      <c r="V1489" s="5" t="str">
        <f t="shared" si="820"/>
        <v>Dado para licitar:  fase.de.habilitação  Deve ser formatado como (rdfs:Literal  or  xsd:string)</v>
      </c>
      <c r="W1489" s="69" t="s">
        <v>5803</v>
      </c>
      <c r="X1489" s="17" t="str">
        <f t="shared" si="816"/>
        <v>d.licit.113</v>
      </c>
      <c r="Y1489" s="17" t="str">
        <f t="shared" si="817"/>
        <v>Ação de licitar</v>
      </c>
      <c r="Z1489" s="62" t="s">
        <v>4511</v>
      </c>
      <c r="AA1489" s="18" t="str">
        <f t="shared" si="821"/>
        <v>null</v>
      </c>
      <c r="AB1489" s="19" t="s">
        <v>0</v>
      </c>
      <c r="AC1489" s="18" t="str">
        <f t="shared" si="822"/>
        <v>null</v>
      </c>
      <c r="AD1489" s="19" t="s">
        <v>0</v>
      </c>
      <c r="AE1489" s="18" t="str">
        <f t="shared" si="823"/>
        <v>null</v>
      </c>
      <c r="AF1489" s="75" t="s">
        <v>0</v>
      </c>
      <c r="AG1489" s="38" t="s">
        <v>8662</v>
      </c>
    </row>
    <row r="1490" spans="1:33" ht="6" customHeight="1" x14ac:dyDescent="0.4">
      <c r="A1490" s="4">
        <f>ROW()</f>
        <v>1490</v>
      </c>
      <c r="B1490" s="9" t="s">
        <v>27</v>
      </c>
      <c r="C1490" s="44" t="str">
        <f t="shared" si="824"/>
        <v>p.licitar</v>
      </c>
      <c r="D1490" s="6" t="str">
        <f t="shared" si="818"/>
        <v>é.fase.de.homologação</v>
      </c>
      <c r="E1490" s="8" t="s">
        <v>28</v>
      </c>
      <c r="F1490" s="34" t="str">
        <f t="shared" si="825"/>
        <v>d.licitar</v>
      </c>
      <c r="G1490" s="28" t="s">
        <v>1142</v>
      </c>
      <c r="H1490" s="33" t="s">
        <v>1581</v>
      </c>
      <c r="I1490" s="92" t="str">
        <f t="shared" si="826"/>
        <v>null</v>
      </c>
      <c r="J1490" s="80" t="s">
        <v>0</v>
      </c>
      <c r="K1490" s="80" t="s">
        <v>0</v>
      </c>
      <c r="L1490" s="80" t="s">
        <v>0</v>
      </c>
      <c r="M1490" s="80" t="s">
        <v>0</v>
      </c>
      <c r="N1490" s="80" t="s">
        <v>0</v>
      </c>
      <c r="O1490" s="80" t="s">
        <v>0</v>
      </c>
      <c r="P1490" s="80" t="s">
        <v>0</v>
      </c>
      <c r="Q1490" s="80" t="s">
        <v>0</v>
      </c>
      <c r="R1490" s="84" t="s">
        <v>1141</v>
      </c>
      <c r="S1490" s="10" t="s">
        <v>1</v>
      </c>
      <c r="T1490" s="10" t="s">
        <v>10221</v>
      </c>
      <c r="U1490" s="5" t="str">
        <f t="shared" si="819"/>
        <v>Propriedade destinada a licitar: é.fase.de.homologação</v>
      </c>
      <c r="V1490" s="5" t="str">
        <f t="shared" si="820"/>
        <v>Dado para licitar:  fase.de.homologação  Deve ser formatado como (rdfs:Literal  or  xsd:string)</v>
      </c>
      <c r="W1490" s="69" t="s">
        <v>5805</v>
      </c>
      <c r="X1490" s="17" t="str">
        <f t="shared" si="816"/>
        <v>d.licit.114</v>
      </c>
      <c r="Y1490" s="17" t="str">
        <f t="shared" si="817"/>
        <v>Ação de licitar</v>
      </c>
      <c r="Z1490" s="62" t="s">
        <v>4513</v>
      </c>
      <c r="AA1490" s="18" t="str">
        <f t="shared" si="821"/>
        <v>null</v>
      </c>
      <c r="AB1490" s="19" t="s">
        <v>0</v>
      </c>
      <c r="AC1490" s="18" t="str">
        <f t="shared" si="822"/>
        <v>null</v>
      </c>
      <c r="AD1490" s="19" t="s">
        <v>0</v>
      </c>
      <c r="AE1490" s="18" t="str">
        <f t="shared" si="823"/>
        <v>null</v>
      </c>
      <c r="AF1490" s="75" t="s">
        <v>0</v>
      </c>
      <c r="AG1490" s="38" t="s">
        <v>8663</v>
      </c>
    </row>
    <row r="1491" spans="1:33" ht="6" customHeight="1" x14ac:dyDescent="0.4">
      <c r="A1491" s="4">
        <f>ROW()</f>
        <v>1491</v>
      </c>
      <c r="B1491" s="9" t="s">
        <v>27</v>
      </c>
      <c r="C1491" s="44" t="str">
        <f t="shared" si="824"/>
        <v>p.licitar</v>
      </c>
      <c r="D1491" s="6" t="str">
        <f t="shared" si="818"/>
        <v>é.fase.de.julgamento</v>
      </c>
      <c r="E1491" s="8" t="s">
        <v>28</v>
      </c>
      <c r="F1491" s="34" t="str">
        <f t="shared" si="825"/>
        <v>d.licitar</v>
      </c>
      <c r="G1491" s="28" t="s">
        <v>1138</v>
      </c>
      <c r="H1491" s="33" t="s">
        <v>1581</v>
      </c>
      <c r="I1491" s="92" t="str">
        <f t="shared" si="826"/>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9"/>
        <v>Propriedade destinada a licitar: é.fase.de.julgamento</v>
      </c>
      <c r="V1491" s="5" t="str">
        <f t="shared" si="820"/>
        <v>Dado para licitar:  fase.de.julgamento  Deve ser formatado como (rdfs:Literal  or  xsd:string)</v>
      </c>
      <c r="W1491" s="69" t="s">
        <v>5802</v>
      </c>
      <c r="X1491" s="17" t="str">
        <f t="shared" si="816"/>
        <v>d.licit.115</v>
      </c>
      <c r="Y1491" s="17" t="str">
        <f t="shared" si="817"/>
        <v>Ação de licitar</v>
      </c>
      <c r="Z1491" s="62" t="s">
        <v>4510</v>
      </c>
      <c r="AA1491" s="18" t="str">
        <f t="shared" si="821"/>
        <v>null</v>
      </c>
      <c r="AB1491" s="19" t="s">
        <v>0</v>
      </c>
      <c r="AC1491" s="18" t="str">
        <f t="shared" si="822"/>
        <v>null</v>
      </c>
      <c r="AD1491" s="19" t="s">
        <v>0</v>
      </c>
      <c r="AE1491" s="18" t="str">
        <f t="shared" si="823"/>
        <v>null</v>
      </c>
      <c r="AF1491" s="75" t="s">
        <v>0</v>
      </c>
      <c r="AG1491" s="38" t="s">
        <v>8664</v>
      </c>
    </row>
    <row r="1492" spans="1:33" ht="6" customHeight="1" x14ac:dyDescent="0.4">
      <c r="A1492" s="4">
        <f>ROW()</f>
        <v>1492</v>
      </c>
      <c r="B1492" s="9" t="s">
        <v>27</v>
      </c>
      <c r="C1492" s="44" t="str">
        <f t="shared" si="824"/>
        <v>p.licitar</v>
      </c>
      <c r="D1492" s="6" t="str">
        <f t="shared" si="818"/>
        <v>é.fase.de.preparação</v>
      </c>
      <c r="E1492" s="8" t="s">
        <v>28</v>
      </c>
      <c r="F1492" s="34" t="str">
        <f t="shared" si="825"/>
        <v>d.licitar</v>
      </c>
      <c r="G1492" s="28" t="s">
        <v>2603</v>
      </c>
      <c r="H1492" s="33" t="s">
        <v>1581</v>
      </c>
      <c r="I1492" s="92" t="str">
        <f t="shared" si="826"/>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9"/>
        <v>Propriedade destinada a licitar: é.fase.de.preparação</v>
      </c>
      <c r="V1492" s="5" t="str">
        <f t="shared" si="820"/>
        <v>Dado para licitar:  fase.de.preparação  Deve ser formatado como (rdfs:Literal  or  xsd:string)</v>
      </c>
      <c r="W1492" s="69" t="s">
        <v>5799</v>
      </c>
      <c r="X1492" s="17" t="str">
        <f t="shared" si="816"/>
        <v>d.licit.116</v>
      </c>
      <c r="Y1492" s="17" t="str">
        <f t="shared" si="817"/>
        <v>Ação de licitar</v>
      </c>
      <c r="Z1492" s="62" t="s">
        <v>4507</v>
      </c>
      <c r="AA1492" s="18" t="str">
        <f t="shared" si="821"/>
        <v>null</v>
      </c>
      <c r="AB1492" s="19" t="s">
        <v>0</v>
      </c>
      <c r="AC1492" s="18" t="str">
        <f t="shared" si="822"/>
        <v>null</v>
      </c>
      <c r="AD1492" s="19" t="s">
        <v>0</v>
      </c>
      <c r="AE1492" s="18" t="str">
        <f t="shared" si="823"/>
        <v>null</v>
      </c>
      <c r="AF1492" s="75" t="s">
        <v>0</v>
      </c>
      <c r="AG1492" s="38" t="s">
        <v>8665</v>
      </c>
    </row>
    <row r="1493" spans="1:33" ht="6" customHeight="1" x14ac:dyDescent="0.4">
      <c r="A1493" s="4">
        <f>ROW()</f>
        <v>1493</v>
      </c>
      <c r="B1493" s="9" t="s">
        <v>27</v>
      </c>
      <c r="C1493" s="44" t="str">
        <f t="shared" si="824"/>
        <v>p.licitar</v>
      </c>
      <c r="D1493" s="6" t="str">
        <f t="shared" si="818"/>
        <v>é.fase.recursal</v>
      </c>
      <c r="E1493" s="8" t="s">
        <v>28</v>
      </c>
      <c r="F1493" s="34" t="str">
        <f t="shared" si="825"/>
        <v>d.licitar</v>
      </c>
      <c r="G1493" s="28" t="s">
        <v>2606</v>
      </c>
      <c r="H1493" s="33" t="s">
        <v>1581</v>
      </c>
      <c r="I1493" s="92" t="str">
        <f t="shared" si="826"/>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9"/>
        <v>Propriedade destinada a licitar: é.fase.recursal</v>
      </c>
      <c r="V1493" s="5" t="str">
        <f t="shared" si="820"/>
        <v>Dado para licitar:  fase.recursal  Deve ser formatado como (rdfs:Literal  or  xsd:string)</v>
      </c>
      <c r="W1493" s="69" t="s">
        <v>5804</v>
      </c>
      <c r="X1493" s="17" t="str">
        <f t="shared" si="816"/>
        <v>d.licit.117</v>
      </c>
      <c r="Y1493" s="17" t="str">
        <f t="shared" si="817"/>
        <v>Ação de licitar</v>
      </c>
      <c r="Z1493" s="62" t="s">
        <v>4512</v>
      </c>
      <c r="AA1493" s="18" t="str">
        <f t="shared" si="821"/>
        <v>null</v>
      </c>
      <c r="AB1493" s="19" t="s">
        <v>0</v>
      </c>
      <c r="AC1493" s="18" t="str">
        <f t="shared" si="822"/>
        <v>null</v>
      </c>
      <c r="AD1493" s="19" t="s">
        <v>0</v>
      </c>
      <c r="AE1493" s="18" t="str">
        <f t="shared" si="823"/>
        <v>null</v>
      </c>
      <c r="AF1493" s="75" t="s">
        <v>0</v>
      </c>
      <c r="AG1493" s="38" t="s">
        <v>8666</v>
      </c>
    </row>
    <row r="1494" spans="1:33" ht="6" customHeight="1" x14ac:dyDescent="0.4">
      <c r="A1494" s="4">
        <f>ROW()</f>
        <v>1494</v>
      </c>
      <c r="B1494" s="9" t="s">
        <v>27</v>
      </c>
      <c r="C1494" s="44" t="str">
        <f t="shared" si="824"/>
        <v>p.licitar</v>
      </c>
      <c r="D1494" s="6" t="str">
        <f t="shared" si="818"/>
        <v>é.modalidade.concorrência</v>
      </c>
      <c r="E1494" s="8" t="s">
        <v>28</v>
      </c>
      <c r="F1494" s="34" t="str">
        <f t="shared" si="825"/>
        <v>d.licitar</v>
      </c>
      <c r="G1494" s="27" t="s">
        <v>1121</v>
      </c>
      <c r="H1494" s="33" t="s">
        <v>1581</v>
      </c>
      <c r="I1494" s="92" t="str">
        <f t="shared" si="826"/>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9"/>
        <v>Propriedade destinada a licitar: é.modalidade.concorrência</v>
      </c>
      <c r="V1494" s="5" t="str">
        <f t="shared" si="820"/>
        <v>Dado para licitar:  modalidade.concorrência  Deve ser formatado como (rdfs:Literal  or  xsd:string)</v>
      </c>
      <c r="W1494" s="69" t="s">
        <v>5774</v>
      </c>
      <c r="X1494" s="17" t="str">
        <f t="shared" si="816"/>
        <v>d.licit.118</v>
      </c>
      <c r="Y1494" s="17" t="str">
        <f t="shared" si="817"/>
        <v>Ação de licitar</v>
      </c>
      <c r="Z1494" s="62" t="s">
        <v>4341</v>
      </c>
      <c r="AA1494" s="18" t="str">
        <f t="shared" si="821"/>
        <v>null</v>
      </c>
      <c r="AB1494" s="19" t="s">
        <v>0</v>
      </c>
      <c r="AC1494" s="18" t="str">
        <f t="shared" si="822"/>
        <v>null</v>
      </c>
      <c r="AD1494" s="19" t="s">
        <v>0</v>
      </c>
      <c r="AE1494" s="18" t="str">
        <f t="shared" si="823"/>
        <v>null</v>
      </c>
      <c r="AF1494" s="75" t="s">
        <v>0</v>
      </c>
      <c r="AG1494" s="38" t="s">
        <v>8667</v>
      </c>
    </row>
    <row r="1495" spans="1:33" ht="6" customHeight="1" x14ac:dyDescent="0.4">
      <c r="A1495" s="4">
        <f>ROW()</f>
        <v>1495</v>
      </c>
      <c r="B1495" s="9" t="s">
        <v>27</v>
      </c>
      <c r="C1495" s="44" t="str">
        <f t="shared" si="824"/>
        <v>p.licitar</v>
      </c>
      <c r="D1495" s="6" t="str">
        <f t="shared" si="818"/>
        <v>é.modalidade.credenciamento</v>
      </c>
      <c r="E1495" s="8" t="s">
        <v>28</v>
      </c>
      <c r="F1495" s="34" t="str">
        <f t="shared" si="825"/>
        <v>d.licitar</v>
      </c>
      <c r="G1495" s="27" t="s">
        <v>1125</v>
      </c>
      <c r="H1495" s="33" t="s">
        <v>1581</v>
      </c>
      <c r="I1495" s="92" t="str">
        <f t="shared" si="826"/>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9"/>
        <v>Propriedade destinada a licitar: é.modalidade.credenciamento</v>
      </c>
      <c r="V1495" s="5" t="str">
        <f t="shared" si="820"/>
        <v>Dado para licitar:  modalidade.credenciamento  Deve ser formatado como (rdfs:Literal  or  xsd:string)</v>
      </c>
      <c r="W1495" s="69" t="s">
        <v>5777</v>
      </c>
      <c r="X1495" s="17" t="str">
        <f t="shared" si="816"/>
        <v>d.licit.119</v>
      </c>
      <c r="Y1495" s="17" t="str">
        <f t="shared" si="817"/>
        <v>Ação de licitar</v>
      </c>
      <c r="Z1495" s="62" t="s">
        <v>4344</v>
      </c>
      <c r="AA1495" s="18" t="str">
        <f t="shared" si="821"/>
        <v>null</v>
      </c>
      <c r="AB1495" s="19" t="s">
        <v>0</v>
      </c>
      <c r="AC1495" s="18" t="str">
        <f t="shared" si="822"/>
        <v>null</v>
      </c>
      <c r="AD1495" s="19" t="s">
        <v>0</v>
      </c>
      <c r="AE1495" s="18" t="str">
        <f t="shared" si="823"/>
        <v>null</v>
      </c>
      <c r="AF1495" s="75" t="s">
        <v>0</v>
      </c>
      <c r="AG1495" s="38" t="s">
        <v>8668</v>
      </c>
    </row>
    <row r="1496" spans="1:33" ht="6" customHeight="1" x14ac:dyDescent="0.4">
      <c r="A1496" s="4">
        <f>ROW()</f>
        <v>1496</v>
      </c>
      <c r="B1496" s="9" t="s">
        <v>27</v>
      </c>
      <c r="C1496" s="44" t="str">
        <f t="shared" si="824"/>
        <v>p.licitar</v>
      </c>
      <c r="D1496" s="6" t="str">
        <f t="shared" si="818"/>
        <v>é.modalidade.diálogo.competitivo</v>
      </c>
      <c r="E1496" s="8" t="s">
        <v>28</v>
      </c>
      <c r="F1496" s="34" t="str">
        <f t="shared" si="825"/>
        <v>d.licitar</v>
      </c>
      <c r="G1496" s="27" t="s">
        <v>1124</v>
      </c>
      <c r="H1496" s="33" t="s">
        <v>1581</v>
      </c>
      <c r="I1496" s="92" t="str">
        <f t="shared" si="826"/>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9"/>
        <v>Propriedade destinada a licitar: é.modalidade.diálogo.competitivo</v>
      </c>
      <c r="V1496" s="5" t="str">
        <f t="shared" si="820"/>
        <v>Dado para licitar:  modalidade.diálogo.competitivo  Deve ser formatado como (rdfs:Literal  or  xsd:string)</v>
      </c>
      <c r="W1496" s="69" t="s">
        <v>5776</v>
      </c>
      <c r="X1496" s="17" t="str">
        <f t="shared" si="816"/>
        <v>d.licit.120</v>
      </c>
      <c r="Y1496" s="17" t="str">
        <f t="shared" si="817"/>
        <v>Ação de licitar</v>
      </c>
      <c r="Z1496" s="62" t="s">
        <v>4343</v>
      </c>
      <c r="AA1496" s="18" t="str">
        <f t="shared" si="821"/>
        <v>null</v>
      </c>
      <c r="AB1496" s="19" t="s">
        <v>0</v>
      </c>
      <c r="AC1496" s="18" t="str">
        <f t="shared" si="822"/>
        <v>null</v>
      </c>
      <c r="AD1496" s="19" t="s">
        <v>0</v>
      </c>
      <c r="AE1496" s="18" t="str">
        <f t="shared" si="823"/>
        <v>null</v>
      </c>
      <c r="AF1496" s="75" t="s">
        <v>0</v>
      </c>
      <c r="AG1496" s="38" t="s">
        <v>8669</v>
      </c>
    </row>
    <row r="1497" spans="1:33" ht="6" customHeight="1" x14ac:dyDescent="0.4">
      <c r="A1497" s="4">
        <f>ROW()</f>
        <v>1497</v>
      </c>
      <c r="B1497" s="9" t="s">
        <v>27</v>
      </c>
      <c r="C1497" s="44" t="str">
        <f t="shared" si="824"/>
        <v>p.licitar</v>
      </c>
      <c r="D1497" s="6" t="str">
        <f t="shared" si="818"/>
        <v>é.modalidade.leilão</v>
      </c>
      <c r="E1497" s="8" t="s">
        <v>28</v>
      </c>
      <c r="F1497" s="34" t="str">
        <f t="shared" si="825"/>
        <v>d.licitar</v>
      </c>
      <c r="G1497" s="27" t="s">
        <v>1122</v>
      </c>
      <c r="H1497" s="33" t="s">
        <v>1581</v>
      </c>
      <c r="I1497" s="92" t="str">
        <f t="shared" si="826"/>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9"/>
        <v>Propriedade destinada a licitar: é.modalidade.leilão</v>
      </c>
      <c r="V1497" s="5" t="str">
        <f t="shared" si="820"/>
        <v>Dado para licitar:  modalidade.leilão  Deve ser formatado como (rdfs:Literal  or  xsd:string)</v>
      </c>
      <c r="W1497" s="69" t="s">
        <v>5775</v>
      </c>
      <c r="X1497" s="17" t="str">
        <f t="shared" si="816"/>
        <v>d.licit.121</v>
      </c>
      <c r="Y1497" s="17" t="str">
        <f t="shared" si="817"/>
        <v>Ação de licitar</v>
      </c>
      <c r="Z1497" s="62" t="s">
        <v>4342</v>
      </c>
      <c r="AA1497" s="18" t="str">
        <f t="shared" si="821"/>
        <v>null</v>
      </c>
      <c r="AB1497" s="19" t="s">
        <v>0</v>
      </c>
      <c r="AC1497" s="18" t="str">
        <f t="shared" si="822"/>
        <v>null</v>
      </c>
      <c r="AD1497" s="19" t="s">
        <v>0</v>
      </c>
      <c r="AE1497" s="18" t="str">
        <f t="shared" si="823"/>
        <v>null</v>
      </c>
      <c r="AF1497" s="75" t="s">
        <v>0</v>
      </c>
      <c r="AG1497" s="38" t="s">
        <v>8670</v>
      </c>
    </row>
    <row r="1498" spans="1:33" ht="6" customHeight="1" x14ac:dyDescent="0.4">
      <c r="A1498" s="4">
        <f>ROW()</f>
        <v>1498</v>
      </c>
      <c r="B1498" s="9" t="s">
        <v>27</v>
      </c>
      <c r="C1498" s="44" t="str">
        <f t="shared" si="824"/>
        <v>p.licitar</v>
      </c>
      <c r="D1498" s="6" t="str">
        <f t="shared" si="818"/>
        <v>é.modalidade.pregão</v>
      </c>
      <c r="E1498" s="8" t="s">
        <v>28</v>
      </c>
      <c r="F1498" s="34" t="str">
        <f t="shared" si="825"/>
        <v>d.licitar</v>
      </c>
      <c r="G1498" s="27" t="s">
        <v>1123</v>
      </c>
      <c r="H1498" s="33" t="s">
        <v>1581</v>
      </c>
      <c r="I1498" s="92" t="str">
        <f t="shared" si="826"/>
        <v>null</v>
      </c>
      <c r="J1498" s="82" t="s">
        <v>0</v>
      </c>
      <c r="K1498" s="82" t="s">
        <v>0</v>
      </c>
      <c r="L1498" s="82" t="s">
        <v>0</v>
      </c>
      <c r="M1498" s="82" t="s">
        <v>0</v>
      </c>
      <c r="N1498" s="80" t="s">
        <v>0</v>
      </c>
      <c r="O1498" s="82" t="s">
        <v>0</v>
      </c>
      <c r="P1498" s="82" t="s">
        <v>0</v>
      </c>
      <c r="Q1498" s="82" t="s">
        <v>0</v>
      </c>
      <c r="R1498" s="84" t="s">
        <v>0</v>
      </c>
      <c r="S1498" s="10" t="s">
        <v>1</v>
      </c>
      <c r="T1498" s="10" t="s">
        <v>10221</v>
      </c>
      <c r="U1498" s="5" t="str">
        <f t="shared" si="819"/>
        <v>Propriedade destinada a licitar: é.modalidade.pregão</v>
      </c>
      <c r="V1498" s="5" t="str">
        <f t="shared" si="820"/>
        <v>Dado para licitar:  modalidade.pregão  Deve ser formatado como (rdfs:Literal  or  xsd:string)</v>
      </c>
      <c r="W1498" s="69" t="s">
        <v>5776</v>
      </c>
      <c r="X1498" s="17" t="str">
        <f t="shared" si="816"/>
        <v>d.licit.122</v>
      </c>
      <c r="Y1498" s="17" t="str">
        <f t="shared" si="817"/>
        <v>Ação de licitar</v>
      </c>
      <c r="Z1498" s="62" t="s">
        <v>4343</v>
      </c>
      <c r="AA1498" s="18" t="str">
        <f t="shared" si="821"/>
        <v>null</v>
      </c>
      <c r="AB1498" s="19" t="s">
        <v>0</v>
      </c>
      <c r="AC1498" s="18" t="str">
        <f t="shared" si="822"/>
        <v>null</v>
      </c>
      <c r="AD1498" s="19" t="s">
        <v>0</v>
      </c>
      <c r="AE1498" s="18" t="str">
        <f t="shared" si="823"/>
        <v>null</v>
      </c>
      <c r="AF1498" s="75" t="s">
        <v>0</v>
      </c>
      <c r="AG1498" s="38" t="s">
        <v>8669</v>
      </c>
    </row>
    <row r="1499" spans="1:33" ht="6" customHeight="1" x14ac:dyDescent="0.4">
      <c r="A1499" s="4">
        <f>ROW()</f>
        <v>1499</v>
      </c>
      <c r="B1499" s="9" t="s">
        <v>27</v>
      </c>
      <c r="C1499" s="44" t="str">
        <f t="shared" si="824"/>
        <v>p.licitar</v>
      </c>
      <c r="D1499" s="6" t="str">
        <f t="shared" si="818"/>
        <v>é.órgão.ou.entidade.gerenciadora</v>
      </c>
      <c r="E1499" s="8" t="s">
        <v>28</v>
      </c>
      <c r="F1499" s="34" t="str">
        <f t="shared" si="825"/>
        <v>d.licitar</v>
      </c>
      <c r="G1499" s="27" t="s">
        <v>1135</v>
      </c>
      <c r="H1499" s="33" t="s">
        <v>1581</v>
      </c>
      <c r="I1499" s="92" t="str">
        <f t="shared" si="826"/>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9"/>
        <v>Propriedade destinada a licitar: é.órgão.ou.entidade.gerenciadora</v>
      </c>
      <c r="V1499" s="5" t="str">
        <f t="shared" si="820"/>
        <v>Dado para licitar:  órgão.ou.entidade.gerenciadora  Deve ser formatado como (rdfs:Literal  or  xsd:string)</v>
      </c>
      <c r="W1499" s="69" t="s">
        <v>5796</v>
      </c>
      <c r="X1499" s="17" t="str">
        <f t="shared" si="816"/>
        <v>d.licit.123</v>
      </c>
      <c r="Y1499" s="17" t="str">
        <f t="shared" si="817"/>
        <v>Ação de licitar</v>
      </c>
      <c r="Z1499" s="62" t="s">
        <v>4504</v>
      </c>
      <c r="AA1499" s="18" t="str">
        <f t="shared" si="821"/>
        <v>null</v>
      </c>
      <c r="AB1499" s="19" t="s">
        <v>0</v>
      </c>
      <c r="AC1499" s="18" t="str">
        <f t="shared" si="822"/>
        <v>null</v>
      </c>
      <c r="AD1499" s="19" t="s">
        <v>0</v>
      </c>
      <c r="AE1499" s="18" t="str">
        <f t="shared" si="823"/>
        <v>null</v>
      </c>
      <c r="AF1499" s="75" t="s">
        <v>0</v>
      </c>
      <c r="AG1499" s="38" t="s">
        <v>8671</v>
      </c>
    </row>
    <row r="1500" spans="1:33" ht="6" customHeight="1" x14ac:dyDescent="0.4">
      <c r="A1500" s="4">
        <f>ROW()</f>
        <v>1500</v>
      </c>
      <c r="B1500" s="9" t="s">
        <v>27</v>
      </c>
      <c r="C1500" s="44" t="str">
        <f t="shared" si="824"/>
        <v>p.licitar</v>
      </c>
      <c r="D1500" s="6" t="str">
        <f t="shared" si="818"/>
        <v>é.órgão.ou.entidade.não.participante</v>
      </c>
      <c r="E1500" s="8" t="s">
        <v>28</v>
      </c>
      <c r="F1500" s="34" t="str">
        <f t="shared" si="825"/>
        <v>d.licitar</v>
      </c>
      <c r="G1500" s="27" t="s">
        <v>1137</v>
      </c>
      <c r="H1500" s="33" t="s">
        <v>1581</v>
      </c>
      <c r="I1500" s="92" t="str">
        <f t="shared" si="826"/>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9"/>
        <v>Propriedade destinada a licitar: é.órgão.ou.entidade.não.participante</v>
      </c>
      <c r="V1500" s="5" t="str">
        <f t="shared" si="820"/>
        <v>Dado para licitar:  órgão.ou.entidade.não.participante  Deve ser formatado como (rdfs:Literal  or  xsd:string)</v>
      </c>
      <c r="W1500" s="69" t="s">
        <v>5798</v>
      </c>
      <c r="X1500" s="17" t="str">
        <f t="shared" si="816"/>
        <v>d.licit.124</v>
      </c>
      <c r="Y1500" s="17" t="str">
        <f t="shared" si="817"/>
        <v>Ação de licitar</v>
      </c>
      <c r="Z1500" s="62" t="s">
        <v>4506</v>
      </c>
      <c r="AA1500" s="18" t="str">
        <f t="shared" si="821"/>
        <v>null</v>
      </c>
      <c r="AB1500" s="19" t="s">
        <v>0</v>
      </c>
      <c r="AC1500" s="18" t="str">
        <f t="shared" si="822"/>
        <v>null</v>
      </c>
      <c r="AD1500" s="19" t="s">
        <v>0</v>
      </c>
      <c r="AE1500" s="18" t="str">
        <f t="shared" si="823"/>
        <v>null</v>
      </c>
      <c r="AF1500" s="75" t="s">
        <v>0</v>
      </c>
      <c r="AG1500" s="38" t="s">
        <v>8672</v>
      </c>
    </row>
    <row r="1501" spans="1:33" ht="6" customHeight="1" x14ac:dyDescent="0.4">
      <c r="A1501" s="4">
        <f>ROW()</f>
        <v>1501</v>
      </c>
      <c r="B1501" s="9" t="s">
        <v>27</v>
      </c>
      <c r="C1501" s="44" t="str">
        <f t="shared" si="824"/>
        <v>p.licitar</v>
      </c>
      <c r="D1501" s="6" t="str">
        <f t="shared" si="818"/>
        <v>é.órgão.ou.entidade.participante</v>
      </c>
      <c r="E1501" s="8" t="s">
        <v>28</v>
      </c>
      <c r="F1501" s="34" t="str">
        <f t="shared" si="825"/>
        <v>d.licitar</v>
      </c>
      <c r="G1501" s="27" t="s">
        <v>1136</v>
      </c>
      <c r="H1501" s="33" t="s">
        <v>1581</v>
      </c>
      <c r="I1501" s="92" t="str">
        <f t="shared" si="826"/>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9"/>
        <v>Propriedade destinada a licitar: é.órgão.ou.entidade.participante</v>
      </c>
      <c r="V1501" s="5" t="str">
        <f t="shared" si="820"/>
        <v>Dado para licitar:  órgão.ou.entidade.participante  Deve ser formatado como (rdfs:Literal  or  xsd:string)</v>
      </c>
      <c r="W1501" s="69" t="s">
        <v>5797</v>
      </c>
      <c r="X1501" s="17" t="str">
        <f t="shared" si="816"/>
        <v>d.licit.125</v>
      </c>
      <c r="Y1501" s="17" t="str">
        <f t="shared" si="817"/>
        <v>Ação de licitar</v>
      </c>
      <c r="Z1501" s="62" t="s">
        <v>4505</v>
      </c>
      <c r="AA1501" s="18" t="str">
        <f t="shared" si="821"/>
        <v>null</v>
      </c>
      <c r="AB1501" s="19" t="s">
        <v>0</v>
      </c>
      <c r="AC1501" s="18" t="str">
        <f t="shared" si="822"/>
        <v>null</v>
      </c>
      <c r="AD1501" s="19" t="s">
        <v>0</v>
      </c>
      <c r="AE1501" s="18" t="str">
        <f t="shared" si="823"/>
        <v>null</v>
      </c>
      <c r="AF1501" s="75" t="s">
        <v>0</v>
      </c>
      <c r="AG1501" s="38" t="s">
        <v>8673</v>
      </c>
    </row>
    <row r="1502" spans="1:33" ht="6" customHeight="1" x14ac:dyDescent="0.4">
      <c r="A1502" s="4">
        <f>ROW()</f>
        <v>1502</v>
      </c>
      <c r="B1502" s="9" t="s">
        <v>27</v>
      </c>
      <c r="C1502" s="44" t="str">
        <f t="shared" si="824"/>
        <v>p.licitar</v>
      </c>
      <c r="D1502" s="6" t="str">
        <f t="shared" si="818"/>
        <v>é.pré-qualificação</v>
      </c>
      <c r="E1502" s="8" t="s">
        <v>28</v>
      </c>
      <c r="F1502" s="34" t="str">
        <f t="shared" si="825"/>
        <v>d.licitar</v>
      </c>
      <c r="G1502" s="27" t="s">
        <v>1126</v>
      </c>
      <c r="H1502" s="33" t="s">
        <v>1581</v>
      </c>
      <c r="I1502" s="92" t="str">
        <f t="shared" si="826"/>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9"/>
        <v>Propriedade destinada a licitar: é.pré-qualificação</v>
      </c>
      <c r="V1502" s="5" t="str">
        <f t="shared" si="820"/>
        <v>Dado para licitar:  pré-qualificação  Deve ser formatado como (rdfs:Literal  or  xsd:string)</v>
      </c>
      <c r="W1502" s="69" t="s">
        <v>5778</v>
      </c>
      <c r="X1502" s="17" t="str">
        <f t="shared" si="816"/>
        <v>d.licit.126</v>
      </c>
      <c r="Y1502" s="17" t="str">
        <f t="shared" si="817"/>
        <v>Ação de licitar</v>
      </c>
      <c r="Z1502" s="62" t="s">
        <v>4345</v>
      </c>
      <c r="AA1502" s="18" t="str">
        <f t="shared" si="821"/>
        <v>null</v>
      </c>
      <c r="AB1502" s="19" t="s">
        <v>0</v>
      </c>
      <c r="AC1502" s="18" t="str">
        <f t="shared" si="822"/>
        <v>null</v>
      </c>
      <c r="AD1502" s="19" t="s">
        <v>0</v>
      </c>
      <c r="AE1502" s="18" t="str">
        <f t="shared" si="823"/>
        <v>null</v>
      </c>
      <c r="AF1502" s="75" t="s">
        <v>0</v>
      </c>
      <c r="AG1502" s="38" t="s">
        <v>8674</v>
      </c>
    </row>
    <row r="1503" spans="1:33" ht="6" customHeight="1" x14ac:dyDescent="0.4">
      <c r="A1503" s="4">
        <f>ROW()</f>
        <v>1503</v>
      </c>
      <c r="B1503" s="9" t="s">
        <v>27</v>
      </c>
      <c r="C1503" s="44" t="str">
        <f t="shared" si="824"/>
        <v>p.licitar</v>
      </c>
      <c r="D1503" s="6" t="str">
        <f t="shared" si="818"/>
        <v>é.registro.de.preço</v>
      </c>
      <c r="E1503" s="8" t="s">
        <v>28</v>
      </c>
      <c r="F1503" s="34" t="str">
        <f t="shared" si="825"/>
        <v>d.licitar</v>
      </c>
      <c r="G1503" s="27" t="s">
        <v>1127</v>
      </c>
      <c r="H1503" s="33" t="s">
        <v>1581</v>
      </c>
      <c r="I1503" s="92" t="str">
        <f t="shared" si="826"/>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9"/>
        <v>Propriedade destinada a licitar: é.registro.de.preço</v>
      </c>
      <c r="V1503" s="5" t="str">
        <f t="shared" si="820"/>
        <v>Dado para licitar:  registro.de.preço  Deve ser formatado como (rdfs:Literal  or  xsd:string)</v>
      </c>
      <c r="W1503" s="69" t="s">
        <v>5779</v>
      </c>
      <c r="X1503" s="17" t="str">
        <f t="shared" si="816"/>
        <v>d.licit.127</v>
      </c>
      <c r="Y1503" s="17" t="str">
        <f t="shared" si="817"/>
        <v>Ação de licitar</v>
      </c>
      <c r="Z1503" s="62" t="s">
        <v>4346</v>
      </c>
      <c r="AA1503" s="18" t="str">
        <f t="shared" si="821"/>
        <v>null</v>
      </c>
      <c r="AB1503" s="19" t="s">
        <v>0</v>
      </c>
      <c r="AC1503" s="18" t="str">
        <f t="shared" si="822"/>
        <v>null</v>
      </c>
      <c r="AD1503" s="19" t="s">
        <v>0</v>
      </c>
      <c r="AE1503" s="18" t="str">
        <f t="shared" si="823"/>
        <v>null</v>
      </c>
      <c r="AF1503" s="75" t="s">
        <v>0</v>
      </c>
      <c r="AG1503" s="38" t="s">
        <v>8675</v>
      </c>
    </row>
    <row r="1504" spans="1:33" ht="6" customHeight="1" x14ac:dyDescent="0.4">
      <c r="A1504" s="4">
        <f>ROW()</f>
        <v>1504</v>
      </c>
      <c r="B1504" s="9" t="s">
        <v>27</v>
      </c>
      <c r="C1504" s="44" t="str">
        <f t="shared" si="824"/>
        <v>p.licitar</v>
      </c>
      <c r="D1504" s="6" t="str">
        <f t="shared" si="818"/>
        <v>é.repactuação</v>
      </c>
      <c r="E1504" s="8" t="s">
        <v>28</v>
      </c>
      <c r="F1504" s="34" t="str">
        <f t="shared" si="825"/>
        <v>d.licitar</v>
      </c>
      <c r="G1504" s="27" t="s">
        <v>1134</v>
      </c>
      <c r="H1504" s="33" t="s">
        <v>1581</v>
      </c>
      <c r="I1504" s="92" t="str">
        <f t="shared" si="826"/>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9"/>
        <v>Propriedade destinada a licitar: é.repactuação</v>
      </c>
      <c r="V1504" s="5" t="str">
        <f t="shared" si="820"/>
        <v>Dado para licitar:  repactuação  Deve ser formatado como (rdfs:Literal  or  xsd:string)</v>
      </c>
      <c r="W1504" s="69" t="s">
        <v>5795</v>
      </c>
      <c r="X1504" s="17" t="str">
        <f t="shared" si="816"/>
        <v>d.licit.128</v>
      </c>
      <c r="Y1504" s="17" t="str">
        <f t="shared" si="817"/>
        <v>Ação de licitar</v>
      </c>
      <c r="Z1504" s="62" t="s">
        <v>4699</v>
      </c>
      <c r="AA1504" s="18" t="str">
        <f t="shared" si="821"/>
        <v>null</v>
      </c>
      <c r="AB1504" s="19" t="s">
        <v>0</v>
      </c>
      <c r="AC1504" s="18" t="str">
        <f t="shared" si="822"/>
        <v>null</v>
      </c>
      <c r="AD1504" s="19" t="s">
        <v>0</v>
      </c>
      <c r="AE1504" s="18" t="str">
        <f t="shared" si="823"/>
        <v>null</v>
      </c>
      <c r="AF1504" s="75" t="s">
        <v>0</v>
      </c>
      <c r="AG1504" s="38" t="s">
        <v>8676</v>
      </c>
    </row>
    <row r="1505" spans="1:33" ht="6" customHeight="1" x14ac:dyDescent="0.4">
      <c r="A1505" s="4">
        <f>ROW()</f>
        <v>1505</v>
      </c>
      <c r="B1505" s="9" t="s">
        <v>27</v>
      </c>
      <c r="C1505" s="44" t="str">
        <f t="shared" si="824"/>
        <v>p.licitar</v>
      </c>
      <c r="D1505" s="6" t="str">
        <f t="shared" si="818"/>
        <v>é.seguro-garantia</v>
      </c>
      <c r="E1505" s="8" t="s">
        <v>28</v>
      </c>
      <c r="F1505" s="34" t="str">
        <f t="shared" si="825"/>
        <v>d.licitar</v>
      </c>
      <c r="G1505" s="27" t="s">
        <v>1133</v>
      </c>
      <c r="H1505" s="33" t="s">
        <v>1581</v>
      </c>
      <c r="I1505" s="92" t="str">
        <f t="shared" si="826"/>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9"/>
        <v>Propriedade destinada a licitar: é.seguro-garantia</v>
      </c>
      <c r="V1505" s="5" t="str">
        <f t="shared" si="820"/>
        <v>Dado para licitar:  seguro-garantia  Deve ser formatado como (rdfs:Literal  or  xsd:string)</v>
      </c>
      <c r="W1505" s="69" t="s">
        <v>5792</v>
      </c>
      <c r="X1505" s="17" t="str">
        <f t="shared" si="816"/>
        <v>d.licit.129</v>
      </c>
      <c r="Y1505" s="17" t="str">
        <f t="shared" si="817"/>
        <v>Ação de licitar</v>
      </c>
      <c r="Z1505" s="62" t="s">
        <v>4501</v>
      </c>
      <c r="AA1505" s="18" t="str">
        <f t="shared" si="821"/>
        <v>null</v>
      </c>
      <c r="AB1505" s="19" t="s">
        <v>0</v>
      </c>
      <c r="AC1505" s="18" t="str">
        <f t="shared" si="822"/>
        <v>null</v>
      </c>
      <c r="AD1505" s="19" t="s">
        <v>0</v>
      </c>
      <c r="AE1505" s="18" t="str">
        <f t="shared" si="823"/>
        <v>null</v>
      </c>
      <c r="AF1505" s="75" t="s">
        <v>0</v>
      </c>
      <c r="AG1505" s="38" t="s">
        <v>8677</v>
      </c>
    </row>
    <row r="1506" spans="1:33" ht="6" customHeight="1" x14ac:dyDescent="0.4">
      <c r="A1506" s="4">
        <f>ROW()</f>
        <v>1506</v>
      </c>
      <c r="B1506" s="9" t="s">
        <v>27</v>
      </c>
      <c r="C1506" s="44" t="str">
        <f t="shared" si="824"/>
        <v>p.licitar</v>
      </c>
      <c r="D1506" s="6" t="str">
        <f t="shared" si="818"/>
        <v>é.sobrepreço</v>
      </c>
      <c r="E1506" s="8" t="s">
        <v>28</v>
      </c>
      <c r="F1506" s="34" t="str">
        <f t="shared" si="825"/>
        <v>d.licitar</v>
      </c>
      <c r="G1506" s="27" t="s">
        <v>1129</v>
      </c>
      <c r="H1506" s="33" t="s">
        <v>1581</v>
      </c>
      <c r="I1506" s="92" t="str">
        <f t="shared" si="826"/>
        <v>null</v>
      </c>
      <c r="J1506" s="80" t="s">
        <v>0</v>
      </c>
      <c r="K1506" s="80" t="s">
        <v>0</v>
      </c>
      <c r="L1506" s="80" t="s">
        <v>0</v>
      </c>
      <c r="M1506" s="80" t="s">
        <v>0</v>
      </c>
      <c r="N1506" s="80" t="s">
        <v>0</v>
      </c>
      <c r="O1506" s="80" t="s">
        <v>0</v>
      </c>
      <c r="P1506" s="80" t="s">
        <v>0</v>
      </c>
      <c r="Q1506" s="80" t="s">
        <v>0</v>
      </c>
      <c r="R1506" s="84" t="s">
        <v>0</v>
      </c>
      <c r="S1506" s="10" t="s">
        <v>1</v>
      </c>
      <c r="T1506" s="10" t="s">
        <v>10221</v>
      </c>
      <c r="U1506" s="5" t="str">
        <f t="shared" si="819"/>
        <v>Propriedade destinada a licitar: é.sobrepreço</v>
      </c>
      <c r="V1506" s="5" t="str">
        <f t="shared" si="820"/>
        <v>Dado para licitar:  sobrepreço  Deve ser formatado como (rdfs:Literal  or  xsd:string)</v>
      </c>
      <c r="W1506" s="69" t="s">
        <v>5793</v>
      </c>
      <c r="X1506" s="17" t="str">
        <f t="shared" si="816"/>
        <v>d.licit.130</v>
      </c>
      <c r="Y1506" s="17" t="str">
        <f t="shared" si="817"/>
        <v>Ação de licitar</v>
      </c>
      <c r="Z1506" s="62" t="s">
        <v>4502</v>
      </c>
      <c r="AA1506" s="18" t="str">
        <f t="shared" si="821"/>
        <v>null</v>
      </c>
      <c r="AB1506" s="19" t="s">
        <v>0</v>
      </c>
      <c r="AC1506" s="18" t="str">
        <f t="shared" si="822"/>
        <v>null</v>
      </c>
      <c r="AD1506" s="19" t="s">
        <v>0</v>
      </c>
      <c r="AE1506" s="18" t="str">
        <f t="shared" si="823"/>
        <v>null</v>
      </c>
      <c r="AF1506" s="75" t="s">
        <v>0</v>
      </c>
      <c r="AG1506" s="38" t="s">
        <v>8678</v>
      </c>
    </row>
    <row r="1507" spans="1:33" ht="6" customHeight="1" x14ac:dyDescent="0.4">
      <c r="A1507" s="4">
        <f>ROW()</f>
        <v>1507</v>
      </c>
      <c r="B1507" s="9" t="s">
        <v>27</v>
      </c>
      <c r="C1507" s="44" t="str">
        <f t="shared" si="824"/>
        <v>p.licitar</v>
      </c>
      <c r="D1507" s="6" t="str">
        <f t="shared" si="818"/>
        <v>é.superfaturamento</v>
      </c>
      <c r="E1507" s="8" t="s">
        <v>28</v>
      </c>
      <c r="F1507" s="34" t="str">
        <f t="shared" si="825"/>
        <v>d.licitar</v>
      </c>
      <c r="G1507" s="27" t="s">
        <v>1130</v>
      </c>
      <c r="H1507" s="33" t="s">
        <v>1581</v>
      </c>
      <c r="I1507" s="92" t="str">
        <f t="shared" si="826"/>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9"/>
        <v>Propriedade destinada a licitar: é.superfaturamento</v>
      </c>
      <c r="V1507" s="5" t="str">
        <f t="shared" si="820"/>
        <v>Dado para licitar:  superfaturamento  Deve ser formatado como (rdfs:Literal  or  xsd:string)</v>
      </c>
      <c r="W1507" s="69" t="s">
        <v>5794</v>
      </c>
      <c r="X1507" s="17" t="str">
        <f t="shared" si="816"/>
        <v>d.licit.131</v>
      </c>
      <c r="Y1507" s="17" t="str">
        <f t="shared" si="817"/>
        <v>Ação de licitar</v>
      </c>
      <c r="Z1507" s="62" t="s">
        <v>4503</v>
      </c>
      <c r="AA1507" s="18" t="str">
        <f t="shared" si="821"/>
        <v>null</v>
      </c>
      <c r="AB1507" s="19" t="s">
        <v>0</v>
      </c>
      <c r="AC1507" s="18" t="str">
        <f t="shared" si="822"/>
        <v>null</v>
      </c>
      <c r="AD1507" s="19" t="s">
        <v>0</v>
      </c>
      <c r="AE1507" s="18" t="str">
        <f t="shared" si="823"/>
        <v>null</v>
      </c>
      <c r="AF1507" s="75" t="s">
        <v>0</v>
      </c>
      <c r="AG1507" s="38" t="s">
        <v>8679</v>
      </c>
    </row>
    <row r="1508" spans="1:33" ht="6" customHeight="1" x14ac:dyDescent="0.4">
      <c r="A1508" s="4">
        <f>ROW()</f>
        <v>1508</v>
      </c>
      <c r="B1508" s="9" t="s">
        <v>27</v>
      </c>
      <c r="C1508" s="43" t="str">
        <f t="shared" ref="C1508:C1634" si="827">SUBSTITUTE(F1508,"d.","p.")</f>
        <v>p.linkar</v>
      </c>
      <c r="D1508" s="6" t="str">
        <f t="shared" ref="D1508:D1619" si="828">_xlfn.CONCAT("é.",G1508)</f>
        <v>é.uri</v>
      </c>
      <c r="E1508" s="8" t="s">
        <v>28</v>
      </c>
      <c r="F1508" s="41" t="s">
        <v>2200</v>
      </c>
      <c r="G1508" s="14" t="s">
        <v>167</v>
      </c>
      <c r="H1508" s="33" t="s">
        <v>1581</v>
      </c>
      <c r="I1508" s="92" t="str">
        <f t="shared" si="826"/>
        <v>Functional</v>
      </c>
      <c r="J1508" s="90" t="s">
        <v>29</v>
      </c>
      <c r="K1508" s="82" t="s">
        <v>0</v>
      </c>
      <c r="L1508" s="82" t="s">
        <v>0</v>
      </c>
      <c r="M1508" s="82" t="s">
        <v>0</v>
      </c>
      <c r="N1508" s="82" t="s">
        <v>0</v>
      </c>
      <c r="O1508" s="82" t="s">
        <v>0</v>
      </c>
      <c r="P1508" s="82" t="s">
        <v>0</v>
      </c>
      <c r="Q1508" s="82" t="s">
        <v>0</v>
      </c>
      <c r="R1508" s="84" t="s">
        <v>0</v>
      </c>
      <c r="S1508" s="10" t="s">
        <v>1</v>
      </c>
      <c r="T1508" s="10" t="s">
        <v>10221</v>
      </c>
      <c r="U1508" s="5" t="str">
        <f t="shared" ref="U1508:U1531" si="829">_xlfn.CONCAT("Propriedade destinada a ",MID(C1508,FIND("p.",C1508,1)+2,100),": ",D1508)</f>
        <v>Propriedade destinada a linkar: é.uri</v>
      </c>
      <c r="V1508" s="5" t="str">
        <f t="shared" ref="V1508:V1531" si="830">_xlfn.CONCAT("Dado para ",MID(F1508,FIND("d.",F1508,1)+2,100),":  ",G1508, "  Deve ser formatado como (",H1508, ")")</f>
        <v>Dado para linkar:  uri  Deve ser formatado como (rdfs:Literal  or  xsd:string)</v>
      </c>
      <c r="W1508" s="69" t="s">
        <v>5806</v>
      </c>
      <c r="X1508" s="17" t="str">
        <f t="shared" si="816"/>
        <v>d.linka.100</v>
      </c>
      <c r="Y1508" s="17" t="str">
        <f t="shared" si="817"/>
        <v>Ação de linkar</v>
      </c>
      <c r="Z1508" s="62" t="s">
        <v>4514</v>
      </c>
      <c r="AA1508" s="18" t="str">
        <f t="shared" ref="AA1508:AA1532" si="831">IF(AB1508="null", "null", "categoria.revit")</f>
        <v>null</v>
      </c>
      <c r="AB1508" s="19" t="s">
        <v>0</v>
      </c>
      <c r="AC1508" s="18" t="str">
        <f t="shared" ref="AC1508:AC1532" si="832">IF(AD1508="null", "null", "classe.ifc")</f>
        <v>null</v>
      </c>
      <c r="AD1508" s="19" t="s">
        <v>0</v>
      </c>
      <c r="AE1508" s="18" t="str">
        <f t="shared" ref="AE1508:AE1619" si="833">IF(AF1508="null", "null", "propriedade")</f>
        <v>propriedade</v>
      </c>
      <c r="AF1508" s="75" t="s">
        <v>1851</v>
      </c>
      <c r="AG1508" s="38" t="s">
        <v>8680</v>
      </c>
    </row>
    <row r="1509" spans="1:33" ht="6" customHeight="1" x14ac:dyDescent="0.4">
      <c r="A1509" s="4">
        <f>ROW()</f>
        <v>1509</v>
      </c>
      <c r="B1509" s="9" t="s">
        <v>27</v>
      </c>
      <c r="C1509" s="44" t="str">
        <f t="shared" si="827"/>
        <v>p.linkar</v>
      </c>
      <c r="D1509" s="6" t="str">
        <f t="shared" si="828"/>
        <v>é.urn</v>
      </c>
      <c r="E1509" s="8" t="s">
        <v>28</v>
      </c>
      <c r="F1509" s="34" t="str">
        <f>F1508</f>
        <v>d.linkar</v>
      </c>
      <c r="G1509" s="14" t="s">
        <v>168</v>
      </c>
      <c r="H1509" s="33" t="s">
        <v>1581</v>
      </c>
      <c r="I1509" s="92" t="str">
        <f t="shared" si="826"/>
        <v>Functional</v>
      </c>
      <c r="J1509" s="90" t="s">
        <v>29</v>
      </c>
      <c r="K1509" s="82" t="s">
        <v>0</v>
      </c>
      <c r="L1509" s="82" t="s">
        <v>0</v>
      </c>
      <c r="M1509" s="82" t="s">
        <v>0</v>
      </c>
      <c r="N1509" s="82" t="s">
        <v>0</v>
      </c>
      <c r="O1509" s="82" t="s">
        <v>0</v>
      </c>
      <c r="P1509" s="82" t="s">
        <v>0</v>
      </c>
      <c r="Q1509" s="82" t="s">
        <v>0</v>
      </c>
      <c r="R1509" s="84" t="s">
        <v>0</v>
      </c>
      <c r="S1509" s="10" t="s">
        <v>1</v>
      </c>
      <c r="T1509" s="10" t="s">
        <v>10221</v>
      </c>
      <c r="U1509" s="5" t="str">
        <f t="shared" si="829"/>
        <v>Propriedade destinada a linkar: é.urn</v>
      </c>
      <c r="V1509" s="5" t="str">
        <f t="shared" si="830"/>
        <v>Dado para linkar:  urn  Deve ser formatado como (rdfs:Literal  or  xsd:string)</v>
      </c>
      <c r="W1509" s="69" t="s">
        <v>5807</v>
      </c>
      <c r="X1509" s="17" t="str">
        <f t="shared" si="816"/>
        <v>d.linka.101</v>
      </c>
      <c r="Y1509" s="17" t="str">
        <f t="shared" si="817"/>
        <v>Ação de linkar</v>
      </c>
      <c r="Z1509" s="62" t="s">
        <v>4639</v>
      </c>
      <c r="AA1509" s="18" t="str">
        <f t="shared" si="831"/>
        <v>null</v>
      </c>
      <c r="AB1509" s="19" t="s">
        <v>0</v>
      </c>
      <c r="AC1509" s="18" t="str">
        <f t="shared" si="832"/>
        <v>null</v>
      </c>
      <c r="AD1509" s="19" t="s">
        <v>0</v>
      </c>
      <c r="AE1509" s="18" t="str">
        <f t="shared" si="833"/>
        <v>propriedade</v>
      </c>
      <c r="AF1509" s="75" t="s">
        <v>1851</v>
      </c>
      <c r="AG1509" s="38" t="s">
        <v>8681</v>
      </c>
    </row>
    <row r="1510" spans="1:33" ht="6" customHeight="1" x14ac:dyDescent="0.4">
      <c r="A1510" s="4">
        <f>ROW()</f>
        <v>1510</v>
      </c>
      <c r="B1510" s="9" t="s">
        <v>27</v>
      </c>
      <c r="C1510" s="44" t="str">
        <f t="shared" si="827"/>
        <v>p.linkar</v>
      </c>
      <c r="D1510" s="6" t="str">
        <f t="shared" si="828"/>
        <v>é.url</v>
      </c>
      <c r="E1510" s="8" t="s">
        <v>28</v>
      </c>
      <c r="F1510" s="34" t="str">
        <f>F1509</f>
        <v>d.linkar</v>
      </c>
      <c r="G1510" s="14" t="s">
        <v>169</v>
      </c>
      <c r="H1510" s="33" t="s">
        <v>1581</v>
      </c>
      <c r="I1510" s="92" t="str">
        <f t="shared" si="826"/>
        <v>Functional</v>
      </c>
      <c r="J1510" s="90" t="s">
        <v>29</v>
      </c>
      <c r="K1510" s="82" t="s">
        <v>0</v>
      </c>
      <c r="L1510" s="82" t="s">
        <v>0</v>
      </c>
      <c r="M1510" s="82" t="s">
        <v>0</v>
      </c>
      <c r="N1510" s="82" t="s">
        <v>0</v>
      </c>
      <c r="O1510" s="82" t="s">
        <v>0</v>
      </c>
      <c r="P1510" s="82" t="s">
        <v>0</v>
      </c>
      <c r="Q1510" s="82" t="s">
        <v>0</v>
      </c>
      <c r="R1510" s="84" t="s">
        <v>0</v>
      </c>
      <c r="S1510" s="10" t="s">
        <v>1</v>
      </c>
      <c r="T1510" s="10" t="s">
        <v>10221</v>
      </c>
      <c r="U1510" s="5" t="str">
        <f t="shared" si="829"/>
        <v>Propriedade destinada a linkar: é.url</v>
      </c>
      <c r="V1510" s="5" t="str">
        <f t="shared" si="830"/>
        <v>Dado para linkar:  url  Deve ser formatado como (rdfs:Literal  or  xsd:string)</v>
      </c>
      <c r="W1510" s="69" t="s">
        <v>5808</v>
      </c>
      <c r="X1510" s="17" t="str">
        <f t="shared" si="816"/>
        <v>d.linka.102</v>
      </c>
      <c r="Y1510" s="17" t="str">
        <f t="shared" si="817"/>
        <v>Ação de linkar</v>
      </c>
      <c r="Z1510" s="62" t="s">
        <v>4640</v>
      </c>
      <c r="AA1510" s="18" t="str">
        <f t="shared" si="831"/>
        <v>null</v>
      </c>
      <c r="AB1510" s="19" t="s">
        <v>0</v>
      </c>
      <c r="AC1510" s="18" t="str">
        <f t="shared" si="832"/>
        <v>null</v>
      </c>
      <c r="AD1510" s="19" t="s">
        <v>0</v>
      </c>
      <c r="AE1510" s="18" t="str">
        <f t="shared" si="833"/>
        <v>propriedade</v>
      </c>
      <c r="AF1510" s="75" t="s">
        <v>1841</v>
      </c>
      <c r="AG1510" s="38" t="s">
        <v>8682</v>
      </c>
    </row>
    <row r="1511" spans="1:33" ht="6" customHeight="1" x14ac:dyDescent="0.4">
      <c r="A1511" s="4">
        <f>ROW()</f>
        <v>1511</v>
      </c>
      <c r="B1511" s="9" t="s">
        <v>27</v>
      </c>
      <c r="C1511" s="44" t="str">
        <f t="shared" si="827"/>
        <v>p.linkar</v>
      </c>
      <c r="D1511" s="6" t="str">
        <f t="shared" si="828"/>
        <v>é.iri</v>
      </c>
      <c r="E1511" s="8" t="s">
        <v>28</v>
      </c>
      <c r="F1511" s="34" t="str">
        <f>F1510</f>
        <v>d.linkar</v>
      </c>
      <c r="G1511" s="14" t="s">
        <v>170</v>
      </c>
      <c r="H1511" s="33" t="s">
        <v>1581</v>
      </c>
      <c r="I1511" s="92" t="str">
        <f t="shared" si="826"/>
        <v>Functional</v>
      </c>
      <c r="J1511" s="90" t="s">
        <v>29</v>
      </c>
      <c r="K1511" s="82" t="s">
        <v>0</v>
      </c>
      <c r="L1511" s="82" t="s">
        <v>0</v>
      </c>
      <c r="M1511" s="82" t="s">
        <v>0</v>
      </c>
      <c r="N1511" s="82" t="s">
        <v>0</v>
      </c>
      <c r="O1511" s="82" t="s">
        <v>0</v>
      </c>
      <c r="P1511" s="82" t="s">
        <v>0</v>
      </c>
      <c r="Q1511" s="82" t="s">
        <v>0</v>
      </c>
      <c r="R1511" s="84" t="s">
        <v>0</v>
      </c>
      <c r="S1511" s="10" t="s">
        <v>1</v>
      </c>
      <c r="T1511" s="10" t="s">
        <v>10221</v>
      </c>
      <c r="U1511" s="5" t="str">
        <f t="shared" si="829"/>
        <v>Propriedade destinada a linkar: é.iri</v>
      </c>
      <c r="V1511" s="5" t="str">
        <f t="shared" si="830"/>
        <v>Dado para linkar:  iri  Deve ser formatado como (rdfs:Literal  or  xsd:string)</v>
      </c>
      <c r="W1511" s="69" t="s">
        <v>5809</v>
      </c>
      <c r="X1511" s="17" t="str">
        <f t="shared" si="816"/>
        <v>d.linka.103</v>
      </c>
      <c r="Y1511" s="17" t="str">
        <f t="shared" si="817"/>
        <v>Ação de linkar</v>
      </c>
      <c r="Z1511" s="62" t="s">
        <v>4641</v>
      </c>
      <c r="AA1511" s="18" t="str">
        <f t="shared" si="831"/>
        <v>null</v>
      </c>
      <c r="AB1511" s="19" t="s">
        <v>0</v>
      </c>
      <c r="AC1511" s="18" t="str">
        <f t="shared" si="832"/>
        <v>null</v>
      </c>
      <c r="AD1511" s="19" t="s">
        <v>0</v>
      </c>
      <c r="AE1511" s="18" t="str">
        <f t="shared" si="833"/>
        <v>propriedade</v>
      </c>
      <c r="AF1511" s="75" t="s">
        <v>1851</v>
      </c>
      <c r="AG1511" s="38" t="s">
        <v>8683</v>
      </c>
    </row>
    <row r="1512" spans="1:33" ht="6" customHeight="1" x14ac:dyDescent="0.4">
      <c r="A1512" s="4">
        <f>ROW()</f>
        <v>1512</v>
      </c>
      <c r="B1512" s="9" t="s">
        <v>27</v>
      </c>
      <c r="C1512" s="44" t="str">
        <f t="shared" si="827"/>
        <v>p.linkar</v>
      </c>
      <c r="D1512" s="6" t="str">
        <f t="shared" si="828"/>
        <v>é.ipv4</v>
      </c>
      <c r="E1512" s="8" t="s">
        <v>28</v>
      </c>
      <c r="F1512" s="34" t="str">
        <f t="shared" ref="F1512:F1521" si="834">F1510</f>
        <v>d.linkar</v>
      </c>
      <c r="G1512" s="14" t="s">
        <v>171</v>
      </c>
      <c r="H1512" s="33" t="s">
        <v>1581</v>
      </c>
      <c r="I1512" s="92" t="str">
        <f t="shared" si="826"/>
        <v>Functional</v>
      </c>
      <c r="J1512" s="90" t="s">
        <v>29</v>
      </c>
      <c r="K1512" s="82" t="s">
        <v>0</v>
      </c>
      <c r="L1512" s="82" t="s">
        <v>0</v>
      </c>
      <c r="M1512" s="82" t="s">
        <v>0</v>
      </c>
      <c r="N1512" s="82" t="s">
        <v>0</v>
      </c>
      <c r="O1512" s="82" t="s">
        <v>0</v>
      </c>
      <c r="P1512" s="82" t="s">
        <v>0</v>
      </c>
      <c r="Q1512" s="82" t="s">
        <v>0</v>
      </c>
      <c r="R1512" s="84" t="s">
        <v>0</v>
      </c>
      <c r="S1512" s="10" t="s">
        <v>1</v>
      </c>
      <c r="T1512" s="10" t="s">
        <v>10221</v>
      </c>
      <c r="U1512" s="5" t="str">
        <f t="shared" si="829"/>
        <v>Propriedade destinada a linkar: é.ipv4</v>
      </c>
      <c r="V1512" s="5" t="str">
        <f t="shared" si="830"/>
        <v>Dado para linkar:  ipv4  Deve ser formatado como (rdfs:Literal  or  xsd:string)</v>
      </c>
      <c r="W1512" s="69" t="s">
        <v>5810</v>
      </c>
      <c r="X1512" s="17" t="str">
        <f t="shared" si="816"/>
        <v>d.linka.104</v>
      </c>
      <c r="Y1512" s="17" t="str">
        <f t="shared" si="817"/>
        <v>Ação de linkar</v>
      </c>
      <c r="Z1512" s="62" t="s">
        <v>4642</v>
      </c>
      <c r="AA1512" s="18" t="str">
        <f t="shared" si="831"/>
        <v>null</v>
      </c>
      <c r="AB1512" s="19" t="s">
        <v>0</v>
      </c>
      <c r="AC1512" s="18" t="str">
        <f t="shared" si="832"/>
        <v>null</v>
      </c>
      <c r="AD1512" s="19" t="s">
        <v>0</v>
      </c>
      <c r="AE1512" s="18" t="str">
        <f t="shared" si="833"/>
        <v>propriedade</v>
      </c>
      <c r="AF1512" s="75" t="s">
        <v>1834</v>
      </c>
      <c r="AG1512" s="38" t="s">
        <v>8684</v>
      </c>
    </row>
    <row r="1513" spans="1:33" ht="6" customHeight="1" x14ac:dyDescent="0.4">
      <c r="A1513" s="4">
        <f>ROW()</f>
        <v>1513</v>
      </c>
      <c r="B1513" s="9" t="s">
        <v>27</v>
      </c>
      <c r="C1513" s="44" t="str">
        <f t="shared" si="827"/>
        <v>p.linkar</v>
      </c>
      <c r="D1513" s="6" t="str">
        <f t="shared" si="828"/>
        <v>é.ipv6</v>
      </c>
      <c r="E1513" s="8" t="s">
        <v>28</v>
      </c>
      <c r="F1513" s="34" t="str">
        <f t="shared" si="834"/>
        <v>d.linkar</v>
      </c>
      <c r="G1513" s="14" t="s">
        <v>172</v>
      </c>
      <c r="H1513" s="33" t="s">
        <v>1581</v>
      </c>
      <c r="I1513" s="92" t="str">
        <f t="shared" si="826"/>
        <v>Functional</v>
      </c>
      <c r="J1513" s="90" t="s">
        <v>29</v>
      </c>
      <c r="K1513" s="82" t="s">
        <v>0</v>
      </c>
      <c r="L1513" s="82" t="s">
        <v>0</v>
      </c>
      <c r="M1513" s="82" t="s">
        <v>0</v>
      </c>
      <c r="N1513" s="82" t="s">
        <v>0</v>
      </c>
      <c r="O1513" s="82" t="s">
        <v>0</v>
      </c>
      <c r="P1513" s="82" t="s">
        <v>0</v>
      </c>
      <c r="Q1513" s="82" t="s">
        <v>0</v>
      </c>
      <c r="R1513" s="84" t="s">
        <v>0</v>
      </c>
      <c r="S1513" s="10" t="s">
        <v>1</v>
      </c>
      <c r="T1513" s="10" t="s">
        <v>10221</v>
      </c>
      <c r="U1513" s="5" t="str">
        <f t="shared" si="829"/>
        <v>Propriedade destinada a linkar: é.ipv6</v>
      </c>
      <c r="V1513" s="5" t="str">
        <f t="shared" si="830"/>
        <v>Dado para linkar:  ipv6  Deve ser formatado como (rdfs:Literal  or  xsd:string)</v>
      </c>
      <c r="W1513" s="69" t="s">
        <v>5811</v>
      </c>
      <c r="X1513" s="17" t="str">
        <f t="shared" si="816"/>
        <v>d.linka.105</v>
      </c>
      <c r="Y1513" s="17" t="str">
        <f t="shared" si="817"/>
        <v>Ação de linkar</v>
      </c>
      <c r="Z1513" s="62" t="s">
        <v>4643</v>
      </c>
      <c r="AA1513" s="18" t="str">
        <f t="shared" si="831"/>
        <v>null</v>
      </c>
      <c r="AB1513" s="19" t="s">
        <v>0</v>
      </c>
      <c r="AC1513" s="18" t="str">
        <f t="shared" si="832"/>
        <v>null</v>
      </c>
      <c r="AD1513" s="19" t="s">
        <v>0</v>
      </c>
      <c r="AE1513" s="18" t="str">
        <f t="shared" si="833"/>
        <v>propriedade</v>
      </c>
      <c r="AF1513" s="75" t="s">
        <v>1834</v>
      </c>
      <c r="AG1513" s="38" t="s">
        <v>8685</v>
      </c>
    </row>
    <row r="1514" spans="1:33" ht="6" customHeight="1" x14ac:dyDescent="0.4">
      <c r="A1514" s="4">
        <f>ROW()</f>
        <v>1514</v>
      </c>
      <c r="B1514" s="9" t="s">
        <v>27</v>
      </c>
      <c r="C1514" s="44" t="str">
        <f t="shared" si="827"/>
        <v>p.linkar</v>
      </c>
      <c r="D1514" s="6" t="str">
        <f t="shared" si="828"/>
        <v>é.endereço.ip</v>
      </c>
      <c r="E1514" s="8" t="s">
        <v>28</v>
      </c>
      <c r="F1514" s="34" t="str">
        <f t="shared" si="834"/>
        <v>d.linkar</v>
      </c>
      <c r="G1514" s="14" t="s">
        <v>1833</v>
      </c>
      <c r="H1514" s="33" t="s">
        <v>1581</v>
      </c>
      <c r="I1514" s="92" t="str">
        <f t="shared" si="826"/>
        <v>Functional</v>
      </c>
      <c r="J1514" s="90" t="s">
        <v>29</v>
      </c>
      <c r="K1514" s="82" t="s">
        <v>0</v>
      </c>
      <c r="L1514" s="82" t="s">
        <v>0</v>
      </c>
      <c r="M1514" s="82" t="s">
        <v>0</v>
      </c>
      <c r="N1514" s="82" t="s">
        <v>0</v>
      </c>
      <c r="O1514" s="82" t="s">
        <v>0</v>
      </c>
      <c r="P1514" s="82" t="s">
        <v>0</v>
      </c>
      <c r="Q1514" s="82" t="s">
        <v>0</v>
      </c>
      <c r="R1514" s="84" t="s">
        <v>0</v>
      </c>
      <c r="S1514" s="10" t="s">
        <v>1</v>
      </c>
      <c r="T1514" s="10" t="s">
        <v>10221</v>
      </c>
      <c r="U1514" s="5" t="str">
        <f t="shared" si="829"/>
        <v>Propriedade destinada a linkar: é.endereço.ip</v>
      </c>
      <c r="V1514" s="5" t="str">
        <f t="shared" si="830"/>
        <v>Dado para linkar:  endereço.ip  Deve ser formatado como (rdfs:Literal  or  xsd:string)</v>
      </c>
      <c r="W1514" s="69" t="s">
        <v>5812</v>
      </c>
      <c r="X1514" s="17" t="str">
        <f t="shared" si="816"/>
        <v>d.linka.106</v>
      </c>
      <c r="Y1514" s="17" t="str">
        <f t="shared" si="817"/>
        <v>Ação de linkar</v>
      </c>
      <c r="Z1514" s="62" t="s">
        <v>4644</v>
      </c>
      <c r="AA1514" s="18" t="str">
        <f t="shared" si="831"/>
        <v>null</v>
      </c>
      <c r="AB1514" s="19" t="s">
        <v>0</v>
      </c>
      <c r="AC1514" s="18" t="str">
        <f t="shared" si="832"/>
        <v>null</v>
      </c>
      <c r="AD1514" s="19" t="s">
        <v>0</v>
      </c>
      <c r="AE1514" s="18" t="str">
        <f t="shared" si="833"/>
        <v>propriedade</v>
      </c>
      <c r="AF1514" s="75" t="s">
        <v>1834</v>
      </c>
      <c r="AG1514" s="38" t="s">
        <v>8686</v>
      </c>
    </row>
    <row r="1515" spans="1:33" ht="6" customHeight="1" x14ac:dyDescent="0.4">
      <c r="A1515" s="4">
        <f>ROW()</f>
        <v>1515</v>
      </c>
      <c r="B1515" s="9" t="s">
        <v>27</v>
      </c>
      <c r="C1515" s="44" t="str">
        <f t="shared" si="827"/>
        <v>p.linkar</v>
      </c>
      <c r="D1515" s="6" t="str">
        <f t="shared" si="828"/>
        <v>é.hipervínculo</v>
      </c>
      <c r="E1515" s="8" t="s">
        <v>28</v>
      </c>
      <c r="F1515" s="34" t="str">
        <f t="shared" si="834"/>
        <v>d.linkar</v>
      </c>
      <c r="G1515" s="14" t="s">
        <v>173</v>
      </c>
      <c r="H1515" s="33" t="s">
        <v>1581</v>
      </c>
      <c r="I1515" s="92" t="str">
        <f t="shared" si="826"/>
        <v>Functional</v>
      </c>
      <c r="J1515" s="90" t="s">
        <v>29</v>
      </c>
      <c r="K1515" s="82" t="s">
        <v>0</v>
      </c>
      <c r="L1515" s="82" t="s">
        <v>0</v>
      </c>
      <c r="M1515" s="82" t="s">
        <v>0</v>
      </c>
      <c r="N1515" s="82" t="s">
        <v>0</v>
      </c>
      <c r="O1515" s="82" t="s">
        <v>0</v>
      </c>
      <c r="P1515" s="82" t="s">
        <v>0</v>
      </c>
      <c r="Q1515" s="82" t="s">
        <v>0</v>
      </c>
      <c r="R1515" s="84" t="s">
        <v>0</v>
      </c>
      <c r="S1515" s="10" t="s">
        <v>1</v>
      </c>
      <c r="T1515" s="10" t="s">
        <v>10221</v>
      </c>
      <c r="U1515" s="5" t="str">
        <f t="shared" si="829"/>
        <v>Propriedade destinada a linkar: é.hipervínculo</v>
      </c>
      <c r="V1515" s="5" t="str">
        <f t="shared" si="830"/>
        <v>Dado para linkar:  hipervínculo  Deve ser formatado como (rdfs:Literal  or  xsd:string)</v>
      </c>
      <c r="W1515" s="69" t="s">
        <v>5813</v>
      </c>
      <c r="X1515" s="17" t="str">
        <f t="shared" si="816"/>
        <v>d.linka.107</v>
      </c>
      <c r="Y1515" s="17" t="str">
        <f t="shared" si="817"/>
        <v>Ação de linkar</v>
      </c>
      <c r="Z1515" s="62" t="s">
        <v>4645</v>
      </c>
      <c r="AA1515" s="18" t="str">
        <f t="shared" si="831"/>
        <v>null</v>
      </c>
      <c r="AB1515" s="19" t="s">
        <v>0</v>
      </c>
      <c r="AC1515" s="18" t="str">
        <f t="shared" si="832"/>
        <v>null</v>
      </c>
      <c r="AD1515" s="19" t="s">
        <v>0</v>
      </c>
      <c r="AE1515" s="18" t="str">
        <f t="shared" si="833"/>
        <v>null</v>
      </c>
      <c r="AF1515" s="75" t="s">
        <v>0</v>
      </c>
      <c r="AG1515" s="38" t="s">
        <v>8687</v>
      </c>
    </row>
    <row r="1516" spans="1:33" ht="6" customHeight="1" x14ac:dyDescent="0.4">
      <c r="A1516" s="4">
        <f>ROW()</f>
        <v>1516</v>
      </c>
      <c r="B1516" s="9" t="s">
        <v>27</v>
      </c>
      <c r="C1516" s="44" t="str">
        <f t="shared" si="827"/>
        <v>p.linkar</v>
      </c>
      <c r="D1516" s="6" t="str">
        <f t="shared" si="828"/>
        <v>é.link</v>
      </c>
      <c r="E1516" s="8" t="s">
        <v>28</v>
      </c>
      <c r="F1516" s="34" t="str">
        <f t="shared" si="834"/>
        <v>d.linkar</v>
      </c>
      <c r="G1516" s="14" t="s">
        <v>174</v>
      </c>
      <c r="H1516" s="33" t="s">
        <v>1581</v>
      </c>
      <c r="I1516" s="92" t="str">
        <f t="shared" si="826"/>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si="829"/>
        <v>Propriedade destinada a linkar: é.link</v>
      </c>
      <c r="V1516" s="5" t="str">
        <f t="shared" si="830"/>
        <v>Dado para linkar:  link  Deve ser formatado como (rdfs:Literal  or  xsd:string)</v>
      </c>
      <c r="W1516" s="69" t="s">
        <v>5814</v>
      </c>
      <c r="X1516" s="17" t="str">
        <f t="shared" si="816"/>
        <v>d.linka.108</v>
      </c>
      <c r="Y1516" s="17" t="str">
        <f t="shared" si="817"/>
        <v>Ação de linkar</v>
      </c>
      <c r="Z1516" s="62" t="s">
        <v>4646</v>
      </c>
      <c r="AA1516" s="18" t="str">
        <f t="shared" si="831"/>
        <v>null</v>
      </c>
      <c r="AB1516" s="19" t="s">
        <v>0</v>
      </c>
      <c r="AC1516" s="18" t="str">
        <f t="shared" si="832"/>
        <v>null</v>
      </c>
      <c r="AD1516" s="19" t="s">
        <v>0</v>
      </c>
      <c r="AE1516" s="18" t="str">
        <f t="shared" si="833"/>
        <v>null</v>
      </c>
      <c r="AF1516" s="75" t="s">
        <v>0</v>
      </c>
      <c r="AG1516" s="38" t="s">
        <v>8688</v>
      </c>
    </row>
    <row r="1517" spans="1:33" ht="6" customHeight="1" x14ac:dyDescent="0.4">
      <c r="A1517" s="4">
        <f>ROW()</f>
        <v>1517</v>
      </c>
      <c r="B1517" s="9" t="s">
        <v>27</v>
      </c>
      <c r="C1517" s="44" t="str">
        <f t="shared" si="827"/>
        <v>p.linkar</v>
      </c>
      <c r="D1517" s="6" t="str">
        <f t="shared" si="828"/>
        <v>é.orcid</v>
      </c>
      <c r="E1517" s="8" t="s">
        <v>28</v>
      </c>
      <c r="F1517" s="34" t="str">
        <f t="shared" si="834"/>
        <v>d.linkar</v>
      </c>
      <c r="G1517" s="14" t="s">
        <v>175</v>
      </c>
      <c r="H1517" s="33" t="s">
        <v>1581</v>
      </c>
      <c r="I1517" s="92" t="str">
        <f t="shared" si="826"/>
        <v>Functional</v>
      </c>
      <c r="J1517" s="90" t="s">
        <v>0</v>
      </c>
      <c r="K1517" s="82" t="s">
        <v>262</v>
      </c>
      <c r="L1517" s="82" t="s">
        <v>0</v>
      </c>
      <c r="M1517" s="82" t="s">
        <v>0</v>
      </c>
      <c r="N1517" s="82" t="s">
        <v>0</v>
      </c>
      <c r="O1517" s="82" t="s">
        <v>0</v>
      </c>
      <c r="P1517" s="82" t="s">
        <v>0</v>
      </c>
      <c r="Q1517" s="82" t="s">
        <v>0</v>
      </c>
      <c r="R1517" s="84" t="s">
        <v>0</v>
      </c>
      <c r="S1517" s="10" t="s">
        <v>1</v>
      </c>
      <c r="T1517" s="10" t="s">
        <v>10221</v>
      </c>
      <c r="U1517" s="5" t="str">
        <f t="shared" si="829"/>
        <v>Propriedade destinada a linkar: é.orcid</v>
      </c>
      <c r="V1517" s="5" t="str">
        <f t="shared" si="830"/>
        <v>Dado para linkar:  orcid  Deve ser formatado como (rdfs:Literal  or  xsd:string)</v>
      </c>
      <c r="W1517" s="69" t="s">
        <v>5815</v>
      </c>
      <c r="X1517" s="17" t="str">
        <f t="shared" si="816"/>
        <v>d.linka.109</v>
      </c>
      <c r="Y1517" s="17" t="str">
        <f t="shared" si="817"/>
        <v>Ação de linkar</v>
      </c>
      <c r="Z1517" s="62" t="s">
        <v>4647</v>
      </c>
      <c r="AA1517" s="18" t="str">
        <f t="shared" si="831"/>
        <v>null</v>
      </c>
      <c r="AB1517" s="19" t="s">
        <v>0</v>
      </c>
      <c r="AC1517" s="18" t="str">
        <f t="shared" si="832"/>
        <v>null</v>
      </c>
      <c r="AD1517" s="19" t="s">
        <v>0</v>
      </c>
      <c r="AE1517" s="18" t="str">
        <f t="shared" si="833"/>
        <v>null</v>
      </c>
      <c r="AF1517" s="75" t="s">
        <v>0</v>
      </c>
      <c r="AG1517" s="38" t="s">
        <v>8689</v>
      </c>
    </row>
    <row r="1518" spans="1:33" ht="6" customHeight="1" x14ac:dyDescent="0.4">
      <c r="A1518" s="4">
        <f>ROW()</f>
        <v>1518</v>
      </c>
      <c r="B1518" s="9" t="s">
        <v>27</v>
      </c>
      <c r="C1518" s="44" t="str">
        <f t="shared" si="827"/>
        <v>p.linkar</v>
      </c>
      <c r="D1518" s="6" t="str">
        <f t="shared" si="828"/>
        <v>é.lattes</v>
      </c>
      <c r="E1518" s="8" t="s">
        <v>28</v>
      </c>
      <c r="F1518" s="34" t="str">
        <f t="shared" si="834"/>
        <v>d.linkar</v>
      </c>
      <c r="G1518" s="14" t="s">
        <v>176</v>
      </c>
      <c r="H1518" s="33" t="s">
        <v>1581</v>
      </c>
      <c r="I1518" s="92" t="str">
        <f t="shared" si="826"/>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9"/>
        <v>Propriedade destinada a linkar: é.lattes</v>
      </c>
      <c r="V1518" s="5" t="str">
        <f t="shared" si="830"/>
        <v>Dado para linkar:  lattes  Deve ser formatado como (rdfs:Literal  or  xsd:string)</v>
      </c>
      <c r="W1518" s="69" t="s">
        <v>5816</v>
      </c>
      <c r="X1518" s="17" t="str">
        <f t="shared" si="816"/>
        <v>d.linka.110</v>
      </c>
      <c r="Y1518" s="17" t="str">
        <f t="shared" si="817"/>
        <v>Ação de linkar</v>
      </c>
      <c r="Z1518" s="62" t="s">
        <v>4648</v>
      </c>
      <c r="AA1518" s="18" t="str">
        <f t="shared" si="831"/>
        <v>null</v>
      </c>
      <c r="AB1518" s="19" t="s">
        <v>0</v>
      </c>
      <c r="AC1518" s="18" t="str">
        <f t="shared" si="832"/>
        <v>null</v>
      </c>
      <c r="AD1518" s="19" t="s">
        <v>0</v>
      </c>
      <c r="AE1518" s="18" t="str">
        <f t="shared" si="833"/>
        <v>null</v>
      </c>
      <c r="AF1518" s="75" t="s">
        <v>0</v>
      </c>
      <c r="AG1518" s="38" t="s">
        <v>8690</v>
      </c>
    </row>
    <row r="1519" spans="1:33" ht="6" customHeight="1" x14ac:dyDescent="0.4">
      <c r="A1519" s="4">
        <f>ROW()</f>
        <v>1519</v>
      </c>
      <c r="B1519" s="9" t="s">
        <v>27</v>
      </c>
      <c r="C1519" s="44" t="str">
        <f t="shared" si="827"/>
        <v>p.linkar</v>
      </c>
      <c r="D1519" s="6" t="str">
        <f t="shared" si="828"/>
        <v>é.protocolo.http</v>
      </c>
      <c r="E1519" s="8" t="s">
        <v>28</v>
      </c>
      <c r="F1519" s="34" t="str">
        <f t="shared" si="834"/>
        <v>d.linkar</v>
      </c>
      <c r="G1519" s="14" t="s">
        <v>742</v>
      </c>
      <c r="H1519" s="33" t="s">
        <v>1581</v>
      </c>
      <c r="I1519" s="92" t="str">
        <f t="shared" si="826"/>
        <v>null</v>
      </c>
      <c r="J1519" s="82" t="s">
        <v>0</v>
      </c>
      <c r="K1519" s="82" t="s">
        <v>0</v>
      </c>
      <c r="L1519" s="82" t="s">
        <v>0</v>
      </c>
      <c r="M1519" s="82" t="s">
        <v>0</v>
      </c>
      <c r="N1519" s="82" t="s">
        <v>0</v>
      </c>
      <c r="O1519" s="82" t="s">
        <v>0</v>
      </c>
      <c r="P1519" s="82" t="s">
        <v>0</v>
      </c>
      <c r="Q1519" s="82" t="s">
        <v>0</v>
      </c>
      <c r="R1519" s="84" t="s">
        <v>0</v>
      </c>
      <c r="S1519" s="10" t="s">
        <v>1</v>
      </c>
      <c r="T1519" s="10" t="s">
        <v>10221</v>
      </c>
      <c r="U1519" s="5" t="str">
        <f t="shared" si="829"/>
        <v>Propriedade destinada a linkar: é.protocolo.http</v>
      </c>
      <c r="V1519" s="5" t="str">
        <f t="shared" si="830"/>
        <v>Dado para linkar:  protocolo.http  Deve ser formatado como (rdfs:Literal  or  xsd:string)</v>
      </c>
      <c r="W1519" s="69" t="s">
        <v>5817</v>
      </c>
      <c r="X1519" s="17" t="str">
        <f t="shared" si="816"/>
        <v>d.linka.111</v>
      </c>
      <c r="Y1519" s="17" t="str">
        <f t="shared" si="817"/>
        <v>Ação de linkar</v>
      </c>
      <c r="Z1519" s="62" t="s">
        <v>4649</v>
      </c>
      <c r="AA1519" s="18" t="str">
        <f t="shared" si="831"/>
        <v>null</v>
      </c>
      <c r="AB1519" s="19" t="s">
        <v>0</v>
      </c>
      <c r="AC1519" s="18" t="str">
        <f t="shared" si="832"/>
        <v>null</v>
      </c>
      <c r="AD1519" s="19" t="s">
        <v>0</v>
      </c>
      <c r="AE1519" s="18" t="str">
        <f t="shared" si="833"/>
        <v>null</v>
      </c>
      <c r="AF1519" s="75" t="s">
        <v>0</v>
      </c>
      <c r="AG1519" s="38" t="s">
        <v>8691</v>
      </c>
    </row>
    <row r="1520" spans="1:33" ht="6" customHeight="1" x14ac:dyDescent="0.4">
      <c r="A1520" s="4">
        <f>ROW()</f>
        <v>1520</v>
      </c>
      <c r="B1520" s="9" t="s">
        <v>27</v>
      </c>
      <c r="C1520" s="44" t="str">
        <f t="shared" si="827"/>
        <v>p.linkar</v>
      </c>
      <c r="D1520" s="6" t="str">
        <f t="shared" si="828"/>
        <v>é.protocolo.https</v>
      </c>
      <c r="E1520" s="8" t="s">
        <v>28</v>
      </c>
      <c r="F1520" s="34" t="str">
        <f t="shared" si="834"/>
        <v>d.linkar</v>
      </c>
      <c r="G1520" s="14" t="s">
        <v>743</v>
      </c>
      <c r="H1520" s="33" t="s">
        <v>1581</v>
      </c>
      <c r="I1520" s="92" t="str">
        <f t="shared" si="826"/>
        <v>null</v>
      </c>
      <c r="J1520" s="82" t="s">
        <v>0</v>
      </c>
      <c r="K1520" s="82" t="s">
        <v>0</v>
      </c>
      <c r="L1520" s="82" t="s">
        <v>0</v>
      </c>
      <c r="M1520" s="82" t="s">
        <v>0</v>
      </c>
      <c r="N1520" s="82" t="s">
        <v>0</v>
      </c>
      <c r="O1520" s="82" t="s">
        <v>0</v>
      </c>
      <c r="P1520" s="82" t="s">
        <v>0</v>
      </c>
      <c r="Q1520" s="82" t="s">
        <v>0</v>
      </c>
      <c r="R1520" s="84" t="s">
        <v>0</v>
      </c>
      <c r="S1520" s="10" t="s">
        <v>1</v>
      </c>
      <c r="T1520" s="10" t="s">
        <v>10221</v>
      </c>
      <c r="U1520" s="5" t="str">
        <f t="shared" si="829"/>
        <v>Propriedade destinada a linkar: é.protocolo.https</v>
      </c>
      <c r="V1520" s="5" t="str">
        <f t="shared" si="830"/>
        <v>Dado para linkar:  protocolo.https  Deve ser formatado como (rdfs:Literal  or  xsd:string)</v>
      </c>
      <c r="W1520" s="69" t="s">
        <v>5818</v>
      </c>
      <c r="X1520" s="17" t="str">
        <f t="shared" si="816"/>
        <v>d.linka.112</v>
      </c>
      <c r="Y1520" s="17" t="str">
        <f t="shared" si="817"/>
        <v>Ação de linkar</v>
      </c>
      <c r="Z1520" s="62" t="s">
        <v>4650</v>
      </c>
      <c r="AA1520" s="18" t="str">
        <f t="shared" si="831"/>
        <v>null</v>
      </c>
      <c r="AB1520" s="19" t="s">
        <v>0</v>
      </c>
      <c r="AC1520" s="18" t="str">
        <f t="shared" si="832"/>
        <v>null</v>
      </c>
      <c r="AD1520" s="19" t="s">
        <v>0</v>
      </c>
      <c r="AE1520" s="18" t="str">
        <f t="shared" si="833"/>
        <v>null</v>
      </c>
      <c r="AF1520" s="75" t="s">
        <v>0</v>
      </c>
      <c r="AG1520" s="38" t="s">
        <v>8692</v>
      </c>
    </row>
    <row r="1521" spans="1:33" ht="6" customHeight="1" x14ac:dyDescent="0.4">
      <c r="A1521" s="4">
        <f>ROW()</f>
        <v>1521</v>
      </c>
      <c r="B1521" s="9" t="s">
        <v>27</v>
      </c>
      <c r="C1521" s="44" t="str">
        <f t="shared" si="827"/>
        <v>p.linkar</v>
      </c>
      <c r="D1521" s="6" t="str">
        <f t="shared" si="828"/>
        <v>é.protocolo.ftp</v>
      </c>
      <c r="E1521" s="8" t="s">
        <v>28</v>
      </c>
      <c r="F1521" s="34" t="str">
        <f t="shared" si="834"/>
        <v>d.linkar</v>
      </c>
      <c r="G1521" s="14" t="s">
        <v>744</v>
      </c>
      <c r="H1521" s="33" t="s">
        <v>1581</v>
      </c>
      <c r="I1521" s="92" t="str">
        <f t="shared" si="826"/>
        <v>null</v>
      </c>
      <c r="J1521" s="82" t="s">
        <v>0</v>
      </c>
      <c r="K1521" s="82" t="s">
        <v>0</v>
      </c>
      <c r="L1521" s="82" t="s">
        <v>0</v>
      </c>
      <c r="M1521" s="82" t="s">
        <v>0</v>
      </c>
      <c r="N1521" s="82" t="s">
        <v>0</v>
      </c>
      <c r="O1521" s="82" t="s">
        <v>0</v>
      </c>
      <c r="P1521" s="82" t="s">
        <v>0</v>
      </c>
      <c r="Q1521" s="82" t="s">
        <v>0</v>
      </c>
      <c r="R1521" s="84" t="s">
        <v>0</v>
      </c>
      <c r="S1521" s="10" t="s">
        <v>1</v>
      </c>
      <c r="T1521" s="10" t="s">
        <v>10221</v>
      </c>
      <c r="U1521" s="5" t="str">
        <f t="shared" si="829"/>
        <v>Propriedade destinada a linkar: é.protocolo.ftp</v>
      </c>
      <c r="V1521" s="5" t="str">
        <f t="shared" si="830"/>
        <v>Dado para linkar:  protocolo.ftp  Deve ser formatado como (rdfs:Literal  or  xsd:string)</v>
      </c>
      <c r="W1521" s="69" t="s">
        <v>5819</v>
      </c>
      <c r="X1521" s="17" t="str">
        <f t="shared" si="816"/>
        <v>d.linka.113</v>
      </c>
      <c r="Y1521" s="17" t="str">
        <f t="shared" si="817"/>
        <v>Ação de linkar</v>
      </c>
      <c r="Z1521" s="62" t="s">
        <v>4651</v>
      </c>
      <c r="AA1521" s="18" t="str">
        <f t="shared" si="831"/>
        <v>null</v>
      </c>
      <c r="AB1521" s="19" t="s">
        <v>0</v>
      </c>
      <c r="AC1521" s="18" t="str">
        <f t="shared" si="832"/>
        <v>null</v>
      </c>
      <c r="AD1521" s="19" t="s">
        <v>0</v>
      </c>
      <c r="AE1521" s="18" t="str">
        <f t="shared" si="833"/>
        <v>null</v>
      </c>
      <c r="AF1521" s="75" t="s">
        <v>0</v>
      </c>
      <c r="AG1521" s="38" t="s">
        <v>8693</v>
      </c>
    </row>
    <row r="1522" spans="1:33" ht="6" customHeight="1" x14ac:dyDescent="0.4">
      <c r="A1522" s="4">
        <f>ROW()</f>
        <v>1522</v>
      </c>
      <c r="B1522" s="9" t="s">
        <v>27</v>
      </c>
      <c r="C1522" s="44" t="str">
        <f t="shared" si="827"/>
        <v>p.linkar</v>
      </c>
      <c r="D1522" s="6" t="str">
        <f t="shared" si="828"/>
        <v>é.sítio.eletrônico.oficial</v>
      </c>
      <c r="E1522" s="8" t="s">
        <v>28</v>
      </c>
      <c r="F1522" s="34" t="str">
        <f t="shared" ref="F1522" si="835">F1521</f>
        <v>d.linkar</v>
      </c>
      <c r="G1522" s="27" t="s">
        <v>7157</v>
      </c>
      <c r="H1522" s="33" t="s">
        <v>1581</v>
      </c>
      <c r="I1522" s="92" t="str">
        <f t="shared" si="826"/>
        <v>null</v>
      </c>
      <c r="J1522" s="80" t="s">
        <v>0</v>
      </c>
      <c r="K1522" s="80" t="s">
        <v>0</v>
      </c>
      <c r="L1522" s="80" t="s">
        <v>0</v>
      </c>
      <c r="M1522" s="80" t="s">
        <v>0</v>
      </c>
      <c r="N1522" s="80" t="s">
        <v>0</v>
      </c>
      <c r="O1522" s="80" t="s">
        <v>0</v>
      </c>
      <c r="P1522" s="80" t="s">
        <v>0</v>
      </c>
      <c r="Q1522" s="80" t="s">
        <v>0</v>
      </c>
      <c r="R1522" s="84" t="s">
        <v>0</v>
      </c>
      <c r="S1522" s="10" t="s">
        <v>1</v>
      </c>
      <c r="T1522" s="10" t="s">
        <v>10221</v>
      </c>
      <c r="U1522" s="5" t="str">
        <f t="shared" si="829"/>
        <v>Propriedade destinada a linkar: é.sítio.eletrônico.oficial</v>
      </c>
      <c r="V1522" s="5" t="str">
        <f t="shared" si="830"/>
        <v>Dado para linkar:  sítio.eletrônico.oficial  Deve ser formatado como (rdfs:Literal  or  xsd:string)</v>
      </c>
      <c r="W1522" s="69" t="s">
        <v>5789</v>
      </c>
      <c r="X1522" s="17" t="str">
        <f t="shared" si="816"/>
        <v>d.linka.114</v>
      </c>
      <c r="Y1522" s="17" t="str">
        <f t="shared" si="817"/>
        <v>Ação de linkar</v>
      </c>
      <c r="Z1522" s="62" t="s">
        <v>4498</v>
      </c>
      <c r="AA1522" s="18" t="str">
        <f t="shared" si="831"/>
        <v>null</v>
      </c>
      <c r="AB1522" s="19" t="s">
        <v>0</v>
      </c>
      <c r="AC1522" s="18" t="str">
        <f t="shared" si="832"/>
        <v>null</v>
      </c>
      <c r="AD1522" s="19" t="s">
        <v>0</v>
      </c>
      <c r="AE1522" s="18" t="str">
        <f t="shared" si="833"/>
        <v>null</v>
      </c>
      <c r="AF1522" s="75" t="s">
        <v>0</v>
      </c>
      <c r="AG1522" s="38" t="s">
        <v>8694</v>
      </c>
    </row>
    <row r="1523" spans="1:33" ht="6" customHeight="1" x14ac:dyDescent="0.4">
      <c r="A1523" s="4">
        <f>ROW()</f>
        <v>1523</v>
      </c>
      <c r="B1523" s="9" t="s">
        <v>27</v>
      </c>
      <c r="C1523" s="43" t="str">
        <f t="shared" si="827"/>
        <v>p.listar</v>
      </c>
      <c r="D1523" s="6" t="str">
        <f t="shared" si="828"/>
        <v>é.lista</v>
      </c>
      <c r="E1523" s="8" t="s">
        <v>28</v>
      </c>
      <c r="F1523" s="40" t="s">
        <v>2201</v>
      </c>
      <c r="G1523" s="13" t="s">
        <v>376</v>
      </c>
      <c r="H1523" s="33" t="s">
        <v>1581</v>
      </c>
      <c r="I1523" s="92" t="str">
        <f t="shared" si="826"/>
        <v>null</v>
      </c>
      <c r="J1523" s="80" t="s">
        <v>0</v>
      </c>
      <c r="K1523" s="80" t="s">
        <v>0</v>
      </c>
      <c r="L1523" s="80" t="s">
        <v>0</v>
      </c>
      <c r="M1523" s="80" t="s">
        <v>0</v>
      </c>
      <c r="N1523" s="80" t="s">
        <v>0</v>
      </c>
      <c r="O1523" s="80" t="s">
        <v>0</v>
      </c>
      <c r="P1523" s="80" t="s">
        <v>0</v>
      </c>
      <c r="Q1523" s="80" t="s">
        <v>0</v>
      </c>
      <c r="R1523" s="84" t="s">
        <v>0</v>
      </c>
      <c r="S1523" s="10" t="s">
        <v>1</v>
      </c>
      <c r="T1523" s="10" t="s">
        <v>10221</v>
      </c>
      <c r="U1523" s="5" t="str">
        <f t="shared" si="829"/>
        <v>Propriedade destinada a listar: é.lista</v>
      </c>
      <c r="V1523" s="5" t="str">
        <f t="shared" si="830"/>
        <v>Dado para listar:  lista  Deve ser formatado como (rdfs:Literal  or  xsd:string)</v>
      </c>
      <c r="W1523" s="69" t="s">
        <v>5820</v>
      </c>
      <c r="X1523" s="17" t="str">
        <f t="shared" si="816"/>
        <v>d.lista.100</v>
      </c>
      <c r="Y1523" s="17" t="str">
        <f t="shared" si="817"/>
        <v>Ação de listar</v>
      </c>
      <c r="Z1523" s="62" t="s">
        <v>4652</v>
      </c>
      <c r="AA1523" s="18" t="str">
        <f t="shared" si="831"/>
        <v>null</v>
      </c>
      <c r="AB1523" s="19" t="s">
        <v>0</v>
      </c>
      <c r="AC1523" s="18" t="str">
        <f t="shared" si="832"/>
        <v>null</v>
      </c>
      <c r="AD1523" s="19" t="s">
        <v>0</v>
      </c>
      <c r="AE1523" s="18" t="str">
        <f t="shared" si="833"/>
        <v>null</v>
      </c>
      <c r="AF1523" s="75" t="s">
        <v>0</v>
      </c>
      <c r="AG1523" s="38" t="s">
        <v>8695</v>
      </c>
    </row>
    <row r="1524" spans="1:33" ht="6" customHeight="1" x14ac:dyDescent="0.4">
      <c r="A1524" s="4">
        <f>ROW()</f>
        <v>1524</v>
      </c>
      <c r="B1524" s="9" t="s">
        <v>27</v>
      </c>
      <c r="C1524" s="44" t="str">
        <f t="shared" si="827"/>
        <v>p.listar</v>
      </c>
      <c r="D1524" s="6" t="str">
        <f t="shared" si="828"/>
        <v>é.classificação</v>
      </c>
      <c r="E1524" s="8" t="s">
        <v>28</v>
      </c>
      <c r="F1524" s="34" t="str">
        <f>F1523</f>
        <v>d.listar</v>
      </c>
      <c r="G1524" s="13" t="s">
        <v>2605</v>
      </c>
      <c r="H1524" s="33" t="s">
        <v>1581</v>
      </c>
      <c r="I1524" s="92" t="str">
        <f t="shared" si="826"/>
        <v>null</v>
      </c>
      <c r="J1524" s="82" t="s">
        <v>0</v>
      </c>
      <c r="K1524" s="82" t="s">
        <v>0</v>
      </c>
      <c r="L1524" s="82" t="s">
        <v>0</v>
      </c>
      <c r="M1524" s="82" t="s">
        <v>0</v>
      </c>
      <c r="N1524" s="80" t="s">
        <v>0</v>
      </c>
      <c r="O1524" s="82" t="s">
        <v>0</v>
      </c>
      <c r="P1524" s="82" t="s">
        <v>0</v>
      </c>
      <c r="Q1524" s="82" t="s">
        <v>0</v>
      </c>
      <c r="R1524" s="84" t="s">
        <v>0</v>
      </c>
      <c r="S1524" s="10" t="s">
        <v>1</v>
      </c>
      <c r="T1524" s="10" t="s">
        <v>10221</v>
      </c>
      <c r="U1524" s="5" t="str">
        <f t="shared" si="829"/>
        <v>Propriedade destinada a listar: é.classificação</v>
      </c>
      <c r="V1524" s="5" t="str">
        <f t="shared" si="830"/>
        <v>Dado para listar:  classificação  Deve ser formatado como (rdfs:Literal  or  xsd:string)</v>
      </c>
      <c r="W1524" s="69" t="s">
        <v>5821</v>
      </c>
      <c r="X1524" s="17" t="str">
        <f t="shared" si="816"/>
        <v>d.lista.101</v>
      </c>
      <c r="Y1524" s="17" t="str">
        <f t="shared" si="817"/>
        <v>Ação de listar</v>
      </c>
      <c r="Z1524" s="62" t="s">
        <v>4700</v>
      </c>
      <c r="AA1524" s="18" t="str">
        <f t="shared" si="831"/>
        <v>null</v>
      </c>
      <c r="AB1524" s="19" t="s">
        <v>0</v>
      </c>
      <c r="AC1524" s="18" t="str">
        <f t="shared" si="832"/>
        <v>null</v>
      </c>
      <c r="AD1524" s="19" t="s">
        <v>0</v>
      </c>
      <c r="AE1524" s="18" t="str">
        <f t="shared" si="833"/>
        <v>null</v>
      </c>
      <c r="AF1524" s="75" t="s">
        <v>0</v>
      </c>
      <c r="AG1524" s="38" t="s">
        <v>8696</v>
      </c>
    </row>
    <row r="1525" spans="1:33" ht="6" customHeight="1" x14ac:dyDescent="0.4">
      <c r="A1525" s="4">
        <f>ROW()</f>
        <v>1525</v>
      </c>
      <c r="B1525" s="9" t="s">
        <v>27</v>
      </c>
      <c r="C1525" s="44" t="str">
        <f t="shared" si="827"/>
        <v>p.listar</v>
      </c>
      <c r="D1525" s="6" t="str">
        <f t="shared" si="828"/>
        <v>é.ordenamento</v>
      </c>
      <c r="E1525" s="8" t="s">
        <v>28</v>
      </c>
      <c r="F1525" s="34" t="str">
        <f>F1524</f>
        <v>d.listar</v>
      </c>
      <c r="G1525" s="13" t="s">
        <v>378</v>
      </c>
      <c r="H1525" s="33" t="s">
        <v>1581</v>
      </c>
      <c r="I1525" s="92" t="str">
        <f t="shared" si="826"/>
        <v>null</v>
      </c>
      <c r="J1525" s="80" t="s">
        <v>0</v>
      </c>
      <c r="K1525" s="80" t="s">
        <v>0</v>
      </c>
      <c r="L1525" s="80" t="s">
        <v>0</v>
      </c>
      <c r="M1525" s="80" t="s">
        <v>0</v>
      </c>
      <c r="N1525" s="80" t="s">
        <v>0</v>
      </c>
      <c r="O1525" s="80" t="s">
        <v>0</v>
      </c>
      <c r="P1525" s="80" t="s">
        <v>0</v>
      </c>
      <c r="Q1525" s="80" t="s">
        <v>0</v>
      </c>
      <c r="R1525" s="84" t="s">
        <v>0</v>
      </c>
      <c r="S1525" s="10" t="s">
        <v>1</v>
      </c>
      <c r="T1525" s="10" t="s">
        <v>10221</v>
      </c>
      <c r="U1525" s="5" t="str">
        <f t="shared" si="829"/>
        <v>Propriedade destinada a listar: é.ordenamento</v>
      </c>
      <c r="V1525" s="5" t="str">
        <f t="shared" si="830"/>
        <v>Dado para listar:  ordenamento  Deve ser formatado como (rdfs:Literal  or  xsd:string)</v>
      </c>
      <c r="W1525" s="69" t="s">
        <v>5822</v>
      </c>
      <c r="X1525" s="17" t="str">
        <f t="shared" si="816"/>
        <v>d.lista.102</v>
      </c>
      <c r="Y1525" s="17" t="str">
        <f t="shared" si="817"/>
        <v>Ação de listar</v>
      </c>
      <c r="Z1525" s="62" t="s">
        <v>4653</v>
      </c>
      <c r="AA1525" s="18" t="str">
        <f t="shared" si="831"/>
        <v>null</v>
      </c>
      <c r="AB1525" s="19" t="s">
        <v>0</v>
      </c>
      <c r="AC1525" s="18" t="str">
        <f t="shared" si="832"/>
        <v>null</v>
      </c>
      <c r="AD1525" s="19" t="s">
        <v>0</v>
      </c>
      <c r="AE1525" s="18" t="str">
        <f t="shared" si="833"/>
        <v>null</v>
      </c>
      <c r="AF1525" s="75" t="s">
        <v>0</v>
      </c>
      <c r="AG1525" s="38" t="s">
        <v>8697</v>
      </c>
    </row>
    <row r="1526" spans="1:33" ht="6" customHeight="1" x14ac:dyDescent="0.4">
      <c r="A1526" s="4">
        <f>ROW()</f>
        <v>1526</v>
      </c>
      <c r="B1526" s="9" t="s">
        <v>27</v>
      </c>
      <c r="C1526" s="44" t="str">
        <f t="shared" si="827"/>
        <v>p.listar</v>
      </c>
      <c r="D1526" s="6" t="str">
        <f t="shared" si="828"/>
        <v>é.ranqueamento</v>
      </c>
      <c r="E1526" s="8" t="s">
        <v>28</v>
      </c>
      <c r="F1526" s="34" t="str">
        <f>F1524</f>
        <v>d.listar</v>
      </c>
      <c r="G1526" s="13" t="s">
        <v>377</v>
      </c>
      <c r="H1526" s="33" t="s">
        <v>1581</v>
      </c>
      <c r="I1526" s="92" t="str">
        <f t="shared" si="826"/>
        <v>null</v>
      </c>
      <c r="J1526" s="80" t="s">
        <v>0</v>
      </c>
      <c r="K1526" s="80" t="s">
        <v>0</v>
      </c>
      <c r="L1526" s="80" t="s">
        <v>0</v>
      </c>
      <c r="M1526" s="80" t="s">
        <v>0</v>
      </c>
      <c r="N1526" s="80" t="s">
        <v>0</v>
      </c>
      <c r="O1526" s="80" t="s">
        <v>0</v>
      </c>
      <c r="P1526" s="80" t="s">
        <v>0</v>
      </c>
      <c r="Q1526" s="80" t="s">
        <v>0</v>
      </c>
      <c r="R1526" s="84" t="s">
        <v>0</v>
      </c>
      <c r="S1526" s="10" t="s">
        <v>1</v>
      </c>
      <c r="T1526" s="10" t="s">
        <v>10221</v>
      </c>
      <c r="U1526" s="5" t="str">
        <f t="shared" si="829"/>
        <v>Propriedade destinada a listar: é.ranqueamento</v>
      </c>
      <c r="V1526" s="5" t="str">
        <f t="shared" si="830"/>
        <v>Dado para listar:  ranqueamento  Deve ser formatado como (rdfs:Literal  or  xsd:string)</v>
      </c>
      <c r="W1526" s="69" t="s">
        <v>5823</v>
      </c>
      <c r="X1526" s="17" t="str">
        <f t="shared" si="816"/>
        <v>d.lista.103</v>
      </c>
      <c r="Y1526" s="17" t="str">
        <f t="shared" si="817"/>
        <v>Ação de listar</v>
      </c>
      <c r="Z1526" s="62" t="s">
        <v>4654</v>
      </c>
      <c r="AA1526" s="18" t="str">
        <f t="shared" si="831"/>
        <v>null</v>
      </c>
      <c r="AB1526" s="19" t="s">
        <v>0</v>
      </c>
      <c r="AC1526" s="18" t="str">
        <f t="shared" si="832"/>
        <v>null</v>
      </c>
      <c r="AD1526" s="19" t="s">
        <v>0</v>
      </c>
      <c r="AE1526" s="18" t="str">
        <f t="shared" si="833"/>
        <v>null</v>
      </c>
      <c r="AF1526" s="75" t="s">
        <v>0</v>
      </c>
      <c r="AG1526" s="38" t="s">
        <v>8698</v>
      </c>
    </row>
    <row r="1527" spans="1:33" ht="6" customHeight="1" x14ac:dyDescent="0.4">
      <c r="A1527" s="4">
        <f>ROW()</f>
        <v>1527</v>
      </c>
      <c r="B1527" s="9" t="s">
        <v>27</v>
      </c>
      <c r="C1527" s="43" t="str">
        <f t="shared" si="827"/>
        <v>p.litigiar</v>
      </c>
      <c r="D1527" s="6" t="str">
        <f t="shared" si="828"/>
        <v>é.petição.inicial</v>
      </c>
      <c r="E1527" s="8" t="s">
        <v>28</v>
      </c>
      <c r="F1527" s="40" t="s">
        <v>2202</v>
      </c>
      <c r="G1527" s="16" t="s">
        <v>1091</v>
      </c>
      <c r="H1527" s="33" t="s">
        <v>1581</v>
      </c>
      <c r="I1527" s="92" t="str">
        <f t="shared" si="826"/>
        <v>null</v>
      </c>
      <c r="J1527" s="80" t="s">
        <v>0</v>
      </c>
      <c r="K1527" s="82" t="s">
        <v>0</v>
      </c>
      <c r="L1527" s="82" t="s">
        <v>0</v>
      </c>
      <c r="M1527" s="82" t="s">
        <v>0</v>
      </c>
      <c r="N1527" s="80" t="s">
        <v>0</v>
      </c>
      <c r="O1527" s="82" t="s">
        <v>0</v>
      </c>
      <c r="P1527" s="82" t="s">
        <v>0</v>
      </c>
      <c r="Q1527" s="82" t="s">
        <v>0</v>
      </c>
      <c r="R1527" s="84" t="s">
        <v>0</v>
      </c>
      <c r="S1527" s="10" t="s">
        <v>1</v>
      </c>
      <c r="T1527" s="10" t="s">
        <v>10221</v>
      </c>
      <c r="U1527" s="5" t="str">
        <f t="shared" si="829"/>
        <v>Propriedade destinada a litigiar: é.petição.inicial</v>
      </c>
      <c r="V1527" s="5" t="str">
        <f t="shared" si="830"/>
        <v>Dado para litigiar:  petição.inicial  Deve ser formatado como (rdfs:Literal  or  xsd:string)</v>
      </c>
      <c r="W1527" s="69" t="s">
        <v>5824</v>
      </c>
      <c r="X1527" s="17" t="str">
        <f t="shared" si="816"/>
        <v>d.litig.100</v>
      </c>
      <c r="Y1527" s="17" t="str">
        <f t="shared" si="817"/>
        <v>Ação de litigiar</v>
      </c>
      <c r="Z1527" s="62" t="s">
        <v>4655</v>
      </c>
      <c r="AA1527" s="18" t="str">
        <f t="shared" si="831"/>
        <v>null</v>
      </c>
      <c r="AB1527" s="19" t="s">
        <v>0</v>
      </c>
      <c r="AC1527" s="18" t="str">
        <f t="shared" si="832"/>
        <v>null</v>
      </c>
      <c r="AD1527" s="19" t="s">
        <v>0</v>
      </c>
      <c r="AE1527" s="18" t="str">
        <f t="shared" si="833"/>
        <v>null</v>
      </c>
      <c r="AF1527" s="75" t="s">
        <v>0</v>
      </c>
      <c r="AG1527" s="38" t="s">
        <v>8699</v>
      </c>
    </row>
    <row r="1528" spans="1:33" ht="6" customHeight="1" x14ac:dyDescent="0.4">
      <c r="A1528" s="4">
        <f>ROW()</f>
        <v>1528</v>
      </c>
      <c r="B1528" s="9" t="s">
        <v>27</v>
      </c>
      <c r="C1528" s="44" t="str">
        <f t="shared" si="827"/>
        <v>p.litigiar</v>
      </c>
      <c r="D1528" s="6" t="str">
        <f t="shared" si="828"/>
        <v>é.procuração</v>
      </c>
      <c r="E1528" s="8" t="s">
        <v>28</v>
      </c>
      <c r="F1528" s="34" t="str">
        <f t="shared" ref="F1528:F1537" si="836">F1527</f>
        <v>d.litigiar</v>
      </c>
      <c r="G1528" s="16" t="s">
        <v>1570</v>
      </c>
      <c r="H1528" s="33" t="s">
        <v>1581</v>
      </c>
      <c r="I1528" s="92" t="str">
        <f t="shared" si="826"/>
        <v>null</v>
      </c>
      <c r="J1528" s="82" t="s">
        <v>0</v>
      </c>
      <c r="K1528" s="82" t="s">
        <v>0</v>
      </c>
      <c r="L1528" s="82" t="s">
        <v>0</v>
      </c>
      <c r="M1528" s="82" t="s">
        <v>0</v>
      </c>
      <c r="N1528" s="80" t="s">
        <v>0</v>
      </c>
      <c r="O1528" s="82" t="s">
        <v>0</v>
      </c>
      <c r="P1528" s="82" t="s">
        <v>0</v>
      </c>
      <c r="Q1528" s="82" t="s">
        <v>0</v>
      </c>
      <c r="R1528" s="84" t="s">
        <v>0</v>
      </c>
      <c r="S1528" s="10" t="s">
        <v>1</v>
      </c>
      <c r="T1528" s="10" t="s">
        <v>10221</v>
      </c>
      <c r="U1528" s="5" t="str">
        <f t="shared" si="829"/>
        <v>Propriedade destinada a litigiar: é.procuração</v>
      </c>
      <c r="V1528" s="5" t="str">
        <f t="shared" si="830"/>
        <v>Dado para litigiar:  procuração  Deve ser formatado como (rdfs:Literal  or  xsd:string)</v>
      </c>
      <c r="W1528" s="69" t="s">
        <v>5825</v>
      </c>
      <c r="X1528" s="17" t="str">
        <f t="shared" si="816"/>
        <v>d.litig.101</v>
      </c>
      <c r="Y1528" s="17" t="str">
        <f t="shared" si="817"/>
        <v>Ação de litigiar</v>
      </c>
      <c r="Z1528" s="62" t="s">
        <v>4656</v>
      </c>
      <c r="AA1528" s="18" t="str">
        <f t="shared" si="831"/>
        <v>null</v>
      </c>
      <c r="AB1528" s="19" t="s">
        <v>0</v>
      </c>
      <c r="AC1528" s="18" t="str">
        <f t="shared" si="832"/>
        <v>null</v>
      </c>
      <c r="AD1528" s="19" t="s">
        <v>0</v>
      </c>
      <c r="AE1528" s="18" t="str">
        <f t="shared" si="833"/>
        <v>null</v>
      </c>
      <c r="AF1528" s="75" t="s">
        <v>0</v>
      </c>
      <c r="AG1528" s="38" t="s">
        <v>8700</v>
      </c>
    </row>
    <row r="1529" spans="1:33" ht="6" customHeight="1" x14ac:dyDescent="0.4">
      <c r="A1529" s="4">
        <f>ROW()</f>
        <v>1529</v>
      </c>
      <c r="B1529" s="9" t="s">
        <v>27</v>
      </c>
      <c r="C1529" s="44" t="str">
        <f t="shared" si="827"/>
        <v>p.litigiar</v>
      </c>
      <c r="D1529" s="6" t="str">
        <f t="shared" si="828"/>
        <v>é.termo.contratual</v>
      </c>
      <c r="E1529" s="8" t="s">
        <v>28</v>
      </c>
      <c r="F1529" s="34" t="str">
        <f t="shared" si="836"/>
        <v>d.litigiar</v>
      </c>
      <c r="G1529" s="16" t="s">
        <v>1099</v>
      </c>
      <c r="H1529" s="33" t="s">
        <v>1581</v>
      </c>
      <c r="I1529" s="92" t="str">
        <f t="shared" si="826"/>
        <v>null</v>
      </c>
      <c r="J1529" s="82" t="s">
        <v>0</v>
      </c>
      <c r="K1529" s="82" t="s">
        <v>0</v>
      </c>
      <c r="L1529" s="82" t="s">
        <v>0</v>
      </c>
      <c r="M1529" s="82" t="s">
        <v>0</v>
      </c>
      <c r="N1529" s="80" t="s">
        <v>0</v>
      </c>
      <c r="O1529" s="82" t="s">
        <v>0</v>
      </c>
      <c r="P1529" s="82" t="s">
        <v>0</v>
      </c>
      <c r="Q1529" s="82" t="s">
        <v>0</v>
      </c>
      <c r="R1529" s="84" t="s">
        <v>0</v>
      </c>
      <c r="S1529" s="10" t="s">
        <v>1</v>
      </c>
      <c r="T1529" s="10" t="s">
        <v>10221</v>
      </c>
      <c r="U1529" s="5" t="str">
        <f t="shared" si="829"/>
        <v>Propriedade destinada a litigiar: é.termo.contratual</v>
      </c>
      <c r="V1529" s="5" t="str">
        <f t="shared" si="830"/>
        <v>Dado para litigiar:  termo.contratual  Deve ser formatado como (rdfs:Literal  or  xsd:string)</v>
      </c>
      <c r="W1529" s="69" t="s">
        <v>5826</v>
      </c>
      <c r="X1529" s="17" t="str">
        <f t="shared" si="816"/>
        <v>d.litig.102</v>
      </c>
      <c r="Y1529" s="17" t="str">
        <f t="shared" si="817"/>
        <v>Ação de litigiar</v>
      </c>
      <c r="Z1529" s="62" t="s">
        <v>4657</v>
      </c>
      <c r="AA1529" s="18" t="str">
        <f t="shared" si="831"/>
        <v>null</v>
      </c>
      <c r="AB1529" s="19" t="s">
        <v>0</v>
      </c>
      <c r="AC1529" s="18" t="str">
        <f t="shared" si="832"/>
        <v>null</v>
      </c>
      <c r="AD1529" s="19" t="s">
        <v>0</v>
      </c>
      <c r="AE1529" s="18" t="str">
        <f t="shared" si="833"/>
        <v>null</v>
      </c>
      <c r="AF1529" s="75" t="s">
        <v>0</v>
      </c>
      <c r="AG1529" s="38" t="s">
        <v>8701</v>
      </c>
    </row>
    <row r="1530" spans="1:33" ht="6" customHeight="1" x14ac:dyDescent="0.4">
      <c r="A1530" s="4">
        <f>ROW()</f>
        <v>1530</v>
      </c>
      <c r="B1530" s="9" t="s">
        <v>27</v>
      </c>
      <c r="C1530" s="44" t="str">
        <f t="shared" si="827"/>
        <v>p.litigiar</v>
      </c>
      <c r="D1530" s="6" t="str">
        <f t="shared" si="828"/>
        <v>é.termo.de.uso</v>
      </c>
      <c r="E1530" s="8" t="s">
        <v>28</v>
      </c>
      <c r="F1530" s="34" t="str">
        <f t="shared" si="836"/>
        <v>d.litigiar</v>
      </c>
      <c r="G1530" s="16" t="s">
        <v>1093</v>
      </c>
      <c r="H1530" s="33" t="s">
        <v>1581</v>
      </c>
      <c r="I1530" s="92" t="str">
        <f t="shared" si="826"/>
        <v>null</v>
      </c>
      <c r="J1530" s="82" t="s">
        <v>0</v>
      </c>
      <c r="K1530" s="82" t="s">
        <v>0</v>
      </c>
      <c r="L1530" s="82" t="s">
        <v>0</v>
      </c>
      <c r="M1530" s="82" t="s">
        <v>0</v>
      </c>
      <c r="N1530" s="80" t="s">
        <v>0</v>
      </c>
      <c r="O1530" s="82" t="s">
        <v>0</v>
      </c>
      <c r="P1530" s="82" t="s">
        <v>0</v>
      </c>
      <c r="Q1530" s="82" t="s">
        <v>0</v>
      </c>
      <c r="R1530" s="84" t="s">
        <v>0</v>
      </c>
      <c r="S1530" s="10" t="s">
        <v>1</v>
      </c>
      <c r="T1530" s="10" t="s">
        <v>10221</v>
      </c>
      <c r="U1530" s="5" t="str">
        <f t="shared" si="829"/>
        <v>Propriedade destinada a litigiar: é.termo.de.uso</v>
      </c>
      <c r="V1530" s="5" t="str">
        <f t="shared" si="830"/>
        <v>Dado para litigiar:  termo.de.uso  Deve ser formatado como (rdfs:Literal  or  xsd:string)</v>
      </c>
      <c r="W1530" s="69" t="s">
        <v>5827</v>
      </c>
      <c r="X1530" s="17" t="str">
        <f t="shared" si="816"/>
        <v>d.litig.103</v>
      </c>
      <c r="Y1530" s="17" t="str">
        <f t="shared" si="817"/>
        <v>Ação de litigiar</v>
      </c>
      <c r="Z1530" s="62" t="s">
        <v>4633</v>
      </c>
      <c r="AA1530" s="18" t="str">
        <f t="shared" si="831"/>
        <v>null</v>
      </c>
      <c r="AB1530" s="19" t="s">
        <v>0</v>
      </c>
      <c r="AC1530" s="18" t="str">
        <f t="shared" si="832"/>
        <v>null</v>
      </c>
      <c r="AD1530" s="19" t="s">
        <v>0</v>
      </c>
      <c r="AE1530" s="18" t="str">
        <f t="shared" si="833"/>
        <v>null</v>
      </c>
      <c r="AF1530" s="75" t="s">
        <v>0</v>
      </c>
      <c r="AG1530" s="38" t="s">
        <v>8702</v>
      </c>
    </row>
    <row r="1531" spans="1:33" ht="6" customHeight="1" x14ac:dyDescent="0.4">
      <c r="A1531" s="4">
        <f>ROW()</f>
        <v>1531</v>
      </c>
      <c r="B1531" s="9" t="s">
        <v>27</v>
      </c>
      <c r="C1531" s="44" t="str">
        <f t="shared" si="827"/>
        <v>p.litigiar</v>
      </c>
      <c r="D1531" s="6" t="str">
        <f t="shared" si="828"/>
        <v>é.termo.de.responsabilidade</v>
      </c>
      <c r="E1531" s="8" t="s">
        <v>28</v>
      </c>
      <c r="F1531" s="34" t="str">
        <f t="shared" si="836"/>
        <v>d.litigiar</v>
      </c>
      <c r="G1531" s="16" t="s">
        <v>1092</v>
      </c>
      <c r="H1531" s="33" t="s">
        <v>1581</v>
      </c>
      <c r="I1531" s="92" t="str">
        <f t="shared" si="826"/>
        <v>null</v>
      </c>
      <c r="J1531" s="82" t="s">
        <v>0</v>
      </c>
      <c r="K1531" s="82" t="s">
        <v>0</v>
      </c>
      <c r="L1531" s="82" t="s">
        <v>0</v>
      </c>
      <c r="M1531" s="82" t="s">
        <v>0</v>
      </c>
      <c r="N1531" s="80" t="s">
        <v>0</v>
      </c>
      <c r="O1531" s="82" t="s">
        <v>0</v>
      </c>
      <c r="P1531" s="82" t="s">
        <v>0</v>
      </c>
      <c r="Q1531" s="82" t="s">
        <v>0</v>
      </c>
      <c r="R1531" s="84" t="s">
        <v>0</v>
      </c>
      <c r="S1531" s="10" t="s">
        <v>1</v>
      </c>
      <c r="T1531" s="10" t="s">
        <v>10221</v>
      </c>
      <c r="U1531" s="5" t="str">
        <f t="shared" si="829"/>
        <v>Propriedade destinada a litigiar: é.termo.de.responsabilidade</v>
      </c>
      <c r="V1531" s="5" t="str">
        <f t="shared" si="830"/>
        <v>Dado para litigiar:  termo.de.responsabilidade  Deve ser formatado como (rdfs:Literal  or  xsd:string)</v>
      </c>
      <c r="W1531" s="69" t="s">
        <v>5827</v>
      </c>
      <c r="X1531" s="17" t="str">
        <f t="shared" si="816"/>
        <v>d.litig.104</v>
      </c>
      <c r="Y1531" s="17" t="str">
        <f t="shared" si="817"/>
        <v>Ação de litigiar</v>
      </c>
      <c r="Z1531" s="62" t="s">
        <v>4633</v>
      </c>
      <c r="AA1531" s="18" t="str">
        <f t="shared" si="831"/>
        <v>null</v>
      </c>
      <c r="AB1531" s="19" t="s">
        <v>0</v>
      </c>
      <c r="AC1531" s="18" t="str">
        <f t="shared" si="832"/>
        <v>null</v>
      </c>
      <c r="AD1531" s="19" t="s">
        <v>0</v>
      </c>
      <c r="AE1531" s="18" t="str">
        <f t="shared" si="833"/>
        <v>null</v>
      </c>
      <c r="AF1531" s="75" t="s">
        <v>0</v>
      </c>
      <c r="AG1531" s="38" t="s">
        <v>8702</v>
      </c>
    </row>
    <row r="1532" spans="1:33" ht="6" customHeight="1" x14ac:dyDescent="0.4">
      <c r="A1532" s="4">
        <f>ROW()</f>
        <v>1532</v>
      </c>
      <c r="B1532" s="9" t="s">
        <v>27</v>
      </c>
      <c r="C1532" s="44" t="str">
        <f t="shared" si="827"/>
        <v>p.litigiar</v>
      </c>
      <c r="D1532" s="6" t="str">
        <f t="shared" si="828"/>
        <v>é.termo.de.política.de.privacidade</v>
      </c>
      <c r="E1532" s="8" t="s">
        <v>28</v>
      </c>
      <c r="F1532" s="34" t="str">
        <f t="shared" si="836"/>
        <v>d.litigiar</v>
      </c>
      <c r="G1532" s="16" t="s">
        <v>1094</v>
      </c>
      <c r="H1532" s="33" t="s">
        <v>1581</v>
      </c>
      <c r="I1532" s="92" t="str">
        <f t="shared" si="826"/>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ref="U1532:U1672" si="837">_xlfn.CONCAT("Propriedade destinada a ",MID(C1532,FIND("p.",C1532,1)+2,100),": ",D1532)</f>
        <v>Propriedade destinada a litigiar: é.termo.de.política.de.privacidade</v>
      </c>
      <c r="V1532" s="5" t="str">
        <f t="shared" ref="V1532:V1672" si="838">_xlfn.CONCAT("Dado para ",MID(F1532,FIND("d.",F1532,1)+2,100),":  ",G1532, "  Deve ser formatado como (",H1532, ")")</f>
        <v>Dado para litigiar:  termo.de.política.de.privacidade  Deve ser formatado como (rdfs:Literal  or  xsd:string)</v>
      </c>
      <c r="W1532" s="69" t="s">
        <v>5827</v>
      </c>
      <c r="X1532" s="17" t="str">
        <f t="shared" si="816"/>
        <v>d.litig.105</v>
      </c>
      <c r="Y1532" s="17" t="str">
        <f t="shared" si="817"/>
        <v>Ação de litigiar</v>
      </c>
      <c r="Z1532" s="62" t="s">
        <v>4633</v>
      </c>
      <c r="AA1532" s="18" t="str">
        <f t="shared" si="831"/>
        <v>null</v>
      </c>
      <c r="AB1532" s="19" t="s">
        <v>0</v>
      </c>
      <c r="AC1532" s="18" t="str">
        <f t="shared" si="832"/>
        <v>null</v>
      </c>
      <c r="AD1532" s="19" t="s">
        <v>0</v>
      </c>
      <c r="AE1532" s="18" t="str">
        <f t="shared" si="833"/>
        <v>null</v>
      </c>
      <c r="AF1532" s="75" t="s">
        <v>0</v>
      </c>
      <c r="AG1532" s="38" t="s">
        <v>8702</v>
      </c>
    </row>
    <row r="1533" spans="1:33" ht="6" customHeight="1" x14ac:dyDescent="0.4">
      <c r="A1533" s="4">
        <f>ROW()</f>
        <v>1533</v>
      </c>
      <c r="B1533" s="9" t="s">
        <v>27</v>
      </c>
      <c r="C1533" s="44" t="str">
        <f t="shared" si="827"/>
        <v>p.litigiar</v>
      </c>
      <c r="D1533" s="6" t="str">
        <f t="shared" si="828"/>
        <v>é.acordo.de.acionista</v>
      </c>
      <c r="E1533" s="8" t="s">
        <v>28</v>
      </c>
      <c r="F1533" s="34" t="str">
        <f t="shared" si="836"/>
        <v>d.litigiar</v>
      </c>
      <c r="G1533" s="16" t="s">
        <v>1100</v>
      </c>
      <c r="H1533" s="33" t="s">
        <v>1581</v>
      </c>
      <c r="I1533" s="92" t="str">
        <f t="shared" si="826"/>
        <v>null</v>
      </c>
      <c r="J1533" s="82" t="s">
        <v>0</v>
      </c>
      <c r="K1533" s="82" t="s">
        <v>0</v>
      </c>
      <c r="L1533" s="82" t="s">
        <v>0</v>
      </c>
      <c r="M1533" s="82" t="s">
        <v>0</v>
      </c>
      <c r="N1533" s="80" t="s">
        <v>0</v>
      </c>
      <c r="O1533" s="82" t="s">
        <v>0</v>
      </c>
      <c r="P1533" s="82" t="s">
        <v>0</v>
      </c>
      <c r="Q1533" s="82" t="s">
        <v>0</v>
      </c>
      <c r="R1533" s="84" t="s">
        <v>0</v>
      </c>
      <c r="S1533" s="10" t="s">
        <v>1</v>
      </c>
      <c r="T1533" s="10" t="s">
        <v>10221</v>
      </c>
      <c r="U1533" s="5" t="str">
        <f t="shared" si="837"/>
        <v>Propriedade destinada a litigiar: é.acordo.de.acionista</v>
      </c>
      <c r="V1533" s="5" t="str">
        <f t="shared" si="838"/>
        <v>Dado para litigiar:  acordo.de.acionista  Deve ser formatado como (rdfs:Literal  or  xsd:string)</v>
      </c>
      <c r="W1533" s="69" t="s">
        <v>5828</v>
      </c>
      <c r="X1533" s="17" t="str">
        <f t="shared" si="816"/>
        <v>d.litig.106</v>
      </c>
      <c r="Y1533" s="17" t="str">
        <f t="shared" si="817"/>
        <v>Ação de litigiar</v>
      </c>
      <c r="Z1533" s="62" t="s">
        <v>4634</v>
      </c>
      <c r="AA1533" s="18" t="str">
        <f t="shared" ref="AA1533:AA1880" si="839">IF(AB1533="null", "null", "categoria.revit")</f>
        <v>null</v>
      </c>
      <c r="AB1533" s="19" t="s">
        <v>0</v>
      </c>
      <c r="AC1533" s="18" t="str">
        <f t="shared" ref="AC1533:AC1880" si="840">IF(AD1533="null", "null", "classe.ifc")</f>
        <v>null</v>
      </c>
      <c r="AD1533" s="19" t="s">
        <v>0</v>
      </c>
      <c r="AE1533" s="18" t="str">
        <f t="shared" si="833"/>
        <v>null</v>
      </c>
      <c r="AF1533" s="75" t="s">
        <v>0</v>
      </c>
      <c r="AG1533" s="38" t="s">
        <v>8703</v>
      </c>
    </row>
    <row r="1534" spans="1:33" ht="6" customHeight="1" x14ac:dyDescent="0.4">
      <c r="A1534" s="4">
        <f>ROW()</f>
        <v>1534</v>
      </c>
      <c r="B1534" s="9" t="s">
        <v>27</v>
      </c>
      <c r="C1534" s="44" t="str">
        <f t="shared" si="827"/>
        <v>p.litigiar</v>
      </c>
      <c r="D1534" s="6" t="str">
        <f t="shared" si="828"/>
        <v>é.acordo.de.quotista</v>
      </c>
      <c r="E1534" s="8" t="s">
        <v>28</v>
      </c>
      <c r="F1534" s="34" t="str">
        <f t="shared" si="836"/>
        <v>d.litigiar</v>
      </c>
      <c r="G1534" s="16" t="s">
        <v>1095</v>
      </c>
      <c r="H1534" s="33" t="s">
        <v>1581</v>
      </c>
      <c r="I1534" s="92" t="str">
        <f t="shared" si="826"/>
        <v>null</v>
      </c>
      <c r="J1534" s="82" t="s">
        <v>0</v>
      </c>
      <c r="K1534" s="82" t="s">
        <v>0</v>
      </c>
      <c r="L1534" s="82" t="s">
        <v>0</v>
      </c>
      <c r="M1534" s="82" t="s">
        <v>0</v>
      </c>
      <c r="N1534" s="80" t="s">
        <v>0</v>
      </c>
      <c r="O1534" s="82" t="s">
        <v>0</v>
      </c>
      <c r="P1534" s="82" t="s">
        <v>0</v>
      </c>
      <c r="Q1534" s="82" t="s">
        <v>0</v>
      </c>
      <c r="R1534" s="84" t="s">
        <v>0</v>
      </c>
      <c r="S1534" s="10" t="s">
        <v>1</v>
      </c>
      <c r="T1534" s="10" t="s">
        <v>10221</v>
      </c>
      <c r="U1534" s="5" t="str">
        <f t="shared" si="837"/>
        <v>Propriedade destinada a litigiar: é.acordo.de.quotista</v>
      </c>
      <c r="V1534" s="5" t="str">
        <f t="shared" si="838"/>
        <v>Dado para litigiar:  acordo.de.quotista  Deve ser formatado como (rdfs:Literal  or  xsd:string)</v>
      </c>
      <c r="W1534" s="69" t="s">
        <v>5828</v>
      </c>
      <c r="X1534" s="17" t="str">
        <f t="shared" si="816"/>
        <v>d.litig.107</v>
      </c>
      <c r="Y1534" s="17" t="str">
        <f t="shared" si="817"/>
        <v>Ação de litigiar</v>
      </c>
      <c r="Z1534" s="62" t="s">
        <v>4634</v>
      </c>
      <c r="AA1534" s="18" t="str">
        <f t="shared" si="839"/>
        <v>null</v>
      </c>
      <c r="AB1534" s="19" t="s">
        <v>0</v>
      </c>
      <c r="AC1534" s="18" t="str">
        <f t="shared" si="840"/>
        <v>null</v>
      </c>
      <c r="AD1534" s="19" t="s">
        <v>0</v>
      </c>
      <c r="AE1534" s="18" t="str">
        <f t="shared" si="833"/>
        <v>null</v>
      </c>
      <c r="AF1534" s="75" t="s">
        <v>0</v>
      </c>
      <c r="AG1534" s="38" t="s">
        <v>8703</v>
      </c>
    </row>
    <row r="1535" spans="1:33" ht="6" customHeight="1" x14ac:dyDescent="0.4">
      <c r="A1535" s="4">
        <f>ROW()</f>
        <v>1535</v>
      </c>
      <c r="B1535" s="9" t="s">
        <v>27</v>
      </c>
      <c r="C1535" s="44" t="str">
        <f t="shared" si="827"/>
        <v>p.litigiar</v>
      </c>
      <c r="D1535" s="6" t="str">
        <f t="shared" si="828"/>
        <v>é.acordo.de.confidencialidade</v>
      </c>
      <c r="E1535" s="8" t="s">
        <v>28</v>
      </c>
      <c r="F1535" s="34" t="str">
        <f t="shared" si="836"/>
        <v>d.litigiar</v>
      </c>
      <c r="G1535" s="16" t="s">
        <v>1096</v>
      </c>
      <c r="H1535" s="33" t="s">
        <v>1581</v>
      </c>
      <c r="I1535" s="92" t="str">
        <f t="shared" si="826"/>
        <v>null</v>
      </c>
      <c r="J1535" s="82" t="s">
        <v>0</v>
      </c>
      <c r="K1535" s="82" t="s">
        <v>0</v>
      </c>
      <c r="L1535" s="82" t="s">
        <v>0</v>
      </c>
      <c r="M1535" s="82" t="s">
        <v>0</v>
      </c>
      <c r="N1535" s="80" t="s">
        <v>0</v>
      </c>
      <c r="O1535" s="82" t="s">
        <v>0</v>
      </c>
      <c r="P1535" s="82" t="s">
        <v>0</v>
      </c>
      <c r="Q1535" s="82" t="s">
        <v>0</v>
      </c>
      <c r="R1535" s="84" t="s">
        <v>0</v>
      </c>
      <c r="S1535" s="10" t="s">
        <v>1</v>
      </c>
      <c r="T1535" s="10" t="s">
        <v>10221</v>
      </c>
      <c r="U1535" s="5" t="str">
        <f t="shared" si="837"/>
        <v>Propriedade destinada a litigiar: é.acordo.de.confidencialidade</v>
      </c>
      <c r="V1535" s="5" t="str">
        <f t="shared" si="838"/>
        <v>Dado para litigiar:  acordo.de.confidencialidade  Deve ser formatado como (rdfs:Literal  or  xsd:string)</v>
      </c>
      <c r="W1535" s="69" t="s">
        <v>5829</v>
      </c>
      <c r="X1535" s="17" t="str">
        <f t="shared" si="816"/>
        <v>d.litig.108</v>
      </c>
      <c r="Y1535" s="17" t="str">
        <f t="shared" si="817"/>
        <v>Ação de litigiar</v>
      </c>
      <c r="Z1535" s="62" t="s">
        <v>4635</v>
      </c>
      <c r="AA1535" s="18" t="str">
        <f t="shared" si="839"/>
        <v>null</v>
      </c>
      <c r="AB1535" s="19" t="s">
        <v>0</v>
      </c>
      <c r="AC1535" s="18" t="str">
        <f t="shared" si="840"/>
        <v>null</v>
      </c>
      <c r="AD1535" s="19" t="s">
        <v>0</v>
      </c>
      <c r="AE1535" s="18" t="str">
        <f t="shared" si="833"/>
        <v>null</v>
      </c>
      <c r="AF1535" s="75" t="s">
        <v>0</v>
      </c>
      <c r="AG1535" s="38" t="s">
        <v>8704</v>
      </c>
    </row>
    <row r="1536" spans="1:33" ht="6" customHeight="1" x14ac:dyDescent="0.4">
      <c r="A1536" s="4">
        <f>ROW()</f>
        <v>1536</v>
      </c>
      <c r="B1536" s="9" t="s">
        <v>27</v>
      </c>
      <c r="C1536" s="44" t="str">
        <f t="shared" si="827"/>
        <v>p.litigiar</v>
      </c>
      <c r="D1536" s="6" t="str">
        <f t="shared" si="828"/>
        <v>é.prova.documental</v>
      </c>
      <c r="E1536" s="8" t="s">
        <v>28</v>
      </c>
      <c r="F1536" s="34" t="str">
        <f t="shared" si="836"/>
        <v>d.litigiar</v>
      </c>
      <c r="G1536" s="16" t="s">
        <v>1097</v>
      </c>
      <c r="H1536" s="33" t="s">
        <v>1581</v>
      </c>
      <c r="I1536" s="92" t="str">
        <f t="shared" si="826"/>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37"/>
        <v>Propriedade destinada a litigiar: é.prova.documental</v>
      </c>
      <c r="V1536" s="5" t="str">
        <f t="shared" si="838"/>
        <v>Dado para litigiar:  prova.documental  Deve ser formatado como (rdfs:Literal  or  xsd:string)</v>
      </c>
      <c r="W1536" s="69" t="s">
        <v>5830</v>
      </c>
      <c r="X1536" s="17" t="str">
        <f t="shared" si="816"/>
        <v>d.litig.109</v>
      </c>
      <c r="Y1536" s="17" t="str">
        <f t="shared" si="817"/>
        <v>Ação de litigiar</v>
      </c>
      <c r="Z1536" s="62" t="s">
        <v>4636</v>
      </c>
      <c r="AA1536" s="18" t="str">
        <f t="shared" si="839"/>
        <v>null</v>
      </c>
      <c r="AB1536" s="19" t="s">
        <v>0</v>
      </c>
      <c r="AC1536" s="18" t="str">
        <f t="shared" si="840"/>
        <v>null</v>
      </c>
      <c r="AD1536" s="19" t="s">
        <v>0</v>
      </c>
      <c r="AE1536" s="18" t="str">
        <f t="shared" si="833"/>
        <v>null</v>
      </c>
      <c r="AF1536" s="75" t="s">
        <v>0</v>
      </c>
      <c r="AG1536" s="38" t="s">
        <v>8705</v>
      </c>
    </row>
    <row r="1537" spans="1:33" ht="6" customHeight="1" x14ac:dyDescent="0.4">
      <c r="A1537" s="4">
        <f>ROW()</f>
        <v>1537</v>
      </c>
      <c r="B1537" s="9" t="s">
        <v>27</v>
      </c>
      <c r="C1537" s="44" t="str">
        <f t="shared" si="827"/>
        <v>p.litigiar</v>
      </c>
      <c r="D1537" s="6" t="str">
        <f t="shared" si="828"/>
        <v>é.laudo.pericial</v>
      </c>
      <c r="E1537" s="8" t="s">
        <v>28</v>
      </c>
      <c r="F1537" s="34" t="str">
        <f t="shared" si="836"/>
        <v>d.litigiar</v>
      </c>
      <c r="G1537" s="16" t="s">
        <v>1098</v>
      </c>
      <c r="H1537" s="33" t="s">
        <v>1581</v>
      </c>
      <c r="I1537" s="92" t="str">
        <f t="shared" si="826"/>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37"/>
        <v>Propriedade destinada a litigiar: é.laudo.pericial</v>
      </c>
      <c r="V1537" s="5" t="str">
        <f t="shared" si="838"/>
        <v>Dado para litigiar:  laudo.pericial  Deve ser formatado como (rdfs:Literal  or  xsd:string)</v>
      </c>
      <c r="W1537" s="69" t="s">
        <v>5831</v>
      </c>
      <c r="X1537" s="17" t="str">
        <f t="shared" si="816"/>
        <v>d.litig.110</v>
      </c>
      <c r="Y1537" s="17" t="str">
        <f t="shared" si="817"/>
        <v>Ação de litigiar</v>
      </c>
      <c r="Z1537" s="62" t="s">
        <v>4637</v>
      </c>
      <c r="AA1537" s="18" t="str">
        <f t="shared" si="839"/>
        <v>null</v>
      </c>
      <c r="AB1537" s="19" t="s">
        <v>0</v>
      </c>
      <c r="AC1537" s="18" t="str">
        <f t="shared" si="840"/>
        <v>null</v>
      </c>
      <c r="AD1537" s="19" t="s">
        <v>0</v>
      </c>
      <c r="AE1537" s="18" t="str">
        <f t="shared" si="833"/>
        <v>null</v>
      </c>
      <c r="AF1537" s="75" t="s">
        <v>0</v>
      </c>
      <c r="AG1537" s="38" t="s">
        <v>8706</v>
      </c>
    </row>
    <row r="1538" spans="1:33" ht="6" customHeight="1" x14ac:dyDescent="0.4">
      <c r="A1538" s="4">
        <f>ROW()</f>
        <v>1538</v>
      </c>
      <c r="B1538" s="9" t="s">
        <v>27</v>
      </c>
      <c r="C1538" s="43" t="str">
        <f t="shared" si="827"/>
        <v>p.locomover</v>
      </c>
      <c r="D1538" s="6" t="str">
        <f t="shared" si="828"/>
        <v>é.espécie.automóvel</v>
      </c>
      <c r="E1538" s="8" t="s">
        <v>28</v>
      </c>
      <c r="F1538" s="40" t="s">
        <v>6928</v>
      </c>
      <c r="G1538" s="34" t="s">
        <v>6939</v>
      </c>
      <c r="H1538" s="34" t="s">
        <v>36</v>
      </c>
      <c r="I1538" s="92" t="str">
        <f t="shared" si="826"/>
        <v>null</v>
      </c>
      <c r="J1538" s="80" t="s">
        <v>0</v>
      </c>
      <c r="K1538" s="80" t="s">
        <v>0</v>
      </c>
      <c r="L1538" s="80" t="s">
        <v>0</v>
      </c>
      <c r="M1538" s="80" t="s">
        <v>0</v>
      </c>
      <c r="N1538" s="80" t="s">
        <v>0</v>
      </c>
      <c r="O1538" s="80" t="s">
        <v>0</v>
      </c>
      <c r="P1538" s="80" t="s">
        <v>0</v>
      </c>
      <c r="Q1538" s="80" t="s">
        <v>0</v>
      </c>
      <c r="R1538" s="84" t="s">
        <v>0</v>
      </c>
      <c r="S1538" s="10" t="s">
        <v>1</v>
      </c>
      <c r="T1538" s="10" t="s">
        <v>10221</v>
      </c>
      <c r="U1538" s="5" t="str">
        <f t="shared" si="837"/>
        <v>Propriedade destinada a locomover: é.espécie.automóvel</v>
      </c>
      <c r="V1538" s="5" t="str">
        <f t="shared" si="838"/>
        <v>Dado para locomover:  espécie.automóvel  Deve ser formatado como (xsd:boolean)</v>
      </c>
      <c r="W1538" s="69" t="s">
        <v>6942</v>
      </c>
      <c r="X1538" s="17" t="str">
        <f t="shared" si="816"/>
        <v>d.locom.100</v>
      </c>
      <c r="Y1538" s="17" t="str">
        <f t="shared" si="817"/>
        <v>Ação de locomover</v>
      </c>
      <c r="Z1538" s="62" t="s">
        <v>6985</v>
      </c>
      <c r="AA1538" s="18" t="str">
        <f t="shared" si="839"/>
        <v>categoria.revit</v>
      </c>
      <c r="AB1538" s="19" t="s">
        <v>3919</v>
      </c>
      <c r="AC1538" s="18" t="str">
        <f t="shared" si="840"/>
        <v>classe.ifc</v>
      </c>
      <c r="AD1538" s="19" t="s">
        <v>6927</v>
      </c>
      <c r="AE1538" s="18" t="str">
        <f>IF(AF1538="null", "null", "propriedade")</f>
        <v>null</v>
      </c>
      <c r="AF1538" s="75" t="s">
        <v>0</v>
      </c>
      <c r="AG1538" s="38" t="s">
        <v>8707</v>
      </c>
    </row>
    <row r="1539" spans="1:33" ht="6" customHeight="1" x14ac:dyDescent="0.4">
      <c r="A1539" s="4">
        <f>ROW()</f>
        <v>1539</v>
      </c>
      <c r="B1539" s="9" t="s">
        <v>27</v>
      </c>
      <c r="C1539" s="44" t="str">
        <f t="shared" si="827"/>
        <v>p.locomover</v>
      </c>
      <c r="D1539" s="6" t="str">
        <f t="shared" si="828"/>
        <v>é.espécie.bicicleta</v>
      </c>
      <c r="E1539" s="8" t="s">
        <v>28</v>
      </c>
      <c r="F1539" s="34" t="str">
        <f t="shared" ref="F1539:F1582" si="841">F1538</f>
        <v>d.locomover</v>
      </c>
      <c r="G1539" s="34" t="s">
        <v>6938</v>
      </c>
      <c r="H1539" s="34" t="s">
        <v>36</v>
      </c>
      <c r="I1539" s="92" t="str">
        <f t="shared" si="826"/>
        <v>null</v>
      </c>
      <c r="J1539" s="80" t="s">
        <v>0</v>
      </c>
      <c r="K1539" s="80" t="s">
        <v>0</v>
      </c>
      <c r="L1539" s="80" t="s">
        <v>0</v>
      </c>
      <c r="M1539" s="80" t="s">
        <v>0</v>
      </c>
      <c r="N1539" s="80" t="s">
        <v>0</v>
      </c>
      <c r="O1539" s="80" t="s">
        <v>0</v>
      </c>
      <c r="P1539" s="80" t="s">
        <v>0</v>
      </c>
      <c r="Q1539" s="80" t="s">
        <v>0</v>
      </c>
      <c r="R1539" s="84" t="s">
        <v>0</v>
      </c>
      <c r="S1539" s="10" t="s">
        <v>1</v>
      </c>
      <c r="T1539" s="10" t="s">
        <v>10221</v>
      </c>
      <c r="U1539" s="5" t="str">
        <f t="shared" si="837"/>
        <v>Propriedade destinada a locomover: é.espécie.bicicleta</v>
      </c>
      <c r="V1539" s="5" t="str">
        <f t="shared" si="838"/>
        <v>Dado para locomover:  espécie.bicicleta  Deve ser formatado como (xsd:boolean)</v>
      </c>
      <c r="W1539" s="69" t="s">
        <v>6941</v>
      </c>
      <c r="X1539" s="17" t="str">
        <f t="shared" ref="X1539:X1602" si="842">IF(F1538&lt;&gt;F1539,_xlfn.CONCAT(RIGHT(LEFT(F1539,7),7),".100"),_xlfn.CONCAT(RIGHT(LEFT(F1539,7),7),".",SUM(VALUE(RIGHT(X1538,3)),1)))</f>
        <v>d.locom.101</v>
      </c>
      <c r="Y1539" s="17" t="str">
        <f t="shared" ref="Y1539:Y1602" si="843">_xlfn.CONCAT("Ação de ", SUBSTITUTE(F1539, "d.",  ""))</f>
        <v>Ação de locomover</v>
      </c>
      <c r="Z1539" s="62" t="s">
        <v>6986</v>
      </c>
      <c r="AA1539" s="18" t="str">
        <f t="shared" si="839"/>
        <v>categoria.revit</v>
      </c>
      <c r="AB1539" s="19" t="s">
        <v>3919</v>
      </c>
      <c r="AC1539" s="18" t="str">
        <f t="shared" si="840"/>
        <v>classe.ifc</v>
      </c>
      <c r="AD1539" s="19" t="s">
        <v>6927</v>
      </c>
      <c r="AE1539" s="18" t="str">
        <f>IF(AF1539="null", "null", "propriedade")</f>
        <v>null</v>
      </c>
      <c r="AF1539" s="75" t="s">
        <v>0</v>
      </c>
      <c r="AG1539" s="38" t="s">
        <v>8708</v>
      </c>
    </row>
    <row r="1540" spans="1:33" ht="6" customHeight="1" x14ac:dyDescent="0.4">
      <c r="A1540" s="4">
        <f>ROW()</f>
        <v>1540</v>
      </c>
      <c r="B1540" s="9" t="s">
        <v>27</v>
      </c>
      <c r="C1540" s="44" t="str">
        <f t="shared" si="827"/>
        <v>p.locomover</v>
      </c>
      <c r="D1540" s="6" t="str">
        <f t="shared" si="828"/>
        <v>é.espécie.bonde</v>
      </c>
      <c r="E1540" s="8" t="s">
        <v>28</v>
      </c>
      <c r="F1540" s="34" t="str">
        <f t="shared" si="841"/>
        <v>d.locomover</v>
      </c>
      <c r="G1540" s="34" t="s">
        <v>6940</v>
      </c>
      <c r="H1540" s="34" t="s">
        <v>36</v>
      </c>
      <c r="I1540" s="92" t="str">
        <f t="shared" si="826"/>
        <v>null</v>
      </c>
      <c r="J1540" s="80" t="s">
        <v>0</v>
      </c>
      <c r="K1540" s="80" t="s">
        <v>0</v>
      </c>
      <c r="L1540" s="80" t="s">
        <v>0</v>
      </c>
      <c r="M1540" s="80" t="s">
        <v>0</v>
      </c>
      <c r="N1540" s="80" t="s">
        <v>0</v>
      </c>
      <c r="O1540" s="80" t="s">
        <v>0</v>
      </c>
      <c r="P1540" s="80" t="s">
        <v>0</v>
      </c>
      <c r="Q1540" s="80" t="s">
        <v>0</v>
      </c>
      <c r="R1540" s="84" t="s">
        <v>0</v>
      </c>
      <c r="S1540" s="10" t="s">
        <v>1</v>
      </c>
      <c r="T1540" s="10" t="s">
        <v>10221</v>
      </c>
      <c r="U1540" s="5" t="str">
        <f t="shared" si="837"/>
        <v>Propriedade destinada a locomover: é.espécie.bonde</v>
      </c>
      <c r="V1540" s="5" t="str">
        <f t="shared" si="838"/>
        <v>Dado para locomover:  espécie.bonde  Deve ser formatado como (xsd:boolean)</v>
      </c>
      <c r="W1540" s="69" t="s">
        <v>6943</v>
      </c>
      <c r="X1540" s="17" t="str">
        <f t="shared" si="842"/>
        <v>d.locom.102</v>
      </c>
      <c r="Y1540" s="17" t="str">
        <f t="shared" si="843"/>
        <v>Ação de locomover</v>
      </c>
      <c r="Z1540" s="62" t="s">
        <v>6987</v>
      </c>
      <c r="AA1540" s="18" t="str">
        <f t="shared" si="839"/>
        <v>categoria.revit</v>
      </c>
      <c r="AB1540" s="19" t="s">
        <v>3919</v>
      </c>
      <c r="AC1540" s="18" t="str">
        <f t="shared" si="840"/>
        <v>classe.ifc</v>
      </c>
      <c r="AD1540" s="19" t="s">
        <v>6927</v>
      </c>
      <c r="AE1540" s="18" t="str">
        <f>IF(AF1540="null", "null", "propriedade")</f>
        <v>null</v>
      </c>
      <c r="AF1540" s="75" t="s">
        <v>0</v>
      </c>
      <c r="AG1540" s="38" t="s">
        <v>8709</v>
      </c>
    </row>
    <row r="1541" spans="1:33" ht="6" customHeight="1" x14ac:dyDescent="0.4">
      <c r="A1541" s="4">
        <f>ROW()</f>
        <v>1541</v>
      </c>
      <c r="B1541" s="9" t="s">
        <v>27</v>
      </c>
      <c r="C1541" s="44" t="str">
        <f t="shared" si="827"/>
        <v>p.locomover</v>
      </c>
      <c r="D1541" s="6" t="str">
        <f t="shared" si="828"/>
        <v>é.espécie.caminhão.de.carga</v>
      </c>
      <c r="E1541" s="8" t="s">
        <v>28</v>
      </c>
      <c r="F1541" s="34" t="str">
        <f t="shared" si="841"/>
        <v>d.locomover</v>
      </c>
      <c r="G1541" s="34" t="s">
        <v>6945</v>
      </c>
      <c r="H1541" s="34" t="s">
        <v>36</v>
      </c>
      <c r="I1541" s="92" t="str">
        <f t="shared" si="826"/>
        <v>null</v>
      </c>
      <c r="J1541" s="80" t="s">
        <v>0</v>
      </c>
      <c r="K1541" s="80" t="s">
        <v>0</v>
      </c>
      <c r="L1541" s="80" t="s">
        <v>0</v>
      </c>
      <c r="M1541" s="80" t="s">
        <v>0</v>
      </c>
      <c r="N1541" s="80" t="s">
        <v>0</v>
      </c>
      <c r="O1541" s="80" t="s">
        <v>0</v>
      </c>
      <c r="P1541" s="80" t="s">
        <v>0</v>
      </c>
      <c r="Q1541" s="80" t="s">
        <v>0</v>
      </c>
      <c r="R1541" s="84" t="s">
        <v>0</v>
      </c>
      <c r="S1541" s="10" t="s">
        <v>1</v>
      </c>
      <c r="T1541" s="10" t="s">
        <v>10221</v>
      </c>
      <c r="U1541" s="5" t="str">
        <f t="shared" si="837"/>
        <v>Propriedade destinada a locomover: é.espécie.caminhão.de.carga</v>
      </c>
      <c r="V1541" s="5" t="str">
        <f t="shared" si="838"/>
        <v>Dado para locomover:  espécie.caminhão.de.carga  Deve ser formatado como (xsd:boolean)</v>
      </c>
      <c r="W1541" s="69" t="s">
        <v>6965</v>
      </c>
      <c r="X1541" s="17" t="str">
        <f t="shared" si="842"/>
        <v>d.locom.103</v>
      </c>
      <c r="Y1541" s="17" t="str">
        <f t="shared" si="843"/>
        <v>Ação de locomover</v>
      </c>
      <c r="Z1541" s="62" t="s">
        <v>6998</v>
      </c>
      <c r="AA1541" s="18" t="str">
        <f t="shared" si="839"/>
        <v>categoria.revit</v>
      </c>
      <c r="AB1541" s="19" t="s">
        <v>3919</v>
      </c>
      <c r="AC1541" s="18" t="str">
        <f t="shared" si="840"/>
        <v>classe.ifc</v>
      </c>
      <c r="AD1541" s="19" t="s">
        <v>6926</v>
      </c>
      <c r="AE1541" s="18" t="str">
        <f t="shared" ref="AE1541:AE1578" si="844">IF(AF1541="null", "null", "propriedade")</f>
        <v>propriedade</v>
      </c>
      <c r="AF1541" s="75" t="s">
        <v>6929</v>
      </c>
      <c r="AG1541" s="38" t="s">
        <v>8710</v>
      </c>
    </row>
    <row r="1542" spans="1:33" ht="6" customHeight="1" x14ac:dyDescent="0.4">
      <c r="A1542" s="4">
        <f>ROW()</f>
        <v>1542</v>
      </c>
      <c r="B1542" s="9" t="s">
        <v>27</v>
      </c>
      <c r="C1542" s="44" t="str">
        <f t="shared" si="827"/>
        <v>p.locomover</v>
      </c>
      <c r="D1542" s="6" t="str">
        <f t="shared" si="828"/>
        <v>é.espécie.caminhonete.de.carga</v>
      </c>
      <c r="E1542" s="8" t="s">
        <v>28</v>
      </c>
      <c r="F1542" s="34" t="str">
        <f t="shared" si="841"/>
        <v>d.locomover</v>
      </c>
      <c r="G1542" s="34" t="s">
        <v>6946</v>
      </c>
      <c r="H1542" s="34" t="s">
        <v>36</v>
      </c>
      <c r="I1542" s="92" t="str">
        <f t="shared" si="826"/>
        <v>null</v>
      </c>
      <c r="J1542" s="80" t="s">
        <v>0</v>
      </c>
      <c r="K1542" s="80" t="s">
        <v>0</v>
      </c>
      <c r="L1542" s="80" t="s">
        <v>0</v>
      </c>
      <c r="M1542" s="80" t="s">
        <v>0</v>
      </c>
      <c r="N1542" s="80" t="s">
        <v>0</v>
      </c>
      <c r="O1542" s="80" t="s">
        <v>0</v>
      </c>
      <c r="P1542" s="80" t="s">
        <v>0</v>
      </c>
      <c r="Q1542" s="80" t="s">
        <v>0</v>
      </c>
      <c r="R1542" s="84" t="s">
        <v>0</v>
      </c>
      <c r="S1542" s="10" t="s">
        <v>1</v>
      </c>
      <c r="T1542" s="10" t="s">
        <v>10221</v>
      </c>
      <c r="U1542" s="5" t="str">
        <f t="shared" si="837"/>
        <v>Propriedade destinada a locomover: é.espécie.caminhonete.de.carga</v>
      </c>
      <c r="V1542" s="5" t="str">
        <f t="shared" si="838"/>
        <v>Dado para locomover:  espécie.caminhonete.de.carga  Deve ser formatado como (xsd:boolean)</v>
      </c>
      <c r="W1542" s="69" t="s">
        <v>6966</v>
      </c>
      <c r="X1542" s="17" t="str">
        <f t="shared" si="842"/>
        <v>d.locom.104</v>
      </c>
      <c r="Y1542" s="17" t="str">
        <f t="shared" si="843"/>
        <v>Ação de locomover</v>
      </c>
      <c r="Z1542" s="62" t="s">
        <v>6999</v>
      </c>
      <c r="AA1542" s="18" t="str">
        <f t="shared" si="839"/>
        <v>categoria.revit</v>
      </c>
      <c r="AB1542" s="19" t="s">
        <v>3919</v>
      </c>
      <c r="AC1542" s="18" t="str">
        <f t="shared" si="840"/>
        <v>classe.ifc</v>
      </c>
      <c r="AD1542" s="19" t="s">
        <v>6926</v>
      </c>
      <c r="AE1542" s="18" t="str">
        <f t="shared" si="844"/>
        <v>propriedade</v>
      </c>
      <c r="AF1542" s="75" t="s">
        <v>6929</v>
      </c>
      <c r="AG1542" s="38" t="s">
        <v>8710</v>
      </c>
    </row>
    <row r="1543" spans="1:33" ht="6" customHeight="1" x14ac:dyDescent="0.4">
      <c r="A1543" s="4">
        <f>ROW()</f>
        <v>1543</v>
      </c>
      <c r="B1543" s="9" t="s">
        <v>27</v>
      </c>
      <c r="C1543" s="44" t="str">
        <f t="shared" si="827"/>
        <v>p.locomover</v>
      </c>
      <c r="D1543" s="6" t="str">
        <f t="shared" si="828"/>
        <v>é.espécie.carroça.de.carga</v>
      </c>
      <c r="E1543" s="8" t="s">
        <v>28</v>
      </c>
      <c r="F1543" s="34" t="str">
        <f t="shared" si="841"/>
        <v>d.locomover</v>
      </c>
      <c r="G1543" s="34" t="s">
        <v>6947</v>
      </c>
      <c r="H1543" s="34" t="s">
        <v>36</v>
      </c>
      <c r="I1543" s="92" t="str">
        <f t="shared" si="826"/>
        <v>null</v>
      </c>
      <c r="J1543" s="80" t="s">
        <v>0</v>
      </c>
      <c r="K1543" s="80" t="s">
        <v>0</v>
      </c>
      <c r="L1543" s="80" t="s">
        <v>0</v>
      </c>
      <c r="M1543" s="80" t="s">
        <v>0</v>
      </c>
      <c r="N1543" s="80" t="s">
        <v>0</v>
      </c>
      <c r="O1543" s="80" t="s">
        <v>0</v>
      </c>
      <c r="P1543" s="80" t="s">
        <v>0</v>
      </c>
      <c r="Q1543" s="80" t="s">
        <v>0</v>
      </c>
      <c r="R1543" s="84" t="s">
        <v>0</v>
      </c>
      <c r="S1543" s="10" t="s">
        <v>1</v>
      </c>
      <c r="T1543" s="10" t="s">
        <v>10221</v>
      </c>
      <c r="U1543" s="5" t="str">
        <f t="shared" si="837"/>
        <v>Propriedade destinada a locomover: é.espécie.carroça.de.carga</v>
      </c>
      <c r="V1543" s="5" t="str">
        <f t="shared" si="838"/>
        <v>Dado para locomover:  espécie.carroça.de.carga  Deve ser formatado como (xsd:boolean)</v>
      </c>
      <c r="W1543" s="69" t="s">
        <v>6967</v>
      </c>
      <c r="X1543" s="17" t="str">
        <f t="shared" si="842"/>
        <v>d.locom.105</v>
      </c>
      <c r="Y1543" s="17" t="str">
        <f t="shared" si="843"/>
        <v>Ação de locomover</v>
      </c>
      <c r="Z1543" s="62" t="s">
        <v>7000</v>
      </c>
      <c r="AA1543" s="18" t="str">
        <f t="shared" si="839"/>
        <v>categoria.revit</v>
      </c>
      <c r="AB1543" s="19" t="s">
        <v>3919</v>
      </c>
      <c r="AC1543" s="18" t="str">
        <f t="shared" si="840"/>
        <v>classe.ifc</v>
      </c>
      <c r="AD1543" s="19" t="s">
        <v>6926</v>
      </c>
      <c r="AE1543" s="18" t="str">
        <f t="shared" si="844"/>
        <v>propriedade</v>
      </c>
      <c r="AF1543" s="75" t="s">
        <v>6929</v>
      </c>
      <c r="AG1543" s="38" t="s">
        <v>8711</v>
      </c>
    </row>
    <row r="1544" spans="1:33" ht="6" customHeight="1" x14ac:dyDescent="0.4">
      <c r="A1544" s="4">
        <f>ROW()</f>
        <v>1544</v>
      </c>
      <c r="B1544" s="9" t="s">
        <v>27</v>
      </c>
      <c r="C1544" s="44" t="str">
        <f t="shared" si="827"/>
        <v>p.locomover</v>
      </c>
      <c r="D1544" s="6" t="str">
        <f t="shared" si="828"/>
        <v>é.espécie.carro-de-mão.de.carga</v>
      </c>
      <c r="E1544" s="8" t="s">
        <v>28</v>
      </c>
      <c r="F1544" s="34" t="str">
        <f t="shared" si="841"/>
        <v>d.locomover</v>
      </c>
      <c r="G1544" s="34" t="s">
        <v>6948</v>
      </c>
      <c r="H1544" s="34" t="s">
        <v>36</v>
      </c>
      <c r="I1544" s="92" t="str">
        <f t="shared" si="826"/>
        <v>null</v>
      </c>
      <c r="J1544" s="80" t="s">
        <v>0</v>
      </c>
      <c r="K1544" s="80" t="s">
        <v>0</v>
      </c>
      <c r="L1544" s="80" t="s">
        <v>0</v>
      </c>
      <c r="M1544" s="80" t="s">
        <v>0</v>
      </c>
      <c r="N1544" s="80" t="s">
        <v>0</v>
      </c>
      <c r="O1544" s="80" t="s">
        <v>0</v>
      </c>
      <c r="P1544" s="80" t="s">
        <v>0</v>
      </c>
      <c r="Q1544" s="80" t="s">
        <v>0</v>
      </c>
      <c r="R1544" s="84" t="s">
        <v>0</v>
      </c>
      <c r="S1544" s="10" t="s">
        <v>1</v>
      </c>
      <c r="T1544" s="10" t="s">
        <v>10221</v>
      </c>
      <c r="U1544" s="5" t="str">
        <f t="shared" si="837"/>
        <v>Propriedade destinada a locomover: é.espécie.carro-de-mão.de.carga</v>
      </c>
      <c r="V1544" s="5" t="str">
        <f t="shared" si="838"/>
        <v>Dado para locomover:  espécie.carro-de-mão.de.carga  Deve ser formatado como (xsd:boolean)</v>
      </c>
      <c r="W1544" s="69" t="s">
        <v>6968</v>
      </c>
      <c r="X1544" s="17" t="str">
        <f t="shared" si="842"/>
        <v>d.locom.106</v>
      </c>
      <c r="Y1544" s="17" t="str">
        <f t="shared" si="843"/>
        <v>Ação de locomover</v>
      </c>
      <c r="Z1544" s="62" t="s">
        <v>7001</v>
      </c>
      <c r="AA1544" s="18" t="str">
        <f t="shared" si="839"/>
        <v>categoria.revit</v>
      </c>
      <c r="AB1544" s="19" t="s">
        <v>3919</v>
      </c>
      <c r="AC1544" s="18" t="str">
        <f t="shared" si="840"/>
        <v>classe.ifc</v>
      </c>
      <c r="AD1544" s="19" t="s">
        <v>6926</v>
      </c>
      <c r="AE1544" s="18" t="str">
        <f t="shared" si="844"/>
        <v>propriedade</v>
      </c>
      <c r="AF1544" s="75" t="s">
        <v>7061</v>
      </c>
      <c r="AG1544" s="38" t="s">
        <v>8712</v>
      </c>
    </row>
    <row r="1545" spans="1:33" ht="6" customHeight="1" x14ac:dyDescent="0.4">
      <c r="A1545" s="4">
        <f>ROW()</f>
        <v>1545</v>
      </c>
      <c r="B1545" s="9" t="s">
        <v>27</v>
      </c>
      <c r="C1545" s="44" t="str">
        <f t="shared" si="827"/>
        <v>p.locomover</v>
      </c>
      <c r="D1545" s="6" t="str">
        <f t="shared" si="828"/>
        <v>é.espécie.charrete.de.passageiros</v>
      </c>
      <c r="E1545" s="8" t="s">
        <v>28</v>
      </c>
      <c r="F1545" s="34" t="str">
        <f t="shared" si="841"/>
        <v>d.locomover</v>
      </c>
      <c r="G1545" s="34" t="s">
        <v>6956</v>
      </c>
      <c r="H1545" s="34" t="s">
        <v>36</v>
      </c>
      <c r="I1545" s="92" t="str">
        <f t="shared" si="826"/>
        <v>null</v>
      </c>
      <c r="J1545" s="80" t="s">
        <v>0</v>
      </c>
      <c r="K1545" s="80" t="s">
        <v>0</v>
      </c>
      <c r="L1545" s="80" t="s">
        <v>0</v>
      </c>
      <c r="M1545" s="80" t="s">
        <v>0</v>
      </c>
      <c r="N1545" s="80" t="s">
        <v>0</v>
      </c>
      <c r="O1545" s="80" t="s">
        <v>0</v>
      </c>
      <c r="P1545" s="80" t="s">
        <v>0</v>
      </c>
      <c r="Q1545" s="80" t="s">
        <v>0</v>
      </c>
      <c r="R1545" s="84" t="s">
        <v>0</v>
      </c>
      <c r="S1545" s="10" t="s">
        <v>1</v>
      </c>
      <c r="T1545" s="10" t="s">
        <v>10221</v>
      </c>
      <c r="U1545" s="5" t="str">
        <f t="shared" si="837"/>
        <v>Propriedade destinada a locomover: é.espécie.charrete.de.passageiros</v>
      </c>
      <c r="V1545" s="5" t="str">
        <f t="shared" si="838"/>
        <v>Dado para locomover:  espécie.charrete.de.passageiros  Deve ser formatado como (xsd:boolean)</v>
      </c>
      <c r="W1545" s="69" t="s">
        <v>6969</v>
      </c>
      <c r="X1545" s="17" t="str">
        <f t="shared" si="842"/>
        <v>d.locom.107</v>
      </c>
      <c r="Y1545" s="17" t="str">
        <f t="shared" si="843"/>
        <v>Ação de locomover</v>
      </c>
      <c r="Z1545" s="62" t="s">
        <v>6988</v>
      </c>
      <c r="AA1545" s="18" t="str">
        <f t="shared" si="839"/>
        <v>categoria.revit</v>
      </c>
      <c r="AB1545" s="19" t="s">
        <v>3919</v>
      </c>
      <c r="AC1545" s="18" t="str">
        <f t="shared" si="840"/>
        <v>classe.ifc</v>
      </c>
      <c r="AD1545" s="19" t="s">
        <v>6927</v>
      </c>
      <c r="AE1545" s="18" t="str">
        <f t="shared" si="844"/>
        <v>null</v>
      </c>
      <c r="AF1545" s="75" t="s">
        <v>0</v>
      </c>
      <c r="AG1545" s="38" t="s">
        <v>8713</v>
      </c>
    </row>
    <row r="1546" spans="1:33" ht="6" customHeight="1" x14ac:dyDescent="0.4">
      <c r="A1546" s="4">
        <f>ROW()</f>
        <v>1546</v>
      </c>
      <c r="B1546" s="9" t="s">
        <v>27</v>
      </c>
      <c r="C1546" s="44" t="str">
        <f t="shared" si="827"/>
        <v>p.locomover</v>
      </c>
      <c r="D1546" s="6" t="str">
        <f t="shared" si="828"/>
        <v>é.espécie.ciclomotor.de.passageiros</v>
      </c>
      <c r="E1546" s="8" t="s">
        <v>28</v>
      </c>
      <c r="F1546" s="34" t="str">
        <f t="shared" si="841"/>
        <v>d.locomover</v>
      </c>
      <c r="G1546" s="34" t="s">
        <v>6955</v>
      </c>
      <c r="H1546" s="34" t="s">
        <v>36</v>
      </c>
      <c r="I1546" s="92" t="str">
        <f t="shared" si="826"/>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7"/>
        <v>Propriedade destinada a locomover: é.espécie.ciclomotor.de.passageiros</v>
      </c>
      <c r="V1546" s="5" t="str">
        <f t="shared" si="838"/>
        <v>Dado para locomover:  espécie.ciclomotor.de.passageiros  Deve ser formatado como (xsd:boolean)</v>
      </c>
      <c r="W1546" s="69" t="s">
        <v>6970</v>
      </c>
      <c r="X1546" s="17" t="str">
        <f t="shared" si="842"/>
        <v>d.locom.108</v>
      </c>
      <c r="Y1546" s="17" t="str">
        <f t="shared" si="843"/>
        <v>Ação de locomover</v>
      </c>
      <c r="Z1546" s="62" t="s">
        <v>7002</v>
      </c>
      <c r="AA1546" s="18" t="str">
        <f t="shared" si="839"/>
        <v>categoria.revit</v>
      </c>
      <c r="AB1546" s="19" t="s">
        <v>3919</v>
      </c>
      <c r="AC1546" s="18" t="str">
        <f t="shared" si="840"/>
        <v>classe.ifc</v>
      </c>
      <c r="AD1546" s="19" t="s">
        <v>6927</v>
      </c>
      <c r="AE1546" s="18" t="str">
        <f t="shared" si="844"/>
        <v>null</v>
      </c>
      <c r="AF1546" s="75" t="s">
        <v>0</v>
      </c>
      <c r="AG1546" s="38" t="s">
        <v>8714</v>
      </c>
    </row>
    <row r="1547" spans="1:33" ht="6" customHeight="1" x14ac:dyDescent="0.4">
      <c r="A1547" s="4">
        <f>ROW()</f>
        <v>1547</v>
      </c>
      <c r="B1547" s="9" t="s">
        <v>27</v>
      </c>
      <c r="C1547" s="44" t="str">
        <f t="shared" si="827"/>
        <v>p.locomover</v>
      </c>
      <c r="D1547" s="6" t="str">
        <f t="shared" si="828"/>
        <v>é.espécie.microônibus.de.passageiros</v>
      </c>
      <c r="E1547" s="8" t="s">
        <v>28</v>
      </c>
      <c r="F1547" s="34" t="str">
        <f t="shared" si="841"/>
        <v>d.locomover</v>
      </c>
      <c r="G1547" s="34" t="s">
        <v>6957</v>
      </c>
      <c r="H1547" s="34" t="s">
        <v>36</v>
      </c>
      <c r="I1547" s="92" t="str">
        <f t="shared" si="826"/>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7"/>
        <v>Propriedade destinada a locomover: é.espécie.microônibus.de.passageiros</v>
      </c>
      <c r="V1547" s="5" t="str">
        <f t="shared" si="838"/>
        <v>Dado para locomover:  espécie.microônibus.de.passageiros  Deve ser formatado como (xsd:boolean)</v>
      </c>
      <c r="W1547" s="69" t="s">
        <v>6971</v>
      </c>
      <c r="X1547" s="17" t="str">
        <f t="shared" si="842"/>
        <v>d.locom.109</v>
      </c>
      <c r="Y1547" s="17" t="str">
        <f t="shared" si="843"/>
        <v>Ação de locomover</v>
      </c>
      <c r="Z1547" s="62" t="s">
        <v>7003</v>
      </c>
      <c r="AA1547" s="18" t="str">
        <f t="shared" si="839"/>
        <v>categoria.revit</v>
      </c>
      <c r="AB1547" s="19" t="s">
        <v>3919</v>
      </c>
      <c r="AC1547" s="18" t="str">
        <f t="shared" si="840"/>
        <v>classe.ifc</v>
      </c>
      <c r="AD1547" s="19" t="s">
        <v>6927</v>
      </c>
      <c r="AE1547" s="18" t="str">
        <f t="shared" si="844"/>
        <v>null</v>
      </c>
      <c r="AF1547" s="75" t="s">
        <v>0</v>
      </c>
      <c r="AG1547" s="38" t="s">
        <v>8715</v>
      </c>
    </row>
    <row r="1548" spans="1:33" ht="6" customHeight="1" x14ac:dyDescent="0.4">
      <c r="A1548" s="4">
        <f>ROW()</f>
        <v>1548</v>
      </c>
      <c r="B1548" s="9" t="s">
        <v>27</v>
      </c>
      <c r="C1548" s="44" t="str">
        <f t="shared" si="827"/>
        <v>p.locomover</v>
      </c>
      <c r="D1548" s="6" t="str">
        <f t="shared" si="828"/>
        <v>é.espécie.motocicleta.de.carga</v>
      </c>
      <c r="E1548" s="8" t="s">
        <v>28</v>
      </c>
      <c r="F1548" s="34" t="str">
        <f t="shared" si="841"/>
        <v>d.locomover</v>
      </c>
      <c r="G1548" s="34" t="s">
        <v>6949</v>
      </c>
      <c r="H1548" s="34" t="s">
        <v>36</v>
      </c>
      <c r="I1548" s="92" t="str">
        <f t="shared" ref="I1548:I1625" si="845">IF(OR(J1548="Functional",K1548="InverseFunctional"),"Functional","null")</f>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7"/>
        <v>Propriedade destinada a locomover: é.espécie.motocicleta.de.carga</v>
      </c>
      <c r="V1548" s="5" t="str">
        <f t="shared" si="838"/>
        <v>Dado para locomover:  espécie.motocicleta.de.carga  Deve ser formatado como (xsd:boolean)</v>
      </c>
      <c r="W1548" s="69" t="s">
        <v>6983</v>
      </c>
      <c r="X1548" s="17" t="str">
        <f t="shared" si="842"/>
        <v>d.locom.110</v>
      </c>
      <c r="Y1548" s="17" t="str">
        <f t="shared" si="843"/>
        <v>Ação de locomover</v>
      </c>
      <c r="Z1548" s="62" t="s">
        <v>7004</v>
      </c>
      <c r="AA1548" s="18" t="str">
        <f t="shared" si="839"/>
        <v>categoria.revit</v>
      </c>
      <c r="AB1548" s="19" t="s">
        <v>3919</v>
      </c>
      <c r="AC1548" s="18" t="str">
        <f t="shared" si="840"/>
        <v>classe.ifc</v>
      </c>
      <c r="AD1548" s="19" t="s">
        <v>6926</v>
      </c>
      <c r="AE1548" s="18" t="str">
        <f t="shared" si="844"/>
        <v>propriedade</v>
      </c>
      <c r="AF1548" s="75" t="s">
        <v>6929</v>
      </c>
      <c r="AG1548" s="38" t="s">
        <v>8716</v>
      </c>
    </row>
    <row r="1549" spans="1:33" ht="6" customHeight="1" x14ac:dyDescent="0.4">
      <c r="A1549" s="4">
        <f>ROW()</f>
        <v>1549</v>
      </c>
      <c r="B1549" s="9" t="s">
        <v>27</v>
      </c>
      <c r="C1549" s="44" t="str">
        <f t="shared" si="827"/>
        <v>p.locomover</v>
      </c>
      <c r="D1549" s="6" t="str">
        <f t="shared" si="828"/>
        <v>é.espécie.motocicleta.de.passageiros</v>
      </c>
      <c r="E1549" s="8" t="s">
        <v>28</v>
      </c>
      <c r="F1549" s="34" t="str">
        <f t="shared" si="841"/>
        <v>d.locomover</v>
      </c>
      <c r="G1549" s="34" t="s">
        <v>6958</v>
      </c>
      <c r="H1549" s="34" t="s">
        <v>36</v>
      </c>
      <c r="I1549" s="92" t="str">
        <f t="shared" si="845"/>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7"/>
        <v>Propriedade destinada a locomover: é.espécie.motocicleta.de.passageiros</v>
      </c>
      <c r="V1549" s="5" t="str">
        <f t="shared" si="838"/>
        <v>Dado para locomover:  espécie.motocicleta.de.passageiros  Deve ser formatado como (xsd:boolean)</v>
      </c>
      <c r="W1549" s="69" t="s">
        <v>6984</v>
      </c>
      <c r="X1549" s="17" t="str">
        <f t="shared" si="842"/>
        <v>d.locom.111</v>
      </c>
      <c r="Y1549" s="17" t="str">
        <f t="shared" si="843"/>
        <v>Ação de locomover</v>
      </c>
      <c r="Z1549" s="62" t="s">
        <v>7005</v>
      </c>
      <c r="AA1549" s="18" t="str">
        <f t="shared" si="839"/>
        <v>categoria.revit</v>
      </c>
      <c r="AB1549" s="19" t="s">
        <v>3919</v>
      </c>
      <c r="AC1549" s="18" t="str">
        <f t="shared" si="840"/>
        <v>classe.ifc</v>
      </c>
      <c r="AD1549" s="19" t="s">
        <v>6927</v>
      </c>
      <c r="AE1549" s="18" t="str">
        <f t="shared" si="844"/>
        <v>null</v>
      </c>
      <c r="AF1549" s="75" t="s">
        <v>0</v>
      </c>
      <c r="AG1549" s="38" t="s">
        <v>8717</v>
      </c>
    </row>
    <row r="1550" spans="1:33" ht="6" customHeight="1" x14ac:dyDescent="0.4">
      <c r="A1550" s="4">
        <f>ROW()</f>
        <v>1550</v>
      </c>
      <c r="B1550" s="9" t="s">
        <v>27</v>
      </c>
      <c r="C1550" s="44" t="str">
        <f t="shared" si="827"/>
        <v>p.locomover</v>
      </c>
      <c r="D1550" s="6" t="str">
        <f t="shared" si="828"/>
        <v>é.espécie.motoneta.de.carga</v>
      </c>
      <c r="E1550" s="8" t="s">
        <v>28</v>
      </c>
      <c r="F1550" s="34" t="str">
        <f t="shared" si="841"/>
        <v>d.locomover</v>
      </c>
      <c r="G1550" s="34" t="s">
        <v>6950</v>
      </c>
      <c r="H1550" s="34" t="s">
        <v>36</v>
      </c>
      <c r="I1550" s="92" t="str">
        <f t="shared" si="845"/>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7"/>
        <v>Propriedade destinada a locomover: é.espécie.motoneta.de.carga</v>
      </c>
      <c r="V1550" s="5" t="str">
        <f t="shared" si="838"/>
        <v>Dado para locomover:  espécie.motoneta.de.carga  Deve ser formatado como (xsd:boolean)</v>
      </c>
      <c r="W1550" s="69" t="s">
        <v>6980</v>
      </c>
      <c r="X1550" s="17" t="str">
        <f t="shared" si="842"/>
        <v>d.locom.112</v>
      </c>
      <c r="Y1550" s="17" t="str">
        <f t="shared" si="843"/>
        <v>Ação de locomover</v>
      </c>
      <c r="Z1550" s="62" t="s">
        <v>7006</v>
      </c>
      <c r="AA1550" s="18" t="str">
        <f t="shared" si="839"/>
        <v>categoria.revit</v>
      </c>
      <c r="AB1550" s="19" t="s">
        <v>3919</v>
      </c>
      <c r="AC1550" s="18" t="str">
        <f t="shared" si="840"/>
        <v>classe.ifc</v>
      </c>
      <c r="AD1550" s="19" t="s">
        <v>6926</v>
      </c>
      <c r="AE1550" s="18" t="str">
        <f t="shared" si="844"/>
        <v>propriedade</v>
      </c>
      <c r="AF1550" s="75" t="s">
        <v>6929</v>
      </c>
      <c r="AG1550" s="38" t="s">
        <v>8718</v>
      </c>
    </row>
    <row r="1551" spans="1:33" ht="6" customHeight="1" x14ac:dyDescent="0.4">
      <c r="A1551" s="4">
        <f>ROW()</f>
        <v>1551</v>
      </c>
      <c r="B1551" s="9" t="s">
        <v>27</v>
      </c>
      <c r="C1551" s="44" t="str">
        <f t="shared" si="827"/>
        <v>p.locomover</v>
      </c>
      <c r="D1551" s="6" t="str">
        <f t="shared" si="828"/>
        <v>é.espécie.motoneta.de.passageiros</v>
      </c>
      <c r="E1551" s="8" t="s">
        <v>28</v>
      </c>
      <c r="F1551" s="34" t="str">
        <f t="shared" si="841"/>
        <v>d.locomover</v>
      </c>
      <c r="G1551" s="34" t="s">
        <v>6959</v>
      </c>
      <c r="H1551" s="34" t="s">
        <v>36</v>
      </c>
      <c r="I1551" s="92" t="str">
        <f t="shared" si="845"/>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7"/>
        <v>Propriedade destinada a locomover: é.espécie.motoneta.de.passageiros</v>
      </c>
      <c r="V1551" s="5" t="str">
        <f t="shared" si="838"/>
        <v>Dado para locomover:  espécie.motoneta.de.passageiros  Deve ser formatado como (xsd:boolean)</v>
      </c>
      <c r="W1551" s="69" t="s">
        <v>6981</v>
      </c>
      <c r="X1551" s="17" t="str">
        <f t="shared" si="842"/>
        <v>d.locom.113</v>
      </c>
      <c r="Y1551" s="17" t="str">
        <f t="shared" si="843"/>
        <v>Ação de locomover</v>
      </c>
      <c r="Z1551" s="62" t="s">
        <v>7007</v>
      </c>
      <c r="AA1551" s="18" t="str">
        <f t="shared" si="839"/>
        <v>categoria.revit</v>
      </c>
      <c r="AB1551" s="19" t="s">
        <v>3919</v>
      </c>
      <c r="AC1551" s="18" t="str">
        <f t="shared" si="840"/>
        <v>classe.ifc</v>
      </c>
      <c r="AD1551" s="19" t="s">
        <v>6927</v>
      </c>
      <c r="AE1551" s="18" t="str">
        <f t="shared" si="844"/>
        <v>null</v>
      </c>
      <c r="AF1551" s="75" t="s">
        <v>0</v>
      </c>
      <c r="AG1551" s="38" t="s">
        <v>8719</v>
      </c>
    </row>
    <row r="1552" spans="1:33" ht="6" customHeight="1" x14ac:dyDescent="0.4">
      <c r="A1552" s="4">
        <f>ROW()</f>
        <v>1552</v>
      </c>
      <c r="B1552" s="9" t="s">
        <v>27</v>
      </c>
      <c r="C1552" s="44" t="str">
        <f t="shared" si="827"/>
        <v>p.locomover</v>
      </c>
      <c r="D1552" s="6" t="str">
        <f t="shared" si="828"/>
        <v>é.espécie.ônibus.de.passageiros</v>
      </c>
      <c r="E1552" s="8" t="s">
        <v>28</v>
      </c>
      <c r="F1552" s="34" t="str">
        <f t="shared" si="841"/>
        <v>d.locomover</v>
      </c>
      <c r="G1552" s="34" t="s">
        <v>6960</v>
      </c>
      <c r="H1552" s="34" t="s">
        <v>36</v>
      </c>
      <c r="I1552" s="92" t="str">
        <f t="shared" si="845"/>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7"/>
        <v>Propriedade destinada a locomover: é.espécie.ônibus.de.passageiros</v>
      </c>
      <c r="V1552" s="5" t="str">
        <f t="shared" si="838"/>
        <v>Dado para locomover:  espécie.ônibus.de.passageiros  Deve ser formatado como (xsd:boolean)</v>
      </c>
      <c r="W1552" s="69" t="s">
        <v>6982</v>
      </c>
      <c r="X1552" s="17" t="str">
        <f t="shared" si="842"/>
        <v>d.locom.114</v>
      </c>
      <c r="Y1552" s="17" t="str">
        <f t="shared" si="843"/>
        <v>Ação de locomover</v>
      </c>
      <c r="Z1552" s="62" t="s">
        <v>7008</v>
      </c>
      <c r="AA1552" s="18" t="str">
        <f t="shared" si="839"/>
        <v>categoria.revit</v>
      </c>
      <c r="AB1552" s="19" t="s">
        <v>3919</v>
      </c>
      <c r="AC1552" s="18" t="str">
        <f t="shared" si="840"/>
        <v>classe.ifc</v>
      </c>
      <c r="AD1552" s="19" t="s">
        <v>6927</v>
      </c>
      <c r="AE1552" s="18" t="str">
        <f t="shared" si="844"/>
        <v>null</v>
      </c>
      <c r="AF1552" s="75" t="s">
        <v>0</v>
      </c>
      <c r="AG1552" s="38" t="s">
        <v>8720</v>
      </c>
    </row>
    <row r="1553" spans="1:33" ht="6" customHeight="1" x14ac:dyDescent="0.4">
      <c r="A1553" s="4">
        <f>ROW()</f>
        <v>1553</v>
      </c>
      <c r="B1553" s="9" t="s">
        <v>27</v>
      </c>
      <c r="C1553" s="44" t="str">
        <f t="shared" si="827"/>
        <v>p.locomover</v>
      </c>
      <c r="D1553" s="6" t="str">
        <f t="shared" si="828"/>
        <v>é.espécie.quadriciclo.de.carga</v>
      </c>
      <c r="E1553" s="8" t="s">
        <v>28</v>
      </c>
      <c r="F1553" s="34" t="str">
        <f t="shared" si="841"/>
        <v>d.locomover</v>
      </c>
      <c r="G1553" s="34" t="s">
        <v>6951</v>
      </c>
      <c r="H1553" s="34" t="s">
        <v>36</v>
      </c>
      <c r="I1553" s="92" t="str">
        <f t="shared" si="845"/>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7"/>
        <v>Propriedade destinada a locomover: é.espécie.quadriciclo.de.carga</v>
      </c>
      <c r="V1553" s="5" t="str">
        <f t="shared" si="838"/>
        <v>Dado para locomover:  espécie.quadriciclo.de.carga  Deve ser formatado como (xsd:boolean)</v>
      </c>
      <c r="W1553" s="69" t="s">
        <v>6979</v>
      </c>
      <c r="X1553" s="17" t="str">
        <f t="shared" si="842"/>
        <v>d.locom.115</v>
      </c>
      <c r="Y1553" s="17" t="str">
        <f t="shared" si="843"/>
        <v>Ação de locomover</v>
      </c>
      <c r="Z1553" s="62" t="s">
        <v>7009</v>
      </c>
      <c r="AA1553" s="18" t="str">
        <f t="shared" si="839"/>
        <v>categoria.revit</v>
      </c>
      <c r="AB1553" s="19" t="s">
        <v>3919</v>
      </c>
      <c r="AC1553" s="18" t="str">
        <f t="shared" si="840"/>
        <v>classe.ifc</v>
      </c>
      <c r="AD1553" s="19" t="s">
        <v>6926</v>
      </c>
      <c r="AE1553" s="18" t="str">
        <f t="shared" si="844"/>
        <v>propriedade</v>
      </c>
      <c r="AF1553" s="75" t="s">
        <v>6929</v>
      </c>
      <c r="AG1553" s="38" t="s">
        <v>8721</v>
      </c>
    </row>
    <row r="1554" spans="1:33" ht="6" customHeight="1" x14ac:dyDescent="0.4">
      <c r="A1554" s="4">
        <f>ROW()</f>
        <v>1554</v>
      </c>
      <c r="B1554" s="9" t="s">
        <v>27</v>
      </c>
      <c r="C1554" s="44" t="str">
        <f t="shared" si="827"/>
        <v>p.locomover</v>
      </c>
      <c r="D1554" s="6" t="str">
        <f t="shared" si="828"/>
        <v>é.espécie.quadriciclo.de.passageiros</v>
      </c>
      <c r="E1554" s="8" t="s">
        <v>28</v>
      </c>
      <c r="F1554" s="34" t="str">
        <f t="shared" si="841"/>
        <v>d.locomover</v>
      </c>
      <c r="G1554" s="34" t="s">
        <v>6961</v>
      </c>
      <c r="H1554" s="34" t="s">
        <v>36</v>
      </c>
      <c r="I1554" s="92" t="str">
        <f t="shared" si="845"/>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7"/>
        <v>Propriedade destinada a locomover: é.espécie.quadriciclo.de.passageiros</v>
      </c>
      <c r="V1554" s="5" t="str">
        <f t="shared" si="838"/>
        <v>Dado para locomover:  espécie.quadriciclo.de.passageiros  Deve ser formatado como (xsd:boolean)</v>
      </c>
      <c r="W1554" s="69" t="s">
        <v>6978</v>
      </c>
      <c r="X1554" s="17" t="str">
        <f t="shared" si="842"/>
        <v>d.locom.116</v>
      </c>
      <c r="Y1554" s="17" t="str">
        <f t="shared" si="843"/>
        <v>Ação de locomover</v>
      </c>
      <c r="Z1554" s="62" t="s">
        <v>7010</v>
      </c>
      <c r="AA1554" s="18" t="str">
        <f t="shared" si="839"/>
        <v>categoria.revit</v>
      </c>
      <c r="AB1554" s="19" t="s">
        <v>3919</v>
      </c>
      <c r="AC1554" s="18" t="str">
        <f t="shared" si="840"/>
        <v>classe.ifc</v>
      </c>
      <c r="AD1554" s="19" t="s">
        <v>6927</v>
      </c>
      <c r="AE1554" s="18" t="str">
        <f t="shared" si="844"/>
        <v>null</v>
      </c>
      <c r="AF1554" s="75" t="s">
        <v>0</v>
      </c>
      <c r="AG1554" s="38" t="s">
        <v>8722</v>
      </c>
    </row>
    <row r="1555" spans="1:33" ht="6" customHeight="1" x14ac:dyDescent="0.4">
      <c r="A1555" s="4">
        <f>ROW()</f>
        <v>1555</v>
      </c>
      <c r="B1555" s="9" t="s">
        <v>27</v>
      </c>
      <c r="C1555" s="44" t="str">
        <f t="shared" si="827"/>
        <v>p.locomover</v>
      </c>
      <c r="D1555" s="6" t="str">
        <f t="shared" si="828"/>
        <v>é.espécie.reboque.de.carga</v>
      </c>
      <c r="E1555" s="8" t="s">
        <v>28</v>
      </c>
      <c r="F1555" s="34" t="str">
        <f t="shared" si="841"/>
        <v>d.locomover</v>
      </c>
      <c r="G1555" s="34" t="s">
        <v>6952</v>
      </c>
      <c r="H1555" s="34" t="s">
        <v>36</v>
      </c>
      <c r="I1555" s="92" t="str">
        <f t="shared" si="845"/>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7"/>
        <v>Propriedade destinada a locomover: é.espécie.reboque.de.carga</v>
      </c>
      <c r="V1555" s="5" t="str">
        <f t="shared" si="838"/>
        <v>Dado para locomover:  espécie.reboque.de.carga  Deve ser formatado como (xsd:boolean)</v>
      </c>
      <c r="W1555" s="69" t="s">
        <v>6976</v>
      </c>
      <c r="X1555" s="17" t="str">
        <f t="shared" si="842"/>
        <v>d.locom.117</v>
      </c>
      <c r="Y1555" s="17" t="str">
        <f t="shared" si="843"/>
        <v>Ação de locomover</v>
      </c>
      <c r="Z1555" s="62" t="s">
        <v>7011</v>
      </c>
      <c r="AA1555" s="18" t="str">
        <f t="shared" si="839"/>
        <v>categoria.revit</v>
      </c>
      <c r="AB1555" s="19" t="s">
        <v>3919</v>
      </c>
      <c r="AC1555" s="18" t="str">
        <f t="shared" si="840"/>
        <v>classe.ifc</v>
      </c>
      <c r="AD1555" s="19" t="s">
        <v>6926</v>
      </c>
      <c r="AE1555" s="18" t="str">
        <f t="shared" si="844"/>
        <v>propriedade</v>
      </c>
      <c r="AF1555" s="75" t="s">
        <v>6929</v>
      </c>
      <c r="AG1555" s="38" t="s">
        <v>8723</v>
      </c>
    </row>
    <row r="1556" spans="1:33" ht="6" customHeight="1" x14ac:dyDescent="0.4">
      <c r="A1556" s="4">
        <f>ROW()</f>
        <v>1556</v>
      </c>
      <c r="B1556" s="9" t="s">
        <v>27</v>
      </c>
      <c r="C1556" s="44" t="str">
        <f t="shared" si="827"/>
        <v>p.locomover</v>
      </c>
      <c r="D1556" s="6" t="str">
        <f t="shared" si="828"/>
        <v>é.espécie.reboque.de.passageiros</v>
      </c>
      <c r="E1556" s="8" t="s">
        <v>28</v>
      </c>
      <c r="F1556" s="34" t="str">
        <f t="shared" si="841"/>
        <v>d.locomover</v>
      </c>
      <c r="G1556" s="34" t="s">
        <v>6962</v>
      </c>
      <c r="H1556" s="34" t="s">
        <v>36</v>
      </c>
      <c r="I1556" s="92" t="str">
        <f t="shared" si="845"/>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7"/>
        <v>Propriedade destinada a locomover: é.espécie.reboque.de.passageiros</v>
      </c>
      <c r="V1556" s="5" t="str">
        <f t="shared" si="838"/>
        <v>Dado para locomover:  espécie.reboque.de.passageiros  Deve ser formatado como (xsd:boolean)</v>
      </c>
      <c r="W1556" s="69" t="s">
        <v>6977</v>
      </c>
      <c r="X1556" s="17" t="str">
        <f t="shared" si="842"/>
        <v>d.locom.118</v>
      </c>
      <c r="Y1556" s="17" t="str">
        <f t="shared" si="843"/>
        <v>Ação de locomover</v>
      </c>
      <c r="Z1556" s="62" t="s">
        <v>7012</v>
      </c>
      <c r="AA1556" s="18" t="str">
        <f t="shared" si="839"/>
        <v>categoria.revit</v>
      </c>
      <c r="AB1556" s="19" t="s">
        <v>3919</v>
      </c>
      <c r="AC1556" s="18" t="str">
        <f t="shared" si="840"/>
        <v>classe.ifc</v>
      </c>
      <c r="AD1556" s="19" t="s">
        <v>6927</v>
      </c>
      <c r="AE1556" s="18" t="str">
        <f t="shared" si="844"/>
        <v>null</v>
      </c>
      <c r="AF1556" s="75" t="s">
        <v>0</v>
      </c>
      <c r="AG1556" s="38" t="s">
        <v>8724</v>
      </c>
    </row>
    <row r="1557" spans="1:33" ht="6" customHeight="1" x14ac:dyDescent="0.4">
      <c r="A1557" s="4">
        <f>ROW()</f>
        <v>1557</v>
      </c>
      <c r="B1557" s="9" t="s">
        <v>27</v>
      </c>
      <c r="C1557" s="44" t="str">
        <f t="shared" si="827"/>
        <v>p.locomover</v>
      </c>
      <c r="D1557" s="6" t="str">
        <f t="shared" si="828"/>
        <v>é.espécie.semi-reboque.de.carga</v>
      </c>
      <c r="E1557" s="8" t="s">
        <v>28</v>
      </c>
      <c r="F1557" s="34" t="str">
        <f t="shared" si="841"/>
        <v>d.locomover</v>
      </c>
      <c r="G1557" s="34" t="s">
        <v>6953</v>
      </c>
      <c r="H1557" s="34" t="s">
        <v>36</v>
      </c>
      <c r="I1557" s="92" t="str">
        <f t="shared" si="845"/>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7"/>
        <v>Propriedade destinada a locomover: é.espécie.semi-reboque.de.carga</v>
      </c>
      <c r="V1557" s="5" t="str">
        <f t="shared" si="838"/>
        <v>Dado para locomover:  espécie.semi-reboque.de.carga  Deve ser formatado como (xsd:boolean)</v>
      </c>
      <c r="W1557" s="69" t="s">
        <v>6974</v>
      </c>
      <c r="X1557" s="17" t="str">
        <f t="shared" si="842"/>
        <v>d.locom.119</v>
      </c>
      <c r="Y1557" s="17" t="str">
        <f t="shared" si="843"/>
        <v>Ação de locomover</v>
      </c>
      <c r="Z1557" s="62" t="s">
        <v>6989</v>
      </c>
      <c r="AA1557" s="18" t="str">
        <f t="shared" si="839"/>
        <v>categoria.revit</v>
      </c>
      <c r="AB1557" s="19" t="s">
        <v>3919</v>
      </c>
      <c r="AC1557" s="18" t="str">
        <f t="shared" si="840"/>
        <v>classe.ifc</v>
      </c>
      <c r="AD1557" s="19" t="s">
        <v>6926</v>
      </c>
      <c r="AE1557" s="18" t="str">
        <f t="shared" si="844"/>
        <v>propriedade</v>
      </c>
      <c r="AF1557" s="75" t="s">
        <v>6929</v>
      </c>
      <c r="AG1557" s="38" t="s">
        <v>8725</v>
      </c>
    </row>
    <row r="1558" spans="1:33" ht="6" customHeight="1" x14ac:dyDescent="0.4">
      <c r="A1558" s="4">
        <f>ROW()</f>
        <v>1558</v>
      </c>
      <c r="B1558" s="9" t="s">
        <v>27</v>
      </c>
      <c r="C1558" s="44" t="str">
        <f t="shared" si="827"/>
        <v>p.locomover</v>
      </c>
      <c r="D1558" s="6" t="str">
        <f t="shared" si="828"/>
        <v>é.espécie.semi-reboque.de.passageiros</v>
      </c>
      <c r="E1558" s="8" t="s">
        <v>28</v>
      </c>
      <c r="F1558" s="34" t="str">
        <f t="shared" si="841"/>
        <v>d.locomover</v>
      </c>
      <c r="G1558" s="34" t="s">
        <v>6963</v>
      </c>
      <c r="H1558" s="34" t="s">
        <v>36</v>
      </c>
      <c r="I1558" s="92" t="str">
        <f t="shared" si="845"/>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7"/>
        <v>Propriedade destinada a locomover: é.espécie.semi-reboque.de.passageiros</v>
      </c>
      <c r="V1558" s="5" t="str">
        <f t="shared" si="838"/>
        <v>Dado para locomover:  espécie.semi-reboque.de.passageiros  Deve ser formatado como (xsd:boolean)</v>
      </c>
      <c r="W1558" s="69" t="s">
        <v>6975</v>
      </c>
      <c r="X1558" s="17" t="str">
        <f t="shared" si="842"/>
        <v>d.locom.120</v>
      </c>
      <c r="Y1558" s="17" t="str">
        <f t="shared" si="843"/>
        <v>Ação de locomover</v>
      </c>
      <c r="Z1558" s="62" t="s">
        <v>7013</v>
      </c>
      <c r="AA1558" s="18" t="str">
        <f t="shared" si="839"/>
        <v>categoria.revit</v>
      </c>
      <c r="AB1558" s="19" t="s">
        <v>3919</v>
      </c>
      <c r="AC1558" s="18" t="str">
        <f t="shared" si="840"/>
        <v>classe.ifc</v>
      </c>
      <c r="AD1558" s="19" t="s">
        <v>6927</v>
      </c>
      <c r="AE1558" s="18" t="str">
        <f t="shared" si="844"/>
        <v>null</v>
      </c>
      <c r="AF1558" s="75" t="s">
        <v>0</v>
      </c>
      <c r="AG1558" s="38" t="s">
        <v>8726</v>
      </c>
    </row>
    <row r="1559" spans="1:33" ht="6" customHeight="1" x14ac:dyDescent="0.4">
      <c r="A1559" s="4">
        <f>ROW()</f>
        <v>1559</v>
      </c>
      <c r="B1559" s="9" t="s">
        <v>27</v>
      </c>
      <c r="C1559" s="44" t="str">
        <f t="shared" si="827"/>
        <v>p.locomover</v>
      </c>
      <c r="D1559" s="6" t="str">
        <f t="shared" si="828"/>
        <v>é.espécie.triciclo.de.carga</v>
      </c>
      <c r="E1559" s="8" t="s">
        <v>28</v>
      </c>
      <c r="F1559" s="34" t="str">
        <f t="shared" si="841"/>
        <v>d.locomover</v>
      </c>
      <c r="G1559" s="34" t="s">
        <v>6954</v>
      </c>
      <c r="H1559" s="34" t="s">
        <v>36</v>
      </c>
      <c r="I1559" s="92" t="str">
        <f t="shared" si="845"/>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7"/>
        <v>Propriedade destinada a locomover: é.espécie.triciclo.de.carga</v>
      </c>
      <c r="V1559" s="5" t="str">
        <f t="shared" si="838"/>
        <v>Dado para locomover:  espécie.triciclo.de.carga  Deve ser formatado como (xsd:boolean)</v>
      </c>
      <c r="W1559" s="69" t="s">
        <v>6973</v>
      </c>
      <c r="X1559" s="17" t="str">
        <f t="shared" si="842"/>
        <v>d.locom.121</v>
      </c>
      <c r="Y1559" s="17" t="str">
        <f t="shared" si="843"/>
        <v>Ação de locomover</v>
      </c>
      <c r="Z1559" s="62" t="s">
        <v>7014</v>
      </c>
      <c r="AA1559" s="18" t="str">
        <f t="shared" si="839"/>
        <v>categoria.revit</v>
      </c>
      <c r="AB1559" s="19" t="s">
        <v>3919</v>
      </c>
      <c r="AC1559" s="18" t="str">
        <f t="shared" si="840"/>
        <v>classe.ifc</v>
      </c>
      <c r="AD1559" s="19" t="s">
        <v>6926</v>
      </c>
      <c r="AE1559" s="18" t="str">
        <f t="shared" si="844"/>
        <v>propriedade</v>
      </c>
      <c r="AF1559" s="75" t="s">
        <v>6929</v>
      </c>
      <c r="AG1559" s="38" t="s">
        <v>8727</v>
      </c>
    </row>
    <row r="1560" spans="1:33" ht="6" customHeight="1" x14ac:dyDescent="0.4">
      <c r="A1560" s="4">
        <f>ROW()</f>
        <v>1560</v>
      </c>
      <c r="B1560" s="9" t="s">
        <v>27</v>
      </c>
      <c r="C1560" s="44" t="str">
        <f t="shared" si="827"/>
        <v>p.locomover</v>
      </c>
      <c r="D1560" s="6" t="str">
        <f t="shared" si="828"/>
        <v>é.espécie.triciclo.de.passageiros</v>
      </c>
      <c r="E1560" s="8" t="s">
        <v>28</v>
      </c>
      <c r="F1560" s="34" t="str">
        <f t="shared" si="841"/>
        <v>d.locomover</v>
      </c>
      <c r="G1560" s="34" t="s">
        <v>6964</v>
      </c>
      <c r="H1560" s="34" t="s">
        <v>36</v>
      </c>
      <c r="I1560" s="92" t="str">
        <f t="shared" si="845"/>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7"/>
        <v>Propriedade destinada a locomover: é.espécie.triciclo.de.passageiros</v>
      </c>
      <c r="V1560" s="5" t="str">
        <f t="shared" si="838"/>
        <v>Dado para locomover:  espécie.triciclo.de.passageiros  Deve ser formatado como (xsd:boolean)</v>
      </c>
      <c r="W1560" s="69" t="s">
        <v>6972</v>
      </c>
      <c r="X1560" s="17" t="str">
        <f t="shared" si="842"/>
        <v>d.locom.122</v>
      </c>
      <c r="Y1560" s="17" t="str">
        <f t="shared" si="843"/>
        <v>Ação de locomover</v>
      </c>
      <c r="Z1560" s="62" t="s">
        <v>7015</v>
      </c>
      <c r="AA1560" s="18" t="str">
        <f t="shared" si="839"/>
        <v>categoria.revit</v>
      </c>
      <c r="AB1560" s="19" t="s">
        <v>3919</v>
      </c>
      <c r="AC1560" s="18" t="str">
        <f t="shared" si="840"/>
        <v>classe.ifc</v>
      </c>
      <c r="AD1560" s="19" t="s">
        <v>6927</v>
      </c>
      <c r="AE1560" s="18" t="str">
        <f t="shared" si="844"/>
        <v>null</v>
      </c>
      <c r="AF1560" s="75" t="s">
        <v>0</v>
      </c>
      <c r="AG1560" s="38" t="s">
        <v>8728</v>
      </c>
    </row>
    <row r="1561" spans="1:33" s="67" customFormat="1" ht="6" customHeight="1" x14ac:dyDescent="0.4">
      <c r="A1561" s="4">
        <f>ROW()</f>
        <v>1561</v>
      </c>
      <c r="B1561" s="9" t="s">
        <v>27</v>
      </c>
      <c r="C1561" s="44" t="str">
        <f t="shared" si="827"/>
        <v>p.locomover</v>
      </c>
      <c r="D1561" s="6" t="str">
        <f t="shared" si="828"/>
        <v>é.espécie.camioneta.mista</v>
      </c>
      <c r="E1561" s="8" t="s">
        <v>28</v>
      </c>
      <c r="F1561" s="34" t="str">
        <f t="shared" si="841"/>
        <v>d.locomover</v>
      </c>
      <c r="G1561" s="61" t="s">
        <v>7027</v>
      </c>
      <c r="H1561" s="60" t="s">
        <v>36</v>
      </c>
      <c r="I1561" s="92" t="str">
        <f t="shared" si="845"/>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7"/>
        <v>Propriedade destinada a locomover: é.espécie.camioneta.mista</v>
      </c>
      <c r="V1561" s="5" t="str">
        <f t="shared" si="838"/>
        <v>Dado para locomover:  espécie.camioneta.mista  Deve ser formatado como (xsd:boolean)</v>
      </c>
      <c r="W1561" s="69" t="s">
        <v>7038</v>
      </c>
      <c r="X1561" s="17" t="str">
        <f t="shared" si="842"/>
        <v>d.locom.123</v>
      </c>
      <c r="Y1561" s="17" t="str">
        <f t="shared" si="843"/>
        <v>Ação de locomover</v>
      </c>
      <c r="Z1561" s="62" t="s">
        <v>7049</v>
      </c>
      <c r="AA1561" s="18" t="str">
        <f t="shared" si="839"/>
        <v>categoria.revit</v>
      </c>
      <c r="AB1561" s="19" t="s">
        <v>3919</v>
      </c>
      <c r="AC1561" s="18" t="str">
        <f t="shared" si="840"/>
        <v>classe.ifc</v>
      </c>
      <c r="AD1561" s="19" t="s">
        <v>6927</v>
      </c>
      <c r="AE1561" s="18" t="str">
        <f t="shared" si="844"/>
        <v>null</v>
      </c>
      <c r="AF1561" s="75" t="s">
        <v>0</v>
      </c>
      <c r="AG1561" s="38" t="s">
        <v>8729</v>
      </c>
    </row>
    <row r="1562" spans="1:33" s="67" customFormat="1" ht="6" customHeight="1" x14ac:dyDescent="0.4">
      <c r="A1562" s="4">
        <f>ROW()</f>
        <v>1562</v>
      </c>
      <c r="B1562" s="9" t="s">
        <v>27</v>
      </c>
      <c r="C1562" s="44" t="str">
        <f t="shared" si="827"/>
        <v>p.locomover</v>
      </c>
      <c r="D1562" s="6" t="str">
        <f t="shared" si="828"/>
        <v>é.espécie.utilitário</v>
      </c>
      <c r="E1562" s="8" t="s">
        <v>28</v>
      </c>
      <c r="F1562" s="34" t="str">
        <f t="shared" si="841"/>
        <v>d.locomover</v>
      </c>
      <c r="G1562" s="61" t="s">
        <v>7032</v>
      </c>
      <c r="H1562" s="60" t="s">
        <v>36</v>
      </c>
      <c r="I1562" s="92" t="str">
        <f t="shared" si="845"/>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7"/>
        <v>Propriedade destinada a locomover: é.espécie.utilitário</v>
      </c>
      <c r="V1562" s="5" t="str">
        <f t="shared" si="838"/>
        <v>Dado para locomover:  espécie.utilitário  Deve ser formatado como (xsd:boolean)</v>
      </c>
      <c r="W1562" s="69" t="s">
        <v>7039</v>
      </c>
      <c r="X1562" s="17" t="str">
        <f t="shared" si="842"/>
        <v>d.locom.124</v>
      </c>
      <c r="Y1562" s="17" t="str">
        <f t="shared" si="843"/>
        <v>Ação de locomover</v>
      </c>
      <c r="Z1562" s="62" t="s">
        <v>7050</v>
      </c>
      <c r="AA1562" s="18" t="str">
        <f t="shared" si="839"/>
        <v>categoria.revit</v>
      </c>
      <c r="AB1562" s="19" t="s">
        <v>3919</v>
      </c>
      <c r="AC1562" s="18" t="str">
        <f t="shared" si="840"/>
        <v>classe.ifc</v>
      </c>
      <c r="AD1562" s="19" t="s">
        <v>6927</v>
      </c>
      <c r="AE1562" s="18" t="str">
        <f t="shared" si="844"/>
        <v>null</v>
      </c>
      <c r="AF1562" s="75" t="s">
        <v>0</v>
      </c>
      <c r="AG1562" s="38" t="s">
        <v>8730</v>
      </c>
    </row>
    <row r="1563" spans="1:33" s="67" customFormat="1" ht="6" customHeight="1" x14ac:dyDescent="0.4">
      <c r="A1563" s="4">
        <f>ROW()</f>
        <v>1563</v>
      </c>
      <c r="B1563" s="9" t="s">
        <v>27</v>
      </c>
      <c r="C1563" s="44" t="str">
        <f t="shared" si="827"/>
        <v>p.locomover</v>
      </c>
      <c r="D1563" s="6" t="str">
        <f t="shared" si="828"/>
        <v>é.espécie.outros</v>
      </c>
      <c r="E1563" s="8" t="s">
        <v>28</v>
      </c>
      <c r="F1563" s="34" t="str">
        <f t="shared" si="841"/>
        <v>d.locomover</v>
      </c>
      <c r="G1563" s="61" t="s">
        <v>7031</v>
      </c>
      <c r="H1563" s="60" t="s">
        <v>36</v>
      </c>
      <c r="I1563" s="92" t="str">
        <f t="shared" si="845"/>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7"/>
        <v>Propriedade destinada a locomover: é.espécie.outros</v>
      </c>
      <c r="V1563" s="5" t="str">
        <f t="shared" si="838"/>
        <v>Dado para locomover:  espécie.outros  Deve ser formatado como (xsd:boolean)</v>
      </c>
      <c r="W1563" s="69" t="s">
        <v>7040</v>
      </c>
      <c r="X1563" s="17" t="str">
        <f t="shared" si="842"/>
        <v>d.locom.125</v>
      </c>
      <c r="Y1563" s="17" t="str">
        <f t="shared" si="843"/>
        <v>Ação de locomover</v>
      </c>
      <c r="Z1563" s="62" t="s">
        <v>7051</v>
      </c>
      <c r="AA1563" s="18" t="str">
        <f t="shared" si="839"/>
        <v>categoria.revit</v>
      </c>
      <c r="AB1563" s="19" t="s">
        <v>3919</v>
      </c>
      <c r="AC1563" s="18" t="str">
        <f t="shared" si="840"/>
        <v>classe.ifc</v>
      </c>
      <c r="AD1563" s="19" t="s">
        <v>6927</v>
      </c>
      <c r="AE1563" s="18" t="str">
        <f t="shared" si="844"/>
        <v>null</v>
      </c>
      <c r="AF1563" s="75" t="s">
        <v>0</v>
      </c>
      <c r="AG1563" s="38" t="s">
        <v>8731</v>
      </c>
    </row>
    <row r="1564" spans="1:33" s="67" customFormat="1" ht="6" customHeight="1" x14ac:dyDescent="0.4">
      <c r="A1564" s="4">
        <f>ROW()</f>
        <v>1564</v>
      </c>
      <c r="B1564" s="9" t="s">
        <v>27</v>
      </c>
      <c r="C1564" s="44" t="str">
        <f t="shared" si="827"/>
        <v>p.locomover</v>
      </c>
      <c r="D1564" s="6" t="str">
        <f t="shared" si="828"/>
        <v>é.espécie.competição</v>
      </c>
      <c r="E1564" s="8" t="s">
        <v>28</v>
      </c>
      <c r="F1564" s="34" t="str">
        <f t="shared" si="841"/>
        <v>d.locomover</v>
      </c>
      <c r="G1564" s="61" t="s">
        <v>7030</v>
      </c>
      <c r="H1564" s="60" t="s">
        <v>36</v>
      </c>
      <c r="I1564" s="92" t="str">
        <f t="shared" si="845"/>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7"/>
        <v>Propriedade destinada a locomover: é.espécie.competição</v>
      </c>
      <c r="V1564" s="5" t="str">
        <f t="shared" si="838"/>
        <v>Dado para locomover:  espécie.competição  Deve ser formatado como (xsd:boolean)</v>
      </c>
      <c r="W1564" s="69" t="s">
        <v>7041</v>
      </c>
      <c r="X1564" s="17" t="str">
        <f t="shared" si="842"/>
        <v>d.locom.126</v>
      </c>
      <c r="Y1564" s="17" t="str">
        <f t="shared" si="843"/>
        <v>Ação de locomover</v>
      </c>
      <c r="Z1564" s="62" t="s">
        <v>7052</v>
      </c>
      <c r="AA1564" s="18" t="str">
        <f t="shared" si="839"/>
        <v>categoria.revit</v>
      </c>
      <c r="AB1564" s="19" t="s">
        <v>3919</v>
      </c>
      <c r="AC1564" s="18" t="str">
        <f t="shared" si="840"/>
        <v>classe.ifc</v>
      </c>
      <c r="AD1564" s="19" t="s">
        <v>6927</v>
      </c>
      <c r="AE1564" s="18" t="str">
        <f t="shared" si="844"/>
        <v>null</v>
      </c>
      <c r="AF1564" s="75" t="s">
        <v>0</v>
      </c>
      <c r="AG1564" s="38" t="s">
        <v>8732</v>
      </c>
    </row>
    <row r="1565" spans="1:33" s="67" customFormat="1" ht="6" customHeight="1" x14ac:dyDescent="0.4">
      <c r="A1565" s="4">
        <f>ROW()</f>
        <v>1565</v>
      </c>
      <c r="B1565" s="9" t="s">
        <v>27</v>
      </c>
      <c r="C1565" s="44" t="str">
        <f t="shared" si="827"/>
        <v>p.locomover</v>
      </c>
      <c r="D1565" s="6" t="str">
        <f t="shared" si="828"/>
        <v>é.espécie.tração</v>
      </c>
      <c r="E1565" s="8" t="s">
        <v>28</v>
      </c>
      <c r="F1565" s="34" t="str">
        <f t="shared" si="841"/>
        <v>d.locomover</v>
      </c>
      <c r="G1565" s="61" t="s">
        <v>7029</v>
      </c>
      <c r="H1565" s="60" t="s">
        <v>36</v>
      </c>
      <c r="I1565" s="92" t="str">
        <f t="shared" si="845"/>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7"/>
        <v>Propriedade destinada a locomover: é.espécie.tração</v>
      </c>
      <c r="V1565" s="5" t="str">
        <f t="shared" si="838"/>
        <v>Dado para locomover:  espécie.tração  Deve ser formatado como (xsd:boolean)</v>
      </c>
      <c r="W1565" s="69" t="s">
        <v>7042</v>
      </c>
      <c r="X1565" s="17" t="str">
        <f t="shared" si="842"/>
        <v>d.locom.127</v>
      </c>
      <c r="Y1565" s="17" t="str">
        <f t="shared" si="843"/>
        <v>Ação de locomover</v>
      </c>
      <c r="Z1565" s="62" t="s">
        <v>7053</v>
      </c>
      <c r="AA1565" s="18" t="str">
        <f t="shared" si="839"/>
        <v>categoria.revit</v>
      </c>
      <c r="AB1565" s="19" t="s">
        <v>3919</v>
      </c>
      <c r="AC1565" s="18" t="str">
        <f t="shared" si="840"/>
        <v>classe.ifc</v>
      </c>
      <c r="AD1565" s="19" t="s">
        <v>6927</v>
      </c>
      <c r="AE1565" s="18" t="str">
        <f t="shared" si="844"/>
        <v>null</v>
      </c>
      <c r="AF1565" s="75" t="s">
        <v>0</v>
      </c>
      <c r="AG1565" s="38" t="s">
        <v>8733</v>
      </c>
    </row>
    <row r="1566" spans="1:33" s="67" customFormat="1" ht="6" customHeight="1" x14ac:dyDescent="0.4">
      <c r="A1566" s="4">
        <f>ROW()</f>
        <v>1566</v>
      </c>
      <c r="B1566" s="9" t="s">
        <v>27</v>
      </c>
      <c r="C1566" s="44" t="str">
        <f t="shared" si="827"/>
        <v>p.locomover</v>
      </c>
      <c r="D1566" s="6" t="str">
        <f t="shared" si="828"/>
        <v>é.espécie.caminhão-trator</v>
      </c>
      <c r="E1566" s="8" t="s">
        <v>28</v>
      </c>
      <c r="F1566" s="34" t="str">
        <f t="shared" si="841"/>
        <v>d.locomover</v>
      </c>
      <c r="G1566" s="61" t="s">
        <v>7028</v>
      </c>
      <c r="H1566" s="60" t="s">
        <v>36</v>
      </c>
      <c r="I1566" s="92" t="str">
        <f t="shared" si="845"/>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7"/>
        <v>Propriedade destinada a locomover: é.espécie.caminhão-trator</v>
      </c>
      <c r="V1566" s="5" t="str">
        <f t="shared" si="838"/>
        <v>Dado para locomover:  espécie.caminhão-trator  Deve ser formatado como (xsd:boolean)</v>
      </c>
      <c r="W1566" s="69" t="s">
        <v>7043</v>
      </c>
      <c r="X1566" s="17" t="str">
        <f t="shared" si="842"/>
        <v>d.locom.128</v>
      </c>
      <c r="Y1566" s="17" t="str">
        <f t="shared" si="843"/>
        <v>Ação de locomover</v>
      </c>
      <c r="Z1566" s="62" t="s">
        <v>7054</v>
      </c>
      <c r="AA1566" s="18" t="str">
        <f t="shared" si="839"/>
        <v>categoria.revit</v>
      </c>
      <c r="AB1566" s="19" t="s">
        <v>3919</v>
      </c>
      <c r="AC1566" s="18" t="str">
        <f t="shared" si="840"/>
        <v>classe.ifc</v>
      </c>
      <c r="AD1566" s="19" t="s">
        <v>6927</v>
      </c>
      <c r="AE1566" s="18" t="str">
        <f t="shared" si="844"/>
        <v>null</v>
      </c>
      <c r="AF1566" s="75" t="s">
        <v>0</v>
      </c>
      <c r="AG1566" s="38" t="s">
        <v>8734</v>
      </c>
    </row>
    <row r="1567" spans="1:33" s="67" customFormat="1" ht="6" customHeight="1" x14ac:dyDescent="0.4">
      <c r="A1567" s="4">
        <f>ROW()</f>
        <v>1567</v>
      </c>
      <c r="B1567" s="9" t="s">
        <v>27</v>
      </c>
      <c r="C1567" s="44" t="str">
        <f t="shared" si="827"/>
        <v>p.locomover</v>
      </c>
      <c r="D1567" s="6" t="str">
        <f t="shared" si="828"/>
        <v>é.espécie.trator.de.rodas</v>
      </c>
      <c r="E1567" s="8" t="s">
        <v>28</v>
      </c>
      <c r="F1567" s="34" t="str">
        <f t="shared" si="841"/>
        <v>d.locomover</v>
      </c>
      <c r="G1567" s="61" t="s">
        <v>7033</v>
      </c>
      <c r="H1567" s="60" t="s">
        <v>36</v>
      </c>
      <c r="I1567" s="92" t="str">
        <f t="shared" si="845"/>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7"/>
        <v>Propriedade destinada a locomover: é.espécie.trator.de.rodas</v>
      </c>
      <c r="V1567" s="5" t="str">
        <f t="shared" si="838"/>
        <v>Dado para locomover:  espécie.trator.de.rodas  Deve ser formatado como (xsd:boolean)</v>
      </c>
      <c r="W1567" s="69" t="s">
        <v>7044</v>
      </c>
      <c r="X1567" s="17" t="str">
        <f t="shared" si="842"/>
        <v>d.locom.129</v>
      </c>
      <c r="Y1567" s="17" t="str">
        <f t="shared" si="843"/>
        <v>Ação de locomover</v>
      </c>
      <c r="Z1567" s="62" t="s">
        <v>7055</v>
      </c>
      <c r="AA1567" s="18" t="str">
        <f t="shared" si="839"/>
        <v>categoria.revit</v>
      </c>
      <c r="AB1567" s="19" t="s">
        <v>3919</v>
      </c>
      <c r="AC1567" s="18" t="str">
        <f t="shared" si="840"/>
        <v>classe.ifc</v>
      </c>
      <c r="AD1567" s="19" t="s">
        <v>6927</v>
      </c>
      <c r="AE1567" s="18" t="str">
        <f t="shared" si="844"/>
        <v>propriedade</v>
      </c>
      <c r="AF1567" s="75" t="s">
        <v>7062</v>
      </c>
      <c r="AG1567" s="38" t="s">
        <v>8735</v>
      </c>
    </row>
    <row r="1568" spans="1:33" s="67" customFormat="1" ht="6" customHeight="1" x14ac:dyDescent="0.4">
      <c r="A1568" s="4">
        <f>ROW()</f>
        <v>1568</v>
      </c>
      <c r="B1568" s="9" t="s">
        <v>27</v>
      </c>
      <c r="C1568" s="44" t="str">
        <f t="shared" si="827"/>
        <v>p.locomover</v>
      </c>
      <c r="D1568" s="6" t="str">
        <f t="shared" si="828"/>
        <v>é.espécie.trator.de.esteiras</v>
      </c>
      <c r="E1568" s="8" t="s">
        <v>28</v>
      </c>
      <c r="F1568" s="34" t="str">
        <f t="shared" si="841"/>
        <v>d.locomover</v>
      </c>
      <c r="G1568" s="61" t="s">
        <v>7034</v>
      </c>
      <c r="H1568" s="60" t="s">
        <v>36</v>
      </c>
      <c r="I1568" s="92" t="str">
        <f t="shared" si="845"/>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7"/>
        <v>Propriedade destinada a locomover: é.espécie.trator.de.esteiras</v>
      </c>
      <c r="V1568" s="5" t="str">
        <f t="shared" si="838"/>
        <v>Dado para locomover:  espécie.trator.de.esteiras  Deve ser formatado como (xsd:boolean)</v>
      </c>
      <c r="W1568" s="69" t="s">
        <v>7045</v>
      </c>
      <c r="X1568" s="17" t="str">
        <f t="shared" si="842"/>
        <v>d.locom.130</v>
      </c>
      <c r="Y1568" s="17" t="str">
        <f t="shared" si="843"/>
        <v>Ação de locomover</v>
      </c>
      <c r="Z1568" s="62" t="s">
        <v>7056</v>
      </c>
      <c r="AA1568" s="18" t="str">
        <f t="shared" si="839"/>
        <v>categoria.revit</v>
      </c>
      <c r="AB1568" s="19" t="s">
        <v>3919</v>
      </c>
      <c r="AC1568" s="18" t="str">
        <f t="shared" si="840"/>
        <v>classe.ifc</v>
      </c>
      <c r="AD1568" s="19" t="s">
        <v>7060</v>
      </c>
      <c r="AE1568" s="18" t="str">
        <f t="shared" si="844"/>
        <v>propriedade</v>
      </c>
      <c r="AF1568" s="75" t="s">
        <v>7063</v>
      </c>
      <c r="AG1568" s="38" t="s">
        <v>8736</v>
      </c>
    </row>
    <row r="1569" spans="1:33" s="67" customFormat="1" ht="6" customHeight="1" x14ac:dyDescent="0.4">
      <c r="A1569" s="4">
        <f>ROW()</f>
        <v>1569</v>
      </c>
      <c r="B1569" s="9" t="s">
        <v>27</v>
      </c>
      <c r="C1569" s="44" t="str">
        <f t="shared" si="827"/>
        <v>p.locomover</v>
      </c>
      <c r="D1569" s="6" t="str">
        <f t="shared" si="828"/>
        <v>é.espécie.trator.misto</v>
      </c>
      <c r="E1569" s="8" t="s">
        <v>28</v>
      </c>
      <c r="F1569" s="34" t="str">
        <f t="shared" si="841"/>
        <v>d.locomover</v>
      </c>
      <c r="G1569" s="61" t="s">
        <v>7035</v>
      </c>
      <c r="H1569" s="60" t="s">
        <v>36</v>
      </c>
      <c r="I1569" s="92" t="str">
        <f t="shared" si="845"/>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7"/>
        <v>Propriedade destinada a locomover: é.espécie.trator.misto</v>
      </c>
      <c r="V1569" s="5" t="str">
        <f t="shared" si="838"/>
        <v>Dado para locomover:  espécie.trator.misto  Deve ser formatado como (xsd:boolean)</v>
      </c>
      <c r="W1569" s="69" t="s">
        <v>7046</v>
      </c>
      <c r="X1569" s="17" t="str">
        <f t="shared" si="842"/>
        <v>d.locom.131</v>
      </c>
      <c r="Y1569" s="17" t="str">
        <f t="shared" si="843"/>
        <v>Ação de locomover</v>
      </c>
      <c r="Z1569" s="62" t="s">
        <v>7057</v>
      </c>
      <c r="AA1569" s="18" t="str">
        <f t="shared" si="839"/>
        <v>categoria.revit</v>
      </c>
      <c r="AB1569" s="19" t="s">
        <v>3919</v>
      </c>
      <c r="AC1569" s="18" t="str">
        <f t="shared" si="840"/>
        <v>classe.ifc</v>
      </c>
      <c r="AD1569" s="19" t="s">
        <v>6927</v>
      </c>
      <c r="AE1569" s="18" t="str">
        <f t="shared" si="844"/>
        <v>propriedade</v>
      </c>
      <c r="AF1569" s="75" t="s">
        <v>7064</v>
      </c>
      <c r="AG1569" s="38" t="s">
        <v>8737</v>
      </c>
    </row>
    <row r="1570" spans="1:33" s="67" customFormat="1" ht="6" customHeight="1" x14ac:dyDescent="0.4">
      <c r="A1570" s="4">
        <f>ROW()</f>
        <v>1570</v>
      </c>
      <c r="B1570" s="9" t="s">
        <v>27</v>
      </c>
      <c r="C1570" s="44" t="str">
        <f t="shared" si="827"/>
        <v>p.locomover</v>
      </c>
      <c r="D1570" s="6" t="str">
        <f t="shared" si="828"/>
        <v>é.espécie.veículo.especial</v>
      </c>
      <c r="E1570" s="8" t="s">
        <v>28</v>
      </c>
      <c r="F1570" s="34" t="str">
        <f t="shared" si="841"/>
        <v>d.locomover</v>
      </c>
      <c r="G1570" s="61" t="s">
        <v>7036</v>
      </c>
      <c r="H1570" s="60" t="s">
        <v>36</v>
      </c>
      <c r="I1570" s="92" t="str">
        <f t="shared" si="845"/>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7"/>
        <v>Propriedade destinada a locomover: é.espécie.veículo.especial</v>
      </c>
      <c r="V1570" s="5" t="str">
        <f t="shared" si="838"/>
        <v>Dado para locomover:  espécie.veículo.especial  Deve ser formatado como (xsd:boolean)</v>
      </c>
      <c r="W1570" s="69" t="s">
        <v>7047</v>
      </c>
      <c r="X1570" s="17" t="str">
        <f t="shared" si="842"/>
        <v>d.locom.132</v>
      </c>
      <c r="Y1570" s="17" t="str">
        <f t="shared" si="843"/>
        <v>Ação de locomover</v>
      </c>
      <c r="Z1570" s="62" t="s">
        <v>7058</v>
      </c>
      <c r="AA1570" s="18" t="str">
        <f t="shared" si="839"/>
        <v>categoria.revit</v>
      </c>
      <c r="AB1570" s="19" t="s">
        <v>3919</v>
      </c>
      <c r="AC1570" s="18" t="str">
        <f t="shared" si="840"/>
        <v>classe.ifc</v>
      </c>
      <c r="AD1570" s="19" t="s">
        <v>6927</v>
      </c>
      <c r="AE1570" s="18" t="str">
        <f t="shared" si="844"/>
        <v>propriedade</v>
      </c>
      <c r="AF1570" s="75" t="s">
        <v>7064</v>
      </c>
      <c r="AG1570" s="38" t="s">
        <v>8738</v>
      </c>
    </row>
    <row r="1571" spans="1:33" s="67" customFormat="1" ht="6" customHeight="1" x14ac:dyDescent="0.4">
      <c r="A1571" s="4">
        <f>ROW()</f>
        <v>1571</v>
      </c>
      <c r="B1571" s="9" t="s">
        <v>27</v>
      </c>
      <c r="C1571" s="44" t="str">
        <f t="shared" si="827"/>
        <v>p.locomover</v>
      </c>
      <c r="D1571" s="6" t="str">
        <f t="shared" si="828"/>
        <v>é.espécie.veículo.de.coleção</v>
      </c>
      <c r="E1571" s="8" t="s">
        <v>28</v>
      </c>
      <c r="F1571" s="34" t="str">
        <f t="shared" si="841"/>
        <v>d.locomover</v>
      </c>
      <c r="G1571" s="61" t="s">
        <v>7037</v>
      </c>
      <c r="H1571" s="60" t="s">
        <v>36</v>
      </c>
      <c r="I1571" s="92" t="str">
        <f t="shared" si="845"/>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7"/>
        <v>Propriedade destinada a locomover: é.espécie.veículo.de.coleção</v>
      </c>
      <c r="V1571" s="5" t="str">
        <f t="shared" si="838"/>
        <v>Dado para locomover:  espécie.veículo.de.coleção  Deve ser formatado como (xsd:boolean)</v>
      </c>
      <c r="W1571" s="69" t="s">
        <v>7048</v>
      </c>
      <c r="X1571" s="17" t="str">
        <f t="shared" si="842"/>
        <v>d.locom.133</v>
      </c>
      <c r="Y1571" s="17" t="str">
        <f t="shared" si="843"/>
        <v>Ação de locomover</v>
      </c>
      <c r="Z1571" s="62" t="s">
        <v>7059</v>
      </c>
      <c r="AA1571" s="18" t="str">
        <f t="shared" si="839"/>
        <v>categoria.revit</v>
      </c>
      <c r="AB1571" s="19" t="s">
        <v>3919</v>
      </c>
      <c r="AC1571" s="18" t="str">
        <f t="shared" si="840"/>
        <v>classe.ifc</v>
      </c>
      <c r="AD1571" s="19" t="s">
        <v>6927</v>
      </c>
      <c r="AE1571" s="18" t="str">
        <f t="shared" si="844"/>
        <v>null</v>
      </c>
      <c r="AF1571" s="75" t="s">
        <v>0</v>
      </c>
      <c r="AG1571" s="38" t="s">
        <v>8739</v>
      </c>
    </row>
    <row r="1572" spans="1:33" ht="6" customHeight="1" x14ac:dyDescent="0.4">
      <c r="A1572" s="4">
        <f>ROW()</f>
        <v>1572</v>
      </c>
      <c r="B1572" s="9" t="s">
        <v>27</v>
      </c>
      <c r="C1572" s="44" t="str">
        <f t="shared" si="827"/>
        <v>p.locomover</v>
      </c>
      <c r="D1572" s="6" t="str">
        <f t="shared" si="828"/>
        <v>é.tração.animal</v>
      </c>
      <c r="E1572" s="8" t="s">
        <v>28</v>
      </c>
      <c r="F1572" s="34" t="str">
        <f t="shared" si="841"/>
        <v>d.locomover</v>
      </c>
      <c r="G1572" s="34" t="s">
        <v>6915</v>
      </c>
      <c r="H1572" s="34" t="s">
        <v>36</v>
      </c>
      <c r="I1572" s="92" t="str">
        <f t="shared" si="845"/>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7"/>
        <v>Propriedade destinada a locomover: é.tração.animal</v>
      </c>
      <c r="V1572" s="5" t="str">
        <f t="shared" si="838"/>
        <v>Dado para locomover:  tração.animal  Deve ser formatado como (xsd:boolean)</v>
      </c>
      <c r="W1572" s="69" t="s">
        <v>6937</v>
      </c>
      <c r="X1572" s="17" t="str">
        <f t="shared" si="842"/>
        <v>d.locom.134</v>
      </c>
      <c r="Y1572" s="17" t="str">
        <f t="shared" si="843"/>
        <v>Ação de locomover</v>
      </c>
      <c r="Z1572" s="62" t="s">
        <v>6990</v>
      </c>
      <c r="AA1572" s="18" t="str">
        <f t="shared" si="839"/>
        <v>categoria.revit</v>
      </c>
      <c r="AB1572" s="19" t="s">
        <v>3919</v>
      </c>
      <c r="AC1572" s="18" t="str">
        <f t="shared" si="840"/>
        <v>classe.ifc</v>
      </c>
      <c r="AD1572" s="19" t="s">
        <v>6927</v>
      </c>
      <c r="AE1572" s="18" t="str">
        <f t="shared" si="844"/>
        <v>null</v>
      </c>
      <c r="AF1572" s="75" t="s">
        <v>0</v>
      </c>
      <c r="AG1572" s="38" t="s">
        <v>8740</v>
      </c>
    </row>
    <row r="1573" spans="1:33" ht="6" customHeight="1" x14ac:dyDescent="0.4">
      <c r="A1573" s="4">
        <f>ROW()</f>
        <v>1573</v>
      </c>
      <c r="B1573" s="9" t="s">
        <v>27</v>
      </c>
      <c r="C1573" s="44" t="str">
        <f t="shared" si="827"/>
        <v>p.locomover</v>
      </c>
      <c r="D1573" s="6" t="str">
        <f t="shared" si="828"/>
        <v>é.tração.combustível</v>
      </c>
      <c r="E1573" s="8" t="s">
        <v>28</v>
      </c>
      <c r="F1573" s="34" t="str">
        <f t="shared" si="841"/>
        <v>d.locomover</v>
      </c>
      <c r="G1573" s="34" t="s">
        <v>6944</v>
      </c>
      <c r="H1573" s="34" t="s">
        <v>36</v>
      </c>
      <c r="I1573" s="92" t="str">
        <f t="shared" si="845"/>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7"/>
        <v>Propriedade destinada a locomover: é.tração.combustível</v>
      </c>
      <c r="V1573" s="5" t="str">
        <f t="shared" si="838"/>
        <v>Dado para locomover:  tração.combustível  Deve ser formatado como (xsd:boolean)</v>
      </c>
      <c r="W1573" s="69" t="s">
        <v>6934</v>
      </c>
      <c r="X1573" s="17" t="str">
        <f t="shared" si="842"/>
        <v>d.locom.135</v>
      </c>
      <c r="Y1573" s="17" t="str">
        <f t="shared" si="843"/>
        <v>Ação de locomover</v>
      </c>
      <c r="Z1573" s="62" t="s">
        <v>6991</v>
      </c>
      <c r="AA1573" s="18" t="str">
        <f t="shared" si="839"/>
        <v>categoria.revit</v>
      </c>
      <c r="AB1573" s="19" t="s">
        <v>3919</v>
      </c>
      <c r="AC1573" s="18" t="str">
        <f t="shared" si="840"/>
        <v>classe.ifc</v>
      </c>
      <c r="AD1573" s="19" t="s">
        <v>6927</v>
      </c>
      <c r="AE1573" s="18" t="str">
        <f t="shared" si="844"/>
        <v>null</v>
      </c>
      <c r="AF1573" s="75" t="s">
        <v>0</v>
      </c>
      <c r="AG1573" s="38" t="s">
        <v>8741</v>
      </c>
    </row>
    <row r="1574" spans="1:33" ht="6" customHeight="1" x14ac:dyDescent="0.4">
      <c r="A1574" s="4">
        <f>ROW()</f>
        <v>1574</v>
      </c>
      <c r="B1574" s="9" t="s">
        <v>27</v>
      </c>
      <c r="C1574" s="44" t="str">
        <f t="shared" si="827"/>
        <v>p.locomover</v>
      </c>
      <c r="D1574" s="6" t="str">
        <f t="shared" si="828"/>
        <v>é.tração.elétrico</v>
      </c>
      <c r="E1574" s="8" t="s">
        <v>28</v>
      </c>
      <c r="F1574" s="34" t="str">
        <f t="shared" si="841"/>
        <v>d.locomover</v>
      </c>
      <c r="G1574" s="34" t="s">
        <v>6916</v>
      </c>
      <c r="H1574" s="34" t="s">
        <v>36</v>
      </c>
      <c r="I1574" s="92" t="str">
        <f t="shared" si="845"/>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7"/>
        <v>Propriedade destinada a locomover: é.tração.elétrico</v>
      </c>
      <c r="V1574" s="5" t="str">
        <f t="shared" si="838"/>
        <v>Dado para locomover:  tração.elétrico  Deve ser formatado como (xsd:boolean)</v>
      </c>
      <c r="W1574" s="69" t="s">
        <v>6935</v>
      </c>
      <c r="X1574" s="17" t="str">
        <f t="shared" si="842"/>
        <v>d.locom.136</v>
      </c>
      <c r="Y1574" s="17" t="str">
        <f t="shared" si="843"/>
        <v>Ação de locomover</v>
      </c>
      <c r="Z1574" s="62" t="s">
        <v>6992</v>
      </c>
      <c r="AA1574" s="18" t="str">
        <f t="shared" si="839"/>
        <v>categoria.revit</v>
      </c>
      <c r="AB1574" s="19" t="s">
        <v>3919</v>
      </c>
      <c r="AC1574" s="18" t="str">
        <f t="shared" si="840"/>
        <v>classe.ifc</v>
      </c>
      <c r="AD1574" s="19" t="s">
        <v>6927</v>
      </c>
      <c r="AE1574" s="18" t="str">
        <f t="shared" si="844"/>
        <v>null</v>
      </c>
      <c r="AF1574" s="75" t="s">
        <v>0</v>
      </c>
      <c r="AG1574" s="38" t="s">
        <v>8742</v>
      </c>
    </row>
    <row r="1575" spans="1:33" ht="6" customHeight="1" x14ac:dyDescent="0.4">
      <c r="A1575" s="4">
        <f>ROW()</f>
        <v>1575</v>
      </c>
      <c r="B1575" s="9" t="s">
        <v>27</v>
      </c>
      <c r="C1575" s="44" t="str">
        <f t="shared" si="827"/>
        <v>p.locomover</v>
      </c>
      <c r="D1575" s="6" t="str">
        <f t="shared" si="828"/>
        <v>é.tração.propulsão.humana</v>
      </c>
      <c r="E1575" s="8" t="s">
        <v>28</v>
      </c>
      <c r="F1575" s="34" t="str">
        <f t="shared" si="841"/>
        <v>d.locomover</v>
      </c>
      <c r="G1575" s="34" t="s">
        <v>6917</v>
      </c>
      <c r="H1575" s="34" t="s">
        <v>36</v>
      </c>
      <c r="I1575" s="92" t="str">
        <f t="shared" si="845"/>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7"/>
        <v>Propriedade destinada a locomover: é.tração.propulsão.humana</v>
      </c>
      <c r="V1575" s="5" t="str">
        <f t="shared" si="838"/>
        <v>Dado para locomover:  tração.propulsão.humana  Deve ser formatado como (xsd:boolean)</v>
      </c>
      <c r="W1575" s="69" t="s">
        <v>6936</v>
      </c>
      <c r="X1575" s="17" t="str">
        <f t="shared" si="842"/>
        <v>d.locom.137</v>
      </c>
      <c r="Y1575" s="17" t="str">
        <f t="shared" si="843"/>
        <v>Ação de locomover</v>
      </c>
      <c r="Z1575" s="62" t="s">
        <v>6993</v>
      </c>
      <c r="AA1575" s="18" t="str">
        <f t="shared" si="839"/>
        <v>categoria.revit</v>
      </c>
      <c r="AB1575" s="19" t="s">
        <v>3919</v>
      </c>
      <c r="AC1575" s="18" t="str">
        <f t="shared" si="840"/>
        <v>classe.ifc</v>
      </c>
      <c r="AD1575" s="19" t="s">
        <v>6927</v>
      </c>
      <c r="AE1575" s="18" t="str">
        <f t="shared" si="844"/>
        <v>null</v>
      </c>
      <c r="AF1575" s="75" t="s">
        <v>0</v>
      </c>
      <c r="AG1575" s="38" t="s">
        <v>8743</v>
      </c>
    </row>
    <row r="1576" spans="1:33" ht="6" customHeight="1" x14ac:dyDescent="0.4">
      <c r="A1576" s="4">
        <f>ROW()</f>
        <v>1576</v>
      </c>
      <c r="B1576" s="9" t="s">
        <v>27</v>
      </c>
      <c r="C1576" s="44" t="str">
        <f t="shared" si="827"/>
        <v>p.locomover</v>
      </c>
      <c r="D1576" s="6" t="str">
        <f t="shared" si="828"/>
        <v>é.tração.reboque</v>
      </c>
      <c r="E1576" s="8" t="s">
        <v>28</v>
      </c>
      <c r="F1576" s="34" t="str">
        <f t="shared" si="841"/>
        <v>d.locomover</v>
      </c>
      <c r="G1576" s="34" t="s">
        <v>6918</v>
      </c>
      <c r="H1576" s="34" t="s">
        <v>36</v>
      </c>
      <c r="I1576" s="92" t="str">
        <f t="shared" si="845"/>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7"/>
        <v>Propriedade destinada a locomover: é.tração.reboque</v>
      </c>
      <c r="V1576" s="5" t="str">
        <f t="shared" si="838"/>
        <v>Dado para locomover:  tração.reboque  Deve ser formatado como (xsd:boolean)</v>
      </c>
      <c r="W1576" s="69" t="s">
        <v>7023</v>
      </c>
      <c r="X1576" s="17" t="str">
        <f t="shared" si="842"/>
        <v>d.locom.138</v>
      </c>
      <c r="Y1576" s="17" t="str">
        <f t="shared" si="843"/>
        <v>Ação de locomover</v>
      </c>
      <c r="Z1576" s="62" t="s">
        <v>7025</v>
      </c>
      <c r="AA1576" s="18" t="str">
        <f t="shared" si="839"/>
        <v>categoria.revit</v>
      </c>
      <c r="AB1576" s="19" t="s">
        <v>3919</v>
      </c>
      <c r="AC1576" s="18" t="str">
        <f t="shared" si="840"/>
        <v>classe.ifc</v>
      </c>
      <c r="AD1576" s="19" t="s">
        <v>6927</v>
      </c>
      <c r="AE1576" s="18" t="str">
        <f t="shared" si="844"/>
        <v>null</v>
      </c>
      <c r="AF1576" s="75" t="s">
        <v>0</v>
      </c>
      <c r="AG1576" s="38" t="s">
        <v>8744</v>
      </c>
    </row>
    <row r="1577" spans="1:33" ht="6" customHeight="1" x14ac:dyDescent="0.4">
      <c r="A1577" s="4">
        <f>ROW()</f>
        <v>1577</v>
      </c>
      <c r="B1577" s="9" t="s">
        <v>27</v>
      </c>
      <c r="C1577" s="44" t="str">
        <f t="shared" si="827"/>
        <v>p.locomover</v>
      </c>
      <c r="D1577" s="6" t="str">
        <f t="shared" si="828"/>
        <v>é.tração.semirreboque</v>
      </c>
      <c r="E1577" s="8" t="s">
        <v>28</v>
      </c>
      <c r="F1577" s="34" t="str">
        <f t="shared" si="841"/>
        <v>d.locomover</v>
      </c>
      <c r="G1577" s="34" t="s">
        <v>6919</v>
      </c>
      <c r="H1577" s="34" t="s">
        <v>36</v>
      </c>
      <c r="I1577" s="92" t="str">
        <f t="shared" si="845"/>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7"/>
        <v>Propriedade destinada a locomover: é.tração.semirreboque</v>
      </c>
      <c r="V1577" s="5" t="str">
        <f t="shared" si="838"/>
        <v>Dado para locomover:  tração.semirreboque  Deve ser formatado como (xsd:boolean)</v>
      </c>
      <c r="W1577" s="69" t="s">
        <v>7024</v>
      </c>
      <c r="X1577" s="17" t="str">
        <f t="shared" si="842"/>
        <v>d.locom.139</v>
      </c>
      <c r="Y1577" s="17" t="str">
        <f t="shared" si="843"/>
        <v>Ação de locomover</v>
      </c>
      <c r="Z1577" s="62" t="s">
        <v>7026</v>
      </c>
      <c r="AA1577" s="18" t="str">
        <f t="shared" si="839"/>
        <v>categoria.revit</v>
      </c>
      <c r="AB1577" s="19" t="s">
        <v>3919</v>
      </c>
      <c r="AC1577" s="18" t="str">
        <f t="shared" si="840"/>
        <v>classe.ifc</v>
      </c>
      <c r="AD1577" s="19" t="s">
        <v>6927</v>
      </c>
      <c r="AE1577" s="18" t="str">
        <f t="shared" si="844"/>
        <v>null</v>
      </c>
      <c r="AF1577" s="75" t="s">
        <v>0</v>
      </c>
      <c r="AG1577" s="38" t="s">
        <v>8745</v>
      </c>
    </row>
    <row r="1578" spans="1:33" ht="6" customHeight="1" x14ac:dyDescent="0.4">
      <c r="A1578" s="4">
        <f>ROW()</f>
        <v>1578</v>
      </c>
      <c r="B1578" s="9" t="s">
        <v>27</v>
      </c>
      <c r="C1578" s="44" t="str">
        <f t="shared" si="827"/>
        <v>p.locomover</v>
      </c>
      <c r="D1578" s="6" t="str">
        <f t="shared" si="828"/>
        <v>é.veículo</v>
      </c>
      <c r="E1578" s="8" t="s">
        <v>28</v>
      </c>
      <c r="F1578" s="34" t="str">
        <f t="shared" si="841"/>
        <v>d.locomover</v>
      </c>
      <c r="G1578" s="13" t="s">
        <v>7020</v>
      </c>
      <c r="H1578" s="34" t="s">
        <v>1581</v>
      </c>
      <c r="I1578" s="92" t="str">
        <f t="shared" si="845"/>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7"/>
        <v>Propriedade destinada a locomover: é.veículo</v>
      </c>
      <c r="V1578" s="5" t="str">
        <f t="shared" si="838"/>
        <v>Dado para locomover:  veículo  Deve ser formatado como (rdfs:Literal  or  xsd:string)</v>
      </c>
      <c r="W1578" s="69" t="s">
        <v>7021</v>
      </c>
      <c r="X1578" s="17" t="str">
        <f t="shared" si="842"/>
        <v>d.locom.140</v>
      </c>
      <c r="Y1578" s="17" t="str">
        <f t="shared" si="843"/>
        <v>Ação de locomover</v>
      </c>
      <c r="Z1578" s="69" t="s">
        <v>7022</v>
      </c>
      <c r="AA1578" s="18" t="str">
        <f t="shared" si="839"/>
        <v>categoria.revit</v>
      </c>
      <c r="AB1578" s="19" t="s">
        <v>3919</v>
      </c>
      <c r="AC1578" s="18" t="str">
        <f t="shared" si="840"/>
        <v>classe.ifc</v>
      </c>
      <c r="AD1578" s="19" t="s">
        <v>7060</v>
      </c>
      <c r="AE1578" s="18" t="str">
        <f t="shared" si="844"/>
        <v>null</v>
      </c>
      <c r="AF1578" s="75" t="s">
        <v>0</v>
      </c>
      <c r="AG1578" s="38" t="s">
        <v>8746</v>
      </c>
    </row>
    <row r="1579" spans="1:33" ht="6" customHeight="1" x14ac:dyDescent="0.4">
      <c r="A1579" s="4">
        <f>ROW()</f>
        <v>1579</v>
      </c>
      <c r="B1579" s="9" t="s">
        <v>27</v>
      </c>
      <c r="C1579" s="44" t="str">
        <f t="shared" si="827"/>
        <v>p.locomover</v>
      </c>
      <c r="D1579" s="6" t="str">
        <f>_xlfn.CONCAT("é.",G1579)</f>
        <v>é.veículo.de.aluguel</v>
      </c>
      <c r="E1579" s="8" t="s">
        <v>28</v>
      </c>
      <c r="F1579" s="34" t="str">
        <f t="shared" si="841"/>
        <v>d.locomover</v>
      </c>
      <c r="G1579" s="34" t="s">
        <v>6922</v>
      </c>
      <c r="H1579" s="34" t="s">
        <v>36</v>
      </c>
      <c r="I1579" s="92" t="str">
        <f t="shared" si="845"/>
        <v>null</v>
      </c>
      <c r="J1579" s="80" t="s">
        <v>0</v>
      </c>
      <c r="K1579" s="80" t="s">
        <v>0</v>
      </c>
      <c r="L1579" s="80" t="s">
        <v>0</v>
      </c>
      <c r="M1579" s="80" t="s">
        <v>0</v>
      </c>
      <c r="N1579" s="80" t="s">
        <v>0</v>
      </c>
      <c r="O1579" s="80" t="s">
        <v>0</v>
      </c>
      <c r="P1579" s="80" t="s">
        <v>0</v>
      </c>
      <c r="Q1579" s="80" t="s">
        <v>0</v>
      </c>
      <c r="R1579" s="84" t="s">
        <v>0</v>
      </c>
      <c r="S1579" s="10" t="s">
        <v>1</v>
      </c>
      <c r="T1579" s="10" t="s">
        <v>10221</v>
      </c>
      <c r="U1579" s="5" t="str">
        <f>_xlfn.CONCAT("Propriedade destinada a ",MID(C1579,FIND("p.",C1579,1)+2,100),": ",D1579)</f>
        <v>Propriedade destinada a locomover: é.veículo.de.aluguel</v>
      </c>
      <c r="V1579" s="5" t="str">
        <f>_xlfn.CONCAT("Dado para ",MID(F1579,FIND("d.",F1579,1)+2,100),":  ",G1579, "  Deve ser formatado como (",H1579, ")")</f>
        <v>Dado para locomover:  veículo.de.aluguel  Deve ser formatado como (xsd:boolean)</v>
      </c>
      <c r="W1579" s="69" t="s">
        <v>6932</v>
      </c>
      <c r="X1579" s="17" t="str">
        <f t="shared" si="842"/>
        <v>d.locom.141</v>
      </c>
      <c r="Y1579" s="17" t="str">
        <f t="shared" si="843"/>
        <v>Ação de locomover</v>
      </c>
      <c r="Z1579" s="62" t="s">
        <v>6994</v>
      </c>
      <c r="AA1579" s="18" t="str">
        <f>IF(AB1579="null", "null", "categoria.revit")</f>
        <v>categoria.revit</v>
      </c>
      <c r="AB1579" s="19" t="s">
        <v>3919</v>
      </c>
      <c r="AC1579" s="18" t="str">
        <f>IF(AD1579="null", "null", "classe.ifc")</f>
        <v>classe.ifc</v>
      </c>
      <c r="AD1579" s="19" t="s">
        <v>6927</v>
      </c>
      <c r="AE1579" s="18" t="str">
        <f>IF(AF1579="null", "null", "propriedade")</f>
        <v>null</v>
      </c>
      <c r="AF1579" s="75" t="s">
        <v>0</v>
      </c>
      <c r="AG1579" s="38" t="s">
        <v>8747</v>
      </c>
    </row>
    <row r="1580" spans="1:33" ht="6" customHeight="1" x14ac:dyDescent="0.4">
      <c r="A1580" s="4">
        <f>ROW()</f>
        <v>1580</v>
      </c>
      <c r="B1580" s="9" t="s">
        <v>27</v>
      </c>
      <c r="C1580" s="44" t="str">
        <f t="shared" si="827"/>
        <v>p.locomover</v>
      </c>
      <c r="D1580" s="6" t="str">
        <f>_xlfn.CONCAT("é.",G1580)</f>
        <v>é.veículo.de.aprendizagem</v>
      </c>
      <c r="E1580" s="8" t="s">
        <v>28</v>
      </c>
      <c r="F1580" s="34" t="str">
        <f t="shared" si="841"/>
        <v>d.locomover</v>
      </c>
      <c r="G1580" s="34" t="s">
        <v>6923</v>
      </c>
      <c r="H1580" s="34" t="s">
        <v>36</v>
      </c>
      <c r="I1580" s="92" t="str">
        <f t="shared" si="845"/>
        <v>null</v>
      </c>
      <c r="J1580" s="80" t="s">
        <v>0</v>
      </c>
      <c r="K1580" s="80" t="s">
        <v>0</v>
      </c>
      <c r="L1580" s="80" t="s">
        <v>0</v>
      </c>
      <c r="M1580" s="80" t="s">
        <v>0</v>
      </c>
      <c r="N1580" s="80" t="s">
        <v>0</v>
      </c>
      <c r="O1580" s="80" t="s">
        <v>0</v>
      </c>
      <c r="P1580" s="80" t="s">
        <v>0</v>
      </c>
      <c r="Q1580" s="80" t="s">
        <v>0</v>
      </c>
      <c r="R1580" s="84" t="s">
        <v>0</v>
      </c>
      <c r="S1580" s="10" t="s">
        <v>1</v>
      </c>
      <c r="T1580" s="10" t="s">
        <v>10221</v>
      </c>
      <c r="U1580" s="5" t="str">
        <f>_xlfn.CONCAT("Propriedade destinada a ",MID(C1580,FIND("p.",C1580,1)+2,100),": ",D1580)</f>
        <v>Propriedade destinada a locomover: é.veículo.de.aprendizagem</v>
      </c>
      <c r="V1580" s="5" t="str">
        <f>_xlfn.CONCAT("Dado para ",MID(F1580,FIND("d.",F1580,1)+2,100),":  ",G1580, "  Deve ser formatado como (",H1580, ")")</f>
        <v>Dado para locomover:  veículo.de.aprendizagem  Deve ser formatado como (xsd:boolean)</v>
      </c>
      <c r="W1580" s="69" t="s">
        <v>6925</v>
      </c>
      <c r="X1580" s="17" t="str">
        <f t="shared" si="842"/>
        <v>d.locom.142</v>
      </c>
      <c r="Y1580" s="17" t="str">
        <f t="shared" si="843"/>
        <v>Ação de locomover</v>
      </c>
      <c r="Z1580" s="62" t="s">
        <v>6995</v>
      </c>
      <c r="AA1580" s="18" t="str">
        <f>IF(AB1580="null", "null", "categoria.revit")</f>
        <v>categoria.revit</v>
      </c>
      <c r="AB1580" s="19" t="s">
        <v>3919</v>
      </c>
      <c r="AC1580" s="18" t="str">
        <f>IF(AD1580="null", "null", "classe.ifc")</f>
        <v>classe.ifc</v>
      </c>
      <c r="AD1580" s="19" t="s">
        <v>6927</v>
      </c>
      <c r="AE1580" s="18" t="str">
        <f>IF(AF1580="null", "null", "propriedade")</f>
        <v>null</v>
      </c>
      <c r="AF1580" s="75" t="s">
        <v>0</v>
      </c>
      <c r="AG1580" s="38" t="s">
        <v>8748</v>
      </c>
    </row>
    <row r="1581" spans="1:33" ht="6" customHeight="1" x14ac:dyDescent="0.4">
      <c r="A1581" s="4">
        <f>ROW()</f>
        <v>1581</v>
      </c>
      <c r="B1581" s="9" t="s">
        <v>27</v>
      </c>
      <c r="C1581" s="44" t="str">
        <f t="shared" si="827"/>
        <v>p.locomover</v>
      </c>
      <c r="D1581" s="6" t="str">
        <f>_xlfn.CONCAT("é.",G1581)</f>
        <v>é.veículo.diplomático</v>
      </c>
      <c r="E1581" s="8" t="s">
        <v>28</v>
      </c>
      <c r="F1581" s="34" t="str">
        <f t="shared" si="841"/>
        <v>d.locomover</v>
      </c>
      <c r="G1581" s="34" t="s">
        <v>6924</v>
      </c>
      <c r="H1581" s="34" t="s">
        <v>36</v>
      </c>
      <c r="I1581" s="92" t="str">
        <f t="shared" si="845"/>
        <v>null</v>
      </c>
      <c r="J1581" s="80" t="s">
        <v>0</v>
      </c>
      <c r="K1581" s="80" t="s">
        <v>0</v>
      </c>
      <c r="L1581" s="80" t="s">
        <v>0</v>
      </c>
      <c r="M1581" s="80" t="s">
        <v>0</v>
      </c>
      <c r="N1581" s="80" t="s">
        <v>0</v>
      </c>
      <c r="O1581" s="80" t="s">
        <v>0</v>
      </c>
      <c r="P1581" s="80" t="s">
        <v>0</v>
      </c>
      <c r="Q1581" s="80" t="s">
        <v>0</v>
      </c>
      <c r="R1581" s="84" t="s">
        <v>0</v>
      </c>
      <c r="S1581" s="10" t="s">
        <v>1</v>
      </c>
      <c r="T1581" s="10" t="s">
        <v>10221</v>
      </c>
      <c r="U1581" s="5" t="str">
        <f>_xlfn.CONCAT("Propriedade destinada a ",MID(C1581,FIND("p.",C1581,1)+2,100),": ",D1581)</f>
        <v>Propriedade destinada a locomover: é.veículo.diplomático</v>
      </c>
      <c r="V1581" s="5" t="str">
        <f>_xlfn.CONCAT("Dado para ",MID(F1581,FIND("d.",F1581,1)+2,100),":  ",G1581, "  Deve ser formatado como (",H1581, ")")</f>
        <v>Dado para locomover:  veículo.diplomático  Deve ser formatado como (xsd:boolean)</v>
      </c>
      <c r="W1581" s="69" t="s">
        <v>6933</v>
      </c>
      <c r="X1581" s="17" t="str">
        <f t="shared" si="842"/>
        <v>d.locom.143</v>
      </c>
      <c r="Y1581" s="17" t="str">
        <f t="shared" si="843"/>
        <v>Ação de locomover</v>
      </c>
      <c r="Z1581" s="62" t="s">
        <v>7016</v>
      </c>
      <c r="AA1581" s="18" t="str">
        <f>IF(AB1581="null", "null", "categoria.revit")</f>
        <v>categoria.revit</v>
      </c>
      <c r="AB1581" s="19" t="s">
        <v>3919</v>
      </c>
      <c r="AC1581" s="18" t="str">
        <f>IF(AD1581="null", "null", "classe.ifc")</f>
        <v>classe.ifc</v>
      </c>
      <c r="AD1581" s="19" t="s">
        <v>6927</v>
      </c>
      <c r="AE1581" s="18" t="str">
        <f>IF(AF1581="null", "null", "propriedade")</f>
        <v>null</v>
      </c>
      <c r="AF1581" s="75" t="s">
        <v>0</v>
      </c>
      <c r="AG1581" s="38" t="s">
        <v>8749</v>
      </c>
    </row>
    <row r="1582" spans="1:33" ht="6" customHeight="1" x14ac:dyDescent="0.4">
      <c r="A1582" s="4">
        <f>ROW()</f>
        <v>1582</v>
      </c>
      <c r="B1582" s="9" t="s">
        <v>27</v>
      </c>
      <c r="C1582" s="44" t="str">
        <f t="shared" si="827"/>
        <v>p.locomover</v>
      </c>
      <c r="D1582" s="6" t="str">
        <f>_xlfn.CONCAT("é.",G1582)</f>
        <v>é.veículo.oficial</v>
      </c>
      <c r="E1582" s="8" t="s">
        <v>28</v>
      </c>
      <c r="F1582" s="34" t="str">
        <f t="shared" si="841"/>
        <v>d.locomover</v>
      </c>
      <c r="G1582" s="34" t="s">
        <v>6920</v>
      </c>
      <c r="H1582" s="34" t="s">
        <v>36</v>
      </c>
      <c r="I1582" s="92" t="str">
        <f t="shared" si="845"/>
        <v>null</v>
      </c>
      <c r="J1582" s="80" t="s">
        <v>0</v>
      </c>
      <c r="K1582" s="80" t="s">
        <v>0</v>
      </c>
      <c r="L1582" s="80" t="s">
        <v>0</v>
      </c>
      <c r="M1582" s="80" t="s">
        <v>0</v>
      </c>
      <c r="N1582" s="80" t="s">
        <v>0</v>
      </c>
      <c r="O1582" s="80" t="s">
        <v>0</v>
      </c>
      <c r="P1582" s="80" t="s">
        <v>0</v>
      </c>
      <c r="Q1582" s="80" t="s">
        <v>0</v>
      </c>
      <c r="R1582" s="84" t="s">
        <v>0</v>
      </c>
      <c r="S1582" s="10" t="s">
        <v>1</v>
      </c>
      <c r="T1582" s="10" t="s">
        <v>10221</v>
      </c>
      <c r="U1582" s="5" t="str">
        <f>_xlfn.CONCAT("Propriedade destinada a ",MID(C1582,FIND("p.",C1582,1)+2,100),": ",D1582)</f>
        <v>Propriedade destinada a locomover: é.veículo.oficial</v>
      </c>
      <c r="V1582" s="5" t="str">
        <f>_xlfn.CONCAT("Dado para ",MID(F1582,FIND("d.",F1582,1)+2,100),":  ",G1582, "  Deve ser formatado como (",H1582, ")")</f>
        <v>Dado para locomover:  veículo.oficial  Deve ser formatado como (xsd:boolean)</v>
      </c>
      <c r="W1582" s="69" t="s">
        <v>6930</v>
      </c>
      <c r="X1582" s="17" t="str">
        <f t="shared" si="842"/>
        <v>d.locom.144</v>
      </c>
      <c r="Y1582" s="17" t="str">
        <f t="shared" si="843"/>
        <v>Ação de locomover</v>
      </c>
      <c r="Z1582" s="62" t="s">
        <v>6996</v>
      </c>
      <c r="AA1582" s="18" t="str">
        <f>IF(AB1582="null", "null", "categoria.revit")</f>
        <v>categoria.revit</v>
      </c>
      <c r="AB1582" s="19" t="s">
        <v>3919</v>
      </c>
      <c r="AC1582" s="18" t="str">
        <f>IF(AD1582="null", "null", "classe.ifc")</f>
        <v>classe.ifc</v>
      </c>
      <c r="AD1582" s="19" t="s">
        <v>6927</v>
      </c>
      <c r="AE1582" s="18" t="str">
        <f>IF(AF1582="null", "null", "propriedade")</f>
        <v>null</v>
      </c>
      <c r="AF1582" s="75" t="s">
        <v>0</v>
      </c>
      <c r="AG1582" s="38" t="s">
        <v>8750</v>
      </c>
    </row>
    <row r="1583" spans="1:33" ht="6" customHeight="1" x14ac:dyDescent="0.4">
      <c r="A1583" s="4">
        <f>ROW()</f>
        <v>1583</v>
      </c>
      <c r="B1583" s="9" t="s">
        <v>27</v>
      </c>
      <c r="C1583" s="44" t="str">
        <f t="shared" si="827"/>
        <v>p.locomover</v>
      </c>
      <c r="D1583" s="6" t="str">
        <f>_xlfn.CONCAT("é.",G1583)</f>
        <v>é.veículo.particular</v>
      </c>
      <c r="E1583" s="8" t="s">
        <v>28</v>
      </c>
      <c r="F1583" s="34" t="str">
        <f>F1582</f>
        <v>d.locomover</v>
      </c>
      <c r="G1583" s="34" t="s">
        <v>6921</v>
      </c>
      <c r="H1583" s="34" t="s">
        <v>36</v>
      </c>
      <c r="I1583" s="92" t="str">
        <f t="shared" si="845"/>
        <v>null</v>
      </c>
      <c r="J1583" s="80" t="s">
        <v>0</v>
      </c>
      <c r="K1583" s="80" t="s">
        <v>0</v>
      </c>
      <c r="L1583" s="80" t="s">
        <v>0</v>
      </c>
      <c r="M1583" s="80" t="s">
        <v>0</v>
      </c>
      <c r="N1583" s="80" t="s">
        <v>0</v>
      </c>
      <c r="O1583" s="80" t="s">
        <v>0</v>
      </c>
      <c r="P1583" s="80" t="s">
        <v>0</v>
      </c>
      <c r="Q1583" s="80" t="s">
        <v>0</v>
      </c>
      <c r="R1583" s="84" t="s">
        <v>0</v>
      </c>
      <c r="S1583" s="10" t="s">
        <v>1</v>
      </c>
      <c r="T1583" s="10" t="s">
        <v>10221</v>
      </c>
      <c r="U1583" s="5" t="str">
        <f>_xlfn.CONCAT("Propriedade destinada a ",MID(C1583,FIND("p.",C1583,1)+2,100),": ",D1583)</f>
        <v>Propriedade destinada a locomover: é.veículo.particular</v>
      </c>
      <c r="V1583" s="5" t="str">
        <f>_xlfn.CONCAT("Dado para ",MID(F1583,FIND("d.",F1583,1)+2,100),":  ",G1583, "  Deve ser formatado como (",H1583, ")")</f>
        <v>Dado para locomover:  veículo.particular  Deve ser formatado como (xsd:boolean)</v>
      </c>
      <c r="W1583" s="69" t="s">
        <v>6931</v>
      </c>
      <c r="X1583" s="17" t="str">
        <f t="shared" si="842"/>
        <v>d.locom.145</v>
      </c>
      <c r="Y1583" s="17" t="str">
        <f t="shared" si="843"/>
        <v>Ação de locomover</v>
      </c>
      <c r="Z1583" s="62" t="s">
        <v>6997</v>
      </c>
      <c r="AA1583" s="18" t="str">
        <f>IF(AB1583="null", "null", "categoria.revit")</f>
        <v>categoria.revit</v>
      </c>
      <c r="AB1583" s="19" t="s">
        <v>3919</v>
      </c>
      <c r="AC1583" s="18" t="str">
        <f>IF(AD1583="null", "null", "classe.ifc")</f>
        <v>classe.ifc</v>
      </c>
      <c r="AD1583" s="19" t="s">
        <v>6927</v>
      </c>
      <c r="AE1583" s="18" t="str">
        <f>IF(AF1583="null", "null", "propriedade")</f>
        <v>null</v>
      </c>
      <c r="AF1583" s="75" t="s">
        <v>0</v>
      </c>
      <c r="AG1583" s="38" t="s">
        <v>8751</v>
      </c>
    </row>
    <row r="1584" spans="1:33" ht="6" customHeight="1" x14ac:dyDescent="0.4">
      <c r="A1584" s="4">
        <f>ROW()</f>
        <v>1584</v>
      </c>
      <c r="B1584" s="9" t="s">
        <v>27</v>
      </c>
      <c r="C1584" s="43" t="str">
        <f t="shared" si="827"/>
        <v>p.mapear</v>
      </c>
      <c r="D1584" s="6" t="str">
        <f t="shared" si="828"/>
        <v>é.nome.do.mapa</v>
      </c>
      <c r="E1584" s="8" t="s">
        <v>28</v>
      </c>
      <c r="F1584" s="40" t="s">
        <v>2203</v>
      </c>
      <c r="G1584" s="14" t="s">
        <v>748</v>
      </c>
      <c r="H1584" s="33" t="s">
        <v>1581</v>
      </c>
      <c r="I1584" s="92" t="str">
        <f t="shared" si="845"/>
        <v>null</v>
      </c>
      <c r="J1584" s="82" t="s">
        <v>0</v>
      </c>
      <c r="K1584" s="82" t="s">
        <v>0</v>
      </c>
      <c r="L1584" s="82" t="s">
        <v>0</v>
      </c>
      <c r="M1584" s="82" t="s">
        <v>0</v>
      </c>
      <c r="N1584" s="80" t="s">
        <v>0</v>
      </c>
      <c r="O1584" s="82" t="s">
        <v>0</v>
      </c>
      <c r="P1584" s="82" t="s">
        <v>0</v>
      </c>
      <c r="Q1584" s="82" t="s">
        <v>0</v>
      </c>
      <c r="R1584" s="84" t="s">
        <v>0</v>
      </c>
      <c r="S1584" s="10" t="s">
        <v>1</v>
      </c>
      <c r="T1584" s="10" t="s">
        <v>10221</v>
      </c>
      <c r="U1584" s="5" t="str">
        <f t="shared" si="837"/>
        <v>Propriedade destinada a mapear: é.nome.do.mapa</v>
      </c>
      <c r="V1584" s="5" t="str">
        <f t="shared" si="838"/>
        <v>Dado para mapear:  nome.do.mapa  Deve ser formatado como (rdfs:Literal  or  xsd:string)</v>
      </c>
      <c r="W1584" s="69" t="s">
        <v>5832</v>
      </c>
      <c r="X1584" s="17" t="str">
        <f t="shared" si="842"/>
        <v>d.mapea.100</v>
      </c>
      <c r="Y1584" s="17" t="str">
        <f t="shared" si="843"/>
        <v>Ação de mapear</v>
      </c>
      <c r="Z1584" s="62" t="s">
        <v>1362</v>
      </c>
      <c r="AA1584" s="18" t="str">
        <f t="shared" si="839"/>
        <v>null</v>
      </c>
      <c r="AB1584" s="19" t="s">
        <v>0</v>
      </c>
      <c r="AC1584" s="18" t="str">
        <f t="shared" si="840"/>
        <v>null</v>
      </c>
      <c r="AD1584" s="19" t="s">
        <v>0</v>
      </c>
      <c r="AE1584" s="18" t="str">
        <f t="shared" si="833"/>
        <v>null</v>
      </c>
      <c r="AF1584" s="75" t="s">
        <v>0</v>
      </c>
      <c r="AG1584" s="38" t="s">
        <v>8752</v>
      </c>
    </row>
    <row r="1585" spans="1:33" ht="6" customHeight="1" x14ac:dyDescent="0.4">
      <c r="A1585" s="4">
        <f>ROW()</f>
        <v>1585</v>
      </c>
      <c r="B1585" s="9" t="s">
        <v>27</v>
      </c>
      <c r="C1585" s="44" t="str">
        <f t="shared" ref="C1585:C1598" si="846">SUBSTITUTE(F1585,"d.","p.")</f>
        <v>p.mapear</v>
      </c>
      <c r="D1585" s="6" t="str">
        <f t="shared" ref="D1585:D1598" si="847">_xlfn.CONCAT("é.",G1585)</f>
        <v>é.mapa.de.risco</v>
      </c>
      <c r="E1585" s="8" t="s">
        <v>28</v>
      </c>
      <c r="F1585" s="34" t="s">
        <v>2203</v>
      </c>
      <c r="G1585" s="14" t="s">
        <v>4052</v>
      </c>
      <c r="H1585" s="33" t="s">
        <v>1581</v>
      </c>
      <c r="I1585" s="92" t="str">
        <f t="shared" si="845"/>
        <v>null</v>
      </c>
      <c r="J1585" s="82" t="s">
        <v>0</v>
      </c>
      <c r="K1585" s="82" t="s">
        <v>0</v>
      </c>
      <c r="L1585" s="82" t="s">
        <v>0</v>
      </c>
      <c r="M1585" s="82" t="s">
        <v>0</v>
      </c>
      <c r="N1585" s="80" t="s">
        <v>0</v>
      </c>
      <c r="O1585" s="82" t="s">
        <v>0</v>
      </c>
      <c r="P1585" s="82" t="s">
        <v>0</v>
      </c>
      <c r="Q1585" s="82" t="s">
        <v>0</v>
      </c>
      <c r="R1585" s="84" t="s">
        <v>0</v>
      </c>
      <c r="S1585" s="10" t="s">
        <v>1</v>
      </c>
      <c r="T1585" s="10" t="s">
        <v>10221</v>
      </c>
      <c r="U1585" s="5" t="str">
        <f t="shared" si="837"/>
        <v>Propriedade destinada a mapear: é.mapa.de.risco</v>
      </c>
      <c r="V1585" s="5" t="str">
        <f t="shared" si="838"/>
        <v>Dado para mapear:  mapa.de.risco  Deve ser formatado como (rdfs:Literal  or  xsd:string)</v>
      </c>
      <c r="W1585" s="69" t="s">
        <v>5833</v>
      </c>
      <c r="X1585" s="17" t="str">
        <f t="shared" si="842"/>
        <v>d.mapea.101</v>
      </c>
      <c r="Y1585" s="17" t="str">
        <f t="shared" si="843"/>
        <v>Ação de mapear</v>
      </c>
      <c r="Z1585" s="62" t="s">
        <v>4074</v>
      </c>
      <c r="AA1585" s="18" t="str">
        <f t="shared" ref="AA1585:AA1598" si="848">IF(AB1585="null", "null", "categoria.revit")</f>
        <v>null</v>
      </c>
      <c r="AB1585" s="19" t="s">
        <v>0</v>
      </c>
      <c r="AC1585" s="18" t="str">
        <f t="shared" ref="AC1585:AC1598" si="849">IF(AD1585="null", "null", "classe.ifc")</f>
        <v>null</v>
      </c>
      <c r="AD1585" s="19" t="s">
        <v>0</v>
      </c>
      <c r="AE1585" s="18" t="str">
        <f t="shared" ref="AE1585:AE1598" si="850">IF(AF1585="null", "null", "propriedade")</f>
        <v>null</v>
      </c>
      <c r="AF1585" s="75" t="s">
        <v>0</v>
      </c>
      <c r="AG1585" s="38" t="s">
        <v>8753</v>
      </c>
    </row>
    <row r="1586" spans="1:33" ht="6" customHeight="1" x14ac:dyDescent="0.4">
      <c r="A1586" s="4">
        <f>ROW()</f>
        <v>1586</v>
      </c>
      <c r="B1586" s="9" t="s">
        <v>27</v>
      </c>
      <c r="C1586" s="44" t="str">
        <f t="shared" si="846"/>
        <v>p.mapear</v>
      </c>
      <c r="D1586" s="6" t="str">
        <f t="shared" si="847"/>
        <v>é.mapeamento.uv</v>
      </c>
      <c r="E1586" s="8" t="s">
        <v>28</v>
      </c>
      <c r="F1586" s="34" t="str">
        <f>F1585</f>
        <v>d.mapear</v>
      </c>
      <c r="G1586" s="13" t="s">
        <v>750</v>
      </c>
      <c r="H1586" s="34" t="s">
        <v>1581</v>
      </c>
      <c r="I1586" s="92" t="str">
        <f t="shared" si="845"/>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ref="U1586" si="851">_xlfn.CONCAT("Propriedade destinada a ",MID(C1586,FIND("p.",C1586,1)+2,100),": ",D1586)</f>
        <v>Propriedade destinada a mapear: é.mapeamento.uv</v>
      </c>
      <c r="V1586" s="5" t="str">
        <f t="shared" ref="V1586" si="852">_xlfn.CONCAT("Dado para ",MID(F1586,FIND("d.",F1586,1)+2,100),":  ",G1586, "  Deve ser formatado como (",H1586, ")")</f>
        <v>Dado para mapear:  mapeamento.uv  Deve ser formatado como (rdfs:Literal  or  xsd:string)</v>
      </c>
      <c r="W1586" s="69" t="s">
        <v>5834</v>
      </c>
      <c r="X1586" s="17" t="str">
        <f t="shared" si="842"/>
        <v>d.mapea.102</v>
      </c>
      <c r="Y1586" s="17" t="str">
        <f t="shared" si="843"/>
        <v>Ação de mapear</v>
      </c>
      <c r="Z1586" s="62" t="s">
        <v>4638</v>
      </c>
      <c r="AA1586" s="18" t="str">
        <f t="shared" si="848"/>
        <v>null</v>
      </c>
      <c r="AB1586" s="19" t="s">
        <v>0</v>
      </c>
      <c r="AC1586" s="18" t="str">
        <f t="shared" si="849"/>
        <v>null</v>
      </c>
      <c r="AD1586" s="19" t="s">
        <v>0</v>
      </c>
      <c r="AE1586" s="18" t="str">
        <f t="shared" si="850"/>
        <v>null</v>
      </c>
      <c r="AF1586" s="75" t="s">
        <v>0</v>
      </c>
      <c r="AG1586" s="38" t="s">
        <v>8754</v>
      </c>
    </row>
    <row r="1587" spans="1:33" ht="6" customHeight="1" x14ac:dyDescent="0.4">
      <c r="A1587" s="4">
        <f>ROW()</f>
        <v>1587</v>
      </c>
      <c r="B1587" s="9" t="s">
        <v>27</v>
      </c>
      <c r="C1587" s="44" t="str">
        <f t="shared" si="846"/>
        <v>p.mapear</v>
      </c>
      <c r="D1587" s="6" t="str">
        <f t="shared" si="847"/>
        <v>é.número.de.célula</v>
      </c>
      <c r="E1587" s="8" t="s">
        <v>28</v>
      </c>
      <c r="F1587" s="34" t="s">
        <v>2203</v>
      </c>
      <c r="G1587" s="14" t="s">
        <v>747</v>
      </c>
      <c r="H1587" s="33" t="s">
        <v>1581</v>
      </c>
      <c r="I1587" s="92" t="str">
        <f t="shared" si="845"/>
        <v>Functional</v>
      </c>
      <c r="J1587" s="82" t="s">
        <v>29</v>
      </c>
      <c r="K1587" s="82" t="s">
        <v>0</v>
      </c>
      <c r="L1587" s="82" t="s">
        <v>0</v>
      </c>
      <c r="M1587" s="82" t="s">
        <v>0</v>
      </c>
      <c r="N1587" s="80" t="s">
        <v>0</v>
      </c>
      <c r="O1587" s="82" t="s">
        <v>0</v>
      </c>
      <c r="P1587" s="82" t="s">
        <v>0</v>
      </c>
      <c r="Q1587" s="82" t="s">
        <v>0</v>
      </c>
      <c r="R1587" s="84" t="s">
        <v>0</v>
      </c>
      <c r="S1587" s="10" t="s">
        <v>1</v>
      </c>
      <c r="T1587" s="10" t="s">
        <v>10221</v>
      </c>
      <c r="U1587" s="5" t="str">
        <f t="shared" si="837"/>
        <v>Propriedade destinada a mapear: é.número.de.célula</v>
      </c>
      <c r="V1587" s="5" t="str">
        <f t="shared" si="838"/>
        <v>Dado para mapear:  número.de.célula  Deve ser formatado como (rdfs:Literal  or  xsd:string)</v>
      </c>
      <c r="W1587" s="69" t="s">
        <v>5835</v>
      </c>
      <c r="X1587" s="17" t="str">
        <f t="shared" si="842"/>
        <v>d.mapea.103</v>
      </c>
      <c r="Y1587" s="17" t="str">
        <f t="shared" si="843"/>
        <v>Ação de mapear</v>
      </c>
      <c r="Z1587" s="62" t="s">
        <v>4064</v>
      </c>
      <c r="AA1587" s="18" t="str">
        <f t="shared" si="848"/>
        <v>null</v>
      </c>
      <c r="AB1587" s="19" t="s">
        <v>0</v>
      </c>
      <c r="AC1587" s="18" t="str">
        <f t="shared" si="849"/>
        <v>null</v>
      </c>
      <c r="AD1587" s="19" t="s">
        <v>0</v>
      </c>
      <c r="AE1587" s="18" t="str">
        <f t="shared" si="850"/>
        <v>null</v>
      </c>
      <c r="AF1587" s="75" t="s">
        <v>0</v>
      </c>
      <c r="AG1587" s="38" t="s">
        <v>8755</v>
      </c>
    </row>
    <row r="1588" spans="1:33" ht="6" customHeight="1" x14ac:dyDescent="0.4">
      <c r="A1588" s="4">
        <f>ROW()</f>
        <v>1588</v>
      </c>
      <c r="B1588" s="9" t="s">
        <v>27</v>
      </c>
      <c r="C1588" s="44" t="str">
        <f t="shared" si="846"/>
        <v>p.mapear</v>
      </c>
      <c r="D1588" s="6" t="str">
        <f t="shared" si="847"/>
        <v>é.ocorrência.chance</v>
      </c>
      <c r="E1588" s="8" t="s">
        <v>28</v>
      </c>
      <c r="F1588" s="34" t="s">
        <v>2203</v>
      </c>
      <c r="G1588" s="14" t="s">
        <v>4056</v>
      </c>
      <c r="H1588" s="33" t="s">
        <v>4058</v>
      </c>
      <c r="I1588" s="92" t="str">
        <f t="shared" si="845"/>
        <v>null</v>
      </c>
      <c r="J1588" s="82" t="s">
        <v>0</v>
      </c>
      <c r="K1588" s="82" t="s">
        <v>0</v>
      </c>
      <c r="L1588" s="82" t="s">
        <v>0</v>
      </c>
      <c r="M1588" s="82" t="s">
        <v>0</v>
      </c>
      <c r="N1588" s="80" t="s">
        <v>0</v>
      </c>
      <c r="O1588" s="82" t="s">
        <v>0</v>
      </c>
      <c r="P1588" s="82" t="s">
        <v>0</v>
      </c>
      <c r="Q1588" s="82" t="s">
        <v>0</v>
      </c>
      <c r="R1588" s="84" t="s">
        <v>0</v>
      </c>
      <c r="S1588" s="10" t="s">
        <v>1</v>
      </c>
      <c r="T1588" s="10" t="s">
        <v>10221</v>
      </c>
      <c r="U1588" s="5" t="str">
        <f t="shared" si="837"/>
        <v>Propriedade destinada a mapear: é.ocorrência.chance</v>
      </c>
      <c r="V1588" s="5" t="str">
        <f t="shared" si="838"/>
        <v>Dado para mapear:  ocorrência.chance  Deve ser formatado como (double)</v>
      </c>
      <c r="W1588" s="69" t="s">
        <v>4059</v>
      </c>
      <c r="X1588" s="17" t="str">
        <f t="shared" si="842"/>
        <v>d.mapea.104</v>
      </c>
      <c r="Y1588" s="17" t="str">
        <f t="shared" si="843"/>
        <v>Ação de mapear</v>
      </c>
      <c r="Z1588" s="62" t="s">
        <v>4065</v>
      </c>
      <c r="AA1588" s="18" t="str">
        <f t="shared" si="848"/>
        <v>null</v>
      </c>
      <c r="AB1588" s="19" t="s">
        <v>0</v>
      </c>
      <c r="AC1588" s="18" t="str">
        <f t="shared" si="849"/>
        <v>null</v>
      </c>
      <c r="AD1588" s="19" t="s">
        <v>0</v>
      </c>
      <c r="AE1588" s="18" t="str">
        <f t="shared" si="850"/>
        <v>null</v>
      </c>
      <c r="AF1588" s="75" t="s">
        <v>0</v>
      </c>
      <c r="AG1588" s="38" t="s">
        <v>8756</v>
      </c>
    </row>
    <row r="1589" spans="1:33" ht="6" customHeight="1" x14ac:dyDescent="0.4">
      <c r="A1589" s="4">
        <f>ROW()</f>
        <v>1589</v>
      </c>
      <c r="B1589" s="9" t="s">
        <v>27</v>
      </c>
      <c r="C1589" s="44" t="str">
        <f t="shared" si="846"/>
        <v>p.mapear</v>
      </c>
      <c r="D1589" s="6" t="str">
        <f t="shared" si="847"/>
        <v>é.ocorrência.exposição</v>
      </c>
      <c r="E1589" s="8" t="s">
        <v>28</v>
      </c>
      <c r="F1589" s="34" t="s">
        <v>2203</v>
      </c>
      <c r="G1589" s="14" t="s">
        <v>4057</v>
      </c>
      <c r="H1589" s="33" t="s">
        <v>1581</v>
      </c>
      <c r="I1589" s="92" t="str">
        <f t="shared" si="845"/>
        <v>null</v>
      </c>
      <c r="J1589" s="82" t="s">
        <v>0</v>
      </c>
      <c r="K1589" s="82" t="s">
        <v>0</v>
      </c>
      <c r="L1589" s="82" t="s">
        <v>0</v>
      </c>
      <c r="M1589" s="82" t="s">
        <v>0</v>
      </c>
      <c r="N1589" s="80" t="s">
        <v>0</v>
      </c>
      <c r="O1589" s="82" t="s">
        <v>0</v>
      </c>
      <c r="P1589" s="82" t="s">
        <v>0</v>
      </c>
      <c r="Q1589" s="82" t="s">
        <v>0</v>
      </c>
      <c r="R1589" s="84" t="s">
        <v>0</v>
      </c>
      <c r="S1589" s="10" t="s">
        <v>1</v>
      </c>
      <c r="T1589" s="10" t="s">
        <v>10221</v>
      </c>
      <c r="U1589" s="5" t="str">
        <f t="shared" si="837"/>
        <v>Propriedade destinada a mapear: é.ocorrência.exposição</v>
      </c>
      <c r="V1589" s="5" t="str">
        <f t="shared" si="838"/>
        <v>Dado para mapear:  ocorrência.exposição  Deve ser formatado como (rdfs:Literal  or  xsd:string)</v>
      </c>
      <c r="W1589" s="69" t="s">
        <v>4061</v>
      </c>
      <c r="X1589" s="17" t="str">
        <f t="shared" si="842"/>
        <v>d.mapea.105</v>
      </c>
      <c r="Y1589" s="17" t="str">
        <f t="shared" si="843"/>
        <v>Ação de mapear</v>
      </c>
      <c r="Z1589" s="62" t="s">
        <v>4066</v>
      </c>
      <c r="AA1589" s="18" t="str">
        <f t="shared" si="848"/>
        <v>null</v>
      </c>
      <c r="AB1589" s="19" t="s">
        <v>0</v>
      </c>
      <c r="AC1589" s="18" t="str">
        <f t="shared" si="849"/>
        <v>null</v>
      </c>
      <c r="AD1589" s="19" t="s">
        <v>0</v>
      </c>
      <c r="AE1589" s="18" t="str">
        <f t="shared" si="850"/>
        <v>null</v>
      </c>
      <c r="AF1589" s="75" t="s">
        <v>0</v>
      </c>
      <c r="AG1589" s="38" t="s">
        <v>8757</v>
      </c>
    </row>
    <row r="1590" spans="1:33" ht="6" customHeight="1" x14ac:dyDescent="0.4">
      <c r="A1590" s="4">
        <f>ROW()</f>
        <v>1590</v>
      </c>
      <c r="B1590" s="9" t="s">
        <v>27</v>
      </c>
      <c r="C1590" s="44" t="str">
        <f t="shared" si="846"/>
        <v>p.mapear</v>
      </c>
      <c r="D1590" s="6" t="str">
        <f t="shared" si="847"/>
        <v>é.ocorrência.impacto</v>
      </c>
      <c r="E1590" s="8" t="s">
        <v>28</v>
      </c>
      <c r="F1590" s="34" t="s">
        <v>2203</v>
      </c>
      <c r="G1590" s="14" t="s">
        <v>4062</v>
      </c>
      <c r="H1590" s="33" t="s">
        <v>1581</v>
      </c>
      <c r="I1590" s="92" t="str">
        <f t="shared" si="845"/>
        <v>null</v>
      </c>
      <c r="J1590" s="82" t="s">
        <v>0</v>
      </c>
      <c r="K1590" s="82" t="s">
        <v>0</v>
      </c>
      <c r="L1590" s="82" t="s">
        <v>0</v>
      </c>
      <c r="M1590" s="82" t="s">
        <v>0</v>
      </c>
      <c r="N1590" s="80" t="s">
        <v>0</v>
      </c>
      <c r="O1590" s="82" t="s">
        <v>0</v>
      </c>
      <c r="P1590" s="82" t="s">
        <v>0</v>
      </c>
      <c r="Q1590" s="82" t="s">
        <v>0</v>
      </c>
      <c r="R1590" s="84" t="s">
        <v>0</v>
      </c>
      <c r="S1590" s="10" t="s">
        <v>1</v>
      </c>
      <c r="T1590" s="10" t="s">
        <v>10221</v>
      </c>
      <c r="U1590" s="5" t="str">
        <f t="shared" si="837"/>
        <v>Propriedade destinada a mapear: é.ocorrência.impacto</v>
      </c>
      <c r="V1590" s="5" t="str">
        <f t="shared" si="838"/>
        <v>Dado para mapear:  ocorrência.impacto  Deve ser formatado como (rdfs:Literal  or  xsd:string)</v>
      </c>
      <c r="W1590" s="69" t="s">
        <v>4060</v>
      </c>
      <c r="X1590" s="17" t="str">
        <f t="shared" si="842"/>
        <v>d.mapea.106</v>
      </c>
      <c r="Y1590" s="17" t="str">
        <f t="shared" si="843"/>
        <v>Ação de mapear</v>
      </c>
      <c r="Z1590" s="62" t="s">
        <v>4796</v>
      </c>
      <c r="AA1590" s="18" t="str">
        <f t="shared" si="848"/>
        <v>null</v>
      </c>
      <c r="AB1590" s="19" t="s">
        <v>0</v>
      </c>
      <c r="AC1590" s="18" t="str">
        <f t="shared" si="849"/>
        <v>null</v>
      </c>
      <c r="AD1590" s="19" t="s">
        <v>0</v>
      </c>
      <c r="AE1590" s="18" t="str">
        <f t="shared" si="850"/>
        <v>null</v>
      </c>
      <c r="AF1590" s="75" t="s">
        <v>0</v>
      </c>
      <c r="AG1590" s="38" t="s">
        <v>8758</v>
      </c>
    </row>
    <row r="1591" spans="1:33" ht="6" customHeight="1" x14ac:dyDescent="0.4">
      <c r="A1591" s="4">
        <f>ROW()</f>
        <v>1591</v>
      </c>
      <c r="B1591" s="9" t="s">
        <v>27</v>
      </c>
      <c r="C1591" s="44" t="str">
        <f t="shared" si="846"/>
        <v>p.mapear</v>
      </c>
      <c r="D1591" s="6" t="str">
        <f t="shared" si="847"/>
        <v>é.origem.do.mapa</v>
      </c>
      <c r="E1591" s="8" t="s">
        <v>28</v>
      </c>
      <c r="F1591" s="34" t="s">
        <v>2203</v>
      </c>
      <c r="G1591" s="14" t="s">
        <v>749</v>
      </c>
      <c r="H1591" s="33" t="s">
        <v>1581</v>
      </c>
      <c r="I1591" s="92" t="str">
        <f t="shared" si="845"/>
        <v>Functional</v>
      </c>
      <c r="J1591" s="82" t="s">
        <v>29</v>
      </c>
      <c r="K1591" s="82" t="s">
        <v>0</v>
      </c>
      <c r="L1591" s="82" t="s">
        <v>0</v>
      </c>
      <c r="M1591" s="82" t="s">
        <v>0</v>
      </c>
      <c r="N1591" s="80" t="s">
        <v>0</v>
      </c>
      <c r="O1591" s="82" t="s">
        <v>0</v>
      </c>
      <c r="P1591" s="82" t="s">
        <v>0</v>
      </c>
      <c r="Q1591" s="82" t="s">
        <v>0</v>
      </c>
      <c r="R1591" s="84" t="s">
        <v>0</v>
      </c>
      <c r="S1591" s="10" t="s">
        <v>1</v>
      </c>
      <c r="T1591" s="10" t="s">
        <v>10221</v>
      </c>
      <c r="U1591" s="5" t="str">
        <f t="shared" si="837"/>
        <v>Propriedade destinada a mapear: é.origem.do.mapa</v>
      </c>
      <c r="V1591" s="5" t="str">
        <f t="shared" si="838"/>
        <v>Dado para mapear:  origem.do.mapa  Deve ser formatado como (rdfs:Literal  or  xsd:string)</v>
      </c>
      <c r="W1591" s="69" t="s">
        <v>5836</v>
      </c>
      <c r="X1591" s="17" t="str">
        <f t="shared" si="842"/>
        <v>d.mapea.107</v>
      </c>
      <c r="Y1591" s="17" t="str">
        <f t="shared" si="843"/>
        <v>Ação de mapear</v>
      </c>
      <c r="Z1591" s="62" t="s">
        <v>4067</v>
      </c>
      <c r="AA1591" s="18" t="str">
        <f t="shared" si="848"/>
        <v>null</v>
      </c>
      <c r="AB1591" s="19" t="s">
        <v>0</v>
      </c>
      <c r="AC1591" s="18" t="str">
        <f t="shared" si="849"/>
        <v>null</v>
      </c>
      <c r="AD1591" s="19" t="s">
        <v>0</v>
      </c>
      <c r="AE1591" s="18" t="str">
        <f t="shared" si="850"/>
        <v>null</v>
      </c>
      <c r="AF1591" s="75" t="s">
        <v>0</v>
      </c>
      <c r="AG1591" s="38" t="s">
        <v>8759</v>
      </c>
    </row>
    <row r="1592" spans="1:33" ht="6" customHeight="1" x14ac:dyDescent="0.4">
      <c r="A1592" s="4">
        <f>ROW()</f>
        <v>1592</v>
      </c>
      <c r="B1592" s="9" t="s">
        <v>27</v>
      </c>
      <c r="C1592" s="44" t="str">
        <f t="shared" si="846"/>
        <v>p.mapear</v>
      </c>
      <c r="D1592" s="6" t="str">
        <f t="shared" si="847"/>
        <v>é.risco.acidental</v>
      </c>
      <c r="E1592" s="8" t="s">
        <v>28</v>
      </c>
      <c r="F1592" s="34" t="s">
        <v>2203</v>
      </c>
      <c r="G1592" s="14" t="s">
        <v>4063</v>
      </c>
      <c r="H1592" s="33" t="s">
        <v>1581</v>
      </c>
      <c r="I1592" s="92" t="str">
        <f t="shared" si="845"/>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7"/>
        <v>Propriedade destinada a mapear: é.risco.acidental</v>
      </c>
      <c r="V1592" s="5" t="str">
        <f t="shared" si="838"/>
        <v>Dado para mapear:  risco.acidental  Deve ser formatado como (rdfs:Literal  or  xsd:string)</v>
      </c>
      <c r="W1592" s="69" t="s">
        <v>4122</v>
      </c>
      <c r="X1592" s="17" t="str">
        <f t="shared" si="842"/>
        <v>d.mapea.108</v>
      </c>
      <c r="Y1592" s="17" t="str">
        <f t="shared" si="843"/>
        <v>Ação de mapear</v>
      </c>
      <c r="Z1592" s="62" t="s">
        <v>4068</v>
      </c>
      <c r="AA1592" s="18" t="str">
        <f t="shared" si="848"/>
        <v>null</v>
      </c>
      <c r="AB1592" s="19" t="s">
        <v>0</v>
      </c>
      <c r="AC1592" s="18" t="str">
        <f t="shared" si="849"/>
        <v>null</v>
      </c>
      <c r="AD1592" s="19" t="s">
        <v>0</v>
      </c>
      <c r="AE1592" s="18" t="str">
        <f t="shared" si="850"/>
        <v>null</v>
      </c>
      <c r="AF1592" s="75" t="s">
        <v>0</v>
      </c>
      <c r="AG1592" s="38" t="s">
        <v>8760</v>
      </c>
    </row>
    <row r="1593" spans="1:33" ht="6" customHeight="1" x14ac:dyDescent="0.4">
      <c r="A1593" s="4">
        <f>ROW()</f>
        <v>1593</v>
      </c>
      <c r="B1593" s="9" t="s">
        <v>27</v>
      </c>
      <c r="C1593" s="44" t="str">
        <f t="shared" si="846"/>
        <v>p.mapear</v>
      </c>
      <c r="D1593" s="6" t="str">
        <f t="shared" si="847"/>
        <v>é.risco.ambiental</v>
      </c>
      <c r="E1593" s="8" t="s">
        <v>28</v>
      </c>
      <c r="F1593" s="34" t="s">
        <v>2203</v>
      </c>
      <c r="G1593" s="14" t="s">
        <v>4055</v>
      </c>
      <c r="H1593" s="33" t="s">
        <v>1581</v>
      </c>
      <c r="I1593" s="92" t="str">
        <f t="shared" si="845"/>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7"/>
        <v>Propriedade destinada a mapear: é.risco.ambiental</v>
      </c>
      <c r="V1593" s="5" t="str">
        <f t="shared" si="838"/>
        <v>Dado para mapear:  risco.ambiental  Deve ser formatado como (rdfs:Literal  or  xsd:string)</v>
      </c>
      <c r="W1593" s="69" t="s">
        <v>4121</v>
      </c>
      <c r="X1593" s="17" t="str">
        <f t="shared" si="842"/>
        <v>d.mapea.109</v>
      </c>
      <c r="Y1593" s="17" t="str">
        <f t="shared" si="843"/>
        <v>Ação de mapear</v>
      </c>
      <c r="Z1593" s="62" t="s">
        <v>4069</v>
      </c>
      <c r="AA1593" s="18" t="str">
        <f t="shared" si="848"/>
        <v>null</v>
      </c>
      <c r="AB1593" s="19" t="s">
        <v>0</v>
      </c>
      <c r="AC1593" s="18" t="str">
        <f t="shared" si="849"/>
        <v>null</v>
      </c>
      <c r="AD1593" s="19" t="s">
        <v>0</v>
      </c>
      <c r="AE1593" s="18" t="str">
        <f t="shared" si="850"/>
        <v>null</v>
      </c>
      <c r="AF1593" s="75" t="s">
        <v>0</v>
      </c>
      <c r="AG1593" s="38" t="s">
        <v>8761</v>
      </c>
    </row>
    <row r="1594" spans="1:33" ht="6" customHeight="1" x14ac:dyDescent="0.4">
      <c r="A1594" s="4">
        <f>ROW()</f>
        <v>1594</v>
      </c>
      <c r="B1594" s="9" t="s">
        <v>27</v>
      </c>
      <c r="C1594" s="44" t="str">
        <f t="shared" si="846"/>
        <v>p.mapear</v>
      </c>
      <c r="D1594" s="6" t="str">
        <f t="shared" si="847"/>
        <v>é.risco.biológico</v>
      </c>
      <c r="E1594" s="8" t="s">
        <v>28</v>
      </c>
      <c r="F1594" s="34" t="s">
        <v>2203</v>
      </c>
      <c r="G1594" s="14" t="s">
        <v>4048</v>
      </c>
      <c r="H1594" s="33" t="s">
        <v>1581</v>
      </c>
      <c r="I1594" s="92" t="str">
        <f t="shared" si="845"/>
        <v>null</v>
      </c>
      <c r="J1594" s="82" t="s">
        <v>0</v>
      </c>
      <c r="K1594" s="82" t="s">
        <v>0</v>
      </c>
      <c r="L1594" s="82" t="s">
        <v>0</v>
      </c>
      <c r="M1594" s="82" t="s">
        <v>0</v>
      </c>
      <c r="N1594" s="80" t="s">
        <v>0</v>
      </c>
      <c r="O1594" s="82" t="s">
        <v>0</v>
      </c>
      <c r="P1594" s="82" t="s">
        <v>0</v>
      </c>
      <c r="Q1594" s="82" t="s">
        <v>0</v>
      </c>
      <c r="R1594" s="84" t="s">
        <v>0</v>
      </c>
      <c r="S1594" s="10" t="s">
        <v>1</v>
      </c>
      <c r="T1594" s="10" t="s">
        <v>10221</v>
      </c>
      <c r="U1594" s="5" t="str">
        <f t="shared" si="837"/>
        <v>Propriedade destinada a mapear: é.risco.biológico</v>
      </c>
      <c r="V1594" s="5" t="str">
        <f t="shared" si="838"/>
        <v>Dado para mapear:  risco.biológico  Deve ser formatado como (rdfs:Literal  or  xsd:string)</v>
      </c>
      <c r="W1594" s="69" t="s">
        <v>4123</v>
      </c>
      <c r="X1594" s="17" t="str">
        <f t="shared" si="842"/>
        <v>d.mapea.110</v>
      </c>
      <c r="Y1594" s="17" t="str">
        <f t="shared" si="843"/>
        <v>Ação de mapear</v>
      </c>
      <c r="Z1594" s="62" t="s">
        <v>4070</v>
      </c>
      <c r="AA1594" s="18" t="str">
        <f t="shared" si="848"/>
        <v>null</v>
      </c>
      <c r="AB1594" s="19" t="s">
        <v>0</v>
      </c>
      <c r="AC1594" s="18" t="str">
        <f t="shared" si="849"/>
        <v>null</v>
      </c>
      <c r="AD1594" s="19" t="s">
        <v>0</v>
      </c>
      <c r="AE1594" s="18" t="str">
        <f t="shared" si="850"/>
        <v>null</v>
      </c>
      <c r="AF1594" s="75" t="s">
        <v>0</v>
      </c>
      <c r="AG1594" s="38" t="s">
        <v>8762</v>
      </c>
    </row>
    <row r="1595" spans="1:33" ht="6" customHeight="1" x14ac:dyDescent="0.4">
      <c r="A1595" s="4">
        <f>ROW()</f>
        <v>1595</v>
      </c>
      <c r="B1595" s="9" t="s">
        <v>27</v>
      </c>
      <c r="C1595" s="44" t="str">
        <f t="shared" si="846"/>
        <v>p.mapear</v>
      </c>
      <c r="D1595" s="6" t="str">
        <f t="shared" si="847"/>
        <v>é.risco.cibernético</v>
      </c>
      <c r="E1595" s="8" t="s">
        <v>28</v>
      </c>
      <c r="F1595" s="34" t="s">
        <v>2203</v>
      </c>
      <c r="G1595" s="14" t="s">
        <v>4075</v>
      </c>
      <c r="H1595" s="33" t="s">
        <v>1581</v>
      </c>
      <c r="I1595" s="92" t="str">
        <f t="shared" si="845"/>
        <v>null</v>
      </c>
      <c r="J1595" s="82" t="s">
        <v>0</v>
      </c>
      <c r="K1595" s="82" t="s">
        <v>0</v>
      </c>
      <c r="L1595" s="82" t="s">
        <v>0</v>
      </c>
      <c r="M1595" s="82" t="s">
        <v>0</v>
      </c>
      <c r="N1595" s="80" t="s">
        <v>0</v>
      </c>
      <c r="O1595" s="82" t="s">
        <v>0</v>
      </c>
      <c r="P1595" s="82" t="s">
        <v>0</v>
      </c>
      <c r="Q1595" s="82" t="s">
        <v>0</v>
      </c>
      <c r="R1595" s="84" t="s">
        <v>0</v>
      </c>
      <c r="S1595" s="10" t="s">
        <v>1</v>
      </c>
      <c r="T1595" s="10" t="s">
        <v>10221</v>
      </c>
      <c r="U1595" s="5" t="str">
        <f t="shared" si="837"/>
        <v>Propriedade destinada a mapear: é.risco.cibernético</v>
      </c>
      <c r="V1595" s="5" t="str">
        <f t="shared" si="838"/>
        <v>Dado para mapear:  risco.cibernético  Deve ser formatado como (rdfs:Literal  or  xsd:string)</v>
      </c>
      <c r="W1595" s="69" t="s">
        <v>4076</v>
      </c>
      <c r="X1595" s="17" t="str">
        <f t="shared" si="842"/>
        <v>d.mapea.111</v>
      </c>
      <c r="Y1595" s="17" t="str">
        <f t="shared" si="843"/>
        <v>Ação de mapear</v>
      </c>
      <c r="Z1595" s="62" t="s">
        <v>4077</v>
      </c>
      <c r="AA1595" s="18" t="str">
        <f t="shared" si="848"/>
        <v>null</v>
      </c>
      <c r="AB1595" s="19" t="s">
        <v>0</v>
      </c>
      <c r="AC1595" s="18" t="str">
        <f t="shared" si="849"/>
        <v>null</v>
      </c>
      <c r="AD1595" s="19" t="s">
        <v>0</v>
      </c>
      <c r="AE1595" s="18" t="str">
        <f t="shared" si="850"/>
        <v>null</v>
      </c>
      <c r="AF1595" s="75" t="s">
        <v>0</v>
      </c>
      <c r="AG1595" s="38" t="s">
        <v>8763</v>
      </c>
    </row>
    <row r="1596" spans="1:33" ht="6" customHeight="1" x14ac:dyDescent="0.4">
      <c r="A1596" s="4">
        <f>ROW()</f>
        <v>1596</v>
      </c>
      <c r="B1596" s="9" t="s">
        <v>27</v>
      </c>
      <c r="C1596" s="44" t="str">
        <f t="shared" si="846"/>
        <v>p.mapear</v>
      </c>
      <c r="D1596" s="6" t="str">
        <f t="shared" si="847"/>
        <v>é.risco.ergonômico</v>
      </c>
      <c r="E1596" s="8" t="s">
        <v>28</v>
      </c>
      <c r="F1596" s="34" t="s">
        <v>2203</v>
      </c>
      <c r="G1596" s="14" t="s">
        <v>4051</v>
      </c>
      <c r="H1596" s="33" t="s">
        <v>1581</v>
      </c>
      <c r="I1596" s="92" t="str">
        <f t="shared" si="845"/>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7"/>
        <v>Propriedade destinada a mapear: é.risco.ergonômico</v>
      </c>
      <c r="V1596" s="5" t="str">
        <f t="shared" si="838"/>
        <v>Dado para mapear:  risco.ergonômico  Deve ser formatado como (rdfs:Literal  or  xsd:string)</v>
      </c>
      <c r="W1596" s="69" t="s">
        <v>4120</v>
      </c>
      <c r="X1596" s="17" t="str">
        <f t="shared" si="842"/>
        <v>d.mapea.112</v>
      </c>
      <c r="Y1596" s="17" t="str">
        <f t="shared" si="843"/>
        <v>Ação de mapear</v>
      </c>
      <c r="Z1596" s="62" t="s">
        <v>4071</v>
      </c>
      <c r="AA1596" s="18" t="str">
        <f t="shared" si="848"/>
        <v>null</v>
      </c>
      <c r="AB1596" s="19" t="s">
        <v>0</v>
      </c>
      <c r="AC1596" s="18" t="str">
        <f t="shared" si="849"/>
        <v>null</v>
      </c>
      <c r="AD1596" s="19" t="s">
        <v>0</v>
      </c>
      <c r="AE1596" s="18" t="str">
        <f t="shared" si="850"/>
        <v>null</v>
      </c>
      <c r="AF1596" s="75" t="s">
        <v>0</v>
      </c>
      <c r="AG1596" s="38" t="s">
        <v>8764</v>
      </c>
    </row>
    <row r="1597" spans="1:33" ht="6" customHeight="1" x14ac:dyDescent="0.4">
      <c r="A1597" s="4">
        <f>ROW()</f>
        <v>1597</v>
      </c>
      <c r="B1597" s="9" t="s">
        <v>27</v>
      </c>
      <c r="C1597" s="44" t="str">
        <f t="shared" si="846"/>
        <v>p.mapear</v>
      </c>
      <c r="D1597" s="6" t="str">
        <f t="shared" si="847"/>
        <v>é.risco.físico</v>
      </c>
      <c r="E1597" s="8" t="s">
        <v>28</v>
      </c>
      <c r="F1597" s="34" t="s">
        <v>2203</v>
      </c>
      <c r="G1597" s="14" t="s">
        <v>4049</v>
      </c>
      <c r="H1597" s="33" t="s">
        <v>1581</v>
      </c>
      <c r="I1597" s="92" t="str">
        <f t="shared" si="845"/>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7"/>
        <v>Propriedade destinada a mapear: é.risco.físico</v>
      </c>
      <c r="V1597" s="5" t="str">
        <f t="shared" si="838"/>
        <v>Dado para mapear:  risco.físico  Deve ser formatado como (rdfs:Literal  or  xsd:string)</v>
      </c>
      <c r="W1597" s="69" t="s">
        <v>4053</v>
      </c>
      <c r="X1597" s="17" t="str">
        <f t="shared" si="842"/>
        <v>d.mapea.113</v>
      </c>
      <c r="Y1597" s="17" t="str">
        <f t="shared" si="843"/>
        <v>Ação de mapear</v>
      </c>
      <c r="Z1597" s="62" t="s">
        <v>4072</v>
      </c>
      <c r="AA1597" s="18" t="str">
        <f t="shared" si="848"/>
        <v>null</v>
      </c>
      <c r="AB1597" s="19" t="s">
        <v>0</v>
      </c>
      <c r="AC1597" s="18" t="str">
        <f t="shared" si="849"/>
        <v>null</v>
      </c>
      <c r="AD1597" s="19" t="s">
        <v>0</v>
      </c>
      <c r="AE1597" s="18" t="str">
        <f t="shared" si="850"/>
        <v>null</v>
      </c>
      <c r="AF1597" s="75" t="s">
        <v>0</v>
      </c>
      <c r="AG1597" s="38" t="s">
        <v>8765</v>
      </c>
    </row>
    <row r="1598" spans="1:33" ht="6" customHeight="1" x14ac:dyDescent="0.4">
      <c r="A1598" s="4">
        <f>ROW()</f>
        <v>1598</v>
      </c>
      <c r="B1598" s="9" t="s">
        <v>27</v>
      </c>
      <c r="C1598" s="44" t="str">
        <f t="shared" si="846"/>
        <v>p.mapear</v>
      </c>
      <c r="D1598" s="6" t="str">
        <f t="shared" si="847"/>
        <v>é.risco.químico</v>
      </c>
      <c r="E1598" s="8" t="s">
        <v>28</v>
      </c>
      <c r="F1598" s="34" t="s">
        <v>2203</v>
      </c>
      <c r="G1598" s="14" t="s">
        <v>4050</v>
      </c>
      <c r="H1598" s="33" t="s">
        <v>1581</v>
      </c>
      <c r="I1598" s="92" t="str">
        <f t="shared" si="845"/>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7"/>
        <v>Propriedade destinada a mapear: é.risco.químico</v>
      </c>
      <c r="V1598" s="5" t="str">
        <f t="shared" si="838"/>
        <v>Dado para mapear:  risco.químico  Deve ser formatado como (rdfs:Literal  or  xsd:string)</v>
      </c>
      <c r="W1598" s="69" t="s">
        <v>4054</v>
      </c>
      <c r="X1598" s="17" t="str">
        <f t="shared" si="842"/>
        <v>d.mapea.114</v>
      </c>
      <c r="Y1598" s="17" t="str">
        <f t="shared" si="843"/>
        <v>Ação de mapear</v>
      </c>
      <c r="Z1598" s="62" t="s">
        <v>4073</v>
      </c>
      <c r="AA1598" s="18" t="str">
        <f t="shared" si="848"/>
        <v>null</v>
      </c>
      <c r="AB1598" s="19" t="s">
        <v>0</v>
      </c>
      <c r="AC1598" s="18" t="str">
        <f t="shared" si="849"/>
        <v>null</v>
      </c>
      <c r="AD1598" s="19" t="s">
        <v>0</v>
      </c>
      <c r="AE1598" s="18" t="str">
        <f t="shared" si="850"/>
        <v>null</v>
      </c>
      <c r="AF1598" s="75" t="s">
        <v>0</v>
      </c>
      <c r="AG1598" s="38" t="s">
        <v>8766</v>
      </c>
    </row>
    <row r="1599" spans="1:33" ht="6" customHeight="1" x14ac:dyDescent="0.4">
      <c r="A1599" s="4">
        <f>ROW()</f>
        <v>1599</v>
      </c>
      <c r="B1599" s="9" t="s">
        <v>27</v>
      </c>
      <c r="C1599" s="43" t="str">
        <f t="shared" si="827"/>
        <v>p.materializar</v>
      </c>
      <c r="D1599" s="6" t="str">
        <f t="shared" si="828"/>
        <v>é.material</v>
      </c>
      <c r="E1599" s="8" t="s">
        <v>28</v>
      </c>
      <c r="F1599" s="41" t="s">
        <v>2204</v>
      </c>
      <c r="G1599" s="13" t="s">
        <v>2650</v>
      </c>
      <c r="H1599" s="34" t="s">
        <v>1581</v>
      </c>
      <c r="I1599" s="92" t="str">
        <f t="shared" si="845"/>
        <v>null</v>
      </c>
      <c r="J1599" s="80" t="s">
        <v>0</v>
      </c>
      <c r="K1599" s="80" t="s">
        <v>0</v>
      </c>
      <c r="L1599" s="80" t="s">
        <v>0</v>
      </c>
      <c r="M1599" s="80" t="s">
        <v>0</v>
      </c>
      <c r="N1599" s="80" t="s">
        <v>0</v>
      </c>
      <c r="O1599" s="80" t="s">
        <v>0</v>
      </c>
      <c r="P1599" s="80" t="s">
        <v>0</v>
      </c>
      <c r="Q1599" s="80" t="s">
        <v>0</v>
      </c>
      <c r="R1599" s="84" t="s">
        <v>0</v>
      </c>
      <c r="S1599" s="10" t="s">
        <v>1</v>
      </c>
      <c r="T1599" s="10" t="s">
        <v>10221</v>
      </c>
      <c r="U1599" s="5" t="str">
        <f t="shared" si="837"/>
        <v>Propriedade destinada a materializar: é.material</v>
      </c>
      <c r="V1599" s="5" t="str">
        <f t="shared" si="838"/>
        <v>Dado para materializar:  material  Deve ser formatado como (rdfs:Literal  or  xsd:string)</v>
      </c>
      <c r="W1599" s="69" t="s">
        <v>5837</v>
      </c>
      <c r="X1599" s="17" t="str">
        <f t="shared" si="842"/>
        <v>d.mater.100</v>
      </c>
      <c r="Y1599" s="17" t="str">
        <f t="shared" si="843"/>
        <v>Ação de materializar</v>
      </c>
      <c r="Z1599" s="62" t="s">
        <v>2349</v>
      </c>
      <c r="AA1599" s="18" t="str">
        <f t="shared" si="839"/>
        <v>null</v>
      </c>
      <c r="AB1599" s="19" t="s">
        <v>0</v>
      </c>
      <c r="AC1599" s="18" t="str">
        <f t="shared" si="840"/>
        <v>null</v>
      </c>
      <c r="AD1599" s="19" t="s">
        <v>0</v>
      </c>
      <c r="AE1599" s="18" t="str">
        <f t="shared" si="833"/>
        <v>null</v>
      </c>
      <c r="AF1599" s="75" t="s">
        <v>0</v>
      </c>
      <c r="AG1599" s="38" t="s">
        <v>8767</v>
      </c>
    </row>
    <row r="1600" spans="1:33" ht="6" customHeight="1" x14ac:dyDescent="0.4">
      <c r="A1600" s="4">
        <f>ROW()</f>
        <v>1600</v>
      </c>
      <c r="B1600" s="9" t="s">
        <v>27</v>
      </c>
      <c r="C1600" s="44" t="str">
        <f t="shared" si="827"/>
        <v>p.materializar</v>
      </c>
      <c r="D1600" s="6" t="str">
        <f t="shared" si="828"/>
        <v>é.concretagem</v>
      </c>
      <c r="E1600" s="8" t="s">
        <v>28</v>
      </c>
      <c r="F1600" s="34" t="str">
        <f>F1599</f>
        <v>d.materializar</v>
      </c>
      <c r="G1600" s="13" t="s">
        <v>236</v>
      </c>
      <c r="H1600" s="34" t="s">
        <v>1581</v>
      </c>
      <c r="I1600" s="92" t="str">
        <f t="shared" si="845"/>
        <v>null</v>
      </c>
      <c r="J1600" s="80" t="s">
        <v>0</v>
      </c>
      <c r="K1600" s="80" t="s">
        <v>0</v>
      </c>
      <c r="L1600" s="80" t="s">
        <v>0</v>
      </c>
      <c r="M1600" s="80" t="s">
        <v>0</v>
      </c>
      <c r="N1600" s="80" t="s">
        <v>0</v>
      </c>
      <c r="O1600" s="80" t="s">
        <v>0</v>
      </c>
      <c r="P1600" s="80" t="s">
        <v>0</v>
      </c>
      <c r="Q1600" s="80" t="s">
        <v>0</v>
      </c>
      <c r="R1600" s="84" t="s">
        <v>0</v>
      </c>
      <c r="S1600" s="10" t="s">
        <v>1</v>
      </c>
      <c r="T1600" s="10" t="s">
        <v>10221</v>
      </c>
      <c r="U1600" s="5" t="str">
        <f t="shared" si="837"/>
        <v>Propriedade destinada a materializar: é.concretagem</v>
      </c>
      <c r="V1600" s="5" t="str">
        <f t="shared" si="838"/>
        <v>Dado para materializar:  concretagem  Deve ser formatado como (rdfs:Literal  or  xsd:string)</v>
      </c>
      <c r="W1600" s="69" t="s">
        <v>5838</v>
      </c>
      <c r="X1600" s="17" t="str">
        <f t="shared" si="842"/>
        <v>d.mater.101</v>
      </c>
      <c r="Y1600" s="17" t="str">
        <f t="shared" si="843"/>
        <v>Ação de materializar</v>
      </c>
      <c r="Z1600" s="62" t="s">
        <v>4668</v>
      </c>
      <c r="AA1600" s="18" t="str">
        <f t="shared" si="839"/>
        <v>null</v>
      </c>
      <c r="AB1600" s="19" t="s">
        <v>0</v>
      </c>
      <c r="AC1600" s="18" t="str">
        <f t="shared" si="840"/>
        <v>null</v>
      </c>
      <c r="AD1600" s="19" t="s">
        <v>0</v>
      </c>
      <c r="AE1600" s="18" t="str">
        <f t="shared" si="833"/>
        <v>null</v>
      </c>
      <c r="AF1600" s="75" t="s">
        <v>0</v>
      </c>
      <c r="AG1600" s="38" t="s">
        <v>8768</v>
      </c>
    </row>
    <row r="1601" spans="1:33" ht="6" customHeight="1" x14ac:dyDescent="0.4">
      <c r="A1601" s="4">
        <f>ROW()</f>
        <v>1601</v>
      </c>
      <c r="B1601" s="9" t="s">
        <v>27</v>
      </c>
      <c r="C1601" s="44" t="str">
        <f t="shared" si="827"/>
        <v>p.materializar</v>
      </c>
      <c r="D1601" s="6" t="str">
        <f t="shared" si="828"/>
        <v>é.liga.de.aço</v>
      </c>
      <c r="E1601" s="8" t="s">
        <v>28</v>
      </c>
      <c r="F1601" s="34" t="str">
        <f>F1600</f>
        <v>d.materializar</v>
      </c>
      <c r="G1601" s="13" t="s">
        <v>1169</v>
      </c>
      <c r="H1601" s="34" t="s">
        <v>1581</v>
      </c>
      <c r="I1601" s="92" t="str">
        <f t="shared" si="845"/>
        <v>null</v>
      </c>
      <c r="J1601" s="80" t="s">
        <v>0</v>
      </c>
      <c r="K1601" s="80" t="s">
        <v>0</v>
      </c>
      <c r="L1601" s="80" t="s">
        <v>0</v>
      </c>
      <c r="M1601" s="80" t="s">
        <v>0</v>
      </c>
      <c r="N1601" s="80" t="s">
        <v>0</v>
      </c>
      <c r="O1601" s="80" t="s">
        <v>0</v>
      </c>
      <c r="P1601" s="80" t="s">
        <v>0</v>
      </c>
      <c r="Q1601" s="80" t="s">
        <v>0</v>
      </c>
      <c r="R1601" s="84" t="s">
        <v>0</v>
      </c>
      <c r="S1601" s="10" t="s">
        <v>1</v>
      </c>
      <c r="T1601" s="10" t="s">
        <v>10221</v>
      </c>
      <c r="U1601" s="5" t="str">
        <f t="shared" si="837"/>
        <v>Propriedade destinada a materializar: é.liga.de.aço</v>
      </c>
      <c r="V1601" s="5" t="str">
        <f t="shared" si="838"/>
        <v>Dado para materializar:  liga.de.aço  Deve ser formatado como (rdfs:Literal  or  xsd:string)</v>
      </c>
      <c r="W1601" s="69" t="s">
        <v>5839</v>
      </c>
      <c r="X1601" s="17" t="str">
        <f t="shared" si="842"/>
        <v>d.mater.102</v>
      </c>
      <c r="Y1601" s="17" t="str">
        <f t="shared" si="843"/>
        <v>Ação de materializar</v>
      </c>
      <c r="Z1601" s="62" t="s">
        <v>4669</v>
      </c>
      <c r="AA1601" s="18" t="str">
        <f t="shared" si="839"/>
        <v>null</v>
      </c>
      <c r="AB1601" s="19" t="s">
        <v>0</v>
      </c>
      <c r="AC1601" s="18" t="str">
        <f t="shared" si="840"/>
        <v>null</v>
      </c>
      <c r="AD1601" s="19" t="s">
        <v>0</v>
      </c>
      <c r="AE1601" s="18" t="str">
        <f t="shared" si="833"/>
        <v>null</v>
      </c>
      <c r="AF1601" s="75" t="s">
        <v>0</v>
      </c>
      <c r="AG1601" s="38" t="s">
        <v>8769</v>
      </c>
    </row>
    <row r="1602" spans="1:33" ht="6" customHeight="1" x14ac:dyDescent="0.4">
      <c r="A1602" s="4">
        <f>ROW()</f>
        <v>1602</v>
      </c>
      <c r="B1602" s="9" t="s">
        <v>27</v>
      </c>
      <c r="C1602" s="43" t="str">
        <f t="shared" si="827"/>
        <v>p.medir</v>
      </c>
      <c r="D1602" s="6" t="str">
        <f t="shared" si="828"/>
        <v>é.poluente.ambiental</v>
      </c>
      <c r="E1602" s="8" t="s">
        <v>28</v>
      </c>
      <c r="F1602" s="41" t="s">
        <v>10269</v>
      </c>
      <c r="G1602" s="13" t="s">
        <v>10272</v>
      </c>
      <c r="H1602" s="34" t="s">
        <v>35</v>
      </c>
      <c r="I1602" s="92" t="str">
        <f t="shared" si="845"/>
        <v>null</v>
      </c>
      <c r="J1602" s="80" t="s">
        <v>0</v>
      </c>
      <c r="K1602" s="80" t="s">
        <v>0</v>
      </c>
      <c r="L1602" s="80" t="s">
        <v>0</v>
      </c>
      <c r="M1602" s="80" t="s">
        <v>0</v>
      </c>
      <c r="N1602" s="80" t="s">
        <v>0</v>
      </c>
      <c r="O1602" s="80" t="s">
        <v>0</v>
      </c>
      <c r="P1602" s="80" t="s">
        <v>0</v>
      </c>
      <c r="Q1602" s="80" t="s">
        <v>0</v>
      </c>
      <c r="R1602" s="84" t="s">
        <v>0</v>
      </c>
      <c r="S1602" s="10" t="s">
        <v>1</v>
      </c>
      <c r="T1602" s="10" t="s">
        <v>10221</v>
      </c>
      <c r="U1602" s="5" t="str">
        <f t="shared" si="837"/>
        <v>Propriedade destinada a medir: é.poluente.ambiental</v>
      </c>
      <c r="V1602" s="5" t="str">
        <f t="shared" si="838"/>
        <v>Dado para medir:  poluente.ambiental  Deve ser formatado como (xsd:double)</v>
      </c>
      <c r="W1602" s="69" t="s">
        <v>10275</v>
      </c>
      <c r="X1602" s="17" t="str">
        <f t="shared" si="842"/>
        <v>d.medir.100</v>
      </c>
      <c r="Y1602" s="17" t="str">
        <f t="shared" si="843"/>
        <v>Ação de medir</v>
      </c>
      <c r="Z1602" s="62" t="s">
        <v>10277</v>
      </c>
      <c r="AA1602" s="18" t="str">
        <f t="shared" si="839"/>
        <v>null</v>
      </c>
      <c r="AB1602" s="19" t="s">
        <v>0</v>
      </c>
      <c r="AC1602" s="18" t="str">
        <f t="shared" si="840"/>
        <v>null</v>
      </c>
      <c r="AD1602" s="19" t="s">
        <v>0</v>
      </c>
      <c r="AE1602" s="18" t="str">
        <f t="shared" si="833"/>
        <v>null</v>
      </c>
      <c r="AF1602" s="75" t="s">
        <v>0</v>
      </c>
      <c r="AG1602" s="38" t="s">
        <v>10280</v>
      </c>
    </row>
    <row r="1603" spans="1:33" ht="6" customHeight="1" x14ac:dyDescent="0.4">
      <c r="A1603" s="4">
        <f>ROW()</f>
        <v>1603</v>
      </c>
      <c r="B1603" s="9" t="s">
        <v>27</v>
      </c>
      <c r="C1603" s="44" t="str">
        <f t="shared" si="827"/>
        <v>p.medir</v>
      </c>
      <c r="D1603" s="6" t="str">
        <f t="shared" si="828"/>
        <v>é.poluente.de.água</v>
      </c>
      <c r="E1603" s="8" t="s">
        <v>28</v>
      </c>
      <c r="F1603" s="34" t="str">
        <f>F1602</f>
        <v>d.medir</v>
      </c>
      <c r="G1603" s="13" t="s">
        <v>10273</v>
      </c>
      <c r="H1603" s="34" t="s">
        <v>35</v>
      </c>
      <c r="I1603" s="92" t="str">
        <f t="shared" si="845"/>
        <v>null</v>
      </c>
      <c r="J1603" s="80" t="s">
        <v>0</v>
      </c>
      <c r="K1603" s="80" t="s">
        <v>0</v>
      </c>
      <c r="L1603" s="80" t="s">
        <v>0</v>
      </c>
      <c r="M1603" s="80" t="s">
        <v>0</v>
      </c>
      <c r="N1603" s="80" t="s">
        <v>0</v>
      </c>
      <c r="O1603" s="80" t="s">
        <v>0</v>
      </c>
      <c r="P1603" s="80" t="s">
        <v>0</v>
      </c>
      <c r="Q1603" s="80" t="s">
        <v>0</v>
      </c>
      <c r="R1603" s="84" t="s">
        <v>0</v>
      </c>
      <c r="S1603" s="10" t="s">
        <v>1</v>
      </c>
      <c r="T1603" s="10" t="s">
        <v>10221</v>
      </c>
      <c r="U1603" s="5" t="str">
        <f t="shared" si="837"/>
        <v>Propriedade destinada a medir: é.poluente.de.água</v>
      </c>
      <c r="V1603" s="5" t="str">
        <f t="shared" si="838"/>
        <v>Dado para medir:  poluente.de.água  Deve ser formatado como (xsd:double)</v>
      </c>
      <c r="W1603" s="69" t="s">
        <v>10274</v>
      </c>
      <c r="X1603" s="17" t="str">
        <f t="shared" ref="X1603:X1666" si="853">IF(F1602&lt;&gt;F1603,_xlfn.CONCAT(RIGHT(LEFT(F1603,7),7),".100"),_xlfn.CONCAT(RIGHT(LEFT(F1603,7),7),".",SUM(VALUE(RIGHT(X1602,3)),1)))</f>
        <v>d.medir.101</v>
      </c>
      <c r="Y1603" s="17" t="str">
        <f t="shared" ref="Y1603:Y1666" si="854">_xlfn.CONCAT("Ação de ", SUBSTITUTE(F1603, "d.",  ""))</f>
        <v>Ação de medir</v>
      </c>
      <c r="Z1603" s="62" t="s">
        <v>10279</v>
      </c>
      <c r="AA1603" s="18" t="str">
        <f t="shared" si="839"/>
        <v>null</v>
      </c>
      <c r="AB1603" s="19" t="s">
        <v>0</v>
      </c>
      <c r="AC1603" s="18" t="str">
        <f t="shared" si="840"/>
        <v>null</v>
      </c>
      <c r="AD1603" s="19" t="s">
        <v>0</v>
      </c>
      <c r="AE1603" s="18" t="str">
        <f t="shared" si="833"/>
        <v>null</v>
      </c>
      <c r="AF1603" s="75" t="s">
        <v>0</v>
      </c>
      <c r="AG1603" s="38" t="s">
        <v>10281</v>
      </c>
    </row>
    <row r="1604" spans="1:33" ht="6" customHeight="1" x14ac:dyDescent="0.4">
      <c r="A1604" s="4">
        <f>ROW()</f>
        <v>1604</v>
      </c>
      <c r="B1604" s="9" t="s">
        <v>27</v>
      </c>
      <c r="C1604" s="44" t="str">
        <f t="shared" si="827"/>
        <v>p.medir</v>
      </c>
      <c r="D1604" s="6" t="str">
        <f t="shared" si="828"/>
        <v>é.poluente.de.ar</v>
      </c>
      <c r="E1604" s="8" t="s">
        <v>28</v>
      </c>
      <c r="F1604" s="34" t="str">
        <f t="shared" ref="F1604:F1610" si="855">F1603</f>
        <v>d.medir</v>
      </c>
      <c r="G1604" s="13" t="s">
        <v>10270</v>
      </c>
      <c r="H1604" s="34" t="s">
        <v>35</v>
      </c>
      <c r="I1604" s="92" t="str">
        <f t="shared" si="845"/>
        <v>null</v>
      </c>
      <c r="J1604" s="80" t="s">
        <v>0</v>
      </c>
      <c r="K1604" s="80" t="s">
        <v>0</v>
      </c>
      <c r="L1604" s="80" t="s">
        <v>0</v>
      </c>
      <c r="M1604" s="80" t="s">
        <v>0</v>
      </c>
      <c r="N1604" s="80" t="s">
        <v>0</v>
      </c>
      <c r="O1604" s="80" t="s">
        <v>0</v>
      </c>
      <c r="P1604" s="80" t="s">
        <v>0</v>
      </c>
      <c r="Q1604" s="80" t="s">
        <v>0</v>
      </c>
      <c r="R1604" s="84" t="s">
        <v>0</v>
      </c>
      <c r="S1604" s="10" t="s">
        <v>1</v>
      </c>
      <c r="T1604" s="10" t="s">
        <v>10221</v>
      </c>
      <c r="U1604" s="5" t="str">
        <f t="shared" si="837"/>
        <v>Propriedade destinada a medir: é.poluente.de.ar</v>
      </c>
      <c r="V1604" s="5" t="str">
        <f t="shared" si="838"/>
        <v>Dado para medir:  poluente.de.ar  Deve ser formatado como (xsd:double)</v>
      </c>
      <c r="W1604" s="69" t="s">
        <v>10284</v>
      </c>
      <c r="X1604" s="17" t="str">
        <f t="shared" si="853"/>
        <v>d.medir.102</v>
      </c>
      <c r="Y1604" s="17" t="str">
        <f t="shared" si="854"/>
        <v>Ação de medir</v>
      </c>
      <c r="Z1604" s="62" t="s">
        <v>10285</v>
      </c>
      <c r="AA1604" s="18" t="str">
        <f t="shared" si="839"/>
        <v>null</v>
      </c>
      <c r="AB1604" s="19" t="s">
        <v>0</v>
      </c>
      <c r="AC1604" s="18" t="str">
        <f t="shared" si="840"/>
        <v>null</v>
      </c>
      <c r="AD1604" s="19" t="s">
        <v>0</v>
      </c>
      <c r="AE1604" s="18" t="str">
        <f t="shared" si="833"/>
        <v>null</v>
      </c>
      <c r="AF1604" s="75" t="s">
        <v>0</v>
      </c>
      <c r="AG1604" s="38" t="s">
        <v>10282</v>
      </c>
    </row>
    <row r="1605" spans="1:33" ht="6" customHeight="1" x14ac:dyDescent="0.4">
      <c r="A1605" s="4">
        <f>ROW()</f>
        <v>1605</v>
      </c>
      <c r="B1605" s="9" t="s">
        <v>27</v>
      </c>
      <c r="C1605" s="44" t="str">
        <f t="shared" si="827"/>
        <v>p.medir</v>
      </c>
      <c r="D1605" s="6" t="str">
        <f t="shared" si="828"/>
        <v>é.poluente.de.solo</v>
      </c>
      <c r="E1605" s="8" t="s">
        <v>28</v>
      </c>
      <c r="F1605" s="34" t="str">
        <f t="shared" si="855"/>
        <v>d.medir</v>
      </c>
      <c r="G1605" s="13" t="s">
        <v>10271</v>
      </c>
      <c r="H1605" s="34" t="s">
        <v>35</v>
      </c>
      <c r="I1605" s="92" t="str">
        <f t="shared" si="845"/>
        <v>null</v>
      </c>
      <c r="J1605" s="80" t="s">
        <v>0</v>
      </c>
      <c r="K1605" s="80" t="s">
        <v>0</v>
      </c>
      <c r="L1605" s="80" t="s">
        <v>0</v>
      </c>
      <c r="M1605" s="80" t="s">
        <v>0</v>
      </c>
      <c r="N1605" s="80" t="s">
        <v>0</v>
      </c>
      <c r="O1605" s="80" t="s">
        <v>0</v>
      </c>
      <c r="P1605" s="80" t="s">
        <v>0</v>
      </c>
      <c r="Q1605" s="80" t="s">
        <v>0</v>
      </c>
      <c r="R1605" s="84" t="s">
        <v>0</v>
      </c>
      <c r="S1605" s="10" t="s">
        <v>1</v>
      </c>
      <c r="T1605" s="10" t="s">
        <v>10221</v>
      </c>
      <c r="U1605" s="5" t="str">
        <f t="shared" si="837"/>
        <v>Propriedade destinada a medir: é.poluente.de.solo</v>
      </c>
      <c r="V1605" s="5" t="str">
        <f t="shared" si="838"/>
        <v>Dado para medir:  poluente.de.solo  Deve ser formatado como (xsd:double)</v>
      </c>
      <c r="W1605" s="69" t="s">
        <v>10276</v>
      </c>
      <c r="X1605" s="17" t="str">
        <f t="shared" si="853"/>
        <v>d.medir.103</v>
      </c>
      <c r="Y1605" s="17" t="str">
        <f t="shared" si="854"/>
        <v>Ação de medir</v>
      </c>
      <c r="Z1605" s="62" t="s">
        <v>10278</v>
      </c>
      <c r="AA1605" s="18" t="str">
        <f t="shared" si="839"/>
        <v>null</v>
      </c>
      <c r="AB1605" s="19" t="s">
        <v>0</v>
      </c>
      <c r="AC1605" s="18" t="str">
        <f t="shared" si="840"/>
        <v>null</v>
      </c>
      <c r="AD1605" s="19" t="s">
        <v>0</v>
      </c>
      <c r="AE1605" s="18" t="str">
        <f t="shared" si="833"/>
        <v>null</v>
      </c>
      <c r="AF1605" s="75" t="s">
        <v>0</v>
      </c>
      <c r="AG1605" s="38" t="s">
        <v>10283</v>
      </c>
    </row>
    <row r="1606" spans="1:33" ht="6" customHeight="1" x14ac:dyDescent="0.4">
      <c r="A1606" s="4">
        <f>ROW()</f>
        <v>1606</v>
      </c>
      <c r="B1606" s="9" t="s">
        <v>27</v>
      </c>
      <c r="C1606" s="44" t="str">
        <f t="shared" si="827"/>
        <v>p.medir</v>
      </c>
      <c r="D1606" s="6" t="str">
        <f t="shared" si="828"/>
        <v>é.ph</v>
      </c>
      <c r="E1606" s="8" t="s">
        <v>28</v>
      </c>
      <c r="F1606" s="34" t="str">
        <f t="shared" si="855"/>
        <v>d.medir</v>
      </c>
      <c r="G1606" s="13" t="s">
        <v>425</v>
      </c>
      <c r="H1606" s="34" t="s">
        <v>35</v>
      </c>
      <c r="I1606" s="92" t="str">
        <f t="shared" si="845"/>
        <v>null</v>
      </c>
      <c r="J1606" s="80" t="s">
        <v>0</v>
      </c>
      <c r="K1606" s="80" t="s">
        <v>0</v>
      </c>
      <c r="L1606" s="80" t="s">
        <v>0</v>
      </c>
      <c r="M1606" s="80" t="s">
        <v>0</v>
      </c>
      <c r="N1606" s="80" t="s">
        <v>0</v>
      </c>
      <c r="O1606" s="80" t="s">
        <v>0</v>
      </c>
      <c r="P1606" s="80" t="s">
        <v>0</v>
      </c>
      <c r="Q1606" s="80" t="s">
        <v>0</v>
      </c>
      <c r="R1606" s="84" t="s">
        <v>0</v>
      </c>
      <c r="S1606" s="10" t="s">
        <v>1</v>
      </c>
      <c r="T1606" s="10" t="s">
        <v>10221</v>
      </c>
      <c r="U1606" s="5" t="str">
        <f t="shared" si="837"/>
        <v>Propriedade destinada a medir: é.ph</v>
      </c>
      <c r="V1606" s="5" t="str">
        <f t="shared" si="838"/>
        <v>Dado para medir:  ph  Deve ser formatado como (xsd:double)</v>
      </c>
      <c r="W1606" s="69" t="s">
        <v>5234</v>
      </c>
      <c r="X1606" s="17" t="str">
        <f t="shared" si="853"/>
        <v>d.medir.104</v>
      </c>
      <c r="Y1606" s="17" t="str">
        <f t="shared" si="854"/>
        <v>Ação de medir</v>
      </c>
      <c r="Z1606" s="62" t="s">
        <v>1298</v>
      </c>
      <c r="AA1606" s="18" t="str">
        <f t="shared" si="839"/>
        <v>null</v>
      </c>
      <c r="AB1606" s="19" t="s">
        <v>0</v>
      </c>
      <c r="AC1606" s="18" t="str">
        <f t="shared" si="840"/>
        <v>null</v>
      </c>
      <c r="AD1606" s="19" t="s">
        <v>0</v>
      </c>
      <c r="AE1606" s="18" t="str">
        <f t="shared" si="833"/>
        <v>null</v>
      </c>
      <c r="AF1606" s="75" t="s">
        <v>0</v>
      </c>
      <c r="AG1606" s="38" t="s">
        <v>7897</v>
      </c>
    </row>
    <row r="1607" spans="1:33" ht="6" customHeight="1" x14ac:dyDescent="0.4">
      <c r="A1607" s="4">
        <f>ROW()</f>
        <v>1607</v>
      </c>
      <c r="B1607" s="9" t="s">
        <v>27</v>
      </c>
      <c r="C1607" s="44" t="str">
        <f t="shared" si="827"/>
        <v>p.medir</v>
      </c>
      <c r="D1607" s="6" t="str">
        <f t="shared" si="828"/>
        <v>é.alcalinidade</v>
      </c>
      <c r="E1607" s="8" t="s">
        <v>28</v>
      </c>
      <c r="F1607" s="34" t="str">
        <f t="shared" si="855"/>
        <v>d.medir</v>
      </c>
      <c r="G1607" s="13" t="s">
        <v>426</v>
      </c>
      <c r="H1607" s="34" t="s">
        <v>35</v>
      </c>
      <c r="I1607" s="92" t="str">
        <f t="shared" si="845"/>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7"/>
        <v>Propriedade destinada a medir: é.alcalinidade</v>
      </c>
      <c r="V1607" s="5" t="str">
        <f t="shared" si="838"/>
        <v>Dado para medir:  alcalinidade  Deve ser formatado como (xsd:double)</v>
      </c>
      <c r="W1607" s="69" t="s">
        <v>10287</v>
      </c>
      <c r="X1607" s="17" t="str">
        <f t="shared" si="853"/>
        <v>d.medir.105</v>
      </c>
      <c r="Y1607" s="17" t="str">
        <f t="shared" si="854"/>
        <v>Ação de medir</v>
      </c>
      <c r="Z1607" s="62" t="s">
        <v>10286</v>
      </c>
      <c r="AA1607" s="18" t="str">
        <f t="shared" si="839"/>
        <v>null</v>
      </c>
      <c r="AB1607" s="19" t="s">
        <v>0</v>
      </c>
      <c r="AC1607" s="18" t="str">
        <f t="shared" si="840"/>
        <v>null</v>
      </c>
      <c r="AD1607" s="19" t="s">
        <v>0</v>
      </c>
      <c r="AE1607" s="18" t="str">
        <f t="shared" si="833"/>
        <v>null</v>
      </c>
      <c r="AF1607" s="75" t="s">
        <v>0</v>
      </c>
      <c r="AG1607" s="38" t="s">
        <v>10288</v>
      </c>
    </row>
    <row r="1608" spans="1:33" ht="6" customHeight="1" x14ac:dyDescent="0.4">
      <c r="A1608" s="4">
        <f>ROW()</f>
        <v>1608</v>
      </c>
      <c r="B1608" s="9" t="s">
        <v>27</v>
      </c>
      <c r="C1608" s="44" t="str">
        <f t="shared" si="827"/>
        <v>p.medir</v>
      </c>
      <c r="D1608" s="6" t="str">
        <f t="shared" si="828"/>
        <v>é.potabilidade</v>
      </c>
      <c r="E1608" s="8" t="s">
        <v>28</v>
      </c>
      <c r="F1608" s="34" t="str">
        <f t="shared" si="855"/>
        <v>d.medir</v>
      </c>
      <c r="G1608" s="13" t="s">
        <v>427</v>
      </c>
      <c r="H1608" s="34" t="s">
        <v>1581</v>
      </c>
      <c r="I1608" s="92" t="str">
        <f t="shared" si="845"/>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7"/>
        <v>Propriedade destinada a medir: é.potabilidade</v>
      </c>
      <c r="V1608" s="5" t="str">
        <f t="shared" si="838"/>
        <v>Dado para medir:  potabilidade  Deve ser formatado como (rdfs:Literal  or  xsd:string)</v>
      </c>
      <c r="W1608" s="69" t="s">
        <v>10289</v>
      </c>
      <c r="X1608" s="17" t="str">
        <f t="shared" si="853"/>
        <v>d.medir.106</v>
      </c>
      <c r="Y1608" s="17" t="str">
        <f t="shared" si="854"/>
        <v>Ação de medir</v>
      </c>
      <c r="Z1608" s="62" t="s">
        <v>10766</v>
      </c>
      <c r="AA1608" s="18" t="str">
        <f t="shared" si="839"/>
        <v>null</v>
      </c>
      <c r="AB1608" s="19" t="s">
        <v>0</v>
      </c>
      <c r="AC1608" s="18" t="str">
        <f t="shared" si="840"/>
        <v>null</v>
      </c>
      <c r="AD1608" s="19" t="s">
        <v>0</v>
      </c>
      <c r="AE1608" s="18" t="str">
        <f t="shared" si="833"/>
        <v>null</v>
      </c>
      <c r="AF1608" s="75" t="s">
        <v>0</v>
      </c>
      <c r="AG1608" s="38" t="s">
        <v>10767</v>
      </c>
    </row>
    <row r="1609" spans="1:33" ht="6" customHeight="1" x14ac:dyDescent="0.4">
      <c r="A1609" s="4">
        <f>ROW()</f>
        <v>1609</v>
      </c>
      <c r="B1609" s="9" t="s">
        <v>27</v>
      </c>
      <c r="C1609" s="44" t="str">
        <f t="shared" si="827"/>
        <v>p.medir</v>
      </c>
      <c r="D1609" s="6" t="str">
        <f t="shared" si="828"/>
        <v>é.contaminante</v>
      </c>
      <c r="E1609" s="8" t="s">
        <v>28</v>
      </c>
      <c r="F1609" s="34" t="str">
        <f t="shared" si="855"/>
        <v>d.medir</v>
      </c>
      <c r="G1609" s="13" t="s">
        <v>428</v>
      </c>
      <c r="H1609" s="34" t="s">
        <v>1581</v>
      </c>
      <c r="I1609" s="92" t="str">
        <f t="shared" si="845"/>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7"/>
        <v>Propriedade destinada a medir: é.contaminante</v>
      </c>
      <c r="V1609" s="5" t="str">
        <f t="shared" si="838"/>
        <v>Dado para medir:  contaminante  Deve ser formatado como (rdfs:Literal  or  xsd:string)</v>
      </c>
      <c r="W1609" s="69" t="s">
        <v>5235</v>
      </c>
      <c r="X1609" s="17" t="str">
        <f t="shared" si="853"/>
        <v>d.medir.107</v>
      </c>
      <c r="Y1609" s="17" t="str">
        <f t="shared" si="854"/>
        <v>Ação de medir</v>
      </c>
      <c r="Z1609" s="62" t="s">
        <v>1299</v>
      </c>
      <c r="AA1609" s="18" t="str">
        <f t="shared" si="839"/>
        <v>null</v>
      </c>
      <c r="AB1609" s="19" t="s">
        <v>0</v>
      </c>
      <c r="AC1609" s="18" t="str">
        <f t="shared" si="840"/>
        <v>null</v>
      </c>
      <c r="AD1609" s="19" t="s">
        <v>0</v>
      </c>
      <c r="AE1609" s="18" t="str">
        <f t="shared" si="833"/>
        <v>null</v>
      </c>
      <c r="AF1609" s="75" t="s">
        <v>0</v>
      </c>
      <c r="AG1609" s="38" t="s">
        <v>7898</v>
      </c>
    </row>
    <row r="1610" spans="1:33" ht="6" customHeight="1" x14ac:dyDescent="0.4">
      <c r="A1610" s="4">
        <f>ROW()</f>
        <v>1610</v>
      </c>
      <c r="B1610" s="9" t="s">
        <v>27</v>
      </c>
      <c r="C1610" s="44" t="str">
        <f t="shared" si="827"/>
        <v>p.medir</v>
      </c>
      <c r="D1610" s="6" t="str">
        <f t="shared" si="828"/>
        <v>é.apto.para.consumo</v>
      </c>
      <c r="E1610" s="8" t="s">
        <v>28</v>
      </c>
      <c r="F1610" s="34" t="str">
        <f t="shared" si="855"/>
        <v>d.medir</v>
      </c>
      <c r="G1610" s="13" t="s">
        <v>578</v>
      </c>
      <c r="H1610" s="34" t="s">
        <v>1581</v>
      </c>
      <c r="I1610" s="92" t="str">
        <f t="shared" si="845"/>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7"/>
        <v>Propriedade destinada a medir: é.apto.para.consumo</v>
      </c>
      <c r="V1610" s="5" t="str">
        <f t="shared" si="838"/>
        <v>Dado para medir:  apto.para.consumo  Deve ser formatado como (rdfs:Literal  or  xsd:string)</v>
      </c>
      <c r="W1610" s="69" t="s">
        <v>5236</v>
      </c>
      <c r="X1610" s="17" t="str">
        <f t="shared" si="853"/>
        <v>d.medir.108</v>
      </c>
      <c r="Y1610" s="17" t="str">
        <f t="shared" si="854"/>
        <v>Ação de medir</v>
      </c>
      <c r="Z1610" s="62" t="s">
        <v>1300</v>
      </c>
      <c r="AA1610" s="18" t="str">
        <f t="shared" si="839"/>
        <v>null</v>
      </c>
      <c r="AB1610" s="19" t="s">
        <v>0</v>
      </c>
      <c r="AC1610" s="18" t="str">
        <f t="shared" si="840"/>
        <v>null</v>
      </c>
      <c r="AD1610" s="19" t="s">
        <v>0</v>
      </c>
      <c r="AE1610" s="18" t="str">
        <f t="shared" si="833"/>
        <v>null</v>
      </c>
      <c r="AF1610" s="75" t="s">
        <v>0</v>
      </c>
      <c r="AG1610" s="38" t="s">
        <v>7899</v>
      </c>
    </row>
    <row r="1611" spans="1:33" ht="6" customHeight="1" x14ac:dyDescent="0.4">
      <c r="A1611" s="4">
        <f>ROW()</f>
        <v>1611</v>
      </c>
      <c r="B1611" s="9" t="s">
        <v>27</v>
      </c>
      <c r="C1611" s="43" t="str">
        <f t="shared" si="827"/>
        <v>p.memorizar</v>
      </c>
      <c r="D1611" s="6" t="str">
        <f t="shared" si="828"/>
        <v>é.okf.dado</v>
      </c>
      <c r="E1611" s="8" t="s">
        <v>28</v>
      </c>
      <c r="F1611" s="41" t="s">
        <v>10868</v>
      </c>
      <c r="G1611" s="13" t="s">
        <v>10873</v>
      </c>
      <c r="H1611" s="34" t="s">
        <v>1581</v>
      </c>
      <c r="I1611" s="92" t="str">
        <f t="shared" si="845"/>
        <v>null</v>
      </c>
      <c r="J1611" s="80" t="s">
        <v>0</v>
      </c>
      <c r="K1611" s="80" t="s">
        <v>0</v>
      </c>
      <c r="L1611" s="80" t="s">
        <v>0</v>
      </c>
      <c r="M1611" s="80" t="s">
        <v>0</v>
      </c>
      <c r="N1611" s="80" t="s">
        <v>0</v>
      </c>
      <c r="O1611" s="80" t="s">
        <v>0</v>
      </c>
      <c r="P1611" s="80" t="s">
        <v>0</v>
      </c>
      <c r="Q1611" s="80" t="s">
        <v>0</v>
      </c>
      <c r="R1611" s="84" t="s">
        <v>10880</v>
      </c>
      <c r="S1611" s="10" t="s">
        <v>1</v>
      </c>
      <c r="T1611" s="10" t="s">
        <v>10221</v>
      </c>
      <c r="U1611" s="5" t="str">
        <f t="shared" si="837"/>
        <v>Propriedade destinada a memorizar: é.okf.dado</v>
      </c>
      <c r="V1611" s="5" t="str">
        <f t="shared" si="838"/>
        <v>Dado para memorizar:  okf.dado  Deve ser formatado como (rdfs:Literal  or  xsd:string)</v>
      </c>
      <c r="W1611" s="38" t="s">
        <v>10874</v>
      </c>
      <c r="X1611" s="17" t="str">
        <f t="shared" si="853"/>
        <v>d.memor.100</v>
      </c>
      <c r="Y1611" s="17" t="str">
        <f t="shared" si="854"/>
        <v>Ação de memorizar</v>
      </c>
      <c r="Z1611" s="62" t="str">
        <f>_xlfn.TRANSLATE(W1611,"pt","es")</f>
        <v>Indica un dato que debe memorizarse.</v>
      </c>
      <c r="AA1611" s="18" t="s">
        <v>0</v>
      </c>
      <c r="AB1611" s="19" t="s">
        <v>0</v>
      </c>
      <c r="AC1611" s="18" t="s">
        <v>0</v>
      </c>
      <c r="AD1611" s="19" t="s">
        <v>0</v>
      </c>
      <c r="AE1611" s="18" t="str">
        <f t="shared" si="833"/>
        <v>null</v>
      </c>
      <c r="AF1611" s="75" t="s">
        <v>0</v>
      </c>
      <c r="AG1611" s="62" t="s">
        <v>11217</v>
      </c>
    </row>
    <row r="1612" spans="1:33" ht="6" customHeight="1" x14ac:dyDescent="0.4">
      <c r="A1612" s="4">
        <f>ROW()</f>
        <v>1612</v>
      </c>
      <c r="B1612" s="9" t="s">
        <v>27</v>
      </c>
      <c r="C1612" s="44" t="str">
        <f>SUBSTITUTE(F1612,"d.","p.")</f>
        <v>p.memorizar</v>
      </c>
      <c r="D1612" s="6" t="str">
        <f t="shared" si="828"/>
        <v>é.okf.resultado</v>
      </c>
      <c r="E1612" s="8" t="s">
        <v>28</v>
      </c>
      <c r="F1612" s="34" t="str">
        <f>F1611</f>
        <v>d.memorizar</v>
      </c>
      <c r="G1612" s="13" t="s">
        <v>10869</v>
      </c>
      <c r="H1612" s="34" t="s">
        <v>1581</v>
      </c>
      <c r="I1612" s="92" t="str">
        <f t="shared" si="845"/>
        <v>null</v>
      </c>
      <c r="J1612" s="80" t="s">
        <v>0</v>
      </c>
      <c r="K1612" s="80" t="s">
        <v>0</v>
      </c>
      <c r="L1612" s="80" t="s">
        <v>0</v>
      </c>
      <c r="M1612" s="80" t="s">
        <v>0</v>
      </c>
      <c r="N1612" s="80" t="s">
        <v>0</v>
      </c>
      <c r="O1612" s="80" t="s">
        <v>0</v>
      </c>
      <c r="P1612" s="80" t="s">
        <v>0</v>
      </c>
      <c r="Q1612" s="80" t="s">
        <v>0</v>
      </c>
      <c r="R1612" s="84" t="s">
        <v>10879</v>
      </c>
      <c r="S1612" s="10" t="s">
        <v>1</v>
      </c>
      <c r="T1612" s="10" t="s">
        <v>10221</v>
      </c>
      <c r="U1612" s="5" t="str">
        <f t="shared" si="837"/>
        <v>Propriedade destinada a memorizar: é.okf.resultado</v>
      </c>
      <c r="V1612" s="5" t="str">
        <f t="shared" si="838"/>
        <v>Dado para memorizar:  okf.resultado  Deve ser formatado como (rdfs:Literal  or  xsd:string)</v>
      </c>
      <c r="W1612" s="38" t="s">
        <v>10875</v>
      </c>
      <c r="X1612" s="17" t="str">
        <f t="shared" si="853"/>
        <v>d.memor.101</v>
      </c>
      <c r="Y1612" s="17" t="str">
        <f t="shared" si="854"/>
        <v>Ação de memorizar</v>
      </c>
      <c r="Z1612" s="62" t="str">
        <f>_xlfn.TRANSLATE(W1612,"pt","es")</f>
        <v>Declara un resultado que debe memorizarse.</v>
      </c>
      <c r="AA1612" s="18" t="s">
        <v>0</v>
      </c>
      <c r="AB1612" s="19" t="s">
        <v>0</v>
      </c>
      <c r="AC1612" s="18" t="s">
        <v>0</v>
      </c>
      <c r="AD1612" s="19" t="s">
        <v>0</v>
      </c>
      <c r="AE1612" s="18" t="str">
        <f t="shared" si="833"/>
        <v>null</v>
      </c>
      <c r="AF1612" s="75" t="s">
        <v>0</v>
      </c>
      <c r="AG1612" s="62" t="s">
        <v>11275</v>
      </c>
    </row>
    <row r="1613" spans="1:33" ht="6" customHeight="1" x14ac:dyDescent="0.4">
      <c r="A1613" s="4">
        <f>ROW()</f>
        <v>1613</v>
      </c>
      <c r="B1613" s="9" t="s">
        <v>27</v>
      </c>
      <c r="C1613" s="44" t="str">
        <f>SUBSTITUTE(F1613,"d.","p.")</f>
        <v>p.memorizar</v>
      </c>
      <c r="D1613" s="6" t="str">
        <f>_xlfn.CONCAT("é.",G1613)</f>
        <v>é.okf.resultado.temporário</v>
      </c>
      <c r="E1613" s="8" t="s">
        <v>28</v>
      </c>
      <c r="F1613" s="34" t="str">
        <f>F1612</f>
        <v>d.memorizar</v>
      </c>
      <c r="G1613" s="13" t="s">
        <v>10870</v>
      </c>
      <c r="H1613" s="34" t="s">
        <v>1581</v>
      </c>
      <c r="I1613" s="92" t="str">
        <f>IF(OR(J1613="Functional",K1613="InverseFunctional"),"Functional","null")</f>
        <v>null</v>
      </c>
      <c r="J1613" s="80" t="s">
        <v>0</v>
      </c>
      <c r="K1613" s="80" t="s">
        <v>0</v>
      </c>
      <c r="L1613" s="80" t="s">
        <v>0</v>
      </c>
      <c r="M1613" s="80" t="s">
        <v>0</v>
      </c>
      <c r="N1613" s="80" t="s">
        <v>0</v>
      </c>
      <c r="O1613" s="80" t="s">
        <v>0</v>
      </c>
      <c r="P1613" s="80" t="s">
        <v>0</v>
      </c>
      <c r="Q1613" s="80" t="s">
        <v>0</v>
      </c>
      <c r="R1613" s="84" t="s">
        <v>10880</v>
      </c>
      <c r="S1613" s="10" t="s">
        <v>1</v>
      </c>
      <c r="T1613" s="10" t="s">
        <v>10221</v>
      </c>
      <c r="U1613" s="5" t="str">
        <f>_xlfn.CONCAT("Propriedade destinada a ",MID(C1613,FIND("p.",C1613,1)+2,100),": ",D1613)</f>
        <v>Propriedade destinada a memorizar: é.okf.resultado.temporário</v>
      </c>
      <c r="V1613" s="5" t="str">
        <f>_xlfn.CONCAT("Dado para ",MID(F1613,FIND("d.",F1613,1)+2,100),":  ",G1613, "  Deve ser formatado como (",H1613, ")")</f>
        <v>Dado para memorizar:  okf.resultado.temporário  Deve ser formatado como (rdfs:Literal  or  xsd:string)</v>
      </c>
      <c r="W1613" s="38" t="s">
        <v>10877</v>
      </c>
      <c r="X1613" s="17" t="str">
        <f t="shared" si="853"/>
        <v>d.memor.102</v>
      </c>
      <c r="Y1613" s="17" t="str">
        <f t="shared" si="854"/>
        <v>Ação de memorizar</v>
      </c>
      <c r="Z1613" s="62" t="str">
        <f>_xlfn.TRANSLATE(W1613,"pt","es")</f>
        <v>Declara un resultado que debe memorizarse temporalmente.</v>
      </c>
      <c r="AA1613" s="18" t="s">
        <v>0</v>
      </c>
      <c r="AB1613" s="19" t="s">
        <v>0</v>
      </c>
      <c r="AC1613" s="18" t="s">
        <v>0</v>
      </c>
      <c r="AD1613" s="19" t="s">
        <v>0</v>
      </c>
      <c r="AE1613" s="18" t="str">
        <f>IF(AF1613="null", "null", "propriedade")</f>
        <v>null</v>
      </c>
      <c r="AF1613" s="75" t="s">
        <v>0</v>
      </c>
      <c r="AG1613" s="62" t="s">
        <v>11276</v>
      </c>
    </row>
    <row r="1614" spans="1:33" ht="6" customHeight="1" x14ac:dyDescent="0.4">
      <c r="A1614" s="4">
        <f>ROW()</f>
        <v>1614</v>
      </c>
      <c r="B1614" s="9" t="s">
        <v>27</v>
      </c>
      <c r="C1614" s="44" t="str">
        <f>SUBSTITUTE(F1614,"d.","p.")</f>
        <v>p.memorizar</v>
      </c>
      <c r="D1614" s="6" t="str">
        <f>_xlfn.CONCAT("é.",G1614)</f>
        <v>é.okf.resultado.permanente</v>
      </c>
      <c r="E1614" s="8" t="s">
        <v>28</v>
      </c>
      <c r="F1614" s="34" t="str">
        <f>F1613</f>
        <v>d.memorizar</v>
      </c>
      <c r="G1614" s="13" t="s">
        <v>10871</v>
      </c>
      <c r="H1614" s="34" t="s">
        <v>1581</v>
      </c>
      <c r="I1614" s="92" t="str">
        <f>IF(OR(J1614="Functional",K1614="InverseFunctional"),"Functional","null")</f>
        <v>null</v>
      </c>
      <c r="J1614" s="80" t="s">
        <v>0</v>
      </c>
      <c r="K1614" s="80" t="s">
        <v>0</v>
      </c>
      <c r="L1614" s="80" t="s">
        <v>0</v>
      </c>
      <c r="M1614" s="80" t="s">
        <v>0</v>
      </c>
      <c r="N1614" s="80" t="s">
        <v>0</v>
      </c>
      <c r="O1614" s="80" t="s">
        <v>0</v>
      </c>
      <c r="P1614" s="80" t="s">
        <v>0</v>
      </c>
      <c r="Q1614" s="80" t="s">
        <v>0</v>
      </c>
      <c r="R1614" s="84" t="s">
        <v>10880</v>
      </c>
      <c r="S1614" s="10" t="s">
        <v>1</v>
      </c>
      <c r="T1614" s="10" t="s">
        <v>10221</v>
      </c>
      <c r="U1614" s="5" t="str">
        <f>_xlfn.CONCAT("Propriedade destinada a ",MID(C1614,FIND("p.",C1614,1)+2,100),": ",D1614)</f>
        <v>Propriedade destinada a memorizar: é.okf.resultado.permanente</v>
      </c>
      <c r="V1614" s="5" t="str">
        <f>_xlfn.CONCAT("Dado para ",MID(F1614,FIND("d.",F1614,1)+2,100),":  ",G1614, "  Deve ser formatado como (",H1614, ")")</f>
        <v>Dado para memorizar:  okf.resultado.permanente  Deve ser formatado como (rdfs:Literal  or  xsd:string)</v>
      </c>
      <c r="W1614" s="38" t="s">
        <v>10876</v>
      </c>
      <c r="X1614" s="17" t="str">
        <f t="shared" si="853"/>
        <v>d.memor.103</v>
      </c>
      <c r="Y1614" s="17" t="str">
        <f t="shared" si="854"/>
        <v>Ação de memorizar</v>
      </c>
      <c r="Z1614" s="62" t="str">
        <f>_xlfn.TRANSLATE(W1614,"pt","es")</f>
        <v>Establece un resultado que debe memorizarse como algo permanente.</v>
      </c>
      <c r="AA1614" s="18" t="s">
        <v>0</v>
      </c>
      <c r="AB1614" s="19" t="s">
        <v>0</v>
      </c>
      <c r="AC1614" s="18" t="s">
        <v>0</v>
      </c>
      <c r="AD1614" s="19" t="s">
        <v>0</v>
      </c>
      <c r="AE1614" s="18" t="str">
        <f>IF(AF1614="null", "null", "propriedade")</f>
        <v>null</v>
      </c>
      <c r="AF1614" s="75" t="s">
        <v>0</v>
      </c>
      <c r="AG1614" s="62" t="s">
        <v>11218</v>
      </c>
    </row>
    <row r="1615" spans="1:33" ht="6" customHeight="1" x14ac:dyDescent="0.4">
      <c r="A1615" s="4">
        <f>ROW()</f>
        <v>1615</v>
      </c>
      <c r="B1615" s="9" t="s">
        <v>27</v>
      </c>
      <c r="C1615" s="44" t="str">
        <f>SUBSTITUTE(F1615,"d.","p.")</f>
        <v>p.memorizar</v>
      </c>
      <c r="D1615" s="6" t="str">
        <f>_xlfn.CONCAT("é.",G1615)</f>
        <v>é.okf.resultado.crítico</v>
      </c>
      <c r="E1615" s="8" t="s">
        <v>28</v>
      </c>
      <c r="F1615" s="34" t="str">
        <f>F1614</f>
        <v>d.memorizar</v>
      </c>
      <c r="G1615" s="13" t="s">
        <v>10872</v>
      </c>
      <c r="H1615" s="34" t="s">
        <v>1581</v>
      </c>
      <c r="I1615" s="93" t="str">
        <f>IF(OR(J1615="Functional",K1615="InverseFunctional"),"Functional","null")</f>
        <v>null</v>
      </c>
      <c r="J1615" s="80" t="s">
        <v>0</v>
      </c>
      <c r="K1615" s="80" t="s">
        <v>0</v>
      </c>
      <c r="L1615" s="80" t="s">
        <v>0</v>
      </c>
      <c r="M1615" s="80" t="s">
        <v>0</v>
      </c>
      <c r="N1615" s="80" t="s">
        <v>0</v>
      </c>
      <c r="O1615" s="80" t="s">
        <v>0</v>
      </c>
      <c r="P1615" s="80" t="s">
        <v>0</v>
      </c>
      <c r="Q1615" s="80" t="s">
        <v>0</v>
      </c>
      <c r="R1615" s="84" t="s">
        <v>10880</v>
      </c>
      <c r="S1615" s="10" t="s">
        <v>1</v>
      </c>
      <c r="T1615" s="10" t="s">
        <v>10221</v>
      </c>
      <c r="U1615" s="5" t="str">
        <f>_xlfn.CONCAT("Propriedade destinada a ",MID(C1615,FIND("p.",C1615,1)+2,100),": ",D1615)</f>
        <v>Propriedade destinada a memorizar: é.okf.resultado.crítico</v>
      </c>
      <c r="V1615" s="5" t="str">
        <f>_xlfn.CONCAT("Dado para ",MID(F1615,FIND("d.",F1615,1)+2,100),":  ",G1615, "  Deve ser formatado como (",H1615, ")")</f>
        <v>Dado para memorizar:  okf.resultado.crítico  Deve ser formatado como (rdfs:Literal  or  xsd:string)</v>
      </c>
      <c r="W1615" s="38" t="s">
        <v>10878</v>
      </c>
      <c r="X1615" s="17" t="str">
        <f t="shared" si="853"/>
        <v>d.memor.104</v>
      </c>
      <c r="Y1615" s="17" t="str">
        <f t="shared" si="854"/>
        <v>Ação de memorizar</v>
      </c>
      <c r="Z1615" s="62" t="str">
        <f>_xlfn.TRANSLATE(W1615,"pt","es")</f>
        <v>Establece un resultado que debe memorizarse como algo importante y crítico.</v>
      </c>
      <c r="AA1615" s="18" t="s">
        <v>0</v>
      </c>
      <c r="AB1615" s="19" t="s">
        <v>0</v>
      </c>
      <c r="AC1615" s="18" t="s">
        <v>0</v>
      </c>
      <c r="AD1615" s="19" t="s">
        <v>0</v>
      </c>
      <c r="AE1615" s="18" t="str">
        <f>IF(AF1615="null", "null", "propriedade")</f>
        <v>null</v>
      </c>
      <c r="AF1615" s="75" t="s">
        <v>0</v>
      </c>
      <c r="AG1615" s="62" t="s">
        <v>11219</v>
      </c>
    </row>
    <row r="1616" spans="1:33" ht="6" customHeight="1" x14ac:dyDescent="0.4">
      <c r="A1616" s="4">
        <f>ROW()</f>
        <v>1616</v>
      </c>
      <c r="B1616" s="9" t="s">
        <v>27</v>
      </c>
      <c r="C1616" s="43" t="str">
        <f t="shared" ref="C1616:C1620" si="856">SUBSTITUTE(F1616,"d.","p.")</f>
        <v>p.microfonar</v>
      </c>
      <c r="D1616" s="6" t="str">
        <f t="shared" si="828"/>
        <v>é.microfone</v>
      </c>
      <c r="E1616" s="8" t="s">
        <v>28</v>
      </c>
      <c r="F1616" s="41" t="s">
        <v>2487</v>
      </c>
      <c r="G1616" s="13" t="s">
        <v>2651</v>
      </c>
      <c r="H1616" s="34" t="s">
        <v>1581</v>
      </c>
      <c r="I1616" s="92" t="str">
        <f t="shared" si="845"/>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7"/>
        <v>Propriedade destinada a microfonar: é.microfone</v>
      </c>
      <c r="V1616" s="5" t="str">
        <f t="shared" si="838"/>
        <v>Dado para microfonar:  microfone  Deve ser formatado como (rdfs:Literal  or  xsd:string)</v>
      </c>
      <c r="W1616" s="69" t="s">
        <v>5840</v>
      </c>
      <c r="X1616" s="17" t="str">
        <f t="shared" si="853"/>
        <v>d.micro.100</v>
      </c>
      <c r="Y1616" s="17" t="str">
        <f t="shared" si="854"/>
        <v>Ação de microfonar</v>
      </c>
      <c r="Z1616" s="62" t="s">
        <v>3295</v>
      </c>
      <c r="AA1616" s="18" t="str">
        <f t="shared" ref="AA1616:AA1619" si="857">IF(AB1616="null", "null", "categoria.revit")</f>
        <v>null</v>
      </c>
      <c r="AB1616" s="19" t="s">
        <v>0</v>
      </c>
      <c r="AC1616" s="18" t="str">
        <f t="shared" ref="AC1616:AC1619" si="858">IF(AD1616="null", "null", "classe.ifc")</f>
        <v>null</v>
      </c>
      <c r="AD1616" s="19" t="s">
        <v>0</v>
      </c>
      <c r="AE1616" s="18" t="str">
        <f t="shared" si="833"/>
        <v>null</v>
      </c>
      <c r="AF1616" s="75" t="s">
        <v>0</v>
      </c>
      <c r="AG1616" s="38" t="s">
        <v>8770</v>
      </c>
    </row>
    <row r="1617" spans="1:33" ht="6" customHeight="1" x14ac:dyDescent="0.4">
      <c r="A1617" s="4">
        <f>ROW()</f>
        <v>1617</v>
      </c>
      <c r="B1617" s="9" t="s">
        <v>27</v>
      </c>
      <c r="C1617" s="44" t="str">
        <f t="shared" si="856"/>
        <v>p.microfonar</v>
      </c>
      <c r="D1617" s="6" t="str">
        <f t="shared" si="828"/>
        <v>é.spl</v>
      </c>
      <c r="E1617" s="8" t="s">
        <v>28</v>
      </c>
      <c r="F1617" s="34" t="str">
        <f>F1616</f>
        <v>d.microfonar</v>
      </c>
      <c r="G1617" s="13" t="s">
        <v>2488</v>
      </c>
      <c r="H1617" s="34" t="s">
        <v>35</v>
      </c>
      <c r="I1617" s="92" t="str">
        <f t="shared" si="845"/>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7"/>
        <v>Propriedade destinada a microfonar: é.spl</v>
      </c>
      <c r="V1617" s="5" t="str">
        <f t="shared" si="838"/>
        <v>Dado para microfonar:  spl  Deve ser formatado como (xsd:double)</v>
      </c>
      <c r="W1617" s="69" t="s">
        <v>5841</v>
      </c>
      <c r="X1617" s="17" t="str">
        <f t="shared" si="853"/>
        <v>d.micro.101</v>
      </c>
      <c r="Y1617" s="17" t="str">
        <f t="shared" si="854"/>
        <v>Ação de microfonar</v>
      </c>
      <c r="Z1617" s="62" t="s">
        <v>3296</v>
      </c>
      <c r="AA1617" s="18" t="str">
        <f t="shared" si="857"/>
        <v>null</v>
      </c>
      <c r="AB1617" s="19" t="s">
        <v>0</v>
      </c>
      <c r="AC1617" s="18" t="str">
        <f t="shared" si="858"/>
        <v>null</v>
      </c>
      <c r="AD1617" s="19" t="s">
        <v>0</v>
      </c>
      <c r="AE1617" s="18" t="str">
        <f t="shared" si="833"/>
        <v>null</v>
      </c>
      <c r="AF1617" s="75" t="s">
        <v>0</v>
      </c>
      <c r="AG1617" s="38" t="s">
        <v>8771</v>
      </c>
    </row>
    <row r="1618" spans="1:33" ht="6" customHeight="1" x14ac:dyDescent="0.4">
      <c r="A1618" s="4">
        <f>ROW()</f>
        <v>1618</v>
      </c>
      <c r="B1618" s="9" t="s">
        <v>27</v>
      </c>
      <c r="C1618" s="44" t="str">
        <f t="shared" si="856"/>
        <v>p.microfonar</v>
      </c>
      <c r="D1618" s="6" t="str">
        <f t="shared" si="828"/>
        <v>é.impedância</v>
      </c>
      <c r="E1618" s="8" t="s">
        <v>28</v>
      </c>
      <c r="F1618" s="34" t="str">
        <f>F1616</f>
        <v>d.microfonar</v>
      </c>
      <c r="G1618" s="13" t="s">
        <v>2489</v>
      </c>
      <c r="H1618" s="34" t="s">
        <v>35</v>
      </c>
      <c r="I1618" s="92" t="str">
        <f t="shared" si="845"/>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7"/>
        <v>Propriedade destinada a microfonar: é.impedância</v>
      </c>
      <c r="V1618" s="5" t="str">
        <f t="shared" si="838"/>
        <v>Dado para microfonar:  impedância  Deve ser formatado como (xsd:double)</v>
      </c>
      <c r="W1618" s="69" t="s">
        <v>5842</v>
      </c>
      <c r="X1618" s="17" t="str">
        <f t="shared" si="853"/>
        <v>d.micro.102</v>
      </c>
      <c r="Y1618" s="17" t="str">
        <f t="shared" si="854"/>
        <v>Ação de microfonar</v>
      </c>
      <c r="Z1618" s="62" t="s">
        <v>4753</v>
      </c>
      <c r="AA1618" s="18" t="str">
        <f t="shared" si="857"/>
        <v>null</v>
      </c>
      <c r="AB1618" s="19" t="s">
        <v>0</v>
      </c>
      <c r="AC1618" s="18" t="str">
        <f t="shared" si="858"/>
        <v>null</v>
      </c>
      <c r="AD1618" s="19" t="s">
        <v>0</v>
      </c>
      <c r="AE1618" s="18" t="str">
        <f t="shared" si="833"/>
        <v>null</v>
      </c>
      <c r="AF1618" s="75" t="s">
        <v>0</v>
      </c>
      <c r="AG1618" s="38" t="s">
        <v>8772</v>
      </c>
    </row>
    <row r="1619" spans="1:33" ht="6" customHeight="1" x14ac:dyDescent="0.4">
      <c r="A1619" s="4">
        <f>ROW()</f>
        <v>1619</v>
      </c>
      <c r="B1619" s="9" t="s">
        <v>27</v>
      </c>
      <c r="C1619" s="44" t="str">
        <f t="shared" si="856"/>
        <v>p.microfonar</v>
      </c>
      <c r="D1619" s="6" t="str">
        <f t="shared" si="828"/>
        <v>é.microfone.tipo</v>
      </c>
      <c r="E1619" s="8" t="s">
        <v>28</v>
      </c>
      <c r="F1619" s="34" t="str">
        <f>F1617</f>
        <v>d.microfonar</v>
      </c>
      <c r="G1619" s="13" t="s">
        <v>2490</v>
      </c>
      <c r="H1619" s="34" t="s">
        <v>1581</v>
      </c>
      <c r="I1619" s="92" t="str">
        <f t="shared" si="845"/>
        <v>null</v>
      </c>
      <c r="J1619" s="80" t="s">
        <v>0</v>
      </c>
      <c r="K1619" s="80" t="s">
        <v>0</v>
      </c>
      <c r="L1619" s="80" t="s">
        <v>0</v>
      </c>
      <c r="M1619" s="80" t="s">
        <v>0</v>
      </c>
      <c r="N1619" s="80" t="s">
        <v>0</v>
      </c>
      <c r="O1619" s="80" t="s">
        <v>0</v>
      </c>
      <c r="P1619" s="80" t="s">
        <v>0</v>
      </c>
      <c r="Q1619" s="80" t="s">
        <v>0</v>
      </c>
      <c r="R1619" s="84" t="s">
        <v>0</v>
      </c>
      <c r="S1619" s="10" t="s">
        <v>1</v>
      </c>
      <c r="T1619" s="10" t="s">
        <v>10221</v>
      </c>
      <c r="U1619" s="5" t="str">
        <f t="shared" si="837"/>
        <v>Propriedade destinada a microfonar: é.microfone.tipo</v>
      </c>
      <c r="V1619" s="5" t="str">
        <f t="shared" si="838"/>
        <v>Dado para microfonar:  microfone.tipo  Deve ser formatado como (rdfs:Literal  or  xsd:string)</v>
      </c>
      <c r="W1619" s="69" t="s">
        <v>5843</v>
      </c>
      <c r="X1619" s="17" t="str">
        <f t="shared" si="853"/>
        <v>d.micro.103</v>
      </c>
      <c r="Y1619" s="17" t="str">
        <f t="shared" si="854"/>
        <v>Ação de microfonar</v>
      </c>
      <c r="Z1619" s="62" t="s">
        <v>4797</v>
      </c>
      <c r="AA1619" s="18" t="str">
        <f t="shared" si="857"/>
        <v>null</v>
      </c>
      <c r="AB1619" s="19" t="s">
        <v>0</v>
      </c>
      <c r="AC1619" s="18" t="str">
        <f t="shared" si="858"/>
        <v>null</v>
      </c>
      <c r="AD1619" s="19" t="s">
        <v>0</v>
      </c>
      <c r="AE1619" s="18" t="str">
        <f t="shared" si="833"/>
        <v>null</v>
      </c>
      <c r="AF1619" s="75" t="s">
        <v>0</v>
      </c>
      <c r="AG1619" s="38" t="s">
        <v>8773</v>
      </c>
    </row>
    <row r="1620" spans="1:33" ht="6" customHeight="1" x14ac:dyDescent="0.4">
      <c r="A1620" s="4">
        <f>ROW()</f>
        <v>1620</v>
      </c>
      <c r="B1620" s="9" t="s">
        <v>27</v>
      </c>
      <c r="C1620" s="43" t="str">
        <f t="shared" si="856"/>
        <v>p.mobiliar</v>
      </c>
      <c r="D1620" s="6" t="str">
        <f t="shared" ref="D1620:D1633" si="859">_xlfn.CONCAT("é.",G1620)</f>
        <v>é.mobília</v>
      </c>
      <c r="E1620" s="8" t="s">
        <v>28</v>
      </c>
      <c r="F1620" s="41" t="s">
        <v>2205</v>
      </c>
      <c r="G1620" s="14" t="s">
        <v>1684</v>
      </c>
      <c r="H1620" s="33" t="s">
        <v>1581</v>
      </c>
      <c r="I1620" s="92" t="str">
        <f t="shared" si="845"/>
        <v>null</v>
      </c>
      <c r="J1620" s="82" t="s">
        <v>0</v>
      </c>
      <c r="K1620" s="82" t="s">
        <v>0</v>
      </c>
      <c r="L1620" s="82" t="s">
        <v>0</v>
      </c>
      <c r="M1620" s="82" t="s">
        <v>0</v>
      </c>
      <c r="N1620" s="80" t="s">
        <v>0</v>
      </c>
      <c r="O1620" s="82" t="s">
        <v>0</v>
      </c>
      <c r="P1620" s="82" t="s">
        <v>0</v>
      </c>
      <c r="Q1620" s="82" t="s">
        <v>0</v>
      </c>
      <c r="R1620" s="84" t="s">
        <v>0</v>
      </c>
      <c r="S1620" s="10" t="s">
        <v>1</v>
      </c>
      <c r="T1620" s="10" t="s">
        <v>10221</v>
      </c>
      <c r="U1620" s="5" t="str">
        <f t="shared" ref="U1620:U1633" si="860">_xlfn.CONCAT("Propriedade destinada a ",MID(C1620,FIND("p.",C1620,1)+2,100),": ",D1620)</f>
        <v>Propriedade destinada a mobiliar: é.mobília</v>
      </c>
      <c r="V1620" s="5" t="str">
        <f t="shared" ref="V1620:V1633" si="861">_xlfn.CONCAT("Dado para ",MID(F1620,FIND("d.",F1620,1)+2,100),":  ",G1620, "  Deve ser formatado como (",H1620, ")")</f>
        <v>Dado para mobiliar:  mobília  Deve ser formatado como (rdfs:Literal  or  xsd:string)</v>
      </c>
      <c r="W1620" s="69" t="s">
        <v>6816</v>
      </c>
      <c r="X1620" s="17" t="str">
        <f t="shared" si="853"/>
        <v>d.mobil.100</v>
      </c>
      <c r="Y1620" s="17" t="str">
        <f t="shared" si="854"/>
        <v>Ação de mobiliar</v>
      </c>
      <c r="Z1620" s="62" t="s">
        <v>6822</v>
      </c>
      <c r="AA1620" s="18" t="str">
        <f t="shared" ref="AA1620:AA1633" si="862">IF(AB1620="null", "null", "categoria.revit")</f>
        <v>categoria.revit</v>
      </c>
      <c r="AB1620" s="19" t="s">
        <v>2133</v>
      </c>
      <c r="AC1620" s="18" t="str">
        <f t="shared" ref="AC1620:AC1633" si="863">IF(AD1620="null", "null", "classe.ifc")</f>
        <v>classe.ifc</v>
      </c>
      <c r="AD1620" s="19" t="s">
        <v>2085</v>
      </c>
      <c r="AE1620" s="18" t="str">
        <f t="shared" ref="AE1620:AE1633" si="864">IF(AF1620="null", "null", "propriedade")</f>
        <v>null</v>
      </c>
      <c r="AF1620" s="75" t="s">
        <v>0</v>
      </c>
      <c r="AG1620" s="38" t="s">
        <v>8774</v>
      </c>
    </row>
    <row r="1621" spans="1:33" ht="6" customHeight="1" x14ac:dyDescent="0.4">
      <c r="A1621" s="4">
        <f>ROW()</f>
        <v>1621</v>
      </c>
      <c r="B1621" s="9" t="s">
        <v>27</v>
      </c>
      <c r="C1621" s="44" t="str">
        <f t="shared" ref="C1621:C1633" si="865">SUBSTITUTE(F1621,"d.","p.")</f>
        <v>p.mobiliar</v>
      </c>
      <c r="D1621" s="6" t="str">
        <f t="shared" si="859"/>
        <v>é.mobiliário</v>
      </c>
      <c r="E1621" s="8" t="s">
        <v>28</v>
      </c>
      <c r="F1621" s="34" t="str">
        <f>F1620</f>
        <v>d.mobiliar</v>
      </c>
      <c r="G1621" s="14" t="s">
        <v>2652</v>
      </c>
      <c r="H1621" s="34" t="s">
        <v>1581</v>
      </c>
      <c r="I1621" s="92" t="str">
        <f t="shared" si="845"/>
        <v>null</v>
      </c>
      <c r="J1621" s="80" t="s">
        <v>0</v>
      </c>
      <c r="K1621" s="80" t="s">
        <v>0</v>
      </c>
      <c r="L1621" s="80" t="s">
        <v>0</v>
      </c>
      <c r="M1621" s="80" t="s">
        <v>0</v>
      </c>
      <c r="N1621" s="80" t="s">
        <v>0</v>
      </c>
      <c r="O1621" s="80" t="s">
        <v>0</v>
      </c>
      <c r="P1621" s="80" t="s">
        <v>0</v>
      </c>
      <c r="Q1621" s="80" t="s">
        <v>0</v>
      </c>
      <c r="R1621" s="84" t="s">
        <v>0</v>
      </c>
      <c r="S1621" s="10" t="s">
        <v>1</v>
      </c>
      <c r="T1621" s="10" t="s">
        <v>10221</v>
      </c>
      <c r="U1621" s="5" t="str">
        <f t="shared" si="860"/>
        <v>Propriedade destinada a mobiliar: é.mobiliário</v>
      </c>
      <c r="V1621" s="5" t="str">
        <f t="shared" si="861"/>
        <v>Dado para mobiliar:  mobiliário  Deve ser formatado como (rdfs:Literal  or  xsd:string)</v>
      </c>
      <c r="W1621" s="69" t="s">
        <v>5844</v>
      </c>
      <c r="X1621" s="17" t="str">
        <f t="shared" si="853"/>
        <v>d.mobil.101</v>
      </c>
      <c r="Y1621" s="17" t="str">
        <f t="shared" si="854"/>
        <v>Ação de mobiliar</v>
      </c>
      <c r="Z1621" s="62" t="s">
        <v>6823</v>
      </c>
      <c r="AA1621" s="18" t="str">
        <f t="shared" si="862"/>
        <v>categoria.revit</v>
      </c>
      <c r="AB1621" s="19" t="s">
        <v>2133</v>
      </c>
      <c r="AC1621" s="18" t="str">
        <f t="shared" si="863"/>
        <v>classe.ifc</v>
      </c>
      <c r="AD1621" s="19" t="s">
        <v>2085</v>
      </c>
      <c r="AE1621" s="18" t="str">
        <f t="shared" si="864"/>
        <v>null</v>
      </c>
      <c r="AF1621" s="75" t="s">
        <v>0</v>
      </c>
      <c r="AG1621" s="38" t="s">
        <v>8775</v>
      </c>
    </row>
    <row r="1622" spans="1:33" ht="6" customHeight="1" x14ac:dyDescent="0.4">
      <c r="A1622" s="4">
        <f>ROW()</f>
        <v>1622</v>
      </c>
      <c r="B1622" s="9" t="s">
        <v>27</v>
      </c>
      <c r="C1622" s="44" t="str">
        <f t="shared" si="865"/>
        <v>p.mobiliar</v>
      </c>
      <c r="D1622" s="6" t="str">
        <f t="shared" si="859"/>
        <v>é.mobiliário.médico</v>
      </c>
      <c r="E1622" s="8" t="s">
        <v>28</v>
      </c>
      <c r="F1622" s="34" t="str">
        <f>F1621</f>
        <v>d.mobiliar</v>
      </c>
      <c r="G1622" s="14" t="s">
        <v>1819</v>
      </c>
      <c r="H1622" s="33" t="s">
        <v>1581</v>
      </c>
      <c r="I1622" s="92" t="str">
        <f t="shared" si="845"/>
        <v>null</v>
      </c>
      <c r="J1622" s="82" t="s">
        <v>0</v>
      </c>
      <c r="K1622" s="82" t="s">
        <v>0</v>
      </c>
      <c r="L1622" s="82" t="s">
        <v>0</v>
      </c>
      <c r="M1622" s="82" t="s">
        <v>0</v>
      </c>
      <c r="N1622" s="80" t="s">
        <v>0</v>
      </c>
      <c r="O1622" s="82" t="s">
        <v>0</v>
      </c>
      <c r="P1622" s="82" t="s">
        <v>0</v>
      </c>
      <c r="Q1622" s="82" t="s">
        <v>0</v>
      </c>
      <c r="R1622" s="84" t="s">
        <v>0</v>
      </c>
      <c r="S1622" s="10" t="s">
        <v>1</v>
      </c>
      <c r="T1622" s="10" t="s">
        <v>10221</v>
      </c>
      <c r="U1622" s="5" t="str">
        <f t="shared" si="860"/>
        <v>Propriedade destinada a mobiliar: é.mobiliário.médico</v>
      </c>
      <c r="V1622" s="5" t="str">
        <f t="shared" si="861"/>
        <v>Dado para mobiliar:  mobiliário.médico  Deve ser formatado como (rdfs:Literal  or  xsd:string)</v>
      </c>
      <c r="W1622" s="69" t="s">
        <v>6815</v>
      </c>
      <c r="X1622" s="17" t="str">
        <f t="shared" si="853"/>
        <v>d.mobil.102</v>
      </c>
      <c r="Y1622" s="17" t="str">
        <f t="shared" si="854"/>
        <v>Ação de mobiliar</v>
      </c>
      <c r="Z1622" s="62" t="s">
        <v>6824</v>
      </c>
      <c r="AA1622" s="18" t="str">
        <f t="shared" si="862"/>
        <v>categoria.revit</v>
      </c>
      <c r="AB1622" s="19" t="s">
        <v>2133</v>
      </c>
      <c r="AC1622" s="18" t="str">
        <f t="shared" si="863"/>
        <v>classe.ifc</v>
      </c>
      <c r="AD1622" s="19" t="s">
        <v>2085</v>
      </c>
      <c r="AE1622" s="18" t="str">
        <f t="shared" si="864"/>
        <v>null</v>
      </c>
      <c r="AF1622" s="75" t="s">
        <v>0</v>
      </c>
      <c r="AG1622" s="38" t="s">
        <v>8776</v>
      </c>
    </row>
    <row r="1623" spans="1:33" ht="6" customHeight="1" x14ac:dyDescent="0.4">
      <c r="A1623" s="4">
        <f>ROW()</f>
        <v>1623</v>
      </c>
      <c r="B1623" s="9" t="s">
        <v>27</v>
      </c>
      <c r="C1623" s="44" t="str">
        <f t="shared" si="865"/>
        <v>p.mobiliar</v>
      </c>
      <c r="D1623" s="6" t="str">
        <f t="shared" si="859"/>
        <v>é.mobiliário.ornamental</v>
      </c>
      <c r="E1623" s="8" t="s">
        <v>28</v>
      </c>
      <c r="F1623" s="34" t="str">
        <f>F1622</f>
        <v>d.mobiliar</v>
      </c>
      <c r="G1623" s="14" t="s">
        <v>6832</v>
      </c>
      <c r="H1623" s="33" t="s">
        <v>1581</v>
      </c>
      <c r="I1623" s="92" t="str">
        <f t="shared" si="845"/>
        <v>null</v>
      </c>
      <c r="J1623" s="82" t="s">
        <v>0</v>
      </c>
      <c r="K1623" s="82" t="s">
        <v>0</v>
      </c>
      <c r="L1623" s="82" t="s">
        <v>0</v>
      </c>
      <c r="M1623" s="82" t="s">
        <v>0</v>
      </c>
      <c r="N1623" s="80" t="s">
        <v>0</v>
      </c>
      <c r="O1623" s="82" t="s">
        <v>0</v>
      </c>
      <c r="P1623" s="82" t="s">
        <v>0</v>
      </c>
      <c r="Q1623" s="82" t="s">
        <v>0</v>
      </c>
      <c r="R1623" s="84" t="s">
        <v>0</v>
      </c>
      <c r="S1623" s="10" t="s">
        <v>1</v>
      </c>
      <c r="T1623" s="10" t="s">
        <v>10221</v>
      </c>
      <c r="U1623" s="5" t="str">
        <f t="shared" si="860"/>
        <v>Propriedade destinada a mobiliar: é.mobiliário.ornamental</v>
      </c>
      <c r="V1623" s="5" t="str">
        <f t="shared" si="861"/>
        <v>Dado para mobiliar:  mobiliário.ornamental  Deve ser formatado como (rdfs:Literal  or  xsd:string)</v>
      </c>
      <c r="W1623" s="69" t="s">
        <v>6817</v>
      </c>
      <c r="X1623" s="17" t="str">
        <f t="shared" si="853"/>
        <v>d.mobil.103</v>
      </c>
      <c r="Y1623" s="17" t="str">
        <f t="shared" si="854"/>
        <v>Ação de mobiliar</v>
      </c>
      <c r="Z1623" s="62" t="s">
        <v>6825</v>
      </c>
      <c r="AA1623" s="18" t="str">
        <f t="shared" si="862"/>
        <v>categoria.revit</v>
      </c>
      <c r="AB1623" s="19" t="s">
        <v>2133</v>
      </c>
      <c r="AC1623" s="18" t="str">
        <f t="shared" si="863"/>
        <v>classe.ifc</v>
      </c>
      <c r="AD1623" s="19" t="s">
        <v>2085</v>
      </c>
      <c r="AE1623" s="18" t="str">
        <f t="shared" si="864"/>
        <v>null</v>
      </c>
      <c r="AF1623" s="75" t="s">
        <v>0</v>
      </c>
      <c r="AG1623" s="38" t="s">
        <v>8777</v>
      </c>
    </row>
    <row r="1624" spans="1:33" ht="6" customHeight="1" x14ac:dyDescent="0.4">
      <c r="A1624" s="4">
        <f>ROW()</f>
        <v>1624</v>
      </c>
      <c r="B1624" s="9" t="s">
        <v>27</v>
      </c>
      <c r="C1624" s="44" t="str">
        <f t="shared" si="865"/>
        <v>p.mobiliar</v>
      </c>
      <c r="D1624" s="6" t="str">
        <f t="shared" si="859"/>
        <v>é.para.conforto</v>
      </c>
      <c r="E1624" s="8" t="s">
        <v>28</v>
      </c>
      <c r="F1624" s="34" t="str">
        <f>F1623</f>
        <v>d.mobiliar</v>
      </c>
      <c r="G1624" s="13" t="s">
        <v>755</v>
      </c>
      <c r="H1624" s="34" t="s">
        <v>36</v>
      </c>
      <c r="I1624" s="92" t="str">
        <f t="shared" si="845"/>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60"/>
        <v>Propriedade destinada a mobiliar: é.para.conforto</v>
      </c>
      <c r="V1624" s="5" t="str">
        <f t="shared" si="861"/>
        <v>Dado para mobiliar:  para.conforto  Deve ser formatado como (xsd:boolean)</v>
      </c>
      <c r="W1624" s="69" t="s">
        <v>5847</v>
      </c>
      <c r="X1624" s="17" t="str">
        <f t="shared" si="853"/>
        <v>d.mobil.104</v>
      </c>
      <c r="Y1624" s="17" t="str">
        <f t="shared" si="854"/>
        <v>Ação de mobiliar</v>
      </c>
      <c r="Z1624" s="62" t="s">
        <v>6831</v>
      </c>
      <c r="AA1624" s="18" t="str">
        <f t="shared" si="862"/>
        <v>categoria.revit</v>
      </c>
      <c r="AB1624" s="19" t="s">
        <v>2133</v>
      </c>
      <c r="AC1624" s="18" t="str">
        <f t="shared" si="863"/>
        <v>classe.ifc</v>
      </c>
      <c r="AD1624" s="19" t="s">
        <v>2085</v>
      </c>
      <c r="AE1624" s="18" t="str">
        <f t="shared" si="864"/>
        <v>null</v>
      </c>
      <c r="AF1624" s="75" t="s">
        <v>0</v>
      </c>
      <c r="AG1624" s="38" t="s">
        <v>8778</v>
      </c>
    </row>
    <row r="1625" spans="1:33" ht="6" customHeight="1" x14ac:dyDescent="0.4">
      <c r="A1625" s="4">
        <f>ROW()</f>
        <v>1625</v>
      </c>
      <c r="B1625" s="9" t="s">
        <v>27</v>
      </c>
      <c r="C1625" s="44" t="str">
        <f t="shared" si="865"/>
        <v>p.mobiliar</v>
      </c>
      <c r="D1625" s="6" t="str">
        <f t="shared" si="859"/>
        <v>é.para.orientar</v>
      </c>
      <c r="E1625" s="8" t="s">
        <v>28</v>
      </c>
      <c r="F1625" s="34" t="str">
        <f t="shared" ref="F1625:F1630" si="866">F1624</f>
        <v>d.mobiliar</v>
      </c>
      <c r="G1625" s="13" t="s">
        <v>754</v>
      </c>
      <c r="H1625" s="34" t="s">
        <v>36</v>
      </c>
      <c r="I1625" s="92" t="str">
        <f t="shared" si="845"/>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60"/>
        <v>Propriedade destinada a mobiliar: é.para.orientar</v>
      </c>
      <c r="V1625" s="5" t="str">
        <f t="shared" si="861"/>
        <v>Dado para mobiliar:  para.orientar  Deve ser formatado como (xsd:boolean)</v>
      </c>
      <c r="W1625" s="69" t="s">
        <v>5846</v>
      </c>
      <c r="X1625" s="17" t="str">
        <f t="shared" si="853"/>
        <v>d.mobil.105</v>
      </c>
      <c r="Y1625" s="17" t="str">
        <f t="shared" si="854"/>
        <v>Ação de mobiliar</v>
      </c>
      <c r="Z1625" s="62" t="s">
        <v>6826</v>
      </c>
      <c r="AA1625" s="18" t="str">
        <f t="shared" si="862"/>
        <v>categoria.revit</v>
      </c>
      <c r="AB1625" s="19" t="s">
        <v>2133</v>
      </c>
      <c r="AC1625" s="18" t="str">
        <f t="shared" si="863"/>
        <v>classe.ifc</v>
      </c>
      <c r="AD1625" s="19" t="s">
        <v>2085</v>
      </c>
      <c r="AE1625" s="18" t="str">
        <f t="shared" si="864"/>
        <v>null</v>
      </c>
      <c r="AF1625" s="75" t="s">
        <v>0</v>
      </c>
      <c r="AG1625" s="38" t="s">
        <v>8779</v>
      </c>
    </row>
    <row r="1626" spans="1:33" ht="6" customHeight="1" x14ac:dyDescent="0.4">
      <c r="A1626" s="4">
        <f>ROW()</f>
        <v>1626</v>
      </c>
      <c r="B1626" s="9" t="s">
        <v>27</v>
      </c>
      <c r="C1626" s="44" t="str">
        <f t="shared" si="865"/>
        <v>p.mobiliar</v>
      </c>
      <c r="D1626" s="6" t="str">
        <f t="shared" si="859"/>
        <v>é.para.ornar</v>
      </c>
      <c r="E1626" s="8" t="s">
        <v>28</v>
      </c>
      <c r="F1626" s="34" t="str">
        <f t="shared" si="866"/>
        <v>d.mobiliar</v>
      </c>
      <c r="G1626" s="13" t="s">
        <v>757</v>
      </c>
      <c r="H1626" s="34" t="s">
        <v>36</v>
      </c>
      <c r="I1626" s="92" t="str">
        <f t="shared" ref="I1626:I1689" si="867">IF(OR(J1626="Functional",K1626="InverseFunctional"),"Functional","null")</f>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60"/>
        <v>Propriedade destinada a mobiliar: é.para.ornar</v>
      </c>
      <c r="V1626" s="5" t="str">
        <f t="shared" si="861"/>
        <v>Dado para mobiliar:  para.ornar  Deve ser formatado como (xsd:boolean)</v>
      </c>
      <c r="W1626" s="69" t="s">
        <v>5849</v>
      </c>
      <c r="X1626" s="17" t="str">
        <f t="shared" si="853"/>
        <v>d.mobil.106</v>
      </c>
      <c r="Y1626" s="17" t="str">
        <f t="shared" si="854"/>
        <v>Ação de mobiliar</v>
      </c>
      <c r="Z1626" s="62" t="s">
        <v>6827</v>
      </c>
      <c r="AA1626" s="18" t="str">
        <f t="shared" si="862"/>
        <v>categoria.revit</v>
      </c>
      <c r="AB1626" s="19" t="s">
        <v>2133</v>
      </c>
      <c r="AC1626" s="18" t="str">
        <f t="shared" si="863"/>
        <v>classe.ifc</v>
      </c>
      <c r="AD1626" s="19" t="s">
        <v>2085</v>
      </c>
      <c r="AE1626" s="18" t="str">
        <f t="shared" si="864"/>
        <v>null</v>
      </c>
      <c r="AF1626" s="75" t="s">
        <v>0</v>
      </c>
      <c r="AG1626" s="38" t="s">
        <v>8780</v>
      </c>
    </row>
    <row r="1627" spans="1:33" ht="6" customHeight="1" x14ac:dyDescent="0.4">
      <c r="A1627" s="4">
        <f>ROW()</f>
        <v>1627</v>
      </c>
      <c r="B1627" s="9" t="s">
        <v>27</v>
      </c>
      <c r="C1627" s="44" t="str">
        <f t="shared" si="865"/>
        <v>p.mobiliar</v>
      </c>
      <c r="D1627" s="6" t="str">
        <f t="shared" si="859"/>
        <v>é.para.saúde</v>
      </c>
      <c r="E1627" s="8" t="s">
        <v>28</v>
      </c>
      <c r="F1627" s="34" t="str">
        <f t="shared" si="866"/>
        <v>d.mobiliar</v>
      </c>
      <c r="G1627" s="13" t="s">
        <v>753</v>
      </c>
      <c r="H1627" s="34" t="s">
        <v>36</v>
      </c>
      <c r="I1627" s="92" t="str">
        <f t="shared" si="867"/>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60"/>
        <v>Propriedade destinada a mobiliar: é.para.saúde</v>
      </c>
      <c r="V1627" s="5" t="str">
        <f t="shared" si="861"/>
        <v>Dado para mobiliar:  para.saúde  Deve ser formatado como (xsd:boolean)</v>
      </c>
      <c r="W1627" s="69" t="s">
        <v>5845</v>
      </c>
      <c r="X1627" s="17" t="str">
        <f t="shared" si="853"/>
        <v>d.mobil.107</v>
      </c>
      <c r="Y1627" s="17" t="str">
        <f t="shared" si="854"/>
        <v>Ação de mobiliar</v>
      </c>
      <c r="Z1627" s="62" t="s">
        <v>6828</v>
      </c>
      <c r="AA1627" s="18" t="str">
        <f t="shared" si="862"/>
        <v>categoria.revit</v>
      </c>
      <c r="AB1627" s="19" t="s">
        <v>2133</v>
      </c>
      <c r="AC1627" s="18" t="str">
        <f t="shared" si="863"/>
        <v>classe.ifc</v>
      </c>
      <c r="AD1627" s="19" t="s">
        <v>2085</v>
      </c>
      <c r="AE1627" s="18" t="str">
        <f t="shared" si="864"/>
        <v>null</v>
      </c>
      <c r="AF1627" s="75" t="s">
        <v>0</v>
      </c>
      <c r="AG1627" s="38" t="s">
        <v>8781</v>
      </c>
    </row>
    <row r="1628" spans="1:33" ht="6" customHeight="1" x14ac:dyDescent="0.4">
      <c r="A1628" s="4">
        <f>ROW()</f>
        <v>1628</v>
      </c>
      <c r="B1628" s="9" t="s">
        <v>27</v>
      </c>
      <c r="C1628" s="44" t="str">
        <f t="shared" si="865"/>
        <v>p.mobiliar</v>
      </c>
      <c r="D1628" s="6" t="str">
        <f t="shared" si="859"/>
        <v>é.para.trabalhar</v>
      </c>
      <c r="E1628" s="8" t="s">
        <v>28</v>
      </c>
      <c r="F1628" s="34" t="str">
        <f t="shared" si="866"/>
        <v>d.mobiliar</v>
      </c>
      <c r="G1628" s="13" t="s">
        <v>756</v>
      </c>
      <c r="H1628" s="34" t="s">
        <v>36</v>
      </c>
      <c r="I1628" s="92" t="str">
        <f t="shared" si="867"/>
        <v>null</v>
      </c>
      <c r="J1628" s="80" t="s">
        <v>0</v>
      </c>
      <c r="K1628" s="80" t="s">
        <v>0</v>
      </c>
      <c r="L1628" s="80" t="s">
        <v>0</v>
      </c>
      <c r="M1628" s="80" t="s">
        <v>0</v>
      </c>
      <c r="N1628" s="80" t="s">
        <v>0</v>
      </c>
      <c r="O1628" s="80" t="s">
        <v>0</v>
      </c>
      <c r="P1628" s="80" t="s">
        <v>0</v>
      </c>
      <c r="Q1628" s="80" t="s">
        <v>0</v>
      </c>
      <c r="R1628" s="84" t="s">
        <v>0</v>
      </c>
      <c r="S1628" s="10" t="s">
        <v>1</v>
      </c>
      <c r="T1628" s="10" t="s">
        <v>10221</v>
      </c>
      <c r="U1628" s="5" t="str">
        <f t="shared" si="860"/>
        <v>Propriedade destinada a mobiliar: é.para.trabalhar</v>
      </c>
      <c r="V1628" s="5" t="str">
        <f t="shared" si="861"/>
        <v>Dado para mobiliar:  para.trabalhar  Deve ser formatado como (xsd:boolean)</v>
      </c>
      <c r="W1628" s="69" t="s">
        <v>5848</v>
      </c>
      <c r="X1628" s="17" t="str">
        <f t="shared" si="853"/>
        <v>d.mobil.108</v>
      </c>
      <c r="Y1628" s="17" t="str">
        <f t="shared" si="854"/>
        <v>Ação de mobiliar</v>
      </c>
      <c r="Z1628" s="62" t="s">
        <v>4348</v>
      </c>
      <c r="AA1628" s="18" t="str">
        <f t="shared" si="862"/>
        <v>categoria.revit</v>
      </c>
      <c r="AB1628" s="19" t="s">
        <v>2134</v>
      </c>
      <c r="AC1628" s="18" t="str">
        <f t="shared" si="863"/>
        <v>classe.ifc</v>
      </c>
      <c r="AD1628" s="19" t="s">
        <v>2085</v>
      </c>
      <c r="AE1628" s="18" t="str">
        <f t="shared" si="864"/>
        <v>null</v>
      </c>
      <c r="AF1628" s="75" t="s">
        <v>0</v>
      </c>
      <c r="AG1628" s="38" t="s">
        <v>8782</v>
      </c>
    </row>
    <row r="1629" spans="1:33" ht="6" customHeight="1" x14ac:dyDescent="0.4">
      <c r="A1629" s="4">
        <f>ROW()</f>
        <v>1629</v>
      </c>
      <c r="B1629" s="9" t="s">
        <v>27</v>
      </c>
      <c r="C1629" s="44" t="str">
        <f t="shared" si="865"/>
        <v>p.mobiliar</v>
      </c>
      <c r="D1629" s="6" t="str">
        <f t="shared" si="859"/>
        <v>é.para.comerciar</v>
      </c>
      <c r="E1629" s="8" t="s">
        <v>28</v>
      </c>
      <c r="F1629" s="34" t="str">
        <f t="shared" si="866"/>
        <v>d.mobiliar</v>
      </c>
      <c r="G1629" s="13" t="s">
        <v>6818</v>
      </c>
      <c r="H1629" s="34" t="s">
        <v>36</v>
      </c>
      <c r="I1629" s="92" t="str">
        <f t="shared" si="867"/>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60"/>
        <v>Propriedade destinada a mobiliar: é.para.comerciar</v>
      </c>
      <c r="V1629" s="5" t="str">
        <f t="shared" si="861"/>
        <v>Dado para mobiliar:  para.comerciar  Deve ser formatado como (xsd:boolean)</v>
      </c>
      <c r="W1629" s="69" t="s">
        <v>6820</v>
      </c>
      <c r="X1629" s="17" t="str">
        <f t="shared" si="853"/>
        <v>d.mobil.109</v>
      </c>
      <c r="Y1629" s="17" t="str">
        <f t="shared" si="854"/>
        <v>Ação de mobiliar</v>
      </c>
      <c r="Z1629" s="62" t="s">
        <v>6829</v>
      </c>
      <c r="AA1629" s="18" t="str">
        <f t="shared" si="862"/>
        <v>categoria.revit</v>
      </c>
      <c r="AB1629" s="19" t="s">
        <v>2134</v>
      </c>
      <c r="AC1629" s="18" t="str">
        <f t="shared" si="863"/>
        <v>classe.ifc</v>
      </c>
      <c r="AD1629" s="19" t="s">
        <v>2085</v>
      </c>
      <c r="AE1629" s="18" t="str">
        <f t="shared" si="864"/>
        <v>null</v>
      </c>
      <c r="AF1629" s="75" t="s">
        <v>0</v>
      </c>
      <c r="AG1629" s="38" t="s">
        <v>8783</v>
      </c>
    </row>
    <row r="1630" spans="1:33" ht="6" customHeight="1" x14ac:dyDescent="0.4">
      <c r="A1630" s="4">
        <f>ROW()</f>
        <v>1630</v>
      </c>
      <c r="B1630" s="9" t="s">
        <v>27</v>
      </c>
      <c r="C1630" s="44" t="str">
        <f t="shared" si="865"/>
        <v>p.mobiliar</v>
      </c>
      <c r="D1630" s="6" t="str">
        <f t="shared" si="859"/>
        <v>é.para.guardar</v>
      </c>
      <c r="E1630" s="8" t="s">
        <v>28</v>
      </c>
      <c r="F1630" s="34" t="str">
        <f t="shared" si="866"/>
        <v>d.mobiliar</v>
      </c>
      <c r="G1630" s="13" t="s">
        <v>6819</v>
      </c>
      <c r="H1630" s="34" t="s">
        <v>36</v>
      </c>
      <c r="I1630" s="92" t="str">
        <f t="shared" si="867"/>
        <v>null</v>
      </c>
      <c r="J1630" s="80" t="s">
        <v>0</v>
      </c>
      <c r="K1630" s="80" t="s">
        <v>0</v>
      </c>
      <c r="L1630" s="80" t="s">
        <v>0</v>
      </c>
      <c r="M1630" s="80" t="s">
        <v>0</v>
      </c>
      <c r="N1630" s="80" t="s">
        <v>0</v>
      </c>
      <c r="O1630" s="80" t="s">
        <v>0</v>
      </c>
      <c r="P1630" s="80" t="s">
        <v>0</v>
      </c>
      <c r="Q1630" s="80" t="s">
        <v>0</v>
      </c>
      <c r="R1630" s="84" t="s">
        <v>0</v>
      </c>
      <c r="S1630" s="10" t="s">
        <v>1</v>
      </c>
      <c r="T1630" s="10" t="s">
        <v>10221</v>
      </c>
      <c r="U1630" s="5" t="str">
        <f t="shared" si="860"/>
        <v>Propriedade destinada a mobiliar: é.para.guardar</v>
      </c>
      <c r="V1630" s="5" t="str">
        <f t="shared" si="861"/>
        <v>Dado para mobiliar:  para.guardar  Deve ser formatado como (xsd:boolean)</v>
      </c>
      <c r="W1630" s="69" t="s">
        <v>6821</v>
      </c>
      <c r="X1630" s="17" t="str">
        <f t="shared" si="853"/>
        <v>d.mobil.110</v>
      </c>
      <c r="Y1630" s="17" t="str">
        <f t="shared" si="854"/>
        <v>Ação de mobiliar</v>
      </c>
      <c r="Z1630" s="62" t="s">
        <v>6830</v>
      </c>
      <c r="AA1630" s="18" t="str">
        <f t="shared" si="862"/>
        <v>categoria.revit</v>
      </c>
      <c r="AB1630" s="19" t="s">
        <v>2134</v>
      </c>
      <c r="AC1630" s="18" t="str">
        <f t="shared" si="863"/>
        <v>classe.ifc</v>
      </c>
      <c r="AD1630" s="19" t="s">
        <v>2085</v>
      </c>
      <c r="AE1630" s="18" t="str">
        <f t="shared" si="864"/>
        <v>null</v>
      </c>
      <c r="AF1630" s="75" t="s">
        <v>0</v>
      </c>
      <c r="AG1630" s="38" t="s">
        <v>8784</v>
      </c>
    </row>
    <row r="1631" spans="1:33" ht="6" customHeight="1" x14ac:dyDescent="0.4">
      <c r="A1631" s="4">
        <f>ROW()</f>
        <v>1631</v>
      </c>
      <c r="B1631" s="9" t="s">
        <v>27</v>
      </c>
      <c r="C1631" s="43" t="str">
        <f t="shared" ref="C1631" si="868">SUBSTITUTE(F1631,"d.","p.")</f>
        <v>p.modificar</v>
      </c>
      <c r="D1631" s="6" t="str">
        <f t="shared" ref="D1631" si="869">_xlfn.CONCAT("é.",G1631)</f>
        <v>é.modificada.em</v>
      </c>
      <c r="E1631" s="8" t="s">
        <v>28</v>
      </c>
      <c r="F1631" s="41" t="s">
        <v>7398</v>
      </c>
      <c r="G1631" s="13" t="s">
        <v>7401</v>
      </c>
      <c r="H1631" s="33" t="s">
        <v>302</v>
      </c>
      <c r="I1631" s="92" t="str">
        <f t="shared" si="867"/>
        <v>null</v>
      </c>
      <c r="J1631" s="80" t="s">
        <v>0</v>
      </c>
      <c r="K1631" s="80" t="s">
        <v>0</v>
      </c>
      <c r="L1631" s="80" t="s">
        <v>0</v>
      </c>
      <c r="M1631" s="80" t="s">
        <v>0</v>
      </c>
      <c r="N1631" s="80" t="s">
        <v>0</v>
      </c>
      <c r="O1631" s="80" t="s">
        <v>0</v>
      </c>
      <c r="P1631" s="80" t="s">
        <v>0</v>
      </c>
      <c r="Q1631" s="80" t="s">
        <v>0</v>
      </c>
      <c r="R1631" s="84" t="s">
        <v>7402</v>
      </c>
      <c r="S1631" s="10" t="s">
        <v>1</v>
      </c>
      <c r="T1631" s="10" t="s">
        <v>10221</v>
      </c>
      <c r="U1631" s="5" t="str">
        <f t="shared" ref="U1631" si="870">_xlfn.CONCAT("Propriedade destinada a ",MID(C1631,FIND("p.",C1631,1)+2,100),": ",D1631)</f>
        <v>Propriedade destinada a modificar: é.modificada.em</v>
      </c>
      <c r="V1631" s="5" t="str">
        <f t="shared" ref="V1631" si="871">_xlfn.CONCAT("Dado para ",MID(F1631,FIND("d.",F1631,1)+2,100),":  ",G1631, "  Deve ser formatado como (",H1631, ")")</f>
        <v>Dado para modificar:  modificada.em  Deve ser formatado como (xsd:date)</v>
      </c>
      <c r="W1631" s="69" t="s">
        <v>7400</v>
      </c>
      <c r="X1631" s="17" t="str">
        <f t="shared" si="853"/>
        <v>d.modif.100</v>
      </c>
      <c r="Y1631" s="17" t="str">
        <f t="shared" si="854"/>
        <v>Ação de modificar</v>
      </c>
      <c r="Z1631" s="62" t="s">
        <v>9586</v>
      </c>
      <c r="AA1631" s="18" t="str">
        <f t="shared" ref="AA1631" si="872">IF(AB1631="null", "null", "categoria.revit")</f>
        <v>null</v>
      </c>
      <c r="AB1631" s="19" t="s">
        <v>0</v>
      </c>
      <c r="AC1631" s="18" t="str">
        <f t="shared" ref="AC1631" si="873">IF(AD1631="null", "null", "classe.ifc")</f>
        <v>null</v>
      </c>
      <c r="AD1631" s="19" t="s">
        <v>0</v>
      </c>
      <c r="AE1631" s="18" t="str">
        <f t="shared" ref="AE1631" si="874">IF(AF1631="null", "null", "propriedade")</f>
        <v>null</v>
      </c>
      <c r="AF1631" s="75" t="s">
        <v>0</v>
      </c>
      <c r="AG1631" s="38" t="s">
        <v>11277</v>
      </c>
    </row>
    <row r="1632" spans="1:33" ht="6" customHeight="1" x14ac:dyDescent="0.4">
      <c r="A1632" s="4">
        <f>ROW()</f>
        <v>1632</v>
      </c>
      <c r="B1632" s="9" t="s">
        <v>27</v>
      </c>
      <c r="C1632" s="44" t="str">
        <f t="shared" si="865"/>
        <v>p.modificar</v>
      </c>
      <c r="D1632" s="6" t="str">
        <f t="shared" si="859"/>
        <v>é.modificado.em</v>
      </c>
      <c r="E1632" s="8" t="s">
        <v>28</v>
      </c>
      <c r="F1632" s="34" t="str">
        <f>F1631</f>
        <v>d.modificar</v>
      </c>
      <c r="G1632" s="13" t="s">
        <v>7399</v>
      </c>
      <c r="H1632" s="33" t="s">
        <v>302</v>
      </c>
      <c r="I1632" s="92" t="str">
        <f t="shared" si="867"/>
        <v>null</v>
      </c>
      <c r="J1632" s="80" t="s">
        <v>0</v>
      </c>
      <c r="K1632" s="80" t="s">
        <v>0</v>
      </c>
      <c r="L1632" s="80" t="s">
        <v>0</v>
      </c>
      <c r="M1632" s="80" t="s">
        <v>0</v>
      </c>
      <c r="N1632" s="80" t="s">
        <v>0</v>
      </c>
      <c r="O1632" s="80" t="s">
        <v>0</v>
      </c>
      <c r="P1632" s="80" t="s">
        <v>0</v>
      </c>
      <c r="Q1632" s="80" t="s">
        <v>0</v>
      </c>
      <c r="R1632" s="84" t="s">
        <v>7403</v>
      </c>
      <c r="S1632" s="10" t="s">
        <v>1</v>
      </c>
      <c r="T1632" s="10" t="s">
        <v>10221</v>
      </c>
      <c r="U1632" s="5" t="str">
        <f t="shared" si="860"/>
        <v>Propriedade destinada a modificar: é.modificado.em</v>
      </c>
      <c r="V1632" s="5" t="str">
        <f t="shared" si="861"/>
        <v>Dado para modificar:  modificado.em  Deve ser formatado como (xsd:date)</v>
      </c>
      <c r="W1632" s="69" t="s">
        <v>7400</v>
      </c>
      <c r="X1632" s="17" t="str">
        <f t="shared" si="853"/>
        <v>d.modif.101</v>
      </c>
      <c r="Y1632" s="17" t="str">
        <f t="shared" si="854"/>
        <v>Ação de modificar</v>
      </c>
      <c r="Z1632" s="62" t="s">
        <v>9586</v>
      </c>
      <c r="AA1632" s="18" t="str">
        <f t="shared" si="862"/>
        <v>null</v>
      </c>
      <c r="AB1632" s="19" t="s">
        <v>0</v>
      </c>
      <c r="AC1632" s="18" t="str">
        <f t="shared" si="863"/>
        <v>null</v>
      </c>
      <c r="AD1632" s="19" t="s">
        <v>0</v>
      </c>
      <c r="AE1632" s="18" t="str">
        <f t="shared" si="864"/>
        <v>null</v>
      </c>
      <c r="AF1632" s="75" t="s">
        <v>0</v>
      </c>
      <c r="AG1632" s="38" t="s">
        <v>11277</v>
      </c>
    </row>
    <row r="1633" spans="1:33" ht="6" customHeight="1" x14ac:dyDescent="0.4">
      <c r="A1633" s="4">
        <f>ROW()</f>
        <v>1633</v>
      </c>
      <c r="B1633" s="9" t="s">
        <v>27</v>
      </c>
      <c r="C1633" s="44" t="str">
        <f t="shared" si="865"/>
        <v>p.modificar</v>
      </c>
      <c r="D1633" s="6" t="str">
        <f t="shared" si="859"/>
        <v>é.quem.modificou</v>
      </c>
      <c r="E1633" s="8" t="s">
        <v>28</v>
      </c>
      <c r="F1633" s="34" t="str">
        <f>F1632</f>
        <v>d.modificar</v>
      </c>
      <c r="G1633" s="13" t="s">
        <v>7404</v>
      </c>
      <c r="H1633" s="33" t="s">
        <v>1581</v>
      </c>
      <c r="I1633" s="92" t="str">
        <f t="shared" si="867"/>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60"/>
        <v>Propriedade destinada a modificar: é.quem.modificou</v>
      </c>
      <c r="V1633" s="5" t="str">
        <f t="shared" si="861"/>
        <v>Dado para modificar:  quem.modificou  Deve ser formatado como (rdfs:Literal  or  xsd:string)</v>
      </c>
      <c r="W1633" s="69" t="s">
        <v>7406</v>
      </c>
      <c r="X1633" s="17" t="str">
        <f t="shared" si="853"/>
        <v>d.modif.102</v>
      </c>
      <c r="Y1633" s="17" t="str">
        <f t="shared" si="854"/>
        <v>Ação de modificar</v>
      </c>
      <c r="Z1633" s="62" t="s">
        <v>9587</v>
      </c>
      <c r="AA1633" s="18" t="str">
        <f t="shared" si="862"/>
        <v>null</v>
      </c>
      <c r="AB1633" s="19" t="s">
        <v>0</v>
      </c>
      <c r="AC1633" s="18" t="str">
        <f t="shared" si="863"/>
        <v>null</v>
      </c>
      <c r="AD1633" s="19" t="s">
        <v>0</v>
      </c>
      <c r="AE1633" s="18" t="str">
        <f t="shared" si="864"/>
        <v>null</v>
      </c>
      <c r="AF1633" s="75" t="s">
        <v>0</v>
      </c>
      <c r="AG1633" s="38" t="s">
        <v>11278</v>
      </c>
    </row>
    <row r="1634" spans="1:33" ht="6" customHeight="1" x14ac:dyDescent="0.4">
      <c r="A1634" s="4">
        <f>ROW()</f>
        <v>1634</v>
      </c>
      <c r="B1634" s="9" t="s">
        <v>27</v>
      </c>
      <c r="C1634" s="43" t="str">
        <f t="shared" si="827"/>
        <v>p.modular</v>
      </c>
      <c r="D1634" s="6" t="str">
        <f t="shared" ref="D1634:D1892" si="875">_xlfn.CONCAT("é.",G1634)</f>
        <v>é.modulado</v>
      </c>
      <c r="E1634" s="8" t="s">
        <v>28</v>
      </c>
      <c r="F1634" s="41" t="s">
        <v>2206</v>
      </c>
      <c r="G1634" s="13" t="s">
        <v>152</v>
      </c>
      <c r="H1634" s="34" t="s">
        <v>36</v>
      </c>
      <c r="I1634" s="92" t="str">
        <f t="shared" si="867"/>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37"/>
        <v>Propriedade destinada a modular: é.modulado</v>
      </c>
      <c r="V1634" s="5" t="str">
        <f t="shared" si="838"/>
        <v>Dado para modular:  modulado  Deve ser formatado como (xsd:boolean)</v>
      </c>
      <c r="W1634" s="69" t="s">
        <v>5850</v>
      </c>
      <c r="X1634" s="17" t="str">
        <f t="shared" si="853"/>
        <v>d.modul.100</v>
      </c>
      <c r="Y1634" s="17" t="str">
        <f t="shared" si="854"/>
        <v>Ação de modular</v>
      </c>
      <c r="Z1634" s="62" t="s">
        <v>4349</v>
      </c>
      <c r="AA1634" s="18" t="str">
        <f t="shared" si="839"/>
        <v>null</v>
      </c>
      <c r="AB1634" s="19" t="s">
        <v>0</v>
      </c>
      <c r="AC1634" s="18" t="str">
        <f t="shared" si="840"/>
        <v>null</v>
      </c>
      <c r="AD1634" s="19" t="s">
        <v>0</v>
      </c>
      <c r="AE1634" s="18" t="str">
        <f t="shared" ref="AE1634:AE1892" si="876">IF(AF1634="null", "null", "propriedade")</f>
        <v>null</v>
      </c>
      <c r="AF1634" s="75" t="s">
        <v>0</v>
      </c>
      <c r="AG1634" s="38" t="s">
        <v>8785</v>
      </c>
    </row>
    <row r="1635" spans="1:33" ht="6" customHeight="1" x14ac:dyDescent="0.4">
      <c r="A1635" s="4">
        <f>ROW()</f>
        <v>1635</v>
      </c>
      <c r="B1635" s="9" t="s">
        <v>27</v>
      </c>
      <c r="C1635" s="44" t="str">
        <f t="shared" ref="C1635:C1880" si="877">SUBSTITUTE(F1635,"d.","p.")</f>
        <v>p.modular</v>
      </c>
      <c r="D1635" s="6" t="str">
        <f t="shared" si="875"/>
        <v>é.módulo.a</v>
      </c>
      <c r="E1635" s="8" t="s">
        <v>28</v>
      </c>
      <c r="F1635" s="34" t="str">
        <f>F1634</f>
        <v>d.modular</v>
      </c>
      <c r="G1635" s="13" t="s">
        <v>758</v>
      </c>
      <c r="H1635" s="34" t="s">
        <v>32</v>
      </c>
      <c r="I1635" s="92" t="str">
        <f t="shared" si="867"/>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37"/>
        <v>Propriedade destinada a modular: é.módulo.a</v>
      </c>
      <c r="V1635" s="5" t="str">
        <f t="shared" si="838"/>
        <v>Dado para modular:  módulo.a  Deve ser formatado como (xsd:integer)</v>
      </c>
      <c r="W1635" s="69" t="s">
        <v>5851</v>
      </c>
      <c r="X1635" s="17" t="str">
        <f t="shared" si="853"/>
        <v>d.modul.101</v>
      </c>
      <c r="Y1635" s="17" t="str">
        <f t="shared" si="854"/>
        <v>Ação de modular</v>
      </c>
      <c r="Z1635" s="62" t="s">
        <v>4350</v>
      </c>
      <c r="AA1635" s="18" t="str">
        <f t="shared" si="839"/>
        <v>null</v>
      </c>
      <c r="AB1635" s="19" t="s">
        <v>0</v>
      </c>
      <c r="AC1635" s="18" t="str">
        <f t="shared" si="840"/>
        <v>null</v>
      </c>
      <c r="AD1635" s="19" t="s">
        <v>0</v>
      </c>
      <c r="AE1635" s="18" t="str">
        <f t="shared" si="876"/>
        <v>null</v>
      </c>
      <c r="AF1635" s="75" t="s">
        <v>0</v>
      </c>
      <c r="AG1635" s="38" t="s">
        <v>8786</v>
      </c>
    </row>
    <row r="1636" spans="1:33" ht="6" customHeight="1" x14ac:dyDescent="0.4">
      <c r="A1636" s="4">
        <f>ROW()</f>
        <v>1636</v>
      </c>
      <c r="B1636" s="9" t="s">
        <v>27</v>
      </c>
      <c r="C1636" s="44" t="str">
        <f t="shared" si="877"/>
        <v>p.modular</v>
      </c>
      <c r="D1636" s="6" t="str">
        <f t="shared" si="875"/>
        <v>é.módulo.b</v>
      </c>
      <c r="E1636" s="8" t="s">
        <v>28</v>
      </c>
      <c r="F1636" s="34" t="str">
        <f>F1635</f>
        <v>d.modular</v>
      </c>
      <c r="G1636" s="13" t="s">
        <v>759</v>
      </c>
      <c r="H1636" s="34" t="s">
        <v>32</v>
      </c>
      <c r="I1636" s="92" t="str">
        <f t="shared" si="867"/>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37"/>
        <v>Propriedade destinada a modular: é.módulo.b</v>
      </c>
      <c r="V1636" s="5" t="str">
        <f t="shared" si="838"/>
        <v>Dado para modular:  módulo.b  Deve ser formatado como (xsd:integer)</v>
      </c>
      <c r="W1636" s="69" t="s">
        <v>5852</v>
      </c>
      <c r="X1636" s="17" t="str">
        <f t="shared" si="853"/>
        <v>d.modul.102</v>
      </c>
      <c r="Y1636" s="17" t="str">
        <f t="shared" si="854"/>
        <v>Ação de modular</v>
      </c>
      <c r="Z1636" s="62" t="s">
        <v>4351</v>
      </c>
      <c r="AA1636" s="18" t="str">
        <f t="shared" si="839"/>
        <v>null</v>
      </c>
      <c r="AB1636" s="19" t="s">
        <v>0</v>
      </c>
      <c r="AC1636" s="18" t="str">
        <f t="shared" si="840"/>
        <v>null</v>
      </c>
      <c r="AD1636" s="19" t="s">
        <v>0</v>
      </c>
      <c r="AE1636" s="18" t="str">
        <f t="shared" si="876"/>
        <v>null</v>
      </c>
      <c r="AF1636" s="75" t="s">
        <v>0</v>
      </c>
      <c r="AG1636" s="38" t="s">
        <v>8787</v>
      </c>
    </row>
    <row r="1637" spans="1:33" ht="6" customHeight="1" x14ac:dyDescent="0.4">
      <c r="A1637" s="4">
        <f>ROW()</f>
        <v>1637</v>
      </c>
      <c r="B1637" s="9" t="s">
        <v>27</v>
      </c>
      <c r="C1637" s="44" t="str">
        <f t="shared" si="877"/>
        <v>p.modular</v>
      </c>
      <c r="D1637" s="6" t="str">
        <f t="shared" si="875"/>
        <v>é.módulo.c</v>
      </c>
      <c r="E1637" s="8" t="s">
        <v>28</v>
      </c>
      <c r="F1637" s="34" t="str">
        <f>F1636</f>
        <v>d.modular</v>
      </c>
      <c r="G1637" s="13" t="s">
        <v>760</v>
      </c>
      <c r="H1637" s="34" t="s">
        <v>32</v>
      </c>
      <c r="I1637" s="92" t="str">
        <f t="shared" si="867"/>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37"/>
        <v>Propriedade destinada a modular: é.módulo.c</v>
      </c>
      <c r="V1637" s="5" t="str">
        <f t="shared" si="838"/>
        <v>Dado para modular:  módulo.c  Deve ser formatado como (xsd:integer)</v>
      </c>
      <c r="W1637" s="69" t="s">
        <v>5853</v>
      </c>
      <c r="X1637" s="17" t="str">
        <f t="shared" si="853"/>
        <v>d.modul.103</v>
      </c>
      <c r="Y1637" s="17" t="str">
        <f t="shared" si="854"/>
        <v>Ação de modular</v>
      </c>
      <c r="Z1637" s="62" t="s">
        <v>4352</v>
      </c>
      <c r="AA1637" s="18" t="str">
        <f t="shared" si="839"/>
        <v>null</v>
      </c>
      <c r="AB1637" s="19" t="s">
        <v>0</v>
      </c>
      <c r="AC1637" s="18" t="str">
        <f t="shared" si="840"/>
        <v>null</v>
      </c>
      <c r="AD1637" s="19" t="s">
        <v>0</v>
      </c>
      <c r="AE1637" s="18" t="str">
        <f t="shared" si="876"/>
        <v>null</v>
      </c>
      <c r="AF1637" s="75" t="s">
        <v>0</v>
      </c>
      <c r="AG1637" s="38" t="s">
        <v>8788</v>
      </c>
    </row>
    <row r="1638" spans="1:33" ht="6" customHeight="1" x14ac:dyDescent="0.4">
      <c r="A1638" s="4">
        <f>ROW()</f>
        <v>1638</v>
      </c>
      <c r="B1638" s="9" t="s">
        <v>27</v>
      </c>
      <c r="C1638" s="44" t="str">
        <f t="shared" si="877"/>
        <v>p.modular</v>
      </c>
      <c r="D1638" s="6" t="str">
        <f t="shared" si="875"/>
        <v>é.módulo.d</v>
      </c>
      <c r="E1638" s="8" t="s">
        <v>28</v>
      </c>
      <c r="F1638" s="34" t="str">
        <f>F1637</f>
        <v>d.modular</v>
      </c>
      <c r="G1638" s="13" t="s">
        <v>761</v>
      </c>
      <c r="H1638" s="34" t="s">
        <v>32</v>
      </c>
      <c r="I1638" s="92" t="str">
        <f t="shared" si="867"/>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37"/>
        <v>Propriedade destinada a modular: é.módulo.d</v>
      </c>
      <c r="V1638" s="5" t="str">
        <f t="shared" si="838"/>
        <v>Dado para modular:  módulo.d  Deve ser formatado como (xsd:integer)</v>
      </c>
      <c r="W1638" s="69" t="s">
        <v>5854</v>
      </c>
      <c r="X1638" s="17" t="str">
        <f t="shared" si="853"/>
        <v>d.modul.104</v>
      </c>
      <c r="Y1638" s="17" t="str">
        <f t="shared" si="854"/>
        <v>Ação de modular</v>
      </c>
      <c r="Z1638" s="62" t="s">
        <v>4353</v>
      </c>
      <c r="AA1638" s="18" t="str">
        <f t="shared" si="839"/>
        <v>null</v>
      </c>
      <c r="AB1638" s="19" t="s">
        <v>0</v>
      </c>
      <c r="AC1638" s="18" t="str">
        <f t="shared" si="840"/>
        <v>null</v>
      </c>
      <c r="AD1638" s="19" t="s">
        <v>0</v>
      </c>
      <c r="AE1638" s="18" t="str">
        <f t="shared" si="876"/>
        <v>null</v>
      </c>
      <c r="AF1638" s="75" t="s">
        <v>0</v>
      </c>
      <c r="AG1638" s="38" t="s">
        <v>8789</v>
      </c>
    </row>
    <row r="1639" spans="1:33" ht="6" customHeight="1" x14ac:dyDescent="0.4">
      <c r="A1639" s="4">
        <f>ROW()</f>
        <v>1639</v>
      </c>
      <c r="B1639" s="9" t="s">
        <v>27</v>
      </c>
      <c r="C1639" s="44" t="str">
        <f t="shared" si="877"/>
        <v>p.modular</v>
      </c>
      <c r="D1639" s="6" t="str">
        <f t="shared" si="875"/>
        <v>é.proporção</v>
      </c>
      <c r="E1639" s="8" t="s">
        <v>28</v>
      </c>
      <c r="F1639" s="34" t="str">
        <f>F1638</f>
        <v>d.modular</v>
      </c>
      <c r="G1639" s="13" t="s">
        <v>210</v>
      </c>
      <c r="H1639" s="34" t="s">
        <v>32</v>
      </c>
      <c r="I1639" s="92" t="str">
        <f t="shared" si="867"/>
        <v>null</v>
      </c>
      <c r="J1639" s="80" t="s">
        <v>0</v>
      </c>
      <c r="K1639" s="80" t="s">
        <v>0</v>
      </c>
      <c r="L1639" s="80" t="s">
        <v>0</v>
      </c>
      <c r="M1639" s="80" t="s">
        <v>0</v>
      </c>
      <c r="N1639" s="80" t="s">
        <v>0</v>
      </c>
      <c r="O1639" s="80" t="s">
        <v>0</v>
      </c>
      <c r="P1639" s="80" t="s">
        <v>0</v>
      </c>
      <c r="Q1639" s="80" t="s">
        <v>0</v>
      </c>
      <c r="R1639" s="84" t="s">
        <v>0</v>
      </c>
      <c r="S1639" s="10" t="s">
        <v>1</v>
      </c>
      <c r="T1639" s="10" t="s">
        <v>10221</v>
      </c>
      <c r="U1639" s="5" t="str">
        <f t="shared" si="837"/>
        <v>Propriedade destinada a modular: é.proporção</v>
      </c>
      <c r="V1639" s="5" t="str">
        <f t="shared" si="838"/>
        <v>Dado para modular:  proporção  Deve ser formatado como (xsd:integer)</v>
      </c>
      <c r="W1639" s="69" t="s">
        <v>5855</v>
      </c>
      <c r="X1639" s="17" t="str">
        <f t="shared" si="853"/>
        <v>d.modul.105</v>
      </c>
      <c r="Y1639" s="17" t="str">
        <f t="shared" si="854"/>
        <v>Ação de modular</v>
      </c>
      <c r="Z1639" s="62" t="s">
        <v>4354</v>
      </c>
      <c r="AA1639" s="18" t="str">
        <f t="shared" si="839"/>
        <v>null</v>
      </c>
      <c r="AB1639" s="19" t="s">
        <v>0</v>
      </c>
      <c r="AC1639" s="18" t="str">
        <f t="shared" si="840"/>
        <v>null</v>
      </c>
      <c r="AD1639" s="19" t="s">
        <v>0</v>
      </c>
      <c r="AE1639" s="18" t="str">
        <f t="shared" si="876"/>
        <v>null</v>
      </c>
      <c r="AF1639" s="75" t="s">
        <v>0</v>
      </c>
      <c r="AG1639" s="38" t="s">
        <v>8790</v>
      </c>
    </row>
    <row r="1640" spans="1:33" ht="6" customHeight="1" x14ac:dyDescent="0.4">
      <c r="A1640" s="4">
        <f>ROW()</f>
        <v>1640</v>
      </c>
      <c r="B1640" s="9" t="s">
        <v>27</v>
      </c>
      <c r="C1640" s="43" t="str">
        <f t="shared" si="877"/>
        <v>p.monitorar</v>
      </c>
      <c r="D1640" s="6" t="str">
        <f t="shared" ref="D1640:D1650" si="878">_xlfn.CONCAT("é.",G1640)</f>
        <v>é.série.temporal</v>
      </c>
      <c r="E1640" s="8" t="s">
        <v>28</v>
      </c>
      <c r="F1640" s="41" t="s">
        <v>6525</v>
      </c>
      <c r="G1640" s="13" t="s">
        <v>6553</v>
      </c>
      <c r="H1640" s="34" t="s">
        <v>1581</v>
      </c>
      <c r="I1640" s="92" t="str">
        <f t="shared" si="867"/>
        <v>null</v>
      </c>
      <c r="J1640" s="80" t="s">
        <v>0</v>
      </c>
      <c r="K1640" s="80" t="s">
        <v>0</v>
      </c>
      <c r="L1640" s="80" t="s">
        <v>0</v>
      </c>
      <c r="M1640" s="80" t="s">
        <v>0</v>
      </c>
      <c r="N1640" s="80" t="s">
        <v>0</v>
      </c>
      <c r="O1640" s="80" t="s">
        <v>0</v>
      </c>
      <c r="P1640" s="80" t="s">
        <v>0</v>
      </c>
      <c r="Q1640" s="80" t="s">
        <v>0</v>
      </c>
      <c r="R1640" s="84" t="s">
        <v>0</v>
      </c>
      <c r="S1640" s="10" t="s">
        <v>1</v>
      </c>
      <c r="T1640" s="10" t="s">
        <v>10221</v>
      </c>
      <c r="U1640" s="5" t="str">
        <f t="shared" ref="U1640:U1650" si="879">_xlfn.CONCAT("Propriedade destinada a ",MID(C1640,FIND("p.",C1640,1)+2,100),": ",D1640)</f>
        <v>Propriedade destinada a monitorar: é.série.temporal</v>
      </c>
      <c r="V1640" s="5" t="str">
        <f t="shared" ref="V1640:V1650" si="880">_xlfn.CONCAT("Dado para ",MID(F1640,FIND("d.",F1640,1)+2,100),":  ",G1640, "  Deve ser formatado como (",H1640, ")")</f>
        <v>Dado para monitorar:  série.temporal  Deve ser formatado como (rdfs:Literal  or  xsd:string)</v>
      </c>
      <c r="W1640" s="69" t="s">
        <v>6523</v>
      </c>
      <c r="X1640" s="17" t="str">
        <f t="shared" si="853"/>
        <v>d.monit.100</v>
      </c>
      <c r="Y1640" s="17" t="str">
        <f t="shared" si="854"/>
        <v>Ação de monitorar</v>
      </c>
      <c r="Z1640" s="62" t="s">
        <v>6543</v>
      </c>
      <c r="AA1640" s="18" t="str">
        <f t="shared" ref="AA1640:AA1650" si="881">IF(AB1640="null", "null", "categoria.revit")</f>
        <v>null</v>
      </c>
      <c r="AB1640" s="19" t="s">
        <v>0</v>
      </c>
      <c r="AC1640" s="18" t="str">
        <f t="shared" ref="AC1640:AC1650" si="882">IF(AD1640="null", "null", "classe.ifc")</f>
        <v>null</v>
      </c>
      <c r="AD1640" s="19" t="s">
        <v>0</v>
      </c>
      <c r="AE1640" s="18" t="str">
        <f t="shared" ref="AE1640:AE1650" si="883">IF(AF1640="null", "null", "propriedade")</f>
        <v>null</v>
      </c>
      <c r="AF1640" s="75" t="s">
        <v>0</v>
      </c>
      <c r="AG1640" s="38" t="s">
        <v>8791</v>
      </c>
    </row>
    <row r="1641" spans="1:33" ht="6" customHeight="1" x14ac:dyDescent="0.4">
      <c r="A1641" s="4">
        <f>ROW()</f>
        <v>1641</v>
      </c>
      <c r="B1641" s="9" t="s">
        <v>27</v>
      </c>
      <c r="C1641" s="44" t="str">
        <f t="shared" si="877"/>
        <v>p.monitorar</v>
      </c>
      <c r="D1641" s="6" t="str">
        <f t="shared" si="878"/>
        <v>é.span.operação</v>
      </c>
      <c r="E1641" s="8" t="s">
        <v>28</v>
      </c>
      <c r="F1641" s="34" t="str">
        <f>F1640</f>
        <v>d.monitorar</v>
      </c>
      <c r="G1641" s="13" t="s">
        <v>6526</v>
      </c>
      <c r="H1641" s="34" t="s">
        <v>1581</v>
      </c>
      <c r="I1641" s="92" t="str">
        <f t="shared" si="867"/>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79"/>
        <v>Propriedade destinada a monitorar: é.span.operação</v>
      </c>
      <c r="V1641" s="5" t="str">
        <f t="shared" si="880"/>
        <v>Dado para monitorar:  span.operação  Deve ser formatado como (rdfs:Literal  or  xsd:string)</v>
      </c>
      <c r="W1641" s="69" t="s">
        <v>6527</v>
      </c>
      <c r="X1641" s="17" t="str">
        <f t="shared" si="853"/>
        <v>d.monit.101</v>
      </c>
      <c r="Y1641" s="17" t="str">
        <f t="shared" si="854"/>
        <v>Ação de monitorar</v>
      </c>
      <c r="Z1641" s="62" t="s">
        <v>6544</v>
      </c>
      <c r="AA1641" s="18" t="str">
        <f t="shared" si="881"/>
        <v>null</v>
      </c>
      <c r="AB1641" s="19" t="s">
        <v>0</v>
      </c>
      <c r="AC1641" s="18" t="str">
        <f t="shared" si="882"/>
        <v>null</v>
      </c>
      <c r="AD1641" s="19" t="s">
        <v>0</v>
      </c>
      <c r="AE1641" s="18" t="str">
        <f t="shared" si="883"/>
        <v>null</v>
      </c>
      <c r="AF1641" s="75" t="s">
        <v>0</v>
      </c>
      <c r="AG1641" s="38" t="s">
        <v>8792</v>
      </c>
    </row>
    <row r="1642" spans="1:33" ht="6" customHeight="1" x14ac:dyDescent="0.4">
      <c r="A1642" s="4">
        <f>ROW()</f>
        <v>1642</v>
      </c>
      <c r="B1642" s="9" t="s">
        <v>27</v>
      </c>
      <c r="C1642" s="44" t="str">
        <f t="shared" si="877"/>
        <v>p.monitorar</v>
      </c>
      <c r="D1642" s="6" t="str">
        <f t="shared" si="878"/>
        <v>é.span.principal</v>
      </c>
      <c r="E1642" s="8" t="s">
        <v>28</v>
      </c>
      <c r="F1642" s="34" t="str">
        <f t="shared" ref="F1642:F1650" si="884">F1641</f>
        <v>d.monitorar</v>
      </c>
      <c r="G1642" s="13" t="s">
        <v>6535</v>
      </c>
      <c r="H1642" s="34" t="s">
        <v>1581</v>
      </c>
      <c r="I1642" s="92" t="str">
        <f t="shared" si="867"/>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79"/>
        <v>Propriedade destinada a monitorar: é.span.principal</v>
      </c>
      <c r="V1642" s="5" t="str">
        <f t="shared" si="880"/>
        <v>Dado para monitorar:  span.principal  Deve ser formatado como (rdfs:Literal  or  xsd:string)</v>
      </c>
      <c r="W1642" s="69" t="s">
        <v>6529</v>
      </c>
      <c r="X1642" s="17" t="str">
        <f t="shared" si="853"/>
        <v>d.monit.102</v>
      </c>
      <c r="Y1642" s="17" t="str">
        <f t="shared" si="854"/>
        <v>Ação de monitorar</v>
      </c>
      <c r="Z1642" s="62" t="s">
        <v>6545</v>
      </c>
      <c r="AA1642" s="18" t="str">
        <f t="shared" si="881"/>
        <v>null</v>
      </c>
      <c r="AB1642" s="19" t="s">
        <v>0</v>
      </c>
      <c r="AC1642" s="18" t="str">
        <f t="shared" si="882"/>
        <v>null</v>
      </c>
      <c r="AD1642" s="19" t="s">
        <v>0</v>
      </c>
      <c r="AE1642" s="18" t="str">
        <f t="shared" si="883"/>
        <v>null</v>
      </c>
      <c r="AF1642" s="75" t="s">
        <v>0</v>
      </c>
      <c r="AG1642" s="38" t="s">
        <v>8793</v>
      </c>
    </row>
    <row r="1643" spans="1:33" ht="6" customHeight="1" x14ac:dyDescent="0.4">
      <c r="A1643" s="4">
        <f>ROW()</f>
        <v>1643</v>
      </c>
      <c r="B1643" s="9" t="s">
        <v>27</v>
      </c>
      <c r="C1643" s="44" t="str">
        <f t="shared" si="877"/>
        <v>p.monitorar</v>
      </c>
      <c r="D1643" s="6" t="str">
        <f t="shared" si="878"/>
        <v>é.span.secundário</v>
      </c>
      <c r="E1643" s="8" t="s">
        <v>28</v>
      </c>
      <c r="F1643" s="34" t="str">
        <f t="shared" si="884"/>
        <v>d.monitorar</v>
      </c>
      <c r="G1643" s="13" t="s">
        <v>6536</v>
      </c>
      <c r="H1643" s="34" t="s">
        <v>1581</v>
      </c>
      <c r="I1643" s="92" t="str">
        <f t="shared" si="867"/>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79"/>
        <v>Propriedade destinada a monitorar: é.span.secundário</v>
      </c>
      <c r="V1643" s="5" t="str">
        <f t="shared" si="880"/>
        <v>Dado para monitorar:  span.secundário  Deve ser formatado como (rdfs:Literal  or  xsd:string)</v>
      </c>
      <c r="W1643" s="69" t="s">
        <v>6528</v>
      </c>
      <c r="X1643" s="17" t="str">
        <f t="shared" si="853"/>
        <v>d.monit.103</v>
      </c>
      <c r="Y1643" s="17" t="str">
        <f t="shared" si="854"/>
        <v>Ação de monitorar</v>
      </c>
      <c r="Z1643" s="62" t="s">
        <v>6546</v>
      </c>
      <c r="AA1643" s="18" t="str">
        <f t="shared" si="881"/>
        <v>null</v>
      </c>
      <c r="AB1643" s="19" t="s">
        <v>0</v>
      </c>
      <c r="AC1643" s="18" t="str">
        <f t="shared" si="882"/>
        <v>null</v>
      </c>
      <c r="AD1643" s="19" t="s">
        <v>0</v>
      </c>
      <c r="AE1643" s="18" t="str">
        <f t="shared" si="883"/>
        <v>null</v>
      </c>
      <c r="AF1643" s="75" t="s">
        <v>0</v>
      </c>
      <c r="AG1643" s="38" t="s">
        <v>8794</v>
      </c>
    </row>
    <row r="1644" spans="1:33" ht="6" customHeight="1" x14ac:dyDescent="0.4">
      <c r="A1644" s="4">
        <f>ROW()</f>
        <v>1644</v>
      </c>
      <c r="B1644" s="9" t="s">
        <v>27</v>
      </c>
      <c r="C1644" s="44" t="str">
        <f t="shared" si="877"/>
        <v>p.monitorar</v>
      </c>
      <c r="D1644" s="6" t="str">
        <f t="shared" si="878"/>
        <v>é.telemetria.coleta</v>
      </c>
      <c r="E1644" s="8" t="s">
        <v>28</v>
      </c>
      <c r="F1644" s="34" t="str">
        <f t="shared" si="884"/>
        <v>d.monitorar</v>
      </c>
      <c r="G1644" s="13" t="s">
        <v>6533</v>
      </c>
      <c r="H1644" s="34" t="s">
        <v>1581</v>
      </c>
      <c r="I1644" s="92" t="str">
        <f t="shared" si="867"/>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79"/>
        <v>Propriedade destinada a monitorar: é.telemetria.coleta</v>
      </c>
      <c r="V1644" s="5" t="str">
        <f t="shared" si="880"/>
        <v>Dado para monitorar:  telemetria.coleta  Deve ser formatado como (rdfs:Literal  or  xsd:string)</v>
      </c>
      <c r="W1644" s="69" t="s">
        <v>6538</v>
      </c>
      <c r="X1644" s="17" t="str">
        <f t="shared" si="853"/>
        <v>d.monit.104</v>
      </c>
      <c r="Y1644" s="17" t="str">
        <f t="shared" si="854"/>
        <v>Ação de monitorar</v>
      </c>
      <c r="Z1644" s="62" t="s">
        <v>6548</v>
      </c>
      <c r="AA1644" s="18" t="str">
        <f t="shared" si="881"/>
        <v>null</v>
      </c>
      <c r="AB1644" s="19" t="s">
        <v>0</v>
      </c>
      <c r="AC1644" s="18" t="str">
        <f t="shared" si="882"/>
        <v>null</v>
      </c>
      <c r="AD1644" s="19" t="s">
        <v>0</v>
      </c>
      <c r="AE1644" s="18" t="str">
        <f t="shared" si="883"/>
        <v>null</v>
      </c>
      <c r="AF1644" s="75" t="s">
        <v>0</v>
      </c>
      <c r="AG1644" s="38" t="s">
        <v>8795</v>
      </c>
    </row>
    <row r="1645" spans="1:33" ht="6" customHeight="1" x14ac:dyDescent="0.4">
      <c r="A1645" s="4">
        <f>ROW()</f>
        <v>1645</v>
      </c>
      <c r="B1645" s="9" t="s">
        <v>27</v>
      </c>
      <c r="C1645" s="44" t="str">
        <f t="shared" si="877"/>
        <v>p.monitorar</v>
      </c>
      <c r="D1645" s="6" t="str">
        <f t="shared" si="878"/>
        <v>é.telemetria.dado</v>
      </c>
      <c r="E1645" s="8" t="s">
        <v>28</v>
      </c>
      <c r="F1645" s="34" t="str">
        <f t="shared" si="884"/>
        <v>d.monitorar</v>
      </c>
      <c r="G1645" s="13" t="s">
        <v>6539</v>
      </c>
      <c r="H1645" s="34" t="s">
        <v>1581</v>
      </c>
      <c r="I1645" s="92" t="str">
        <f t="shared" si="867"/>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79"/>
        <v>Propriedade destinada a monitorar: é.telemetria.dado</v>
      </c>
      <c r="V1645" s="5" t="str">
        <f t="shared" si="880"/>
        <v>Dado para monitorar:  telemetria.dado  Deve ser formatado como (rdfs:Literal  or  xsd:string)</v>
      </c>
      <c r="W1645" s="69" t="s">
        <v>6523</v>
      </c>
      <c r="X1645" s="17" t="str">
        <f t="shared" si="853"/>
        <v>d.monit.105</v>
      </c>
      <c r="Y1645" s="17" t="str">
        <f t="shared" si="854"/>
        <v>Ação de monitorar</v>
      </c>
      <c r="Z1645" s="62" t="s">
        <v>6543</v>
      </c>
      <c r="AA1645" s="18" t="str">
        <f t="shared" si="881"/>
        <v>null</v>
      </c>
      <c r="AB1645" s="19" t="s">
        <v>0</v>
      </c>
      <c r="AC1645" s="18" t="str">
        <f t="shared" si="882"/>
        <v>null</v>
      </c>
      <c r="AD1645" s="19" t="s">
        <v>0</v>
      </c>
      <c r="AE1645" s="18" t="str">
        <f t="shared" si="883"/>
        <v>null</v>
      </c>
      <c r="AF1645" s="75" t="s">
        <v>0</v>
      </c>
      <c r="AG1645" s="38" t="s">
        <v>8791</v>
      </c>
    </row>
    <row r="1646" spans="1:33" ht="6" customHeight="1" x14ac:dyDescent="0.4">
      <c r="A1646" s="4">
        <f>ROW()</f>
        <v>1646</v>
      </c>
      <c r="B1646" s="9" t="s">
        <v>27</v>
      </c>
      <c r="C1646" s="44" t="str">
        <f t="shared" si="877"/>
        <v>p.monitorar</v>
      </c>
      <c r="D1646" s="6" t="str">
        <f t="shared" si="878"/>
        <v>é.telemetria.id</v>
      </c>
      <c r="E1646" s="8" t="s">
        <v>28</v>
      </c>
      <c r="F1646" s="34" t="str">
        <f t="shared" si="884"/>
        <v>d.monitorar</v>
      </c>
      <c r="G1646" s="13" t="s">
        <v>6540</v>
      </c>
      <c r="H1646" s="34" t="s">
        <v>1581</v>
      </c>
      <c r="I1646" s="92" t="str">
        <f t="shared" si="867"/>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79"/>
        <v>Propriedade destinada a monitorar: é.telemetria.id</v>
      </c>
      <c r="V1646" s="5" t="str">
        <f t="shared" si="880"/>
        <v>Dado para monitorar:  telemetria.id  Deve ser formatado como (rdfs:Literal  or  xsd:string)</v>
      </c>
      <c r="W1646" s="69" t="s">
        <v>6541</v>
      </c>
      <c r="X1646" s="17" t="str">
        <f t="shared" si="853"/>
        <v>d.monit.106</v>
      </c>
      <c r="Y1646" s="17" t="str">
        <f t="shared" si="854"/>
        <v>Ação de monitorar</v>
      </c>
      <c r="Z1646" s="62" t="s">
        <v>6547</v>
      </c>
      <c r="AA1646" s="18" t="str">
        <f t="shared" si="881"/>
        <v>null</v>
      </c>
      <c r="AB1646" s="19" t="s">
        <v>0</v>
      </c>
      <c r="AC1646" s="18" t="str">
        <f t="shared" si="882"/>
        <v>null</v>
      </c>
      <c r="AD1646" s="19" t="s">
        <v>0</v>
      </c>
      <c r="AE1646" s="18" t="str">
        <f t="shared" si="883"/>
        <v>null</v>
      </c>
      <c r="AF1646" s="75" t="s">
        <v>0</v>
      </c>
      <c r="AG1646" s="38" t="s">
        <v>8796</v>
      </c>
    </row>
    <row r="1647" spans="1:33" ht="6" customHeight="1" x14ac:dyDescent="0.4">
      <c r="A1647" s="4">
        <f>ROW()</f>
        <v>1647</v>
      </c>
      <c r="B1647" s="9" t="s">
        <v>27</v>
      </c>
      <c r="C1647" s="44" t="str">
        <f t="shared" si="877"/>
        <v>p.monitorar</v>
      </c>
      <c r="D1647" s="6" t="str">
        <f t="shared" si="878"/>
        <v>é.telemetria.granular</v>
      </c>
      <c r="E1647" s="8" t="s">
        <v>28</v>
      </c>
      <c r="F1647" s="34" t="str">
        <f t="shared" si="884"/>
        <v>d.monitorar</v>
      </c>
      <c r="G1647" s="13" t="s">
        <v>6522</v>
      </c>
      <c r="H1647" s="34" t="s">
        <v>36</v>
      </c>
      <c r="I1647" s="92" t="str">
        <f t="shared" si="867"/>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79"/>
        <v>Propriedade destinada a monitorar: é.telemetria.granular</v>
      </c>
      <c r="V1647" s="5" t="str">
        <f t="shared" si="880"/>
        <v>Dado para monitorar:  telemetria.granular  Deve ser formatado como (xsd:boolean)</v>
      </c>
      <c r="W1647" s="69" t="s">
        <v>6530</v>
      </c>
      <c r="X1647" s="17" t="str">
        <f t="shared" si="853"/>
        <v>d.monit.107</v>
      </c>
      <c r="Y1647" s="17" t="str">
        <f t="shared" si="854"/>
        <v>Ação de monitorar</v>
      </c>
      <c r="Z1647" s="62" t="s">
        <v>6549</v>
      </c>
      <c r="AA1647" s="18" t="str">
        <f t="shared" si="881"/>
        <v>null</v>
      </c>
      <c r="AB1647" s="19" t="s">
        <v>0</v>
      </c>
      <c r="AC1647" s="18" t="str">
        <f t="shared" si="882"/>
        <v>null</v>
      </c>
      <c r="AD1647" s="19" t="s">
        <v>0</v>
      </c>
      <c r="AE1647" s="18" t="str">
        <f t="shared" si="883"/>
        <v>null</v>
      </c>
      <c r="AF1647" s="75" t="s">
        <v>0</v>
      </c>
      <c r="AG1647" s="38" t="s">
        <v>8797</v>
      </c>
    </row>
    <row r="1648" spans="1:33" ht="6" customHeight="1" x14ac:dyDescent="0.4">
      <c r="A1648" s="4">
        <f>ROW()</f>
        <v>1648</v>
      </c>
      <c r="B1648" s="9" t="s">
        <v>27</v>
      </c>
      <c r="C1648" s="44" t="str">
        <f t="shared" si="877"/>
        <v>p.monitorar</v>
      </c>
      <c r="D1648" s="6" t="str">
        <f t="shared" si="878"/>
        <v>é.telemetria.logs</v>
      </c>
      <c r="E1648" s="8" t="s">
        <v>28</v>
      </c>
      <c r="F1648" s="34" t="str">
        <f t="shared" si="884"/>
        <v>d.monitorar</v>
      </c>
      <c r="G1648" s="13" t="s">
        <v>6552</v>
      </c>
      <c r="H1648" s="34" t="s">
        <v>1581</v>
      </c>
      <c r="I1648" s="92" t="str">
        <f t="shared" si="867"/>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si="879"/>
        <v>Propriedade destinada a monitorar: é.telemetria.logs</v>
      </c>
      <c r="V1648" s="5" t="str">
        <f t="shared" si="880"/>
        <v>Dado para monitorar:  telemetria.logs  Deve ser formatado como (rdfs:Literal  or  xsd:string)</v>
      </c>
      <c r="W1648" s="69" t="s">
        <v>6537</v>
      </c>
      <c r="X1648" s="17" t="str">
        <f t="shared" si="853"/>
        <v>d.monit.108</v>
      </c>
      <c r="Y1648" s="17" t="str">
        <f t="shared" si="854"/>
        <v>Ação de monitorar</v>
      </c>
      <c r="Z1648" s="62" t="s">
        <v>6542</v>
      </c>
      <c r="AA1648" s="18" t="str">
        <f t="shared" si="881"/>
        <v>null</v>
      </c>
      <c r="AB1648" s="19" t="s">
        <v>0</v>
      </c>
      <c r="AC1648" s="18" t="str">
        <f t="shared" si="882"/>
        <v>null</v>
      </c>
      <c r="AD1648" s="19" t="s">
        <v>0</v>
      </c>
      <c r="AE1648" s="18" t="str">
        <f t="shared" si="883"/>
        <v>null</v>
      </c>
      <c r="AF1648" s="75" t="s">
        <v>0</v>
      </c>
      <c r="AG1648" s="38" t="s">
        <v>8798</v>
      </c>
    </row>
    <row r="1649" spans="1:33" ht="6" customHeight="1" x14ac:dyDescent="0.4">
      <c r="A1649" s="4">
        <f>ROW()</f>
        <v>1649</v>
      </c>
      <c r="B1649" s="9" t="s">
        <v>27</v>
      </c>
      <c r="C1649" s="44" t="str">
        <f t="shared" si="877"/>
        <v>p.monitorar</v>
      </c>
      <c r="D1649" s="6" t="str">
        <f t="shared" si="878"/>
        <v>é.telemetria.tempo.real</v>
      </c>
      <c r="E1649" s="8" t="s">
        <v>28</v>
      </c>
      <c r="F1649" s="34" t="str">
        <f t="shared" si="884"/>
        <v>d.monitorar</v>
      </c>
      <c r="G1649" s="13" t="s">
        <v>6524</v>
      </c>
      <c r="H1649" s="34" t="s">
        <v>36</v>
      </c>
      <c r="I1649" s="92" t="str">
        <f t="shared" si="867"/>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9"/>
        <v>Propriedade destinada a monitorar: é.telemetria.tempo.real</v>
      </c>
      <c r="V1649" s="5" t="str">
        <f t="shared" si="880"/>
        <v>Dado para monitorar:  telemetria.tempo.real  Deve ser formatado como (xsd:boolean)</v>
      </c>
      <c r="W1649" s="69" t="s">
        <v>6531</v>
      </c>
      <c r="X1649" s="17" t="str">
        <f t="shared" si="853"/>
        <v>d.monit.109</v>
      </c>
      <c r="Y1649" s="17" t="str">
        <f t="shared" si="854"/>
        <v>Ação de monitorar</v>
      </c>
      <c r="Z1649" s="62" t="s">
        <v>6550</v>
      </c>
      <c r="AA1649" s="18" t="str">
        <f t="shared" si="881"/>
        <v>null</v>
      </c>
      <c r="AB1649" s="19" t="s">
        <v>0</v>
      </c>
      <c r="AC1649" s="18" t="str">
        <f t="shared" si="882"/>
        <v>null</v>
      </c>
      <c r="AD1649" s="19" t="s">
        <v>0</v>
      </c>
      <c r="AE1649" s="18" t="str">
        <f t="shared" si="883"/>
        <v>null</v>
      </c>
      <c r="AF1649" s="75" t="s">
        <v>0</v>
      </c>
      <c r="AG1649" s="38" t="s">
        <v>8799</v>
      </c>
    </row>
    <row r="1650" spans="1:33" ht="6" customHeight="1" x14ac:dyDescent="0.4">
      <c r="A1650" s="4">
        <f>ROW()</f>
        <v>1650</v>
      </c>
      <c r="B1650" s="9" t="s">
        <v>27</v>
      </c>
      <c r="C1650" s="44" t="str">
        <f t="shared" si="877"/>
        <v>p.monitorar</v>
      </c>
      <c r="D1650" s="6" t="str">
        <f t="shared" si="878"/>
        <v>é.telemetria.transmite</v>
      </c>
      <c r="E1650" s="8" t="s">
        <v>28</v>
      </c>
      <c r="F1650" s="34" t="str">
        <f t="shared" si="884"/>
        <v>d.monitorar</v>
      </c>
      <c r="G1650" s="13" t="s">
        <v>6534</v>
      </c>
      <c r="H1650" s="34" t="s">
        <v>1581</v>
      </c>
      <c r="I1650" s="92" t="str">
        <f t="shared" si="867"/>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9"/>
        <v>Propriedade destinada a monitorar: é.telemetria.transmite</v>
      </c>
      <c r="V1650" s="5" t="str">
        <f t="shared" si="880"/>
        <v>Dado para monitorar:  telemetria.transmite  Deve ser formatado como (rdfs:Literal  or  xsd:string)</v>
      </c>
      <c r="W1650" s="69" t="s">
        <v>6532</v>
      </c>
      <c r="X1650" s="17" t="str">
        <f t="shared" si="853"/>
        <v>d.monit.110</v>
      </c>
      <c r="Y1650" s="17" t="str">
        <f t="shared" si="854"/>
        <v>Ação de monitorar</v>
      </c>
      <c r="Z1650" s="62" t="s">
        <v>6551</v>
      </c>
      <c r="AA1650" s="18" t="str">
        <f t="shared" si="881"/>
        <v>null</v>
      </c>
      <c r="AB1650" s="19" t="s">
        <v>0</v>
      </c>
      <c r="AC1650" s="18" t="str">
        <f t="shared" si="882"/>
        <v>null</v>
      </c>
      <c r="AD1650" s="19" t="s">
        <v>0</v>
      </c>
      <c r="AE1650" s="18" t="str">
        <f t="shared" si="883"/>
        <v>null</v>
      </c>
      <c r="AF1650" s="75" t="s">
        <v>0</v>
      </c>
      <c r="AG1650" s="38" t="s">
        <v>8800</v>
      </c>
    </row>
    <row r="1651" spans="1:33" ht="6" customHeight="1" x14ac:dyDescent="0.4">
      <c r="A1651" s="4">
        <f>ROW()</f>
        <v>1651</v>
      </c>
      <c r="B1651" s="9" t="s">
        <v>27</v>
      </c>
      <c r="C1651" s="43" t="str">
        <f t="shared" si="877"/>
        <v>p.montar</v>
      </c>
      <c r="D1651" s="6" t="str">
        <f t="shared" si="875"/>
        <v>é.apoio.de</v>
      </c>
      <c r="E1651" s="8" t="s">
        <v>28</v>
      </c>
      <c r="F1651" s="41" t="s">
        <v>2207</v>
      </c>
      <c r="G1651" s="13" t="s">
        <v>3038</v>
      </c>
      <c r="H1651" s="34" t="s">
        <v>1581</v>
      </c>
      <c r="I1651" s="92" t="str">
        <f t="shared" si="867"/>
        <v>null</v>
      </c>
      <c r="J1651" s="80" t="s">
        <v>0</v>
      </c>
      <c r="K1651" s="80" t="s">
        <v>0</v>
      </c>
      <c r="L1651" s="80" t="s">
        <v>0</v>
      </c>
      <c r="M1651" s="80" t="s">
        <v>0</v>
      </c>
      <c r="N1651" s="80" t="s">
        <v>0</v>
      </c>
      <c r="O1651" s="80" t="s">
        <v>0</v>
      </c>
      <c r="P1651" s="80" t="s">
        <v>0</v>
      </c>
      <c r="Q1651" s="80" t="s">
        <v>2323</v>
      </c>
      <c r="R1651" s="84" t="s">
        <v>0</v>
      </c>
      <c r="S1651" s="10" t="s">
        <v>1</v>
      </c>
      <c r="T1651" s="10" t="s">
        <v>10221</v>
      </c>
      <c r="U1651" s="5" t="str">
        <f t="shared" si="837"/>
        <v>Propriedade destinada a montar: é.apoio.de</v>
      </c>
      <c r="V1651" s="5" t="str">
        <f t="shared" si="838"/>
        <v>Dado para montar:  apoio.de  Deve ser formatado como (rdfs:Literal  or  xsd:string)</v>
      </c>
      <c r="W1651" s="69" t="s">
        <v>5856</v>
      </c>
      <c r="X1651" s="17" t="str">
        <f t="shared" si="853"/>
        <v>d.monta.100</v>
      </c>
      <c r="Y1651" s="17" t="str">
        <f t="shared" si="854"/>
        <v>Ação de montar</v>
      </c>
      <c r="Z1651" s="62" t="s">
        <v>1577</v>
      </c>
      <c r="AA1651" s="18" t="str">
        <f t="shared" si="839"/>
        <v>null</v>
      </c>
      <c r="AB1651" s="19" t="s">
        <v>0</v>
      </c>
      <c r="AC1651" s="18" t="str">
        <f t="shared" si="840"/>
        <v>null</v>
      </c>
      <c r="AD1651" s="19" t="s">
        <v>0</v>
      </c>
      <c r="AE1651" s="18" t="str">
        <f t="shared" si="876"/>
        <v>null</v>
      </c>
      <c r="AF1651" s="75" t="s">
        <v>0</v>
      </c>
      <c r="AG1651" s="38" t="s">
        <v>8801</v>
      </c>
    </row>
    <row r="1652" spans="1:33" ht="6" customHeight="1" x14ac:dyDescent="0.4">
      <c r="A1652" s="4">
        <f>ROW()</f>
        <v>1652</v>
      </c>
      <c r="B1652" s="9" t="s">
        <v>27</v>
      </c>
      <c r="C1652" s="44" t="str">
        <f t="shared" ref="C1652:C1670" si="885">SUBSTITUTE(F1652,"d.","p.")</f>
        <v>p.montar</v>
      </c>
      <c r="D1652" s="6" t="str">
        <f t="shared" si="875"/>
        <v>é.apoiado.em</v>
      </c>
      <c r="E1652" s="8" t="s">
        <v>28</v>
      </c>
      <c r="F1652" s="34" t="str">
        <f>F1651</f>
        <v>d.montar</v>
      </c>
      <c r="G1652" s="13" t="s">
        <v>1695</v>
      </c>
      <c r="H1652" s="34" t="s">
        <v>1581</v>
      </c>
      <c r="I1652" s="92" t="str">
        <f t="shared" si="867"/>
        <v>null</v>
      </c>
      <c r="J1652" s="80" t="s">
        <v>0</v>
      </c>
      <c r="K1652" s="80" t="s">
        <v>0</v>
      </c>
      <c r="L1652" s="80" t="s">
        <v>0</v>
      </c>
      <c r="M1652" s="80" t="s">
        <v>0</v>
      </c>
      <c r="N1652" s="80" t="s">
        <v>0</v>
      </c>
      <c r="O1652" s="80" t="s">
        <v>0</v>
      </c>
      <c r="P1652" s="80" t="s">
        <v>0</v>
      </c>
      <c r="Q1652" s="80" t="s">
        <v>3039</v>
      </c>
      <c r="R1652" s="84" t="s">
        <v>0</v>
      </c>
      <c r="S1652" s="10" t="s">
        <v>1</v>
      </c>
      <c r="T1652" s="10" t="s">
        <v>10221</v>
      </c>
      <c r="U1652" s="5" t="str">
        <f t="shared" si="837"/>
        <v>Propriedade destinada a montar: é.apoiado.em</v>
      </c>
      <c r="V1652" s="5" t="str">
        <f t="shared" si="838"/>
        <v>Dado para montar:  apoiado.em  Deve ser formatado como (rdfs:Literal  or  xsd:string)</v>
      </c>
      <c r="W1652" s="69" t="s">
        <v>5857</v>
      </c>
      <c r="X1652" s="17" t="str">
        <f t="shared" si="853"/>
        <v>d.monta.101</v>
      </c>
      <c r="Y1652" s="17" t="str">
        <f t="shared" si="854"/>
        <v>Ação de montar</v>
      </c>
      <c r="Z1652" s="62" t="s">
        <v>1696</v>
      </c>
      <c r="AA1652" s="18" t="str">
        <f t="shared" ref="AA1652:AA1670" si="886">IF(AB1652="null", "null", "categoria.revit")</f>
        <v>null</v>
      </c>
      <c r="AB1652" s="19" t="s">
        <v>0</v>
      </c>
      <c r="AC1652" s="18" t="str">
        <f t="shared" ref="AC1652:AC1670" si="887">IF(AD1652="null", "null", "classe.ifc")</f>
        <v>null</v>
      </c>
      <c r="AD1652" s="19" t="s">
        <v>0</v>
      </c>
      <c r="AE1652" s="18" t="str">
        <f t="shared" si="876"/>
        <v>null</v>
      </c>
      <c r="AF1652" s="75" t="s">
        <v>0</v>
      </c>
      <c r="AG1652" s="38" t="s">
        <v>8802</v>
      </c>
    </row>
    <row r="1653" spans="1:33" ht="6" customHeight="1" x14ac:dyDescent="0.4">
      <c r="A1653" s="4">
        <f>ROW()</f>
        <v>1653</v>
      </c>
      <c r="B1653" s="9" t="s">
        <v>27</v>
      </c>
      <c r="C1653" s="44" t="str">
        <f t="shared" si="885"/>
        <v>p.montar</v>
      </c>
      <c r="D1653" s="6" t="str">
        <f t="shared" si="875"/>
        <v>é.banzo.inferior.de</v>
      </c>
      <c r="E1653" s="8" t="s">
        <v>28</v>
      </c>
      <c r="F1653" s="34" t="str">
        <f>F1652</f>
        <v>d.montar</v>
      </c>
      <c r="G1653" s="13" t="s">
        <v>1543</v>
      </c>
      <c r="H1653" s="34" t="s">
        <v>1581</v>
      </c>
      <c r="I1653" s="92" t="str">
        <f t="shared" si="867"/>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37"/>
        <v>Propriedade destinada a montar: é.banzo.inferior.de</v>
      </c>
      <c r="V1653" s="5" t="str">
        <f t="shared" si="838"/>
        <v>Dado para montar:  banzo.inferior.de  Deve ser formatado como (rdfs:Literal  or  xsd:string)</v>
      </c>
      <c r="W1653" s="69" t="s">
        <v>5858</v>
      </c>
      <c r="X1653" s="17" t="str">
        <f t="shared" si="853"/>
        <v>d.monta.102</v>
      </c>
      <c r="Y1653" s="17" t="str">
        <f t="shared" si="854"/>
        <v>Ação de montar</v>
      </c>
      <c r="Z1653" s="62" t="s">
        <v>1549</v>
      </c>
      <c r="AA1653" s="18" t="str">
        <f t="shared" si="886"/>
        <v>null</v>
      </c>
      <c r="AB1653" s="19" t="s">
        <v>0</v>
      </c>
      <c r="AC1653" s="18" t="str">
        <f t="shared" si="887"/>
        <v>null</v>
      </c>
      <c r="AD1653" s="19" t="s">
        <v>0</v>
      </c>
      <c r="AE1653" s="18" t="str">
        <f t="shared" si="876"/>
        <v>null</v>
      </c>
      <c r="AF1653" s="75" t="s">
        <v>0</v>
      </c>
      <c r="AG1653" s="38" t="s">
        <v>8803</v>
      </c>
    </row>
    <row r="1654" spans="1:33" ht="6" customHeight="1" x14ac:dyDescent="0.4">
      <c r="A1654" s="4">
        <f>ROW()</f>
        <v>1654</v>
      </c>
      <c r="B1654" s="9" t="s">
        <v>27</v>
      </c>
      <c r="C1654" s="44" t="str">
        <f t="shared" si="885"/>
        <v>p.montar</v>
      </c>
      <c r="D1654" s="6" t="str">
        <f t="shared" si="875"/>
        <v>é.banzo.superior.de</v>
      </c>
      <c r="E1654" s="8" t="s">
        <v>28</v>
      </c>
      <c r="F1654" s="34" t="str">
        <f>F1653</f>
        <v>d.montar</v>
      </c>
      <c r="G1654" s="13" t="s">
        <v>1542</v>
      </c>
      <c r="H1654" s="34" t="s">
        <v>1581</v>
      </c>
      <c r="I1654" s="92" t="str">
        <f t="shared" si="867"/>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37"/>
        <v>Propriedade destinada a montar: é.banzo.superior.de</v>
      </c>
      <c r="V1654" s="5" t="str">
        <f t="shared" si="838"/>
        <v>Dado para montar:  banzo.superior.de  Deve ser formatado como (rdfs:Literal  or  xsd:string)</v>
      </c>
      <c r="W1654" s="69" t="s">
        <v>5859</v>
      </c>
      <c r="X1654" s="17" t="str">
        <f t="shared" si="853"/>
        <v>d.monta.103</v>
      </c>
      <c r="Y1654" s="17" t="str">
        <f t="shared" si="854"/>
        <v>Ação de montar</v>
      </c>
      <c r="Z1654" s="62" t="s">
        <v>1548</v>
      </c>
      <c r="AA1654" s="18" t="str">
        <f t="shared" si="886"/>
        <v>null</v>
      </c>
      <c r="AB1654" s="19" t="s">
        <v>0</v>
      </c>
      <c r="AC1654" s="18" t="str">
        <f t="shared" si="887"/>
        <v>null</v>
      </c>
      <c r="AD1654" s="19" t="s">
        <v>0</v>
      </c>
      <c r="AE1654" s="18" t="str">
        <f t="shared" si="876"/>
        <v>null</v>
      </c>
      <c r="AF1654" s="75" t="s">
        <v>0</v>
      </c>
      <c r="AG1654" s="38" t="s">
        <v>8804</v>
      </c>
    </row>
    <row r="1655" spans="1:33" ht="6" customHeight="1" x14ac:dyDescent="0.4">
      <c r="A1655" s="4">
        <f>ROW()</f>
        <v>1655</v>
      </c>
      <c r="B1655" s="9" t="s">
        <v>27</v>
      </c>
      <c r="C1655" s="44" t="str">
        <f t="shared" si="885"/>
        <v>p.montar</v>
      </c>
      <c r="D1655" s="6" t="str">
        <f t="shared" si="875"/>
        <v>é.chapa.de</v>
      </c>
      <c r="E1655" s="8" t="s">
        <v>28</v>
      </c>
      <c r="F1655" s="34" t="str">
        <f t="shared" ref="F1655:F1669" si="888">F1654</f>
        <v>d.montar</v>
      </c>
      <c r="G1655" s="13" t="s">
        <v>1183</v>
      </c>
      <c r="H1655" s="34" t="s">
        <v>1581</v>
      </c>
      <c r="I1655" s="92" t="str">
        <f t="shared" si="867"/>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37"/>
        <v>Propriedade destinada a montar: é.chapa.de</v>
      </c>
      <c r="V1655" s="5" t="str">
        <f t="shared" si="838"/>
        <v>Dado para montar:  chapa.de  Deve ser formatado como (rdfs:Literal  or  xsd:string)</v>
      </c>
      <c r="W1655" s="69" t="s">
        <v>5860</v>
      </c>
      <c r="X1655" s="17" t="str">
        <f t="shared" si="853"/>
        <v>d.monta.104</v>
      </c>
      <c r="Y1655" s="17" t="str">
        <f t="shared" si="854"/>
        <v>Ação de montar</v>
      </c>
      <c r="Z1655" s="62" t="s">
        <v>1363</v>
      </c>
      <c r="AA1655" s="18" t="str">
        <f t="shared" si="886"/>
        <v>null</v>
      </c>
      <c r="AB1655" s="19" t="s">
        <v>0</v>
      </c>
      <c r="AC1655" s="18" t="str">
        <f t="shared" si="887"/>
        <v>null</v>
      </c>
      <c r="AD1655" s="19" t="s">
        <v>0</v>
      </c>
      <c r="AE1655" s="18" t="str">
        <f t="shared" si="876"/>
        <v>null</v>
      </c>
      <c r="AF1655" s="75" t="s">
        <v>0</v>
      </c>
      <c r="AG1655" s="38" t="s">
        <v>8805</v>
      </c>
    </row>
    <row r="1656" spans="1:33" ht="6" customHeight="1" x14ac:dyDescent="0.4">
      <c r="A1656" s="4">
        <f>ROW()</f>
        <v>1656</v>
      </c>
      <c r="B1656" s="9" t="s">
        <v>27</v>
      </c>
      <c r="C1656" s="44" t="str">
        <f t="shared" si="885"/>
        <v>p.montar</v>
      </c>
      <c r="D1656" s="6" t="str">
        <f t="shared" si="875"/>
        <v>é.colocado.em</v>
      </c>
      <c r="E1656" s="8" t="s">
        <v>28</v>
      </c>
      <c r="F1656" s="34" t="str">
        <f t="shared" si="888"/>
        <v>d.montar</v>
      </c>
      <c r="G1656" s="13" t="s">
        <v>1579</v>
      </c>
      <c r="H1656" s="34" t="s">
        <v>1581</v>
      </c>
      <c r="I1656" s="92" t="str">
        <f t="shared" si="867"/>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37"/>
        <v>Propriedade destinada a montar: é.colocado.em</v>
      </c>
      <c r="V1656" s="5" t="str">
        <f t="shared" si="838"/>
        <v>Dado para montar:  colocado.em  Deve ser formatado como (rdfs:Literal  or  xsd:string)</v>
      </c>
      <c r="W1656" s="69" t="s">
        <v>5861</v>
      </c>
      <c r="X1656" s="17" t="str">
        <f t="shared" si="853"/>
        <v>d.monta.105</v>
      </c>
      <c r="Y1656" s="17" t="str">
        <f t="shared" si="854"/>
        <v>Ação de montar</v>
      </c>
      <c r="Z1656" s="62" t="s">
        <v>1366</v>
      </c>
      <c r="AA1656" s="18" t="str">
        <f t="shared" si="886"/>
        <v>null</v>
      </c>
      <c r="AB1656" s="19" t="s">
        <v>0</v>
      </c>
      <c r="AC1656" s="18" t="str">
        <f t="shared" si="887"/>
        <v>null</v>
      </c>
      <c r="AD1656" s="19" t="s">
        <v>0</v>
      </c>
      <c r="AE1656" s="18" t="str">
        <f t="shared" si="876"/>
        <v>null</v>
      </c>
      <c r="AF1656" s="75" t="s">
        <v>0</v>
      </c>
      <c r="AG1656" s="38" t="s">
        <v>8806</v>
      </c>
    </row>
    <row r="1657" spans="1:33" ht="6" customHeight="1" x14ac:dyDescent="0.4">
      <c r="A1657" s="4">
        <f>ROW()</f>
        <v>1657</v>
      </c>
      <c r="B1657" s="9" t="s">
        <v>27</v>
      </c>
      <c r="C1657" s="44" t="str">
        <f t="shared" si="885"/>
        <v>p.montar</v>
      </c>
      <c r="D1657" s="6" t="str">
        <f t="shared" si="875"/>
        <v>é.componente.de</v>
      </c>
      <c r="E1657" s="8" t="s">
        <v>28</v>
      </c>
      <c r="F1657" s="34" t="str">
        <f t="shared" si="888"/>
        <v>d.montar</v>
      </c>
      <c r="G1657" s="13" t="s">
        <v>1533</v>
      </c>
      <c r="H1657" s="34" t="s">
        <v>1581</v>
      </c>
      <c r="I1657" s="92" t="str">
        <f t="shared" si="867"/>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37"/>
        <v>Propriedade destinada a montar: é.componente.de</v>
      </c>
      <c r="V1657" s="5" t="str">
        <f t="shared" si="838"/>
        <v>Dado para montar:  componente.de  Deve ser formatado como (rdfs:Literal  or  xsd:string)</v>
      </c>
      <c r="W1657" s="69" t="s">
        <v>5862</v>
      </c>
      <c r="X1657" s="17" t="str">
        <f t="shared" si="853"/>
        <v>d.monta.106</v>
      </c>
      <c r="Y1657" s="17" t="str">
        <f t="shared" si="854"/>
        <v>Ação de montar</v>
      </c>
      <c r="Z1657" s="62" t="s">
        <v>1550</v>
      </c>
      <c r="AA1657" s="18" t="str">
        <f t="shared" si="886"/>
        <v>null</v>
      </c>
      <c r="AB1657" s="19" t="s">
        <v>0</v>
      </c>
      <c r="AC1657" s="18" t="str">
        <f t="shared" si="887"/>
        <v>null</v>
      </c>
      <c r="AD1657" s="19" t="s">
        <v>0</v>
      </c>
      <c r="AE1657" s="18" t="str">
        <f t="shared" si="876"/>
        <v>null</v>
      </c>
      <c r="AF1657" s="75" t="s">
        <v>0</v>
      </c>
      <c r="AG1657" s="38" t="s">
        <v>8807</v>
      </c>
    </row>
    <row r="1658" spans="1:33" ht="6" customHeight="1" x14ac:dyDescent="0.4">
      <c r="A1658" s="4">
        <f>ROW()</f>
        <v>1658</v>
      </c>
      <c r="B1658" s="9" t="s">
        <v>27</v>
      </c>
      <c r="C1658" s="44" t="str">
        <f t="shared" si="885"/>
        <v>p.montar</v>
      </c>
      <c r="D1658" s="6" t="str">
        <f t="shared" si="875"/>
        <v>é.contraventamento.de</v>
      </c>
      <c r="E1658" s="8" t="s">
        <v>28</v>
      </c>
      <c r="F1658" s="34" t="str">
        <f t="shared" si="888"/>
        <v>d.montar</v>
      </c>
      <c r="G1658" s="13" t="s">
        <v>1544</v>
      </c>
      <c r="H1658" s="34" t="s">
        <v>1581</v>
      </c>
      <c r="I1658" s="92" t="str">
        <f t="shared" si="867"/>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37"/>
        <v>Propriedade destinada a montar: é.contraventamento.de</v>
      </c>
      <c r="V1658" s="5" t="str">
        <f t="shared" si="838"/>
        <v>Dado para montar:  contraventamento.de  Deve ser formatado como (rdfs:Literal  or  xsd:string)</v>
      </c>
      <c r="W1658" s="69" t="s">
        <v>5863</v>
      </c>
      <c r="X1658" s="17" t="str">
        <f t="shared" si="853"/>
        <v>d.monta.107</v>
      </c>
      <c r="Y1658" s="17" t="str">
        <f t="shared" si="854"/>
        <v>Ação de montar</v>
      </c>
      <c r="Z1658" s="62" t="s">
        <v>1545</v>
      </c>
      <c r="AA1658" s="18" t="str">
        <f t="shared" si="886"/>
        <v>null</v>
      </c>
      <c r="AB1658" s="19" t="s">
        <v>0</v>
      </c>
      <c r="AC1658" s="18" t="str">
        <f t="shared" si="887"/>
        <v>null</v>
      </c>
      <c r="AD1658" s="19" t="s">
        <v>0</v>
      </c>
      <c r="AE1658" s="18" t="str">
        <f t="shared" si="876"/>
        <v>null</v>
      </c>
      <c r="AF1658" s="75" t="s">
        <v>0</v>
      </c>
      <c r="AG1658" s="38" t="s">
        <v>8808</v>
      </c>
    </row>
    <row r="1659" spans="1:33" ht="6" customHeight="1" x14ac:dyDescent="0.4">
      <c r="A1659" s="4">
        <f>ROW()</f>
        <v>1659</v>
      </c>
      <c r="B1659" s="9" t="s">
        <v>27</v>
      </c>
      <c r="C1659" s="44" t="str">
        <f>SUBSTITUTE(F1659,"d.","p.")</f>
        <v>p.montar</v>
      </c>
      <c r="D1659" s="6" t="str">
        <f t="shared" si="875"/>
        <v>é.cumeeira.de</v>
      </c>
      <c r="E1659" s="8" t="s">
        <v>28</v>
      </c>
      <c r="F1659" s="34" t="str">
        <f>F1658</f>
        <v>d.montar</v>
      </c>
      <c r="G1659" s="14" t="s">
        <v>4251</v>
      </c>
      <c r="H1659" s="33" t="s">
        <v>1581</v>
      </c>
      <c r="I1659" s="92" t="str">
        <f t="shared" si="867"/>
        <v>null</v>
      </c>
      <c r="J1659" s="82" t="s">
        <v>0</v>
      </c>
      <c r="K1659" s="82" t="s">
        <v>0</v>
      </c>
      <c r="L1659" s="82" t="s">
        <v>0</v>
      </c>
      <c r="M1659" s="82" t="s">
        <v>0</v>
      </c>
      <c r="N1659" s="82" t="s">
        <v>0</v>
      </c>
      <c r="O1659" s="82" t="s">
        <v>0</v>
      </c>
      <c r="P1659" s="82" t="s">
        <v>0</v>
      </c>
      <c r="Q1659" s="82" t="s">
        <v>0</v>
      </c>
      <c r="R1659" s="84" t="s">
        <v>0</v>
      </c>
      <c r="S1659" s="10" t="s">
        <v>1</v>
      </c>
      <c r="T1659" s="10" t="s">
        <v>10221</v>
      </c>
      <c r="U1659" s="5" t="str">
        <f t="shared" si="837"/>
        <v>Propriedade destinada a montar: é.cumeeira.de</v>
      </c>
      <c r="V1659" s="5" t="str">
        <f t="shared" si="838"/>
        <v>Dado para montar:  cumeeira.de  Deve ser formatado como (rdfs:Literal  or  xsd:string)</v>
      </c>
      <c r="W1659" s="69" t="s">
        <v>5864</v>
      </c>
      <c r="X1659" s="17" t="str">
        <f t="shared" si="853"/>
        <v>d.monta.108</v>
      </c>
      <c r="Y1659" s="17" t="str">
        <f t="shared" si="854"/>
        <v>Ação de montar</v>
      </c>
      <c r="Z1659" s="62" t="s">
        <v>2382</v>
      </c>
      <c r="AA1659" s="18" t="str">
        <f t="shared" si="886"/>
        <v>null</v>
      </c>
      <c r="AB1659" s="19" t="s">
        <v>0</v>
      </c>
      <c r="AC1659" s="18" t="str">
        <f t="shared" si="887"/>
        <v>null</v>
      </c>
      <c r="AD1659" s="19" t="s">
        <v>0</v>
      </c>
      <c r="AE1659" s="18" t="str">
        <f t="shared" si="876"/>
        <v>null</v>
      </c>
      <c r="AF1659" s="75" t="s">
        <v>0</v>
      </c>
      <c r="AG1659" s="38" t="s">
        <v>8809</v>
      </c>
    </row>
    <row r="1660" spans="1:33" ht="6" customHeight="1" x14ac:dyDescent="0.4">
      <c r="A1660" s="4">
        <f>ROW()</f>
        <v>1660</v>
      </c>
      <c r="B1660" s="9" t="s">
        <v>27</v>
      </c>
      <c r="C1660" s="44" t="str">
        <f t="shared" si="885"/>
        <v>p.montar</v>
      </c>
      <c r="D1660" s="6" t="str">
        <f t="shared" si="875"/>
        <v>é.diagonal.de</v>
      </c>
      <c r="E1660" s="8" t="s">
        <v>28</v>
      </c>
      <c r="F1660" s="34" t="str">
        <f t="shared" ref="F1660:F1665" si="889">F1659</f>
        <v>d.montar</v>
      </c>
      <c r="G1660" s="13" t="s">
        <v>1540</v>
      </c>
      <c r="H1660" s="34" t="s">
        <v>1581</v>
      </c>
      <c r="I1660" s="92" t="str">
        <f t="shared" si="867"/>
        <v>null</v>
      </c>
      <c r="J1660" s="80" t="s">
        <v>0</v>
      </c>
      <c r="K1660" s="80" t="s">
        <v>0</v>
      </c>
      <c r="L1660" s="80" t="s">
        <v>0</v>
      </c>
      <c r="M1660" s="80" t="s">
        <v>0</v>
      </c>
      <c r="N1660" s="80" t="s">
        <v>0</v>
      </c>
      <c r="O1660" s="80" t="s">
        <v>0</v>
      </c>
      <c r="P1660" s="80" t="s">
        <v>0</v>
      </c>
      <c r="Q1660" s="80" t="s">
        <v>0</v>
      </c>
      <c r="R1660" s="84" t="s">
        <v>0</v>
      </c>
      <c r="S1660" s="10" t="s">
        <v>1</v>
      </c>
      <c r="T1660" s="10" t="s">
        <v>10221</v>
      </c>
      <c r="U1660" s="5" t="str">
        <f t="shared" si="837"/>
        <v>Propriedade destinada a montar: é.diagonal.de</v>
      </c>
      <c r="V1660" s="5" t="str">
        <f t="shared" si="838"/>
        <v>Dado para montar:  diagonal.de  Deve ser formatado como (rdfs:Literal  or  xsd:string)</v>
      </c>
      <c r="W1660" s="69" t="s">
        <v>5865</v>
      </c>
      <c r="X1660" s="17" t="str">
        <f t="shared" si="853"/>
        <v>d.monta.109</v>
      </c>
      <c r="Y1660" s="17" t="str">
        <f t="shared" si="854"/>
        <v>Ação de montar</v>
      </c>
      <c r="Z1660" s="62" t="s">
        <v>1546</v>
      </c>
      <c r="AA1660" s="18" t="str">
        <f t="shared" si="886"/>
        <v>null</v>
      </c>
      <c r="AB1660" s="19" t="s">
        <v>0</v>
      </c>
      <c r="AC1660" s="18" t="str">
        <f t="shared" si="887"/>
        <v>null</v>
      </c>
      <c r="AD1660" s="19" t="s">
        <v>0</v>
      </c>
      <c r="AE1660" s="18" t="str">
        <f t="shared" si="876"/>
        <v>null</v>
      </c>
      <c r="AF1660" s="75" t="s">
        <v>0</v>
      </c>
      <c r="AG1660" s="38" t="s">
        <v>8810</v>
      </c>
    </row>
    <row r="1661" spans="1:33" ht="6" customHeight="1" x14ac:dyDescent="0.4">
      <c r="A1661" s="4">
        <f>ROW()</f>
        <v>1661</v>
      </c>
      <c r="B1661" s="9" t="s">
        <v>27</v>
      </c>
      <c r="C1661" s="44" t="str">
        <f t="shared" si="885"/>
        <v>p.montar</v>
      </c>
      <c r="D1661" s="6" t="str">
        <f t="shared" si="875"/>
        <v>é.emplacada.com</v>
      </c>
      <c r="E1661" s="8" t="s">
        <v>28</v>
      </c>
      <c r="F1661" s="34" t="str">
        <f t="shared" si="889"/>
        <v>d.montar</v>
      </c>
      <c r="G1661" s="13" t="s">
        <v>3008</v>
      </c>
      <c r="H1661" s="34" t="s">
        <v>1581</v>
      </c>
      <c r="I1661" s="92" t="str">
        <f t="shared" si="867"/>
        <v>null</v>
      </c>
      <c r="J1661" s="80" t="s">
        <v>0</v>
      </c>
      <c r="K1661" s="80" t="s">
        <v>0</v>
      </c>
      <c r="L1661" s="80" t="s">
        <v>0</v>
      </c>
      <c r="M1661" s="80" t="s">
        <v>0</v>
      </c>
      <c r="N1661" s="80" t="s">
        <v>0</v>
      </c>
      <c r="O1661" s="80" t="s">
        <v>0</v>
      </c>
      <c r="P1661" s="80" t="s">
        <v>0</v>
      </c>
      <c r="Q1661" s="80" t="s">
        <v>0</v>
      </c>
      <c r="R1661" s="84" t="s">
        <v>3010</v>
      </c>
      <c r="S1661" s="10" t="s">
        <v>1</v>
      </c>
      <c r="T1661" s="10" t="s">
        <v>10221</v>
      </c>
      <c r="U1661" s="5" t="str">
        <f t="shared" si="837"/>
        <v>Propriedade destinada a montar: é.emplacada.com</v>
      </c>
      <c r="V1661" s="5" t="str">
        <f t="shared" si="838"/>
        <v>Dado para montar:  emplacada.com  Deve ser formatado como (rdfs:Literal  or  xsd:string)</v>
      </c>
      <c r="W1661" s="69" t="s">
        <v>3006</v>
      </c>
      <c r="X1661" s="17" t="str">
        <f t="shared" si="853"/>
        <v>d.monta.110</v>
      </c>
      <c r="Y1661" s="17" t="str">
        <f t="shared" si="854"/>
        <v>Ação de montar</v>
      </c>
      <c r="Z1661" s="62" t="s">
        <v>3007</v>
      </c>
      <c r="AA1661" s="18" t="str">
        <f t="shared" si="886"/>
        <v>null</v>
      </c>
      <c r="AB1661" s="19" t="s">
        <v>0</v>
      </c>
      <c r="AC1661" s="18" t="str">
        <f t="shared" si="887"/>
        <v>null</v>
      </c>
      <c r="AD1661" s="19" t="s">
        <v>0</v>
      </c>
      <c r="AE1661" s="18" t="str">
        <f t="shared" si="876"/>
        <v>null</v>
      </c>
      <c r="AF1661" s="75" t="s">
        <v>0</v>
      </c>
      <c r="AG1661" s="38" t="s">
        <v>8811</v>
      </c>
    </row>
    <row r="1662" spans="1:33" ht="6" customHeight="1" x14ac:dyDescent="0.4">
      <c r="A1662" s="4">
        <f>ROW()</f>
        <v>1662</v>
      </c>
      <c r="B1662" s="9" t="s">
        <v>27</v>
      </c>
      <c r="C1662" s="44" t="str">
        <f t="shared" si="885"/>
        <v>p.montar</v>
      </c>
      <c r="D1662" s="6" t="str">
        <f t="shared" si="875"/>
        <v>é.emplacado.com</v>
      </c>
      <c r="E1662" s="8" t="s">
        <v>28</v>
      </c>
      <c r="F1662" s="34" t="str">
        <f t="shared" si="889"/>
        <v>d.montar</v>
      </c>
      <c r="G1662" s="13" t="s">
        <v>3005</v>
      </c>
      <c r="H1662" s="34" t="s">
        <v>1581</v>
      </c>
      <c r="I1662" s="92" t="str">
        <f t="shared" si="867"/>
        <v>null</v>
      </c>
      <c r="J1662" s="80" t="s">
        <v>0</v>
      </c>
      <c r="K1662" s="80" t="s">
        <v>0</v>
      </c>
      <c r="L1662" s="80" t="s">
        <v>0</v>
      </c>
      <c r="M1662" s="80" t="s">
        <v>0</v>
      </c>
      <c r="N1662" s="80" t="s">
        <v>0</v>
      </c>
      <c r="O1662" s="80" t="s">
        <v>0</v>
      </c>
      <c r="P1662" s="80" t="s">
        <v>0</v>
      </c>
      <c r="Q1662" s="80" t="s">
        <v>0</v>
      </c>
      <c r="R1662" s="84" t="s">
        <v>3009</v>
      </c>
      <c r="S1662" s="10" t="s">
        <v>1</v>
      </c>
      <c r="T1662" s="10" t="s">
        <v>10221</v>
      </c>
      <c r="U1662" s="5" t="str">
        <f t="shared" si="837"/>
        <v>Propriedade destinada a montar: é.emplacado.com</v>
      </c>
      <c r="V1662" s="5" t="str">
        <f t="shared" si="838"/>
        <v>Dado para montar:  emplacado.com  Deve ser formatado como (rdfs:Literal  or  xsd:string)</v>
      </c>
      <c r="W1662" s="69" t="s">
        <v>3006</v>
      </c>
      <c r="X1662" s="17" t="str">
        <f t="shared" si="853"/>
        <v>d.monta.111</v>
      </c>
      <c r="Y1662" s="17" t="str">
        <f t="shared" si="854"/>
        <v>Ação de montar</v>
      </c>
      <c r="Z1662" s="62" t="s">
        <v>3007</v>
      </c>
      <c r="AA1662" s="18" t="str">
        <f t="shared" si="886"/>
        <v>null</v>
      </c>
      <c r="AB1662" s="19" t="s">
        <v>0</v>
      </c>
      <c r="AC1662" s="18" t="str">
        <f t="shared" si="887"/>
        <v>null</v>
      </c>
      <c r="AD1662" s="19" t="s">
        <v>0</v>
      </c>
      <c r="AE1662" s="18" t="str">
        <f t="shared" si="876"/>
        <v>null</v>
      </c>
      <c r="AF1662" s="75" t="s">
        <v>0</v>
      </c>
      <c r="AG1662" s="38" t="s">
        <v>8811</v>
      </c>
    </row>
    <row r="1663" spans="1:33" ht="6" customHeight="1" x14ac:dyDescent="0.4">
      <c r="A1663" s="4">
        <f>ROW()</f>
        <v>1663</v>
      </c>
      <c r="B1663" s="9" t="s">
        <v>27</v>
      </c>
      <c r="C1663" s="44" t="str">
        <f t="shared" si="885"/>
        <v>p.montar</v>
      </c>
      <c r="D1663" s="6" t="str">
        <f t="shared" si="875"/>
        <v>é.fixação.de</v>
      </c>
      <c r="E1663" s="8" t="s">
        <v>28</v>
      </c>
      <c r="F1663" s="34" t="str">
        <f t="shared" si="889"/>
        <v>d.montar</v>
      </c>
      <c r="G1663" s="13" t="s">
        <v>1184</v>
      </c>
      <c r="H1663" s="34" t="s">
        <v>1581</v>
      </c>
      <c r="I1663" s="92" t="str">
        <f t="shared" si="867"/>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7"/>
        <v>Propriedade destinada a montar: é.fixação.de</v>
      </c>
      <c r="V1663" s="5" t="str">
        <f t="shared" si="838"/>
        <v>Dado para montar:  fixação.de  Deve ser formatado como (rdfs:Literal  or  xsd:string)</v>
      </c>
      <c r="W1663" s="69" t="s">
        <v>5866</v>
      </c>
      <c r="X1663" s="17" t="str">
        <f t="shared" si="853"/>
        <v>d.monta.112</v>
      </c>
      <c r="Y1663" s="17" t="str">
        <f t="shared" si="854"/>
        <v>Ação de montar</v>
      </c>
      <c r="Z1663" s="62" t="s">
        <v>1365</v>
      </c>
      <c r="AA1663" s="18" t="str">
        <f t="shared" si="886"/>
        <v>null</v>
      </c>
      <c r="AB1663" s="19" t="s">
        <v>0</v>
      </c>
      <c r="AC1663" s="18" t="str">
        <f t="shared" si="887"/>
        <v>null</v>
      </c>
      <c r="AD1663" s="19" t="s">
        <v>0</v>
      </c>
      <c r="AE1663" s="18" t="str">
        <f t="shared" si="876"/>
        <v>null</v>
      </c>
      <c r="AF1663" s="75" t="s">
        <v>0</v>
      </c>
      <c r="AG1663" s="38" t="s">
        <v>8812</v>
      </c>
    </row>
    <row r="1664" spans="1:33" ht="6" customHeight="1" x14ac:dyDescent="0.4">
      <c r="A1664" s="4">
        <f>ROW()</f>
        <v>1664</v>
      </c>
      <c r="B1664" s="9" t="s">
        <v>27</v>
      </c>
      <c r="C1664" s="44" t="str">
        <f t="shared" si="885"/>
        <v>p.montar</v>
      </c>
      <c r="D1664" s="6" t="str">
        <f t="shared" si="875"/>
        <v>é.fundação.de</v>
      </c>
      <c r="E1664" s="8" t="s">
        <v>28</v>
      </c>
      <c r="F1664" s="34" t="str">
        <f t="shared" si="889"/>
        <v>d.montar</v>
      </c>
      <c r="G1664" s="13" t="s">
        <v>1576</v>
      </c>
      <c r="H1664" s="34" t="s">
        <v>1581</v>
      </c>
      <c r="I1664" s="92" t="str">
        <f t="shared" si="867"/>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7"/>
        <v>Propriedade destinada a montar: é.fundação.de</v>
      </c>
      <c r="V1664" s="5" t="str">
        <f t="shared" si="838"/>
        <v>Dado para montar:  fundação.de  Deve ser formatado como (rdfs:Literal  or  xsd:string)</v>
      </c>
      <c r="W1664" s="69" t="s">
        <v>5867</v>
      </c>
      <c r="X1664" s="17" t="str">
        <f t="shared" si="853"/>
        <v>d.monta.113</v>
      </c>
      <c r="Y1664" s="17" t="str">
        <f t="shared" si="854"/>
        <v>Ação de montar</v>
      </c>
      <c r="Z1664" s="62" t="s">
        <v>1580</v>
      </c>
      <c r="AA1664" s="18" t="str">
        <f t="shared" si="886"/>
        <v>null</v>
      </c>
      <c r="AB1664" s="19" t="s">
        <v>0</v>
      </c>
      <c r="AC1664" s="18" t="str">
        <f t="shared" si="887"/>
        <v>null</v>
      </c>
      <c r="AD1664" s="19" t="s">
        <v>0</v>
      </c>
      <c r="AE1664" s="18" t="str">
        <f t="shared" si="876"/>
        <v>null</v>
      </c>
      <c r="AF1664" s="75" t="s">
        <v>0</v>
      </c>
      <c r="AG1664" s="38" t="s">
        <v>8813</v>
      </c>
    </row>
    <row r="1665" spans="1:33" ht="6" customHeight="1" x14ac:dyDescent="0.4">
      <c r="A1665" s="4">
        <f>ROW()</f>
        <v>1665</v>
      </c>
      <c r="B1665" s="9" t="s">
        <v>27</v>
      </c>
      <c r="C1665" s="44" t="str">
        <f t="shared" si="885"/>
        <v>p.montar</v>
      </c>
      <c r="D1665" s="6" t="str">
        <f t="shared" si="875"/>
        <v>é.membro.de</v>
      </c>
      <c r="E1665" s="8" t="s">
        <v>28</v>
      </c>
      <c r="F1665" s="34" t="str">
        <f t="shared" si="889"/>
        <v>d.montar</v>
      </c>
      <c r="G1665" s="13" t="s">
        <v>930</v>
      </c>
      <c r="H1665" s="34" t="s">
        <v>1581</v>
      </c>
      <c r="I1665" s="92" t="str">
        <f t="shared" si="867"/>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7"/>
        <v>Propriedade destinada a montar: é.membro.de</v>
      </c>
      <c r="V1665" s="5" t="str">
        <f t="shared" si="838"/>
        <v>Dado para montar:  membro.de  Deve ser formatado como (rdfs:Literal  or  xsd:string)</v>
      </c>
      <c r="W1665" s="69" t="s">
        <v>5868</v>
      </c>
      <c r="X1665" s="17" t="str">
        <f t="shared" si="853"/>
        <v>d.monta.114</v>
      </c>
      <c r="Y1665" s="17" t="str">
        <f t="shared" si="854"/>
        <v>Ação de montar</v>
      </c>
      <c r="Z1665" s="62" t="s">
        <v>1364</v>
      </c>
      <c r="AA1665" s="18" t="str">
        <f t="shared" si="886"/>
        <v>null</v>
      </c>
      <c r="AB1665" s="19" t="s">
        <v>0</v>
      </c>
      <c r="AC1665" s="18" t="str">
        <f t="shared" si="887"/>
        <v>null</v>
      </c>
      <c r="AD1665" s="19" t="s">
        <v>0</v>
      </c>
      <c r="AE1665" s="18" t="str">
        <f t="shared" si="876"/>
        <v>null</v>
      </c>
      <c r="AF1665" s="75" t="s">
        <v>0</v>
      </c>
      <c r="AG1665" s="38" t="s">
        <v>8814</v>
      </c>
    </row>
    <row r="1666" spans="1:33" ht="6" customHeight="1" x14ac:dyDescent="0.4">
      <c r="A1666" s="4">
        <f>ROW()</f>
        <v>1666</v>
      </c>
      <c r="B1666" s="9" t="s">
        <v>27</v>
      </c>
      <c r="C1666" s="44" t="str">
        <f t="shared" si="885"/>
        <v>p.montar</v>
      </c>
      <c r="D1666" s="6" t="str">
        <f t="shared" si="875"/>
        <v>é.mísula.de</v>
      </c>
      <c r="E1666" s="8" t="s">
        <v>28</v>
      </c>
      <c r="F1666" s="34" t="str">
        <f t="shared" si="888"/>
        <v>d.montar</v>
      </c>
      <c r="G1666" s="13" t="s">
        <v>1541</v>
      </c>
      <c r="H1666" s="34" t="s">
        <v>1581</v>
      </c>
      <c r="I1666" s="92" t="str">
        <f t="shared" si="867"/>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7"/>
        <v>Propriedade destinada a montar: é.mísula.de</v>
      </c>
      <c r="V1666" s="5" t="str">
        <f t="shared" si="838"/>
        <v>Dado para montar:  mísula.de  Deve ser formatado como (rdfs:Literal  or  xsd:string)</v>
      </c>
      <c r="W1666" s="69" t="s">
        <v>5869</v>
      </c>
      <c r="X1666" s="17" t="str">
        <f t="shared" si="853"/>
        <v>d.monta.115</v>
      </c>
      <c r="Y1666" s="17" t="str">
        <f t="shared" si="854"/>
        <v>Ação de montar</v>
      </c>
      <c r="Z1666" s="62" t="s">
        <v>1547</v>
      </c>
      <c r="AA1666" s="18" t="str">
        <f t="shared" si="886"/>
        <v>null</v>
      </c>
      <c r="AB1666" s="19" t="s">
        <v>0</v>
      </c>
      <c r="AC1666" s="18" t="str">
        <f t="shared" si="887"/>
        <v>null</v>
      </c>
      <c r="AD1666" s="19" t="s">
        <v>0</v>
      </c>
      <c r="AE1666" s="18" t="str">
        <f t="shared" si="876"/>
        <v>null</v>
      </c>
      <c r="AF1666" s="75" t="s">
        <v>0</v>
      </c>
      <c r="AG1666" s="38" t="s">
        <v>8815</v>
      </c>
    </row>
    <row r="1667" spans="1:33" ht="6" customHeight="1" x14ac:dyDescent="0.4">
      <c r="A1667" s="4">
        <f>ROW()</f>
        <v>1667</v>
      </c>
      <c r="B1667" s="9" t="s">
        <v>27</v>
      </c>
      <c r="C1667" s="44" t="str">
        <f t="shared" si="885"/>
        <v>p.montar</v>
      </c>
      <c r="D1667" s="6" t="str">
        <f t="shared" si="875"/>
        <v>é.montante.de</v>
      </c>
      <c r="E1667" s="8" t="s">
        <v>28</v>
      </c>
      <c r="F1667" s="34" t="str">
        <f t="shared" si="888"/>
        <v>d.montar</v>
      </c>
      <c r="G1667" s="13" t="s">
        <v>1182</v>
      </c>
      <c r="H1667" s="34" t="s">
        <v>1581</v>
      </c>
      <c r="I1667" s="92" t="str">
        <f t="shared" si="867"/>
        <v>null</v>
      </c>
      <c r="J1667" s="80" t="s">
        <v>0</v>
      </c>
      <c r="K1667" s="80" t="s">
        <v>0</v>
      </c>
      <c r="L1667" s="80" t="s">
        <v>0</v>
      </c>
      <c r="M1667" s="80" t="s">
        <v>0</v>
      </c>
      <c r="N1667" s="80" t="s">
        <v>0</v>
      </c>
      <c r="O1667" s="80" t="s">
        <v>0</v>
      </c>
      <c r="P1667" s="80" t="s">
        <v>0</v>
      </c>
      <c r="Q1667" s="80" t="s">
        <v>0</v>
      </c>
      <c r="R1667" s="84" t="s">
        <v>0</v>
      </c>
      <c r="S1667" s="10" t="s">
        <v>1</v>
      </c>
      <c r="T1667" s="10" t="s">
        <v>10221</v>
      </c>
      <c r="U1667" s="5" t="str">
        <f t="shared" si="837"/>
        <v>Propriedade destinada a montar: é.montante.de</v>
      </c>
      <c r="V1667" s="5" t="str">
        <f t="shared" si="838"/>
        <v>Dado para montar:  montante.de  Deve ser formatado como (rdfs:Literal  or  xsd:string)</v>
      </c>
      <c r="W1667" s="69" t="s">
        <v>5870</v>
      </c>
      <c r="X1667" s="17" t="str">
        <f t="shared" ref="X1667:X1730" si="890">IF(F1666&lt;&gt;F1667,_xlfn.CONCAT(RIGHT(LEFT(F1667,7),7),".100"),_xlfn.CONCAT(RIGHT(LEFT(F1667,7),7),".",SUM(VALUE(RIGHT(X1666,3)),1)))</f>
        <v>d.monta.116</v>
      </c>
      <c r="Y1667" s="17" t="str">
        <f t="shared" ref="Y1667:Y1730" si="891">_xlfn.CONCAT("Ação de ", SUBSTITUTE(F1667, "d.",  ""))</f>
        <v>Ação de montar</v>
      </c>
      <c r="Z1667" s="62" t="s">
        <v>1551</v>
      </c>
      <c r="AA1667" s="18" t="str">
        <f t="shared" si="886"/>
        <v>null</v>
      </c>
      <c r="AB1667" s="19" t="s">
        <v>0</v>
      </c>
      <c r="AC1667" s="18" t="str">
        <f t="shared" si="887"/>
        <v>null</v>
      </c>
      <c r="AD1667" s="19" t="s">
        <v>0</v>
      </c>
      <c r="AE1667" s="18" t="str">
        <f t="shared" si="876"/>
        <v>null</v>
      </c>
      <c r="AF1667" s="75" t="s">
        <v>0</v>
      </c>
      <c r="AG1667" s="38" t="s">
        <v>8816</v>
      </c>
    </row>
    <row r="1668" spans="1:33" ht="6" customHeight="1" x14ac:dyDescent="0.4">
      <c r="A1668" s="4">
        <f>ROW()</f>
        <v>1668</v>
      </c>
      <c r="B1668" s="9" t="s">
        <v>27</v>
      </c>
      <c r="C1668" s="44" t="str">
        <f t="shared" si="885"/>
        <v>p.montar</v>
      </c>
      <c r="D1668" s="6" t="str">
        <f t="shared" si="875"/>
        <v>é.suportado.por</v>
      </c>
      <c r="E1668" s="8" t="s">
        <v>28</v>
      </c>
      <c r="F1668" s="34" t="str">
        <f t="shared" si="888"/>
        <v>d.montar</v>
      </c>
      <c r="G1668" s="13" t="s">
        <v>1697</v>
      </c>
      <c r="H1668" s="34" t="s">
        <v>1581</v>
      </c>
      <c r="I1668" s="92" t="str">
        <f t="shared" si="867"/>
        <v>null</v>
      </c>
      <c r="J1668" s="80" t="s">
        <v>0</v>
      </c>
      <c r="K1668" s="80" t="s">
        <v>0</v>
      </c>
      <c r="L1668" s="80" t="s">
        <v>0</v>
      </c>
      <c r="M1668" s="80" t="s">
        <v>0</v>
      </c>
      <c r="N1668" s="80" t="s">
        <v>0</v>
      </c>
      <c r="O1668" s="80" t="s">
        <v>0</v>
      </c>
      <c r="P1668" s="80" t="s">
        <v>0</v>
      </c>
      <c r="Q1668" s="80" t="s">
        <v>2389</v>
      </c>
      <c r="R1668" s="84" t="s">
        <v>0</v>
      </c>
      <c r="S1668" s="10" t="s">
        <v>1</v>
      </c>
      <c r="T1668" s="10" t="s">
        <v>10221</v>
      </c>
      <c r="U1668" s="5" t="str">
        <f t="shared" si="837"/>
        <v>Propriedade destinada a montar: é.suportado.por</v>
      </c>
      <c r="V1668" s="5" t="str">
        <f t="shared" si="838"/>
        <v>Dado para montar:  suportado.por  Deve ser formatado como (rdfs:Literal  or  xsd:string)</v>
      </c>
      <c r="W1668" s="69" t="s">
        <v>5871</v>
      </c>
      <c r="X1668" s="17" t="str">
        <f t="shared" si="890"/>
        <v>d.monta.117</v>
      </c>
      <c r="Y1668" s="17" t="str">
        <f t="shared" si="891"/>
        <v>Ação de montar</v>
      </c>
      <c r="Z1668" s="62" t="s">
        <v>1698</v>
      </c>
      <c r="AA1668" s="18" t="str">
        <f t="shared" si="886"/>
        <v>null</v>
      </c>
      <c r="AB1668" s="19" t="s">
        <v>0</v>
      </c>
      <c r="AC1668" s="18" t="str">
        <f t="shared" si="887"/>
        <v>null</v>
      </c>
      <c r="AD1668" s="19" t="s">
        <v>0</v>
      </c>
      <c r="AE1668" s="18" t="str">
        <f t="shared" si="876"/>
        <v>null</v>
      </c>
      <c r="AF1668" s="75" t="s">
        <v>0</v>
      </c>
      <c r="AG1668" s="38" t="s">
        <v>8817</v>
      </c>
    </row>
    <row r="1669" spans="1:33" ht="6" customHeight="1" x14ac:dyDescent="0.4">
      <c r="A1669" s="4">
        <f>ROW()</f>
        <v>1669</v>
      </c>
      <c r="B1669" s="9" t="s">
        <v>27</v>
      </c>
      <c r="C1669" s="44" t="str">
        <f t="shared" si="885"/>
        <v>p.montar</v>
      </c>
      <c r="D1669" s="6" t="str">
        <f t="shared" si="875"/>
        <v>é.suporte.de</v>
      </c>
      <c r="E1669" s="8" t="s">
        <v>28</v>
      </c>
      <c r="F1669" s="34" t="str">
        <f t="shared" si="888"/>
        <v>d.montar</v>
      </c>
      <c r="G1669" s="13" t="s">
        <v>1575</v>
      </c>
      <c r="H1669" s="34" t="s">
        <v>1581</v>
      </c>
      <c r="I1669" s="92" t="str">
        <f t="shared" si="867"/>
        <v>null</v>
      </c>
      <c r="J1669" s="80" t="s">
        <v>0</v>
      </c>
      <c r="K1669" s="80" t="s">
        <v>0</v>
      </c>
      <c r="L1669" s="80" t="s">
        <v>0</v>
      </c>
      <c r="M1669" s="80" t="s">
        <v>0</v>
      </c>
      <c r="N1669" s="80" t="s">
        <v>0</v>
      </c>
      <c r="O1669" s="80" t="s">
        <v>0</v>
      </c>
      <c r="P1669" s="80" t="s">
        <v>0</v>
      </c>
      <c r="Q1669" s="80" t="s">
        <v>2388</v>
      </c>
      <c r="R1669" s="84" t="s">
        <v>0</v>
      </c>
      <c r="S1669" s="10" t="s">
        <v>1</v>
      </c>
      <c r="T1669" s="10" t="s">
        <v>10221</v>
      </c>
      <c r="U1669" s="5" t="str">
        <f t="shared" si="837"/>
        <v>Propriedade destinada a montar: é.suporte.de</v>
      </c>
      <c r="V1669" s="5" t="str">
        <f t="shared" si="838"/>
        <v>Dado para montar:  suporte.de  Deve ser formatado como (rdfs:Literal  or  xsd:string)</v>
      </c>
      <c r="W1669" s="69" t="s">
        <v>5872</v>
      </c>
      <c r="X1669" s="17" t="str">
        <f t="shared" si="890"/>
        <v>d.monta.118</v>
      </c>
      <c r="Y1669" s="17" t="str">
        <f t="shared" si="891"/>
        <v>Ação de montar</v>
      </c>
      <c r="Z1669" s="62" t="s">
        <v>1578</v>
      </c>
      <c r="AA1669" s="18" t="str">
        <f t="shared" si="886"/>
        <v>null</v>
      </c>
      <c r="AB1669" s="19" t="s">
        <v>0</v>
      </c>
      <c r="AC1669" s="18" t="str">
        <f t="shared" si="887"/>
        <v>null</v>
      </c>
      <c r="AD1669" s="19" t="s">
        <v>0</v>
      </c>
      <c r="AE1669" s="18" t="str">
        <f t="shared" si="876"/>
        <v>null</v>
      </c>
      <c r="AF1669" s="75" t="s">
        <v>0</v>
      </c>
      <c r="AG1669" s="38" t="s">
        <v>8818</v>
      </c>
    </row>
    <row r="1670" spans="1:33" ht="6" customHeight="1" x14ac:dyDescent="0.4">
      <c r="A1670" s="4">
        <f>ROW()</f>
        <v>1670</v>
      </c>
      <c r="B1670" s="9" t="s">
        <v>27</v>
      </c>
      <c r="C1670" s="43" t="str">
        <f t="shared" si="885"/>
        <v>p.navegar</v>
      </c>
      <c r="D1670" s="6" t="str">
        <f t="shared" ref="D1670" si="892">_xlfn.CONCAT("é.",G1670)</f>
        <v>é.embarcação</v>
      </c>
      <c r="E1670" s="8" t="s">
        <v>28</v>
      </c>
      <c r="F1670" s="41" t="s">
        <v>2208</v>
      </c>
      <c r="G1670" s="13" t="s">
        <v>7017</v>
      </c>
      <c r="H1670" s="34" t="s">
        <v>1581</v>
      </c>
      <c r="I1670" s="92" t="str">
        <f t="shared" si="867"/>
        <v>null</v>
      </c>
      <c r="J1670" s="80" t="s">
        <v>0</v>
      </c>
      <c r="K1670" s="80" t="s">
        <v>0</v>
      </c>
      <c r="L1670" s="80" t="s">
        <v>0</v>
      </c>
      <c r="M1670" s="80" t="s">
        <v>0</v>
      </c>
      <c r="N1670" s="80" t="s">
        <v>0</v>
      </c>
      <c r="O1670" s="80" t="s">
        <v>0</v>
      </c>
      <c r="P1670" s="80" t="s">
        <v>0</v>
      </c>
      <c r="Q1670" s="80" t="s">
        <v>0</v>
      </c>
      <c r="R1670" s="84" t="s">
        <v>0</v>
      </c>
      <c r="S1670" s="10" t="s">
        <v>1</v>
      </c>
      <c r="T1670" s="10" t="s">
        <v>10221</v>
      </c>
      <c r="U1670" s="5" t="str">
        <f t="shared" ref="U1670" si="893">_xlfn.CONCAT("Propriedade destinada a ",MID(C1670,FIND("p.",C1670,1)+2,100),": ",D1670)</f>
        <v>Propriedade destinada a navegar: é.embarcação</v>
      </c>
      <c r="V1670" s="5" t="str">
        <f t="shared" ref="V1670" si="894">_xlfn.CONCAT("Dado para ",MID(F1670,FIND("d.",F1670,1)+2,100),":  ",G1670, "  Deve ser formatado como (",H1670, ")")</f>
        <v>Dado para navegar:  embarcação  Deve ser formatado como (rdfs:Literal  or  xsd:string)</v>
      </c>
      <c r="W1670" s="69" t="s">
        <v>7018</v>
      </c>
      <c r="X1670" s="17" t="str">
        <f t="shared" si="890"/>
        <v>d.naveg.100</v>
      </c>
      <c r="Y1670" s="17" t="str">
        <f t="shared" si="891"/>
        <v>Ação de navegar</v>
      </c>
      <c r="Z1670" s="69" t="s">
        <v>7019</v>
      </c>
      <c r="AA1670" s="18" t="str">
        <f t="shared" si="886"/>
        <v>null</v>
      </c>
      <c r="AB1670" s="19" t="s">
        <v>0</v>
      </c>
      <c r="AC1670" s="18" t="str">
        <f t="shared" si="887"/>
        <v>null</v>
      </c>
      <c r="AD1670" s="19" t="s">
        <v>0</v>
      </c>
      <c r="AE1670" s="18" t="str">
        <f t="shared" ref="AE1670" si="895">IF(AF1670="null", "null", "propriedade")</f>
        <v>null</v>
      </c>
      <c r="AF1670" s="75" t="s">
        <v>0</v>
      </c>
      <c r="AG1670" s="38" t="s">
        <v>8819</v>
      </c>
    </row>
    <row r="1671" spans="1:33" ht="6" customHeight="1" x14ac:dyDescent="0.4">
      <c r="A1671" s="4">
        <f>ROW()</f>
        <v>1671</v>
      </c>
      <c r="B1671" s="9" t="s">
        <v>27</v>
      </c>
      <c r="C1671" s="44" t="str">
        <f t="shared" si="877"/>
        <v>p.navegar</v>
      </c>
      <c r="D1671" s="6" t="str">
        <f t="shared" si="875"/>
        <v>é.eslora</v>
      </c>
      <c r="E1671" s="8" t="s">
        <v>28</v>
      </c>
      <c r="F1671" s="34" t="str">
        <f t="shared" ref="F1671:F1683" si="896">F1670</f>
        <v>d.navegar</v>
      </c>
      <c r="G1671" s="13" t="s">
        <v>1469</v>
      </c>
      <c r="H1671" s="34" t="s">
        <v>35</v>
      </c>
      <c r="I1671" s="92" t="str">
        <f t="shared" si="867"/>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7"/>
        <v>Propriedade destinada a navegar: é.eslora</v>
      </c>
      <c r="V1671" s="5" t="str">
        <f t="shared" si="838"/>
        <v>Dado para navegar:  eslora  Deve ser formatado como (xsd:double)</v>
      </c>
      <c r="W1671" s="69" t="s">
        <v>5873</v>
      </c>
      <c r="X1671" s="17" t="str">
        <f t="shared" si="890"/>
        <v>d.naveg.101</v>
      </c>
      <c r="Y1671" s="17" t="str">
        <f t="shared" si="891"/>
        <v>Ação de navegar</v>
      </c>
      <c r="Z1671" s="62" t="s">
        <v>4355</v>
      </c>
      <c r="AA1671" s="18" t="str">
        <f t="shared" si="839"/>
        <v>null</v>
      </c>
      <c r="AB1671" s="19" t="s">
        <v>0</v>
      </c>
      <c r="AC1671" s="18" t="str">
        <f t="shared" si="840"/>
        <v>null</v>
      </c>
      <c r="AD1671" s="19" t="s">
        <v>0</v>
      </c>
      <c r="AE1671" s="18" t="str">
        <f t="shared" si="876"/>
        <v>null</v>
      </c>
      <c r="AF1671" s="75" t="s">
        <v>0</v>
      </c>
      <c r="AG1671" s="38" t="s">
        <v>8820</v>
      </c>
    </row>
    <row r="1672" spans="1:33" ht="6" customHeight="1" x14ac:dyDescent="0.4">
      <c r="A1672" s="4">
        <f>ROW()</f>
        <v>1672</v>
      </c>
      <c r="B1672" s="9" t="s">
        <v>27</v>
      </c>
      <c r="C1672" s="44" t="str">
        <f t="shared" si="877"/>
        <v>p.navegar</v>
      </c>
      <c r="D1672" s="6" t="str">
        <f t="shared" si="875"/>
        <v>é.manga</v>
      </c>
      <c r="E1672" s="8" t="s">
        <v>28</v>
      </c>
      <c r="F1672" s="34" t="str">
        <f t="shared" si="896"/>
        <v>d.navegar</v>
      </c>
      <c r="G1672" s="13" t="s">
        <v>1470</v>
      </c>
      <c r="H1672" s="34" t="s">
        <v>35</v>
      </c>
      <c r="I1672" s="92" t="str">
        <f t="shared" si="867"/>
        <v>null</v>
      </c>
      <c r="J1672" s="80" t="s">
        <v>0</v>
      </c>
      <c r="K1672" s="80" t="s">
        <v>0</v>
      </c>
      <c r="L1672" s="80" t="s">
        <v>0</v>
      </c>
      <c r="M1672" s="80" t="s">
        <v>0</v>
      </c>
      <c r="N1672" s="80" t="s">
        <v>0</v>
      </c>
      <c r="O1672" s="80" t="s">
        <v>0</v>
      </c>
      <c r="P1672" s="80" t="s">
        <v>0</v>
      </c>
      <c r="Q1672" s="80" t="s">
        <v>0</v>
      </c>
      <c r="R1672" s="84" t="s">
        <v>2390</v>
      </c>
      <c r="S1672" s="10" t="s">
        <v>1</v>
      </c>
      <c r="T1672" s="10" t="s">
        <v>10221</v>
      </c>
      <c r="U1672" s="5" t="str">
        <f t="shared" si="837"/>
        <v>Propriedade destinada a navegar: é.manga</v>
      </c>
      <c r="V1672" s="5" t="str">
        <f t="shared" si="838"/>
        <v>Dado para navegar:  manga  Deve ser formatado como (xsd:double)</v>
      </c>
      <c r="W1672" s="69" t="s">
        <v>5874</v>
      </c>
      <c r="X1672" s="17" t="str">
        <f t="shared" si="890"/>
        <v>d.naveg.102</v>
      </c>
      <c r="Y1672" s="17" t="str">
        <f t="shared" si="891"/>
        <v>Ação de navegar</v>
      </c>
      <c r="Z1672" s="62" t="s">
        <v>4356</v>
      </c>
      <c r="AA1672" s="18" t="str">
        <f t="shared" si="839"/>
        <v>null</v>
      </c>
      <c r="AB1672" s="19" t="s">
        <v>0</v>
      </c>
      <c r="AC1672" s="18" t="str">
        <f t="shared" si="840"/>
        <v>null</v>
      </c>
      <c r="AD1672" s="19" t="s">
        <v>0</v>
      </c>
      <c r="AE1672" s="18" t="str">
        <f t="shared" si="876"/>
        <v>null</v>
      </c>
      <c r="AF1672" s="75" t="s">
        <v>0</v>
      </c>
      <c r="AG1672" s="38" t="s">
        <v>8821</v>
      </c>
    </row>
    <row r="1673" spans="1:33" ht="6" customHeight="1" x14ac:dyDescent="0.4">
      <c r="A1673" s="4">
        <f>ROW()</f>
        <v>1673</v>
      </c>
      <c r="B1673" s="9" t="s">
        <v>27</v>
      </c>
      <c r="C1673" s="44" t="str">
        <f t="shared" si="877"/>
        <v>p.navegar</v>
      </c>
      <c r="D1673" s="6" t="str">
        <f t="shared" si="875"/>
        <v>é.boca</v>
      </c>
      <c r="E1673" s="8" t="s">
        <v>28</v>
      </c>
      <c r="F1673" s="34" t="str">
        <f t="shared" si="896"/>
        <v>d.navegar</v>
      </c>
      <c r="G1673" s="13" t="s">
        <v>1488</v>
      </c>
      <c r="H1673" s="34" t="s">
        <v>35</v>
      </c>
      <c r="I1673" s="92" t="str">
        <f t="shared" si="867"/>
        <v>null</v>
      </c>
      <c r="J1673" s="80" t="s">
        <v>0</v>
      </c>
      <c r="K1673" s="80" t="s">
        <v>0</v>
      </c>
      <c r="L1673" s="80" t="s">
        <v>0</v>
      </c>
      <c r="M1673" s="80" t="s">
        <v>0</v>
      </c>
      <c r="N1673" s="80" t="s">
        <v>0</v>
      </c>
      <c r="O1673" s="80" t="s">
        <v>0</v>
      </c>
      <c r="P1673" s="80" t="s">
        <v>0</v>
      </c>
      <c r="Q1673" s="80" t="s">
        <v>0</v>
      </c>
      <c r="R1673" s="84" t="s">
        <v>2391</v>
      </c>
      <c r="S1673" s="10" t="s">
        <v>1</v>
      </c>
      <c r="T1673" s="10" t="s">
        <v>10221</v>
      </c>
      <c r="U1673" s="5" t="str">
        <f t="shared" ref="U1673:U1928" si="897">_xlfn.CONCAT("Propriedade destinada a ",MID(C1673,FIND("p.",C1673,1)+2,100),": ",D1673)</f>
        <v>Propriedade destinada a navegar: é.boca</v>
      </c>
      <c r="V1673" s="5" t="str">
        <f t="shared" ref="V1673:V1928" si="898">_xlfn.CONCAT("Dado para ",MID(F1673,FIND("d.",F1673,1)+2,100),":  ",G1673, "  Deve ser formatado como (",H1673, ")")</f>
        <v>Dado para navegar:  boca  Deve ser formatado como (xsd:double)</v>
      </c>
      <c r="W1673" s="69" t="s">
        <v>5875</v>
      </c>
      <c r="X1673" s="17" t="str">
        <f t="shared" si="890"/>
        <v>d.naveg.103</v>
      </c>
      <c r="Y1673" s="17" t="str">
        <f t="shared" si="891"/>
        <v>Ação de navegar</v>
      </c>
      <c r="Z1673" s="62" t="s">
        <v>4357</v>
      </c>
      <c r="AA1673" s="18" t="str">
        <f t="shared" si="839"/>
        <v>null</v>
      </c>
      <c r="AB1673" s="19" t="s">
        <v>0</v>
      </c>
      <c r="AC1673" s="18" t="str">
        <f t="shared" si="840"/>
        <v>null</v>
      </c>
      <c r="AD1673" s="19" t="s">
        <v>0</v>
      </c>
      <c r="AE1673" s="18" t="str">
        <f t="shared" si="876"/>
        <v>null</v>
      </c>
      <c r="AF1673" s="75" t="s">
        <v>0</v>
      </c>
      <c r="AG1673" s="38" t="s">
        <v>8822</v>
      </c>
    </row>
    <row r="1674" spans="1:33" ht="6" customHeight="1" x14ac:dyDescent="0.4">
      <c r="A1674" s="4">
        <f>ROW()</f>
        <v>1674</v>
      </c>
      <c r="B1674" s="9" t="s">
        <v>27</v>
      </c>
      <c r="C1674" s="44" t="str">
        <f t="shared" si="877"/>
        <v>p.navegar</v>
      </c>
      <c r="D1674" s="6" t="str">
        <f t="shared" si="875"/>
        <v>é.calado</v>
      </c>
      <c r="E1674" s="8" t="s">
        <v>28</v>
      </c>
      <c r="F1674" s="34" t="str">
        <f t="shared" si="896"/>
        <v>d.navegar</v>
      </c>
      <c r="G1674" s="13" t="s">
        <v>1471</v>
      </c>
      <c r="H1674" s="34" t="s">
        <v>35</v>
      </c>
      <c r="I1674" s="92" t="str">
        <f t="shared" si="867"/>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97"/>
        <v>Propriedade destinada a navegar: é.calado</v>
      </c>
      <c r="V1674" s="5" t="str">
        <f t="shared" si="898"/>
        <v>Dado para navegar:  calado  Deve ser formatado como (xsd:double)</v>
      </c>
      <c r="W1674" s="69" t="s">
        <v>5876</v>
      </c>
      <c r="X1674" s="17" t="str">
        <f t="shared" si="890"/>
        <v>d.naveg.104</v>
      </c>
      <c r="Y1674" s="17" t="str">
        <f t="shared" si="891"/>
        <v>Ação de navegar</v>
      </c>
      <c r="Z1674" s="62" t="s">
        <v>4358</v>
      </c>
      <c r="AA1674" s="18" t="str">
        <f t="shared" si="839"/>
        <v>null</v>
      </c>
      <c r="AB1674" s="19" t="s">
        <v>0</v>
      </c>
      <c r="AC1674" s="18" t="str">
        <f t="shared" si="840"/>
        <v>null</v>
      </c>
      <c r="AD1674" s="19" t="s">
        <v>0</v>
      </c>
      <c r="AE1674" s="18" t="str">
        <f t="shared" si="876"/>
        <v>null</v>
      </c>
      <c r="AF1674" s="75" t="s">
        <v>0</v>
      </c>
      <c r="AG1674" s="38" t="s">
        <v>8823</v>
      </c>
    </row>
    <row r="1675" spans="1:33" ht="6" customHeight="1" x14ac:dyDescent="0.4">
      <c r="A1675" s="4">
        <f>ROW()</f>
        <v>1675</v>
      </c>
      <c r="B1675" s="9" t="s">
        <v>27</v>
      </c>
      <c r="C1675" s="44" t="str">
        <f t="shared" si="877"/>
        <v>p.navegar</v>
      </c>
      <c r="D1675" s="6" t="str">
        <f t="shared" si="875"/>
        <v>é.calado.canal</v>
      </c>
      <c r="E1675" s="8" t="s">
        <v>28</v>
      </c>
      <c r="F1675" s="34" t="str">
        <f t="shared" si="896"/>
        <v>d.navegar</v>
      </c>
      <c r="G1675" s="13" t="s">
        <v>1486</v>
      </c>
      <c r="H1675" s="34" t="s">
        <v>35</v>
      </c>
      <c r="I1675" s="92" t="str">
        <f t="shared" si="867"/>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97"/>
        <v>Propriedade destinada a navegar: é.calado.canal</v>
      </c>
      <c r="V1675" s="5" t="str">
        <f t="shared" si="898"/>
        <v>Dado para navegar:  calado.canal  Deve ser formatado como (xsd:double)</v>
      </c>
      <c r="W1675" s="69" t="s">
        <v>5877</v>
      </c>
      <c r="X1675" s="17" t="str">
        <f t="shared" si="890"/>
        <v>d.naveg.105</v>
      </c>
      <c r="Y1675" s="17" t="str">
        <f t="shared" si="891"/>
        <v>Ação de navegar</v>
      </c>
      <c r="Z1675" s="62" t="s">
        <v>4670</v>
      </c>
      <c r="AA1675" s="18" t="str">
        <f t="shared" si="839"/>
        <v>null</v>
      </c>
      <c r="AB1675" s="19" t="s">
        <v>0</v>
      </c>
      <c r="AC1675" s="18" t="str">
        <f t="shared" si="840"/>
        <v>null</v>
      </c>
      <c r="AD1675" s="19" t="s">
        <v>0</v>
      </c>
      <c r="AE1675" s="18" t="str">
        <f t="shared" si="876"/>
        <v>null</v>
      </c>
      <c r="AF1675" s="75" t="s">
        <v>0</v>
      </c>
      <c r="AG1675" s="38" t="s">
        <v>8824</v>
      </c>
    </row>
    <row r="1676" spans="1:33" ht="6" customHeight="1" x14ac:dyDescent="0.4">
      <c r="A1676" s="4">
        <f>ROW()</f>
        <v>1676</v>
      </c>
      <c r="B1676" s="9" t="s">
        <v>27</v>
      </c>
      <c r="C1676" s="44" t="str">
        <f t="shared" si="877"/>
        <v>p.navegar</v>
      </c>
      <c r="D1676" s="6" t="str">
        <f t="shared" si="875"/>
        <v>é.calado.berço</v>
      </c>
      <c r="E1676" s="8" t="s">
        <v>28</v>
      </c>
      <c r="F1676" s="34" t="str">
        <f t="shared" si="896"/>
        <v>d.navegar</v>
      </c>
      <c r="G1676" s="13" t="s">
        <v>1487</v>
      </c>
      <c r="H1676" s="34" t="s">
        <v>35</v>
      </c>
      <c r="I1676" s="92" t="str">
        <f t="shared" si="867"/>
        <v>null</v>
      </c>
      <c r="J1676" s="80" t="s">
        <v>0</v>
      </c>
      <c r="K1676" s="80" t="s">
        <v>0</v>
      </c>
      <c r="L1676" s="80" t="s">
        <v>0</v>
      </c>
      <c r="M1676" s="80" t="s">
        <v>0</v>
      </c>
      <c r="N1676" s="80" t="s">
        <v>0</v>
      </c>
      <c r="O1676" s="80" t="s">
        <v>0</v>
      </c>
      <c r="P1676" s="80" t="s">
        <v>0</v>
      </c>
      <c r="Q1676" s="80" t="s">
        <v>0</v>
      </c>
      <c r="R1676" s="84" t="s">
        <v>0</v>
      </c>
      <c r="S1676" s="10" t="s">
        <v>1</v>
      </c>
      <c r="T1676" s="10" t="s">
        <v>10221</v>
      </c>
      <c r="U1676" s="5" t="str">
        <f t="shared" si="897"/>
        <v>Propriedade destinada a navegar: é.calado.berço</v>
      </c>
      <c r="V1676" s="5" t="str">
        <f t="shared" si="898"/>
        <v>Dado para navegar:  calado.berço  Deve ser formatado como (xsd:double)</v>
      </c>
      <c r="W1676" s="69" t="s">
        <v>5878</v>
      </c>
      <c r="X1676" s="17" t="str">
        <f t="shared" si="890"/>
        <v>d.naveg.106</v>
      </c>
      <c r="Y1676" s="17" t="str">
        <f t="shared" si="891"/>
        <v>Ação de navegar</v>
      </c>
      <c r="Z1676" s="62" t="s">
        <v>4671</v>
      </c>
      <c r="AA1676" s="18" t="str">
        <f t="shared" si="839"/>
        <v>null</v>
      </c>
      <c r="AB1676" s="19" t="s">
        <v>0</v>
      </c>
      <c r="AC1676" s="18" t="str">
        <f t="shared" si="840"/>
        <v>null</v>
      </c>
      <c r="AD1676" s="19" t="s">
        <v>0</v>
      </c>
      <c r="AE1676" s="18" t="str">
        <f t="shared" si="876"/>
        <v>null</v>
      </c>
      <c r="AF1676" s="75" t="s">
        <v>0</v>
      </c>
      <c r="AG1676" s="38" t="s">
        <v>8825</v>
      </c>
    </row>
    <row r="1677" spans="1:33" ht="6" customHeight="1" x14ac:dyDescent="0.4">
      <c r="A1677" s="4">
        <f>ROW()</f>
        <v>1677</v>
      </c>
      <c r="B1677" s="9" t="s">
        <v>27</v>
      </c>
      <c r="C1677" s="44" t="str">
        <f t="shared" si="877"/>
        <v>p.navegar</v>
      </c>
      <c r="D1677" s="6" t="str">
        <f t="shared" si="875"/>
        <v>é.quantidade.de.berços</v>
      </c>
      <c r="E1677" s="8" t="s">
        <v>28</v>
      </c>
      <c r="F1677" s="34" t="str">
        <f t="shared" si="896"/>
        <v>d.navegar</v>
      </c>
      <c r="G1677" s="13" t="s">
        <v>1485</v>
      </c>
      <c r="H1677" s="34" t="s">
        <v>32</v>
      </c>
      <c r="I1677" s="92" t="str">
        <f t="shared" si="867"/>
        <v>null</v>
      </c>
      <c r="J1677" s="80" t="s">
        <v>0</v>
      </c>
      <c r="K1677" s="80" t="s">
        <v>0</v>
      </c>
      <c r="L1677" s="80" t="s">
        <v>0</v>
      </c>
      <c r="M1677" s="80" t="s">
        <v>0</v>
      </c>
      <c r="N1677" s="80" t="s">
        <v>0</v>
      </c>
      <c r="O1677" s="80" t="s">
        <v>0</v>
      </c>
      <c r="P1677" s="80" t="s">
        <v>0</v>
      </c>
      <c r="Q1677" s="80" t="s">
        <v>0</v>
      </c>
      <c r="R1677" s="84" t="s">
        <v>0</v>
      </c>
      <c r="S1677" s="10" t="s">
        <v>1</v>
      </c>
      <c r="T1677" s="10" t="s">
        <v>10221</v>
      </c>
      <c r="U1677" s="5" t="str">
        <f t="shared" si="897"/>
        <v>Propriedade destinada a navegar: é.quantidade.de.berços</v>
      </c>
      <c r="V1677" s="5" t="str">
        <f t="shared" si="898"/>
        <v>Dado para navegar:  quantidade.de.berços  Deve ser formatado como (xsd:integer)</v>
      </c>
      <c r="W1677" s="69" t="s">
        <v>5879</v>
      </c>
      <c r="X1677" s="17" t="str">
        <f t="shared" si="890"/>
        <v>d.naveg.107</v>
      </c>
      <c r="Y1677" s="17" t="str">
        <f t="shared" si="891"/>
        <v>Ação de navegar</v>
      </c>
      <c r="Z1677" s="62" t="s">
        <v>4672</v>
      </c>
      <c r="AA1677" s="18" t="str">
        <f t="shared" si="839"/>
        <v>null</v>
      </c>
      <c r="AB1677" s="19" t="s">
        <v>0</v>
      </c>
      <c r="AC1677" s="18" t="str">
        <f t="shared" si="840"/>
        <v>null</v>
      </c>
      <c r="AD1677" s="19" t="s">
        <v>0</v>
      </c>
      <c r="AE1677" s="18" t="str">
        <f t="shared" si="876"/>
        <v>null</v>
      </c>
      <c r="AF1677" s="75" t="s">
        <v>0</v>
      </c>
      <c r="AG1677" s="38" t="s">
        <v>8826</v>
      </c>
    </row>
    <row r="1678" spans="1:33" ht="6" customHeight="1" x14ac:dyDescent="0.4">
      <c r="A1678" s="4">
        <f>ROW()</f>
        <v>1678</v>
      </c>
      <c r="B1678" s="9" t="s">
        <v>27</v>
      </c>
      <c r="C1678" s="44" t="str">
        <f t="shared" si="877"/>
        <v>p.navegar</v>
      </c>
      <c r="D1678" s="6" t="str">
        <f t="shared" si="875"/>
        <v>é.tripulação</v>
      </c>
      <c r="E1678" s="8" t="s">
        <v>28</v>
      </c>
      <c r="F1678" s="34" t="str">
        <f t="shared" si="896"/>
        <v>d.navegar</v>
      </c>
      <c r="G1678" s="13" t="s">
        <v>1472</v>
      </c>
      <c r="H1678" s="34" t="s">
        <v>32</v>
      </c>
      <c r="I1678" s="92" t="str">
        <f t="shared" si="867"/>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si="897"/>
        <v>Propriedade destinada a navegar: é.tripulação</v>
      </c>
      <c r="V1678" s="5" t="str">
        <f t="shared" si="898"/>
        <v>Dado para navegar:  tripulação  Deve ser formatado como (xsd:integer)</v>
      </c>
      <c r="W1678" s="69" t="s">
        <v>5880</v>
      </c>
      <c r="X1678" s="17" t="str">
        <f t="shared" si="890"/>
        <v>d.naveg.108</v>
      </c>
      <c r="Y1678" s="17" t="str">
        <f t="shared" si="891"/>
        <v>Ação de navegar</v>
      </c>
      <c r="Z1678" s="62" t="s">
        <v>4673</v>
      </c>
      <c r="AA1678" s="18" t="str">
        <f t="shared" si="839"/>
        <v>null</v>
      </c>
      <c r="AB1678" s="19" t="s">
        <v>0</v>
      </c>
      <c r="AC1678" s="18" t="str">
        <f t="shared" si="840"/>
        <v>null</v>
      </c>
      <c r="AD1678" s="19" t="s">
        <v>0</v>
      </c>
      <c r="AE1678" s="18" t="str">
        <f t="shared" si="876"/>
        <v>null</v>
      </c>
      <c r="AF1678" s="75" t="s">
        <v>0</v>
      </c>
      <c r="AG1678" s="38" t="s">
        <v>8827</v>
      </c>
    </row>
    <row r="1679" spans="1:33" ht="6" customHeight="1" x14ac:dyDescent="0.4">
      <c r="A1679" s="4">
        <f>ROW()</f>
        <v>1679</v>
      </c>
      <c r="B1679" s="9" t="s">
        <v>27</v>
      </c>
      <c r="C1679" s="44" t="str">
        <f t="shared" si="877"/>
        <v>p.navegar</v>
      </c>
      <c r="D1679" s="6" t="str">
        <f t="shared" si="875"/>
        <v>é.tripulação.média</v>
      </c>
      <c r="E1679" s="8" t="s">
        <v>28</v>
      </c>
      <c r="F1679" s="34" t="str">
        <f t="shared" si="896"/>
        <v>d.navegar</v>
      </c>
      <c r="G1679" s="13" t="s">
        <v>1468</v>
      </c>
      <c r="H1679" s="34" t="s">
        <v>32</v>
      </c>
      <c r="I1679" s="92" t="str">
        <f t="shared" si="867"/>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97"/>
        <v>Propriedade destinada a navegar: é.tripulação.média</v>
      </c>
      <c r="V1679" s="5" t="str">
        <f t="shared" si="898"/>
        <v>Dado para navegar:  tripulação.média  Deve ser formatado como (xsd:integer)</v>
      </c>
      <c r="W1679" s="69" t="s">
        <v>5881</v>
      </c>
      <c r="X1679" s="17" t="str">
        <f t="shared" si="890"/>
        <v>d.naveg.109</v>
      </c>
      <c r="Y1679" s="17" t="str">
        <f t="shared" si="891"/>
        <v>Ação de navegar</v>
      </c>
      <c r="Z1679" s="62" t="s">
        <v>4674</v>
      </c>
      <c r="AA1679" s="18" t="str">
        <f t="shared" si="839"/>
        <v>null</v>
      </c>
      <c r="AB1679" s="19" t="s">
        <v>0</v>
      </c>
      <c r="AC1679" s="18" t="str">
        <f t="shared" si="840"/>
        <v>null</v>
      </c>
      <c r="AD1679" s="19" t="s">
        <v>0</v>
      </c>
      <c r="AE1679" s="18" t="str">
        <f t="shared" si="876"/>
        <v>null</v>
      </c>
      <c r="AF1679" s="75" t="s">
        <v>0</v>
      </c>
      <c r="AG1679" s="38" t="s">
        <v>8828</v>
      </c>
    </row>
    <row r="1680" spans="1:33" ht="6" customHeight="1" x14ac:dyDescent="0.4">
      <c r="A1680" s="4">
        <f>ROW()</f>
        <v>1680</v>
      </c>
      <c r="B1680" s="9" t="s">
        <v>27</v>
      </c>
      <c r="C1680" s="44" t="str">
        <f t="shared" si="877"/>
        <v>p.navegar</v>
      </c>
      <c r="D1680" s="6" t="str">
        <f t="shared" si="875"/>
        <v>é.dwt.mínimo</v>
      </c>
      <c r="E1680" s="8" t="s">
        <v>28</v>
      </c>
      <c r="F1680" s="34" t="str">
        <f t="shared" si="896"/>
        <v>d.navegar</v>
      </c>
      <c r="G1680" s="13" t="s">
        <v>1466</v>
      </c>
      <c r="H1680" s="34" t="s">
        <v>35</v>
      </c>
      <c r="I1680" s="92" t="str">
        <f t="shared" si="867"/>
        <v>null</v>
      </c>
      <c r="J1680" s="80" t="s">
        <v>0</v>
      </c>
      <c r="K1680" s="80" t="s">
        <v>0</v>
      </c>
      <c r="L1680" s="80" t="s">
        <v>0</v>
      </c>
      <c r="M1680" s="80" t="s">
        <v>0</v>
      </c>
      <c r="N1680" s="80" t="s">
        <v>0</v>
      </c>
      <c r="O1680" s="80" t="s">
        <v>0</v>
      </c>
      <c r="P1680" s="80" t="s">
        <v>0</v>
      </c>
      <c r="Q1680" s="80" t="s">
        <v>0</v>
      </c>
      <c r="R1680" s="84" t="s">
        <v>0</v>
      </c>
      <c r="S1680" s="10" t="s">
        <v>1</v>
      </c>
      <c r="T1680" s="10" t="s">
        <v>10221</v>
      </c>
      <c r="U1680" s="5" t="str">
        <f t="shared" si="897"/>
        <v>Propriedade destinada a navegar: é.dwt.mínimo</v>
      </c>
      <c r="V1680" s="5" t="str">
        <f t="shared" si="898"/>
        <v>Dado para navegar:  dwt.mínimo  Deve ser formatado como (xsd:double)</v>
      </c>
      <c r="W1680" s="69" t="s">
        <v>5882</v>
      </c>
      <c r="X1680" s="17" t="str">
        <f t="shared" si="890"/>
        <v>d.naveg.110</v>
      </c>
      <c r="Y1680" s="17" t="str">
        <f t="shared" si="891"/>
        <v>Ação de navegar</v>
      </c>
      <c r="Z1680" s="62" t="s">
        <v>6762</v>
      </c>
      <c r="AA1680" s="18" t="str">
        <f t="shared" si="839"/>
        <v>null</v>
      </c>
      <c r="AB1680" s="19" t="s">
        <v>0</v>
      </c>
      <c r="AC1680" s="18" t="str">
        <f t="shared" si="840"/>
        <v>null</v>
      </c>
      <c r="AD1680" s="19" t="s">
        <v>0</v>
      </c>
      <c r="AE1680" s="18" t="str">
        <f t="shared" si="876"/>
        <v>null</v>
      </c>
      <c r="AF1680" s="75" t="s">
        <v>0</v>
      </c>
      <c r="AG1680" s="38" t="s">
        <v>8829</v>
      </c>
    </row>
    <row r="1681" spans="1:33" ht="6" customHeight="1" x14ac:dyDescent="0.4">
      <c r="A1681" s="4">
        <f>ROW()</f>
        <v>1681</v>
      </c>
      <c r="B1681" s="9" t="s">
        <v>27</v>
      </c>
      <c r="C1681" s="44" t="str">
        <f t="shared" si="877"/>
        <v>p.navegar</v>
      </c>
      <c r="D1681" s="6" t="str">
        <f t="shared" si="875"/>
        <v>é.dwt.máximo</v>
      </c>
      <c r="E1681" s="8" t="s">
        <v>28</v>
      </c>
      <c r="F1681" s="34" t="str">
        <f t="shared" si="896"/>
        <v>d.navegar</v>
      </c>
      <c r="G1681" s="13" t="s">
        <v>1467</v>
      </c>
      <c r="H1681" s="34" t="s">
        <v>35</v>
      </c>
      <c r="I1681" s="92" t="str">
        <f t="shared" si="867"/>
        <v>null</v>
      </c>
      <c r="J1681" s="80" t="s">
        <v>0</v>
      </c>
      <c r="K1681" s="80" t="s">
        <v>0</v>
      </c>
      <c r="L1681" s="80" t="s">
        <v>0</v>
      </c>
      <c r="M1681" s="80" t="s">
        <v>0</v>
      </c>
      <c r="N1681" s="80" t="s">
        <v>0</v>
      </c>
      <c r="O1681" s="80" t="s">
        <v>0</v>
      </c>
      <c r="P1681" s="80" t="s">
        <v>0</v>
      </c>
      <c r="Q1681" s="80" t="s">
        <v>0</v>
      </c>
      <c r="R1681" s="84" t="s">
        <v>0</v>
      </c>
      <c r="S1681" s="10" t="s">
        <v>1</v>
      </c>
      <c r="T1681" s="10" t="s">
        <v>10221</v>
      </c>
      <c r="U1681" s="5" t="str">
        <f t="shared" si="897"/>
        <v>Propriedade destinada a navegar: é.dwt.máximo</v>
      </c>
      <c r="V1681" s="5" t="str">
        <f t="shared" si="898"/>
        <v>Dado para navegar:  dwt.máximo  Deve ser formatado como (xsd:double)</v>
      </c>
      <c r="W1681" s="69" t="s">
        <v>5883</v>
      </c>
      <c r="X1681" s="17" t="str">
        <f t="shared" si="890"/>
        <v>d.naveg.111</v>
      </c>
      <c r="Y1681" s="17" t="str">
        <f t="shared" si="891"/>
        <v>Ação de navegar</v>
      </c>
      <c r="Z1681" s="62" t="s">
        <v>6763</v>
      </c>
      <c r="AA1681" s="18" t="str">
        <f t="shared" si="839"/>
        <v>null</v>
      </c>
      <c r="AB1681" s="19" t="s">
        <v>0</v>
      </c>
      <c r="AC1681" s="18" t="str">
        <f t="shared" si="840"/>
        <v>null</v>
      </c>
      <c r="AD1681" s="19" t="s">
        <v>0</v>
      </c>
      <c r="AE1681" s="18" t="str">
        <f t="shared" si="876"/>
        <v>null</v>
      </c>
      <c r="AF1681" s="75" t="s">
        <v>0</v>
      </c>
      <c r="AG1681" s="38" t="s">
        <v>8830</v>
      </c>
    </row>
    <row r="1682" spans="1:33" ht="6" customHeight="1" x14ac:dyDescent="0.4">
      <c r="A1682" s="4">
        <f>ROW()</f>
        <v>1682</v>
      </c>
      <c r="B1682" s="9" t="s">
        <v>27</v>
      </c>
      <c r="C1682" s="44" t="str">
        <f t="shared" si="877"/>
        <v>p.navegar</v>
      </c>
      <c r="D1682" s="6" t="str">
        <f t="shared" si="875"/>
        <v>é.tonelagem.bruta</v>
      </c>
      <c r="E1682" s="8" t="s">
        <v>28</v>
      </c>
      <c r="F1682" s="34" t="str">
        <f t="shared" si="896"/>
        <v>d.navegar</v>
      </c>
      <c r="G1682" s="13" t="s">
        <v>1532</v>
      </c>
      <c r="H1682" s="34" t="s">
        <v>35</v>
      </c>
      <c r="I1682" s="92" t="str">
        <f t="shared" si="867"/>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97"/>
        <v>Propriedade destinada a navegar: é.tonelagem.bruta</v>
      </c>
      <c r="V1682" s="5" t="str">
        <f t="shared" si="898"/>
        <v>Dado para navegar:  tonelagem.bruta  Deve ser formatado como (xsd:double)</v>
      </c>
      <c r="W1682" s="69" t="s">
        <v>5884</v>
      </c>
      <c r="X1682" s="17" t="str">
        <f t="shared" si="890"/>
        <v>d.naveg.112</v>
      </c>
      <c r="Y1682" s="17" t="str">
        <f t="shared" si="891"/>
        <v>Ação de navegar</v>
      </c>
      <c r="Z1682" s="62" t="s">
        <v>4675</v>
      </c>
      <c r="AA1682" s="18" t="str">
        <f t="shared" si="839"/>
        <v>null</v>
      </c>
      <c r="AB1682" s="19" t="s">
        <v>0</v>
      </c>
      <c r="AC1682" s="18" t="str">
        <f t="shared" si="840"/>
        <v>null</v>
      </c>
      <c r="AD1682" s="19" t="s">
        <v>0</v>
      </c>
      <c r="AE1682" s="18" t="str">
        <f t="shared" si="876"/>
        <v>null</v>
      </c>
      <c r="AF1682" s="75" t="s">
        <v>0</v>
      </c>
      <c r="AG1682" s="38" t="s">
        <v>8831</v>
      </c>
    </row>
    <row r="1683" spans="1:33" ht="6" customHeight="1" x14ac:dyDescent="0.4">
      <c r="A1683" s="4">
        <f>ROW()</f>
        <v>1683</v>
      </c>
      <c r="B1683" s="9" t="s">
        <v>27</v>
      </c>
      <c r="C1683" s="44" t="str">
        <f t="shared" si="877"/>
        <v>p.navegar</v>
      </c>
      <c r="D1683" s="6" t="str">
        <f t="shared" si="875"/>
        <v>é.cais.acostável</v>
      </c>
      <c r="E1683" s="8" t="s">
        <v>28</v>
      </c>
      <c r="F1683" s="34" t="str">
        <f t="shared" si="896"/>
        <v>d.navegar</v>
      </c>
      <c r="G1683" s="13" t="s">
        <v>1484</v>
      </c>
      <c r="H1683" s="34" t="s">
        <v>35</v>
      </c>
      <c r="I1683" s="92" t="str">
        <f t="shared" si="867"/>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97"/>
        <v>Propriedade destinada a navegar: é.cais.acostável</v>
      </c>
      <c r="V1683" s="5" t="str">
        <f t="shared" si="898"/>
        <v>Dado para navegar:  cais.acostável  Deve ser formatado como (xsd:double)</v>
      </c>
      <c r="W1683" s="69" t="s">
        <v>5885</v>
      </c>
      <c r="X1683" s="17" t="str">
        <f t="shared" si="890"/>
        <v>d.naveg.113</v>
      </c>
      <c r="Y1683" s="17" t="str">
        <f t="shared" si="891"/>
        <v>Ação de navegar</v>
      </c>
      <c r="Z1683" s="62" t="s">
        <v>4676</v>
      </c>
      <c r="AA1683" s="18" t="str">
        <f t="shared" si="839"/>
        <v>null</v>
      </c>
      <c r="AB1683" s="19" t="s">
        <v>0</v>
      </c>
      <c r="AC1683" s="18" t="str">
        <f t="shared" si="840"/>
        <v>null</v>
      </c>
      <c r="AD1683" s="19" t="s">
        <v>0</v>
      </c>
      <c r="AE1683" s="18" t="str">
        <f t="shared" si="876"/>
        <v>null</v>
      </c>
      <c r="AF1683" s="75" t="s">
        <v>0</v>
      </c>
      <c r="AG1683" s="38" t="s">
        <v>8832</v>
      </c>
    </row>
    <row r="1684" spans="1:33" ht="6" customHeight="1" x14ac:dyDescent="0.2">
      <c r="A1684" s="4">
        <f>ROW()</f>
        <v>1684</v>
      </c>
      <c r="B1684" s="9" t="s">
        <v>27</v>
      </c>
      <c r="C1684" s="43" t="str">
        <f t="shared" si="877"/>
        <v>p.negociar</v>
      </c>
      <c r="D1684" s="6" t="str">
        <f t="shared" si="875"/>
        <v>é.camada.índice</v>
      </c>
      <c r="E1684" s="8" t="s">
        <v>28</v>
      </c>
      <c r="F1684" s="41" t="s">
        <v>10099</v>
      </c>
      <c r="G1684" s="78" t="s">
        <v>10109</v>
      </c>
      <c r="H1684" s="34" t="s">
        <v>1581</v>
      </c>
      <c r="I1684" s="92" t="str">
        <f t="shared" si="867"/>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97"/>
        <v>Propriedade destinada a negociar: é.camada.índice</v>
      </c>
      <c r="V1684" s="5" t="str">
        <f t="shared" si="898"/>
        <v>Dado para negociar:  camada.índice  Deve ser formatado como (rdfs:Literal  or  xsd:string)</v>
      </c>
      <c r="W1684" s="69" t="s">
        <v>10108</v>
      </c>
      <c r="X1684" s="17" t="str">
        <f t="shared" si="890"/>
        <v>d.negoc.100</v>
      </c>
      <c r="Y1684" s="17" t="str">
        <f t="shared" si="891"/>
        <v>Ação de negociar</v>
      </c>
      <c r="Z1684" s="62" t="str">
        <f>_xlfn.TRANSLATE(W1684,"pt","es")</f>
        <v>Declara la capa raíz con el índice de organización para que el agente la procese.</v>
      </c>
      <c r="AA1684" s="18" t="s">
        <v>0</v>
      </c>
      <c r="AB1684" s="19" t="s">
        <v>0</v>
      </c>
      <c r="AC1684" s="18" t="s">
        <v>0</v>
      </c>
      <c r="AD1684" s="19" t="s">
        <v>0</v>
      </c>
      <c r="AE1684" s="18" t="str">
        <f t="shared" si="876"/>
        <v>null</v>
      </c>
      <c r="AF1684" s="75" t="s">
        <v>0</v>
      </c>
      <c r="AG1684" s="62" t="s">
        <v>11279</v>
      </c>
    </row>
    <row r="1685" spans="1:33" ht="6" customHeight="1" x14ac:dyDescent="0.2">
      <c r="A1685" s="4">
        <f>ROW()</f>
        <v>1685</v>
      </c>
      <c r="B1685" s="9" t="s">
        <v>27</v>
      </c>
      <c r="C1685" s="44" t="str">
        <f t="shared" si="877"/>
        <v>p.negociar</v>
      </c>
      <c r="D1685" s="6" t="str">
        <f t="shared" si="875"/>
        <v>é.camada.conhecimento</v>
      </c>
      <c r="E1685" s="8" t="s">
        <v>28</v>
      </c>
      <c r="F1685" s="34" t="str">
        <f>F1684</f>
        <v>d.negociar</v>
      </c>
      <c r="G1685" s="78" t="s">
        <v>10102</v>
      </c>
      <c r="H1685" s="34" t="s">
        <v>1581</v>
      </c>
      <c r="I1685" s="92" t="str">
        <f t="shared" si="867"/>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97"/>
        <v>Propriedade destinada a negociar: é.camada.conhecimento</v>
      </c>
      <c r="V1685" s="5" t="str">
        <f t="shared" si="898"/>
        <v>Dado para negociar:  camada.conhecimento  Deve ser formatado como (rdfs:Literal  or  xsd:string)</v>
      </c>
      <c r="W1685" s="69" t="s">
        <v>10103</v>
      </c>
      <c r="X1685" s="17" t="str">
        <f t="shared" si="890"/>
        <v>d.negoc.101</v>
      </c>
      <c r="Y1685" s="17" t="str">
        <f t="shared" si="891"/>
        <v>Ação de negociar</v>
      </c>
      <c r="Z1685" s="62" t="str">
        <f>_xlfn.TRANSLATE(W1685,"pt","es")</f>
        <v>Declara la capa de conocimiento organizacional.</v>
      </c>
      <c r="AA1685" s="18" t="s">
        <v>0</v>
      </c>
      <c r="AB1685" s="19" t="s">
        <v>0</v>
      </c>
      <c r="AC1685" s="18" t="s">
        <v>0</v>
      </c>
      <c r="AD1685" s="19" t="s">
        <v>0</v>
      </c>
      <c r="AE1685" s="18" t="str">
        <f t="shared" si="876"/>
        <v>null</v>
      </c>
      <c r="AF1685" s="75" t="s">
        <v>0</v>
      </c>
      <c r="AG1685" s="62" t="s">
        <v>11280</v>
      </c>
    </row>
    <row r="1686" spans="1:33" ht="6" customHeight="1" x14ac:dyDescent="0.2">
      <c r="A1686" s="4">
        <f>ROW()</f>
        <v>1686</v>
      </c>
      <c r="B1686" s="9" t="s">
        <v>27</v>
      </c>
      <c r="C1686" s="44" t="str">
        <f t="shared" si="877"/>
        <v>p.negociar</v>
      </c>
      <c r="D1686" s="6" t="str">
        <f t="shared" si="875"/>
        <v>é.camada.lógica</v>
      </c>
      <c r="E1686" s="8" t="s">
        <v>28</v>
      </c>
      <c r="F1686" s="34" t="str">
        <f>F1685</f>
        <v>d.negociar</v>
      </c>
      <c r="G1686" s="78" t="s">
        <v>10100</v>
      </c>
      <c r="H1686" s="34" t="s">
        <v>1581</v>
      </c>
      <c r="I1686" s="92" t="str">
        <f t="shared" si="867"/>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97"/>
        <v>Propriedade destinada a negociar: é.camada.lógica</v>
      </c>
      <c r="V1686" s="5" t="str">
        <f t="shared" si="898"/>
        <v>Dado para negociar:  camada.lógica  Deve ser formatado como (rdfs:Literal  or  xsd:string)</v>
      </c>
      <c r="W1686" s="69" t="s">
        <v>10104</v>
      </c>
      <c r="X1686" s="17" t="str">
        <f t="shared" si="890"/>
        <v>d.negoc.102</v>
      </c>
      <c r="Y1686" s="17" t="str">
        <f t="shared" si="891"/>
        <v>Ação de negociar</v>
      </c>
      <c r="Z1686" s="62" t="str">
        <f t="shared" ref="Z1686:Z1688" si="899">_xlfn.TRANSLATE(W1686,"pt","es")</f>
        <v>Declara la capa de lógica de negocio.</v>
      </c>
      <c r="AA1686" s="18" t="s">
        <v>0</v>
      </c>
      <c r="AB1686" s="19" t="s">
        <v>0</v>
      </c>
      <c r="AC1686" s="18" t="s">
        <v>0</v>
      </c>
      <c r="AD1686" s="19" t="s">
        <v>0</v>
      </c>
      <c r="AE1686" s="18" t="str">
        <f t="shared" si="876"/>
        <v>null</v>
      </c>
      <c r="AF1686" s="75" t="s">
        <v>0</v>
      </c>
      <c r="AG1686" s="62" t="s">
        <v>11281</v>
      </c>
    </row>
    <row r="1687" spans="1:33" ht="6" customHeight="1" x14ac:dyDescent="0.2">
      <c r="A1687" s="4">
        <f>ROW()</f>
        <v>1687</v>
      </c>
      <c r="B1687" s="9" t="s">
        <v>27</v>
      </c>
      <c r="C1687" s="44" t="str">
        <f t="shared" si="877"/>
        <v>p.negociar</v>
      </c>
      <c r="D1687" s="6" t="str">
        <f t="shared" si="875"/>
        <v>é.camada.suporte</v>
      </c>
      <c r="E1687" s="8" t="s">
        <v>28</v>
      </c>
      <c r="F1687" s="34" t="str">
        <f t="shared" ref="F1687:F1688" si="900">F1686</f>
        <v>d.negociar</v>
      </c>
      <c r="G1687" s="78" t="s">
        <v>10101</v>
      </c>
      <c r="H1687" s="34" t="s">
        <v>1581</v>
      </c>
      <c r="I1687" s="92" t="str">
        <f t="shared" si="867"/>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97"/>
        <v>Propriedade destinada a negociar: é.camada.suporte</v>
      </c>
      <c r="V1687" s="5" t="str">
        <f t="shared" si="898"/>
        <v>Dado para negociar:  camada.suporte  Deve ser formatado como (rdfs:Literal  or  xsd:string)</v>
      </c>
      <c r="W1687" s="69" t="s">
        <v>10105</v>
      </c>
      <c r="X1687" s="17" t="str">
        <f t="shared" si="890"/>
        <v>d.negoc.103</v>
      </c>
      <c r="Y1687" s="17" t="str">
        <f t="shared" si="891"/>
        <v>Ação de negociar</v>
      </c>
      <c r="Z1687" s="62" t="str">
        <f t="shared" si="899"/>
        <v>Declara la capa final de soporte.</v>
      </c>
      <c r="AA1687" s="18" t="s">
        <v>0</v>
      </c>
      <c r="AB1687" s="19" t="s">
        <v>0</v>
      </c>
      <c r="AC1687" s="18" t="s">
        <v>0</v>
      </c>
      <c r="AD1687" s="19" t="s">
        <v>0</v>
      </c>
      <c r="AE1687" s="18" t="str">
        <f t="shared" si="876"/>
        <v>null</v>
      </c>
      <c r="AF1687" s="75" t="s">
        <v>0</v>
      </c>
      <c r="AG1687" s="62" t="s">
        <v>11282</v>
      </c>
    </row>
    <row r="1688" spans="1:33" ht="6" customHeight="1" x14ac:dyDescent="0.2">
      <c r="A1688" s="4">
        <f>ROW()</f>
        <v>1688</v>
      </c>
      <c r="B1688" s="9" t="s">
        <v>27</v>
      </c>
      <c r="C1688" s="44" t="str">
        <f t="shared" si="877"/>
        <v>p.negociar</v>
      </c>
      <c r="D1688" s="6" t="str">
        <f t="shared" si="875"/>
        <v>é.camada.tradução</v>
      </c>
      <c r="E1688" s="8" t="s">
        <v>28</v>
      </c>
      <c r="F1688" s="34" t="str">
        <f t="shared" si="900"/>
        <v>d.negociar</v>
      </c>
      <c r="G1688" s="78" t="s">
        <v>10107</v>
      </c>
      <c r="H1688" s="34" t="s">
        <v>1581</v>
      </c>
      <c r="I1688" s="92" t="str">
        <f t="shared" si="867"/>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97"/>
        <v>Propriedade destinada a negociar: é.camada.tradução</v>
      </c>
      <c r="V1688" s="5" t="str">
        <f t="shared" si="898"/>
        <v>Dado para negociar:  camada.tradução  Deve ser formatado como (rdfs:Literal  or  xsd:string)</v>
      </c>
      <c r="W1688" s="69" t="s">
        <v>10106</v>
      </c>
      <c r="X1688" s="17" t="str">
        <f t="shared" si="890"/>
        <v>d.negoc.104</v>
      </c>
      <c r="Y1688" s="17" t="str">
        <f t="shared" si="891"/>
        <v>Ação de negociar</v>
      </c>
      <c r="Z1688" s="62" t="str">
        <f t="shared" si="899"/>
        <v>Declara la capa de traducción.</v>
      </c>
      <c r="AA1688" s="18" t="s">
        <v>0</v>
      </c>
      <c r="AB1688" s="19" t="s">
        <v>0</v>
      </c>
      <c r="AC1688" s="18" t="s">
        <v>0</v>
      </c>
      <c r="AD1688" s="19" t="s">
        <v>0</v>
      </c>
      <c r="AE1688" s="18" t="str">
        <f t="shared" si="876"/>
        <v>null</v>
      </c>
      <c r="AF1688" s="75" t="s">
        <v>0</v>
      </c>
      <c r="AG1688" s="62" t="s">
        <v>11283</v>
      </c>
    </row>
    <row r="1689" spans="1:33" ht="6" customHeight="1" x14ac:dyDescent="0.4">
      <c r="A1689" s="4">
        <f>ROW()</f>
        <v>1689</v>
      </c>
      <c r="B1689" s="9" t="s">
        <v>27</v>
      </c>
      <c r="C1689" s="43" t="str">
        <f t="shared" si="877"/>
        <v>p.normatizar</v>
      </c>
      <c r="D1689" s="6" t="str">
        <f t="shared" si="875"/>
        <v>é.escopo</v>
      </c>
      <c r="E1689" s="8" t="s">
        <v>28</v>
      </c>
      <c r="F1689" s="41" t="s">
        <v>2209</v>
      </c>
      <c r="G1689" s="13" t="s">
        <v>155</v>
      </c>
      <c r="H1689" s="34" t="s">
        <v>1581</v>
      </c>
      <c r="I1689" s="92" t="str">
        <f t="shared" si="867"/>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97"/>
        <v>Propriedade destinada a normatizar: é.escopo</v>
      </c>
      <c r="V1689" s="5" t="str">
        <f t="shared" si="898"/>
        <v>Dado para normatizar:  escopo  Deve ser formatado como (rdfs:Literal  or  xsd:string)</v>
      </c>
      <c r="W1689" s="69" t="s">
        <v>9807</v>
      </c>
      <c r="X1689" s="17" t="str">
        <f t="shared" si="890"/>
        <v>d.norma.100</v>
      </c>
      <c r="Y1689" s="17" t="str">
        <f t="shared" si="891"/>
        <v>Ação de normatizar</v>
      </c>
      <c r="Z1689" s="62" t="s">
        <v>4679</v>
      </c>
      <c r="AA1689" s="18" t="str">
        <f t="shared" si="839"/>
        <v>null</v>
      </c>
      <c r="AB1689" s="19" t="s">
        <v>0</v>
      </c>
      <c r="AC1689" s="18" t="str">
        <f t="shared" si="840"/>
        <v>null</v>
      </c>
      <c r="AD1689" s="19" t="s">
        <v>0</v>
      </c>
      <c r="AE1689" s="18" t="str">
        <f t="shared" si="876"/>
        <v>null</v>
      </c>
      <c r="AF1689" s="75" t="s">
        <v>0</v>
      </c>
      <c r="AG1689" s="38" t="s">
        <v>8835</v>
      </c>
    </row>
    <row r="1690" spans="1:33" ht="6" customHeight="1" x14ac:dyDescent="0.4">
      <c r="A1690" s="4">
        <f>ROW()</f>
        <v>1690</v>
      </c>
      <c r="B1690" s="9" t="s">
        <v>27</v>
      </c>
      <c r="C1690" s="44" t="str">
        <f t="shared" si="877"/>
        <v>p.normatizar</v>
      </c>
      <c r="D1690" s="6" t="str">
        <f t="shared" si="875"/>
        <v>é.norma</v>
      </c>
      <c r="E1690" s="8" t="s">
        <v>28</v>
      </c>
      <c r="F1690" s="34" t="str">
        <f t="shared" ref="F1690:F1693" si="901">F1689</f>
        <v>d.normatizar</v>
      </c>
      <c r="G1690" s="13" t="s">
        <v>153</v>
      </c>
      <c r="H1690" s="34" t="s">
        <v>1581</v>
      </c>
      <c r="I1690" s="92" t="str">
        <f t="shared" ref="I1690:I1939" si="902">IF(OR(J1690="Functional",K1690="InverseFunctional"),"Functional","null")</f>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97"/>
        <v>Propriedade destinada a normatizar: é.norma</v>
      </c>
      <c r="V1690" s="5" t="str">
        <f t="shared" si="898"/>
        <v>Dado para normatizar:  norma  Deve ser formatado como (rdfs:Literal  or  xsd:string)</v>
      </c>
      <c r="W1690" s="69" t="s">
        <v>9808</v>
      </c>
      <c r="X1690" s="17" t="str">
        <f t="shared" si="890"/>
        <v>d.norma.101</v>
      </c>
      <c r="Y1690" s="17" t="str">
        <f t="shared" si="891"/>
        <v>Ação de normatizar</v>
      </c>
      <c r="Z1690" s="62" t="s">
        <v>4677</v>
      </c>
      <c r="AA1690" s="18" t="str">
        <f t="shared" si="839"/>
        <v>null</v>
      </c>
      <c r="AB1690" s="19" t="s">
        <v>0</v>
      </c>
      <c r="AC1690" s="18" t="str">
        <f t="shared" si="840"/>
        <v>null</v>
      </c>
      <c r="AD1690" s="19" t="s">
        <v>0</v>
      </c>
      <c r="AE1690" s="18" t="str">
        <f t="shared" si="876"/>
        <v>null</v>
      </c>
      <c r="AF1690" s="75" t="s">
        <v>0</v>
      </c>
      <c r="AG1690" s="38" t="s">
        <v>8833</v>
      </c>
    </row>
    <row r="1691" spans="1:33" ht="6" customHeight="1" x14ac:dyDescent="0.4">
      <c r="A1691" s="4">
        <f>ROW()</f>
        <v>1691</v>
      </c>
      <c r="B1691" s="9" t="s">
        <v>27</v>
      </c>
      <c r="C1691" s="44" t="str">
        <f t="shared" si="877"/>
        <v>p.normatizar</v>
      </c>
      <c r="D1691" s="6" t="str">
        <f t="shared" si="875"/>
        <v>é.norma.aplicável</v>
      </c>
      <c r="E1691" s="8" t="s">
        <v>28</v>
      </c>
      <c r="F1691" s="34" t="str">
        <f t="shared" si="901"/>
        <v>d.normatizar</v>
      </c>
      <c r="G1691" s="14" t="s">
        <v>522</v>
      </c>
      <c r="H1691" s="33" t="s">
        <v>1581</v>
      </c>
      <c r="I1691" s="92" t="str">
        <f t="shared" si="902"/>
        <v>null</v>
      </c>
      <c r="J1691" s="82" t="s">
        <v>0</v>
      </c>
      <c r="K1691" s="82" t="s">
        <v>0</v>
      </c>
      <c r="L1691" s="82" t="s">
        <v>0</v>
      </c>
      <c r="M1691" s="82" t="s">
        <v>0</v>
      </c>
      <c r="N1691" s="80" t="s">
        <v>0</v>
      </c>
      <c r="O1691" s="82" t="s">
        <v>0</v>
      </c>
      <c r="P1691" s="82" t="s">
        <v>0</v>
      </c>
      <c r="Q1691" s="82" t="s">
        <v>0</v>
      </c>
      <c r="R1691" s="84" t="s">
        <v>0</v>
      </c>
      <c r="S1691" s="10" t="s">
        <v>1</v>
      </c>
      <c r="T1691" s="10" t="s">
        <v>10221</v>
      </c>
      <c r="U1691" s="5" t="str">
        <f t="shared" si="897"/>
        <v>Propriedade destinada a normatizar: é.norma.aplicável</v>
      </c>
      <c r="V1691" s="5" t="str">
        <f t="shared" si="898"/>
        <v>Dado para normatizar:  norma.aplicável  Deve ser formatado como (rdfs:Literal  or  xsd:string)</v>
      </c>
      <c r="W1691" s="69" t="s">
        <v>9804</v>
      </c>
      <c r="X1691" s="17" t="str">
        <f t="shared" si="890"/>
        <v>d.norma.102</v>
      </c>
      <c r="Y1691" s="17" t="str">
        <f t="shared" si="891"/>
        <v>Ação de normatizar</v>
      </c>
      <c r="Z1691" s="69" t="s">
        <v>9805</v>
      </c>
      <c r="AA1691" s="18" t="str">
        <f t="shared" si="839"/>
        <v>null</v>
      </c>
      <c r="AB1691" s="19" t="s">
        <v>0</v>
      </c>
      <c r="AC1691" s="18" t="str">
        <f t="shared" si="840"/>
        <v>null</v>
      </c>
      <c r="AD1691" s="19" t="s">
        <v>0</v>
      </c>
      <c r="AE1691" s="18" t="str">
        <f t="shared" si="876"/>
        <v>null</v>
      </c>
      <c r="AF1691" s="75" t="s">
        <v>0</v>
      </c>
      <c r="AG1691" s="38" t="s">
        <v>9806</v>
      </c>
    </row>
    <row r="1692" spans="1:33" ht="6" customHeight="1" x14ac:dyDescent="0.4">
      <c r="A1692" s="4">
        <f>ROW()</f>
        <v>1692</v>
      </c>
      <c r="B1692" s="9" t="s">
        <v>27</v>
      </c>
      <c r="C1692" s="44" t="str">
        <f t="shared" si="877"/>
        <v>p.normatizar</v>
      </c>
      <c r="D1692" s="6" t="str">
        <f t="shared" si="875"/>
        <v>é.parte</v>
      </c>
      <c r="E1692" s="8" t="s">
        <v>28</v>
      </c>
      <c r="F1692" s="34" t="str">
        <f t="shared" si="901"/>
        <v>d.normatizar</v>
      </c>
      <c r="G1692" s="13" t="s">
        <v>154</v>
      </c>
      <c r="H1692" s="34" t="s">
        <v>1581</v>
      </c>
      <c r="I1692" s="92" t="str">
        <f t="shared" si="902"/>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97"/>
        <v>Propriedade destinada a normatizar: é.parte</v>
      </c>
      <c r="V1692" s="5" t="str">
        <f t="shared" si="898"/>
        <v>Dado para normatizar:  parte  Deve ser formatado como (rdfs:Literal  or  xsd:string)</v>
      </c>
      <c r="W1692" s="69" t="s">
        <v>9809</v>
      </c>
      <c r="X1692" s="17" t="str">
        <f t="shared" si="890"/>
        <v>d.norma.103</v>
      </c>
      <c r="Y1692" s="17" t="str">
        <f t="shared" si="891"/>
        <v>Ação de normatizar</v>
      </c>
      <c r="Z1692" s="62" t="s">
        <v>4678</v>
      </c>
      <c r="AA1692" s="18" t="str">
        <f t="shared" si="839"/>
        <v>null</v>
      </c>
      <c r="AB1692" s="19" t="s">
        <v>0</v>
      </c>
      <c r="AC1692" s="18" t="str">
        <f t="shared" si="840"/>
        <v>null</v>
      </c>
      <c r="AD1692" s="19" t="s">
        <v>0</v>
      </c>
      <c r="AE1692" s="18" t="str">
        <f t="shared" si="876"/>
        <v>null</v>
      </c>
      <c r="AF1692" s="75" t="s">
        <v>0</v>
      </c>
      <c r="AG1692" s="38" t="s">
        <v>8834</v>
      </c>
    </row>
    <row r="1693" spans="1:33" ht="6" customHeight="1" x14ac:dyDescent="0.4">
      <c r="A1693" s="4">
        <f>ROW()</f>
        <v>1693</v>
      </c>
      <c r="B1693" s="9" t="s">
        <v>27</v>
      </c>
      <c r="C1693" s="44" t="str">
        <f t="shared" si="877"/>
        <v>p.normatizar</v>
      </c>
      <c r="D1693" s="6" t="str">
        <f t="shared" si="875"/>
        <v>é.regulamento</v>
      </c>
      <c r="E1693" s="8" t="s">
        <v>28</v>
      </c>
      <c r="F1693" s="34" t="str">
        <f t="shared" si="901"/>
        <v>d.normatizar</v>
      </c>
      <c r="G1693" s="13" t="s">
        <v>156</v>
      </c>
      <c r="H1693" s="34" t="s">
        <v>1581</v>
      </c>
      <c r="I1693" s="92" t="str">
        <f t="shared" si="902"/>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97"/>
        <v>Propriedade destinada a normatizar: é.regulamento</v>
      </c>
      <c r="V1693" s="5" t="str">
        <f t="shared" si="898"/>
        <v>Dado para normatizar:  regulamento  Deve ser formatado como (rdfs:Literal  or  xsd:string)</v>
      </c>
      <c r="W1693" s="69" t="s">
        <v>9810</v>
      </c>
      <c r="X1693" s="17" t="str">
        <f t="shared" si="890"/>
        <v>d.norma.104</v>
      </c>
      <c r="Y1693" s="17" t="str">
        <f t="shared" si="891"/>
        <v>Ação de normatizar</v>
      </c>
      <c r="Z1693" s="62" t="s">
        <v>4680</v>
      </c>
      <c r="AA1693" s="18" t="str">
        <f t="shared" si="839"/>
        <v>null</v>
      </c>
      <c r="AB1693" s="19" t="s">
        <v>0</v>
      </c>
      <c r="AC1693" s="18" t="str">
        <f t="shared" si="840"/>
        <v>null</v>
      </c>
      <c r="AD1693" s="19" t="s">
        <v>0</v>
      </c>
      <c r="AE1693" s="18" t="str">
        <f t="shared" si="876"/>
        <v>null</v>
      </c>
      <c r="AF1693" s="75" t="s">
        <v>0</v>
      </c>
      <c r="AG1693" s="38" t="s">
        <v>8836</v>
      </c>
    </row>
    <row r="1694" spans="1:33" customFormat="1" ht="6" customHeight="1" x14ac:dyDescent="0.4">
      <c r="A1694" s="4">
        <f>ROW()</f>
        <v>1694</v>
      </c>
      <c r="B1694" s="9" t="s">
        <v>27</v>
      </c>
      <c r="C1694" s="43" t="str">
        <f t="shared" si="877"/>
        <v>p.objetivar</v>
      </c>
      <c r="D1694" s="6" t="str">
        <f t="shared" si="875"/>
        <v>é.ods.01</v>
      </c>
      <c r="E1694" s="8" t="s">
        <v>28</v>
      </c>
      <c r="F1694" s="40" t="s">
        <v>10290</v>
      </c>
      <c r="G1694" s="27" t="s">
        <v>10939</v>
      </c>
      <c r="H1694" s="33" t="s">
        <v>1581</v>
      </c>
      <c r="I1694" s="92" t="str">
        <f t="shared" si="902"/>
        <v>null</v>
      </c>
      <c r="J1694" s="82" t="s">
        <v>0</v>
      </c>
      <c r="K1694" s="82" t="s">
        <v>0</v>
      </c>
      <c r="L1694" s="82" t="s">
        <v>0</v>
      </c>
      <c r="M1694" s="82" t="s">
        <v>0</v>
      </c>
      <c r="N1694" s="80" t="s">
        <v>0</v>
      </c>
      <c r="O1694" s="82" t="s">
        <v>0</v>
      </c>
      <c r="P1694" s="82" t="s">
        <v>0</v>
      </c>
      <c r="Q1694" s="82" t="s">
        <v>0</v>
      </c>
      <c r="R1694" s="84" t="s">
        <v>1761</v>
      </c>
      <c r="S1694" s="10" t="s">
        <v>1</v>
      </c>
      <c r="T1694" s="10" t="s">
        <v>10221</v>
      </c>
      <c r="U1694" s="5" t="str">
        <f t="shared" si="897"/>
        <v>Propriedade destinada a objetivar: é.ods.01</v>
      </c>
      <c r="V1694" s="5" t="str">
        <f t="shared" si="898"/>
        <v>Dado para objetivar:  ods.01  Deve ser formatado como (rdfs:Literal  or  xsd:string)</v>
      </c>
      <c r="W1694" s="39" t="s">
        <v>10940</v>
      </c>
      <c r="X1694" s="17" t="str">
        <f t="shared" si="890"/>
        <v>d.objet.100</v>
      </c>
      <c r="Y1694" s="17" t="str">
        <f t="shared" si="891"/>
        <v>Ação de objetivar</v>
      </c>
      <c r="Z1694" s="62" t="s">
        <v>10941</v>
      </c>
      <c r="AA1694" s="18" t="str">
        <f t="shared" si="839"/>
        <v>null</v>
      </c>
      <c r="AB1694" s="19" t="s">
        <v>0</v>
      </c>
      <c r="AC1694" s="18" t="str">
        <f t="shared" si="840"/>
        <v>null</v>
      </c>
      <c r="AD1694" s="19" t="s">
        <v>0</v>
      </c>
      <c r="AE1694" s="18" t="str">
        <f t="shared" si="876"/>
        <v>null</v>
      </c>
      <c r="AF1694" s="75" t="s">
        <v>0</v>
      </c>
      <c r="AG1694" s="38" t="s">
        <v>10942</v>
      </c>
    </row>
    <row r="1695" spans="1:33" customFormat="1" ht="6" customHeight="1" x14ac:dyDescent="0.4">
      <c r="A1695" s="4">
        <f>ROW()</f>
        <v>1695</v>
      </c>
      <c r="B1695" s="9" t="s">
        <v>27</v>
      </c>
      <c r="C1695" s="44" t="str">
        <f t="shared" si="877"/>
        <v>p.objetivar</v>
      </c>
      <c r="D1695" s="6" t="str">
        <f t="shared" si="875"/>
        <v>é.ods.01.01</v>
      </c>
      <c r="E1695" s="8" t="s">
        <v>28</v>
      </c>
      <c r="F1695" s="34" t="str">
        <f t="shared" ref="F1695:F1701" si="903">F1694</f>
        <v>d.objetivar</v>
      </c>
      <c r="G1695" s="27" t="s">
        <v>10299</v>
      </c>
      <c r="H1695" s="33" t="s">
        <v>1581</v>
      </c>
      <c r="I1695" s="92" t="str">
        <f t="shared" si="902"/>
        <v>null</v>
      </c>
      <c r="J1695" s="82" t="s">
        <v>0</v>
      </c>
      <c r="K1695" s="82" t="s">
        <v>0</v>
      </c>
      <c r="L1695" s="82" t="s">
        <v>0</v>
      </c>
      <c r="M1695" s="82" t="s">
        <v>0</v>
      </c>
      <c r="N1695" s="80" t="s">
        <v>0</v>
      </c>
      <c r="O1695" s="82" t="s">
        <v>0</v>
      </c>
      <c r="P1695" s="82" t="s">
        <v>0</v>
      </c>
      <c r="Q1695" s="82" t="s">
        <v>0</v>
      </c>
      <c r="R1695" s="84" t="s">
        <v>0</v>
      </c>
      <c r="S1695" s="10" t="s">
        <v>1</v>
      </c>
      <c r="T1695" s="10" t="s">
        <v>10221</v>
      </c>
      <c r="U1695" s="5" t="str">
        <f t="shared" si="897"/>
        <v>Propriedade destinada a objetivar: é.ods.01.01</v>
      </c>
      <c r="V1695" s="5" t="str">
        <f t="shared" si="898"/>
        <v>Dado para objetivar:  ods.01.01  Deve ser formatado como (rdfs:Literal  or  xsd:string)</v>
      </c>
      <c r="W1695" s="39" t="s">
        <v>10789</v>
      </c>
      <c r="X1695" s="17" t="str">
        <f t="shared" si="890"/>
        <v>d.objet.101</v>
      </c>
      <c r="Y1695" s="17" t="str">
        <f t="shared" si="891"/>
        <v>Ação de objetivar</v>
      </c>
      <c r="Z1695" s="62" t="s">
        <v>10943</v>
      </c>
      <c r="AA1695" s="18" t="str">
        <f t="shared" si="839"/>
        <v>null</v>
      </c>
      <c r="AB1695" s="19" t="s">
        <v>0</v>
      </c>
      <c r="AC1695" s="18" t="str">
        <f t="shared" si="840"/>
        <v>null</v>
      </c>
      <c r="AD1695" s="19" t="s">
        <v>0</v>
      </c>
      <c r="AE1695" s="18" t="str">
        <f t="shared" si="876"/>
        <v>null</v>
      </c>
      <c r="AF1695" s="75" t="s">
        <v>0</v>
      </c>
      <c r="AG1695" s="38" t="s">
        <v>10944</v>
      </c>
    </row>
    <row r="1696" spans="1:33" customFormat="1" ht="6" customHeight="1" x14ac:dyDescent="0.4">
      <c r="A1696" s="4">
        <f>ROW()</f>
        <v>1696</v>
      </c>
      <c r="B1696" s="9" t="s">
        <v>27</v>
      </c>
      <c r="C1696" s="44" t="str">
        <f t="shared" si="877"/>
        <v>p.objetivar</v>
      </c>
      <c r="D1696" s="6" t="str">
        <f t="shared" si="875"/>
        <v>é.ods.01.02</v>
      </c>
      <c r="E1696" s="8" t="s">
        <v>28</v>
      </c>
      <c r="F1696" s="34" t="str">
        <f t="shared" si="903"/>
        <v>d.objetivar</v>
      </c>
      <c r="G1696" s="27" t="s">
        <v>10300</v>
      </c>
      <c r="H1696" s="33" t="s">
        <v>1581</v>
      </c>
      <c r="I1696" s="92" t="str">
        <f t="shared" si="902"/>
        <v>null</v>
      </c>
      <c r="J1696" s="82" t="s">
        <v>0</v>
      </c>
      <c r="K1696" s="82" t="s">
        <v>0</v>
      </c>
      <c r="L1696" s="82" t="s">
        <v>0</v>
      </c>
      <c r="M1696" s="82" t="s">
        <v>0</v>
      </c>
      <c r="N1696" s="80" t="s">
        <v>0</v>
      </c>
      <c r="O1696" s="82" t="s">
        <v>0</v>
      </c>
      <c r="P1696" s="82" t="s">
        <v>0</v>
      </c>
      <c r="Q1696" s="82" t="s">
        <v>0</v>
      </c>
      <c r="R1696" s="84" t="s">
        <v>0</v>
      </c>
      <c r="S1696" s="10" t="s">
        <v>1</v>
      </c>
      <c r="T1696" s="10" t="s">
        <v>10221</v>
      </c>
      <c r="U1696" s="5" t="str">
        <f t="shared" si="897"/>
        <v>Propriedade destinada a objetivar: é.ods.01.02</v>
      </c>
      <c r="V1696" s="5" t="str">
        <f t="shared" si="898"/>
        <v>Dado para objetivar:  ods.01.02  Deve ser formatado como (rdfs:Literal  or  xsd:string)</v>
      </c>
      <c r="W1696" s="39" t="s">
        <v>10778</v>
      </c>
      <c r="X1696" s="17" t="str">
        <f t="shared" si="890"/>
        <v>d.objet.102</v>
      </c>
      <c r="Y1696" s="17" t="str">
        <f t="shared" si="891"/>
        <v>Ação de objetivar</v>
      </c>
      <c r="Z1696" s="62" t="s">
        <v>10945</v>
      </c>
      <c r="AA1696" s="18" t="str">
        <f t="shared" si="839"/>
        <v>null</v>
      </c>
      <c r="AB1696" s="19" t="s">
        <v>0</v>
      </c>
      <c r="AC1696" s="18" t="str">
        <f t="shared" si="840"/>
        <v>null</v>
      </c>
      <c r="AD1696" s="19" t="s">
        <v>0</v>
      </c>
      <c r="AE1696" s="18" t="str">
        <f t="shared" si="876"/>
        <v>null</v>
      </c>
      <c r="AF1696" s="75" t="s">
        <v>0</v>
      </c>
      <c r="AG1696" s="38" t="s">
        <v>10946</v>
      </c>
    </row>
    <row r="1697" spans="1:33" customFormat="1" ht="6" customHeight="1" x14ac:dyDescent="0.4">
      <c r="A1697" s="4">
        <f>ROW()</f>
        <v>1697</v>
      </c>
      <c r="B1697" s="9" t="s">
        <v>27</v>
      </c>
      <c r="C1697" s="44" t="str">
        <f t="shared" si="877"/>
        <v>p.objetivar</v>
      </c>
      <c r="D1697" s="6" t="str">
        <f t="shared" si="875"/>
        <v>é.ods.01.03</v>
      </c>
      <c r="E1697" s="8" t="s">
        <v>28</v>
      </c>
      <c r="F1697" s="34" t="str">
        <f t="shared" si="903"/>
        <v>d.objetivar</v>
      </c>
      <c r="G1697" s="27" t="s">
        <v>10301</v>
      </c>
      <c r="H1697" s="33" t="s">
        <v>1581</v>
      </c>
      <c r="I1697" s="92" t="str">
        <f t="shared" si="902"/>
        <v>null</v>
      </c>
      <c r="J1697" s="82" t="s">
        <v>0</v>
      </c>
      <c r="K1697" s="82" t="s">
        <v>0</v>
      </c>
      <c r="L1697" s="82" t="s">
        <v>0</v>
      </c>
      <c r="M1697" s="82" t="s">
        <v>0</v>
      </c>
      <c r="N1697" s="80" t="s">
        <v>0</v>
      </c>
      <c r="O1697" s="82" t="s">
        <v>0</v>
      </c>
      <c r="P1697" s="82" t="s">
        <v>0</v>
      </c>
      <c r="Q1697" s="82" t="s">
        <v>0</v>
      </c>
      <c r="R1697" s="84" t="s">
        <v>0</v>
      </c>
      <c r="S1697" s="10" t="s">
        <v>1</v>
      </c>
      <c r="T1697" s="10" t="s">
        <v>10221</v>
      </c>
      <c r="U1697" s="5" t="str">
        <f t="shared" si="897"/>
        <v>Propriedade destinada a objetivar: é.ods.01.03</v>
      </c>
      <c r="V1697" s="5" t="str">
        <f t="shared" si="898"/>
        <v>Dado para objetivar:  ods.01.03  Deve ser formatado como (rdfs:Literal  or  xsd:string)</v>
      </c>
      <c r="W1697" s="39" t="s">
        <v>10779</v>
      </c>
      <c r="X1697" s="17" t="str">
        <f t="shared" si="890"/>
        <v>d.objet.103</v>
      </c>
      <c r="Y1697" s="17" t="str">
        <f t="shared" si="891"/>
        <v>Ação de objetivar</v>
      </c>
      <c r="Z1697" s="62" t="s">
        <v>10947</v>
      </c>
      <c r="AA1697" s="18" t="str">
        <f t="shared" si="839"/>
        <v>null</v>
      </c>
      <c r="AB1697" s="19" t="s">
        <v>0</v>
      </c>
      <c r="AC1697" s="18" t="str">
        <f t="shared" si="840"/>
        <v>null</v>
      </c>
      <c r="AD1697" s="19" t="s">
        <v>0</v>
      </c>
      <c r="AE1697" s="18" t="str">
        <f t="shared" si="876"/>
        <v>null</v>
      </c>
      <c r="AF1697" s="75" t="s">
        <v>0</v>
      </c>
      <c r="AG1697" s="38" t="s">
        <v>10948</v>
      </c>
    </row>
    <row r="1698" spans="1:33" customFormat="1" ht="6" customHeight="1" x14ac:dyDescent="0.4">
      <c r="A1698" s="4">
        <f>ROW()</f>
        <v>1698</v>
      </c>
      <c r="B1698" s="9" t="s">
        <v>27</v>
      </c>
      <c r="C1698" s="44" t="str">
        <f t="shared" si="877"/>
        <v>p.objetivar</v>
      </c>
      <c r="D1698" s="6" t="str">
        <f t="shared" si="875"/>
        <v>é.ods.01.04</v>
      </c>
      <c r="E1698" s="8" t="s">
        <v>28</v>
      </c>
      <c r="F1698" s="34" t="str">
        <f t="shared" si="903"/>
        <v>d.objetivar</v>
      </c>
      <c r="G1698" s="27" t="s">
        <v>10302</v>
      </c>
      <c r="H1698" s="33" t="s">
        <v>1581</v>
      </c>
      <c r="I1698" s="92" t="str">
        <f t="shared" si="902"/>
        <v>null</v>
      </c>
      <c r="J1698" s="82" t="s">
        <v>0</v>
      </c>
      <c r="K1698" s="82" t="s">
        <v>0</v>
      </c>
      <c r="L1698" s="82" t="s">
        <v>0</v>
      </c>
      <c r="M1698" s="82" t="s">
        <v>0</v>
      </c>
      <c r="N1698" s="80" t="s">
        <v>0</v>
      </c>
      <c r="O1698" s="82" t="s">
        <v>0</v>
      </c>
      <c r="P1698" s="82" t="s">
        <v>0</v>
      </c>
      <c r="Q1698" s="82" t="s">
        <v>0</v>
      </c>
      <c r="R1698" s="84" t="s">
        <v>0</v>
      </c>
      <c r="S1698" s="10" t="s">
        <v>1</v>
      </c>
      <c r="T1698" s="10" t="s">
        <v>10221</v>
      </c>
      <c r="U1698" s="5" t="str">
        <f t="shared" si="897"/>
        <v>Propriedade destinada a objetivar: é.ods.01.04</v>
      </c>
      <c r="V1698" s="5" t="str">
        <f t="shared" si="898"/>
        <v>Dado para objetivar:  ods.01.04  Deve ser formatado como (rdfs:Literal  or  xsd:string)</v>
      </c>
      <c r="W1698" s="39" t="s">
        <v>10783</v>
      </c>
      <c r="X1698" s="17" t="str">
        <f t="shared" si="890"/>
        <v>d.objet.104</v>
      </c>
      <c r="Y1698" s="17" t="str">
        <f t="shared" si="891"/>
        <v>Ação de objetivar</v>
      </c>
      <c r="Z1698" s="62" t="s">
        <v>10949</v>
      </c>
      <c r="AA1698" s="18" t="str">
        <f t="shared" si="839"/>
        <v>null</v>
      </c>
      <c r="AB1698" s="19" t="s">
        <v>0</v>
      </c>
      <c r="AC1698" s="18" t="str">
        <f t="shared" si="840"/>
        <v>null</v>
      </c>
      <c r="AD1698" s="19" t="s">
        <v>0</v>
      </c>
      <c r="AE1698" s="18" t="str">
        <f t="shared" si="876"/>
        <v>null</v>
      </c>
      <c r="AF1698" s="75" t="s">
        <v>0</v>
      </c>
      <c r="AG1698" s="38" t="s">
        <v>10950</v>
      </c>
    </row>
    <row r="1699" spans="1:33" customFormat="1" ht="6" customHeight="1" x14ac:dyDescent="0.4">
      <c r="A1699" s="4">
        <f>ROW()</f>
        <v>1699</v>
      </c>
      <c r="B1699" s="9" t="s">
        <v>27</v>
      </c>
      <c r="C1699" s="44" t="str">
        <f t="shared" si="877"/>
        <v>p.objetivar</v>
      </c>
      <c r="D1699" s="6" t="str">
        <f t="shared" si="875"/>
        <v>é.ods.01.05</v>
      </c>
      <c r="E1699" s="8" t="s">
        <v>28</v>
      </c>
      <c r="F1699" s="34" t="str">
        <f t="shared" si="903"/>
        <v>d.objetivar</v>
      </c>
      <c r="G1699" s="27" t="s">
        <v>10303</v>
      </c>
      <c r="H1699" s="33" t="s">
        <v>1581</v>
      </c>
      <c r="I1699" s="92" t="str">
        <f t="shared" si="902"/>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97"/>
        <v>Propriedade destinada a objetivar: é.ods.01.05</v>
      </c>
      <c r="V1699" s="5" t="str">
        <f t="shared" si="898"/>
        <v>Dado para objetivar:  ods.01.05  Deve ser formatado como (rdfs:Literal  or  xsd:string)</v>
      </c>
      <c r="W1699" s="39" t="s">
        <v>10782</v>
      </c>
      <c r="X1699" s="17" t="str">
        <f t="shared" si="890"/>
        <v>d.objet.105</v>
      </c>
      <c r="Y1699" s="17" t="str">
        <f t="shared" si="891"/>
        <v>Ação de objetivar</v>
      </c>
      <c r="Z1699" s="62" t="s">
        <v>10951</v>
      </c>
      <c r="AA1699" s="18" t="str">
        <f t="shared" si="839"/>
        <v>null</v>
      </c>
      <c r="AB1699" s="19" t="s">
        <v>0</v>
      </c>
      <c r="AC1699" s="18" t="str">
        <f t="shared" si="840"/>
        <v>null</v>
      </c>
      <c r="AD1699" s="19" t="s">
        <v>0</v>
      </c>
      <c r="AE1699" s="18" t="str">
        <f t="shared" si="876"/>
        <v>null</v>
      </c>
      <c r="AF1699" s="75" t="s">
        <v>0</v>
      </c>
      <c r="AG1699" s="38" t="s">
        <v>10952</v>
      </c>
    </row>
    <row r="1700" spans="1:33" customFormat="1" ht="6" customHeight="1" x14ac:dyDescent="0.4">
      <c r="A1700" s="4">
        <f>ROW()</f>
        <v>1700</v>
      </c>
      <c r="B1700" s="9" t="s">
        <v>27</v>
      </c>
      <c r="C1700" s="44" t="str">
        <f t="shared" si="877"/>
        <v>p.objetivar</v>
      </c>
      <c r="D1700" s="6" t="str">
        <f t="shared" si="875"/>
        <v>é.ods.01.06</v>
      </c>
      <c r="E1700" s="8" t="s">
        <v>28</v>
      </c>
      <c r="F1700" s="34" t="str">
        <f t="shared" si="903"/>
        <v>d.objetivar</v>
      </c>
      <c r="G1700" s="27" t="s">
        <v>10304</v>
      </c>
      <c r="H1700" s="33" t="s">
        <v>1581</v>
      </c>
      <c r="I1700" s="92" t="str">
        <f t="shared" si="902"/>
        <v>null</v>
      </c>
      <c r="J1700" s="82" t="s">
        <v>0</v>
      </c>
      <c r="K1700" s="82" t="s">
        <v>0</v>
      </c>
      <c r="L1700" s="82" t="s">
        <v>0</v>
      </c>
      <c r="M1700" s="82" t="s">
        <v>0</v>
      </c>
      <c r="N1700" s="80" t="s">
        <v>0</v>
      </c>
      <c r="O1700" s="82" t="s">
        <v>0</v>
      </c>
      <c r="P1700" s="82" t="s">
        <v>0</v>
      </c>
      <c r="Q1700" s="82" t="s">
        <v>0</v>
      </c>
      <c r="R1700" s="84" t="s">
        <v>0</v>
      </c>
      <c r="S1700" s="10" t="s">
        <v>1</v>
      </c>
      <c r="T1700" s="10" t="s">
        <v>10221</v>
      </c>
      <c r="U1700" s="5" t="str">
        <f t="shared" si="897"/>
        <v>Propriedade destinada a objetivar: é.ods.01.06</v>
      </c>
      <c r="V1700" s="5" t="str">
        <f t="shared" si="898"/>
        <v>Dado para objetivar:  ods.01.06  Deve ser formatado como (rdfs:Literal  or  xsd:string)</v>
      </c>
      <c r="W1700" s="39" t="s">
        <v>10780</v>
      </c>
      <c r="X1700" s="17" t="str">
        <f t="shared" si="890"/>
        <v>d.objet.106</v>
      </c>
      <c r="Y1700" s="17" t="str">
        <f t="shared" si="891"/>
        <v>Ação de objetivar</v>
      </c>
      <c r="Z1700" s="62" t="s">
        <v>10953</v>
      </c>
      <c r="AA1700" s="18" t="str">
        <f t="shared" si="839"/>
        <v>null</v>
      </c>
      <c r="AB1700" s="19" t="s">
        <v>0</v>
      </c>
      <c r="AC1700" s="18" t="str">
        <f t="shared" si="840"/>
        <v>null</v>
      </c>
      <c r="AD1700" s="19" t="s">
        <v>0</v>
      </c>
      <c r="AE1700" s="18" t="str">
        <f t="shared" si="876"/>
        <v>null</v>
      </c>
      <c r="AF1700" s="75" t="s">
        <v>0</v>
      </c>
      <c r="AG1700" s="38" t="s">
        <v>10954</v>
      </c>
    </row>
    <row r="1701" spans="1:33" customFormat="1" ht="6" customHeight="1" x14ac:dyDescent="0.4">
      <c r="A1701" s="4">
        <f>ROW()</f>
        <v>1701</v>
      </c>
      <c r="B1701" s="9" t="s">
        <v>27</v>
      </c>
      <c r="C1701" s="44" t="str">
        <f t="shared" si="877"/>
        <v>p.objetivar</v>
      </c>
      <c r="D1701" s="6" t="str">
        <f t="shared" si="875"/>
        <v>é.ods.01.07</v>
      </c>
      <c r="E1701" s="8" t="s">
        <v>28</v>
      </c>
      <c r="F1701" s="34" t="str">
        <f t="shared" si="903"/>
        <v>d.objetivar</v>
      </c>
      <c r="G1701" s="27" t="s">
        <v>10305</v>
      </c>
      <c r="H1701" s="33" t="s">
        <v>1581</v>
      </c>
      <c r="I1701" s="92" t="str">
        <f t="shared" si="902"/>
        <v>null</v>
      </c>
      <c r="J1701" s="82" t="s">
        <v>0</v>
      </c>
      <c r="K1701" s="82" t="s">
        <v>0</v>
      </c>
      <c r="L1701" s="82" t="s">
        <v>0</v>
      </c>
      <c r="M1701" s="82" t="s">
        <v>0</v>
      </c>
      <c r="N1701" s="80" t="s">
        <v>0</v>
      </c>
      <c r="O1701" s="82" t="s">
        <v>0</v>
      </c>
      <c r="P1701" s="82" t="s">
        <v>0</v>
      </c>
      <c r="Q1701" s="82" t="s">
        <v>0</v>
      </c>
      <c r="R1701" s="84" t="s">
        <v>0</v>
      </c>
      <c r="S1701" s="10" t="s">
        <v>1</v>
      </c>
      <c r="T1701" s="10" t="s">
        <v>10221</v>
      </c>
      <c r="U1701" s="5" t="str">
        <f t="shared" si="897"/>
        <v>Propriedade destinada a objetivar: é.ods.01.07</v>
      </c>
      <c r="V1701" s="5" t="str">
        <f t="shared" si="898"/>
        <v>Dado para objetivar:  ods.01.07  Deve ser formatado como (rdfs:Literal  or  xsd:string)</v>
      </c>
      <c r="W1701" s="39" t="s">
        <v>10781</v>
      </c>
      <c r="X1701" s="17" t="str">
        <f t="shared" si="890"/>
        <v>d.objet.107</v>
      </c>
      <c r="Y1701" s="17" t="str">
        <f t="shared" si="891"/>
        <v>Ação de objetivar</v>
      </c>
      <c r="Z1701" s="62" t="s">
        <v>10955</v>
      </c>
      <c r="AA1701" s="18" t="str">
        <f t="shared" si="839"/>
        <v>null</v>
      </c>
      <c r="AB1701" s="19" t="s">
        <v>0</v>
      </c>
      <c r="AC1701" s="18" t="str">
        <f t="shared" si="840"/>
        <v>null</v>
      </c>
      <c r="AD1701" s="19" t="s">
        <v>0</v>
      </c>
      <c r="AE1701" s="18" t="str">
        <f t="shared" si="876"/>
        <v>null</v>
      </c>
      <c r="AF1701" s="75" t="s">
        <v>0</v>
      </c>
      <c r="AG1701" s="38" t="s">
        <v>10956</v>
      </c>
    </row>
    <row r="1702" spans="1:33" customFormat="1" ht="6" customHeight="1" x14ac:dyDescent="0.4">
      <c r="A1702" s="4">
        <f>ROW()</f>
        <v>1702</v>
      </c>
      <c r="B1702" s="9" t="s">
        <v>27</v>
      </c>
      <c r="C1702" s="44" t="str">
        <f t="shared" si="877"/>
        <v>p.objetivar</v>
      </c>
      <c r="D1702" s="6" t="str">
        <f t="shared" si="875"/>
        <v>é.ods.02</v>
      </c>
      <c r="E1702" s="8" t="s">
        <v>28</v>
      </c>
      <c r="F1702" s="34" t="str">
        <f>F1700</f>
        <v>d.objetivar</v>
      </c>
      <c r="G1702" s="27" t="s">
        <v>10957</v>
      </c>
      <c r="H1702" s="33" t="s">
        <v>1581</v>
      </c>
      <c r="I1702" s="92" t="str">
        <f t="shared" si="902"/>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97"/>
        <v>Propriedade destinada a objetivar: é.ods.02</v>
      </c>
      <c r="V1702" s="5" t="str">
        <f t="shared" si="898"/>
        <v>Dado para objetivar:  ods.02  Deve ser formatado como (rdfs:Literal  or  xsd:string)</v>
      </c>
      <c r="W1702" s="38" t="s">
        <v>10958</v>
      </c>
      <c r="X1702" s="17" t="str">
        <f t="shared" si="890"/>
        <v>d.objet.108</v>
      </c>
      <c r="Y1702" s="17" t="str">
        <f t="shared" si="891"/>
        <v>Ação de objetivar</v>
      </c>
      <c r="Z1702" s="62" t="s">
        <v>10959</v>
      </c>
      <c r="AA1702" s="18" t="str">
        <f t="shared" si="839"/>
        <v>null</v>
      </c>
      <c r="AB1702" s="19" t="s">
        <v>0</v>
      </c>
      <c r="AC1702" s="18" t="str">
        <f t="shared" si="840"/>
        <v>null</v>
      </c>
      <c r="AD1702" s="19" t="s">
        <v>0</v>
      </c>
      <c r="AE1702" s="18" t="str">
        <f t="shared" si="876"/>
        <v>null</v>
      </c>
      <c r="AF1702" s="75" t="s">
        <v>0</v>
      </c>
      <c r="AG1702" s="38" t="s">
        <v>10960</v>
      </c>
    </row>
    <row r="1703" spans="1:33" customFormat="1" ht="6" customHeight="1" x14ac:dyDescent="0.4">
      <c r="A1703" s="4">
        <f>ROW()</f>
        <v>1703</v>
      </c>
      <c r="B1703" s="9" t="s">
        <v>27</v>
      </c>
      <c r="C1703" s="44" t="str">
        <f t="shared" si="877"/>
        <v>p.objetivar</v>
      </c>
      <c r="D1703" s="6" t="str">
        <f t="shared" si="875"/>
        <v>é.ods.02.01</v>
      </c>
      <c r="E1703" s="8" t="s">
        <v>28</v>
      </c>
      <c r="F1703" s="34" t="str">
        <f>F1701</f>
        <v>d.objetivar</v>
      </c>
      <c r="G1703" s="27" t="s">
        <v>10306</v>
      </c>
      <c r="H1703" s="33" t="s">
        <v>1581</v>
      </c>
      <c r="I1703" s="92" t="str">
        <f t="shared" si="902"/>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97"/>
        <v>Propriedade destinada a objetivar: é.ods.02.01</v>
      </c>
      <c r="V1703" s="5" t="str">
        <f t="shared" si="898"/>
        <v>Dado para objetivar:  ods.02.01  Deve ser formatado como (rdfs:Literal  or  xsd:string)</v>
      </c>
      <c r="W1703" s="38" t="s">
        <v>10768</v>
      </c>
      <c r="X1703" s="17" t="str">
        <f t="shared" si="890"/>
        <v>d.objet.109</v>
      </c>
      <c r="Y1703" s="17" t="str">
        <f t="shared" si="891"/>
        <v>Ação de objetivar</v>
      </c>
      <c r="Z1703" s="62" t="s">
        <v>10961</v>
      </c>
      <c r="AA1703" s="18" t="str">
        <f t="shared" si="839"/>
        <v>null</v>
      </c>
      <c r="AB1703" s="19" t="s">
        <v>0</v>
      </c>
      <c r="AC1703" s="18" t="str">
        <f t="shared" si="840"/>
        <v>null</v>
      </c>
      <c r="AD1703" s="19" t="s">
        <v>0</v>
      </c>
      <c r="AE1703" s="18" t="str">
        <f t="shared" si="876"/>
        <v>null</v>
      </c>
      <c r="AF1703" s="75" t="s">
        <v>0</v>
      </c>
      <c r="AG1703" s="38" t="s">
        <v>10962</v>
      </c>
    </row>
    <row r="1704" spans="1:33" customFormat="1" ht="6" customHeight="1" x14ac:dyDescent="0.4">
      <c r="A1704" s="4">
        <f>ROW()</f>
        <v>1704</v>
      </c>
      <c r="B1704" s="9" t="s">
        <v>27</v>
      </c>
      <c r="C1704" s="44" t="str">
        <f t="shared" si="877"/>
        <v>p.objetivar</v>
      </c>
      <c r="D1704" s="6" t="str">
        <f t="shared" si="875"/>
        <v>é.ods.02.02</v>
      </c>
      <c r="E1704" s="8" t="s">
        <v>28</v>
      </c>
      <c r="F1704" s="34" t="str">
        <f t="shared" ref="F1704:F1710" si="904">F1703</f>
        <v>d.objetivar</v>
      </c>
      <c r="G1704" s="27" t="s">
        <v>10307</v>
      </c>
      <c r="H1704" s="33" t="s">
        <v>1581</v>
      </c>
      <c r="I1704" s="92" t="str">
        <f t="shared" si="902"/>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97"/>
        <v>Propriedade destinada a objetivar: é.ods.02.02</v>
      </c>
      <c r="V1704" s="5" t="str">
        <f t="shared" si="898"/>
        <v>Dado para objetivar:  ods.02.02  Deve ser formatado como (rdfs:Literal  or  xsd:string)</v>
      </c>
      <c r="W1704" s="38" t="s">
        <v>10785</v>
      </c>
      <c r="X1704" s="17" t="str">
        <f t="shared" si="890"/>
        <v>d.objet.110</v>
      </c>
      <c r="Y1704" s="17" t="str">
        <f t="shared" si="891"/>
        <v>Ação de objetivar</v>
      </c>
      <c r="Z1704" s="62" t="s">
        <v>10963</v>
      </c>
      <c r="AA1704" s="18" t="str">
        <f t="shared" si="839"/>
        <v>null</v>
      </c>
      <c r="AB1704" s="19" t="s">
        <v>0</v>
      </c>
      <c r="AC1704" s="18" t="str">
        <f t="shared" si="840"/>
        <v>null</v>
      </c>
      <c r="AD1704" s="19" t="s">
        <v>0</v>
      </c>
      <c r="AE1704" s="18" t="str">
        <f t="shared" si="876"/>
        <v>null</v>
      </c>
      <c r="AF1704" s="75" t="s">
        <v>0</v>
      </c>
      <c r="AG1704" s="38" t="s">
        <v>10964</v>
      </c>
    </row>
    <row r="1705" spans="1:33" customFormat="1" ht="6" customHeight="1" x14ac:dyDescent="0.4">
      <c r="A1705" s="4">
        <f>ROW()</f>
        <v>1705</v>
      </c>
      <c r="B1705" s="9" t="s">
        <v>27</v>
      </c>
      <c r="C1705" s="44" t="str">
        <f t="shared" si="877"/>
        <v>p.objetivar</v>
      </c>
      <c r="D1705" s="6" t="str">
        <f t="shared" si="875"/>
        <v>é.ods.02.03</v>
      </c>
      <c r="E1705" s="8" t="s">
        <v>28</v>
      </c>
      <c r="F1705" s="34" t="str">
        <f t="shared" si="904"/>
        <v>d.objetivar</v>
      </c>
      <c r="G1705" s="27" t="s">
        <v>10308</v>
      </c>
      <c r="H1705" s="33" t="s">
        <v>1581</v>
      </c>
      <c r="I1705" s="92" t="str">
        <f t="shared" si="902"/>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97"/>
        <v>Propriedade destinada a objetivar: é.ods.02.03</v>
      </c>
      <c r="V1705" s="5" t="str">
        <f t="shared" si="898"/>
        <v>Dado para objetivar:  ods.02.03  Deve ser formatado como (rdfs:Literal  or  xsd:string)</v>
      </c>
      <c r="W1705" s="38" t="s">
        <v>10786</v>
      </c>
      <c r="X1705" s="17" t="str">
        <f t="shared" si="890"/>
        <v>d.objet.111</v>
      </c>
      <c r="Y1705" s="17" t="str">
        <f t="shared" si="891"/>
        <v>Ação de objetivar</v>
      </c>
      <c r="Z1705" s="62" t="s">
        <v>10965</v>
      </c>
      <c r="AA1705" s="18" t="str">
        <f t="shared" si="839"/>
        <v>null</v>
      </c>
      <c r="AB1705" s="19" t="s">
        <v>0</v>
      </c>
      <c r="AC1705" s="18" t="str">
        <f t="shared" si="840"/>
        <v>null</v>
      </c>
      <c r="AD1705" s="19" t="s">
        <v>0</v>
      </c>
      <c r="AE1705" s="18" t="str">
        <f t="shared" si="876"/>
        <v>null</v>
      </c>
      <c r="AF1705" s="75" t="s">
        <v>0</v>
      </c>
      <c r="AG1705" s="38" t="s">
        <v>10966</v>
      </c>
    </row>
    <row r="1706" spans="1:33" customFormat="1" ht="6" customHeight="1" x14ac:dyDescent="0.4">
      <c r="A1706" s="4">
        <f>ROW()</f>
        <v>1706</v>
      </c>
      <c r="B1706" s="9" t="s">
        <v>27</v>
      </c>
      <c r="C1706" s="44" t="str">
        <f t="shared" si="877"/>
        <v>p.objetivar</v>
      </c>
      <c r="D1706" s="6" t="str">
        <f t="shared" si="875"/>
        <v>é.ods.02.04</v>
      </c>
      <c r="E1706" s="8" t="s">
        <v>28</v>
      </c>
      <c r="F1706" s="34" t="str">
        <f t="shared" si="904"/>
        <v>d.objetivar</v>
      </c>
      <c r="G1706" s="27" t="s">
        <v>10309</v>
      </c>
      <c r="H1706" s="33" t="s">
        <v>1581</v>
      </c>
      <c r="I1706" s="92" t="str">
        <f t="shared" si="902"/>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97"/>
        <v>Propriedade destinada a objetivar: é.ods.02.04</v>
      </c>
      <c r="V1706" s="5" t="str">
        <f t="shared" si="898"/>
        <v>Dado para objetivar:  ods.02.04  Deve ser formatado como (rdfs:Literal  or  xsd:string)</v>
      </c>
      <c r="W1706" s="38" t="s">
        <v>10769</v>
      </c>
      <c r="X1706" s="17" t="str">
        <f t="shared" si="890"/>
        <v>d.objet.112</v>
      </c>
      <c r="Y1706" s="17" t="str">
        <f t="shared" si="891"/>
        <v>Ação de objetivar</v>
      </c>
      <c r="Z1706" s="62" t="s">
        <v>10967</v>
      </c>
      <c r="AA1706" s="18" t="str">
        <f t="shared" si="839"/>
        <v>null</v>
      </c>
      <c r="AB1706" s="19" t="s">
        <v>0</v>
      </c>
      <c r="AC1706" s="18" t="str">
        <f t="shared" si="840"/>
        <v>null</v>
      </c>
      <c r="AD1706" s="19" t="s">
        <v>0</v>
      </c>
      <c r="AE1706" s="18" t="str">
        <f t="shared" si="876"/>
        <v>null</v>
      </c>
      <c r="AF1706" s="75" t="s">
        <v>0</v>
      </c>
      <c r="AG1706" s="38" t="s">
        <v>10968</v>
      </c>
    </row>
    <row r="1707" spans="1:33" customFormat="1" ht="6" customHeight="1" x14ac:dyDescent="0.4">
      <c r="A1707" s="4">
        <f>ROW()</f>
        <v>1707</v>
      </c>
      <c r="B1707" s="9" t="s">
        <v>27</v>
      </c>
      <c r="C1707" s="44" t="str">
        <f t="shared" si="877"/>
        <v>p.objetivar</v>
      </c>
      <c r="D1707" s="6" t="str">
        <f t="shared" si="875"/>
        <v>é.ods.02.05</v>
      </c>
      <c r="E1707" s="8" t="s">
        <v>28</v>
      </c>
      <c r="F1707" s="34" t="str">
        <f t="shared" si="904"/>
        <v>d.objetivar</v>
      </c>
      <c r="G1707" s="27" t="s">
        <v>10310</v>
      </c>
      <c r="H1707" s="33" t="s">
        <v>1581</v>
      </c>
      <c r="I1707" s="92" t="str">
        <f t="shared" si="902"/>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97"/>
        <v>Propriedade destinada a objetivar: é.ods.02.05</v>
      </c>
      <c r="V1707" s="5" t="str">
        <f t="shared" si="898"/>
        <v>Dado para objetivar:  ods.02.05  Deve ser formatado como (rdfs:Literal  or  xsd:string)</v>
      </c>
      <c r="W1707" s="38" t="s">
        <v>10770</v>
      </c>
      <c r="X1707" s="17" t="str">
        <f t="shared" si="890"/>
        <v>d.objet.113</v>
      </c>
      <c r="Y1707" s="17" t="str">
        <f t="shared" si="891"/>
        <v>Ação de objetivar</v>
      </c>
      <c r="Z1707" s="62" t="s">
        <v>10969</v>
      </c>
      <c r="AA1707" s="18" t="str">
        <f t="shared" si="839"/>
        <v>null</v>
      </c>
      <c r="AB1707" s="19" t="s">
        <v>0</v>
      </c>
      <c r="AC1707" s="18" t="str">
        <f t="shared" si="840"/>
        <v>null</v>
      </c>
      <c r="AD1707" s="19" t="s">
        <v>0</v>
      </c>
      <c r="AE1707" s="18" t="str">
        <f t="shared" si="876"/>
        <v>null</v>
      </c>
      <c r="AF1707" s="75" t="s">
        <v>0</v>
      </c>
      <c r="AG1707" s="38" t="s">
        <v>10970</v>
      </c>
    </row>
    <row r="1708" spans="1:33" customFormat="1" ht="6" customHeight="1" x14ac:dyDescent="0.4">
      <c r="A1708" s="4">
        <f>ROW()</f>
        <v>1708</v>
      </c>
      <c r="B1708" s="9" t="s">
        <v>27</v>
      </c>
      <c r="C1708" s="44" t="str">
        <f t="shared" si="877"/>
        <v>p.objetivar</v>
      </c>
      <c r="D1708" s="6" t="str">
        <f t="shared" si="875"/>
        <v>é.ods.02.06</v>
      </c>
      <c r="E1708" s="8" t="s">
        <v>28</v>
      </c>
      <c r="F1708" s="34" t="str">
        <f t="shared" si="904"/>
        <v>d.objetivar</v>
      </c>
      <c r="G1708" s="27" t="s">
        <v>10311</v>
      </c>
      <c r="H1708" s="33" t="s">
        <v>1581</v>
      </c>
      <c r="I1708" s="92" t="str">
        <f t="shared" si="902"/>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97"/>
        <v>Propriedade destinada a objetivar: é.ods.02.06</v>
      </c>
      <c r="V1708" s="5" t="str">
        <f t="shared" si="898"/>
        <v>Dado para objetivar:  ods.02.06  Deve ser formatado como (rdfs:Literal  or  xsd:string)</v>
      </c>
      <c r="W1708" s="38" t="s">
        <v>10771</v>
      </c>
      <c r="X1708" s="17" t="str">
        <f t="shared" si="890"/>
        <v>d.objet.114</v>
      </c>
      <c r="Y1708" s="17" t="str">
        <f t="shared" si="891"/>
        <v>Ação de objetivar</v>
      </c>
      <c r="Z1708" s="62" t="s">
        <v>10971</v>
      </c>
      <c r="AA1708" s="18" t="str">
        <f t="shared" si="839"/>
        <v>null</v>
      </c>
      <c r="AB1708" s="19" t="s">
        <v>0</v>
      </c>
      <c r="AC1708" s="18" t="str">
        <f t="shared" si="840"/>
        <v>null</v>
      </c>
      <c r="AD1708" s="19" t="s">
        <v>0</v>
      </c>
      <c r="AE1708" s="18" t="str">
        <f t="shared" si="876"/>
        <v>null</v>
      </c>
      <c r="AF1708" s="75" t="s">
        <v>0</v>
      </c>
      <c r="AG1708" s="38" t="s">
        <v>10972</v>
      </c>
    </row>
    <row r="1709" spans="1:33" customFormat="1" ht="6" customHeight="1" x14ac:dyDescent="0.4">
      <c r="A1709" s="4">
        <f>ROW()</f>
        <v>1709</v>
      </c>
      <c r="B1709" s="9" t="s">
        <v>27</v>
      </c>
      <c r="C1709" s="44" t="str">
        <f t="shared" si="877"/>
        <v>p.objetivar</v>
      </c>
      <c r="D1709" s="6" t="str">
        <f t="shared" si="875"/>
        <v>é.ods.02.07</v>
      </c>
      <c r="E1709" s="8" t="s">
        <v>28</v>
      </c>
      <c r="F1709" s="34" t="str">
        <f t="shared" si="904"/>
        <v>d.objetivar</v>
      </c>
      <c r="G1709" s="27" t="s">
        <v>10312</v>
      </c>
      <c r="H1709" s="33" t="s">
        <v>1581</v>
      </c>
      <c r="I1709" s="92" t="str">
        <f t="shared" si="902"/>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97"/>
        <v>Propriedade destinada a objetivar: é.ods.02.07</v>
      </c>
      <c r="V1709" s="5" t="str">
        <f t="shared" si="898"/>
        <v>Dado para objetivar:  ods.02.07  Deve ser formatado como (rdfs:Literal  or  xsd:string)</v>
      </c>
      <c r="W1709" s="38" t="s">
        <v>10772</v>
      </c>
      <c r="X1709" s="17" t="str">
        <f t="shared" si="890"/>
        <v>d.objet.115</v>
      </c>
      <c r="Y1709" s="17" t="str">
        <f t="shared" si="891"/>
        <v>Ação de objetivar</v>
      </c>
      <c r="Z1709" s="62" t="s">
        <v>10973</v>
      </c>
      <c r="AA1709" s="18" t="str">
        <f t="shared" si="839"/>
        <v>null</v>
      </c>
      <c r="AB1709" s="19" t="s">
        <v>0</v>
      </c>
      <c r="AC1709" s="18" t="str">
        <f t="shared" si="840"/>
        <v>null</v>
      </c>
      <c r="AD1709" s="19" t="s">
        <v>0</v>
      </c>
      <c r="AE1709" s="18" t="str">
        <f t="shared" si="876"/>
        <v>null</v>
      </c>
      <c r="AF1709" s="75" t="s">
        <v>0</v>
      </c>
      <c r="AG1709" s="38" t="s">
        <v>10974</v>
      </c>
    </row>
    <row r="1710" spans="1:33" customFormat="1" ht="6" customHeight="1" x14ac:dyDescent="0.4">
      <c r="A1710" s="4">
        <f>ROW()</f>
        <v>1710</v>
      </c>
      <c r="B1710" s="9" t="s">
        <v>27</v>
      </c>
      <c r="C1710" s="44" t="str">
        <f t="shared" si="877"/>
        <v>p.objetivar</v>
      </c>
      <c r="D1710" s="6" t="str">
        <f t="shared" si="875"/>
        <v>é.ods.02.08</v>
      </c>
      <c r="E1710" s="8" t="s">
        <v>28</v>
      </c>
      <c r="F1710" s="34" t="str">
        <f t="shared" si="904"/>
        <v>d.objetivar</v>
      </c>
      <c r="G1710" s="27" t="s">
        <v>10313</v>
      </c>
      <c r="H1710" s="33" t="s">
        <v>1581</v>
      </c>
      <c r="I1710" s="92" t="str">
        <f t="shared" si="902"/>
        <v>null</v>
      </c>
      <c r="J1710" s="82" t="s">
        <v>0</v>
      </c>
      <c r="K1710" s="82" t="s">
        <v>0</v>
      </c>
      <c r="L1710" s="82" t="s">
        <v>0</v>
      </c>
      <c r="M1710" s="82" t="s">
        <v>0</v>
      </c>
      <c r="N1710" s="80" t="s">
        <v>0</v>
      </c>
      <c r="O1710" s="82" t="s">
        <v>0</v>
      </c>
      <c r="P1710" s="82" t="s">
        <v>0</v>
      </c>
      <c r="Q1710" s="82" t="s">
        <v>0</v>
      </c>
      <c r="R1710" s="84" t="s">
        <v>0</v>
      </c>
      <c r="S1710" s="10" t="s">
        <v>1</v>
      </c>
      <c r="T1710" s="10" t="s">
        <v>10221</v>
      </c>
      <c r="U1710" s="5" t="str">
        <f t="shared" si="897"/>
        <v>Propriedade destinada a objetivar: é.ods.02.08</v>
      </c>
      <c r="V1710" s="5" t="str">
        <f t="shared" si="898"/>
        <v>Dado para objetivar:  ods.02.08  Deve ser formatado como (rdfs:Literal  or  xsd:string)</v>
      </c>
      <c r="W1710" s="38" t="s">
        <v>10784</v>
      </c>
      <c r="X1710" s="17" t="str">
        <f t="shared" si="890"/>
        <v>d.objet.116</v>
      </c>
      <c r="Y1710" s="17" t="str">
        <f t="shared" si="891"/>
        <v>Ação de objetivar</v>
      </c>
      <c r="Z1710" s="62" t="s">
        <v>10975</v>
      </c>
      <c r="AA1710" s="18" t="str">
        <f t="shared" si="839"/>
        <v>null</v>
      </c>
      <c r="AB1710" s="19" t="s">
        <v>0</v>
      </c>
      <c r="AC1710" s="18" t="str">
        <f t="shared" si="840"/>
        <v>null</v>
      </c>
      <c r="AD1710" s="19" t="s">
        <v>0</v>
      </c>
      <c r="AE1710" s="18" t="str">
        <f t="shared" si="876"/>
        <v>null</v>
      </c>
      <c r="AF1710" s="75" t="s">
        <v>0</v>
      </c>
      <c r="AG1710" s="38" t="s">
        <v>10976</v>
      </c>
    </row>
    <row r="1711" spans="1:33" customFormat="1" ht="6" customHeight="1" x14ac:dyDescent="0.4">
      <c r="A1711" s="4">
        <f>ROW()</f>
        <v>1711</v>
      </c>
      <c r="B1711" s="9" t="s">
        <v>27</v>
      </c>
      <c r="C1711" s="44" t="str">
        <f t="shared" si="877"/>
        <v>p.objetivar</v>
      </c>
      <c r="D1711" s="6" t="str">
        <f t="shared" si="875"/>
        <v>é.ods.03</v>
      </c>
      <c r="E1711" s="8" t="s">
        <v>28</v>
      </c>
      <c r="F1711" s="34" t="str">
        <f>F1709</f>
        <v>d.objetivar</v>
      </c>
      <c r="G1711" s="16" t="s">
        <v>10977</v>
      </c>
      <c r="H1711" s="33" t="s">
        <v>1581</v>
      </c>
      <c r="I1711" s="92" t="str">
        <f t="shared" si="902"/>
        <v>null</v>
      </c>
      <c r="J1711" s="82" t="s">
        <v>0</v>
      </c>
      <c r="K1711" s="82" t="s">
        <v>0</v>
      </c>
      <c r="L1711" s="82" t="s">
        <v>0</v>
      </c>
      <c r="M1711" s="82" t="s">
        <v>0</v>
      </c>
      <c r="N1711" s="80" t="s">
        <v>0</v>
      </c>
      <c r="O1711" s="82" t="s">
        <v>0</v>
      </c>
      <c r="P1711" s="82" t="s">
        <v>0</v>
      </c>
      <c r="Q1711" s="82" t="s">
        <v>0</v>
      </c>
      <c r="R1711" s="84" t="s">
        <v>1761</v>
      </c>
      <c r="S1711" s="10" t="s">
        <v>1</v>
      </c>
      <c r="T1711" s="10" t="s">
        <v>10221</v>
      </c>
      <c r="U1711" s="5" t="str">
        <f t="shared" ref="U1711:U1879" si="905">_xlfn.CONCAT("Propriedade destinada a ",MID(C1711,FIND("p.",C1711,1)+2,100),": ",D1711)</f>
        <v>Propriedade destinada a objetivar: é.ods.03</v>
      </c>
      <c r="V1711" s="5" t="str">
        <f t="shared" ref="V1711:V1879" si="906">_xlfn.CONCAT("Dado para ",MID(F1711,FIND("d.",F1711,1)+2,100),":  ",G1711, "  Deve ser formatado como (",H1711, ")")</f>
        <v>Dado para objetivar:  ods.03  Deve ser formatado como (rdfs:Literal  or  xsd:string)</v>
      </c>
      <c r="W1711" s="38" t="s">
        <v>10978</v>
      </c>
      <c r="X1711" s="17" t="str">
        <f t="shared" si="890"/>
        <v>d.objet.117</v>
      </c>
      <c r="Y1711" s="17" t="str">
        <f t="shared" si="891"/>
        <v>Ação de objetivar</v>
      </c>
      <c r="Z1711" s="62" t="s">
        <v>10979</v>
      </c>
      <c r="AA1711" s="18" t="str">
        <f t="shared" ref="AA1711:AA1879" si="907">IF(AB1711="null", "null", "categoria.revit")</f>
        <v>null</v>
      </c>
      <c r="AB1711" s="19" t="s">
        <v>0</v>
      </c>
      <c r="AC1711" s="18" t="str">
        <f t="shared" ref="AC1711:AC1879" si="908">IF(AD1711="null", "null", "classe.ifc")</f>
        <v>null</v>
      </c>
      <c r="AD1711" s="19" t="s">
        <v>0</v>
      </c>
      <c r="AE1711" s="18" t="str">
        <f t="shared" si="876"/>
        <v>null</v>
      </c>
      <c r="AF1711" s="75" t="s">
        <v>0</v>
      </c>
      <c r="AG1711" s="38" t="s">
        <v>10980</v>
      </c>
    </row>
    <row r="1712" spans="1:33" customFormat="1" ht="6" customHeight="1" x14ac:dyDescent="0.4">
      <c r="A1712" s="4">
        <f>ROW()</f>
        <v>1712</v>
      </c>
      <c r="B1712" s="9" t="s">
        <v>27</v>
      </c>
      <c r="C1712" s="44" t="str">
        <f t="shared" si="877"/>
        <v>p.objetivar</v>
      </c>
      <c r="D1712" s="6" t="str">
        <f t="shared" si="875"/>
        <v>é.ods.03.01</v>
      </c>
      <c r="E1712" s="8" t="s">
        <v>28</v>
      </c>
      <c r="F1712" s="34" t="str">
        <f>F1710</f>
        <v>d.objetivar</v>
      </c>
      <c r="G1712" s="16" t="s">
        <v>10314</v>
      </c>
      <c r="H1712" s="33" t="s">
        <v>1581</v>
      </c>
      <c r="I1712" s="92" t="str">
        <f t="shared" si="902"/>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905"/>
        <v>Propriedade destinada a objetivar: é.ods.03.01</v>
      </c>
      <c r="V1712" s="5" t="str">
        <f t="shared" si="906"/>
        <v>Dado para objetivar:  ods.03.01  Deve ser formatado como (rdfs:Literal  or  xsd:string)</v>
      </c>
      <c r="W1712" s="38" t="s">
        <v>10468</v>
      </c>
      <c r="X1712" s="17" t="str">
        <f t="shared" si="890"/>
        <v>d.objet.118</v>
      </c>
      <c r="Y1712" s="17" t="str">
        <f t="shared" si="891"/>
        <v>Ação de objetivar</v>
      </c>
      <c r="Z1712" s="62" t="s">
        <v>10617</v>
      </c>
      <c r="AA1712" s="18" t="str">
        <f t="shared" si="907"/>
        <v>null</v>
      </c>
      <c r="AB1712" s="19" t="s">
        <v>0</v>
      </c>
      <c r="AC1712" s="18" t="str">
        <f t="shared" si="908"/>
        <v>null</v>
      </c>
      <c r="AD1712" s="19" t="s">
        <v>0</v>
      </c>
      <c r="AE1712" s="18" t="str">
        <f t="shared" si="876"/>
        <v>null</v>
      </c>
      <c r="AF1712" s="75" t="s">
        <v>0</v>
      </c>
      <c r="AG1712" s="38" t="s">
        <v>10981</v>
      </c>
    </row>
    <row r="1713" spans="1:33" customFormat="1" ht="6" customHeight="1" x14ac:dyDescent="0.4">
      <c r="A1713" s="4">
        <f>ROW()</f>
        <v>1713</v>
      </c>
      <c r="B1713" s="9" t="s">
        <v>27</v>
      </c>
      <c r="C1713" s="44" t="str">
        <f t="shared" si="877"/>
        <v>p.objetivar</v>
      </c>
      <c r="D1713" s="6" t="str">
        <f t="shared" si="875"/>
        <v>é.ods.03.02</v>
      </c>
      <c r="E1713" s="8" t="s">
        <v>28</v>
      </c>
      <c r="F1713" s="34" t="str">
        <f t="shared" ref="F1713:F1724" si="909">F1712</f>
        <v>d.objetivar</v>
      </c>
      <c r="G1713" s="16" t="s">
        <v>10315</v>
      </c>
      <c r="H1713" s="33" t="s">
        <v>1581</v>
      </c>
      <c r="I1713" s="92" t="str">
        <f t="shared" si="902"/>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905"/>
        <v>Propriedade destinada a objetivar: é.ods.03.02</v>
      </c>
      <c r="V1713" s="5" t="str">
        <f t="shared" si="906"/>
        <v>Dado para objetivar:  ods.03.02  Deve ser formatado como (rdfs:Literal  or  xsd:string)</v>
      </c>
      <c r="W1713" s="38" t="s">
        <v>10469</v>
      </c>
      <c r="X1713" s="17" t="str">
        <f t="shared" si="890"/>
        <v>d.objet.119</v>
      </c>
      <c r="Y1713" s="17" t="str">
        <f t="shared" si="891"/>
        <v>Ação de objetivar</v>
      </c>
      <c r="Z1713" s="62" t="s">
        <v>10618</v>
      </c>
      <c r="AA1713" s="18" t="str">
        <f t="shared" si="907"/>
        <v>null</v>
      </c>
      <c r="AB1713" s="19" t="s">
        <v>0</v>
      </c>
      <c r="AC1713" s="18" t="str">
        <f t="shared" si="908"/>
        <v>null</v>
      </c>
      <c r="AD1713" s="19" t="s">
        <v>0</v>
      </c>
      <c r="AE1713" s="18" t="str">
        <f t="shared" si="876"/>
        <v>null</v>
      </c>
      <c r="AF1713" s="75" t="s">
        <v>0</v>
      </c>
      <c r="AG1713" s="38" t="s">
        <v>10982</v>
      </c>
    </row>
    <row r="1714" spans="1:33" customFormat="1" ht="6" customHeight="1" x14ac:dyDescent="0.4">
      <c r="A1714" s="4">
        <f>ROW()</f>
        <v>1714</v>
      </c>
      <c r="B1714" s="9" t="s">
        <v>27</v>
      </c>
      <c r="C1714" s="44" t="str">
        <f t="shared" si="877"/>
        <v>p.objetivar</v>
      </c>
      <c r="D1714" s="6" t="str">
        <f t="shared" si="875"/>
        <v>é.ods.03.03</v>
      </c>
      <c r="E1714" s="8" t="s">
        <v>28</v>
      </c>
      <c r="F1714" s="34" t="str">
        <f t="shared" si="909"/>
        <v>d.objetivar</v>
      </c>
      <c r="G1714" s="16" t="s">
        <v>10316</v>
      </c>
      <c r="H1714" s="33" t="s">
        <v>1581</v>
      </c>
      <c r="I1714" s="92" t="str">
        <f t="shared" si="902"/>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905"/>
        <v>Propriedade destinada a objetivar: é.ods.03.03</v>
      </c>
      <c r="V1714" s="5" t="str">
        <f t="shared" si="906"/>
        <v>Dado para objetivar:  ods.03.03  Deve ser formatado como (rdfs:Literal  or  xsd:string)</v>
      </c>
      <c r="W1714" s="38" t="s">
        <v>10470</v>
      </c>
      <c r="X1714" s="17" t="str">
        <f t="shared" si="890"/>
        <v>d.objet.120</v>
      </c>
      <c r="Y1714" s="17" t="str">
        <f t="shared" si="891"/>
        <v>Ação de objetivar</v>
      </c>
      <c r="Z1714" s="62" t="s">
        <v>10619</v>
      </c>
      <c r="AA1714" s="18" t="str">
        <f t="shared" si="907"/>
        <v>null</v>
      </c>
      <c r="AB1714" s="19" t="s">
        <v>0</v>
      </c>
      <c r="AC1714" s="18" t="str">
        <f t="shared" si="908"/>
        <v>null</v>
      </c>
      <c r="AD1714" s="19" t="s">
        <v>0</v>
      </c>
      <c r="AE1714" s="18" t="str">
        <f t="shared" si="876"/>
        <v>null</v>
      </c>
      <c r="AF1714" s="75" t="s">
        <v>0</v>
      </c>
      <c r="AG1714" s="38" t="s">
        <v>10983</v>
      </c>
    </row>
    <row r="1715" spans="1:33" customFormat="1" ht="6" customHeight="1" x14ac:dyDescent="0.4">
      <c r="A1715" s="4">
        <f>ROW()</f>
        <v>1715</v>
      </c>
      <c r="B1715" s="9" t="s">
        <v>27</v>
      </c>
      <c r="C1715" s="44" t="str">
        <f t="shared" si="877"/>
        <v>p.objetivar</v>
      </c>
      <c r="D1715" s="6" t="str">
        <f t="shared" si="875"/>
        <v>é.ods.03.04</v>
      </c>
      <c r="E1715" s="8" t="s">
        <v>28</v>
      </c>
      <c r="F1715" s="34" t="str">
        <f t="shared" si="909"/>
        <v>d.objetivar</v>
      </c>
      <c r="G1715" s="16" t="s">
        <v>10317</v>
      </c>
      <c r="H1715" s="33" t="s">
        <v>1581</v>
      </c>
      <c r="I1715" s="92" t="str">
        <f t="shared" si="902"/>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905"/>
        <v>Propriedade destinada a objetivar: é.ods.03.04</v>
      </c>
      <c r="V1715" s="5" t="str">
        <f t="shared" si="906"/>
        <v>Dado para objetivar:  ods.03.04  Deve ser formatado como (rdfs:Literal  or  xsd:string)</v>
      </c>
      <c r="W1715" s="38" t="s">
        <v>10471</v>
      </c>
      <c r="X1715" s="17" t="str">
        <f t="shared" si="890"/>
        <v>d.objet.121</v>
      </c>
      <c r="Y1715" s="17" t="str">
        <f t="shared" si="891"/>
        <v>Ação de objetivar</v>
      </c>
      <c r="Z1715" s="62" t="s">
        <v>10620</v>
      </c>
      <c r="AA1715" s="18" t="str">
        <f t="shared" si="907"/>
        <v>null</v>
      </c>
      <c r="AB1715" s="19" t="s">
        <v>0</v>
      </c>
      <c r="AC1715" s="18" t="str">
        <f t="shared" si="908"/>
        <v>null</v>
      </c>
      <c r="AD1715" s="19" t="s">
        <v>0</v>
      </c>
      <c r="AE1715" s="18" t="str">
        <f t="shared" si="876"/>
        <v>null</v>
      </c>
      <c r="AF1715" s="75" t="s">
        <v>0</v>
      </c>
      <c r="AG1715" s="38" t="s">
        <v>10984</v>
      </c>
    </row>
    <row r="1716" spans="1:33" customFormat="1" ht="6" customHeight="1" x14ac:dyDescent="0.4">
      <c r="A1716" s="4">
        <f>ROW()</f>
        <v>1716</v>
      </c>
      <c r="B1716" s="9" t="s">
        <v>27</v>
      </c>
      <c r="C1716" s="44" t="str">
        <f t="shared" si="877"/>
        <v>p.objetivar</v>
      </c>
      <c r="D1716" s="6" t="str">
        <f t="shared" si="875"/>
        <v>é.ods.03.05</v>
      </c>
      <c r="E1716" s="8" t="s">
        <v>28</v>
      </c>
      <c r="F1716" s="34" t="str">
        <f t="shared" si="909"/>
        <v>d.objetivar</v>
      </c>
      <c r="G1716" s="16" t="s">
        <v>10318</v>
      </c>
      <c r="H1716" s="33" t="s">
        <v>1581</v>
      </c>
      <c r="I1716" s="92" t="str">
        <f t="shared" ref="I1716:I1879" si="910">IF(OR(J1716="Functional",K1716="InverseFunctional"),"Functional","null")</f>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905"/>
        <v>Propriedade destinada a objetivar: é.ods.03.05</v>
      </c>
      <c r="V1716" s="5" t="str">
        <f t="shared" si="906"/>
        <v>Dado para objetivar:  ods.03.05  Deve ser formatado como (rdfs:Literal  or  xsd:string)</v>
      </c>
      <c r="W1716" s="38" t="s">
        <v>10472</v>
      </c>
      <c r="X1716" s="17" t="str">
        <f t="shared" si="890"/>
        <v>d.objet.122</v>
      </c>
      <c r="Y1716" s="17" t="str">
        <f t="shared" si="891"/>
        <v>Ação de objetivar</v>
      </c>
      <c r="Z1716" s="62" t="s">
        <v>10621</v>
      </c>
      <c r="AA1716" s="18" t="str">
        <f t="shared" si="907"/>
        <v>null</v>
      </c>
      <c r="AB1716" s="19" t="s">
        <v>0</v>
      </c>
      <c r="AC1716" s="18" t="str">
        <f t="shared" si="908"/>
        <v>null</v>
      </c>
      <c r="AD1716" s="19" t="s">
        <v>0</v>
      </c>
      <c r="AE1716" s="18" t="str">
        <f t="shared" si="876"/>
        <v>null</v>
      </c>
      <c r="AF1716" s="75" t="s">
        <v>0</v>
      </c>
      <c r="AG1716" s="38" t="s">
        <v>10985</v>
      </c>
    </row>
    <row r="1717" spans="1:33" customFormat="1" ht="6" customHeight="1" x14ac:dyDescent="0.4">
      <c r="A1717" s="4">
        <f>ROW()</f>
        <v>1717</v>
      </c>
      <c r="B1717" s="9" t="s">
        <v>27</v>
      </c>
      <c r="C1717" s="44" t="str">
        <f t="shared" si="877"/>
        <v>p.objetivar</v>
      </c>
      <c r="D1717" s="6" t="str">
        <f t="shared" si="875"/>
        <v>é.ods.03.06</v>
      </c>
      <c r="E1717" s="8" t="s">
        <v>28</v>
      </c>
      <c r="F1717" s="34" t="str">
        <f t="shared" si="909"/>
        <v>d.objetivar</v>
      </c>
      <c r="G1717" s="16" t="s">
        <v>10319</v>
      </c>
      <c r="H1717" s="33" t="s">
        <v>1581</v>
      </c>
      <c r="I1717" s="92" t="str">
        <f t="shared" si="910"/>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905"/>
        <v>Propriedade destinada a objetivar: é.ods.03.06</v>
      </c>
      <c r="V1717" s="5" t="str">
        <f t="shared" si="906"/>
        <v>Dado para objetivar:  ods.03.06  Deve ser formatado como (rdfs:Literal  or  xsd:string)</v>
      </c>
      <c r="W1717" s="38" t="s">
        <v>10473</v>
      </c>
      <c r="X1717" s="17" t="str">
        <f t="shared" si="890"/>
        <v>d.objet.123</v>
      </c>
      <c r="Y1717" s="17" t="str">
        <f t="shared" si="891"/>
        <v>Ação de objetivar</v>
      </c>
      <c r="Z1717" s="62" t="s">
        <v>10622</v>
      </c>
      <c r="AA1717" s="18" t="str">
        <f t="shared" si="907"/>
        <v>null</v>
      </c>
      <c r="AB1717" s="19" t="s">
        <v>0</v>
      </c>
      <c r="AC1717" s="18" t="str">
        <f t="shared" si="908"/>
        <v>null</v>
      </c>
      <c r="AD1717" s="19" t="s">
        <v>0</v>
      </c>
      <c r="AE1717" s="18" t="str">
        <f t="shared" si="876"/>
        <v>null</v>
      </c>
      <c r="AF1717" s="75" t="s">
        <v>0</v>
      </c>
      <c r="AG1717" s="38" t="s">
        <v>10986</v>
      </c>
    </row>
    <row r="1718" spans="1:33" customFormat="1" ht="6" customHeight="1" x14ac:dyDescent="0.4">
      <c r="A1718" s="4">
        <f>ROW()</f>
        <v>1718</v>
      </c>
      <c r="B1718" s="9" t="s">
        <v>27</v>
      </c>
      <c r="C1718" s="44" t="str">
        <f t="shared" si="877"/>
        <v>p.objetivar</v>
      </c>
      <c r="D1718" s="6" t="str">
        <f t="shared" si="875"/>
        <v>é.ods.03.07</v>
      </c>
      <c r="E1718" s="8" t="s">
        <v>28</v>
      </c>
      <c r="F1718" s="34" t="str">
        <f t="shared" si="909"/>
        <v>d.objetivar</v>
      </c>
      <c r="G1718" s="16" t="s">
        <v>10320</v>
      </c>
      <c r="H1718" s="33" t="s">
        <v>1581</v>
      </c>
      <c r="I1718" s="92" t="str">
        <f t="shared" si="910"/>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905"/>
        <v>Propriedade destinada a objetivar: é.ods.03.07</v>
      </c>
      <c r="V1718" s="5" t="str">
        <f t="shared" si="906"/>
        <v>Dado para objetivar:  ods.03.07  Deve ser formatado como (rdfs:Literal  or  xsd:string)</v>
      </c>
      <c r="W1718" s="38" t="s">
        <v>10474</v>
      </c>
      <c r="X1718" s="17" t="str">
        <f t="shared" si="890"/>
        <v>d.objet.124</v>
      </c>
      <c r="Y1718" s="17" t="str">
        <f t="shared" si="891"/>
        <v>Ação de objetivar</v>
      </c>
      <c r="Z1718" s="62" t="s">
        <v>10623</v>
      </c>
      <c r="AA1718" s="18" t="str">
        <f t="shared" si="907"/>
        <v>null</v>
      </c>
      <c r="AB1718" s="19" t="s">
        <v>0</v>
      </c>
      <c r="AC1718" s="18" t="str">
        <f t="shared" si="908"/>
        <v>null</v>
      </c>
      <c r="AD1718" s="19" t="s">
        <v>0</v>
      </c>
      <c r="AE1718" s="18" t="str">
        <f t="shared" si="876"/>
        <v>null</v>
      </c>
      <c r="AF1718" s="75" t="s">
        <v>0</v>
      </c>
      <c r="AG1718" s="38" t="s">
        <v>10987</v>
      </c>
    </row>
    <row r="1719" spans="1:33" customFormat="1" ht="6" customHeight="1" x14ac:dyDescent="0.4">
      <c r="A1719" s="4">
        <f>ROW()</f>
        <v>1719</v>
      </c>
      <c r="B1719" s="9" t="s">
        <v>27</v>
      </c>
      <c r="C1719" s="44" t="str">
        <f t="shared" si="877"/>
        <v>p.objetivar</v>
      </c>
      <c r="D1719" s="6" t="str">
        <f t="shared" ref="D1719:D1879" si="911">_xlfn.CONCAT("é.",G1719)</f>
        <v>é.ods.03.08</v>
      </c>
      <c r="E1719" s="8" t="s">
        <v>28</v>
      </c>
      <c r="F1719" s="34" t="str">
        <f t="shared" si="909"/>
        <v>d.objetivar</v>
      </c>
      <c r="G1719" s="16" t="s">
        <v>10321</v>
      </c>
      <c r="H1719" s="33" t="s">
        <v>1581</v>
      </c>
      <c r="I1719" s="92" t="str">
        <f t="shared" si="910"/>
        <v>null</v>
      </c>
      <c r="J1719" s="82" t="s">
        <v>0</v>
      </c>
      <c r="K1719" s="82" t="s">
        <v>0</v>
      </c>
      <c r="L1719" s="82" t="s">
        <v>0</v>
      </c>
      <c r="M1719" s="82" t="s">
        <v>0</v>
      </c>
      <c r="N1719" s="80" t="s">
        <v>0</v>
      </c>
      <c r="O1719" s="82" t="s">
        <v>0</v>
      </c>
      <c r="P1719" s="82" t="s">
        <v>0</v>
      </c>
      <c r="Q1719" s="82" t="s">
        <v>0</v>
      </c>
      <c r="R1719" s="84" t="s">
        <v>0</v>
      </c>
      <c r="S1719" s="10" t="s">
        <v>1</v>
      </c>
      <c r="T1719" s="10" t="s">
        <v>10221</v>
      </c>
      <c r="U1719" s="5" t="str">
        <f t="shared" si="905"/>
        <v>Propriedade destinada a objetivar: é.ods.03.08</v>
      </c>
      <c r="V1719" s="5" t="str">
        <f t="shared" si="906"/>
        <v>Dado para objetivar:  ods.03.08  Deve ser formatado como (rdfs:Literal  or  xsd:string)</v>
      </c>
      <c r="W1719" s="38" t="s">
        <v>10475</v>
      </c>
      <c r="X1719" s="17" t="str">
        <f t="shared" si="890"/>
        <v>d.objet.125</v>
      </c>
      <c r="Y1719" s="17" t="str">
        <f t="shared" si="891"/>
        <v>Ação de objetivar</v>
      </c>
      <c r="Z1719" s="62" t="s">
        <v>10624</v>
      </c>
      <c r="AA1719" s="18" t="str">
        <f t="shared" si="907"/>
        <v>null</v>
      </c>
      <c r="AB1719" s="19" t="s">
        <v>0</v>
      </c>
      <c r="AC1719" s="18" t="str">
        <f t="shared" si="908"/>
        <v>null</v>
      </c>
      <c r="AD1719" s="19" t="s">
        <v>0</v>
      </c>
      <c r="AE1719" s="18" t="str">
        <f t="shared" ref="AE1719:AE1879" si="912">IF(AF1719="null", "null", "propriedade")</f>
        <v>null</v>
      </c>
      <c r="AF1719" s="75" t="s">
        <v>0</v>
      </c>
      <c r="AG1719" s="38" t="s">
        <v>10988</v>
      </c>
    </row>
    <row r="1720" spans="1:33" customFormat="1" ht="6" customHeight="1" x14ac:dyDescent="0.4">
      <c r="A1720" s="4">
        <f>ROW()</f>
        <v>1720</v>
      </c>
      <c r="B1720" s="9" t="s">
        <v>27</v>
      </c>
      <c r="C1720" s="44" t="str">
        <f t="shared" si="877"/>
        <v>p.objetivar</v>
      </c>
      <c r="D1720" s="6" t="str">
        <f t="shared" si="911"/>
        <v>é.ods.03.09</v>
      </c>
      <c r="E1720" s="8" t="s">
        <v>28</v>
      </c>
      <c r="F1720" s="34" t="str">
        <f t="shared" si="909"/>
        <v>d.objetivar</v>
      </c>
      <c r="G1720" s="16" t="s">
        <v>10322</v>
      </c>
      <c r="H1720" s="33" t="s">
        <v>1581</v>
      </c>
      <c r="I1720" s="92" t="str">
        <f t="shared" si="910"/>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905"/>
        <v>Propriedade destinada a objetivar: é.ods.03.09</v>
      </c>
      <c r="V1720" s="5" t="str">
        <f t="shared" si="906"/>
        <v>Dado para objetivar:  ods.03.09  Deve ser formatado como (rdfs:Literal  or  xsd:string)</v>
      </c>
      <c r="W1720" s="38" t="s">
        <v>10476</v>
      </c>
      <c r="X1720" s="17" t="str">
        <f t="shared" si="890"/>
        <v>d.objet.126</v>
      </c>
      <c r="Y1720" s="17" t="str">
        <f t="shared" si="891"/>
        <v>Ação de objetivar</v>
      </c>
      <c r="Z1720" s="62" t="s">
        <v>10625</v>
      </c>
      <c r="AA1720" s="18" t="str">
        <f t="shared" si="907"/>
        <v>null</v>
      </c>
      <c r="AB1720" s="19" t="s">
        <v>0</v>
      </c>
      <c r="AC1720" s="18" t="str">
        <f t="shared" si="908"/>
        <v>null</v>
      </c>
      <c r="AD1720" s="19" t="s">
        <v>0</v>
      </c>
      <c r="AE1720" s="18" t="str">
        <f t="shared" si="912"/>
        <v>null</v>
      </c>
      <c r="AF1720" s="75" t="s">
        <v>0</v>
      </c>
      <c r="AG1720" s="38" t="s">
        <v>10989</v>
      </c>
    </row>
    <row r="1721" spans="1:33" customFormat="1" ht="6" customHeight="1" x14ac:dyDescent="0.4">
      <c r="A1721" s="4">
        <f>ROW()</f>
        <v>1721</v>
      </c>
      <c r="B1721" s="9" t="s">
        <v>27</v>
      </c>
      <c r="C1721" s="44" t="str">
        <f t="shared" si="877"/>
        <v>p.objetivar</v>
      </c>
      <c r="D1721" s="6" t="str">
        <f t="shared" si="911"/>
        <v>é.ods.03.10</v>
      </c>
      <c r="E1721" s="8" t="s">
        <v>28</v>
      </c>
      <c r="F1721" s="34" t="str">
        <f t="shared" si="909"/>
        <v>d.objetivar</v>
      </c>
      <c r="G1721" s="16" t="s">
        <v>10323</v>
      </c>
      <c r="H1721" s="33" t="s">
        <v>1581</v>
      </c>
      <c r="I1721" s="92" t="str">
        <f t="shared" si="910"/>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905"/>
        <v>Propriedade destinada a objetivar: é.ods.03.10</v>
      </c>
      <c r="V1721" s="5" t="str">
        <f t="shared" si="906"/>
        <v>Dado para objetivar:  ods.03.10  Deve ser formatado como (rdfs:Literal  or  xsd:string)</v>
      </c>
      <c r="W1721" s="38" t="s">
        <v>10477</v>
      </c>
      <c r="X1721" s="17" t="str">
        <f t="shared" si="890"/>
        <v>d.objet.127</v>
      </c>
      <c r="Y1721" s="17" t="str">
        <f t="shared" si="891"/>
        <v>Ação de objetivar</v>
      </c>
      <c r="Z1721" s="62" t="s">
        <v>10626</v>
      </c>
      <c r="AA1721" s="18" t="str">
        <f t="shared" si="907"/>
        <v>null</v>
      </c>
      <c r="AB1721" s="19" t="s">
        <v>0</v>
      </c>
      <c r="AC1721" s="18" t="str">
        <f t="shared" si="908"/>
        <v>null</v>
      </c>
      <c r="AD1721" s="19" t="s">
        <v>0</v>
      </c>
      <c r="AE1721" s="18" t="str">
        <f t="shared" si="912"/>
        <v>null</v>
      </c>
      <c r="AF1721" s="75" t="s">
        <v>0</v>
      </c>
      <c r="AG1721" s="38" t="s">
        <v>10990</v>
      </c>
    </row>
    <row r="1722" spans="1:33" customFormat="1" ht="6" customHeight="1" x14ac:dyDescent="0.4">
      <c r="A1722" s="4">
        <f>ROW()</f>
        <v>1722</v>
      </c>
      <c r="B1722" s="9" t="s">
        <v>27</v>
      </c>
      <c r="C1722" s="44" t="str">
        <f t="shared" si="877"/>
        <v>p.objetivar</v>
      </c>
      <c r="D1722" s="6" t="str">
        <f t="shared" si="911"/>
        <v>é.ods.03.11</v>
      </c>
      <c r="E1722" s="8" t="s">
        <v>28</v>
      </c>
      <c r="F1722" s="34" t="str">
        <f t="shared" si="909"/>
        <v>d.objetivar</v>
      </c>
      <c r="G1722" s="16" t="s">
        <v>10324</v>
      </c>
      <c r="H1722" s="33" t="s">
        <v>1581</v>
      </c>
      <c r="I1722" s="92" t="str">
        <f t="shared" si="910"/>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905"/>
        <v>Propriedade destinada a objetivar: é.ods.03.11</v>
      </c>
      <c r="V1722" s="5" t="str">
        <f t="shared" si="906"/>
        <v>Dado para objetivar:  ods.03.11  Deve ser formatado como (rdfs:Literal  or  xsd:string)</v>
      </c>
      <c r="W1722" s="38" t="s">
        <v>10478</v>
      </c>
      <c r="X1722" s="17" t="str">
        <f t="shared" si="890"/>
        <v>d.objet.128</v>
      </c>
      <c r="Y1722" s="17" t="str">
        <f t="shared" si="891"/>
        <v>Ação de objetivar</v>
      </c>
      <c r="Z1722" s="62" t="s">
        <v>10627</v>
      </c>
      <c r="AA1722" s="18" t="str">
        <f t="shared" si="907"/>
        <v>null</v>
      </c>
      <c r="AB1722" s="19" t="s">
        <v>0</v>
      </c>
      <c r="AC1722" s="18" t="str">
        <f t="shared" si="908"/>
        <v>null</v>
      </c>
      <c r="AD1722" s="19" t="s">
        <v>0</v>
      </c>
      <c r="AE1722" s="18" t="str">
        <f t="shared" si="912"/>
        <v>null</v>
      </c>
      <c r="AF1722" s="75" t="s">
        <v>0</v>
      </c>
      <c r="AG1722" s="38" t="s">
        <v>10991</v>
      </c>
    </row>
    <row r="1723" spans="1:33" customFormat="1" ht="6" customHeight="1" x14ac:dyDescent="0.4">
      <c r="A1723" s="4">
        <f>ROW()</f>
        <v>1723</v>
      </c>
      <c r="B1723" s="9" t="s">
        <v>27</v>
      </c>
      <c r="C1723" s="44" t="str">
        <f t="shared" si="877"/>
        <v>p.objetivar</v>
      </c>
      <c r="D1723" s="6" t="str">
        <f t="shared" si="911"/>
        <v>é.ods.03.12</v>
      </c>
      <c r="E1723" s="8" t="s">
        <v>28</v>
      </c>
      <c r="F1723" s="34" t="str">
        <f t="shared" si="909"/>
        <v>d.objetivar</v>
      </c>
      <c r="G1723" s="16" t="s">
        <v>10325</v>
      </c>
      <c r="H1723" s="33" t="s">
        <v>1581</v>
      </c>
      <c r="I1723" s="92" t="str">
        <f t="shared" si="910"/>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905"/>
        <v>Propriedade destinada a objetivar: é.ods.03.12</v>
      </c>
      <c r="V1723" s="5" t="str">
        <f t="shared" si="906"/>
        <v>Dado para objetivar:  ods.03.12  Deve ser formatado como (rdfs:Literal  or  xsd:string)</v>
      </c>
      <c r="W1723" s="38" t="s">
        <v>10479</v>
      </c>
      <c r="X1723" s="17" t="str">
        <f t="shared" si="890"/>
        <v>d.objet.129</v>
      </c>
      <c r="Y1723" s="17" t="str">
        <f t="shared" si="891"/>
        <v>Ação de objetivar</v>
      </c>
      <c r="Z1723" s="62" t="s">
        <v>10628</v>
      </c>
      <c r="AA1723" s="18" t="str">
        <f t="shared" si="907"/>
        <v>null</v>
      </c>
      <c r="AB1723" s="19" t="s">
        <v>0</v>
      </c>
      <c r="AC1723" s="18" t="str">
        <f t="shared" si="908"/>
        <v>null</v>
      </c>
      <c r="AD1723" s="19" t="s">
        <v>0</v>
      </c>
      <c r="AE1723" s="18" t="str">
        <f t="shared" si="912"/>
        <v>null</v>
      </c>
      <c r="AF1723" s="75" t="s">
        <v>0</v>
      </c>
      <c r="AG1723" s="38" t="s">
        <v>10992</v>
      </c>
    </row>
    <row r="1724" spans="1:33" customFormat="1" ht="6" customHeight="1" x14ac:dyDescent="0.4">
      <c r="A1724" s="4">
        <f>ROW()</f>
        <v>1724</v>
      </c>
      <c r="B1724" s="9" t="s">
        <v>27</v>
      </c>
      <c r="C1724" s="44" t="str">
        <f t="shared" si="877"/>
        <v>p.objetivar</v>
      </c>
      <c r="D1724" s="6" t="str">
        <f t="shared" si="911"/>
        <v>é.ods.03.13</v>
      </c>
      <c r="E1724" s="8" t="s">
        <v>28</v>
      </c>
      <c r="F1724" s="34" t="str">
        <f t="shared" si="909"/>
        <v>d.objetivar</v>
      </c>
      <c r="G1724" s="16" t="s">
        <v>10326</v>
      </c>
      <c r="H1724" s="33" t="s">
        <v>1581</v>
      </c>
      <c r="I1724" s="92" t="str">
        <f t="shared" si="910"/>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905"/>
        <v>Propriedade destinada a objetivar: é.ods.03.13</v>
      </c>
      <c r="V1724" s="5" t="str">
        <f t="shared" si="906"/>
        <v>Dado para objetivar:  ods.03.13  Deve ser formatado como (rdfs:Literal  or  xsd:string)</v>
      </c>
      <c r="W1724" s="38" t="s">
        <v>10480</v>
      </c>
      <c r="X1724" s="17" t="str">
        <f t="shared" si="890"/>
        <v>d.objet.130</v>
      </c>
      <c r="Y1724" s="17" t="str">
        <f t="shared" si="891"/>
        <v>Ação de objetivar</v>
      </c>
      <c r="Z1724" s="62" t="s">
        <v>10629</v>
      </c>
      <c r="AA1724" s="18" t="str">
        <f t="shared" si="907"/>
        <v>null</v>
      </c>
      <c r="AB1724" s="19" t="s">
        <v>0</v>
      </c>
      <c r="AC1724" s="18" t="str">
        <f t="shared" si="908"/>
        <v>null</v>
      </c>
      <c r="AD1724" s="19" t="s">
        <v>0</v>
      </c>
      <c r="AE1724" s="18" t="str">
        <f t="shared" si="912"/>
        <v>null</v>
      </c>
      <c r="AF1724" s="75" t="s">
        <v>0</v>
      </c>
      <c r="AG1724" s="38" t="s">
        <v>10993</v>
      </c>
    </row>
    <row r="1725" spans="1:33" customFormat="1" ht="6" customHeight="1" x14ac:dyDescent="0.4">
      <c r="A1725" s="4">
        <f>ROW()</f>
        <v>1725</v>
      </c>
      <c r="B1725" s="9" t="s">
        <v>27</v>
      </c>
      <c r="C1725" s="44" t="str">
        <f t="shared" si="877"/>
        <v>p.objetivar</v>
      </c>
      <c r="D1725" s="6" t="str">
        <f t="shared" si="911"/>
        <v>é.ods.04</v>
      </c>
      <c r="E1725" s="8" t="s">
        <v>28</v>
      </c>
      <c r="F1725" s="34" t="str">
        <f>F1723</f>
        <v>d.objetivar</v>
      </c>
      <c r="G1725" s="16" t="s">
        <v>10994</v>
      </c>
      <c r="H1725" s="33" t="s">
        <v>1581</v>
      </c>
      <c r="I1725" s="92" t="str">
        <f t="shared" si="910"/>
        <v>null</v>
      </c>
      <c r="J1725" s="82" t="s">
        <v>0</v>
      </c>
      <c r="K1725" s="82" t="s">
        <v>0</v>
      </c>
      <c r="L1725" s="82" t="s">
        <v>0</v>
      </c>
      <c r="M1725" s="82" t="s">
        <v>0</v>
      </c>
      <c r="N1725" s="80" t="s">
        <v>0</v>
      </c>
      <c r="O1725" s="82" t="s">
        <v>0</v>
      </c>
      <c r="P1725" s="82" t="s">
        <v>0</v>
      </c>
      <c r="Q1725" s="82" t="s">
        <v>0</v>
      </c>
      <c r="R1725" s="84" t="s">
        <v>1761</v>
      </c>
      <c r="S1725" s="10" t="s">
        <v>1</v>
      </c>
      <c r="T1725" s="10" t="s">
        <v>10221</v>
      </c>
      <c r="U1725" s="5" t="str">
        <f t="shared" si="905"/>
        <v>Propriedade destinada a objetivar: é.ods.04</v>
      </c>
      <c r="V1725" s="5" t="str">
        <f t="shared" si="906"/>
        <v>Dado para objetivar:  ods.04  Deve ser formatado como (rdfs:Literal  or  xsd:string)</v>
      </c>
      <c r="W1725" s="38" t="s">
        <v>10995</v>
      </c>
      <c r="X1725" s="17" t="str">
        <f t="shared" si="890"/>
        <v>d.objet.131</v>
      </c>
      <c r="Y1725" s="17" t="str">
        <f t="shared" si="891"/>
        <v>Ação de objetivar</v>
      </c>
      <c r="Z1725" s="62" t="s">
        <v>10996</v>
      </c>
      <c r="AA1725" s="18" t="str">
        <f t="shared" si="907"/>
        <v>null</v>
      </c>
      <c r="AB1725" s="19" t="s">
        <v>0</v>
      </c>
      <c r="AC1725" s="18" t="str">
        <f t="shared" si="908"/>
        <v>null</v>
      </c>
      <c r="AD1725" s="19" t="s">
        <v>0</v>
      </c>
      <c r="AE1725" s="18" t="str">
        <f t="shared" si="912"/>
        <v>null</v>
      </c>
      <c r="AF1725" s="75" t="s">
        <v>0</v>
      </c>
      <c r="AG1725" s="38" t="s">
        <v>10997</v>
      </c>
    </row>
    <row r="1726" spans="1:33" customFormat="1" ht="6" customHeight="1" x14ac:dyDescent="0.4">
      <c r="A1726" s="4">
        <f>ROW()</f>
        <v>1726</v>
      </c>
      <c r="B1726" s="9" t="s">
        <v>27</v>
      </c>
      <c r="C1726" s="44" t="str">
        <f t="shared" si="877"/>
        <v>p.objetivar</v>
      </c>
      <c r="D1726" s="6" t="str">
        <f t="shared" si="911"/>
        <v>é.ods.04.01</v>
      </c>
      <c r="E1726" s="8" t="s">
        <v>28</v>
      </c>
      <c r="F1726" s="34" t="str">
        <f>F1724</f>
        <v>d.objetivar</v>
      </c>
      <c r="G1726" s="16" t="s">
        <v>10327</v>
      </c>
      <c r="H1726" s="33" t="s">
        <v>1581</v>
      </c>
      <c r="I1726" s="92" t="str">
        <f t="shared" si="910"/>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905"/>
        <v>Propriedade destinada a objetivar: é.ods.04.01</v>
      </c>
      <c r="V1726" s="5" t="str">
        <f t="shared" si="906"/>
        <v>Dado para objetivar:  ods.04.01  Deve ser formatado como (rdfs:Literal  or  xsd:string)</v>
      </c>
      <c r="W1726" s="38" t="s">
        <v>10481</v>
      </c>
      <c r="X1726" s="17" t="str">
        <f t="shared" si="890"/>
        <v>d.objet.132</v>
      </c>
      <c r="Y1726" s="17" t="str">
        <f t="shared" si="891"/>
        <v>Ação de objetivar</v>
      </c>
      <c r="Z1726" s="62" t="s">
        <v>10630</v>
      </c>
      <c r="AA1726" s="18" t="str">
        <f t="shared" si="907"/>
        <v>null</v>
      </c>
      <c r="AB1726" s="19" t="s">
        <v>0</v>
      </c>
      <c r="AC1726" s="18" t="str">
        <f t="shared" si="908"/>
        <v>null</v>
      </c>
      <c r="AD1726" s="19" t="s">
        <v>0</v>
      </c>
      <c r="AE1726" s="18" t="str">
        <f t="shared" si="912"/>
        <v>null</v>
      </c>
      <c r="AF1726" s="75" t="s">
        <v>0</v>
      </c>
      <c r="AG1726" s="38" t="s">
        <v>10998</v>
      </c>
    </row>
    <row r="1727" spans="1:33" customFormat="1" ht="6" customHeight="1" x14ac:dyDescent="0.4">
      <c r="A1727" s="4">
        <f>ROW()</f>
        <v>1727</v>
      </c>
      <c r="B1727" s="9" t="s">
        <v>27</v>
      </c>
      <c r="C1727" s="44" t="str">
        <f t="shared" si="877"/>
        <v>p.objetivar</v>
      </c>
      <c r="D1727" s="6" t="str">
        <f t="shared" si="911"/>
        <v>é.ods.04.02</v>
      </c>
      <c r="E1727" s="8" t="s">
        <v>28</v>
      </c>
      <c r="F1727" s="34" t="str">
        <f t="shared" ref="F1727:F1735" si="913">F1726</f>
        <v>d.objetivar</v>
      </c>
      <c r="G1727" s="16" t="s">
        <v>10328</v>
      </c>
      <c r="H1727" s="33" t="s">
        <v>1581</v>
      </c>
      <c r="I1727" s="92" t="str">
        <f t="shared" si="910"/>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905"/>
        <v>Propriedade destinada a objetivar: é.ods.04.02</v>
      </c>
      <c r="V1727" s="5" t="str">
        <f t="shared" si="906"/>
        <v>Dado para objetivar:  ods.04.02  Deve ser formatado como (rdfs:Literal  or  xsd:string)</v>
      </c>
      <c r="W1727" s="38" t="s">
        <v>10482</v>
      </c>
      <c r="X1727" s="17" t="str">
        <f t="shared" si="890"/>
        <v>d.objet.133</v>
      </c>
      <c r="Y1727" s="17" t="str">
        <f t="shared" si="891"/>
        <v>Ação de objetivar</v>
      </c>
      <c r="Z1727" s="62" t="s">
        <v>10631</v>
      </c>
      <c r="AA1727" s="18" t="str">
        <f t="shared" si="907"/>
        <v>null</v>
      </c>
      <c r="AB1727" s="19" t="s">
        <v>0</v>
      </c>
      <c r="AC1727" s="18" t="str">
        <f t="shared" si="908"/>
        <v>null</v>
      </c>
      <c r="AD1727" s="19" t="s">
        <v>0</v>
      </c>
      <c r="AE1727" s="18" t="str">
        <f t="shared" si="912"/>
        <v>null</v>
      </c>
      <c r="AF1727" s="75" t="s">
        <v>0</v>
      </c>
      <c r="AG1727" s="38" t="s">
        <v>10999</v>
      </c>
    </row>
    <row r="1728" spans="1:33" customFormat="1" ht="6" customHeight="1" x14ac:dyDescent="0.4">
      <c r="A1728" s="4">
        <f>ROW()</f>
        <v>1728</v>
      </c>
      <c r="B1728" s="9" t="s">
        <v>27</v>
      </c>
      <c r="C1728" s="44" t="str">
        <f t="shared" si="877"/>
        <v>p.objetivar</v>
      </c>
      <c r="D1728" s="6" t="str">
        <f t="shared" si="911"/>
        <v>é.ods.04.03</v>
      </c>
      <c r="E1728" s="8" t="s">
        <v>28</v>
      </c>
      <c r="F1728" s="34" t="str">
        <f t="shared" si="913"/>
        <v>d.objetivar</v>
      </c>
      <c r="G1728" s="16" t="s">
        <v>10329</v>
      </c>
      <c r="H1728" s="33" t="s">
        <v>1581</v>
      </c>
      <c r="I1728" s="92" t="str">
        <f t="shared" si="910"/>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905"/>
        <v>Propriedade destinada a objetivar: é.ods.04.03</v>
      </c>
      <c r="V1728" s="5" t="str">
        <f t="shared" si="906"/>
        <v>Dado para objetivar:  ods.04.03  Deve ser formatado como (rdfs:Literal  or  xsd:string)</v>
      </c>
      <c r="W1728" s="38" t="s">
        <v>10483</v>
      </c>
      <c r="X1728" s="17" t="str">
        <f t="shared" si="890"/>
        <v>d.objet.134</v>
      </c>
      <c r="Y1728" s="17" t="str">
        <f t="shared" si="891"/>
        <v>Ação de objetivar</v>
      </c>
      <c r="Z1728" s="62" t="s">
        <v>10632</v>
      </c>
      <c r="AA1728" s="18" t="str">
        <f t="shared" si="907"/>
        <v>null</v>
      </c>
      <c r="AB1728" s="19" t="s">
        <v>0</v>
      </c>
      <c r="AC1728" s="18" t="str">
        <f t="shared" si="908"/>
        <v>null</v>
      </c>
      <c r="AD1728" s="19" t="s">
        <v>0</v>
      </c>
      <c r="AE1728" s="18" t="str">
        <f t="shared" si="912"/>
        <v>null</v>
      </c>
      <c r="AF1728" s="75" t="s">
        <v>0</v>
      </c>
      <c r="AG1728" s="38" t="s">
        <v>11000</v>
      </c>
    </row>
    <row r="1729" spans="1:33" customFormat="1" ht="6" customHeight="1" x14ac:dyDescent="0.4">
      <c r="A1729" s="4">
        <f>ROW()</f>
        <v>1729</v>
      </c>
      <c r="B1729" s="9" t="s">
        <v>27</v>
      </c>
      <c r="C1729" s="44" t="str">
        <f t="shared" si="877"/>
        <v>p.objetivar</v>
      </c>
      <c r="D1729" s="6" t="str">
        <f t="shared" si="911"/>
        <v>é.ods.04.04</v>
      </c>
      <c r="E1729" s="8" t="s">
        <v>28</v>
      </c>
      <c r="F1729" s="34" t="str">
        <f t="shared" si="913"/>
        <v>d.objetivar</v>
      </c>
      <c r="G1729" s="16" t="s">
        <v>10330</v>
      </c>
      <c r="H1729" s="33" t="s">
        <v>1581</v>
      </c>
      <c r="I1729" s="92" t="str">
        <f t="shared" si="910"/>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905"/>
        <v>Propriedade destinada a objetivar: é.ods.04.04</v>
      </c>
      <c r="V1729" s="5" t="str">
        <f t="shared" si="906"/>
        <v>Dado para objetivar:  ods.04.04  Deve ser formatado como (rdfs:Literal  or  xsd:string)</v>
      </c>
      <c r="W1729" s="38" t="s">
        <v>10484</v>
      </c>
      <c r="X1729" s="17" t="str">
        <f t="shared" si="890"/>
        <v>d.objet.135</v>
      </c>
      <c r="Y1729" s="17" t="str">
        <f t="shared" si="891"/>
        <v>Ação de objetivar</v>
      </c>
      <c r="Z1729" s="62" t="s">
        <v>10633</v>
      </c>
      <c r="AA1729" s="18" t="str">
        <f t="shared" si="907"/>
        <v>null</v>
      </c>
      <c r="AB1729" s="19" t="s">
        <v>0</v>
      </c>
      <c r="AC1729" s="18" t="str">
        <f t="shared" si="908"/>
        <v>null</v>
      </c>
      <c r="AD1729" s="19" t="s">
        <v>0</v>
      </c>
      <c r="AE1729" s="18" t="str">
        <f t="shared" si="912"/>
        <v>null</v>
      </c>
      <c r="AF1729" s="75" t="s">
        <v>0</v>
      </c>
      <c r="AG1729" s="38" t="s">
        <v>11001</v>
      </c>
    </row>
    <row r="1730" spans="1:33" customFormat="1" ht="6" customHeight="1" x14ac:dyDescent="0.4">
      <c r="A1730" s="4">
        <f>ROW()</f>
        <v>1730</v>
      </c>
      <c r="B1730" s="9" t="s">
        <v>27</v>
      </c>
      <c r="C1730" s="44" t="str">
        <f t="shared" si="877"/>
        <v>p.objetivar</v>
      </c>
      <c r="D1730" s="6" t="str">
        <f t="shared" si="911"/>
        <v>é.ods.04.05</v>
      </c>
      <c r="E1730" s="8" t="s">
        <v>28</v>
      </c>
      <c r="F1730" s="34" t="str">
        <f t="shared" si="913"/>
        <v>d.objetivar</v>
      </c>
      <c r="G1730" s="16" t="s">
        <v>10331</v>
      </c>
      <c r="H1730" s="33" t="s">
        <v>1581</v>
      </c>
      <c r="I1730" s="92" t="str">
        <f t="shared" si="910"/>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905"/>
        <v>Propriedade destinada a objetivar: é.ods.04.05</v>
      </c>
      <c r="V1730" s="5" t="str">
        <f t="shared" si="906"/>
        <v>Dado para objetivar:  ods.04.05  Deve ser formatado como (rdfs:Literal  or  xsd:string)</v>
      </c>
      <c r="W1730" s="38" t="s">
        <v>10485</v>
      </c>
      <c r="X1730" s="17" t="str">
        <f t="shared" si="890"/>
        <v>d.objet.136</v>
      </c>
      <c r="Y1730" s="17" t="str">
        <f t="shared" si="891"/>
        <v>Ação de objetivar</v>
      </c>
      <c r="Z1730" s="62" t="s">
        <v>10634</v>
      </c>
      <c r="AA1730" s="18" t="str">
        <f t="shared" si="907"/>
        <v>null</v>
      </c>
      <c r="AB1730" s="19" t="s">
        <v>0</v>
      </c>
      <c r="AC1730" s="18" t="str">
        <f t="shared" si="908"/>
        <v>null</v>
      </c>
      <c r="AD1730" s="19" t="s">
        <v>0</v>
      </c>
      <c r="AE1730" s="18" t="str">
        <f t="shared" si="912"/>
        <v>null</v>
      </c>
      <c r="AF1730" s="75" t="s">
        <v>0</v>
      </c>
      <c r="AG1730" s="38" t="s">
        <v>11002</v>
      </c>
    </row>
    <row r="1731" spans="1:33" customFormat="1" ht="6" customHeight="1" x14ac:dyDescent="0.4">
      <c r="A1731" s="4">
        <f>ROW()</f>
        <v>1731</v>
      </c>
      <c r="B1731" s="9" t="s">
        <v>27</v>
      </c>
      <c r="C1731" s="44" t="str">
        <f t="shared" si="877"/>
        <v>p.objetivar</v>
      </c>
      <c r="D1731" s="6" t="str">
        <f t="shared" si="911"/>
        <v>é.ods.04.06</v>
      </c>
      <c r="E1731" s="8" t="s">
        <v>28</v>
      </c>
      <c r="F1731" s="34" t="str">
        <f t="shared" si="913"/>
        <v>d.objetivar</v>
      </c>
      <c r="G1731" s="16" t="s">
        <v>10332</v>
      </c>
      <c r="H1731" s="33" t="s">
        <v>1581</v>
      </c>
      <c r="I1731" s="92" t="str">
        <f t="shared" si="910"/>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905"/>
        <v>Propriedade destinada a objetivar: é.ods.04.06</v>
      </c>
      <c r="V1731" s="5" t="str">
        <f t="shared" si="906"/>
        <v>Dado para objetivar:  ods.04.06  Deve ser formatado como (rdfs:Literal  or  xsd:string)</v>
      </c>
      <c r="W1731" s="38" t="s">
        <v>10486</v>
      </c>
      <c r="X1731" s="17" t="str">
        <f t="shared" ref="X1731:X1794" si="914">IF(F1730&lt;&gt;F1731,_xlfn.CONCAT(RIGHT(LEFT(F1731,7),7),".100"),_xlfn.CONCAT(RIGHT(LEFT(F1731,7),7),".",SUM(VALUE(RIGHT(X1730,3)),1)))</f>
        <v>d.objet.137</v>
      </c>
      <c r="Y1731" s="17" t="str">
        <f t="shared" ref="Y1731:Y1794" si="915">_xlfn.CONCAT("Ação de ", SUBSTITUTE(F1731, "d.",  ""))</f>
        <v>Ação de objetivar</v>
      </c>
      <c r="Z1731" s="62" t="s">
        <v>10635</v>
      </c>
      <c r="AA1731" s="18" t="str">
        <f t="shared" si="907"/>
        <v>null</v>
      </c>
      <c r="AB1731" s="19" t="s">
        <v>0</v>
      </c>
      <c r="AC1731" s="18" t="str">
        <f t="shared" si="908"/>
        <v>null</v>
      </c>
      <c r="AD1731" s="19" t="s">
        <v>0</v>
      </c>
      <c r="AE1731" s="18" t="str">
        <f t="shared" si="912"/>
        <v>null</v>
      </c>
      <c r="AF1731" s="75" t="s">
        <v>0</v>
      </c>
      <c r="AG1731" s="38" t="s">
        <v>11003</v>
      </c>
    </row>
    <row r="1732" spans="1:33" customFormat="1" ht="6" customHeight="1" x14ac:dyDescent="0.4">
      <c r="A1732" s="4">
        <f>ROW()</f>
        <v>1732</v>
      </c>
      <c r="B1732" s="9" t="s">
        <v>27</v>
      </c>
      <c r="C1732" s="44" t="str">
        <f t="shared" si="877"/>
        <v>p.objetivar</v>
      </c>
      <c r="D1732" s="6" t="str">
        <f t="shared" si="911"/>
        <v>é.ods.04.07</v>
      </c>
      <c r="E1732" s="8" t="s">
        <v>28</v>
      </c>
      <c r="F1732" s="34" t="str">
        <f t="shared" si="913"/>
        <v>d.objetivar</v>
      </c>
      <c r="G1732" s="16" t="s">
        <v>10333</v>
      </c>
      <c r="H1732" s="33" t="s">
        <v>1581</v>
      </c>
      <c r="I1732" s="92" t="str">
        <f t="shared" si="910"/>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905"/>
        <v>Propriedade destinada a objetivar: é.ods.04.07</v>
      </c>
      <c r="V1732" s="5" t="str">
        <f t="shared" si="906"/>
        <v>Dado para objetivar:  ods.04.07  Deve ser formatado como (rdfs:Literal  or  xsd:string)</v>
      </c>
      <c r="W1732" s="38" t="s">
        <v>10487</v>
      </c>
      <c r="X1732" s="17" t="str">
        <f t="shared" si="914"/>
        <v>d.objet.138</v>
      </c>
      <c r="Y1732" s="17" t="str">
        <f t="shared" si="915"/>
        <v>Ação de objetivar</v>
      </c>
      <c r="Z1732" s="62" t="s">
        <v>10636</v>
      </c>
      <c r="AA1732" s="18" t="str">
        <f t="shared" si="907"/>
        <v>null</v>
      </c>
      <c r="AB1732" s="19" t="s">
        <v>0</v>
      </c>
      <c r="AC1732" s="18" t="str">
        <f t="shared" si="908"/>
        <v>null</v>
      </c>
      <c r="AD1732" s="19" t="s">
        <v>0</v>
      </c>
      <c r="AE1732" s="18" t="str">
        <f t="shared" si="912"/>
        <v>null</v>
      </c>
      <c r="AF1732" s="75" t="s">
        <v>0</v>
      </c>
      <c r="AG1732" s="38" t="s">
        <v>11004</v>
      </c>
    </row>
    <row r="1733" spans="1:33" customFormat="1" ht="6" customHeight="1" x14ac:dyDescent="0.4">
      <c r="A1733" s="4">
        <f>ROW()</f>
        <v>1733</v>
      </c>
      <c r="B1733" s="9" t="s">
        <v>27</v>
      </c>
      <c r="C1733" s="44" t="str">
        <f t="shared" si="877"/>
        <v>p.objetivar</v>
      </c>
      <c r="D1733" s="6" t="str">
        <f t="shared" si="911"/>
        <v>é.ods.04.08</v>
      </c>
      <c r="E1733" s="8" t="s">
        <v>28</v>
      </c>
      <c r="F1733" s="34" t="str">
        <f t="shared" si="913"/>
        <v>d.objetivar</v>
      </c>
      <c r="G1733" s="16" t="s">
        <v>10334</v>
      </c>
      <c r="H1733" s="33" t="s">
        <v>1581</v>
      </c>
      <c r="I1733" s="92" t="str">
        <f t="shared" si="910"/>
        <v>null</v>
      </c>
      <c r="J1733" s="82" t="s">
        <v>0</v>
      </c>
      <c r="K1733" s="82" t="s">
        <v>0</v>
      </c>
      <c r="L1733" s="82" t="s">
        <v>0</v>
      </c>
      <c r="M1733" s="82" t="s">
        <v>0</v>
      </c>
      <c r="N1733" s="80" t="s">
        <v>0</v>
      </c>
      <c r="O1733" s="82" t="s">
        <v>0</v>
      </c>
      <c r="P1733" s="82" t="s">
        <v>0</v>
      </c>
      <c r="Q1733" s="82" t="s">
        <v>0</v>
      </c>
      <c r="R1733" s="84" t="s">
        <v>0</v>
      </c>
      <c r="S1733" s="10" t="s">
        <v>1</v>
      </c>
      <c r="T1733" s="10" t="s">
        <v>10221</v>
      </c>
      <c r="U1733" s="5" t="str">
        <f t="shared" si="905"/>
        <v>Propriedade destinada a objetivar: é.ods.04.08</v>
      </c>
      <c r="V1733" s="5" t="str">
        <f t="shared" si="906"/>
        <v>Dado para objetivar:  ods.04.08  Deve ser formatado como (rdfs:Literal  or  xsd:string)</v>
      </c>
      <c r="W1733" s="38" t="s">
        <v>10488</v>
      </c>
      <c r="X1733" s="17" t="str">
        <f t="shared" si="914"/>
        <v>d.objet.139</v>
      </c>
      <c r="Y1733" s="17" t="str">
        <f t="shared" si="915"/>
        <v>Ação de objetivar</v>
      </c>
      <c r="Z1733" s="62" t="s">
        <v>10637</v>
      </c>
      <c r="AA1733" s="18" t="str">
        <f t="shared" si="907"/>
        <v>null</v>
      </c>
      <c r="AB1733" s="19" t="s">
        <v>0</v>
      </c>
      <c r="AC1733" s="18" t="str">
        <f t="shared" si="908"/>
        <v>null</v>
      </c>
      <c r="AD1733" s="19" t="s">
        <v>0</v>
      </c>
      <c r="AE1733" s="18" t="str">
        <f t="shared" si="912"/>
        <v>null</v>
      </c>
      <c r="AF1733" s="75" t="s">
        <v>0</v>
      </c>
      <c r="AG1733" s="38" t="s">
        <v>11005</v>
      </c>
    </row>
    <row r="1734" spans="1:33" customFormat="1" ht="6" customHeight="1" x14ac:dyDescent="0.4">
      <c r="A1734" s="4">
        <f>ROW()</f>
        <v>1734</v>
      </c>
      <c r="B1734" s="9" t="s">
        <v>27</v>
      </c>
      <c r="C1734" s="44" t="str">
        <f t="shared" si="877"/>
        <v>p.objetivar</v>
      </c>
      <c r="D1734" s="6" t="str">
        <f t="shared" si="911"/>
        <v>é.ods.04.09</v>
      </c>
      <c r="E1734" s="8" t="s">
        <v>28</v>
      </c>
      <c r="F1734" s="34" t="str">
        <f t="shared" si="913"/>
        <v>d.objetivar</v>
      </c>
      <c r="G1734" s="16" t="s">
        <v>10335</v>
      </c>
      <c r="H1734" s="33" t="s">
        <v>1581</v>
      </c>
      <c r="I1734" s="92" t="str">
        <f t="shared" si="910"/>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905"/>
        <v>Propriedade destinada a objetivar: é.ods.04.09</v>
      </c>
      <c r="V1734" s="5" t="str">
        <f t="shared" si="906"/>
        <v>Dado para objetivar:  ods.04.09  Deve ser formatado como (rdfs:Literal  or  xsd:string)</v>
      </c>
      <c r="W1734" s="38" t="s">
        <v>10489</v>
      </c>
      <c r="X1734" s="17" t="str">
        <f t="shared" si="914"/>
        <v>d.objet.140</v>
      </c>
      <c r="Y1734" s="17" t="str">
        <f t="shared" si="915"/>
        <v>Ação de objetivar</v>
      </c>
      <c r="Z1734" s="62" t="s">
        <v>10638</v>
      </c>
      <c r="AA1734" s="18" t="str">
        <f t="shared" si="907"/>
        <v>null</v>
      </c>
      <c r="AB1734" s="19" t="s">
        <v>0</v>
      </c>
      <c r="AC1734" s="18" t="str">
        <f t="shared" si="908"/>
        <v>null</v>
      </c>
      <c r="AD1734" s="19" t="s">
        <v>0</v>
      </c>
      <c r="AE1734" s="18" t="str">
        <f t="shared" si="912"/>
        <v>null</v>
      </c>
      <c r="AF1734" s="75" t="s">
        <v>0</v>
      </c>
      <c r="AG1734" s="38" t="s">
        <v>11006</v>
      </c>
    </row>
    <row r="1735" spans="1:33" customFormat="1" ht="6" customHeight="1" x14ac:dyDescent="0.4">
      <c r="A1735" s="4">
        <f>ROW()</f>
        <v>1735</v>
      </c>
      <c r="B1735" s="9" t="s">
        <v>27</v>
      </c>
      <c r="C1735" s="44" t="str">
        <f t="shared" si="877"/>
        <v>p.objetivar</v>
      </c>
      <c r="D1735" s="6" t="str">
        <f t="shared" si="911"/>
        <v>é.ods.04.10</v>
      </c>
      <c r="E1735" s="8" t="s">
        <v>28</v>
      </c>
      <c r="F1735" s="34" t="str">
        <f t="shared" si="913"/>
        <v>d.objetivar</v>
      </c>
      <c r="G1735" s="16" t="s">
        <v>10336</v>
      </c>
      <c r="H1735" s="33" t="s">
        <v>1581</v>
      </c>
      <c r="I1735" s="92" t="str">
        <f t="shared" si="910"/>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905"/>
        <v>Propriedade destinada a objetivar: é.ods.04.10</v>
      </c>
      <c r="V1735" s="5" t="str">
        <f t="shared" si="906"/>
        <v>Dado para objetivar:  ods.04.10  Deve ser formatado como (rdfs:Literal  or  xsd:string)</v>
      </c>
      <c r="W1735" s="38" t="s">
        <v>10490</v>
      </c>
      <c r="X1735" s="17" t="str">
        <f t="shared" si="914"/>
        <v>d.objet.141</v>
      </c>
      <c r="Y1735" s="17" t="str">
        <f t="shared" si="915"/>
        <v>Ação de objetivar</v>
      </c>
      <c r="Z1735" s="62" t="s">
        <v>10639</v>
      </c>
      <c r="AA1735" s="18" t="str">
        <f t="shared" si="907"/>
        <v>null</v>
      </c>
      <c r="AB1735" s="19" t="s">
        <v>0</v>
      </c>
      <c r="AC1735" s="18" t="str">
        <f t="shared" si="908"/>
        <v>null</v>
      </c>
      <c r="AD1735" s="19" t="s">
        <v>0</v>
      </c>
      <c r="AE1735" s="18" t="str">
        <f t="shared" si="912"/>
        <v>null</v>
      </c>
      <c r="AF1735" s="75" t="s">
        <v>0</v>
      </c>
      <c r="AG1735" s="38" t="s">
        <v>11007</v>
      </c>
    </row>
    <row r="1736" spans="1:33" customFormat="1" ht="6" customHeight="1" x14ac:dyDescent="0.4">
      <c r="A1736" s="4">
        <f>ROW()</f>
        <v>1736</v>
      </c>
      <c r="B1736" s="9" t="s">
        <v>27</v>
      </c>
      <c r="C1736" s="44" t="str">
        <f t="shared" si="877"/>
        <v>p.objetivar</v>
      </c>
      <c r="D1736" s="6" t="str">
        <f t="shared" si="911"/>
        <v>é.ods.05</v>
      </c>
      <c r="E1736" s="8" t="s">
        <v>28</v>
      </c>
      <c r="F1736" s="34" t="str">
        <f>F1734</f>
        <v>d.objetivar</v>
      </c>
      <c r="G1736" s="16" t="s">
        <v>11008</v>
      </c>
      <c r="H1736" s="33" t="s">
        <v>1581</v>
      </c>
      <c r="I1736" s="92" t="str">
        <f t="shared" si="910"/>
        <v>null</v>
      </c>
      <c r="J1736" s="82" t="s">
        <v>0</v>
      </c>
      <c r="K1736" s="82" t="s">
        <v>0</v>
      </c>
      <c r="L1736" s="82" t="s">
        <v>0</v>
      </c>
      <c r="M1736" s="82" t="s">
        <v>0</v>
      </c>
      <c r="N1736" s="80" t="s">
        <v>0</v>
      </c>
      <c r="O1736" s="82" t="s">
        <v>0</v>
      </c>
      <c r="P1736" s="82" t="s">
        <v>0</v>
      </c>
      <c r="Q1736" s="82" t="s">
        <v>0</v>
      </c>
      <c r="R1736" s="84" t="s">
        <v>1761</v>
      </c>
      <c r="S1736" s="10" t="s">
        <v>1</v>
      </c>
      <c r="T1736" s="10" t="s">
        <v>10221</v>
      </c>
      <c r="U1736" s="5" t="str">
        <f t="shared" si="905"/>
        <v>Propriedade destinada a objetivar: é.ods.05</v>
      </c>
      <c r="V1736" s="5" t="str">
        <f t="shared" si="906"/>
        <v>Dado para objetivar:  ods.05  Deve ser formatado como (rdfs:Literal  or  xsd:string)</v>
      </c>
      <c r="W1736" s="38" t="s">
        <v>11009</v>
      </c>
      <c r="X1736" s="17" t="str">
        <f t="shared" si="914"/>
        <v>d.objet.142</v>
      </c>
      <c r="Y1736" s="17" t="str">
        <f t="shared" si="915"/>
        <v>Ação de objetivar</v>
      </c>
      <c r="Z1736" s="62" t="s">
        <v>11010</v>
      </c>
      <c r="AA1736" s="18" t="str">
        <f t="shared" si="907"/>
        <v>null</v>
      </c>
      <c r="AB1736" s="19" t="s">
        <v>0</v>
      </c>
      <c r="AC1736" s="18" t="str">
        <f t="shared" si="908"/>
        <v>null</v>
      </c>
      <c r="AD1736" s="19" t="s">
        <v>0</v>
      </c>
      <c r="AE1736" s="18" t="str">
        <f t="shared" si="912"/>
        <v>null</v>
      </c>
      <c r="AF1736" s="75" t="s">
        <v>0</v>
      </c>
      <c r="AG1736" s="38" t="s">
        <v>11011</v>
      </c>
    </row>
    <row r="1737" spans="1:33" customFormat="1" ht="6" customHeight="1" x14ac:dyDescent="0.4">
      <c r="A1737" s="4">
        <f>ROW()</f>
        <v>1737</v>
      </c>
      <c r="B1737" s="9" t="s">
        <v>27</v>
      </c>
      <c r="C1737" s="44" t="str">
        <f t="shared" si="877"/>
        <v>p.objetivar</v>
      </c>
      <c r="D1737" s="6" t="str">
        <f t="shared" si="911"/>
        <v>é.ods.05.01</v>
      </c>
      <c r="E1737" s="8" t="s">
        <v>28</v>
      </c>
      <c r="F1737" s="34" t="str">
        <f>F1735</f>
        <v>d.objetivar</v>
      </c>
      <c r="G1737" s="16" t="s">
        <v>10337</v>
      </c>
      <c r="H1737" s="33" t="s">
        <v>1581</v>
      </c>
      <c r="I1737" s="92" t="str">
        <f t="shared" si="910"/>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905"/>
        <v>Propriedade destinada a objetivar: é.ods.05.01</v>
      </c>
      <c r="V1737" s="5" t="str">
        <f t="shared" si="906"/>
        <v>Dado para objetivar:  ods.05.01  Deve ser formatado como (rdfs:Literal  or  xsd:string)</v>
      </c>
      <c r="W1737" s="38" t="s">
        <v>10491</v>
      </c>
      <c r="X1737" s="17" t="str">
        <f t="shared" si="914"/>
        <v>d.objet.143</v>
      </c>
      <c r="Y1737" s="17" t="str">
        <f t="shared" si="915"/>
        <v>Ação de objetivar</v>
      </c>
      <c r="Z1737" s="62" t="s">
        <v>10640</v>
      </c>
      <c r="AA1737" s="18" t="str">
        <f t="shared" si="907"/>
        <v>null</v>
      </c>
      <c r="AB1737" s="19" t="s">
        <v>0</v>
      </c>
      <c r="AC1737" s="18" t="str">
        <f t="shared" si="908"/>
        <v>null</v>
      </c>
      <c r="AD1737" s="19" t="s">
        <v>0</v>
      </c>
      <c r="AE1737" s="18" t="str">
        <f t="shared" si="912"/>
        <v>null</v>
      </c>
      <c r="AF1737" s="75" t="s">
        <v>0</v>
      </c>
      <c r="AG1737" s="38" t="s">
        <v>11012</v>
      </c>
    </row>
    <row r="1738" spans="1:33" customFormat="1" ht="6" customHeight="1" x14ac:dyDescent="0.4">
      <c r="A1738" s="4">
        <f>ROW()</f>
        <v>1738</v>
      </c>
      <c r="B1738" s="9" t="s">
        <v>27</v>
      </c>
      <c r="C1738" s="44" t="str">
        <f t="shared" si="877"/>
        <v>p.objetivar</v>
      </c>
      <c r="D1738" s="6" t="str">
        <f t="shared" si="911"/>
        <v>é.ods.05.02</v>
      </c>
      <c r="E1738" s="8" t="s">
        <v>28</v>
      </c>
      <c r="F1738" s="34" t="str">
        <f t="shared" ref="F1738:F1745" si="916">F1737</f>
        <v>d.objetivar</v>
      </c>
      <c r="G1738" s="16" t="s">
        <v>10338</v>
      </c>
      <c r="H1738" s="33" t="s">
        <v>1581</v>
      </c>
      <c r="I1738" s="92" t="str">
        <f t="shared" si="910"/>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905"/>
        <v>Propriedade destinada a objetivar: é.ods.05.02</v>
      </c>
      <c r="V1738" s="5" t="str">
        <f t="shared" si="906"/>
        <v>Dado para objetivar:  ods.05.02  Deve ser formatado como (rdfs:Literal  or  xsd:string)</v>
      </c>
      <c r="W1738" s="38" t="s">
        <v>10492</v>
      </c>
      <c r="X1738" s="17" t="str">
        <f t="shared" si="914"/>
        <v>d.objet.144</v>
      </c>
      <c r="Y1738" s="17" t="str">
        <f t="shared" si="915"/>
        <v>Ação de objetivar</v>
      </c>
      <c r="Z1738" s="62" t="s">
        <v>10641</v>
      </c>
      <c r="AA1738" s="18" t="str">
        <f t="shared" si="907"/>
        <v>null</v>
      </c>
      <c r="AB1738" s="19" t="s">
        <v>0</v>
      </c>
      <c r="AC1738" s="18" t="str">
        <f t="shared" si="908"/>
        <v>null</v>
      </c>
      <c r="AD1738" s="19" t="s">
        <v>0</v>
      </c>
      <c r="AE1738" s="18" t="str">
        <f t="shared" si="912"/>
        <v>null</v>
      </c>
      <c r="AF1738" s="75" t="s">
        <v>0</v>
      </c>
      <c r="AG1738" s="38" t="s">
        <v>11013</v>
      </c>
    </row>
    <row r="1739" spans="1:33" customFormat="1" ht="6" customHeight="1" x14ac:dyDescent="0.4">
      <c r="A1739" s="4">
        <f>ROW()</f>
        <v>1739</v>
      </c>
      <c r="B1739" s="9" t="s">
        <v>27</v>
      </c>
      <c r="C1739" s="44" t="str">
        <f t="shared" ref="C1739:C1879" si="917">SUBSTITUTE(F1739,"d.","p.")</f>
        <v>p.objetivar</v>
      </c>
      <c r="D1739" s="6" t="str">
        <f t="shared" si="911"/>
        <v>é.ods.05.03</v>
      </c>
      <c r="E1739" s="8" t="s">
        <v>28</v>
      </c>
      <c r="F1739" s="34" t="str">
        <f t="shared" si="916"/>
        <v>d.objetivar</v>
      </c>
      <c r="G1739" s="16" t="s">
        <v>10339</v>
      </c>
      <c r="H1739" s="33" t="s">
        <v>1581</v>
      </c>
      <c r="I1739" s="92" t="str">
        <f t="shared" si="910"/>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905"/>
        <v>Propriedade destinada a objetivar: é.ods.05.03</v>
      </c>
      <c r="V1739" s="5" t="str">
        <f t="shared" si="906"/>
        <v>Dado para objetivar:  ods.05.03  Deve ser formatado como (rdfs:Literal  or  xsd:string)</v>
      </c>
      <c r="W1739" s="38" t="s">
        <v>10493</v>
      </c>
      <c r="X1739" s="17" t="str">
        <f t="shared" si="914"/>
        <v>d.objet.145</v>
      </c>
      <c r="Y1739" s="17" t="str">
        <f t="shared" si="915"/>
        <v>Ação de objetivar</v>
      </c>
      <c r="Z1739" s="62" t="s">
        <v>10642</v>
      </c>
      <c r="AA1739" s="18" t="str">
        <f t="shared" si="907"/>
        <v>null</v>
      </c>
      <c r="AB1739" s="19" t="s">
        <v>0</v>
      </c>
      <c r="AC1739" s="18" t="str">
        <f t="shared" si="908"/>
        <v>null</v>
      </c>
      <c r="AD1739" s="19" t="s">
        <v>0</v>
      </c>
      <c r="AE1739" s="18" t="str">
        <f t="shared" si="912"/>
        <v>null</v>
      </c>
      <c r="AF1739" s="75" t="s">
        <v>0</v>
      </c>
      <c r="AG1739" s="38" t="s">
        <v>11014</v>
      </c>
    </row>
    <row r="1740" spans="1:33" customFormat="1" ht="6" customHeight="1" x14ac:dyDescent="0.4">
      <c r="A1740" s="4">
        <f>ROW()</f>
        <v>1740</v>
      </c>
      <c r="B1740" s="9" t="s">
        <v>27</v>
      </c>
      <c r="C1740" s="44" t="str">
        <f t="shared" si="917"/>
        <v>p.objetivar</v>
      </c>
      <c r="D1740" s="6" t="str">
        <f t="shared" si="911"/>
        <v>é.ods.05.04</v>
      </c>
      <c r="E1740" s="8" t="s">
        <v>28</v>
      </c>
      <c r="F1740" s="34" t="str">
        <f t="shared" si="916"/>
        <v>d.objetivar</v>
      </c>
      <c r="G1740" s="16" t="s">
        <v>10340</v>
      </c>
      <c r="H1740" s="33" t="s">
        <v>1581</v>
      </c>
      <c r="I1740" s="92" t="str">
        <f t="shared" si="910"/>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905"/>
        <v>Propriedade destinada a objetivar: é.ods.05.04</v>
      </c>
      <c r="V1740" s="5" t="str">
        <f t="shared" si="906"/>
        <v>Dado para objetivar:  ods.05.04  Deve ser formatado como (rdfs:Literal  or  xsd:string)</v>
      </c>
      <c r="W1740" s="38" t="s">
        <v>10494</v>
      </c>
      <c r="X1740" s="17" t="str">
        <f t="shared" si="914"/>
        <v>d.objet.146</v>
      </c>
      <c r="Y1740" s="17" t="str">
        <f t="shared" si="915"/>
        <v>Ação de objetivar</v>
      </c>
      <c r="Z1740" s="62" t="s">
        <v>10643</v>
      </c>
      <c r="AA1740" s="18" t="str">
        <f t="shared" si="907"/>
        <v>null</v>
      </c>
      <c r="AB1740" s="19" t="s">
        <v>0</v>
      </c>
      <c r="AC1740" s="18" t="str">
        <f t="shared" si="908"/>
        <v>null</v>
      </c>
      <c r="AD1740" s="19" t="s">
        <v>0</v>
      </c>
      <c r="AE1740" s="18" t="str">
        <f t="shared" si="912"/>
        <v>null</v>
      </c>
      <c r="AF1740" s="75" t="s">
        <v>0</v>
      </c>
      <c r="AG1740" s="38" t="s">
        <v>11015</v>
      </c>
    </row>
    <row r="1741" spans="1:33" customFormat="1" ht="6" customHeight="1" x14ac:dyDescent="0.4">
      <c r="A1741" s="4">
        <f>ROW()</f>
        <v>1741</v>
      </c>
      <c r="B1741" s="9" t="s">
        <v>27</v>
      </c>
      <c r="C1741" s="44" t="str">
        <f t="shared" si="917"/>
        <v>p.objetivar</v>
      </c>
      <c r="D1741" s="6" t="str">
        <f t="shared" si="911"/>
        <v>é.ods.05.05</v>
      </c>
      <c r="E1741" s="8" t="s">
        <v>28</v>
      </c>
      <c r="F1741" s="34" t="str">
        <f t="shared" si="916"/>
        <v>d.objetivar</v>
      </c>
      <c r="G1741" s="16" t="s">
        <v>10341</v>
      </c>
      <c r="H1741" s="33" t="s">
        <v>1581</v>
      </c>
      <c r="I1741" s="92" t="str">
        <f t="shared" si="910"/>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905"/>
        <v>Propriedade destinada a objetivar: é.ods.05.05</v>
      </c>
      <c r="V1741" s="5" t="str">
        <f t="shared" si="906"/>
        <v>Dado para objetivar:  ods.05.05  Deve ser formatado como (rdfs:Literal  or  xsd:string)</v>
      </c>
      <c r="W1741" s="38" t="s">
        <v>10495</v>
      </c>
      <c r="X1741" s="17" t="str">
        <f t="shared" si="914"/>
        <v>d.objet.147</v>
      </c>
      <c r="Y1741" s="17" t="str">
        <f t="shared" si="915"/>
        <v>Ação de objetivar</v>
      </c>
      <c r="Z1741" s="62" t="s">
        <v>10644</v>
      </c>
      <c r="AA1741" s="18" t="str">
        <f t="shared" si="907"/>
        <v>null</v>
      </c>
      <c r="AB1741" s="19" t="s">
        <v>0</v>
      </c>
      <c r="AC1741" s="18" t="str">
        <f t="shared" si="908"/>
        <v>null</v>
      </c>
      <c r="AD1741" s="19" t="s">
        <v>0</v>
      </c>
      <c r="AE1741" s="18" t="str">
        <f t="shared" si="912"/>
        <v>null</v>
      </c>
      <c r="AF1741" s="75" t="s">
        <v>0</v>
      </c>
      <c r="AG1741" s="38" t="s">
        <v>11016</v>
      </c>
    </row>
    <row r="1742" spans="1:33" customFormat="1" ht="6" customHeight="1" x14ac:dyDescent="0.4">
      <c r="A1742" s="4">
        <f>ROW()</f>
        <v>1742</v>
      </c>
      <c r="B1742" s="9" t="s">
        <v>27</v>
      </c>
      <c r="C1742" s="44" t="str">
        <f t="shared" si="917"/>
        <v>p.objetivar</v>
      </c>
      <c r="D1742" s="6" t="str">
        <f t="shared" si="911"/>
        <v>é.ods.05.06</v>
      </c>
      <c r="E1742" s="8" t="s">
        <v>28</v>
      </c>
      <c r="F1742" s="34" t="str">
        <f t="shared" si="916"/>
        <v>d.objetivar</v>
      </c>
      <c r="G1742" s="16" t="s">
        <v>10342</v>
      </c>
      <c r="H1742" s="33" t="s">
        <v>1581</v>
      </c>
      <c r="I1742" s="92" t="str">
        <f t="shared" si="910"/>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905"/>
        <v>Propriedade destinada a objetivar: é.ods.05.06</v>
      </c>
      <c r="V1742" s="5" t="str">
        <f t="shared" si="906"/>
        <v>Dado para objetivar:  ods.05.06  Deve ser formatado como (rdfs:Literal  or  xsd:string)</v>
      </c>
      <c r="W1742" s="38" t="s">
        <v>10496</v>
      </c>
      <c r="X1742" s="17" t="str">
        <f t="shared" si="914"/>
        <v>d.objet.148</v>
      </c>
      <c r="Y1742" s="17" t="str">
        <f t="shared" si="915"/>
        <v>Ação de objetivar</v>
      </c>
      <c r="Z1742" s="62" t="s">
        <v>10645</v>
      </c>
      <c r="AA1742" s="18" t="str">
        <f t="shared" si="907"/>
        <v>null</v>
      </c>
      <c r="AB1742" s="19" t="s">
        <v>0</v>
      </c>
      <c r="AC1742" s="18" t="str">
        <f t="shared" si="908"/>
        <v>null</v>
      </c>
      <c r="AD1742" s="19" t="s">
        <v>0</v>
      </c>
      <c r="AE1742" s="18" t="str">
        <f t="shared" si="912"/>
        <v>null</v>
      </c>
      <c r="AF1742" s="75" t="s">
        <v>0</v>
      </c>
      <c r="AG1742" s="38" t="s">
        <v>11017</v>
      </c>
    </row>
    <row r="1743" spans="1:33" customFormat="1" ht="6" customHeight="1" x14ac:dyDescent="0.4">
      <c r="A1743" s="4">
        <f>ROW()</f>
        <v>1743</v>
      </c>
      <c r="B1743" s="9" t="s">
        <v>27</v>
      </c>
      <c r="C1743" s="44" t="str">
        <f t="shared" si="917"/>
        <v>p.objetivar</v>
      </c>
      <c r="D1743" s="6" t="str">
        <f t="shared" si="911"/>
        <v>é.ods.05.07</v>
      </c>
      <c r="E1743" s="8" t="s">
        <v>28</v>
      </c>
      <c r="F1743" s="34" t="str">
        <f t="shared" si="916"/>
        <v>d.objetivar</v>
      </c>
      <c r="G1743" s="16" t="s">
        <v>10343</v>
      </c>
      <c r="H1743" s="33" t="s">
        <v>1581</v>
      </c>
      <c r="I1743" s="92" t="str">
        <f t="shared" si="910"/>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905"/>
        <v>Propriedade destinada a objetivar: é.ods.05.07</v>
      </c>
      <c r="V1743" s="5" t="str">
        <f t="shared" si="906"/>
        <v>Dado para objetivar:  ods.05.07  Deve ser formatado como (rdfs:Literal  or  xsd:string)</v>
      </c>
      <c r="W1743" s="38" t="s">
        <v>10497</v>
      </c>
      <c r="X1743" s="17" t="str">
        <f t="shared" si="914"/>
        <v>d.objet.149</v>
      </c>
      <c r="Y1743" s="17" t="str">
        <f t="shared" si="915"/>
        <v>Ação de objetivar</v>
      </c>
      <c r="Z1743" s="62" t="s">
        <v>10646</v>
      </c>
      <c r="AA1743" s="18" t="str">
        <f t="shared" si="907"/>
        <v>null</v>
      </c>
      <c r="AB1743" s="19" t="s">
        <v>0</v>
      </c>
      <c r="AC1743" s="18" t="str">
        <f t="shared" si="908"/>
        <v>null</v>
      </c>
      <c r="AD1743" s="19" t="s">
        <v>0</v>
      </c>
      <c r="AE1743" s="18" t="str">
        <f t="shared" si="912"/>
        <v>null</v>
      </c>
      <c r="AF1743" s="75" t="s">
        <v>0</v>
      </c>
      <c r="AG1743" s="38" t="s">
        <v>11018</v>
      </c>
    </row>
    <row r="1744" spans="1:33" customFormat="1" ht="6" customHeight="1" x14ac:dyDescent="0.4">
      <c r="A1744" s="4">
        <f>ROW()</f>
        <v>1744</v>
      </c>
      <c r="B1744" s="9" t="s">
        <v>27</v>
      </c>
      <c r="C1744" s="44" t="str">
        <f t="shared" si="917"/>
        <v>p.objetivar</v>
      </c>
      <c r="D1744" s="6" t="str">
        <f t="shared" si="911"/>
        <v>é.ods.05.08</v>
      </c>
      <c r="E1744" s="8" t="s">
        <v>28</v>
      </c>
      <c r="F1744" s="34" t="str">
        <f t="shared" si="916"/>
        <v>d.objetivar</v>
      </c>
      <c r="G1744" s="16" t="s">
        <v>10344</v>
      </c>
      <c r="H1744" s="33" t="s">
        <v>1581</v>
      </c>
      <c r="I1744" s="92" t="str">
        <f t="shared" si="910"/>
        <v>null</v>
      </c>
      <c r="J1744" s="82" t="s">
        <v>0</v>
      </c>
      <c r="K1744" s="82" t="s">
        <v>0</v>
      </c>
      <c r="L1744" s="82" t="s">
        <v>0</v>
      </c>
      <c r="M1744" s="82" t="s">
        <v>0</v>
      </c>
      <c r="N1744" s="80" t="s">
        <v>0</v>
      </c>
      <c r="O1744" s="82" t="s">
        <v>0</v>
      </c>
      <c r="P1744" s="82" t="s">
        <v>0</v>
      </c>
      <c r="Q1744" s="82" t="s">
        <v>0</v>
      </c>
      <c r="R1744" s="84" t="s">
        <v>0</v>
      </c>
      <c r="S1744" s="10" t="s">
        <v>1</v>
      </c>
      <c r="T1744" s="10" t="s">
        <v>10221</v>
      </c>
      <c r="U1744" s="5" t="str">
        <f t="shared" si="905"/>
        <v>Propriedade destinada a objetivar: é.ods.05.08</v>
      </c>
      <c r="V1744" s="5" t="str">
        <f t="shared" si="906"/>
        <v>Dado para objetivar:  ods.05.08  Deve ser formatado como (rdfs:Literal  or  xsd:string)</v>
      </c>
      <c r="W1744" s="38" t="s">
        <v>10498</v>
      </c>
      <c r="X1744" s="17" t="str">
        <f t="shared" si="914"/>
        <v>d.objet.150</v>
      </c>
      <c r="Y1744" s="17" t="str">
        <f t="shared" si="915"/>
        <v>Ação de objetivar</v>
      </c>
      <c r="Z1744" s="62" t="s">
        <v>10647</v>
      </c>
      <c r="AA1744" s="18" t="str">
        <f t="shared" si="907"/>
        <v>null</v>
      </c>
      <c r="AB1744" s="19" t="s">
        <v>0</v>
      </c>
      <c r="AC1744" s="18" t="str">
        <f t="shared" si="908"/>
        <v>null</v>
      </c>
      <c r="AD1744" s="19" t="s">
        <v>0</v>
      </c>
      <c r="AE1744" s="18" t="str">
        <f t="shared" si="912"/>
        <v>null</v>
      </c>
      <c r="AF1744" s="75" t="s">
        <v>0</v>
      </c>
      <c r="AG1744" s="38" t="s">
        <v>11019</v>
      </c>
    </row>
    <row r="1745" spans="1:33" customFormat="1" ht="6" customHeight="1" x14ac:dyDescent="0.4">
      <c r="A1745" s="4">
        <f>ROW()</f>
        <v>1745</v>
      </c>
      <c r="B1745" s="9" t="s">
        <v>27</v>
      </c>
      <c r="C1745" s="44" t="str">
        <f t="shared" si="917"/>
        <v>p.objetivar</v>
      </c>
      <c r="D1745" s="6" t="str">
        <f t="shared" si="911"/>
        <v>é.ods.05.09</v>
      </c>
      <c r="E1745" s="8" t="s">
        <v>28</v>
      </c>
      <c r="F1745" s="34" t="str">
        <f t="shared" si="916"/>
        <v>d.objetivar</v>
      </c>
      <c r="G1745" s="16" t="s">
        <v>10345</v>
      </c>
      <c r="H1745" s="33" t="s">
        <v>1581</v>
      </c>
      <c r="I1745" s="92" t="str">
        <f t="shared" si="910"/>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905"/>
        <v>Propriedade destinada a objetivar: é.ods.05.09</v>
      </c>
      <c r="V1745" s="5" t="str">
        <f t="shared" si="906"/>
        <v>Dado para objetivar:  ods.05.09  Deve ser formatado como (rdfs:Literal  or  xsd:string)</v>
      </c>
      <c r="W1745" s="38" t="s">
        <v>10499</v>
      </c>
      <c r="X1745" s="17" t="str">
        <f t="shared" si="914"/>
        <v>d.objet.151</v>
      </c>
      <c r="Y1745" s="17" t="str">
        <f t="shared" si="915"/>
        <v>Ação de objetivar</v>
      </c>
      <c r="Z1745" s="62" t="s">
        <v>10648</v>
      </c>
      <c r="AA1745" s="18" t="str">
        <f t="shared" si="907"/>
        <v>null</v>
      </c>
      <c r="AB1745" s="19" t="s">
        <v>0</v>
      </c>
      <c r="AC1745" s="18" t="str">
        <f t="shared" si="908"/>
        <v>null</v>
      </c>
      <c r="AD1745" s="19" t="s">
        <v>0</v>
      </c>
      <c r="AE1745" s="18" t="str">
        <f t="shared" si="912"/>
        <v>null</v>
      </c>
      <c r="AF1745" s="75" t="s">
        <v>0</v>
      </c>
      <c r="AG1745" s="38" t="s">
        <v>11020</v>
      </c>
    </row>
    <row r="1746" spans="1:33" customFormat="1" ht="6" customHeight="1" x14ac:dyDescent="0.4">
      <c r="A1746" s="4">
        <f>ROW()</f>
        <v>1746</v>
      </c>
      <c r="B1746" s="9" t="s">
        <v>27</v>
      </c>
      <c r="C1746" s="44" t="str">
        <f t="shared" si="917"/>
        <v>p.objetivar</v>
      </c>
      <c r="D1746" s="6" t="str">
        <f t="shared" si="911"/>
        <v>é.ods.06</v>
      </c>
      <c r="E1746" s="8" t="s">
        <v>28</v>
      </c>
      <c r="F1746" s="34" t="str">
        <f>F1744</f>
        <v>d.objetivar</v>
      </c>
      <c r="G1746" s="16" t="s">
        <v>11021</v>
      </c>
      <c r="H1746" s="33" t="s">
        <v>1581</v>
      </c>
      <c r="I1746" s="92" t="str">
        <f t="shared" si="910"/>
        <v>null</v>
      </c>
      <c r="J1746" s="82" t="s">
        <v>0</v>
      </c>
      <c r="K1746" s="82" t="s">
        <v>0</v>
      </c>
      <c r="L1746" s="82" t="s">
        <v>0</v>
      </c>
      <c r="M1746" s="82" t="s">
        <v>0</v>
      </c>
      <c r="N1746" s="80" t="s">
        <v>0</v>
      </c>
      <c r="O1746" s="82" t="s">
        <v>0</v>
      </c>
      <c r="P1746" s="82" t="s">
        <v>0</v>
      </c>
      <c r="Q1746" s="82" t="s">
        <v>0</v>
      </c>
      <c r="R1746" s="84" t="s">
        <v>1761</v>
      </c>
      <c r="S1746" s="10" t="s">
        <v>1</v>
      </c>
      <c r="T1746" s="10" t="s">
        <v>10221</v>
      </c>
      <c r="U1746" s="5" t="str">
        <f t="shared" si="905"/>
        <v>Propriedade destinada a objetivar: é.ods.06</v>
      </c>
      <c r="V1746" s="5" t="str">
        <f t="shared" si="906"/>
        <v>Dado para objetivar:  ods.06  Deve ser formatado como (rdfs:Literal  or  xsd:string)</v>
      </c>
      <c r="W1746" s="38" t="s">
        <v>11022</v>
      </c>
      <c r="X1746" s="17" t="str">
        <f t="shared" si="914"/>
        <v>d.objet.152</v>
      </c>
      <c r="Y1746" s="17" t="str">
        <f t="shared" si="915"/>
        <v>Ação de objetivar</v>
      </c>
      <c r="Z1746" s="62" t="s">
        <v>11023</v>
      </c>
      <c r="AA1746" s="18" t="str">
        <f t="shared" si="907"/>
        <v>null</v>
      </c>
      <c r="AB1746" s="19" t="s">
        <v>0</v>
      </c>
      <c r="AC1746" s="18" t="str">
        <f t="shared" si="908"/>
        <v>null</v>
      </c>
      <c r="AD1746" s="19" t="s">
        <v>0</v>
      </c>
      <c r="AE1746" s="18" t="str">
        <f t="shared" si="912"/>
        <v>null</v>
      </c>
      <c r="AF1746" s="75" t="s">
        <v>0</v>
      </c>
      <c r="AG1746" s="38" t="s">
        <v>11024</v>
      </c>
    </row>
    <row r="1747" spans="1:33" customFormat="1" ht="6" customHeight="1" x14ac:dyDescent="0.4">
      <c r="A1747" s="4">
        <f>ROW()</f>
        <v>1747</v>
      </c>
      <c r="B1747" s="9" t="s">
        <v>27</v>
      </c>
      <c r="C1747" s="44" t="str">
        <f t="shared" si="917"/>
        <v>p.objetivar</v>
      </c>
      <c r="D1747" s="6" t="str">
        <f t="shared" si="911"/>
        <v>é.ods.06.01</v>
      </c>
      <c r="E1747" s="8" t="s">
        <v>28</v>
      </c>
      <c r="F1747" s="34" t="str">
        <f>F1745</f>
        <v>d.objetivar</v>
      </c>
      <c r="G1747" s="16" t="s">
        <v>10346</v>
      </c>
      <c r="H1747" s="33" t="s">
        <v>1581</v>
      </c>
      <c r="I1747" s="92" t="str">
        <f t="shared" si="910"/>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905"/>
        <v>Propriedade destinada a objetivar: é.ods.06.01</v>
      </c>
      <c r="V1747" s="5" t="str">
        <f t="shared" si="906"/>
        <v>Dado para objetivar:  ods.06.01  Deve ser formatado como (rdfs:Literal  or  xsd:string)</v>
      </c>
      <c r="W1747" s="38" t="s">
        <v>10500</v>
      </c>
      <c r="X1747" s="17" t="str">
        <f t="shared" si="914"/>
        <v>d.objet.153</v>
      </c>
      <c r="Y1747" s="17" t="str">
        <f t="shared" si="915"/>
        <v>Ação de objetivar</v>
      </c>
      <c r="Z1747" s="62" t="s">
        <v>10649</v>
      </c>
      <c r="AA1747" s="18" t="str">
        <f t="shared" si="907"/>
        <v>null</v>
      </c>
      <c r="AB1747" s="19" t="s">
        <v>0</v>
      </c>
      <c r="AC1747" s="18" t="str">
        <f t="shared" si="908"/>
        <v>null</v>
      </c>
      <c r="AD1747" s="19" t="s">
        <v>0</v>
      </c>
      <c r="AE1747" s="18" t="str">
        <f t="shared" si="912"/>
        <v>null</v>
      </c>
      <c r="AF1747" s="75" t="s">
        <v>0</v>
      </c>
      <c r="AG1747" s="38" t="s">
        <v>11025</v>
      </c>
    </row>
    <row r="1748" spans="1:33" customFormat="1" ht="6" customHeight="1" x14ac:dyDescent="0.4">
      <c r="A1748" s="4">
        <f>ROW()</f>
        <v>1748</v>
      </c>
      <c r="B1748" s="9" t="s">
        <v>27</v>
      </c>
      <c r="C1748" s="44" t="str">
        <f t="shared" si="917"/>
        <v>p.objetivar</v>
      </c>
      <c r="D1748" s="6" t="str">
        <f t="shared" si="911"/>
        <v>é.ods.06.02</v>
      </c>
      <c r="E1748" s="8" t="s">
        <v>28</v>
      </c>
      <c r="F1748" s="34" t="str">
        <f t="shared" ref="F1748:F1754" si="918">F1747</f>
        <v>d.objetivar</v>
      </c>
      <c r="G1748" s="16" t="s">
        <v>10347</v>
      </c>
      <c r="H1748" s="33" t="s">
        <v>1581</v>
      </c>
      <c r="I1748" s="92" t="str">
        <f t="shared" si="910"/>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905"/>
        <v>Propriedade destinada a objetivar: é.ods.06.02</v>
      </c>
      <c r="V1748" s="5" t="str">
        <f t="shared" si="906"/>
        <v>Dado para objetivar:  ods.06.02  Deve ser formatado como (rdfs:Literal  or  xsd:string)</v>
      </c>
      <c r="W1748" s="38" t="s">
        <v>10501</v>
      </c>
      <c r="X1748" s="17" t="str">
        <f t="shared" si="914"/>
        <v>d.objet.154</v>
      </c>
      <c r="Y1748" s="17" t="str">
        <f t="shared" si="915"/>
        <v>Ação de objetivar</v>
      </c>
      <c r="Z1748" s="62" t="s">
        <v>10650</v>
      </c>
      <c r="AA1748" s="18" t="str">
        <f t="shared" si="907"/>
        <v>null</v>
      </c>
      <c r="AB1748" s="19" t="s">
        <v>0</v>
      </c>
      <c r="AC1748" s="18" t="str">
        <f t="shared" si="908"/>
        <v>null</v>
      </c>
      <c r="AD1748" s="19" t="s">
        <v>0</v>
      </c>
      <c r="AE1748" s="18" t="str">
        <f t="shared" si="912"/>
        <v>null</v>
      </c>
      <c r="AF1748" s="75" t="s">
        <v>0</v>
      </c>
      <c r="AG1748" s="38" t="s">
        <v>11026</v>
      </c>
    </row>
    <row r="1749" spans="1:33" customFormat="1" ht="6" customHeight="1" x14ac:dyDescent="0.4">
      <c r="A1749" s="4">
        <f>ROW()</f>
        <v>1749</v>
      </c>
      <c r="B1749" s="9" t="s">
        <v>27</v>
      </c>
      <c r="C1749" s="44" t="str">
        <f t="shared" si="917"/>
        <v>p.objetivar</v>
      </c>
      <c r="D1749" s="6" t="str">
        <f t="shared" si="911"/>
        <v>é.ods.06.03</v>
      </c>
      <c r="E1749" s="8" t="s">
        <v>28</v>
      </c>
      <c r="F1749" s="34" t="str">
        <f t="shared" si="918"/>
        <v>d.objetivar</v>
      </c>
      <c r="G1749" s="16" t="s">
        <v>10348</v>
      </c>
      <c r="H1749" s="33" t="s">
        <v>1581</v>
      </c>
      <c r="I1749" s="92" t="str">
        <f t="shared" si="910"/>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905"/>
        <v>Propriedade destinada a objetivar: é.ods.06.03</v>
      </c>
      <c r="V1749" s="5" t="str">
        <f t="shared" si="906"/>
        <v>Dado para objetivar:  ods.06.03  Deve ser formatado como (rdfs:Literal  or  xsd:string)</v>
      </c>
      <c r="W1749" s="38" t="s">
        <v>10502</v>
      </c>
      <c r="X1749" s="17" t="str">
        <f t="shared" si="914"/>
        <v>d.objet.155</v>
      </c>
      <c r="Y1749" s="17" t="str">
        <f t="shared" si="915"/>
        <v>Ação de objetivar</v>
      </c>
      <c r="Z1749" s="62" t="s">
        <v>10651</v>
      </c>
      <c r="AA1749" s="18" t="str">
        <f t="shared" si="907"/>
        <v>null</v>
      </c>
      <c r="AB1749" s="19" t="s">
        <v>0</v>
      </c>
      <c r="AC1749" s="18" t="str">
        <f t="shared" si="908"/>
        <v>null</v>
      </c>
      <c r="AD1749" s="19" t="s">
        <v>0</v>
      </c>
      <c r="AE1749" s="18" t="str">
        <f t="shared" si="912"/>
        <v>null</v>
      </c>
      <c r="AF1749" s="75" t="s">
        <v>0</v>
      </c>
      <c r="AG1749" s="38" t="s">
        <v>11027</v>
      </c>
    </row>
    <row r="1750" spans="1:33" customFormat="1" ht="6" customHeight="1" x14ac:dyDescent="0.4">
      <c r="A1750" s="4">
        <f>ROW()</f>
        <v>1750</v>
      </c>
      <c r="B1750" s="9" t="s">
        <v>27</v>
      </c>
      <c r="C1750" s="44" t="str">
        <f t="shared" si="917"/>
        <v>p.objetivar</v>
      </c>
      <c r="D1750" s="6" t="str">
        <f t="shared" si="911"/>
        <v>é.ods.06.04</v>
      </c>
      <c r="E1750" s="8" t="s">
        <v>28</v>
      </c>
      <c r="F1750" s="34" t="str">
        <f t="shared" si="918"/>
        <v>d.objetivar</v>
      </c>
      <c r="G1750" s="16" t="s">
        <v>10349</v>
      </c>
      <c r="H1750" s="33" t="s">
        <v>1581</v>
      </c>
      <c r="I1750" s="92" t="str">
        <f t="shared" si="910"/>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905"/>
        <v>Propriedade destinada a objetivar: é.ods.06.04</v>
      </c>
      <c r="V1750" s="5" t="str">
        <f t="shared" si="906"/>
        <v>Dado para objetivar:  ods.06.04  Deve ser formatado como (rdfs:Literal  or  xsd:string)</v>
      </c>
      <c r="W1750" s="38" t="s">
        <v>10503</v>
      </c>
      <c r="X1750" s="17" t="str">
        <f t="shared" si="914"/>
        <v>d.objet.156</v>
      </c>
      <c r="Y1750" s="17" t="str">
        <f t="shared" si="915"/>
        <v>Ação de objetivar</v>
      </c>
      <c r="Z1750" s="62" t="s">
        <v>10652</v>
      </c>
      <c r="AA1750" s="18" t="str">
        <f t="shared" si="907"/>
        <v>null</v>
      </c>
      <c r="AB1750" s="19" t="s">
        <v>0</v>
      </c>
      <c r="AC1750" s="18" t="str">
        <f t="shared" si="908"/>
        <v>null</v>
      </c>
      <c r="AD1750" s="19" t="s">
        <v>0</v>
      </c>
      <c r="AE1750" s="18" t="str">
        <f t="shared" si="912"/>
        <v>null</v>
      </c>
      <c r="AF1750" s="75" t="s">
        <v>0</v>
      </c>
      <c r="AG1750" s="38" t="s">
        <v>11028</v>
      </c>
    </row>
    <row r="1751" spans="1:33" customFormat="1" ht="6" customHeight="1" x14ac:dyDescent="0.4">
      <c r="A1751" s="4">
        <f>ROW()</f>
        <v>1751</v>
      </c>
      <c r="B1751" s="9" t="s">
        <v>27</v>
      </c>
      <c r="C1751" s="44" t="str">
        <f t="shared" si="917"/>
        <v>p.objetivar</v>
      </c>
      <c r="D1751" s="6" t="str">
        <f t="shared" si="911"/>
        <v>é.ods.06.05</v>
      </c>
      <c r="E1751" s="8" t="s">
        <v>28</v>
      </c>
      <c r="F1751" s="34" t="str">
        <f t="shared" si="918"/>
        <v>d.objetivar</v>
      </c>
      <c r="G1751" s="16" t="s">
        <v>10350</v>
      </c>
      <c r="H1751" s="33" t="s">
        <v>1581</v>
      </c>
      <c r="I1751" s="92" t="str">
        <f t="shared" si="910"/>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905"/>
        <v>Propriedade destinada a objetivar: é.ods.06.05</v>
      </c>
      <c r="V1751" s="5" t="str">
        <f t="shared" si="906"/>
        <v>Dado para objetivar:  ods.06.05  Deve ser formatado como (rdfs:Literal  or  xsd:string)</v>
      </c>
      <c r="W1751" s="38" t="s">
        <v>10504</v>
      </c>
      <c r="X1751" s="17" t="str">
        <f t="shared" si="914"/>
        <v>d.objet.157</v>
      </c>
      <c r="Y1751" s="17" t="str">
        <f t="shared" si="915"/>
        <v>Ação de objetivar</v>
      </c>
      <c r="Z1751" s="62" t="s">
        <v>10653</v>
      </c>
      <c r="AA1751" s="18" t="str">
        <f t="shared" si="907"/>
        <v>null</v>
      </c>
      <c r="AB1751" s="19" t="s">
        <v>0</v>
      </c>
      <c r="AC1751" s="18" t="str">
        <f t="shared" si="908"/>
        <v>null</v>
      </c>
      <c r="AD1751" s="19" t="s">
        <v>0</v>
      </c>
      <c r="AE1751" s="18" t="str">
        <f t="shared" si="912"/>
        <v>null</v>
      </c>
      <c r="AF1751" s="75" t="s">
        <v>0</v>
      </c>
      <c r="AG1751" s="38" t="s">
        <v>11029</v>
      </c>
    </row>
    <row r="1752" spans="1:33" customFormat="1" ht="6" customHeight="1" x14ac:dyDescent="0.4">
      <c r="A1752" s="4">
        <f>ROW()</f>
        <v>1752</v>
      </c>
      <c r="B1752" s="9" t="s">
        <v>27</v>
      </c>
      <c r="C1752" s="44" t="str">
        <f t="shared" si="917"/>
        <v>p.objetivar</v>
      </c>
      <c r="D1752" s="6" t="str">
        <f t="shared" si="911"/>
        <v>é.ods.06.06</v>
      </c>
      <c r="E1752" s="8" t="s">
        <v>28</v>
      </c>
      <c r="F1752" s="34" t="str">
        <f t="shared" si="918"/>
        <v>d.objetivar</v>
      </c>
      <c r="G1752" s="16" t="s">
        <v>10351</v>
      </c>
      <c r="H1752" s="33" t="s">
        <v>1581</v>
      </c>
      <c r="I1752" s="92" t="str">
        <f t="shared" si="910"/>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905"/>
        <v>Propriedade destinada a objetivar: é.ods.06.06</v>
      </c>
      <c r="V1752" s="5" t="str">
        <f t="shared" si="906"/>
        <v>Dado para objetivar:  ods.06.06  Deve ser formatado como (rdfs:Literal  or  xsd:string)</v>
      </c>
      <c r="W1752" s="38" t="s">
        <v>10505</v>
      </c>
      <c r="X1752" s="17" t="str">
        <f t="shared" si="914"/>
        <v>d.objet.158</v>
      </c>
      <c r="Y1752" s="17" t="str">
        <f t="shared" si="915"/>
        <v>Ação de objetivar</v>
      </c>
      <c r="Z1752" s="62" t="s">
        <v>10654</v>
      </c>
      <c r="AA1752" s="18" t="str">
        <f t="shared" si="907"/>
        <v>null</v>
      </c>
      <c r="AB1752" s="19" t="s">
        <v>0</v>
      </c>
      <c r="AC1752" s="18" t="str">
        <f t="shared" si="908"/>
        <v>null</v>
      </c>
      <c r="AD1752" s="19" t="s">
        <v>0</v>
      </c>
      <c r="AE1752" s="18" t="str">
        <f t="shared" si="912"/>
        <v>null</v>
      </c>
      <c r="AF1752" s="75" t="s">
        <v>0</v>
      </c>
      <c r="AG1752" s="38" t="s">
        <v>11030</v>
      </c>
    </row>
    <row r="1753" spans="1:33" customFormat="1" ht="6" customHeight="1" x14ac:dyDescent="0.4">
      <c r="A1753" s="4">
        <f>ROW()</f>
        <v>1753</v>
      </c>
      <c r="B1753" s="9" t="s">
        <v>27</v>
      </c>
      <c r="C1753" s="44" t="str">
        <f t="shared" si="917"/>
        <v>p.objetivar</v>
      </c>
      <c r="D1753" s="6" t="str">
        <f t="shared" si="911"/>
        <v>é.ods.06.07</v>
      </c>
      <c r="E1753" s="8" t="s">
        <v>28</v>
      </c>
      <c r="F1753" s="34" t="str">
        <f t="shared" si="918"/>
        <v>d.objetivar</v>
      </c>
      <c r="G1753" s="16" t="s">
        <v>10352</v>
      </c>
      <c r="H1753" s="33" t="s">
        <v>1581</v>
      </c>
      <c r="I1753" s="92" t="str">
        <f t="shared" si="910"/>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905"/>
        <v>Propriedade destinada a objetivar: é.ods.06.07</v>
      </c>
      <c r="V1753" s="5" t="str">
        <f t="shared" si="906"/>
        <v>Dado para objetivar:  ods.06.07  Deve ser formatado como (rdfs:Literal  or  xsd:string)</v>
      </c>
      <c r="W1753" s="38" t="s">
        <v>10506</v>
      </c>
      <c r="X1753" s="17" t="str">
        <f t="shared" si="914"/>
        <v>d.objet.159</v>
      </c>
      <c r="Y1753" s="17" t="str">
        <f t="shared" si="915"/>
        <v>Ação de objetivar</v>
      </c>
      <c r="Z1753" s="62" t="s">
        <v>10655</v>
      </c>
      <c r="AA1753" s="18" t="str">
        <f t="shared" si="907"/>
        <v>null</v>
      </c>
      <c r="AB1753" s="19" t="s">
        <v>0</v>
      </c>
      <c r="AC1753" s="18" t="str">
        <f t="shared" si="908"/>
        <v>null</v>
      </c>
      <c r="AD1753" s="19" t="s">
        <v>0</v>
      </c>
      <c r="AE1753" s="18" t="str">
        <f t="shared" si="912"/>
        <v>null</v>
      </c>
      <c r="AF1753" s="75" t="s">
        <v>0</v>
      </c>
      <c r="AG1753" s="38" t="s">
        <v>11031</v>
      </c>
    </row>
    <row r="1754" spans="1:33" customFormat="1" ht="6" customHeight="1" x14ac:dyDescent="0.4">
      <c r="A1754" s="4">
        <f>ROW()</f>
        <v>1754</v>
      </c>
      <c r="B1754" s="9" t="s">
        <v>27</v>
      </c>
      <c r="C1754" s="44" t="str">
        <f t="shared" si="917"/>
        <v>p.objetivar</v>
      </c>
      <c r="D1754" s="6" t="str">
        <f t="shared" si="911"/>
        <v>é.ods.06.08</v>
      </c>
      <c r="E1754" s="8" t="s">
        <v>28</v>
      </c>
      <c r="F1754" s="34" t="str">
        <f t="shared" si="918"/>
        <v>d.objetivar</v>
      </c>
      <c r="G1754" s="16" t="s">
        <v>10353</v>
      </c>
      <c r="H1754" s="33" t="s">
        <v>1581</v>
      </c>
      <c r="I1754" s="92" t="str">
        <f t="shared" si="910"/>
        <v>null</v>
      </c>
      <c r="J1754" s="82" t="s">
        <v>0</v>
      </c>
      <c r="K1754" s="82" t="s">
        <v>0</v>
      </c>
      <c r="L1754" s="82" t="s">
        <v>0</v>
      </c>
      <c r="M1754" s="82" t="s">
        <v>0</v>
      </c>
      <c r="N1754" s="80" t="s">
        <v>0</v>
      </c>
      <c r="O1754" s="82" t="s">
        <v>0</v>
      </c>
      <c r="P1754" s="82" t="s">
        <v>0</v>
      </c>
      <c r="Q1754" s="82" t="s">
        <v>0</v>
      </c>
      <c r="R1754" s="84" t="s">
        <v>0</v>
      </c>
      <c r="S1754" s="10" t="s">
        <v>1</v>
      </c>
      <c r="T1754" s="10" t="s">
        <v>10221</v>
      </c>
      <c r="U1754" s="5" t="str">
        <f t="shared" si="905"/>
        <v>Propriedade destinada a objetivar: é.ods.06.08</v>
      </c>
      <c r="V1754" s="5" t="str">
        <f t="shared" si="906"/>
        <v>Dado para objetivar:  ods.06.08  Deve ser formatado como (rdfs:Literal  or  xsd:string)</v>
      </c>
      <c r="W1754" s="38" t="s">
        <v>10507</v>
      </c>
      <c r="X1754" s="17" t="str">
        <f t="shared" si="914"/>
        <v>d.objet.160</v>
      </c>
      <c r="Y1754" s="17" t="str">
        <f t="shared" si="915"/>
        <v>Ação de objetivar</v>
      </c>
      <c r="Z1754" s="62" t="s">
        <v>10656</v>
      </c>
      <c r="AA1754" s="18" t="str">
        <f t="shared" si="907"/>
        <v>null</v>
      </c>
      <c r="AB1754" s="19" t="s">
        <v>0</v>
      </c>
      <c r="AC1754" s="18" t="str">
        <f t="shared" si="908"/>
        <v>null</v>
      </c>
      <c r="AD1754" s="19" t="s">
        <v>0</v>
      </c>
      <c r="AE1754" s="18" t="str">
        <f t="shared" si="912"/>
        <v>null</v>
      </c>
      <c r="AF1754" s="75" t="s">
        <v>0</v>
      </c>
      <c r="AG1754" s="38" t="s">
        <v>11032</v>
      </c>
    </row>
    <row r="1755" spans="1:33" customFormat="1" ht="6" customHeight="1" x14ac:dyDescent="0.4">
      <c r="A1755" s="4">
        <f>ROW()</f>
        <v>1755</v>
      </c>
      <c r="B1755" s="9" t="s">
        <v>27</v>
      </c>
      <c r="C1755" s="44" t="str">
        <f t="shared" si="917"/>
        <v>p.objetivar</v>
      </c>
      <c r="D1755" s="6" t="str">
        <f t="shared" si="911"/>
        <v>é.ods.07</v>
      </c>
      <c r="E1755" s="8" t="s">
        <v>28</v>
      </c>
      <c r="F1755" s="34" t="str">
        <f>F1753</f>
        <v>d.objetivar</v>
      </c>
      <c r="G1755" s="16" t="s">
        <v>11033</v>
      </c>
      <c r="H1755" s="33" t="s">
        <v>1581</v>
      </c>
      <c r="I1755" s="92" t="str">
        <f t="shared" si="910"/>
        <v>null</v>
      </c>
      <c r="J1755" s="82" t="s">
        <v>0</v>
      </c>
      <c r="K1755" s="82" t="s">
        <v>0</v>
      </c>
      <c r="L1755" s="82" t="s">
        <v>0</v>
      </c>
      <c r="M1755" s="82" t="s">
        <v>0</v>
      </c>
      <c r="N1755" s="80" t="s">
        <v>0</v>
      </c>
      <c r="O1755" s="82" t="s">
        <v>0</v>
      </c>
      <c r="P1755" s="82" t="s">
        <v>0</v>
      </c>
      <c r="Q1755" s="82" t="s">
        <v>0</v>
      </c>
      <c r="R1755" s="84" t="s">
        <v>1761</v>
      </c>
      <c r="S1755" s="10" t="s">
        <v>1</v>
      </c>
      <c r="T1755" s="10" t="s">
        <v>10221</v>
      </c>
      <c r="U1755" s="5" t="str">
        <f t="shared" si="905"/>
        <v>Propriedade destinada a objetivar: é.ods.07</v>
      </c>
      <c r="V1755" s="5" t="str">
        <f t="shared" si="906"/>
        <v>Dado para objetivar:  ods.07  Deve ser formatado como (rdfs:Literal  or  xsd:string)</v>
      </c>
      <c r="W1755" s="38" t="s">
        <v>11034</v>
      </c>
      <c r="X1755" s="17" t="str">
        <f t="shared" si="914"/>
        <v>d.objet.161</v>
      </c>
      <c r="Y1755" s="17" t="str">
        <f t="shared" si="915"/>
        <v>Ação de objetivar</v>
      </c>
      <c r="Z1755" s="62" t="s">
        <v>11035</v>
      </c>
      <c r="AA1755" s="18" t="str">
        <f t="shared" si="907"/>
        <v>null</v>
      </c>
      <c r="AB1755" s="19" t="s">
        <v>0</v>
      </c>
      <c r="AC1755" s="18" t="str">
        <f t="shared" si="908"/>
        <v>null</v>
      </c>
      <c r="AD1755" s="19" t="s">
        <v>0</v>
      </c>
      <c r="AE1755" s="18" t="str">
        <f t="shared" si="912"/>
        <v>null</v>
      </c>
      <c r="AF1755" s="75" t="s">
        <v>0</v>
      </c>
      <c r="AG1755" s="38" t="s">
        <v>11036</v>
      </c>
    </row>
    <row r="1756" spans="1:33" customFormat="1" ht="6" customHeight="1" x14ac:dyDescent="0.4">
      <c r="A1756" s="4">
        <f>ROW()</f>
        <v>1756</v>
      </c>
      <c r="B1756" s="9" t="s">
        <v>27</v>
      </c>
      <c r="C1756" s="44" t="str">
        <f t="shared" si="917"/>
        <v>p.objetivar</v>
      </c>
      <c r="D1756" s="6" t="str">
        <f t="shared" si="911"/>
        <v>é.ods.07.01</v>
      </c>
      <c r="E1756" s="8" t="s">
        <v>28</v>
      </c>
      <c r="F1756" s="34" t="str">
        <f>F1754</f>
        <v>d.objetivar</v>
      </c>
      <c r="G1756" s="16" t="s">
        <v>10354</v>
      </c>
      <c r="H1756" s="33" t="s">
        <v>1581</v>
      </c>
      <c r="I1756" s="92" t="str">
        <f t="shared" si="910"/>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905"/>
        <v>Propriedade destinada a objetivar: é.ods.07.01</v>
      </c>
      <c r="V1756" s="5" t="str">
        <f t="shared" si="906"/>
        <v>Dado para objetivar:  ods.07.01  Deve ser formatado como (rdfs:Literal  or  xsd:string)</v>
      </c>
      <c r="W1756" s="38" t="s">
        <v>10508</v>
      </c>
      <c r="X1756" s="17" t="str">
        <f t="shared" si="914"/>
        <v>d.objet.162</v>
      </c>
      <c r="Y1756" s="17" t="str">
        <f t="shared" si="915"/>
        <v>Ação de objetivar</v>
      </c>
      <c r="Z1756" s="62" t="s">
        <v>10657</v>
      </c>
      <c r="AA1756" s="18" t="str">
        <f t="shared" si="907"/>
        <v>null</v>
      </c>
      <c r="AB1756" s="19" t="s">
        <v>0</v>
      </c>
      <c r="AC1756" s="18" t="str">
        <f t="shared" si="908"/>
        <v>null</v>
      </c>
      <c r="AD1756" s="19" t="s">
        <v>0</v>
      </c>
      <c r="AE1756" s="18" t="str">
        <f t="shared" si="912"/>
        <v>null</v>
      </c>
      <c r="AF1756" s="75" t="s">
        <v>0</v>
      </c>
      <c r="AG1756" s="38" t="s">
        <v>11037</v>
      </c>
    </row>
    <row r="1757" spans="1:33" customFormat="1" ht="6" customHeight="1" x14ac:dyDescent="0.4">
      <c r="A1757" s="4">
        <f>ROW()</f>
        <v>1757</v>
      </c>
      <c r="B1757" s="9" t="s">
        <v>27</v>
      </c>
      <c r="C1757" s="44" t="str">
        <f t="shared" si="917"/>
        <v>p.objetivar</v>
      </c>
      <c r="D1757" s="6" t="str">
        <f t="shared" si="911"/>
        <v>é.ods.07.02</v>
      </c>
      <c r="E1757" s="8" t="s">
        <v>28</v>
      </c>
      <c r="F1757" s="34" t="str">
        <f>F1756</f>
        <v>d.objetivar</v>
      </c>
      <c r="G1757" s="16" t="s">
        <v>10355</v>
      </c>
      <c r="H1757" s="33" t="s">
        <v>1581</v>
      </c>
      <c r="I1757" s="92" t="str">
        <f t="shared" si="910"/>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905"/>
        <v>Propriedade destinada a objetivar: é.ods.07.02</v>
      </c>
      <c r="V1757" s="5" t="str">
        <f t="shared" si="906"/>
        <v>Dado para objetivar:  ods.07.02  Deve ser formatado como (rdfs:Literal  or  xsd:string)</v>
      </c>
      <c r="W1757" s="38" t="s">
        <v>10509</v>
      </c>
      <c r="X1757" s="17" t="str">
        <f t="shared" si="914"/>
        <v>d.objet.163</v>
      </c>
      <c r="Y1757" s="17" t="str">
        <f t="shared" si="915"/>
        <v>Ação de objetivar</v>
      </c>
      <c r="Z1757" s="62" t="s">
        <v>10658</v>
      </c>
      <c r="AA1757" s="18" t="str">
        <f t="shared" si="907"/>
        <v>null</v>
      </c>
      <c r="AB1757" s="19" t="s">
        <v>0</v>
      </c>
      <c r="AC1757" s="18" t="str">
        <f t="shared" si="908"/>
        <v>null</v>
      </c>
      <c r="AD1757" s="19" t="s">
        <v>0</v>
      </c>
      <c r="AE1757" s="18" t="str">
        <f t="shared" si="912"/>
        <v>null</v>
      </c>
      <c r="AF1757" s="75" t="s">
        <v>0</v>
      </c>
      <c r="AG1757" s="38" t="s">
        <v>11038</v>
      </c>
    </row>
    <row r="1758" spans="1:33" customFormat="1" ht="6" customHeight="1" x14ac:dyDescent="0.4">
      <c r="A1758" s="4">
        <f>ROW()</f>
        <v>1758</v>
      </c>
      <c r="B1758" s="9" t="s">
        <v>27</v>
      </c>
      <c r="C1758" s="44" t="str">
        <f t="shared" si="917"/>
        <v>p.objetivar</v>
      </c>
      <c r="D1758" s="6" t="str">
        <f t="shared" si="911"/>
        <v>é.ods.07.03</v>
      </c>
      <c r="E1758" s="8" t="s">
        <v>28</v>
      </c>
      <c r="F1758" s="34" t="str">
        <f>F1757</f>
        <v>d.objetivar</v>
      </c>
      <c r="G1758" s="16" t="s">
        <v>10356</v>
      </c>
      <c r="H1758" s="33" t="s">
        <v>1581</v>
      </c>
      <c r="I1758" s="92" t="str">
        <f t="shared" si="910"/>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905"/>
        <v>Propriedade destinada a objetivar: é.ods.07.03</v>
      </c>
      <c r="V1758" s="5" t="str">
        <f t="shared" si="906"/>
        <v>Dado para objetivar:  ods.07.03  Deve ser formatado como (rdfs:Literal  or  xsd:string)</v>
      </c>
      <c r="W1758" s="38" t="s">
        <v>10510</v>
      </c>
      <c r="X1758" s="17" t="str">
        <f t="shared" si="914"/>
        <v>d.objet.164</v>
      </c>
      <c r="Y1758" s="17" t="str">
        <f t="shared" si="915"/>
        <v>Ação de objetivar</v>
      </c>
      <c r="Z1758" s="62" t="s">
        <v>10659</v>
      </c>
      <c r="AA1758" s="18" t="str">
        <f t="shared" si="907"/>
        <v>null</v>
      </c>
      <c r="AB1758" s="19" t="s">
        <v>0</v>
      </c>
      <c r="AC1758" s="18" t="str">
        <f t="shared" si="908"/>
        <v>null</v>
      </c>
      <c r="AD1758" s="19" t="s">
        <v>0</v>
      </c>
      <c r="AE1758" s="18" t="str">
        <f t="shared" si="912"/>
        <v>null</v>
      </c>
      <c r="AF1758" s="75" t="s">
        <v>0</v>
      </c>
      <c r="AG1758" s="38" t="s">
        <v>11039</v>
      </c>
    </row>
    <row r="1759" spans="1:33" customFormat="1" ht="6" customHeight="1" x14ac:dyDescent="0.4">
      <c r="A1759" s="4">
        <f>ROW()</f>
        <v>1759</v>
      </c>
      <c r="B1759" s="9" t="s">
        <v>27</v>
      </c>
      <c r="C1759" s="44" t="str">
        <f t="shared" si="917"/>
        <v>p.objetivar</v>
      </c>
      <c r="D1759" s="6" t="str">
        <f t="shared" si="911"/>
        <v>é.ods.07.04</v>
      </c>
      <c r="E1759" s="8" t="s">
        <v>28</v>
      </c>
      <c r="F1759" s="34" t="str">
        <f>F1758</f>
        <v>d.objetivar</v>
      </c>
      <c r="G1759" s="16" t="s">
        <v>10357</v>
      </c>
      <c r="H1759" s="33" t="s">
        <v>1581</v>
      </c>
      <c r="I1759" s="92" t="str">
        <f t="shared" si="910"/>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905"/>
        <v>Propriedade destinada a objetivar: é.ods.07.04</v>
      </c>
      <c r="V1759" s="5" t="str">
        <f t="shared" si="906"/>
        <v>Dado para objetivar:  ods.07.04  Deve ser formatado como (rdfs:Literal  or  xsd:string)</v>
      </c>
      <c r="W1759" s="38" t="s">
        <v>10511</v>
      </c>
      <c r="X1759" s="17" t="str">
        <f t="shared" si="914"/>
        <v>d.objet.165</v>
      </c>
      <c r="Y1759" s="17" t="str">
        <f t="shared" si="915"/>
        <v>Ação de objetivar</v>
      </c>
      <c r="Z1759" s="62" t="s">
        <v>10660</v>
      </c>
      <c r="AA1759" s="18" t="str">
        <f t="shared" si="907"/>
        <v>null</v>
      </c>
      <c r="AB1759" s="19" t="s">
        <v>0</v>
      </c>
      <c r="AC1759" s="18" t="str">
        <f t="shared" si="908"/>
        <v>null</v>
      </c>
      <c r="AD1759" s="19" t="s">
        <v>0</v>
      </c>
      <c r="AE1759" s="18" t="str">
        <f t="shared" si="912"/>
        <v>null</v>
      </c>
      <c r="AF1759" s="75" t="s">
        <v>0</v>
      </c>
      <c r="AG1759" s="38" t="s">
        <v>11040</v>
      </c>
    </row>
    <row r="1760" spans="1:33" customFormat="1" ht="6" customHeight="1" x14ac:dyDescent="0.4">
      <c r="A1760" s="4">
        <f>ROW()</f>
        <v>1760</v>
      </c>
      <c r="B1760" s="9" t="s">
        <v>27</v>
      </c>
      <c r="C1760" s="44" t="str">
        <f t="shared" si="917"/>
        <v>p.objetivar</v>
      </c>
      <c r="D1760" s="6" t="str">
        <f t="shared" si="911"/>
        <v>é.ods.07.05</v>
      </c>
      <c r="E1760" s="8" t="s">
        <v>28</v>
      </c>
      <c r="F1760" s="34" t="str">
        <f>F1759</f>
        <v>d.objetivar</v>
      </c>
      <c r="G1760" s="16" t="s">
        <v>10358</v>
      </c>
      <c r="H1760" s="33" t="s">
        <v>1581</v>
      </c>
      <c r="I1760" s="92" t="str">
        <f t="shared" si="910"/>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905"/>
        <v>Propriedade destinada a objetivar: é.ods.07.05</v>
      </c>
      <c r="V1760" s="5" t="str">
        <f t="shared" si="906"/>
        <v>Dado para objetivar:  ods.07.05  Deve ser formatado como (rdfs:Literal  or  xsd:string)</v>
      </c>
      <c r="W1760" s="38" t="s">
        <v>10512</v>
      </c>
      <c r="X1760" s="17" t="str">
        <f t="shared" si="914"/>
        <v>d.objet.166</v>
      </c>
      <c r="Y1760" s="17" t="str">
        <f t="shared" si="915"/>
        <v>Ação de objetivar</v>
      </c>
      <c r="Z1760" s="62" t="s">
        <v>10661</v>
      </c>
      <c r="AA1760" s="18" t="str">
        <f t="shared" si="907"/>
        <v>null</v>
      </c>
      <c r="AB1760" s="19" t="s">
        <v>0</v>
      </c>
      <c r="AC1760" s="18" t="str">
        <f t="shared" si="908"/>
        <v>null</v>
      </c>
      <c r="AD1760" s="19" t="s">
        <v>0</v>
      </c>
      <c r="AE1760" s="18" t="str">
        <f t="shared" si="912"/>
        <v>null</v>
      </c>
      <c r="AF1760" s="75" t="s">
        <v>0</v>
      </c>
      <c r="AG1760" s="38" t="s">
        <v>11041</v>
      </c>
    </row>
    <row r="1761" spans="1:33" customFormat="1" ht="6" customHeight="1" x14ac:dyDescent="0.4">
      <c r="A1761" s="4">
        <f>ROW()</f>
        <v>1761</v>
      </c>
      <c r="B1761" s="9" t="s">
        <v>27</v>
      </c>
      <c r="C1761" s="44" t="str">
        <f t="shared" si="917"/>
        <v>p.objetivar</v>
      </c>
      <c r="D1761" s="6" t="str">
        <f t="shared" si="911"/>
        <v>é.ods.08</v>
      </c>
      <c r="E1761" s="8" t="s">
        <v>28</v>
      </c>
      <c r="F1761" s="34" t="str">
        <f>F1759</f>
        <v>d.objetivar</v>
      </c>
      <c r="G1761" s="16" t="s">
        <v>11042</v>
      </c>
      <c r="H1761" s="33" t="s">
        <v>1581</v>
      </c>
      <c r="I1761" s="92" t="str">
        <f t="shared" si="910"/>
        <v>null</v>
      </c>
      <c r="J1761" s="82" t="s">
        <v>0</v>
      </c>
      <c r="K1761" s="82" t="s">
        <v>0</v>
      </c>
      <c r="L1761" s="82" t="s">
        <v>0</v>
      </c>
      <c r="M1761" s="82" t="s">
        <v>0</v>
      </c>
      <c r="N1761" s="80" t="s">
        <v>0</v>
      </c>
      <c r="O1761" s="82" t="s">
        <v>0</v>
      </c>
      <c r="P1761" s="82" t="s">
        <v>0</v>
      </c>
      <c r="Q1761" s="82" t="s">
        <v>0</v>
      </c>
      <c r="R1761" s="84" t="s">
        <v>1761</v>
      </c>
      <c r="S1761" s="10" t="s">
        <v>1</v>
      </c>
      <c r="T1761" s="10" t="s">
        <v>10221</v>
      </c>
      <c r="U1761" s="5" t="str">
        <f t="shared" si="905"/>
        <v>Propriedade destinada a objetivar: é.ods.08</v>
      </c>
      <c r="V1761" s="5" t="str">
        <f t="shared" si="906"/>
        <v>Dado para objetivar:  ods.08  Deve ser formatado como (rdfs:Literal  or  xsd:string)</v>
      </c>
      <c r="W1761" s="38" t="s">
        <v>11043</v>
      </c>
      <c r="X1761" s="17" t="str">
        <f t="shared" si="914"/>
        <v>d.objet.167</v>
      </c>
      <c r="Y1761" s="17" t="str">
        <f t="shared" si="915"/>
        <v>Ação de objetivar</v>
      </c>
      <c r="Z1761" s="62" t="s">
        <v>11044</v>
      </c>
      <c r="AA1761" s="18" t="str">
        <f t="shared" si="907"/>
        <v>null</v>
      </c>
      <c r="AB1761" s="19" t="s">
        <v>0</v>
      </c>
      <c r="AC1761" s="18" t="str">
        <f t="shared" si="908"/>
        <v>null</v>
      </c>
      <c r="AD1761" s="19" t="s">
        <v>0</v>
      </c>
      <c r="AE1761" s="18" t="str">
        <f t="shared" si="912"/>
        <v>null</v>
      </c>
      <c r="AF1761" s="75" t="s">
        <v>0</v>
      </c>
      <c r="AG1761" s="38" t="s">
        <v>11045</v>
      </c>
    </row>
    <row r="1762" spans="1:33" customFormat="1" ht="6" customHeight="1" x14ac:dyDescent="0.4">
      <c r="A1762" s="4">
        <f>ROW()</f>
        <v>1762</v>
      </c>
      <c r="B1762" s="9" t="s">
        <v>27</v>
      </c>
      <c r="C1762" s="44" t="str">
        <f t="shared" si="917"/>
        <v>p.objetivar</v>
      </c>
      <c r="D1762" s="6" t="str">
        <f t="shared" si="911"/>
        <v>é.ods.08.01</v>
      </c>
      <c r="E1762" s="8" t="s">
        <v>28</v>
      </c>
      <c r="F1762" s="34" t="str">
        <f>F1760</f>
        <v>d.objetivar</v>
      </c>
      <c r="G1762" s="16" t="s">
        <v>10359</v>
      </c>
      <c r="H1762" s="33" t="s">
        <v>1581</v>
      </c>
      <c r="I1762" s="92" t="str">
        <f t="shared" si="910"/>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905"/>
        <v>Propriedade destinada a objetivar: é.ods.08.01</v>
      </c>
      <c r="V1762" s="5" t="str">
        <f t="shared" si="906"/>
        <v>Dado para objetivar:  ods.08.01  Deve ser formatado como (rdfs:Literal  or  xsd:string)</v>
      </c>
      <c r="W1762" s="38" t="s">
        <v>10513</v>
      </c>
      <c r="X1762" s="17" t="str">
        <f t="shared" si="914"/>
        <v>d.objet.168</v>
      </c>
      <c r="Y1762" s="17" t="str">
        <f t="shared" si="915"/>
        <v>Ação de objetivar</v>
      </c>
      <c r="Z1762" s="62" t="s">
        <v>10662</v>
      </c>
      <c r="AA1762" s="18" t="str">
        <f t="shared" si="907"/>
        <v>null</v>
      </c>
      <c r="AB1762" s="19" t="s">
        <v>0</v>
      </c>
      <c r="AC1762" s="18" t="str">
        <f t="shared" si="908"/>
        <v>null</v>
      </c>
      <c r="AD1762" s="19" t="s">
        <v>0</v>
      </c>
      <c r="AE1762" s="18" t="str">
        <f t="shared" si="912"/>
        <v>null</v>
      </c>
      <c r="AF1762" s="75" t="s">
        <v>0</v>
      </c>
      <c r="AG1762" s="38" t="s">
        <v>11046</v>
      </c>
    </row>
    <row r="1763" spans="1:33" customFormat="1" ht="6" customHeight="1" x14ac:dyDescent="0.4">
      <c r="A1763" s="4">
        <f>ROW()</f>
        <v>1763</v>
      </c>
      <c r="B1763" s="9" t="s">
        <v>27</v>
      </c>
      <c r="C1763" s="44" t="str">
        <f t="shared" si="917"/>
        <v>p.objetivar</v>
      </c>
      <c r="D1763" s="6" t="str">
        <f t="shared" si="911"/>
        <v>é.ods.08.02</v>
      </c>
      <c r="E1763" s="8" t="s">
        <v>28</v>
      </c>
      <c r="F1763" s="34" t="str">
        <f t="shared" ref="F1763:F1773" si="919">F1762</f>
        <v>d.objetivar</v>
      </c>
      <c r="G1763" s="16" t="s">
        <v>10360</v>
      </c>
      <c r="H1763" s="33" t="s">
        <v>1581</v>
      </c>
      <c r="I1763" s="92" t="str">
        <f t="shared" si="910"/>
        <v>null</v>
      </c>
      <c r="J1763" s="82" t="s">
        <v>0</v>
      </c>
      <c r="K1763" s="82" t="s">
        <v>0</v>
      </c>
      <c r="L1763" s="82" t="s">
        <v>0</v>
      </c>
      <c r="M1763" s="82" t="s">
        <v>0</v>
      </c>
      <c r="N1763" s="80" t="s">
        <v>0</v>
      </c>
      <c r="O1763" s="82" t="s">
        <v>0</v>
      </c>
      <c r="P1763" s="82" t="s">
        <v>0</v>
      </c>
      <c r="Q1763" s="82" t="s">
        <v>0</v>
      </c>
      <c r="R1763" s="84" t="s">
        <v>0</v>
      </c>
      <c r="S1763" s="10" t="s">
        <v>1</v>
      </c>
      <c r="T1763" s="10" t="s">
        <v>10221</v>
      </c>
      <c r="U1763" s="5" t="str">
        <f t="shared" si="905"/>
        <v>Propriedade destinada a objetivar: é.ods.08.02</v>
      </c>
      <c r="V1763" s="5" t="str">
        <f t="shared" si="906"/>
        <v>Dado para objetivar:  ods.08.02  Deve ser formatado como (rdfs:Literal  or  xsd:string)</v>
      </c>
      <c r="W1763" s="38" t="s">
        <v>10514</v>
      </c>
      <c r="X1763" s="17" t="str">
        <f t="shared" si="914"/>
        <v>d.objet.169</v>
      </c>
      <c r="Y1763" s="17" t="str">
        <f t="shared" si="915"/>
        <v>Ação de objetivar</v>
      </c>
      <c r="Z1763" s="62" t="s">
        <v>10663</v>
      </c>
      <c r="AA1763" s="18" t="str">
        <f t="shared" si="907"/>
        <v>null</v>
      </c>
      <c r="AB1763" s="19" t="s">
        <v>0</v>
      </c>
      <c r="AC1763" s="18" t="str">
        <f t="shared" si="908"/>
        <v>null</v>
      </c>
      <c r="AD1763" s="19" t="s">
        <v>0</v>
      </c>
      <c r="AE1763" s="18" t="str">
        <f t="shared" si="912"/>
        <v>null</v>
      </c>
      <c r="AF1763" s="75" t="s">
        <v>0</v>
      </c>
      <c r="AG1763" s="38" t="s">
        <v>11047</v>
      </c>
    </row>
    <row r="1764" spans="1:33" customFormat="1" ht="6" customHeight="1" x14ac:dyDescent="0.4">
      <c r="A1764" s="4">
        <f>ROW()</f>
        <v>1764</v>
      </c>
      <c r="B1764" s="9" t="s">
        <v>27</v>
      </c>
      <c r="C1764" s="44" t="str">
        <f t="shared" si="917"/>
        <v>p.objetivar</v>
      </c>
      <c r="D1764" s="6" t="str">
        <f t="shared" si="911"/>
        <v>é.ods.08.03</v>
      </c>
      <c r="E1764" s="8" t="s">
        <v>28</v>
      </c>
      <c r="F1764" s="34" t="str">
        <f t="shared" si="919"/>
        <v>d.objetivar</v>
      </c>
      <c r="G1764" s="16" t="s">
        <v>10361</v>
      </c>
      <c r="H1764" s="33" t="s">
        <v>1581</v>
      </c>
      <c r="I1764" s="92" t="str">
        <f t="shared" si="910"/>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905"/>
        <v>Propriedade destinada a objetivar: é.ods.08.03</v>
      </c>
      <c r="V1764" s="5" t="str">
        <f t="shared" si="906"/>
        <v>Dado para objetivar:  ods.08.03  Deve ser formatado como (rdfs:Literal  or  xsd:string)</v>
      </c>
      <c r="W1764" s="38" t="s">
        <v>10515</v>
      </c>
      <c r="X1764" s="17" t="str">
        <f t="shared" si="914"/>
        <v>d.objet.170</v>
      </c>
      <c r="Y1764" s="17" t="str">
        <f t="shared" si="915"/>
        <v>Ação de objetivar</v>
      </c>
      <c r="Z1764" s="62" t="s">
        <v>10664</v>
      </c>
      <c r="AA1764" s="18" t="str">
        <f t="shared" si="907"/>
        <v>null</v>
      </c>
      <c r="AB1764" s="19" t="s">
        <v>0</v>
      </c>
      <c r="AC1764" s="18" t="str">
        <f t="shared" si="908"/>
        <v>null</v>
      </c>
      <c r="AD1764" s="19" t="s">
        <v>0</v>
      </c>
      <c r="AE1764" s="18" t="str">
        <f t="shared" si="912"/>
        <v>null</v>
      </c>
      <c r="AF1764" s="75" t="s">
        <v>0</v>
      </c>
      <c r="AG1764" s="38" t="s">
        <v>11048</v>
      </c>
    </row>
    <row r="1765" spans="1:33" customFormat="1" ht="6" customHeight="1" x14ac:dyDescent="0.4">
      <c r="A1765" s="4">
        <f>ROW()</f>
        <v>1765</v>
      </c>
      <c r="B1765" s="9" t="s">
        <v>27</v>
      </c>
      <c r="C1765" s="44" t="str">
        <f t="shared" si="917"/>
        <v>p.objetivar</v>
      </c>
      <c r="D1765" s="6" t="str">
        <f t="shared" si="911"/>
        <v>é.ods.08.04</v>
      </c>
      <c r="E1765" s="8" t="s">
        <v>28</v>
      </c>
      <c r="F1765" s="34" t="str">
        <f t="shared" si="919"/>
        <v>d.objetivar</v>
      </c>
      <c r="G1765" s="16" t="s">
        <v>10362</v>
      </c>
      <c r="H1765" s="33" t="s">
        <v>1581</v>
      </c>
      <c r="I1765" s="92" t="str">
        <f t="shared" si="910"/>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905"/>
        <v>Propriedade destinada a objetivar: é.ods.08.04</v>
      </c>
      <c r="V1765" s="5" t="str">
        <f t="shared" si="906"/>
        <v>Dado para objetivar:  ods.08.04  Deve ser formatado como (rdfs:Literal  or  xsd:string)</v>
      </c>
      <c r="W1765" s="38" t="s">
        <v>10516</v>
      </c>
      <c r="X1765" s="17" t="str">
        <f t="shared" si="914"/>
        <v>d.objet.171</v>
      </c>
      <c r="Y1765" s="17" t="str">
        <f t="shared" si="915"/>
        <v>Ação de objetivar</v>
      </c>
      <c r="Z1765" s="62" t="s">
        <v>10665</v>
      </c>
      <c r="AA1765" s="18" t="str">
        <f t="shared" si="907"/>
        <v>null</v>
      </c>
      <c r="AB1765" s="19" t="s">
        <v>0</v>
      </c>
      <c r="AC1765" s="18" t="str">
        <f t="shared" si="908"/>
        <v>null</v>
      </c>
      <c r="AD1765" s="19" t="s">
        <v>0</v>
      </c>
      <c r="AE1765" s="18" t="str">
        <f t="shared" si="912"/>
        <v>null</v>
      </c>
      <c r="AF1765" s="75" t="s">
        <v>0</v>
      </c>
      <c r="AG1765" s="38" t="s">
        <v>11049</v>
      </c>
    </row>
    <row r="1766" spans="1:33" customFormat="1" ht="6" customHeight="1" x14ac:dyDescent="0.4">
      <c r="A1766" s="4">
        <f>ROW()</f>
        <v>1766</v>
      </c>
      <c r="B1766" s="9" t="s">
        <v>27</v>
      </c>
      <c r="C1766" s="44" t="str">
        <f t="shared" si="917"/>
        <v>p.objetivar</v>
      </c>
      <c r="D1766" s="6" t="str">
        <f t="shared" si="911"/>
        <v>é.ods.08.05</v>
      </c>
      <c r="E1766" s="8" t="s">
        <v>28</v>
      </c>
      <c r="F1766" s="34" t="str">
        <f t="shared" si="919"/>
        <v>d.objetivar</v>
      </c>
      <c r="G1766" s="16" t="s">
        <v>10363</v>
      </c>
      <c r="H1766" s="33" t="s">
        <v>1581</v>
      </c>
      <c r="I1766" s="92" t="str">
        <f t="shared" si="910"/>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905"/>
        <v>Propriedade destinada a objetivar: é.ods.08.05</v>
      </c>
      <c r="V1766" s="5" t="str">
        <f t="shared" si="906"/>
        <v>Dado para objetivar:  ods.08.05  Deve ser formatado como (rdfs:Literal  or  xsd:string)</v>
      </c>
      <c r="W1766" s="38" t="s">
        <v>10517</v>
      </c>
      <c r="X1766" s="17" t="str">
        <f t="shared" si="914"/>
        <v>d.objet.172</v>
      </c>
      <c r="Y1766" s="17" t="str">
        <f t="shared" si="915"/>
        <v>Ação de objetivar</v>
      </c>
      <c r="Z1766" s="62" t="s">
        <v>10666</v>
      </c>
      <c r="AA1766" s="18" t="str">
        <f t="shared" si="907"/>
        <v>null</v>
      </c>
      <c r="AB1766" s="19" t="s">
        <v>0</v>
      </c>
      <c r="AC1766" s="18" t="str">
        <f t="shared" si="908"/>
        <v>null</v>
      </c>
      <c r="AD1766" s="19" t="s">
        <v>0</v>
      </c>
      <c r="AE1766" s="18" t="str">
        <f t="shared" si="912"/>
        <v>null</v>
      </c>
      <c r="AF1766" s="75" t="s">
        <v>0</v>
      </c>
      <c r="AG1766" s="38" t="s">
        <v>11050</v>
      </c>
    </row>
    <row r="1767" spans="1:33" customFormat="1" ht="6" customHeight="1" x14ac:dyDescent="0.4">
      <c r="A1767" s="4">
        <f>ROW()</f>
        <v>1767</v>
      </c>
      <c r="B1767" s="9" t="s">
        <v>27</v>
      </c>
      <c r="C1767" s="44" t="str">
        <f t="shared" si="917"/>
        <v>p.objetivar</v>
      </c>
      <c r="D1767" s="6" t="str">
        <f t="shared" si="911"/>
        <v>é.ods.08.06</v>
      </c>
      <c r="E1767" s="8" t="s">
        <v>28</v>
      </c>
      <c r="F1767" s="34" t="str">
        <f t="shared" si="919"/>
        <v>d.objetivar</v>
      </c>
      <c r="G1767" s="16" t="s">
        <v>10364</v>
      </c>
      <c r="H1767" s="33" t="s">
        <v>1581</v>
      </c>
      <c r="I1767" s="92" t="str">
        <f t="shared" si="910"/>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905"/>
        <v>Propriedade destinada a objetivar: é.ods.08.06</v>
      </c>
      <c r="V1767" s="5" t="str">
        <f t="shared" si="906"/>
        <v>Dado para objetivar:  ods.08.06  Deve ser formatado como (rdfs:Literal  or  xsd:string)</v>
      </c>
      <c r="W1767" s="38" t="s">
        <v>10518</v>
      </c>
      <c r="X1767" s="17" t="str">
        <f t="shared" si="914"/>
        <v>d.objet.173</v>
      </c>
      <c r="Y1767" s="17" t="str">
        <f t="shared" si="915"/>
        <v>Ação de objetivar</v>
      </c>
      <c r="Z1767" s="62" t="s">
        <v>10667</v>
      </c>
      <c r="AA1767" s="18" t="str">
        <f t="shared" si="907"/>
        <v>null</v>
      </c>
      <c r="AB1767" s="19" t="s">
        <v>0</v>
      </c>
      <c r="AC1767" s="18" t="str">
        <f t="shared" si="908"/>
        <v>null</v>
      </c>
      <c r="AD1767" s="19" t="s">
        <v>0</v>
      </c>
      <c r="AE1767" s="18" t="str">
        <f t="shared" si="912"/>
        <v>null</v>
      </c>
      <c r="AF1767" s="75" t="s">
        <v>0</v>
      </c>
      <c r="AG1767" s="38" t="s">
        <v>11051</v>
      </c>
    </row>
    <row r="1768" spans="1:33" customFormat="1" ht="6" customHeight="1" x14ac:dyDescent="0.4">
      <c r="A1768" s="4">
        <f>ROW()</f>
        <v>1768</v>
      </c>
      <c r="B1768" s="9" t="s">
        <v>27</v>
      </c>
      <c r="C1768" s="44" t="str">
        <f t="shared" si="917"/>
        <v>p.objetivar</v>
      </c>
      <c r="D1768" s="6" t="str">
        <f t="shared" si="911"/>
        <v>é.ods.08.07</v>
      </c>
      <c r="E1768" s="8" t="s">
        <v>28</v>
      </c>
      <c r="F1768" s="34" t="str">
        <f t="shared" si="919"/>
        <v>d.objetivar</v>
      </c>
      <c r="G1768" s="16" t="s">
        <v>10365</v>
      </c>
      <c r="H1768" s="33" t="s">
        <v>1581</v>
      </c>
      <c r="I1768" s="92" t="str">
        <f t="shared" si="910"/>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905"/>
        <v>Propriedade destinada a objetivar: é.ods.08.07</v>
      </c>
      <c r="V1768" s="5" t="str">
        <f t="shared" si="906"/>
        <v>Dado para objetivar:  ods.08.07  Deve ser formatado como (rdfs:Literal  or  xsd:string)</v>
      </c>
      <c r="W1768" s="38" t="s">
        <v>10519</v>
      </c>
      <c r="X1768" s="17" t="str">
        <f t="shared" si="914"/>
        <v>d.objet.174</v>
      </c>
      <c r="Y1768" s="17" t="str">
        <f t="shared" si="915"/>
        <v>Ação de objetivar</v>
      </c>
      <c r="Z1768" s="62" t="s">
        <v>10668</v>
      </c>
      <c r="AA1768" s="18" t="str">
        <f t="shared" si="907"/>
        <v>null</v>
      </c>
      <c r="AB1768" s="19" t="s">
        <v>0</v>
      </c>
      <c r="AC1768" s="18" t="str">
        <f t="shared" si="908"/>
        <v>null</v>
      </c>
      <c r="AD1768" s="19" t="s">
        <v>0</v>
      </c>
      <c r="AE1768" s="18" t="str">
        <f t="shared" si="912"/>
        <v>null</v>
      </c>
      <c r="AF1768" s="75" t="s">
        <v>0</v>
      </c>
      <c r="AG1768" s="38" t="s">
        <v>11052</v>
      </c>
    </row>
    <row r="1769" spans="1:33" customFormat="1" ht="6" customHeight="1" x14ac:dyDescent="0.4">
      <c r="A1769" s="4">
        <f>ROW()</f>
        <v>1769</v>
      </c>
      <c r="B1769" s="9" t="s">
        <v>27</v>
      </c>
      <c r="C1769" s="44" t="str">
        <f t="shared" si="917"/>
        <v>p.objetivar</v>
      </c>
      <c r="D1769" s="6" t="str">
        <f t="shared" si="911"/>
        <v>é.ods.08.08</v>
      </c>
      <c r="E1769" s="8" t="s">
        <v>28</v>
      </c>
      <c r="F1769" s="34" t="str">
        <f t="shared" si="919"/>
        <v>d.objetivar</v>
      </c>
      <c r="G1769" s="16" t="s">
        <v>10366</v>
      </c>
      <c r="H1769" s="33" t="s">
        <v>1581</v>
      </c>
      <c r="I1769" s="92" t="str">
        <f t="shared" si="910"/>
        <v>null</v>
      </c>
      <c r="J1769" s="82" t="s">
        <v>0</v>
      </c>
      <c r="K1769" s="82" t="s">
        <v>0</v>
      </c>
      <c r="L1769" s="82" t="s">
        <v>0</v>
      </c>
      <c r="M1769" s="82" t="s">
        <v>0</v>
      </c>
      <c r="N1769" s="80" t="s">
        <v>0</v>
      </c>
      <c r="O1769" s="82" t="s">
        <v>0</v>
      </c>
      <c r="P1769" s="82" t="s">
        <v>0</v>
      </c>
      <c r="Q1769" s="82" t="s">
        <v>0</v>
      </c>
      <c r="R1769" s="84" t="s">
        <v>0</v>
      </c>
      <c r="S1769" s="10" t="s">
        <v>1</v>
      </c>
      <c r="T1769" s="10" t="s">
        <v>10221</v>
      </c>
      <c r="U1769" s="5" t="str">
        <f t="shared" si="905"/>
        <v>Propriedade destinada a objetivar: é.ods.08.08</v>
      </c>
      <c r="V1769" s="5" t="str">
        <f t="shared" si="906"/>
        <v>Dado para objetivar:  ods.08.08  Deve ser formatado como (rdfs:Literal  or  xsd:string)</v>
      </c>
      <c r="W1769" s="38" t="s">
        <v>10520</v>
      </c>
      <c r="X1769" s="17" t="str">
        <f t="shared" si="914"/>
        <v>d.objet.175</v>
      </c>
      <c r="Y1769" s="17" t="str">
        <f t="shared" si="915"/>
        <v>Ação de objetivar</v>
      </c>
      <c r="Z1769" s="62" t="s">
        <v>10669</v>
      </c>
      <c r="AA1769" s="18" t="str">
        <f t="shared" si="907"/>
        <v>null</v>
      </c>
      <c r="AB1769" s="19" t="s">
        <v>0</v>
      </c>
      <c r="AC1769" s="18" t="str">
        <f t="shared" si="908"/>
        <v>null</v>
      </c>
      <c r="AD1769" s="19" t="s">
        <v>0</v>
      </c>
      <c r="AE1769" s="18" t="str">
        <f t="shared" si="912"/>
        <v>null</v>
      </c>
      <c r="AF1769" s="75" t="s">
        <v>0</v>
      </c>
      <c r="AG1769" s="38" t="s">
        <v>11053</v>
      </c>
    </row>
    <row r="1770" spans="1:33" customFormat="1" ht="6" customHeight="1" x14ac:dyDescent="0.4">
      <c r="A1770" s="4">
        <f>ROW()</f>
        <v>1770</v>
      </c>
      <c r="B1770" s="9" t="s">
        <v>27</v>
      </c>
      <c r="C1770" s="44" t="str">
        <f t="shared" si="917"/>
        <v>p.objetivar</v>
      </c>
      <c r="D1770" s="6" t="str">
        <f t="shared" si="911"/>
        <v>é.ods.08.09</v>
      </c>
      <c r="E1770" s="8" t="s">
        <v>28</v>
      </c>
      <c r="F1770" s="34" t="str">
        <f t="shared" si="919"/>
        <v>d.objetivar</v>
      </c>
      <c r="G1770" s="16" t="s">
        <v>10367</v>
      </c>
      <c r="H1770" s="33" t="s">
        <v>1581</v>
      </c>
      <c r="I1770" s="92" t="str">
        <f t="shared" si="910"/>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905"/>
        <v>Propriedade destinada a objetivar: é.ods.08.09</v>
      </c>
      <c r="V1770" s="5" t="str">
        <f t="shared" si="906"/>
        <v>Dado para objetivar:  ods.08.09  Deve ser formatado como (rdfs:Literal  or  xsd:string)</v>
      </c>
      <c r="W1770" s="38" t="s">
        <v>10521</v>
      </c>
      <c r="X1770" s="17" t="str">
        <f t="shared" si="914"/>
        <v>d.objet.176</v>
      </c>
      <c r="Y1770" s="17" t="str">
        <f t="shared" si="915"/>
        <v>Ação de objetivar</v>
      </c>
      <c r="Z1770" s="62" t="s">
        <v>10670</v>
      </c>
      <c r="AA1770" s="18" t="str">
        <f t="shared" si="907"/>
        <v>null</v>
      </c>
      <c r="AB1770" s="19" t="s">
        <v>0</v>
      </c>
      <c r="AC1770" s="18" t="str">
        <f t="shared" si="908"/>
        <v>null</v>
      </c>
      <c r="AD1770" s="19" t="s">
        <v>0</v>
      </c>
      <c r="AE1770" s="18" t="str">
        <f t="shared" si="912"/>
        <v>null</v>
      </c>
      <c r="AF1770" s="75" t="s">
        <v>0</v>
      </c>
      <c r="AG1770" s="38" t="s">
        <v>11054</v>
      </c>
    </row>
    <row r="1771" spans="1:33" customFormat="1" ht="6" customHeight="1" x14ac:dyDescent="0.4">
      <c r="A1771" s="4">
        <f>ROW()</f>
        <v>1771</v>
      </c>
      <c r="B1771" s="9" t="s">
        <v>27</v>
      </c>
      <c r="C1771" s="44" t="str">
        <f t="shared" si="917"/>
        <v>p.objetivar</v>
      </c>
      <c r="D1771" s="6" t="str">
        <f t="shared" si="911"/>
        <v>é.ods.08.10</v>
      </c>
      <c r="E1771" s="8" t="s">
        <v>28</v>
      </c>
      <c r="F1771" s="34" t="str">
        <f t="shared" si="919"/>
        <v>d.objetivar</v>
      </c>
      <c r="G1771" s="16" t="s">
        <v>10368</v>
      </c>
      <c r="H1771" s="33" t="s">
        <v>1581</v>
      </c>
      <c r="I1771" s="92" t="str">
        <f t="shared" si="910"/>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905"/>
        <v>Propriedade destinada a objetivar: é.ods.08.10</v>
      </c>
      <c r="V1771" s="5" t="str">
        <f t="shared" si="906"/>
        <v>Dado para objetivar:  ods.08.10  Deve ser formatado como (rdfs:Literal  or  xsd:string)</v>
      </c>
      <c r="W1771" s="38" t="s">
        <v>10522</v>
      </c>
      <c r="X1771" s="17" t="str">
        <f t="shared" si="914"/>
        <v>d.objet.177</v>
      </c>
      <c r="Y1771" s="17" t="str">
        <f t="shared" si="915"/>
        <v>Ação de objetivar</v>
      </c>
      <c r="Z1771" s="62" t="s">
        <v>10671</v>
      </c>
      <c r="AA1771" s="18" t="str">
        <f t="shared" si="907"/>
        <v>null</v>
      </c>
      <c r="AB1771" s="19" t="s">
        <v>0</v>
      </c>
      <c r="AC1771" s="18" t="str">
        <f t="shared" si="908"/>
        <v>null</v>
      </c>
      <c r="AD1771" s="19" t="s">
        <v>0</v>
      </c>
      <c r="AE1771" s="18" t="str">
        <f t="shared" si="912"/>
        <v>null</v>
      </c>
      <c r="AF1771" s="75" t="s">
        <v>0</v>
      </c>
      <c r="AG1771" s="38" t="s">
        <v>11055</v>
      </c>
    </row>
    <row r="1772" spans="1:33" customFormat="1" ht="6" customHeight="1" x14ac:dyDescent="0.4">
      <c r="A1772" s="4">
        <f>ROW()</f>
        <v>1772</v>
      </c>
      <c r="B1772" s="9" t="s">
        <v>27</v>
      </c>
      <c r="C1772" s="44" t="str">
        <f t="shared" si="917"/>
        <v>p.objetivar</v>
      </c>
      <c r="D1772" s="6" t="str">
        <f t="shared" si="911"/>
        <v>é.ods.08.11</v>
      </c>
      <c r="E1772" s="8" t="s">
        <v>28</v>
      </c>
      <c r="F1772" s="34" t="str">
        <f t="shared" si="919"/>
        <v>d.objetivar</v>
      </c>
      <c r="G1772" s="16" t="s">
        <v>10369</v>
      </c>
      <c r="H1772" s="33" t="s">
        <v>1581</v>
      </c>
      <c r="I1772" s="92" t="str">
        <f t="shared" si="910"/>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905"/>
        <v>Propriedade destinada a objetivar: é.ods.08.11</v>
      </c>
      <c r="V1772" s="5" t="str">
        <f t="shared" si="906"/>
        <v>Dado para objetivar:  ods.08.11  Deve ser formatado como (rdfs:Literal  or  xsd:string)</v>
      </c>
      <c r="W1772" s="38" t="s">
        <v>10523</v>
      </c>
      <c r="X1772" s="17" t="str">
        <f t="shared" si="914"/>
        <v>d.objet.178</v>
      </c>
      <c r="Y1772" s="17" t="str">
        <f t="shared" si="915"/>
        <v>Ação de objetivar</v>
      </c>
      <c r="Z1772" s="62" t="s">
        <v>10672</v>
      </c>
      <c r="AA1772" s="18" t="str">
        <f t="shared" si="907"/>
        <v>null</v>
      </c>
      <c r="AB1772" s="19" t="s">
        <v>0</v>
      </c>
      <c r="AC1772" s="18" t="str">
        <f t="shared" si="908"/>
        <v>null</v>
      </c>
      <c r="AD1772" s="19" t="s">
        <v>0</v>
      </c>
      <c r="AE1772" s="18" t="str">
        <f t="shared" si="912"/>
        <v>null</v>
      </c>
      <c r="AF1772" s="75" t="s">
        <v>0</v>
      </c>
      <c r="AG1772" s="38" t="s">
        <v>11056</v>
      </c>
    </row>
    <row r="1773" spans="1:33" customFormat="1" ht="6" customHeight="1" x14ac:dyDescent="0.4">
      <c r="A1773" s="4">
        <f>ROW()</f>
        <v>1773</v>
      </c>
      <c r="B1773" s="9" t="s">
        <v>27</v>
      </c>
      <c r="C1773" s="44" t="str">
        <f t="shared" si="917"/>
        <v>p.objetivar</v>
      </c>
      <c r="D1773" s="6" t="str">
        <f t="shared" si="911"/>
        <v>é.ods.08.12</v>
      </c>
      <c r="E1773" s="8" t="s">
        <v>28</v>
      </c>
      <c r="F1773" s="34" t="str">
        <f t="shared" si="919"/>
        <v>d.objetivar</v>
      </c>
      <c r="G1773" s="16" t="s">
        <v>10370</v>
      </c>
      <c r="H1773" s="33" t="s">
        <v>1581</v>
      </c>
      <c r="I1773" s="92" t="str">
        <f t="shared" si="910"/>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905"/>
        <v>Propriedade destinada a objetivar: é.ods.08.12</v>
      </c>
      <c r="V1773" s="5" t="str">
        <f t="shared" si="906"/>
        <v>Dado para objetivar:  ods.08.12  Deve ser formatado como (rdfs:Literal  or  xsd:string)</v>
      </c>
      <c r="W1773" s="38" t="s">
        <v>10524</v>
      </c>
      <c r="X1773" s="17" t="str">
        <f t="shared" si="914"/>
        <v>d.objet.179</v>
      </c>
      <c r="Y1773" s="17" t="str">
        <f t="shared" si="915"/>
        <v>Ação de objetivar</v>
      </c>
      <c r="Z1773" s="62" t="s">
        <v>10673</v>
      </c>
      <c r="AA1773" s="18" t="str">
        <f t="shared" si="907"/>
        <v>null</v>
      </c>
      <c r="AB1773" s="19" t="s">
        <v>0</v>
      </c>
      <c r="AC1773" s="18" t="str">
        <f t="shared" si="908"/>
        <v>null</v>
      </c>
      <c r="AD1773" s="19" t="s">
        <v>0</v>
      </c>
      <c r="AE1773" s="18" t="str">
        <f t="shared" si="912"/>
        <v>null</v>
      </c>
      <c r="AF1773" s="75" t="s">
        <v>0</v>
      </c>
      <c r="AG1773" s="38" t="s">
        <v>11057</v>
      </c>
    </row>
    <row r="1774" spans="1:33" customFormat="1" ht="6" customHeight="1" x14ac:dyDescent="0.4">
      <c r="A1774" s="4">
        <f>ROW()</f>
        <v>1774</v>
      </c>
      <c r="B1774" s="9" t="s">
        <v>27</v>
      </c>
      <c r="C1774" s="44" t="str">
        <f t="shared" si="917"/>
        <v>p.objetivar</v>
      </c>
      <c r="D1774" s="6" t="str">
        <f t="shared" si="911"/>
        <v>é.ods.09</v>
      </c>
      <c r="E1774" s="8" t="s">
        <v>28</v>
      </c>
      <c r="F1774" s="34" t="str">
        <f>F1772</f>
        <v>d.objetivar</v>
      </c>
      <c r="G1774" s="16" t="s">
        <v>11058</v>
      </c>
      <c r="H1774" s="33" t="s">
        <v>1581</v>
      </c>
      <c r="I1774" s="92" t="str">
        <f t="shared" si="910"/>
        <v>null</v>
      </c>
      <c r="J1774" s="82" t="s">
        <v>0</v>
      </c>
      <c r="K1774" s="82" t="s">
        <v>0</v>
      </c>
      <c r="L1774" s="82" t="s">
        <v>0</v>
      </c>
      <c r="M1774" s="82" t="s">
        <v>0</v>
      </c>
      <c r="N1774" s="80" t="s">
        <v>0</v>
      </c>
      <c r="O1774" s="82" t="s">
        <v>0</v>
      </c>
      <c r="P1774" s="82" t="s">
        <v>0</v>
      </c>
      <c r="Q1774" s="82" t="s">
        <v>0</v>
      </c>
      <c r="R1774" s="84" t="s">
        <v>1761</v>
      </c>
      <c r="S1774" s="10" t="s">
        <v>1</v>
      </c>
      <c r="T1774" s="10" t="s">
        <v>10221</v>
      </c>
      <c r="U1774" s="5" t="str">
        <f t="shared" si="905"/>
        <v>Propriedade destinada a objetivar: é.ods.09</v>
      </c>
      <c r="V1774" s="5" t="str">
        <f t="shared" si="906"/>
        <v>Dado para objetivar:  ods.09  Deve ser formatado como (rdfs:Literal  or  xsd:string)</v>
      </c>
      <c r="W1774" s="38" t="s">
        <v>11059</v>
      </c>
      <c r="X1774" s="17" t="str">
        <f t="shared" si="914"/>
        <v>d.objet.180</v>
      </c>
      <c r="Y1774" s="17" t="str">
        <f t="shared" si="915"/>
        <v>Ação de objetivar</v>
      </c>
      <c r="Z1774" s="62" t="s">
        <v>11060</v>
      </c>
      <c r="AA1774" s="18" t="str">
        <f t="shared" si="907"/>
        <v>null</v>
      </c>
      <c r="AB1774" s="19" t="s">
        <v>0</v>
      </c>
      <c r="AC1774" s="18" t="str">
        <f t="shared" si="908"/>
        <v>null</v>
      </c>
      <c r="AD1774" s="19" t="s">
        <v>0</v>
      </c>
      <c r="AE1774" s="18" t="str">
        <f t="shared" si="912"/>
        <v>null</v>
      </c>
      <c r="AF1774" s="75" t="s">
        <v>0</v>
      </c>
      <c r="AG1774" s="38" t="s">
        <v>11061</v>
      </c>
    </row>
    <row r="1775" spans="1:33" customFormat="1" ht="6" customHeight="1" x14ac:dyDescent="0.4">
      <c r="A1775" s="4">
        <f>ROW()</f>
        <v>1775</v>
      </c>
      <c r="B1775" s="9" t="s">
        <v>27</v>
      </c>
      <c r="C1775" s="44" t="str">
        <f t="shared" si="917"/>
        <v>p.objetivar</v>
      </c>
      <c r="D1775" s="6" t="str">
        <f t="shared" si="911"/>
        <v>é.ods.09.01</v>
      </c>
      <c r="E1775" s="8" t="s">
        <v>28</v>
      </c>
      <c r="F1775" s="34" t="str">
        <f>F1773</f>
        <v>d.objetivar</v>
      </c>
      <c r="G1775" s="16" t="s">
        <v>10371</v>
      </c>
      <c r="H1775" s="33" t="s">
        <v>1581</v>
      </c>
      <c r="I1775" s="92" t="str">
        <f t="shared" si="910"/>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905"/>
        <v>Propriedade destinada a objetivar: é.ods.09.01</v>
      </c>
      <c r="V1775" s="5" t="str">
        <f t="shared" si="906"/>
        <v>Dado para objetivar:  ods.09.01  Deve ser formatado como (rdfs:Literal  or  xsd:string)</v>
      </c>
      <c r="W1775" s="38" t="s">
        <v>10525</v>
      </c>
      <c r="X1775" s="17" t="str">
        <f t="shared" si="914"/>
        <v>d.objet.181</v>
      </c>
      <c r="Y1775" s="17" t="str">
        <f t="shared" si="915"/>
        <v>Ação de objetivar</v>
      </c>
      <c r="Z1775" s="62" t="s">
        <v>10674</v>
      </c>
      <c r="AA1775" s="18" t="str">
        <f t="shared" si="907"/>
        <v>null</v>
      </c>
      <c r="AB1775" s="19" t="s">
        <v>0</v>
      </c>
      <c r="AC1775" s="18" t="str">
        <f t="shared" si="908"/>
        <v>null</v>
      </c>
      <c r="AD1775" s="19" t="s">
        <v>0</v>
      </c>
      <c r="AE1775" s="18" t="str">
        <f t="shared" si="912"/>
        <v>null</v>
      </c>
      <c r="AF1775" s="75" t="s">
        <v>0</v>
      </c>
      <c r="AG1775" s="38" t="s">
        <v>11062</v>
      </c>
    </row>
    <row r="1776" spans="1:33" customFormat="1" ht="6" customHeight="1" x14ac:dyDescent="0.4">
      <c r="A1776" s="4">
        <f>ROW()</f>
        <v>1776</v>
      </c>
      <c r="B1776" s="9" t="s">
        <v>27</v>
      </c>
      <c r="C1776" s="44" t="str">
        <f t="shared" si="917"/>
        <v>p.objetivar</v>
      </c>
      <c r="D1776" s="6" t="str">
        <f t="shared" si="911"/>
        <v>é.ods.09.02</v>
      </c>
      <c r="E1776" s="8" t="s">
        <v>28</v>
      </c>
      <c r="F1776" s="34" t="str">
        <f t="shared" ref="F1776:F1782" si="920">F1775</f>
        <v>d.objetivar</v>
      </c>
      <c r="G1776" s="16" t="s">
        <v>10372</v>
      </c>
      <c r="H1776" s="33" t="s">
        <v>1581</v>
      </c>
      <c r="I1776" s="92" t="str">
        <f t="shared" si="910"/>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905"/>
        <v>Propriedade destinada a objetivar: é.ods.09.02</v>
      </c>
      <c r="V1776" s="5" t="str">
        <f t="shared" si="906"/>
        <v>Dado para objetivar:  ods.09.02  Deve ser formatado como (rdfs:Literal  or  xsd:string)</v>
      </c>
      <c r="W1776" s="38" t="s">
        <v>10526</v>
      </c>
      <c r="X1776" s="17" t="str">
        <f t="shared" si="914"/>
        <v>d.objet.182</v>
      </c>
      <c r="Y1776" s="17" t="str">
        <f t="shared" si="915"/>
        <v>Ação de objetivar</v>
      </c>
      <c r="Z1776" s="62" t="s">
        <v>10675</v>
      </c>
      <c r="AA1776" s="18" t="str">
        <f t="shared" si="907"/>
        <v>null</v>
      </c>
      <c r="AB1776" s="19" t="s">
        <v>0</v>
      </c>
      <c r="AC1776" s="18" t="str">
        <f t="shared" si="908"/>
        <v>null</v>
      </c>
      <c r="AD1776" s="19" t="s">
        <v>0</v>
      </c>
      <c r="AE1776" s="18" t="str">
        <f t="shared" si="912"/>
        <v>null</v>
      </c>
      <c r="AF1776" s="75" t="s">
        <v>0</v>
      </c>
      <c r="AG1776" s="38" t="s">
        <v>11063</v>
      </c>
    </row>
    <row r="1777" spans="1:33" customFormat="1" ht="6" customHeight="1" x14ac:dyDescent="0.4">
      <c r="A1777" s="4">
        <f>ROW()</f>
        <v>1777</v>
      </c>
      <c r="B1777" s="9" t="s">
        <v>27</v>
      </c>
      <c r="C1777" s="44" t="str">
        <f t="shared" si="917"/>
        <v>p.objetivar</v>
      </c>
      <c r="D1777" s="6" t="str">
        <f t="shared" si="911"/>
        <v>é.ods.09.03</v>
      </c>
      <c r="E1777" s="8" t="s">
        <v>28</v>
      </c>
      <c r="F1777" s="34" t="str">
        <f t="shared" si="920"/>
        <v>d.objetivar</v>
      </c>
      <c r="G1777" s="16" t="s">
        <v>10373</v>
      </c>
      <c r="H1777" s="33" t="s">
        <v>1581</v>
      </c>
      <c r="I1777" s="92" t="str">
        <f t="shared" si="910"/>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905"/>
        <v>Propriedade destinada a objetivar: é.ods.09.03</v>
      </c>
      <c r="V1777" s="5" t="str">
        <f t="shared" si="906"/>
        <v>Dado para objetivar:  ods.09.03  Deve ser formatado como (rdfs:Literal  or  xsd:string)</v>
      </c>
      <c r="W1777" s="38" t="s">
        <v>10527</v>
      </c>
      <c r="X1777" s="17" t="str">
        <f t="shared" si="914"/>
        <v>d.objet.183</v>
      </c>
      <c r="Y1777" s="17" t="str">
        <f t="shared" si="915"/>
        <v>Ação de objetivar</v>
      </c>
      <c r="Z1777" s="62" t="s">
        <v>10676</v>
      </c>
      <c r="AA1777" s="18" t="str">
        <f t="shared" si="907"/>
        <v>null</v>
      </c>
      <c r="AB1777" s="19" t="s">
        <v>0</v>
      </c>
      <c r="AC1777" s="18" t="str">
        <f t="shared" si="908"/>
        <v>null</v>
      </c>
      <c r="AD1777" s="19" t="s">
        <v>0</v>
      </c>
      <c r="AE1777" s="18" t="str">
        <f t="shared" si="912"/>
        <v>null</v>
      </c>
      <c r="AF1777" s="75" t="s">
        <v>0</v>
      </c>
      <c r="AG1777" s="38" t="s">
        <v>11064</v>
      </c>
    </row>
    <row r="1778" spans="1:33" customFormat="1" ht="6" customHeight="1" x14ac:dyDescent="0.4">
      <c r="A1778" s="4">
        <f>ROW()</f>
        <v>1778</v>
      </c>
      <c r="B1778" s="9" t="s">
        <v>27</v>
      </c>
      <c r="C1778" s="44" t="str">
        <f t="shared" si="917"/>
        <v>p.objetivar</v>
      </c>
      <c r="D1778" s="6" t="str">
        <f t="shared" si="911"/>
        <v>é.ods.09.04</v>
      </c>
      <c r="E1778" s="8" t="s">
        <v>28</v>
      </c>
      <c r="F1778" s="34" t="str">
        <f t="shared" si="920"/>
        <v>d.objetivar</v>
      </c>
      <c r="G1778" s="16" t="s">
        <v>10374</v>
      </c>
      <c r="H1778" s="33" t="s">
        <v>1581</v>
      </c>
      <c r="I1778" s="92" t="str">
        <f t="shared" si="910"/>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905"/>
        <v>Propriedade destinada a objetivar: é.ods.09.04</v>
      </c>
      <c r="V1778" s="5" t="str">
        <f t="shared" si="906"/>
        <v>Dado para objetivar:  ods.09.04  Deve ser formatado como (rdfs:Literal  or  xsd:string)</v>
      </c>
      <c r="W1778" s="38" t="s">
        <v>10528</v>
      </c>
      <c r="X1778" s="17" t="str">
        <f t="shared" si="914"/>
        <v>d.objet.184</v>
      </c>
      <c r="Y1778" s="17" t="str">
        <f t="shared" si="915"/>
        <v>Ação de objetivar</v>
      </c>
      <c r="Z1778" s="62" t="s">
        <v>10677</v>
      </c>
      <c r="AA1778" s="18" t="str">
        <f t="shared" si="907"/>
        <v>null</v>
      </c>
      <c r="AB1778" s="19" t="s">
        <v>0</v>
      </c>
      <c r="AC1778" s="18" t="str">
        <f t="shared" si="908"/>
        <v>null</v>
      </c>
      <c r="AD1778" s="19" t="s">
        <v>0</v>
      </c>
      <c r="AE1778" s="18" t="str">
        <f t="shared" si="912"/>
        <v>null</v>
      </c>
      <c r="AF1778" s="75" t="s">
        <v>0</v>
      </c>
      <c r="AG1778" s="38" t="s">
        <v>11065</v>
      </c>
    </row>
    <row r="1779" spans="1:33" customFormat="1" ht="6" customHeight="1" x14ac:dyDescent="0.4">
      <c r="A1779" s="4">
        <f>ROW()</f>
        <v>1779</v>
      </c>
      <c r="B1779" s="9" t="s">
        <v>27</v>
      </c>
      <c r="C1779" s="44" t="str">
        <f t="shared" si="917"/>
        <v>p.objetivar</v>
      </c>
      <c r="D1779" s="6" t="str">
        <f t="shared" si="911"/>
        <v>é.ods.09.05</v>
      </c>
      <c r="E1779" s="8" t="s">
        <v>28</v>
      </c>
      <c r="F1779" s="34" t="str">
        <f t="shared" si="920"/>
        <v>d.objetivar</v>
      </c>
      <c r="G1779" s="16" t="s">
        <v>10375</v>
      </c>
      <c r="H1779" s="33" t="s">
        <v>1581</v>
      </c>
      <c r="I1779" s="92" t="str">
        <f t="shared" si="910"/>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905"/>
        <v>Propriedade destinada a objetivar: é.ods.09.05</v>
      </c>
      <c r="V1779" s="5" t="str">
        <f t="shared" si="906"/>
        <v>Dado para objetivar:  ods.09.05  Deve ser formatado como (rdfs:Literal  or  xsd:string)</v>
      </c>
      <c r="W1779" s="38" t="s">
        <v>10529</v>
      </c>
      <c r="X1779" s="17" t="str">
        <f t="shared" si="914"/>
        <v>d.objet.185</v>
      </c>
      <c r="Y1779" s="17" t="str">
        <f t="shared" si="915"/>
        <v>Ação de objetivar</v>
      </c>
      <c r="Z1779" s="62" t="s">
        <v>10678</v>
      </c>
      <c r="AA1779" s="18" t="str">
        <f t="shared" si="907"/>
        <v>null</v>
      </c>
      <c r="AB1779" s="19" t="s">
        <v>0</v>
      </c>
      <c r="AC1779" s="18" t="str">
        <f t="shared" si="908"/>
        <v>null</v>
      </c>
      <c r="AD1779" s="19" t="s">
        <v>0</v>
      </c>
      <c r="AE1779" s="18" t="str">
        <f t="shared" si="912"/>
        <v>null</v>
      </c>
      <c r="AF1779" s="75" t="s">
        <v>0</v>
      </c>
      <c r="AG1779" s="38" t="s">
        <v>11066</v>
      </c>
    </row>
    <row r="1780" spans="1:33" customFormat="1" ht="6" customHeight="1" x14ac:dyDescent="0.4">
      <c r="A1780" s="4">
        <f>ROW()</f>
        <v>1780</v>
      </c>
      <c r="B1780" s="9" t="s">
        <v>27</v>
      </c>
      <c r="C1780" s="44" t="str">
        <f t="shared" si="917"/>
        <v>p.objetivar</v>
      </c>
      <c r="D1780" s="6" t="str">
        <f t="shared" si="911"/>
        <v>é.ods.09.06</v>
      </c>
      <c r="E1780" s="8" t="s">
        <v>28</v>
      </c>
      <c r="F1780" s="34" t="str">
        <f t="shared" si="920"/>
        <v>d.objetivar</v>
      </c>
      <c r="G1780" s="16" t="s">
        <v>10376</v>
      </c>
      <c r="H1780" s="33" t="s">
        <v>1581</v>
      </c>
      <c r="I1780" s="92" t="str">
        <f t="shared" si="910"/>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905"/>
        <v>Propriedade destinada a objetivar: é.ods.09.06</v>
      </c>
      <c r="V1780" s="5" t="str">
        <f t="shared" si="906"/>
        <v>Dado para objetivar:  ods.09.06  Deve ser formatado como (rdfs:Literal  or  xsd:string)</v>
      </c>
      <c r="W1780" s="38" t="s">
        <v>10530</v>
      </c>
      <c r="X1780" s="17" t="str">
        <f t="shared" si="914"/>
        <v>d.objet.186</v>
      </c>
      <c r="Y1780" s="17" t="str">
        <f t="shared" si="915"/>
        <v>Ação de objetivar</v>
      </c>
      <c r="Z1780" s="62" t="s">
        <v>10679</v>
      </c>
      <c r="AA1780" s="18" t="str">
        <f t="shared" si="907"/>
        <v>null</v>
      </c>
      <c r="AB1780" s="19" t="s">
        <v>0</v>
      </c>
      <c r="AC1780" s="18" t="str">
        <f t="shared" si="908"/>
        <v>null</v>
      </c>
      <c r="AD1780" s="19" t="s">
        <v>0</v>
      </c>
      <c r="AE1780" s="18" t="str">
        <f t="shared" si="912"/>
        <v>null</v>
      </c>
      <c r="AF1780" s="75" t="s">
        <v>0</v>
      </c>
      <c r="AG1780" s="38" t="s">
        <v>11067</v>
      </c>
    </row>
    <row r="1781" spans="1:33" customFormat="1" ht="6" customHeight="1" x14ac:dyDescent="0.4">
      <c r="A1781" s="4">
        <f>ROW()</f>
        <v>1781</v>
      </c>
      <c r="B1781" s="9" t="s">
        <v>27</v>
      </c>
      <c r="C1781" s="44" t="str">
        <f t="shared" si="917"/>
        <v>p.objetivar</v>
      </c>
      <c r="D1781" s="6" t="str">
        <f t="shared" si="911"/>
        <v>é.ods.09.07</v>
      </c>
      <c r="E1781" s="8" t="s">
        <v>28</v>
      </c>
      <c r="F1781" s="34" t="str">
        <f t="shared" si="920"/>
        <v>d.objetivar</v>
      </c>
      <c r="G1781" s="16" t="s">
        <v>10377</v>
      </c>
      <c r="H1781" s="33" t="s">
        <v>1581</v>
      </c>
      <c r="I1781" s="92" t="str">
        <f t="shared" si="910"/>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905"/>
        <v>Propriedade destinada a objetivar: é.ods.09.07</v>
      </c>
      <c r="V1781" s="5" t="str">
        <f t="shared" si="906"/>
        <v>Dado para objetivar:  ods.09.07  Deve ser formatado como (rdfs:Literal  or  xsd:string)</v>
      </c>
      <c r="W1781" s="38" t="s">
        <v>10531</v>
      </c>
      <c r="X1781" s="17" t="str">
        <f t="shared" si="914"/>
        <v>d.objet.187</v>
      </c>
      <c r="Y1781" s="17" t="str">
        <f t="shared" si="915"/>
        <v>Ação de objetivar</v>
      </c>
      <c r="Z1781" s="62" t="s">
        <v>10680</v>
      </c>
      <c r="AA1781" s="18" t="str">
        <f t="shared" si="907"/>
        <v>null</v>
      </c>
      <c r="AB1781" s="19" t="s">
        <v>0</v>
      </c>
      <c r="AC1781" s="18" t="str">
        <f t="shared" si="908"/>
        <v>null</v>
      </c>
      <c r="AD1781" s="19" t="s">
        <v>0</v>
      </c>
      <c r="AE1781" s="18" t="str">
        <f t="shared" si="912"/>
        <v>null</v>
      </c>
      <c r="AF1781" s="75" t="s">
        <v>0</v>
      </c>
      <c r="AG1781" s="38" t="s">
        <v>11068</v>
      </c>
    </row>
    <row r="1782" spans="1:33" customFormat="1" ht="6" customHeight="1" x14ac:dyDescent="0.4">
      <c r="A1782" s="4">
        <f>ROW()</f>
        <v>1782</v>
      </c>
      <c r="B1782" s="9" t="s">
        <v>27</v>
      </c>
      <c r="C1782" s="44" t="str">
        <f t="shared" si="917"/>
        <v>p.objetivar</v>
      </c>
      <c r="D1782" s="6" t="str">
        <f t="shared" si="911"/>
        <v>é.ods.09.08</v>
      </c>
      <c r="E1782" s="8" t="s">
        <v>28</v>
      </c>
      <c r="F1782" s="34" t="str">
        <f t="shared" si="920"/>
        <v>d.objetivar</v>
      </c>
      <c r="G1782" s="16" t="s">
        <v>10378</v>
      </c>
      <c r="H1782" s="33" t="s">
        <v>1581</v>
      </c>
      <c r="I1782" s="92" t="str">
        <f t="shared" si="910"/>
        <v>null</v>
      </c>
      <c r="J1782" s="82" t="s">
        <v>0</v>
      </c>
      <c r="K1782" s="82" t="s">
        <v>0</v>
      </c>
      <c r="L1782" s="82" t="s">
        <v>0</v>
      </c>
      <c r="M1782" s="82" t="s">
        <v>0</v>
      </c>
      <c r="N1782" s="80" t="s">
        <v>0</v>
      </c>
      <c r="O1782" s="82" t="s">
        <v>0</v>
      </c>
      <c r="P1782" s="82" t="s">
        <v>0</v>
      </c>
      <c r="Q1782" s="82" t="s">
        <v>0</v>
      </c>
      <c r="R1782" s="84" t="s">
        <v>0</v>
      </c>
      <c r="S1782" s="10" t="s">
        <v>1</v>
      </c>
      <c r="T1782" s="10" t="s">
        <v>10221</v>
      </c>
      <c r="U1782" s="5" t="str">
        <f t="shared" si="905"/>
        <v>Propriedade destinada a objetivar: é.ods.09.08</v>
      </c>
      <c r="V1782" s="5" t="str">
        <f t="shared" si="906"/>
        <v>Dado para objetivar:  ods.09.08  Deve ser formatado como (rdfs:Literal  or  xsd:string)</v>
      </c>
      <c r="W1782" s="38" t="s">
        <v>10532</v>
      </c>
      <c r="X1782" s="17" t="str">
        <f t="shared" si="914"/>
        <v>d.objet.188</v>
      </c>
      <c r="Y1782" s="17" t="str">
        <f t="shared" si="915"/>
        <v>Ação de objetivar</v>
      </c>
      <c r="Z1782" s="62" t="s">
        <v>10681</v>
      </c>
      <c r="AA1782" s="18" t="str">
        <f t="shared" si="907"/>
        <v>null</v>
      </c>
      <c r="AB1782" s="19" t="s">
        <v>0</v>
      </c>
      <c r="AC1782" s="18" t="str">
        <f t="shared" si="908"/>
        <v>null</v>
      </c>
      <c r="AD1782" s="19" t="s">
        <v>0</v>
      </c>
      <c r="AE1782" s="18" t="str">
        <f t="shared" si="912"/>
        <v>null</v>
      </c>
      <c r="AF1782" s="75" t="s">
        <v>0</v>
      </c>
      <c r="AG1782" s="38" t="s">
        <v>11069</v>
      </c>
    </row>
    <row r="1783" spans="1:33" customFormat="1" ht="6" customHeight="1" x14ac:dyDescent="0.4">
      <c r="A1783" s="4">
        <f>ROW()</f>
        <v>1783</v>
      </c>
      <c r="B1783" s="9" t="s">
        <v>27</v>
      </c>
      <c r="C1783" s="44" t="str">
        <f t="shared" si="917"/>
        <v>p.objetivar</v>
      </c>
      <c r="D1783" s="6" t="str">
        <f t="shared" si="911"/>
        <v>é.ods.10</v>
      </c>
      <c r="E1783" s="8" t="s">
        <v>28</v>
      </c>
      <c r="F1783" s="34" t="str">
        <f>F1781</f>
        <v>d.objetivar</v>
      </c>
      <c r="G1783" s="16" t="s">
        <v>11070</v>
      </c>
      <c r="H1783" s="33" t="s">
        <v>1581</v>
      </c>
      <c r="I1783" s="92" t="str">
        <f t="shared" si="910"/>
        <v>null</v>
      </c>
      <c r="J1783" s="82" t="s">
        <v>0</v>
      </c>
      <c r="K1783" s="82" t="s">
        <v>0</v>
      </c>
      <c r="L1783" s="82" t="s">
        <v>0</v>
      </c>
      <c r="M1783" s="82" t="s">
        <v>0</v>
      </c>
      <c r="N1783" s="80" t="s">
        <v>0</v>
      </c>
      <c r="O1783" s="82" t="s">
        <v>0</v>
      </c>
      <c r="P1783" s="82" t="s">
        <v>0</v>
      </c>
      <c r="Q1783" s="82" t="s">
        <v>0</v>
      </c>
      <c r="R1783" s="84" t="s">
        <v>1761</v>
      </c>
      <c r="S1783" s="10" t="s">
        <v>1</v>
      </c>
      <c r="T1783" s="10" t="s">
        <v>10221</v>
      </c>
      <c r="U1783" s="5" t="str">
        <f t="shared" si="905"/>
        <v>Propriedade destinada a objetivar: é.ods.10</v>
      </c>
      <c r="V1783" s="5" t="str">
        <f t="shared" si="906"/>
        <v>Dado para objetivar:  ods.10  Deve ser formatado como (rdfs:Literal  or  xsd:string)</v>
      </c>
      <c r="W1783" s="38" t="s">
        <v>11071</v>
      </c>
      <c r="X1783" s="17" t="str">
        <f t="shared" si="914"/>
        <v>d.objet.189</v>
      </c>
      <c r="Y1783" s="17" t="str">
        <f t="shared" si="915"/>
        <v>Ação de objetivar</v>
      </c>
      <c r="Z1783" s="62" t="s">
        <v>11072</v>
      </c>
      <c r="AA1783" s="18" t="str">
        <f t="shared" si="907"/>
        <v>null</v>
      </c>
      <c r="AB1783" s="19" t="s">
        <v>0</v>
      </c>
      <c r="AC1783" s="18" t="str">
        <f t="shared" si="908"/>
        <v>null</v>
      </c>
      <c r="AD1783" s="19" t="s">
        <v>0</v>
      </c>
      <c r="AE1783" s="18" t="str">
        <f t="shared" si="912"/>
        <v>null</v>
      </c>
      <c r="AF1783" s="75" t="s">
        <v>0</v>
      </c>
      <c r="AG1783" s="38" t="s">
        <v>11073</v>
      </c>
    </row>
    <row r="1784" spans="1:33" customFormat="1" ht="6" customHeight="1" x14ac:dyDescent="0.4">
      <c r="A1784" s="4">
        <f>ROW()</f>
        <v>1784</v>
      </c>
      <c r="B1784" s="9" t="s">
        <v>27</v>
      </c>
      <c r="C1784" s="44" t="str">
        <f t="shared" si="917"/>
        <v>p.objetivar</v>
      </c>
      <c r="D1784" s="6" t="str">
        <f t="shared" si="911"/>
        <v>é.ods.10.01</v>
      </c>
      <c r="E1784" s="8" t="s">
        <v>28</v>
      </c>
      <c r="F1784" s="34" t="str">
        <f>F1782</f>
        <v>d.objetivar</v>
      </c>
      <c r="G1784" s="16" t="s">
        <v>10379</v>
      </c>
      <c r="H1784" s="33" t="s">
        <v>1581</v>
      </c>
      <c r="I1784" s="92" t="str">
        <f t="shared" si="910"/>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905"/>
        <v>Propriedade destinada a objetivar: é.ods.10.01</v>
      </c>
      <c r="V1784" s="5" t="str">
        <f t="shared" si="906"/>
        <v>Dado para objetivar:  ods.10.01  Deve ser formatado como (rdfs:Literal  or  xsd:string)</v>
      </c>
      <c r="W1784" s="38" t="s">
        <v>10533</v>
      </c>
      <c r="X1784" s="17" t="str">
        <f t="shared" si="914"/>
        <v>d.objet.190</v>
      </c>
      <c r="Y1784" s="17" t="str">
        <f t="shared" si="915"/>
        <v>Ação de objetivar</v>
      </c>
      <c r="Z1784" s="62" t="s">
        <v>10682</v>
      </c>
      <c r="AA1784" s="18" t="str">
        <f t="shared" si="907"/>
        <v>null</v>
      </c>
      <c r="AB1784" s="19" t="s">
        <v>0</v>
      </c>
      <c r="AC1784" s="18" t="str">
        <f t="shared" si="908"/>
        <v>null</v>
      </c>
      <c r="AD1784" s="19" t="s">
        <v>0</v>
      </c>
      <c r="AE1784" s="18" t="str">
        <f t="shared" si="912"/>
        <v>null</v>
      </c>
      <c r="AF1784" s="75" t="s">
        <v>0</v>
      </c>
      <c r="AG1784" s="38" t="s">
        <v>11074</v>
      </c>
    </row>
    <row r="1785" spans="1:33" customFormat="1" ht="6" customHeight="1" x14ac:dyDescent="0.4">
      <c r="A1785" s="4">
        <f>ROW()</f>
        <v>1785</v>
      </c>
      <c r="B1785" s="9" t="s">
        <v>27</v>
      </c>
      <c r="C1785" s="44" t="str">
        <f t="shared" si="917"/>
        <v>p.objetivar</v>
      </c>
      <c r="D1785" s="6" t="str">
        <f t="shared" si="911"/>
        <v>é.ods.10.02</v>
      </c>
      <c r="E1785" s="8" t="s">
        <v>28</v>
      </c>
      <c r="F1785" s="34" t="str">
        <f t="shared" ref="F1785:F1793" si="921">F1784</f>
        <v>d.objetivar</v>
      </c>
      <c r="G1785" s="16" t="s">
        <v>10380</v>
      </c>
      <c r="H1785" s="33" t="s">
        <v>1581</v>
      </c>
      <c r="I1785" s="92" t="str">
        <f t="shared" si="910"/>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905"/>
        <v>Propriedade destinada a objetivar: é.ods.10.02</v>
      </c>
      <c r="V1785" s="5" t="str">
        <f t="shared" si="906"/>
        <v>Dado para objetivar:  ods.10.02  Deve ser formatado como (rdfs:Literal  or  xsd:string)</v>
      </c>
      <c r="W1785" s="38" t="s">
        <v>10534</v>
      </c>
      <c r="X1785" s="17" t="str">
        <f t="shared" si="914"/>
        <v>d.objet.191</v>
      </c>
      <c r="Y1785" s="17" t="str">
        <f t="shared" si="915"/>
        <v>Ação de objetivar</v>
      </c>
      <c r="Z1785" s="62" t="s">
        <v>10683</v>
      </c>
      <c r="AA1785" s="18" t="str">
        <f t="shared" si="907"/>
        <v>null</v>
      </c>
      <c r="AB1785" s="19" t="s">
        <v>0</v>
      </c>
      <c r="AC1785" s="18" t="str">
        <f t="shared" si="908"/>
        <v>null</v>
      </c>
      <c r="AD1785" s="19" t="s">
        <v>0</v>
      </c>
      <c r="AE1785" s="18" t="str">
        <f t="shared" si="912"/>
        <v>null</v>
      </c>
      <c r="AF1785" s="75" t="s">
        <v>0</v>
      </c>
      <c r="AG1785" s="38" t="s">
        <v>11075</v>
      </c>
    </row>
    <row r="1786" spans="1:33" customFormat="1" ht="6" customHeight="1" x14ac:dyDescent="0.4">
      <c r="A1786" s="4">
        <f>ROW()</f>
        <v>1786</v>
      </c>
      <c r="B1786" s="9" t="s">
        <v>27</v>
      </c>
      <c r="C1786" s="44" t="str">
        <f t="shared" si="917"/>
        <v>p.objetivar</v>
      </c>
      <c r="D1786" s="6" t="str">
        <f t="shared" si="911"/>
        <v>é.ods.10.03</v>
      </c>
      <c r="E1786" s="8" t="s">
        <v>28</v>
      </c>
      <c r="F1786" s="34" t="str">
        <f t="shared" si="921"/>
        <v>d.objetivar</v>
      </c>
      <c r="G1786" s="16" t="s">
        <v>10381</v>
      </c>
      <c r="H1786" s="33" t="s">
        <v>1581</v>
      </c>
      <c r="I1786" s="92" t="str">
        <f t="shared" si="910"/>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905"/>
        <v>Propriedade destinada a objetivar: é.ods.10.03</v>
      </c>
      <c r="V1786" s="5" t="str">
        <f t="shared" si="906"/>
        <v>Dado para objetivar:  ods.10.03  Deve ser formatado como (rdfs:Literal  or  xsd:string)</v>
      </c>
      <c r="W1786" s="38" t="s">
        <v>10535</v>
      </c>
      <c r="X1786" s="17" t="str">
        <f t="shared" si="914"/>
        <v>d.objet.192</v>
      </c>
      <c r="Y1786" s="17" t="str">
        <f t="shared" si="915"/>
        <v>Ação de objetivar</v>
      </c>
      <c r="Z1786" s="62" t="s">
        <v>10684</v>
      </c>
      <c r="AA1786" s="18" t="str">
        <f t="shared" si="907"/>
        <v>null</v>
      </c>
      <c r="AB1786" s="19" t="s">
        <v>0</v>
      </c>
      <c r="AC1786" s="18" t="str">
        <f t="shared" si="908"/>
        <v>null</v>
      </c>
      <c r="AD1786" s="19" t="s">
        <v>0</v>
      </c>
      <c r="AE1786" s="18" t="str">
        <f t="shared" si="912"/>
        <v>null</v>
      </c>
      <c r="AF1786" s="75" t="s">
        <v>0</v>
      </c>
      <c r="AG1786" s="38" t="s">
        <v>11076</v>
      </c>
    </row>
    <row r="1787" spans="1:33" customFormat="1" ht="6" customHeight="1" x14ac:dyDescent="0.4">
      <c r="A1787" s="4">
        <f>ROW()</f>
        <v>1787</v>
      </c>
      <c r="B1787" s="9" t="s">
        <v>27</v>
      </c>
      <c r="C1787" s="44" t="str">
        <f t="shared" si="917"/>
        <v>p.objetivar</v>
      </c>
      <c r="D1787" s="6" t="str">
        <f t="shared" si="911"/>
        <v>é.ods.10.04</v>
      </c>
      <c r="E1787" s="8" t="s">
        <v>28</v>
      </c>
      <c r="F1787" s="34" t="str">
        <f t="shared" si="921"/>
        <v>d.objetivar</v>
      </c>
      <c r="G1787" s="16" t="s">
        <v>10382</v>
      </c>
      <c r="H1787" s="33" t="s">
        <v>1581</v>
      </c>
      <c r="I1787" s="92" t="str">
        <f t="shared" si="910"/>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905"/>
        <v>Propriedade destinada a objetivar: é.ods.10.04</v>
      </c>
      <c r="V1787" s="5" t="str">
        <f t="shared" si="906"/>
        <v>Dado para objetivar:  ods.10.04  Deve ser formatado como (rdfs:Literal  or  xsd:string)</v>
      </c>
      <c r="W1787" s="38" t="s">
        <v>10536</v>
      </c>
      <c r="X1787" s="17" t="str">
        <f t="shared" si="914"/>
        <v>d.objet.193</v>
      </c>
      <c r="Y1787" s="17" t="str">
        <f t="shared" si="915"/>
        <v>Ação de objetivar</v>
      </c>
      <c r="Z1787" s="62" t="s">
        <v>10685</v>
      </c>
      <c r="AA1787" s="18" t="str">
        <f t="shared" si="907"/>
        <v>null</v>
      </c>
      <c r="AB1787" s="19" t="s">
        <v>0</v>
      </c>
      <c r="AC1787" s="18" t="str">
        <f t="shared" si="908"/>
        <v>null</v>
      </c>
      <c r="AD1787" s="19" t="s">
        <v>0</v>
      </c>
      <c r="AE1787" s="18" t="str">
        <f t="shared" si="912"/>
        <v>null</v>
      </c>
      <c r="AF1787" s="75" t="s">
        <v>0</v>
      </c>
      <c r="AG1787" s="38" t="s">
        <v>11077</v>
      </c>
    </row>
    <row r="1788" spans="1:33" customFormat="1" ht="6" customHeight="1" x14ac:dyDescent="0.4">
      <c r="A1788" s="4">
        <f>ROW()</f>
        <v>1788</v>
      </c>
      <c r="B1788" s="9" t="s">
        <v>27</v>
      </c>
      <c r="C1788" s="44" t="str">
        <f t="shared" si="917"/>
        <v>p.objetivar</v>
      </c>
      <c r="D1788" s="6" t="str">
        <f t="shared" si="911"/>
        <v>é.ods.10.05</v>
      </c>
      <c r="E1788" s="8" t="s">
        <v>28</v>
      </c>
      <c r="F1788" s="34" t="str">
        <f t="shared" si="921"/>
        <v>d.objetivar</v>
      </c>
      <c r="G1788" s="16" t="s">
        <v>10383</v>
      </c>
      <c r="H1788" s="33" t="s">
        <v>1581</v>
      </c>
      <c r="I1788" s="92" t="str">
        <f t="shared" si="910"/>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905"/>
        <v>Propriedade destinada a objetivar: é.ods.10.05</v>
      </c>
      <c r="V1788" s="5" t="str">
        <f t="shared" si="906"/>
        <v>Dado para objetivar:  ods.10.05  Deve ser formatado como (rdfs:Literal  or  xsd:string)</v>
      </c>
      <c r="W1788" s="38" t="s">
        <v>10537</v>
      </c>
      <c r="X1788" s="17" t="str">
        <f t="shared" si="914"/>
        <v>d.objet.194</v>
      </c>
      <c r="Y1788" s="17" t="str">
        <f t="shared" si="915"/>
        <v>Ação de objetivar</v>
      </c>
      <c r="Z1788" s="62" t="s">
        <v>10686</v>
      </c>
      <c r="AA1788" s="18" t="str">
        <f t="shared" si="907"/>
        <v>null</v>
      </c>
      <c r="AB1788" s="19" t="s">
        <v>0</v>
      </c>
      <c r="AC1788" s="18" t="str">
        <f t="shared" si="908"/>
        <v>null</v>
      </c>
      <c r="AD1788" s="19" t="s">
        <v>0</v>
      </c>
      <c r="AE1788" s="18" t="str">
        <f t="shared" si="912"/>
        <v>null</v>
      </c>
      <c r="AF1788" s="75" t="s">
        <v>0</v>
      </c>
      <c r="AG1788" s="38" t="s">
        <v>11078</v>
      </c>
    </row>
    <row r="1789" spans="1:33" customFormat="1" ht="6" customHeight="1" x14ac:dyDescent="0.4">
      <c r="A1789" s="4">
        <f>ROW()</f>
        <v>1789</v>
      </c>
      <c r="B1789" s="9" t="s">
        <v>27</v>
      </c>
      <c r="C1789" s="44" t="str">
        <f t="shared" si="917"/>
        <v>p.objetivar</v>
      </c>
      <c r="D1789" s="6" t="str">
        <f t="shared" si="911"/>
        <v>é.ods.10.06</v>
      </c>
      <c r="E1789" s="8" t="s">
        <v>28</v>
      </c>
      <c r="F1789" s="34" t="str">
        <f t="shared" si="921"/>
        <v>d.objetivar</v>
      </c>
      <c r="G1789" s="16" t="s">
        <v>10384</v>
      </c>
      <c r="H1789" s="33" t="s">
        <v>1581</v>
      </c>
      <c r="I1789" s="92" t="str">
        <f t="shared" si="910"/>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905"/>
        <v>Propriedade destinada a objetivar: é.ods.10.06</v>
      </c>
      <c r="V1789" s="5" t="str">
        <f t="shared" si="906"/>
        <v>Dado para objetivar:  ods.10.06  Deve ser formatado como (rdfs:Literal  or  xsd:string)</v>
      </c>
      <c r="W1789" s="38" t="s">
        <v>10538</v>
      </c>
      <c r="X1789" s="17" t="str">
        <f t="shared" si="914"/>
        <v>d.objet.195</v>
      </c>
      <c r="Y1789" s="17" t="str">
        <f t="shared" si="915"/>
        <v>Ação de objetivar</v>
      </c>
      <c r="Z1789" s="62" t="s">
        <v>10687</v>
      </c>
      <c r="AA1789" s="18" t="str">
        <f t="shared" si="907"/>
        <v>null</v>
      </c>
      <c r="AB1789" s="19" t="s">
        <v>0</v>
      </c>
      <c r="AC1789" s="18" t="str">
        <f t="shared" si="908"/>
        <v>null</v>
      </c>
      <c r="AD1789" s="19" t="s">
        <v>0</v>
      </c>
      <c r="AE1789" s="18" t="str">
        <f t="shared" si="912"/>
        <v>null</v>
      </c>
      <c r="AF1789" s="75" t="s">
        <v>0</v>
      </c>
      <c r="AG1789" s="38" t="s">
        <v>11079</v>
      </c>
    </row>
    <row r="1790" spans="1:33" customFormat="1" ht="6" customHeight="1" x14ac:dyDescent="0.4">
      <c r="A1790" s="4">
        <f>ROW()</f>
        <v>1790</v>
      </c>
      <c r="B1790" s="9" t="s">
        <v>27</v>
      </c>
      <c r="C1790" s="44" t="str">
        <f t="shared" si="917"/>
        <v>p.objetivar</v>
      </c>
      <c r="D1790" s="6" t="str">
        <f t="shared" si="911"/>
        <v>é.ods.10.07</v>
      </c>
      <c r="E1790" s="8" t="s">
        <v>28</v>
      </c>
      <c r="F1790" s="34" t="str">
        <f t="shared" si="921"/>
        <v>d.objetivar</v>
      </c>
      <c r="G1790" s="16" t="s">
        <v>10385</v>
      </c>
      <c r="H1790" s="33" t="s">
        <v>1581</v>
      </c>
      <c r="I1790" s="92" t="str">
        <f t="shared" si="910"/>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905"/>
        <v>Propriedade destinada a objetivar: é.ods.10.07</v>
      </c>
      <c r="V1790" s="5" t="str">
        <f t="shared" si="906"/>
        <v>Dado para objetivar:  ods.10.07  Deve ser formatado como (rdfs:Literal  or  xsd:string)</v>
      </c>
      <c r="W1790" s="38" t="s">
        <v>10539</v>
      </c>
      <c r="X1790" s="17" t="str">
        <f t="shared" si="914"/>
        <v>d.objet.196</v>
      </c>
      <c r="Y1790" s="17" t="str">
        <f t="shared" si="915"/>
        <v>Ação de objetivar</v>
      </c>
      <c r="Z1790" s="62" t="s">
        <v>10688</v>
      </c>
      <c r="AA1790" s="18" t="str">
        <f t="shared" si="907"/>
        <v>null</v>
      </c>
      <c r="AB1790" s="19" t="s">
        <v>0</v>
      </c>
      <c r="AC1790" s="18" t="str">
        <f t="shared" si="908"/>
        <v>null</v>
      </c>
      <c r="AD1790" s="19" t="s">
        <v>0</v>
      </c>
      <c r="AE1790" s="18" t="str">
        <f t="shared" si="912"/>
        <v>null</v>
      </c>
      <c r="AF1790" s="75" t="s">
        <v>0</v>
      </c>
      <c r="AG1790" s="38" t="s">
        <v>11080</v>
      </c>
    </row>
    <row r="1791" spans="1:33" customFormat="1" ht="6" customHeight="1" x14ac:dyDescent="0.4">
      <c r="A1791" s="4">
        <f>ROW()</f>
        <v>1791</v>
      </c>
      <c r="B1791" s="9" t="s">
        <v>27</v>
      </c>
      <c r="C1791" s="44" t="str">
        <f t="shared" si="917"/>
        <v>p.objetivar</v>
      </c>
      <c r="D1791" s="6" t="str">
        <f t="shared" si="911"/>
        <v>é.ods.10.08</v>
      </c>
      <c r="E1791" s="8" t="s">
        <v>28</v>
      </c>
      <c r="F1791" s="34" t="str">
        <f t="shared" si="921"/>
        <v>d.objetivar</v>
      </c>
      <c r="G1791" s="16" t="s">
        <v>10386</v>
      </c>
      <c r="H1791" s="33" t="s">
        <v>1581</v>
      </c>
      <c r="I1791" s="92" t="str">
        <f t="shared" si="910"/>
        <v>null</v>
      </c>
      <c r="J1791" s="82" t="s">
        <v>0</v>
      </c>
      <c r="K1791" s="82" t="s">
        <v>0</v>
      </c>
      <c r="L1791" s="82" t="s">
        <v>0</v>
      </c>
      <c r="M1791" s="82" t="s">
        <v>0</v>
      </c>
      <c r="N1791" s="80" t="s">
        <v>0</v>
      </c>
      <c r="O1791" s="82" t="s">
        <v>0</v>
      </c>
      <c r="P1791" s="82" t="s">
        <v>0</v>
      </c>
      <c r="Q1791" s="82" t="s">
        <v>0</v>
      </c>
      <c r="R1791" s="84" t="s">
        <v>0</v>
      </c>
      <c r="S1791" s="10" t="s">
        <v>1</v>
      </c>
      <c r="T1791" s="10" t="s">
        <v>10221</v>
      </c>
      <c r="U1791" s="5" t="str">
        <f t="shared" si="905"/>
        <v>Propriedade destinada a objetivar: é.ods.10.08</v>
      </c>
      <c r="V1791" s="5" t="str">
        <f t="shared" si="906"/>
        <v>Dado para objetivar:  ods.10.08  Deve ser formatado como (rdfs:Literal  or  xsd:string)</v>
      </c>
      <c r="W1791" s="38" t="s">
        <v>10540</v>
      </c>
      <c r="X1791" s="17" t="str">
        <f t="shared" si="914"/>
        <v>d.objet.197</v>
      </c>
      <c r="Y1791" s="17" t="str">
        <f t="shared" si="915"/>
        <v>Ação de objetivar</v>
      </c>
      <c r="Z1791" s="62" t="s">
        <v>10689</v>
      </c>
      <c r="AA1791" s="18" t="str">
        <f t="shared" si="907"/>
        <v>null</v>
      </c>
      <c r="AB1791" s="19" t="s">
        <v>0</v>
      </c>
      <c r="AC1791" s="18" t="str">
        <f t="shared" si="908"/>
        <v>null</v>
      </c>
      <c r="AD1791" s="19" t="s">
        <v>0</v>
      </c>
      <c r="AE1791" s="18" t="str">
        <f t="shared" si="912"/>
        <v>null</v>
      </c>
      <c r="AF1791" s="75" t="s">
        <v>0</v>
      </c>
      <c r="AG1791" s="38" t="s">
        <v>11081</v>
      </c>
    </row>
    <row r="1792" spans="1:33" customFormat="1" ht="6" customHeight="1" x14ac:dyDescent="0.4">
      <c r="A1792" s="4">
        <f>ROW()</f>
        <v>1792</v>
      </c>
      <c r="B1792" s="9" t="s">
        <v>27</v>
      </c>
      <c r="C1792" s="44" t="str">
        <f t="shared" si="917"/>
        <v>p.objetivar</v>
      </c>
      <c r="D1792" s="6" t="str">
        <f t="shared" si="911"/>
        <v>é.ods.10.09</v>
      </c>
      <c r="E1792" s="8" t="s">
        <v>28</v>
      </c>
      <c r="F1792" s="34" t="str">
        <f t="shared" si="921"/>
        <v>d.objetivar</v>
      </c>
      <c r="G1792" s="16" t="s">
        <v>10387</v>
      </c>
      <c r="H1792" s="33" t="s">
        <v>1581</v>
      </c>
      <c r="I1792" s="92" t="str">
        <f t="shared" si="910"/>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905"/>
        <v>Propriedade destinada a objetivar: é.ods.10.09</v>
      </c>
      <c r="V1792" s="5" t="str">
        <f t="shared" si="906"/>
        <v>Dado para objetivar:  ods.10.09  Deve ser formatado como (rdfs:Literal  or  xsd:string)</v>
      </c>
      <c r="W1792" s="38" t="s">
        <v>10541</v>
      </c>
      <c r="X1792" s="17" t="str">
        <f t="shared" si="914"/>
        <v>d.objet.198</v>
      </c>
      <c r="Y1792" s="17" t="str">
        <f t="shared" si="915"/>
        <v>Ação de objetivar</v>
      </c>
      <c r="Z1792" s="62" t="s">
        <v>10690</v>
      </c>
      <c r="AA1792" s="18" t="str">
        <f t="shared" si="907"/>
        <v>null</v>
      </c>
      <c r="AB1792" s="19" t="s">
        <v>0</v>
      </c>
      <c r="AC1792" s="18" t="str">
        <f t="shared" si="908"/>
        <v>null</v>
      </c>
      <c r="AD1792" s="19" t="s">
        <v>0</v>
      </c>
      <c r="AE1792" s="18" t="str">
        <f t="shared" si="912"/>
        <v>null</v>
      </c>
      <c r="AF1792" s="75" t="s">
        <v>0</v>
      </c>
      <c r="AG1792" s="38" t="s">
        <v>11082</v>
      </c>
    </row>
    <row r="1793" spans="1:33" customFormat="1" ht="6" customHeight="1" x14ac:dyDescent="0.4">
      <c r="A1793" s="4">
        <f>ROW()</f>
        <v>1793</v>
      </c>
      <c r="B1793" s="9" t="s">
        <v>27</v>
      </c>
      <c r="C1793" s="44" t="str">
        <f t="shared" si="917"/>
        <v>p.objetivar</v>
      </c>
      <c r="D1793" s="6" t="str">
        <f t="shared" si="911"/>
        <v>é.ods.10.10</v>
      </c>
      <c r="E1793" s="8" t="s">
        <v>28</v>
      </c>
      <c r="F1793" s="34" t="str">
        <f t="shared" si="921"/>
        <v>d.objetivar</v>
      </c>
      <c r="G1793" s="16" t="s">
        <v>10388</v>
      </c>
      <c r="H1793" s="33" t="s">
        <v>1581</v>
      </c>
      <c r="I1793" s="92" t="str">
        <f t="shared" si="910"/>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905"/>
        <v>Propriedade destinada a objetivar: é.ods.10.10</v>
      </c>
      <c r="V1793" s="5" t="str">
        <f t="shared" si="906"/>
        <v>Dado para objetivar:  ods.10.10  Deve ser formatado como (rdfs:Literal  or  xsd:string)</v>
      </c>
      <c r="W1793" s="38" t="s">
        <v>10542</v>
      </c>
      <c r="X1793" s="17" t="str">
        <f t="shared" si="914"/>
        <v>d.objet.199</v>
      </c>
      <c r="Y1793" s="17" t="str">
        <f t="shared" si="915"/>
        <v>Ação de objetivar</v>
      </c>
      <c r="Z1793" s="62" t="s">
        <v>10691</v>
      </c>
      <c r="AA1793" s="18" t="str">
        <f t="shared" si="907"/>
        <v>null</v>
      </c>
      <c r="AB1793" s="19" t="s">
        <v>0</v>
      </c>
      <c r="AC1793" s="18" t="str">
        <f t="shared" si="908"/>
        <v>null</v>
      </c>
      <c r="AD1793" s="19" t="s">
        <v>0</v>
      </c>
      <c r="AE1793" s="18" t="str">
        <f t="shared" si="912"/>
        <v>null</v>
      </c>
      <c r="AF1793" s="75" t="s">
        <v>0</v>
      </c>
      <c r="AG1793" s="38" t="s">
        <v>11083</v>
      </c>
    </row>
    <row r="1794" spans="1:33" customFormat="1" ht="6" customHeight="1" x14ac:dyDescent="0.4">
      <c r="A1794" s="4">
        <f>ROW()</f>
        <v>1794</v>
      </c>
      <c r="B1794" s="9" t="s">
        <v>27</v>
      </c>
      <c r="C1794" s="44" t="str">
        <f t="shared" si="917"/>
        <v>p.objetivar</v>
      </c>
      <c r="D1794" s="6" t="str">
        <f t="shared" si="911"/>
        <v>é.ods.11</v>
      </c>
      <c r="E1794" s="8" t="s">
        <v>28</v>
      </c>
      <c r="F1794" s="34" t="str">
        <f>F1792</f>
        <v>d.objetivar</v>
      </c>
      <c r="G1794" s="16" t="s">
        <v>11084</v>
      </c>
      <c r="H1794" s="33" t="s">
        <v>1581</v>
      </c>
      <c r="I1794" s="92" t="str">
        <f t="shared" si="910"/>
        <v>null</v>
      </c>
      <c r="J1794" s="82" t="s">
        <v>0</v>
      </c>
      <c r="K1794" s="82" t="s">
        <v>0</v>
      </c>
      <c r="L1794" s="82" t="s">
        <v>0</v>
      </c>
      <c r="M1794" s="82" t="s">
        <v>0</v>
      </c>
      <c r="N1794" s="80" t="s">
        <v>0</v>
      </c>
      <c r="O1794" s="82" t="s">
        <v>0</v>
      </c>
      <c r="P1794" s="82" t="s">
        <v>0</v>
      </c>
      <c r="Q1794" s="82" t="s">
        <v>0</v>
      </c>
      <c r="R1794" s="84" t="s">
        <v>1761</v>
      </c>
      <c r="S1794" s="10" t="s">
        <v>1</v>
      </c>
      <c r="T1794" s="10" t="s">
        <v>10221</v>
      </c>
      <c r="U1794" s="5" t="str">
        <f t="shared" si="905"/>
        <v>Propriedade destinada a objetivar: é.ods.11</v>
      </c>
      <c r="V1794" s="5" t="str">
        <f t="shared" si="906"/>
        <v>Dado para objetivar:  ods.11  Deve ser formatado como (rdfs:Literal  or  xsd:string)</v>
      </c>
      <c r="W1794" s="38" t="s">
        <v>11085</v>
      </c>
      <c r="X1794" s="17" t="str">
        <f t="shared" si="914"/>
        <v>d.objet.200</v>
      </c>
      <c r="Y1794" s="17" t="str">
        <f t="shared" si="915"/>
        <v>Ação de objetivar</v>
      </c>
      <c r="Z1794" s="62" t="s">
        <v>11086</v>
      </c>
      <c r="AA1794" s="18" t="str">
        <f t="shared" si="907"/>
        <v>null</v>
      </c>
      <c r="AB1794" s="19" t="s">
        <v>0</v>
      </c>
      <c r="AC1794" s="18" t="str">
        <f t="shared" si="908"/>
        <v>null</v>
      </c>
      <c r="AD1794" s="19" t="s">
        <v>0</v>
      </c>
      <c r="AE1794" s="18" t="str">
        <f t="shared" si="912"/>
        <v>null</v>
      </c>
      <c r="AF1794" s="75" t="s">
        <v>0</v>
      </c>
      <c r="AG1794" s="38" t="s">
        <v>11087</v>
      </c>
    </row>
    <row r="1795" spans="1:33" customFormat="1" ht="6" customHeight="1" x14ac:dyDescent="0.4">
      <c r="A1795" s="4">
        <f>ROW()</f>
        <v>1795</v>
      </c>
      <c r="B1795" s="9" t="s">
        <v>27</v>
      </c>
      <c r="C1795" s="44" t="str">
        <f t="shared" si="917"/>
        <v>p.objetivar</v>
      </c>
      <c r="D1795" s="6" t="str">
        <f t="shared" si="911"/>
        <v>é.ods.11.01</v>
      </c>
      <c r="E1795" s="8" t="s">
        <v>28</v>
      </c>
      <c r="F1795" s="34" t="str">
        <f>F1793</f>
        <v>d.objetivar</v>
      </c>
      <c r="G1795" s="16" t="s">
        <v>10389</v>
      </c>
      <c r="H1795" s="33" t="s">
        <v>1581</v>
      </c>
      <c r="I1795" s="92" t="str">
        <f t="shared" si="910"/>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905"/>
        <v>Propriedade destinada a objetivar: é.ods.11.01</v>
      </c>
      <c r="V1795" s="5" t="str">
        <f t="shared" si="906"/>
        <v>Dado para objetivar:  ods.11.01  Deve ser formatado como (rdfs:Literal  or  xsd:string)</v>
      </c>
      <c r="W1795" s="38" t="s">
        <v>10543</v>
      </c>
      <c r="X1795" s="17" t="str">
        <f t="shared" ref="X1795:X1858" si="922">IF(F1794&lt;&gt;F1795,_xlfn.CONCAT(RIGHT(LEFT(F1795,7),7),".100"),_xlfn.CONCAT(RIGHT(LEFT(F1795,7),7),".",SUM(VALUE(RIGHT(X1794,3)),1)))</f>
        <v>d.objet.201</v>
      </c>
      <c r="Y1795" s="17" t="str">
        <f t="shared" ref="Y1795:Y1858" si="923">_xlfn.CONCAT("Ação de ", SUBSTITUTE(F1795, "d.",  ""))</f>
        <v>Ação de objetivar</v>
      </c>
      <c r="Z1795" s="62" t="s">
        <v>10692</v>
      </c>
      <c r="AA1795" s="18" t="str">
        <f t="shared" si="907"/>
        <v>null</v>
      </c>
      <c r="AB1795" s="19" t="s">
        <v>0</v>
      </c>
      <c r="AC1795" s="18" t="str">
        <f t="shared" si="908"/>
        <v>null</v>
      </c>
      <c r="AD1795" s="19" t="s">
        <v>0</v>
      </c>
      <c r="AE1795" s="18" t="str">
        <f t="shared" si="912"/>
        <v>null</v>
      </c>
      <c r="AF1795" s="75" t="s">
        <v>0</v>
      </c>
      <c r="AG1795" s="38" t="s">
        <v>11088</v>
      </c>
    </row>
    <row r="1796" spans="1:33" customFormat="1" ht="6" customHeight="1" x14ac:dyDescent="0.4">
      <c r="A1796" s="4">
        <f>ROW()</f>
        <v>1796</v>
      </c>
      <c r="B1796" s="9" t="s">
        <v>27</v>
      </c>
      <c r="C1796" s="44" t="str">
        <f t="shared" si="917"/>
        <v>p.objetivar</v>
      </c>
      <c r="D1796" s="6" t="str">
        <f t="shared" si="911"/>
        <v>é.ods.11.02</v>
      </c>
      <c r="E1796" s="8" t="s">
        <v>28</v>
      </c>
      <c r="F1796" s="34" t="str">
        <f t="shared" ref="F1796:F1804" si="924">F1795</f>
        <v>d.objetivar</v>
      </c>
      <c r="G1796" s="16" t="s">
        <v>10390</v>
      </c>
      <c r="H1796" s="33" t="s">
        <v>1581</v>
      </c>
      <c r="I1796" s="92" t="str">
        <f t="shared" si="910"/>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905"/>
        <v>Propriedade destinada a objetivar: é.ods.11.02</v>
      </c>
      <c r="V1796" s="5" t="str">
        <f t="shared" si="906"/>
        <v>Dado para objetivar:  ods.11.02  Deve ser formatado como (rdfs:Literal  or  xsd:string)</v>
      </c>
      <c r="W1796" s="38" t="s">
        <v>10544</v>
      </c>
      <c r="X1796" s="17" t="str">
        <f t="shared" si="922"/>
        <v>d.objet.202</v>
      </c>
      <c r="Y1796" s="17" t="str">
        <f t="shared" si="923"/>
        <v>Ação de objetivar</v>
      </c>
      <c r="Z1796" s="62" t="s">
        <v>10693</v>
      </c>
      <c r="AA1796" s="18" t="str">
        <f t="shared" si="907"/>
        <v>null</v>
      </c>
      <c r="AB1796" s="19" t="s">
        <v>0</v>
      </c>
      <c r="AC1796" s="18" t="str">
        <f t="shared" si="908"/>
        <v>null</v>
      </c>
      <c r="AD1796" s="19" t="s">
        <v>0</v>
      </c>
      <c r="AE1796" s="18" t="str">
        <f t="shared" si="912"/>
        <v>null</v>
      </c>
      <c r="AF1796" s="75" t="s">
        <v>0</v>
      </c>
      <c r="AG1796" s="38" t="s">
        <v>11089</v>
      </c>
    </row>
    <row r="1797" spans="1:33" customFormat="1" ht="6" customHeight="1" x14ac:dyDescent="0.4">
      <c r="A1797" s="4">
        <f>ROW()</f>
        <v>1797</v>
      </c>
      <c r="B1797" s="9" t="s">
        <v>27</v>
      </c>
      <c r="C1797" s="44" t="str">
        <f t="shared" si="917"/>
        <v>p.objetivar</v>
      </c>
      <c r="D1797" s="6" t="str">
        <f t="shared" si="911"/>
        <v>é.ods.11.03</v>
      </c>
      <c r="E1797" s="8" t="s">
        <v>28</v>
      </c>
      <c r="F1797" s="34" t="str">
        <f t="shared" si="924"/>
        <v>d.objetivar</v>
      </c>
      <c r="G1797" s="16" t="s">
        <v>10391</v>
      </c>
      <c r="H1797" s="33" t="s">
        <v>1581</v>
      </c>
      <c r="I1797" s="92" t="str">
        <f t="shared" si="910"/>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905"/>
        <v>Propriedade destinada a objetivar: é.ods.11.03</v>
      </c>
      <c r="V1797" s="5" t="str">
        <f t="shared" si="906"/>
        <v>Dado para objetivar:  ods.11.03  Deve ser formatado como (rdfs:Literal  or  xsd:string)</v>
      </c>
      <c r="W1797" s="38" t="s">
        <v>10545</v>
      </c>
      <c r="X1797" s="17" t="str">
        <f t="shared" si="922"/>
        <v>d.objet.203</v>
      </c>
      <c r="Y1797" s="17" t="str">
        <f t="shared" si="923"/>
        <v>Ação de objetivar</v>
      </c>
      <c r="Z1797" s="62" t="s">
        <v>10694</v>
      </c>
      <c r="AA1797" s="18" t="str">
        <f t="shared" si="907"/>
        <v>null</v>
      </c>
      <c r="AB1797" s="19" t="s">
        <v>0</v>
      </c>
      <c r="AC1797" s="18" t="str">
        <f t="shared" si="908"/>
        <v>null</v>
      </c>
      <c r="AD1797" s="19" t="s">
        <v>0</v>
      </c>
      <c r="AE1797" s="18" t="str">
        <f t="shared" si="912"/>
        <v>null</v>
      </c>
      <c r="AF1797" s="75" t="s">
        <v>0</v>
      </c>
      <c r="AG1797" s="38" t="s">
        <v>11090</v>
      </c>
    </row>
    <row r="1798" spans="1:33" customFormat="1" ht="6" customHeight="1" x14ac:dyDescent="0.4">
      <c r="A1798" s="4">
        <f>ROW()</f>
        <v>1798</v>
      </c>
      <c r="B1798" s="9" t="s">
        <v>27</v>
      </c>
      <c r="C1798" s="44" t="str">
        <f t="shared" si="917"/>
        <v>p.objetivar</v>
      </c>
      <c r="D1798" s="6" t="str">
        <f t="shared" si="911"/>
        <v>é.ods.11.04</v>
      </c>
      <c r="E1798" s="8" t="s">
        <v>28</v>
      </c>
      <c r="F1798" s="34" t="str">
        <f t="shared" si="924"/>
        <v>d.objetivar</v>
      </c>
      <c r="G1798" s="16" t="s">
        <v>10392</v>
      </c>
      <c r="H1798" s="33" t="s">
        <v>1581</v>
      </c>
      <c r="I1798" s="92" t="str">
        <f t="shared" si="910"/>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905"/>
        <v>Propriedade destinada a objetivar: é.ods.11.04</v>
      </c>
      <c r="V1798" s="5" t="str">
        <f t="shared" si="906"/>
        <v>Dado para objetivar:  ods.11.04  Deve ser formatado como (rdfs:Literal  or  xsd:string)</v>
      </c>
      <c r="W1798" s="38" t="s">
        <v>10546</v>
      </c>
      <c r="X1798" s="17" t="str">
        <f t="shared" si="922"/>
        <v>d.objet.204</v>
      </c>
      <c r="Y1798" s="17" t="str">
        <f t="shared" si="923"/>
        <v>Ação de objetivar</v>
      </c>
      <c r="Z1798" s="62" t="s">
        <v>10695</v>
      </c>
      <c r="AA1798" s="18" t="str">
        <f t="shared" si="907"/>
        <v>null</v>
      </c>
      <c r="AB1798" s="19" t="s">
        <v>0</v>
      </c>
      <c r="AC1798" s="18" t="str">
        <f t="shared" si="908"/>
        <v>null</v>
      </c>
      <c r="AD1798" s="19" t="s">
        <v>0</v>
      </c>
      <c r="AE1798" s="18" t="str">
        <f t="shared" si="912"/>
        <v>null</v>
      </c>
      <c r="AF1798" s="75" t="s">
        <v>0</v>
      </c>
      <c r="AG1798" s="38" t="s">
        <v>11091</v>
      </c>
    </row>
    <row r="1799" spans="1:33" customFormat="1" ht="6" customHeight="1" x14ac:dyDescent="0.4">
      <c r="A1799" s="4">
        <f>ROW()</f>
        <v>1799</v>
      </c>
      <c r="B1799" s="9" t="s">
        <v>27</v>
      </c>
      <c r="C1799" s="44" t="str">
        <f t="shared" si="917"/>
        <v>p.objetivar</v>
      </c>
      <c r="D1799" s="6" t="str">
        <f t="shared" si="911"/>
        <v>é.ods.11.05</v>
      </c>
      <c r="E1799" s="8" t="s">
        <v>28</v>
      </c>
      <c r="F1799" s="34" t="str">
        <f t="shared" si="924"/>
        <v>d.objetivar</v>
      </c>
      <c r="G1799" s="16" t="s">
        <v>10393</v>
      </c>
      <c r="H1799" s="33" t="s">
        <v>1581</v>
      </c>
      <c r="I1799" s="92" t="str">
        <f t="shared" si="910"/>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905"/>
        <v>Propriedade destinada a objetivar: é.ods.11.05</v>
      </c>
      <c r="V1799" s="5" t="str">
        <f t="shared" si="906"/>
        <v>Dado para objetivar:  ods.11.05  Deve ser formatado como (rdfs:Literal  or  xsd:string)</v>
      </c>
      <c r="W1799" s="38" t="s">
        <v>10547</v>
      </c>
      <c r="X1799" s="17" t="str">
        <f t="shared" si="922"/>
        <v>d.objet.205</v>
      </c>
      <c r="Y1799" s="17" t="str">
        <f t="shared" si="923"/>
        <v>Ação de objetivar</v>
      </c>
      <c r="Z1799" s="62" t="s">
        <v>10696</v>
      </c>
      <c r="AA1799" s="18" t="str">
        <f t="shared" si="907"/>
        <v>null</v>
      </c>
      <c r="AB1799" s="19" t="s">
        <v>0</v>
      </c>
      <c r="AC1799" s="18" t="str">
        <f t="shared" si="908"/>
        <v>null</v>
      </c>
      <c r="AD1799" s="19" t="s">
        <v>0</v>
      </c>
      <c r="AE1799" s="18" t="str">
        <f t="shared" si="912"/>
        <v>null</v>
      </c>
      <c r="AF1799" s="75" t="s">
        <v>0</v>
      </c>
      <c r="AG1799" s="38" t="s">
        <v>11092</v>
      </c>
    </row>
    <row r="1800" spans="1:33" customFormat="1" ht="6" customHeight="1" x14ac:dyDescent="0.4">
      <c r="A1800" s="4">
        <f>ROW()</f>
        <v>1800</v>
      </c>
      <c r="B1800" s="9" t="s">
        <v>27</v>
      </c>
      <c r="C1800" s="44" t="str">
        <f t="shared" si="917"/>
        <v>p.objetivar</v>
      </c>
      <c r="D1800" s="6" t="str">
        <f t="shared" si="911"/>
        <v>é.ods.11.06</v>
      </c>
      <c r="E1800" s="8" t="s">
        <v>28</v>
      </c>
      <c r="F1800" s="34" t="str">
        <f t="shared" si="924"/>
        <v>d.objetivar</v>
      </c>
      <c r="G1800" s="16" t="s">
        <v>10394</v>
      </c>
      <c r="H1800" s="33" t="s">
        <v>1581</v>
      </c>
      <c r="I1800" s="92" t="str">
        <f t="shared" si="910"/>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905"/>
        <v>Propriedade destinada a objetivar: é.ods.11.06</v>
      </c>
      <c r="V1800" s="5" t="str">
        <f t="shared" si="906"/>
        <v>Dado para objetivar:  ods.11.06  Deve ser formatado como (rdfs:Literal  or  xsd:string)</v>
      </c>
      <c r="W1800" s="38" t="s">
        <v>10548</v>
      </c>
      <c r="X1800" s="17" t="str">
        <f t="shared" si="922"/>
        <v>d.objet.206</v>
      </c>
      <c r="Y1800" s="17" t="str">
        <f t="shared" si="923"/>
        <v>Ação de objetivar</v>
      </c>
      <c r="Z1800" s="62" t="s">
        <v>10697</v>
      </c>
      <c r="AA1800" s="18" t="str">
        <f t="shared" si="907"/>
        <v>null</v>
      </c>
      <c r="AB1800" s="19" t="s">
        <v>0</v>
      </c>
      <c r="AC1800" s="18" t="str">
        <f t="shared" si="908"/>
        <v>null</v>
      </c>
      <c r="AD1800" s="19" t="s">
        <v>0</v>
      </c>
      <c r="AE1800" s="18" t="str">
        <f t="shared" si="912"/>
        <v>null</v>
      </c>
      <c r="AF1800" s="75" t="s">
        <v>0</v>
      </c>
      <c r="AG1800" s="38" t="s">
        <v>11093</v>
      </c>
    </row>
    <row r="1801" spans="1:33" customFormat="1" ht="6" customHeight="1" x14ac:dyDescent="0.4">
      <c r="A1801" s="4">
        <f>ROW()</f>
        <v>1801</v>
      </c>
      <c r="B1801" s="9" t="s">
        <v>27</v>
      </c>
      <c r="C1801" s="44" t="str">
        <f t="shared" si="917"/>
        <v>p.objetivar</v>
      </c>
      <c r="D1801" s="6" t="str">
        <f t="shared" si="911"/>
        <v>é.ods.11.07</v>
      </c>
      <c r="E1801" s="8" t="s">
        <v>28</v>
      </c>
      <c r="F1801" s="34" t="str">
        <f t="shared" si="924"/>
        <v>d.objetivar</v>
      </c>
      <c r="G1801" s="16" t="s">
        <v>10395</v>
      </c>
      <c r="H1801" s="33" t="s">
        <v>1581</v>
      </c>
      <c r="I1801" s="92" t="str">
        <f t="shared" si="910"/>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905"/>
        <v>Propriedade destinada a objetivar: é.ods.11.07</v>
      </c>
      <c r="V1801" s="5" t="str">
        <f t="shared" si="906"/>
        <v>Dado para objetivar:  ods.11.07  Deve ser formatado como (rdfs:Literal  or  xsd:string)</v>
      </c>
      <c r="W1801" s="38" t="s">
        <v>10549</v>
      </c>
      <c r="X1801" s="17" t="str">
        <f t="shared" si="922"/>
        <v>d.objet.207</v>
      </c>
      <c r="Y1801" s="17" t="str">
        <f t="shared" si="923"/>
        <v>Ação de objetivar</v>
      </c>
      <c r="Z1801" s="62" t="s">
        <v>10698</v>
      </c>
      <c r="AA1801" s="18" t="str">
        <f t="shared" si="907"/>
        <v>null</v>
      </c>
      <c r="AB1801" s="19" t="s">
        <v>0</v>
      </c>
      <c r="AC1801" s="18" t="str">
        <f t="shared" si="908"/>
        <v>null</v>
      </c>
      <c r="AD1801" s="19" t="s">
        <v>0</v>
      </c>
      <c r="AE1801" s="18" t="str">
        <f t="shared" si="912"/>
        <v>null</v>
      </c>
      <c r="AF1801" s="75" t="s">
        <v>0</v>
      </c>
      <c r="AG1801" s="38" t="s">
        <v>11094</v>
      </c>
    </row>
    <row r="1802" spans="1:33" customFormat="1" ht="6" customHeight="1" x14ac:dyDescent="0.4">
      <c r="A1802" s="4">
        <f>ROW()</f>
        <v>1802</v>
      </c>
      <c r="B1802" s="9" t="s">
        <v>27</v>
      </c>
      <c r="C1802" s="44" t="str">
        <f t="shared" si="917"/>
        <v>p.objetivar</v>
      </c>
      <c r="D1802" s="6" t="str">
        <f t="shared" si="911"/>
        <v>é.ods.11.08</v>
      </c>
      <c r="E1802" s="8" t="s">
        <v>28</v>
      </c>
      <c r="F1802" s="34" t="str">
        <f t="shared" si="924"/>
        <v>d.objetivar</v>
      </c>
      <c r="G1802" s="16" t="s">
        <v>10396</v>
      </c>
      <c r="H1802" s="33" t="s">
        <v>1581</v>
      </c>
      <c r="I1802" s="92" t="str">
        <f t="shared" si="910"/>
        <v>null</v>
      </c>
      <c r="J1802" s="82" t="s">
        <v>0</v>
      </c>
      <c r="K1802" s="82" t="s">
        <v>0</v>
      </c>
      <c r="L1802" s="82" t="s">
        <v>0</v>
      </c>
      <c r="M1802" s="82" t="s">
        <v>0</v>
      </c>
      <c r="N1802" s="80" t="s">
        <v>0</v>
      </c>
      <c r="O1802" s="82" t="s">
        <v>0</v>
      </c>
      <c r="P1802" s="82" t="s">
        <v>0</v>
      </c>
      <c r="Q1802" s="82" t="s">
        <v>0</v>
      </c>
      <c r="R1802" s="84" t="s">
        <v>0</v>
      </c>
      <c r="S1802" s="10" t="s">
        <v>1</v>
      </c>
      <c r="T1802" s="10" t="s">
        <v>10221</v>
      </c>
      <c r="U1802" s="5" t="str">
        <f t="shared" si="905"/>
        <v>Propriedade destinada a objetivar: é.ods.11.08</v>
      </c>
      <c r="V1802" s="5" t="str">
        <f t="shared" si="906"/>
        <v>Dado para objetivar:  ods.11.08  Deve ser formatado como (rdfs:Literal  or  xsd:string)</v>
      </c>
      <c r="W1802" s="38" t="s">
        <v>10550</v>
      </c>
      <c r="X1802" s="17" t="str">
        <f t="shared" si="922"/>
        <v>d.objet.208</v>
      </c>
      <c r="Y1802" s="17" t="str">
        <f t="shared" si="923"/>
        <v>Ação de objetivar</v>
      </c>
      <c r="Z1802" s="62" t="s">
        <v>10699</v>
      </c>
      <c r="AA1802" s="18" t="str">
        <f t="shared" si="907"/>
        <v>null</v>
      </c>
      <c r="AB1802" s="19" t="s">
        <v>0</v>
      </c>
      <c r="AC1802" s="18" t="str">
        <f t="shared" si="908"/>
        <v>null</v>
      </c>
      <c r="AD1802" s="19" t="s">
        <v>0</v>
      </c>
      <c r="AE1802" s="18" t="str">
        <f t="shared" si="912"/>
        <v>null</v>
      </c>
      <c r="AF1802" s="75" t="s">
        <v>0</v>
      </c>
      <c r="AG1802" s="38" t="s">
        <v>11095</v>
      </c>
    </row>
    <row r="1803" spans="1:33" customFormat="1" ht="6" customHeight="1" x14ac:dyDescent="0.4">
      <c r="A1803" s="4">
        <f>ROW()</f>
        <v>1803</v>
      </c>
      <c r="B1803" s="9" t="s">
        <v>27</v>
      </c>
      <c r="C1803" s="44" t="str">
        <f t="shared" si="917"/>
        <v>p.objetivar</v>
      </c>
      <c r="D1803" s="6" t="str">
        <f t="shared" si="911"/>
        <v>é.ods.11.09</v>
      </c>
      <c r="E1803" s="8" t="s">
        <v>28</v>
      </c>
      <c r="F1803" s="34" t="str">
        <f t="shared" si="924"/>
        <v>d.objetivar</v>
      </c>
      <c r="G1803" s="16" t="s">
        <v>10397</v>
      </c>
      <c r="H1803" s="33" t="s">
        <v>1581</v>
      </c>
      <c r="I1803" s="92" t="str">
        <f t="shared" si="910"/>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905"/>
        <v>Propriedade destinada a objetivar: é.ods.11.09</v>
      </c>
      <c r="V1803" s="5" t="str">
        <f t="shared" si="906"/>
        <v>Dado para objetivar:  ods.11.09  Deve ser formatado como (rdfs:Literal  or  xsd:string)</v>
      </c>
      <c r="W1803" s="38" t="s">
        <v>10551</v>
      </c>
      <c r="X1803" s="17" t="str">
        <f t="shared" si="922"/>
        <v>d.objet.209</v>
      </c>
      <c r="Y1803" s="17" t="str">
        <f t="shared" si="923"/>
        <v>Ação de objetivar</v>
      </c>
      <c r="Z1803" s="62" t="s">
        <v>10700</v>
      </c>
      <c r="AA1803" s="18" t="str">
        <f t="shared" si="907"/>
        <v>null</v>
      </c>
      <c r="AB1803" s="19" t="s">
        <v>0</v>
      </c>
      <c r="AC1803" s="18" t="str">
        <f t="shared" si="908"/>
        <v>null</v>
      </c>
      <c r="AD1803" s="19" t="s">
        <v>0</v>
      </c>
      <c r="AE1803" s="18" t="str">
        <f t="shared" si="912"/>
        <v>null</v>
      </c>
      <c r="AF1803" s="75" t="s">
        <v>0</v>
      </c>
      <c r="AG1803" s="38" t="s">
        <v>11096</v>
      </c>
    </row>
    <row r="1804" spans="1:33" customFormat="1" ht="6" customHeight="1" x14ac:dyDescent="0.4">
      <c r="A1804" s="4">
        <f>ROW()</f>
        <v>1804</v>
      </c>
      <c r="B1804" s="9" t="s">
        <v>27</v>
      </c>
      <c r="C1804" s="44" t="str">
        <f t="shared" si="917"/>
        <v>p.objetivar</v>
      </c>
      <c r="D1804" s="6" t="str">
        <f t="shared" si="911"/>
        <v>é.ods.11.10</v>
      </c>
      <c r="E1804" s="8" t="s">
        <v>28</v>
      </c>
      <c r="F1804" s="34" t="str">
        <f t="shared" si="924"/>
        <v>d.objetivar</v>
      </c>
      <c r="G1804" s="16" t="s">
        <v>10398</v>
      </c>
      <c r="H1804" s="33" t="s">
        <v>1581</v>
      </c>
      <c r="I1804" s="92" t="str">
        <f t="shared" si="910"/>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905"/>
        <v>Propriedade destinada a objetivar: é.ods.11.10</v>
      </c>
      <c r="V1804" s="5" t="str">
        <f t="shared" si="906"/>
        <v>Dado para objetivar:  ods.11.10  Deve ser formatado como (rdfs:Literal  or  xsd:string)</v>
      </c>
      <c r="W1804" s="38" t="s">
        <v>10552</v>
      </c>
      <c r="X1804" s="17" t="str">
        <f t="shared" si="922"/>
        <v>d.objet.210</v>
      </c>
      <c r="Y1804" s="17" t="str">
        <f t="shared" si="923"/>
        <v>Ação de objetivar</v>
      </c>
      <c r="Z1804" s="62" t="s">
        <v>10701</v>
      </c>
      <c r="AA1804" s="18" t="str">
        <f t="shared" si="907"/>
        <v>null</v>
      </c>
      <c r="AB1804" s="19" t="s">
        <v>0</v>
      </c>
      <c r="AC1804" s="18" t="str">
        <f t="shared" si="908"/>
        <v>null</v>
      </c>
      <c r="AD1804" s="19" t="s">
        <v>0</v>
      </c>
      <c r="AE1804" s="18" t="str">
        <f t="shared" si="912"/>
        <v>null</v>
      </c>
      <c r="AF1804" s="75" t="s">
        <v>0</v>
      </c>
      <c r="AG1804" s="38" t="s">
        <v>11097</v>
      </c>
    </row>
    <row r="1805" spans="1:33" customFormat="1" ht="6" customHeight="1" x14ac:dyDescent="0.4">
      <c r="A1805" s="4">
        <f>ROW()</f>
        <v>1805</v>
      </c>
      <c r="B1805" s="9" t="s">
        <v>27</v>
      </c>
      <c r="C1805" s="44" t="str">
        <f t="shared" si="917"/>
        <v>p.objetivar</v>
      </c>
      <c r="D1805" s="6" t="str">
        <f t="shared" si="911"/>
        <v>é.ods.12</v>
      </c>
      <c r="E1805" s="8" t="s">
        <v>28</v>
      </c>
      <c r="F1805" s="34" t="str">
        <f>F1803</f>
        <v>d.objetivar</v>
      </c>
      <c r="G1805" s="16" t="s">
        <v>11098</v>
      </c>
      <c r="H1805" s="33" t="s">
        <v>1581</v>
      </c>
      <c r="I1805" s="92" t="str">
        <f t="shared" si="910"/>
        <v>null</v>
      </c>
      <c r="J1805" s="82" t="s">
        <v>0</v>
      </c>
      <c r="K1805" s="82" t="s">
        <v>0</v>
      </c>
      <c r="L1805" s="82" t="s">
        <v>0</v>
      </c>
      <c r="M1805" s="82" t="s">
        <v>0</v>
      </c>
      <c r="N1805" s="80" t="s">
        <v>0</v>
      </c>
      <c r="O1805" s="82" t="s">
        <v>0</v>
      </c>
      <c r="P1805" s="82" t="s">
        <v>0</v>
      </c>
      <c r="Q1805" s="82" t="s">
        <v>0</v>
      </c>
      <c r="R1805" s="84" t="s">
        <v>1761</v>
      </c>
      <c r="S1805" s="10" t="s">
        <v>1</v>
      </c>
      <c r="T1805" s="10" t="s">
        <v>10221</v>
      </c>
      <c r="U1805" s="5" t="str">
        <f t="shared" si="905"/>
        <v>Propriedade destinada a objetivar: é.ods.12</v>
      </c>
      <c r="V1805" s="5" t="str">
        <f t="shared" si="906"/>
        <v>Dado para objetivar:  ods.12  Deve ser formatado como (rdfs:Literal  or  xsd:string)</v>
      </c>
      <c r="W1805" s="38" t="s">
        <v>11099</v>
      </c>
      <c r="X1805" s="17" t="str">
        <f t="shared" si="922"/>
        <v>d.objet.211</v>
      </c>
      <c r="Y1805" s="17" t="str">
        <f t="shared" si="923"/>
        <v>Ação de objetivar</v>
      </c>
      <c r="Z1805" s="62" t="s">
        <v>11100</v>
      </c>
      <c r="AA1805" s="18" t="str">
        <f t="shared" si="907"/>
        <v>null</v>
      </c>
      <c r="AB1805" s="19" t="s">
        <v>0</v>
      </c>
      <c r="AC1805" s="18" t="str">
        <f t="shared" si="908"/>
        <v>null</v>
      </c>
      <c r="AD1805" s="19" t="s">
        <v>0</v>
      </c>
      <c r="AE1805" s="18" t="str">
        <f t="shared" si="912"/>
        <v>null</v>
      </c>
      <c r="AF1805" s="75" t="s">
        <v>0</v>
      </c>
      <c r="AG1805" s="38" t="s">
        <v>11101</v>
      </c>
    </row>
    <row r="1806" spans="1:33" customFormat="1" ht="6" customHeight="1" x14ac:dyDescent="0.4">
      <c r="A1806" s="4">
        <f>ROW()</f>
        <v>1806</v>
      </c>
      <c r="B1806" s="9" t="s">
        <v>27</v>
      </c>
      <c r="C1806" s="44" t="str">
        <f t="shared" si="917"/>
        <v>p.objetivar</v>
      </c>
      <c r="D1806" s="6" t="str">
        <f t="shared" si="911"/>
        <v>é.ods.12.01</v>
      </c>
      <c r="E1806" s="8" t="s">
        <v>28</v>
      </c>
      <c r="F1806" s="34" t="str">
        <f>F1804</f>
        <v>d.objetivar</v>
      </c>
      <c r="G1806" s="16" t="s">
        <v>10399</v>
      </c>
      <c r="H1806" s="33" t="s">
        <v>1581</v>
      </c>
      <c r="I1806" s="92" t="str">
        <f t="shared" si="910"/>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905"/>
        <v>Propriedade destinada a objetivar: é.ods.12.01</v>
      </c>
      <c r="V1806" s="5" t="str">
        <f t="shared" si="906"/>
        <v>Dado para objetivar:  ods.12.01  Deve ser formatado como (rdfs:Literal  or  xsd:string)</v>
      </c>
      <c r="W1806" s="38" t="s">
        <v>10553</v>
      </c>
      <c r="X1806" s="17" t="str">
        <f t="shared" si="922"/>
        <v>d.objet.212</v>
      </c>
      <c r="Y1806" s="17" t="str">
        <f t="shared" si="923"/>
        <v>Ação de objetivar</v>
      </c>
      <c r="Z1806" s="62" t="s">
        <v>10702</v>
      </c>
      <c r="AA1806" s="18" t="str">
        <f t="shared" si="907"/>
        <v>null</v>
      </c>
      <c r="AB1806" s="19" t="s">
        <v>0</v>
      </c>
      <c r="AC1806" s="18" t="str">
        <f t="shared" si="908"/>
        <v>null</v>
      </c>
      <c r="AD1806" s="19" t="s">
        <v>0</v>
      </c>
      <c r="AE1806" s="18" t="str">
        <f t="shared" si="912"/>
        <v>null</v>
      </c>
      <c r="AF1806" s="75" t="s">
        <v>0</v>
      </c>
      <c r="AG1806" s="38" t="s">
        <v>11102</v>
      </c>
    </row>
    <row r="1807" spans="1:33" customFormat="1" ht="6" customHeight="1" x14ac:dyDescent="0.4">
      <c r="A1807" s="4">
        <f>ROW()</f>
        <v>1807</v>
      </c>
      <c r="B1807" s="9" t="s">
        <v>27</v>
      </c>
      <c r="C1807" s="44" t="str">
        <f t="shared" si="917"/>
        <v>p.objetivar</v>
      </c>
      <c r="D1807" s="6" t="str">
        <f t="shared" si="911"/>
        <v>é.ods.12.02</v>
      </c>
      <c r="E1807" s="8" t="s">
        <v>28</v>
      </c>
      <c r="F1807" s="34" t="str">
        <f t="shared" ref="F1807:F1816" si="925">F1806</f>
        <v>d.objetivar</v>
      </c>
      <c r="G1807" s="16" t="s">
        <v>10400</v>
      </c>
      <c r="H1807" s="33" t="s">
        <v>1581</v>
      </c>
      <c r="I1807" s="92" t="str">
        <f t="shared" si="910"/>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905"/>
        <v>Propriedade destinada a objetivar: é.ods.12.02</v>
      </c>
      <c r="V1807" s="5" t="str">
        <f t="shared" si="906"/>
        <v>Dado para objetivar:  ods.12.02  Deve ser formatado como (rdfs:Literal  or  xsd:string)</v>
      </c>
      <c r="W1807" s="38" t="s">
        <v>10554</v>
      </c>
      <c r="X1807" s="17" t="str">
        <f t="shared" si="922"/>
        <v>d.objet.213</v>
      </c>
      <c r="Y1807" s="17" t="str">
        <f t="shared" si="923"/>
        <v>Ação de objetivar</v>
      </c>
      <c r="Z1807" s="62" t="s">
        <v>10703</v>
      </c>
      <c r="AA1807" s="18" t="str">
        <f t="shared" si="907"/>
        <v>null</v>
      </c>
      <c r="AB1807" s="19" t="s">
        <v>0</v>
      </c>
      <c r="AC1807" s="18" t="str">
        <f t="shared" si="908"/>
        <v>null</v>
      </c>
      <c r="AD1807" s="19" t="s">
        <v>0</v>
      </c>
      <c r="AE1807" s="18" t="str">
        <f t="shared" si="912"/>
        <v>null</v>
      </c>
      <c r="AF1807" s="75" t="s">
        <v>0</v>
      </c>
      <c r="AG1807" s="38" t="s">
        <v>11103</v>
      </c>
    </row>
    <row r="1808" spans="1:33" customFormat="1" ht="6" customHeight="1" x14ac:dyDescent="0.4">
      <c r="A1808" s="4">
        <f>ROW()</f>
        <v>1808</v>
      </c>
      <c r="B1808" s="9" t="s">
        <v>27</v>
      </c>
      <c r="C1808" s="44" t="str">
        <f t="shared" si="917"/>
        <v>p.objetivar</v>
      </c>
      <c r="D1808" s="6" t="str">
        <f t="shared" si="911"/>
        <v>é.ods.12.03</v>
      </c>
      <c r="E1808" s="8" t="s">
        <v>28</v>
      </c>
      <c r="F1808" s="34" t="str">
        <f t="shared" si="925"/>
        <v>d.objetivar</v>
      </c>
      <c r="G1808" s="16" t="s">
        <v>10401</v>
      </c>
      <c r="H1808" s="33" t="s">
        <v>1581</v>
      </c>
      <c r="I1808" s="92" t="str">
        <f t="shared" si="910"/>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905"/>
        <v>Propriedade destinada a objetivar: é.ods.12.03</v>
      </c>
      <c r="V1808" s="5" t="str">
        <f t="shared" si="906"/>
        <v>Dado para objetivar:  ods.12.03  Deve ser formatado como (rdfs:Literal  or  xsd:string)</v>
      </c>
      <c r="W1808" s="38" t="s">
        <v>10555</v>
      </c>
      <c r="X1808" s="17" t="str">
        <f t="shared" si="922"/>
        <v>d.objet.214</v>
      </c>
      <c r="Y1808" s="17" t="str">
        <f t="shared" si="923"/>
        <v>Ação de objetivar</v>
      </c>
      <c r="Z1808" s="62" t="s">
        <v>10704</v>
      </c>
      <c r="AA1808" s="18" t="str">
        <f t="shared" si="907"/>
        <v>null</v>
      </c>
      <c r="AB1808" s="19" t="s">
        <v>0</v>
      </c>
      <c r="AC1808" s="18" t="str">
        <f t="shared" si="908"/>
        <v>null</v>
      </c>
      <c r="AD1808" s="19" t="s">
        <v>0</v>
      </c>
      <c r="AE1808" s="18" t="str">
        <f t="shared" si="912"/>
        <v>null</v>
      </c>
      <c r="AF1808" s="75" t="s">
        <v>0</v>
      </c>
      <c r="AG1808" s="38" t="s">
        <v>11104</v>
      </c>
    </row>
    <row r="1809" spans="1:33" customFormat="1" ht="6" customHeight="1" x14ac:dyDescent="0.4">
      <c r="A1809" s="4">
        <f>ROW()</f>
        <v>1809</v>
      </c>
      <c r="B1809" s="9" t="s">
        <v>27</v>
      </c>
      <c r="C1809" s="44" t="str">
        <f t="shared" si="917"/>
        <v>p.objetivar</v>
      </c>
      <c r="D1809" s="6" t="str">
        <f t="shared" si="911"/>
        <v>é.ods.12.04</v>
      </c>
      <c r="E1809" s="8" t="s">
        <v>28</v>
      </c>
      <c r="F1809" s="34" t="str">
        <f t="shared" si="925"/>
        <v>d.objetivar</v>
      </c>
      <c r="G1809" s="16" t="s">
        <v>10402</v>
      </c>
      <c r="H1809" s="33" t="s">
        <v>1581</v>
      </c>
      <c r="I1809" s="92" t="str">
        <f t="shared" si="910"/>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905"/>
        <v>Propriedade destinada a objetivar: é.ods.12.04</v>
      </c>
      <c r="V1809" s="5" t="str">
        <f t="shared" si="906"/>
        <v>Dado para objetivar:  ods.12.04  Deve ser formatado como (rdfs:Literal  or  xsd:string)</v>
      </c>
      <c r="W1809" s="38" t="s">
        <v>10556</v>
      </c>
      <c r="X1809" s="17" t="str">
        <f t="shared" si="922"/>
        <v>d.objet.215</v>
      </c>
      <c r="Y1809" s="17" t="str">
        <f t="shared" si="923"/>
        <v>Ação de objetivar</v>
      </c>
      <c r="Z1809" s="62" t="s">
        <v>10705</v>
      </c>
      <c r="AA1809" s="18" t="str">
        <f t="shared" si="907"/>
        <v>null</v>
      </c>
      <c r="AB1809" s="19" t="s">
        <v>0</v>
      </c>
      <c r="AC1809" s="18" t="str">
        <f t="shared" si="908"/>
        <v>null</v>
      </c>
      <c r="AD1809" s="19" t="s">
        <v>0</v>
      </c>
      <c r="AE1809" s="18" t="str">
        <f t="shared" si="912"/>
        <v>null</v>
      </c>
      <c r="AF1809" s="75" t="s">
        <v>0</v>
      </c>
      <c r="AG1809" s="38" t="s">
        <v>11105</v>
      </c>
    </row>
    <row r="1810" spans="1:33" customFormat="1" ht="6" customHeight="1" x14ac:dyDescent="0.4">
      <c r="A1810" s="4">
        <f>ROW()</f>
        <v>1810</v>
      </c>
      <c r="B1810" s="9" t="s">
        <v>27</v>
      </c>
      <c r="C1810" s="44" t="str">
        <f t="shared" si="917"/>
        <v>p.objetivar</v>
      </c>
      <c r="D1810" s="6" t="str">
        <f t="shared" si="911"/>
        <v>é.ods.12.05</v>
      </c>
      <c r="E1810" s="8" t="s">
        <v>28</v>
      </c>
      <c r="F1810" s="34" t="str">
        <f t="shared" si="925"/>
        <v>d.objetivar</v>
      </c>
      <c r="G1810" s="16" t="s">
        <v>10403</v>
      </c>
      <c r="H1810" s="33" t="s">
        <v>1581</v>
      </c>
      <c r="I1810" s="92" t="str">
        <f t="shared" si="910"/>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905"/>
        <v>Propriedade destinada a objetivar: é.ods.12.05</v>
      </c>
      <c r="V1810" s="5" t="str">
        <f t="shared" si="906"/>
        <v>Dado para objetivar:  ods.12.05  Deve ser formatado como (rdfs:Literal  or  xsd:string)</v>
      </c>
      <c r="W1810" s="38" t="s">
        <v>10557</v>
      </c>
      <c r="X1810" s="17" t="str">
        <f t="shared" si="922"/>
        <v>d.objet.216</v>
      </c>
      <c r="Y1810" s="17" t="str">
        <f t="shared" si="923"/>
        <v>Ação de objetivar</v>
      </c>
      <c r="Z1810" s="62" t="s">
        <v>10706</v>
      </c>
      <c r="AA1810" s="18" t="str">
        <f t="shared" si="907"/>
        <v>null</v>
      </c>
      <c r="AB1810" s="19" t="s">
        <v>0</v>
      </c>
      <c r="AC1810" s="18" t="str">
        <f t="shared" si="908"/>
        <v>null</v>
      </c>
      <c r="AD1810" s="19" t="s">
        <v>0</v>
      </c>
      <c r="AE1810" s="18" t="str">
        <f t="shared" si="912"/>
        <v>null</v>
      </c>
      <c r="AF1810" s="75" t="s">
        <v>0</v>
      </c>
      <c r="AG1810" s="38" t="s">
        <v>11106</v>
      </c>
    </row>
    <row r="1811" spans="1:33" customFormat="1" ht="6" customHeight="1" x14ac:dyDescent="0.4">
      <c r="A1811" s="4">
        <f>ROW()</f>
        <v>1811</v>
      </c>
      <c r="B1811" s="9" t="s">
        <v>27</v>
      </c>
      <c r="C1811" s="44" t="str">
        <f t="shared" si="917"/>
        <v>p.objetivar</v>
      </c>
      <c r="D1811" s="6" t="str">
        <f t="shared" si="911"/>
        <v>é.ods.12.06</v>
      </c>
      <c r="E1811" s="8" t="s">
        <v>28</v>
      </c>
      <c r="F1811" s="34" t="str">
        <f t="shared" si="925"/>
        <v>d.objetivar</v>
      </c>
      <c r="G1811" s="16" t="s">
        <v>10404</v>
      </c>
      <c r="H1811" s="33" t="s">
        <v>1581</v>
      </c>
      <c r="I1811" s="92" t="str">
        <f t="shared" si="910"/>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905"/>
        <v>Propriedade destinada a objetivar: é.ods.12.06</v>
      </c>
      <c r="V1811" s="5" t="str">
        <f t="shared" si="906"/>
        <v>Dado para objetivar:  ods.12.06  Deve ser formatado como (rdfs:Literal  or  xsd:string)</v>
      </c>
      <c r="W1811" s="38" t="s">
        <v>10558</v>
      </c>
      <c r="X1811" s="17" t="str">
        <f t="shared" si="922"/>
        <v>d.objet.217</v>
      </c>
      <c r="Y1811" s="17" t="str">
        <f t="shared" si="923"/>
        <v>Ação de objetivar</v>
      </c>
      <c r="Z1811" s="62" t="s">
        <v>10707</v>
      </c>
      <c r="AA1811" s="18" t="str">
        <f t="shared" si="907"/>
        <v>null</v>
      </c>
      <c r="AB1811" s="19" t="s">
        <v>0</v>
      </c>
      <c r="AC1811" s="18" t="str">
        <f t="shared" si="908"/>
        <v>null</v>
      </c>
      <c r="AD1811" s="19" t="s">
        <v>0</v>
      </c>
      <c r="AE1811" s="18" t="str">
        <f t="shared" si="912"/>
        <v>null</v>
      </c>
      <c r="AF1811" s="75" t="s">
        <v>0</v>
      </c>
      <c r="AG1811" s="38" t="s">
        <v>11107</v>
      </c>
    </row>
    <row r="1812" spans="1:33" customFormat="1" ht="6" customHeight="1" x14ac:dyDescent="0.4">
      <c r="A1812" s="4">
        <f>ROW()</f>
        <v>1812</v>
      </c>
      <c r="B1812" s="9" t="s">
        <v>27</v>
      </c>
      <c r="C1812" s="44" t="str">
        <f t="shared" si="917"/>
        <v>p.objetivar</v>
      </c>
      <c r="D1812" s="6" t="str">
        <f t="shared" si="911"/>
        <v>é.ods.12.07</v>
      </c>
      <c r="E1812" s="8" t="s">
        <v>28</v>
      </c>
      <c r="F1812" s="34" t="str">
        <f t="shared" si="925"/>
        <v>d.objetivar</v>
      </c>
      <c r="G1812" s="16" t="s">
        <v>10405</v>
      </c>
      <c r="H1812" s="33" t="s">
        <v>1581</v>
      </c>
      <c r="I1812" s="92" t="str">
        <f t="shared" si="910"/>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905"/>
        <v>Propriedade destinada a objetivar: é.ods.12.07</v>
      </c>
      <c r="V1812" s="5" t="str">
        <f t="shared" si="906"/>
        <v>Dado para objetivar:  ods.12.07  Deve ser formatado como (rdfs:Literal  or  xsd:string)</v>
      </c>
      <c r="W1812" s="38" t="s">
        <v>10559</v>
      </c>
      <c r="X1812" s="17" t="str">
        <f t="shared" si="922"/>
        <v>d.objet.218</v>
      </c>
      <c r="Y1812" s="17" t="str">
        <f t="shared" si="923"/>
        <v>Ação de objetivar</v>
      </c>
      <c r="Z1812" s="62" t="s">
        <v>10708</v>
      </c>
      <c r="AA1812" s="18" t="str">
        <f t="shared" si="907"/>
        <v>null</v>
      </c>
      <c r="AB1812" s="19" t="s">
        <v>0</v>
      </c>
      <c r="AC1812" s="18" t="str">
        <f t="shared" si="908"/>
        <v>null</v>
      </c>
      <c r="AD1812" s="19" t="s">
        <v>0</v>
      </c>
      <c r="AE1812" s="18" t="str">
        <f t="shared" si="912"/>
        <v>null</v>
      </c>
      <c r="AF1812" s="75" t="s">
        <v>0</v>
      </c>
      <c r="AG1812" s="38" t="s">
        <v>11108</v>
      </c>
    </row>
    <row r="1813" spans="1:33" customFormat="1" ht="6" customHeight="1" x14ac:dyDescent="0.4">
      <c r="A1813" s="4">
        <f>ROW()</f>
        <v>1813</v>
      </c>
      <c r="B1813" s="9" t="s">
        <v>27</v>
      </c>
      <c r="C1813" s="44" t="str">
        <f t="shared" si="917"/>
        <v>p.objetivar</v>
      </c>
      <c r="D1813" s="6" t="str">
        <f t="shared" si="911"/>
        <v>é.ods.12.08</v>
      </c>
      <c r="E1813" s="8" t="s">
        <v>28</v>
      </c>
      <c r="F1813" s="34" t="str">
        <f t="shared" si="925"/>
        <v>d.objetivar</v>
      </c>
      <c r="G1813" s="16" t="s">
        <v>10406</v>
      </c>
      <c r="H1813" s="33" t="s">
        <v>1581</v>
      </c>
      <c r="I1813" s="92" t="str">
        <f t="shared" si="910"/>
        <v>null</v>
      </c>
      <c r="J1813" s="82" t="s">
        <v>0</v>
      </c>
      <c r="K1813" s="82" t="s">
        <v>0</v>
      </c>
      <c r="L1813" s="82" t="s">
        <v>0</v>
      </c>
      <c r="M1813" s="82" t="s">
        <v>0</v>
      </c>
      <c r="N1813" s="80" t="s">
        <v>0</v>
      </c>
      <c r="O1813" s="82" t="s">
        <v>0</v>
      </c>
      <c r="P1813" s="82" t="s">
        <v>0</v>
      </c>
      <c r="Q1813" s="82" t="s">
        <v>0</v>
      </c>
      <c r="R1813" s="84" t="s">
        <v>0</v>
      </c>
      <c r="S1813" s="10" t="s">
        <v>1</v>
      </c>
      <c r="T1813" s="10" t="s">
        <v>10221</v>
      </c>
      <c r="U1813" s="5" t="str">
        <f t="shared" si="905"/>
        <v>Propriedade destinada a objetivar: é.ods.12.08</v>
      </c>
      <c r="V1813" s="5" t="str">
        <f t="shared" si="906"/>
        <v>Dado para objetivar:  ods.12.08  Deve ser formatado como (rdfs:Literal  or  xsd:string)</v>
      </c>
      <c r="W1813" s="38" t="s">
        <v>10560</v>
      </c>
      <c r="X1813" s="17" t="str">
        <f t="shared" si="922"/>
        <v>d.objet.219</v>
      </c>
      <c r="Y1813" s="17" t="str">
        <f t="shared" si="923"/>
        <v>Ação de objetivar</v>
      </c>
      <c r="Z1813" s="62" t="s">
        <v>10709</v>
      </c>
      <c r="AA1813" s="18" t="str">
        <f t="shared" si="907"/>
        <v>null</v>
      </c>
      <c r="AB1813" s="19" t="s">
        <v>0</v>
      </c>
      <c r="AC1813" s="18" t="str">
        <f t="shared" si="908"/>
        <v>null</v>
      </c>
      <c r="AD1813" s="19" t="s">
        <v>0</v>
      </c>
      <c r="AE1813" s="18" t="str">
        <f t="shared" si="912"/>
        <v>null</v>
      </c>
      <c r="AF1813" s="75" t="s">
        <v>0</v>
      </c>
      <c r="AG1813" s="38" t="s">
        <v>11109</v>
      </c>
    </row>
    <row r="1814" spans="1:33" customFormat="1" ht="6" customHeight="1" x14ac:dyDescent="0.4">
      <c r="A1814" s="4">
        <f>ROW()</f>
        <v>1814</v>
      </c>
      <c r="B1814" s="9" t="s">
        <v>27</v>
      </c>
      <c r="C1814" s="44" t="str">
        <f t="shared" si="917"/>
        <v>p.objetivar</v>
      </c>
      <c r="D1814" s="6" t="str">
        <f t="shared" si="911"/>
        <v>é.ods.12.09</v>
      </c>
      <c r="E1814" s="8" t="s">
        <v>28</v>
      </c>
      <c r="F1814" s="34" t="str">
        <f t="shared" si="925"/>
        <v>d.objetivar</v>
      </c>
      <c r="G1814" s="16" t="s">
        <v>10407</v>
      </c>
      <c r="H1814" s="33" t="s">
        <v>1581</v>
      </c>
      <c r="I1814" s="92" t="str">
        <f t="shared" si="910"/>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905"/>
        <v>Propriedade destinada a objetivar: é.ods.12.09</v>
      </c>
      <c r="V1814" s="5" t="str">
        <f t="shared" si="906"/>
        <v>Dado para objetivar:  ods.12.09  Deve ser formatado como (rdfs:Literal  or  xsd:string)</v>
      </c>
      <c r="W1814" s="38" t="s">
        <v>10561</v>
      </c>
      <c r="X1814" s="17" t="str">
        <f t="shared" si="922"/>
        <v>d.objet.220</v>
      </c>
      <c r="Y1814" s="17" t="str">
        <f t="shared" si="923"/>
        <v>Ação de objetivar</v>
      </c>
      <c r="Z1814" s="62" t="s">
        <v>10710</v>
      </c>
      <c r="AA1814" s="18" t="str">
        <f t="shared" si="907"/>
        <v>null</v>
      </c>
      <c r="AB1814" s="19" t="s">
        <v>0</v>
      </c>
      <c r="AC1814" s="18" t="str">
        <f t="shared" si="908"/>
        <v>null</v>
      </c>
      <c r="AD1814" s="19" t="s">
        <v>0</v>
      </c>
      <c r="AE1814" s="18" t="str">
        <f t="shared" si="912"/>
        <v>null</v>
      </c>
      <c r="AF1814" s="75" t="s">
        <v>0</v>
      </c>
      <c r="AG1814" s="38" t="s">
        <v>11110</v>
      </c>
    </row>
    <row r="1815" spans="1:33" customFormat="1" ht="6" customHeight="1" x14ac:dyDescent="0.4">
      <c r="A1815" s="4">
        <f>ROW()</f>
        <v>1815</v>
      </c>
      <c r="B1815" s="9" t="s">
        <v>27</v>
      </c>
      <c r="C1815" s="44" t="str">
        <f t="shared" si="917"/>
        <v>p.objetivar</v>
      </c>
      <c r="D1815" s="6" t="str">
        <f t="shared" si="911"/>
        <v>é.ods.12.10</v>
      </c>
      <c r="E1815" s="8" t="s">
        <v>28</v>
      </c>
      <c r="F1815" s="34" t="str">
        <f t="shared" si="925"/>
        <v>d.objetivar</v>
      </c>
      <c r="G1815" s="16" t="s">
        <v>10408</v>
      </c>
      <c r="H1815" s="33" t="s">
        <v>1581</v>
      </c>
      <c r="I1815" s="92" t="str">
        <f t="shared" si="910"/>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905"/>
        <v>Propriedade destinada a objetivar: é.ods.12.10</v>
      </c>
      <c r="V1815" s="5" t="str">
        <f t="shared" si="906"/>
        <v>Dado para objetivar:  ods.12.10  Deve ser formatado como (rdfs:Literal  or  xsd:string)</v>
      </c>
      <c r="W1815" s="38" t="s">
        <v>10562</v>
      </c>
      <c r="X1815" s="17" t="str">
        <f t="shared" si="922"/>
        <v>d.objet.221</v>
      </c>
      <c r="Y1815" s="17" t="str">
        <f t="shared" si="923"/>
        <v>Ação de objetivar</v>
      </c>
      <c r="Z1815" s="62" t="s">
        <v>10711</v>
      </c>
      <c r="AA1815" s="18" t="str">
        <f t="shared" si="907"/>
        <v>null</v>
      </c>
      <c r="AB1815" s="19" t="s">
        <v>0</v>
      </c>
      <c r="AC1815" s="18" t="str">
        <f t="shared" si="908"/>
        <v>null</v>
      </c>
      <c r="AD1815" s="19" t="s">
        <v>0</v>
      </c>
      <c r="AE1815" s="18" t="str">
        <f t="shared" si="912"/>
        <v>null</v>
      </c>
      <c r="AF1815" s="75" t="s">
        <v>0</v>
      </c>
      <c r="AG1815" s="38" t="s">
        <v>11111</v>
      </c>
    </row>
    <row r="1816" spans="1:33" customFormat="1" ht="6" customHeight="1" x14ac:dyDescent="0.4">
      <c r="A1816" s="4">
        <f>ROW()</f>
        <v>1816</v>
      </c>
      <c r="B1816" s="9" t="s">
        <v>27</v>
      </c>
      <c r="C1816" s="44" t="str">
        <f t="shared" si="917"/>
        <v>p.objetivar</v>
      </c>
      <c r="D1816" s="6" t="str">
        <f t="shared" si="911"/>
        <v>é.ods.12.11</v>
      </c>
      <c r="E1816" s="8" t="s">
        <v>28</v>
      </c>
      <c r="F1816" s="34" t="str">
        <f t="shared" si="925"/>
        <v>d.objetivar</v>
      </c>
      <c r="G1816" s="16" t="s">
        <v>10409</v>
      </c>
      <c r="H1816" s="33" t="s">
        <v>1581</v>
      </c>
      <c r="I1816" s="92" t="str">
        <f t="shared" si="910"/>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905"/>
        <v>Propriedade destinada a objetivar: é.ods.12.11</v>
      </c>
      <c r="V1816" s="5" t="str">
        <f t="shared" si="906"/>
        <v>Dado para objetivar:  ods.12.11  Deve ser formatado como (rdfs:Literal  or  xsd:string)</v>
      </c>
      <c r="W1816" s="38" t="s">
        <v>10563</v>
      </c>
      <c r="X1816" s="17" t="str">
        <f t="shared" si="922"/>
        <v>d.objet.222</v>
      </c>
      <c r="Y1816" s="17" t="str">
        <f t="shared" si="923"/>
        <v>Ação de objetivar</v>
      </c>
      <c r="Z1816" s="62" t="s">
        <v>10712</v>
      </c>
      <c r="AA1816" s="18" t="str">
        <f t="shared" si="907"/>
        <v>null</v>
      </c>
      <c r="AB1816" s="19" t="s">
        <v>0</v>
      </c>
      <c r="AC1816" s="18" t="str">
        <f t="shared" si="908"/>
        <v>null</v>
      </c>
      <c r="AD1816" s="19" t="s">
        <v>0</v>
      </c>
      <c r="AE1816" s="18" t="str">
        <f t="shared" si="912"/>
        <v>null</v>
      </c>
      <c r="AF1816" s="75" t="s">
        <v>0</v>
      </c>
      <c r="AG1816" s="38" t="s">
        <v>11112</v>
      </c>
    </row>
    <row r="1817" spans="1:33" customFormat="1" ht="6" customHeight="1" x14ac:dyDescent="0.4">
      <c r="A1817" s="4">
        <f>ROW()</f>
        <v>1817</v>
      </c>
      <c r="B1817" s="9" t="s">
        <v>27</v>
      </c>
      <c r="C1817" s="44" t="str">
        <f t="shared" si="917"/>
        <v>p.objetivar</v>
      </c>
      <c r="D1817" s="6" t="str">
        <f t="shared" si="911"/>
        <v>é.ods.13</v>
      </c>
      <c r="E1817" s="8" t="s">
        <v>28</v>
      </c>
      <c r="F1817" s="34" t="str">
        <f>F1815</f>
        <v>d.objetivar</v>
      </c>
      <c r="G1817" s="16" t="s">
        <v>11113</v>
      </c>
      <c r="H1817" s="33" t="s">
        <v>1581</v>
      </c>
      <c r="I1817" s="92" t="str">
        <f t="shared" si="910"/>
        <v>null</v>
      </c>
      <c r="J1817" s="82" t="s">
        <v>0</v>
      </c>
      <c r="K1817" s="82" t="s">
        <v>0</v>
      </c>
      <c r="L1817" s="82" t="s">
        <v>0</v>
      </c>
      <c r="M1817" s="82" t="s">
        <v>0</v>
      </c>
      <c r="N1817" s="80" t="s">
        <v>0</v>
      </c>
      <c r="O1817" s="82" t="s">
        <v>0</v>
      </c>
      <c r="P1817" s="82" t="s">
        <v>0</v>
      </c>
      <c r="Q1817" s="82" t="s">
        <v>0</v>
      </c>
      <c r="R1817" s="84" t="s">
        <v>1761</v>
      </c>
      <c r="S1817" s="10" t="s">
        <v>1</v>
      </c>
      <c r="T1817" s="10" t="s">
        <v>10221</v>
      </c>
      <c r="U1817" s="5" t="str">
        <f t="shared" si="905"/>
        <v>Propriedade destinada a objetivar: é.ods.13</v>
      </c>
      <c r="V1817" s="5" t="str">
        <f t="shared" si="906"/>
        <v>Dado para objetivar:  ods.13  Deve ser formatado como (rdfs:Literal  or  xsd:string)</v>
      </c>
      <c r="W1817" s="38" t="s">
        <v>11114</v>
      </c>
      <c r="X1817" s="17" t="str">
        <f t="shared" si="922"/>
        <v>d.objet.223</v>
      </c>
      <c r="Y1817" s="17" t="str">
        <f t="shared" si="923"/>
        <v>Ação de objetivar</v>
      </c>
      <c r="Z1817" s="62" t="s">
        <v>11115</v>
      </c>
      <c r="AA1817" s="18" t="str">
        <f t="shared" si="907"/>
        <v>null</v>
      </c>
      <c r="AB1817" s="19" t="s">
        <v>0</v>
      </c>
      <c r="AC1817" s="18" t="str">
        <f t="shared" si="908"/>
        <v>null</v>
      </c>
      <c r="AD1817" s="19" t="s">
        <v>0</v>
      </c>
      <c r="AE1817" s="18" t="str">
        <f t="shared" si="912"/>
        <v>null</v>
      </c>
      <c r="AF1817" s="75" t="s">
        <v>0</v>
      </c>
      <c r="AG1817" s="38" t="s">
        <v>11116</v>
      </c>
    </row>
    <row r="1818" spans="1:33" customFormat="1" ht="6" customHeight="1" x14ac:dyDescent="0.4">
      <c r="A1818" s="4">
        <f>ROW()</f>
        <v>1818</v>
      </c>
      <c r="B1818" s="9" t="s">
        <v>27</v>
      </c>
      <c r="C1818" s="44" t="str">
        <f t="shared" si="917"/>
        <v>p.objetivar</v>
      </c>
      <c r="D1818" s="6" t="str">
        <f t="shared" si="911"/>
        <v>é.ods.13.01</v>
      </c>
      <c r="E1818" s="8" t="s">
        <v>28</v>
      </c>
      <c r="F1818" s="34" t="str">
        <f>F1816</f>
        <v>d.objetivar</v>
      </c>
      <c r="G1818" s="16" t="s">
        <v>10410</v>
      </c>
      <c r="H1818" s="33" t="s">
        <v>1581</v>
      </c>
      <c r="I1818" s="92" t="str">
        <f t="shared" si="910"/>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905"/>
        <v>Propriedade destinada a objetivar: é.ods.13.01</v>
      </c>
      <c r="V1818" s="5" t="str">
        <f t="shared" si="906"/>
        <v>Dado para objetivar:  ods.13.01  Deve ser formatado como (rdfs:Literal  or  xsd:string)</v>
      </c>
      <c r="W1818" s="38" t="s">
        <v>10773</v>
      </c>
      <c r="X1818" s="17" t="str">
        <f t="shared" si="922"/>
        <v>d.objet.224</v>
      </c>
      <c r="Y1818" s="17" t="str">
        <f t="shared" si="923"/>
        <v>Ação de objetivar</v>
      </c>
      <c r="Z1818" s="62" t="s">
        <v>11117</v>
      </c>
      <c r="AA1818" s="18" t="str">
        <f t="shared" si="907"/>
        <v>null</v>
      </c>
      <c r="AB1818" s="19" t="s">
        <v>0</v>
      </c>
      <c r="AC1818" s="18" t="str">
        <f t="shared" si="908"/>
        <v>null</v>
      </c>
      <c r="AD1818" s="19" t="s">
        <v>0</v>
      </c>
      <c r="AE1818" s="18" t="str">
        <f t="shared" si="912"/>
        <v>null</v>
      </c>
      <c r="AF1818" s="75" t="s">
        <v>0</v>
      </c>
      <c r="AG1818" s="38" t="s">
        <v>11118</v>
      </c>
    </row>
    <row r="1819" spans="1:33" customFormat="1" ht="6" customHeight="1" x14ac:dyDescent="0.4">
      <c r="A1819" s="4">
        <f>ROW()</f>
        <v>1819</v>
      </c>
      <c r="B1819" s="9" t="s">
        <v>27</v>
      </c>
      <c r="C1819" s="44" t="str">
        <f t="shared" si="917"/>
        <v>p.objetivar</v>
      </c>
      <c r="D1819" s="6" t="str">
        <f t="shared" si="911"/>
        <v>é.ods.13.02</v>
      </c>
      <c r="E1819" s="8" t="s">
        <v>28</v>
      </c>
      <c r="F1819" s="34" t="str">
        <f>F1818</f>
        <v>d.objetivar</v>
      </c>
      <c r="G1819" s="16" t="s">
        <v>10411</v>
      </c>
      <c r="H1819" s="33" t="s">
        <v>1581</v>
      </c>
      <c r="I1819" s="92" t="str">
        <f t="shared" si="910"/>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905"/>
        <v>Propriedade destinada a objetivar: é.ods.13.02</v>
      </c>
      <c r="V1819" s="5" t="str">
        <f t="shared" si="906"/>
        <v>Dado para objetivar:  ods.13.02  Deve ser formatado como (rdfs:Literal  or  xsd:string)</v>
      </c>
      <c r="W1819" s="38" t="s">
        <v>10774</v>
      </c>
      <c r="X1819" s="17" t="str">
        <f t="shared" si="922"/>
        <v>d.objet.225</v>
      </c>
      <c r="Y1819" s="17" t="str">
        <f t="shared" si="923"/>
        <v>Ação de objetivar</v>
      </c>
      <c r="Z1819" s="62" t="s">
        <v>11119</v>
      </c>
      <c r="AA1819" s="18" t="str">
        <f t="shared" si="907"/>
        <v>null</v>
      </c>
      <c r="AB1819" s="19" t="s">
        <v>0</v>
      </c>
      <c r="AC1819" s="18" t="str">
        <f t="shared" si="908"/>
        <v>null</v>
      </c>
      <c r="AD1819" s="19" t="s">
        <v>0</v>
      </c>
      <c r="AE1819" s="18" t="str">
        <f t="shared" si="912"/>
        <v>null</v>
      </c>
      <c r="AF1819" s="75" t="s">
        <v>0</v>
      </c>
      <c r="AG1819" s="38" t="s">
        <v>11120</v>
      </c>
    </row>
    <row r="1820" spans="1:33" customFormat="1" ht="6" customHeight="1" x14ac:dyDescent="0.4">
      <c r="A1820" s="4">
        <f>ROW()</f>
        <v>1820</v>
      </c>
      <c r="B1820" s="9" t="s">
        <v>27</v>
      </c>
      <c r="C1820" s="44" t="str">
        <f t="shared" si="917"/>
        <v>p.objetivar</v>
      </c>
      <c r="D1820" s="6" t="str">
        <f t="shared" si="911"/>
        <v>é.ods.13.03</v>
      </c>
      <c r="E1820" s="8" t="s">
        <v>28</v>
      </c>
      <c r="F1820" s="34" t="str">
        <f>F1819</f>
        <v>d.objetivar</v>
      </c>
      <c r="G1820" s="16" t="s">
        <v>10412</v>
      </c>
      <c r="H1820" s="33" t="s">
        <v>1581</v>
      </c>
      <c r="I1820" s="92" t="str">
        <f t="shared" si="910"/>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905"/>
        <v>Propriedade destinada a objetivar: é.ods.13.03</v>
      </c>
      <c r="V1820" s="5" t="str">
        <f t="shared" si="906"/>
        <v>Dado para objetivar:  ods.13.03  Deve ser formatado como (rdfs:Literal  or  xsd:string)</v>
      </c>
      <c r="W1820" s="38" t="s">
        <v>10775</v>
      </c>
      <c r="X1820" s="17" t="str">
        <f t="shared" si="922"/>
        <v>d.objet.226</v>
      </c>
      <c r="Y1820" s="17" t="str">
        <f t="shared" si="923"/>
        <v>Ação de objetivar</v>
      </c>
      <c r="Z1820" s="62" t="s">
        <v>11121</v>
      </c>
      <c r="AA1820" s="18" t="str">
        <f t="shared" si="907"/>
        <v>null</v>
      </c>
      <c r="AB1820" s="19" t="s">
        <v>0</v>
      </c>
      <c r="AC1820" s="18" t="str">
        <f t="shared" si="908"/>
        <v>null</v>
      </c>
      <c r="AD1820" s="19" t="s">
        <v>0</v>
      </c>
      <c r="AE1820" s="18" t="str">
        <f t="shared" si="912"/>
        <v>null</v>
      </c>
      <c r="AF1820" s="75" t="s">
        <v>0</v>
      </c>
      <c r="AG1820" s="38" t="s">
        <v>11122</v>
      </c>
    </row>
    <row r="1821" spans="1:33" customFormat="1" ht="6" customHeight="1" x14ac:dyDescent="0.4">
      <c r="A1821" s="4">
        <f>ROW()</f>
        <v>1821</v>
      </c>
      <c r="B1821" s="9" t="s">
        <v>27</v>
      </c>
      <c r="C1821" s="44" t="str">
        <f t="shared" si="917"/>
        <v>p.objetivar</v>
      </c>
      <c r="D1821" s="6" t="str">
        <f t="shared" si="911"/>
        <v>é.ods.13.04</v>
      </c>
      <c r="E1821" s="8" t="s">
        <v>28</v>
      </c>
      <c r="F1821" s="34" t="str">
        <f>F1820</f>
        <v>d.objetivar</v>
      </c>
      <c r="G1821" s="16" t="s">
        <v>10413</v>
      </c>
      <c r="H1821" s="33" t="s">
        <v>1581</v>
      </c>
      <c r="I1821" s="92" t="str">
        <f t="shared" si="910"/>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905"/>
        <v>Propriedade destinada a objetivar: é.ods.13.04</v>
      </c>
      <c r="V1821" s="5" t="str">
        <f t="shared" si="906"/>
        <v>Dado para objetivar:  ods.13.04  Deve ser formatado como (rdfs:Literal  or  xsd:string)</v>
      </c>
      <c r="W1821" s="38" t="s">
        <v>10776</v>
      </c>
      <c r="X1821" s="17" t="str">
        <f t="shared" si="922"/>
        <v>d.objet.227</v>
      </c>
      <c r="Y1821" s="17" t="str">
        <f t="shared" si="923"/>
        <v>Ação de objetivar</v>
      </c>
      <c r="Z1821" s="62" t="s">
        <v>11123</v>
      </c>
      <c r="AA1821" s="18" t="str">
        <f t="shared" si="907"/>
        <v>null</v>
      </c>
      <c r="AB1821" s="19" t="s">
        <v>0</v>
      </c>
      <c r="AC1821" s="18" t="str">
        <f t="shared" si="908"/>
        <v>null</v>
      </c>
      <c r="AD1821" s="19" t="s">
        <v>0</v>
      </c>
      <c r="AE1821" s="18" t="str">
        <f t="shared" si="912"/>
        <v>null</v>
      </c>
      <c r="AF1821" s="75" t="s">
        <v>0</v>
      </c>
      <c r="AG1821" s="38" t="s">
        <v>11124</v>
      </c>
    </row>
    <row r="1822" spans="1:33" customFormat="1" ht="6" customHeight="1" x14ac:dyDescent="0.4">
      <c r="A1822" s="4">
        <f>ROW()</f>
        <v>1822</v>
      </c>
      <c r="B1822" s="9" t="s">
        <v>27</v>
      </c>
      <c r="C1822" s="44" t="str">
        <f t="shared" si="917"/>
        <v>p.objetivar</v>
      </c>
      <c r="D1822" s="6" t="str">
        <f t="shared" si="911"/>
        <v>é.ods.13.05</v>
      </c>
      <c r="E1822" s="8" t="s">
        <v>28</v>
      </c>
      <c r="F1822" s="34" t="str">
        <f>F1821</f>
        <v>d.objetivar</v>
      </c>
      <c r="G1822" s="16" t="s">
        <v>10414</v>
      </c>
      <c r="H1822" s="33" t="s">
        <v>1581</v>
      </c>
      <c r="I1822" s="92" t="str">
        <f t="shared" si="910"/>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905"/>
        <v>Propriedade destinada a objetivar: é.ods.13.05</v>
      </c>
      <c r="V1822" s="5" t="str">
        <f t="shared" si="906"/>
        <v>Dado para objetivar:  ods.13.05  Deve ser formatado como (rdfs:Literal  or  xsd:string)</v>
      </c>
      <c r="W1822" s="38" t="s">
        <v>10777</v>
      </c>
      <c r="X1822" s="17" t="str">
        <f t="shared" si="922"/>
        <v>d.objet.228</v>
      </c>
      <c r="Y1822" s="17" t="str">
        <f t="shared" si="923"/>
        <v>Ação de objetivar</v>
      </c>
      <c r="Z1822" s="62" t="s">
        <v>11125</v>
      </c>
      <c r="AA1822" s="18" t="str">
        <f t="shared" si="907"/>
        <v>null</v>
      </c>
      <c r="AB1822" s="19" t="s">
        <v>0</v>
      </c>
      <c r="AC1822" s="18" t="str">
        <f t="shared" si="908"/>
        <v>null</v>
      </c>
      <c r="AD1822" s="19" t="s">
        <v>0</v>
      </c>
      <c r="AE1822" s="18" t="str">
        <f t="shared" si="912"/>
        <v>null</v>
      </c>
      <c r="AF1822" s="75" t="s">
        <v>0</v>
      </c>
      <c r="AG1822" s="38" t="s">
        <v>11126</v>
      </c>
    </row>
    <row r="1823" spans="1:33" customFormat="1" ht="6" customHeight="1" x14ac:dyDescent="0.4">
      <c r="A1823" s="4">
        <f>ROW()</f>
        <v>1823</v>
      </c>
      <c r="B1823" s="9" t="s">
        <v>27</v>
      </c>
      <c r="C1823" s="44" t="str">
        <f t="shared" si="917"/>
        <v>p.objetivar</v>
      </c>
      <c r="D1823" s="6" t="str">
        <f t="shared" si="911"/>
        <v>é.ods.14</v>
      </c>
      <c r="E1823" s="8" t="s">
        <v>28</v>
      </c>
      <c r="F1823" s="34" t="str">
        <f>F1821</f>
        <v>d.objetivar</v>
      </c>
      <c r="G1823" s="16" t="s">
        <v>11127</v>
      </c>
      <c r="H1823" s="33" t="s">
        <v>1581</v>
      </c>
      <c r="I1823" s="92" t="str">
        <f t="shared" si="910"/>
        <v>null</v>
      </c>
      <c r="J1823" s="82" t="s">
        <v>0</v>
      </c>
      <c r="K1823" s="82" t="s">
        <v>0</v>
      </c>
      <c r="L1823" s="82" t="s">
        <v>0</v>
      </c>
      <c r="M1823" s="82" t="s">
        <v>0</v>
      </c>
      <c r="N1823" s="80" t="s">
        <v>0</v>
      </c>
      <c r="O1823" s="82" t="s">
        <v>0</v>
      </c>
      <c r="P1823" s="82" t="s">
        <v>0</v>
      </c>
      <c r="Q1823" s="82" t="s">
        <v>0</v>
      </c>
      <c r="R1823" s="84" t="s">
        <v>1761</v>
      </c>
      <c r="S1823" s="10" t="s">
        <v>1</v>
      </c>
      <c r="T1823" s="10" t="s">
        <v>10221</v>
      </c>
      <c r="U1823" s="5" t="str">
        <f t="shared" si="905"/>
        <v>Propriedade destinada a objetivar: é.ods.14</v>
      </c>
      <c r="V1823" s="5" t="str">
        <f t="shared" si="906"/>
        <v>Dado para objetivar:  ods.14  Deve ser formatado como (rdfs:Literal  or  xsd:string)</v>
      </c>
      <c r="W1823" s="38" t="s">
        <v>11128</v>
      </c>
      <c r="X1823" s="17" t="str">
        <f t="shared" si="922"/>
        <v>d.objet.229</v>
      </c>
      <c r="Y1823" s="17" t="str">
        <f t="shared" si="923"/>
        <v>Ação de objetivar</v>
      </c>
      <c r="Z1823" s="62" t="s">
        <v>11129</v>
      </c>
      <c r="AA1823" s="18" t="str">
        <f t="shared" si="907"/>
        <v>null</v>
      </c>
      <c r="AB1823" s="19" t="s">
        <v>0</v>
      </c>
      <c r="AC1823" s="18" t="str">
        <f t="shared" si="908"/>
        <v>null</v>
      </c>
      <c r="AD1823" s="19" t="s">
        <v>0</v>
      </c>
      <c r="AE1823" s="18" t="str">
        <f t="shared" si="912"/>
        <v>null</v>
      </c>
      <c r="AF1823" s="75" t="s">
        <v>0</v>
      </c>
      <c r="AG1823" s="38" t="s">
        <v>11130</v>
      </c>
    </row>
    <row r="1824" spans="1:33" customFormat="1" ht="6" customHeight="1" x14ac:dyDescent="0.4">
      <c r="A1824" s="4">
        <f>ROW()</f>
        <v>1824</v>
      </c>
      <c r="B1824" s="9" t="s">
        <v>27</v>
      </c>
      <c r="C1824" s="44" t="str">
        <f t="shared" si="917"/>
        <v>p.objetivar</v>
      </c>
      <c r="D1824" s="6" t="str">
        <f t="shared" si="911"/>
        <v>é.ods.14.01</v>
      </c>
      <c r="E1824" s="8" t="s">
        <v>28</v>
      </c>
      <c r="F1824" s="34" t="str">
        <f>F1822</f>
        <v>d.objetivar</v>
      </c>
      <c r="G1824" s="16" t="s">
        <v>10415</v>
      </c>
      <c r="H1824" s="33" t="s">
        <v>1581</v>
      </c>
      <c r="I1824" s="92" t="str">
        <f t="shared" si="910"/>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905"/>
        <v>Propriedade destinada a objetivar: é.ods.14.01</v>
      </c>
      <c r="V1824" s="5" t="str">
        <f t="shared" si="906"/>
        <v>Dado para objetivar:  ods.14.01  Deve ser formatado como (rdfs:Literal  or  xsd:string)</v>
      </c>
      <c r="W1824" s="38" t="s">
        <v>10564</v>
      </c>
      <c r="X1824" s="17" t="str">
        <f t="shared" si="922"/>
        <v>d.objet.230</v>
      </c>
      <c r="Y1824" s="17" t="str">
        <f t="shared" si="923"/>
        <v>Ação de objetivar</v>
      </c>
      <c r="Z1824" s="62" t="s">
        <v>10713</v>
      </c>
      <c r="AA1824" s="18" t="str">
        <f t="shared" si="907"/>
        <v>null</v>
      </c>
      <c r="AB1824" s="19" t="s">
        <v>0</v>
      </c>
      <c r="AC1824" s="18" t="str">
        <f t="shared" si="908"/>
        <v>null</v>
      </c>
      <c r="AD1824" s="19" t="s">
        <v>0</v>
      </c>
      <c r="AE1824" s="18" t="str">
        <f t="shared" si="912"/>
        <v>null</v>
      </c>
      <c r="AF1824" s="75" t="s">
        <v>0</v>
      </c>
      <c r="AG1824" s="38" t="s">
        <v>11131</v>
      </c>
    </row>
    <row r="1825" spans="1:33" customFormat="1" ht="6" customHeight="1" x14ac:dyDescent="0.4">
      <c r="A1825" s="4">
        <f>ROW()</f>
        <v>1825</v>
      </c>
      <c r="B1825" s="9" t="s">
        <v>27</v>
      </c>
      <c r="C1825" s="44" t="str">
        <f t="shared" si="917"/>
        <v>p.objetivar</v>
      </c>
      <c r="D1825" s="6" t="str">
        <f t="shared" si="911"/>
        <v>é.ods.14.02</v>
      </c>
      <c r="E1825" s="8" t="s">
        <v>28</v>
      </c>
      <c r="F1825" s="34" t="str">
        <f t="shared" ref="F1825:F1833" si="926">F1824</f>
        <v>d.objetivar</v>
      </c>
      <c r="G1825" s="16" t="s">
        <v>10416</v>
      </c>
      <c r="H1825" s="33" t="s">
        <v>1581</v>
      </c>
      <c r="I1825" s="92" t="str">
        <f t="shared" si="910"/>
        <v>null</v>
      </c>
      <c r="J1825" s="82" t="s">
        <v>0</v>
      </c>
      <c r="K1825" s="82" t="s">
        <v>0</v>
      </c>
      <c r="L1825" s="82" t="s">
        <v>0</v>
      </c>
      <c r="M1825" s="82" t="s">
        <v>0</v>
      </c>
      <c r="N1825" s="80" t="s">
        <v>0</v>
      </c>
      <c r="O1825" s="82" t="s">
        <v>0</v>
      </c>
      <c r="P1825" s="82" t="s">
        <v>0</v>
      </c>
      <c r="Q1825" s="82" t="s">
        <v>0</v>
      </c>
      <c r="R1825" s="84" t="s">
        <v>0</v>
      </c>
      <c r="S1825" s="10" t="s">
        <v>1</v>
      </c>
      <c r="T1825" s="10" t="s">
        <v>10221</v>
      </c>
      <c r="U1825" s="5" t="str">
        <f t="shared" si="905"/>
        <v>Propriedade destinada a objetivar: é.ods.14.02</v>
      </c>
      <c r="V1825" s="5" t="str">
        <f t="shared" si="906"/>
        <v>Dado para objetivar:  ods.14.02  Deve ser formatado como (rdfs:Literal  or  xsd:string)</v>
      </c>
      <c r="W1825" s="38" t="s">
        <v>10565</v>
      </c>
      <c r="X1825" s="17" t="str">
        <f t="shared" si="922"/>
        <v>d.objet.231</v>
      </c>
      <c r="Y1825" s="17" t="str">
        <f t="shared" si="923"/>
        <v>Ação de objetivar</v>
      </c>
      <c r="Z1825" s="62" t="s">
        <v>10714</v>
      </c>
      <c r="AA1825" s="18" t="str">
        <f t="shared" si="907"/>
        <v>null</v>
      </c>
      <c r="AB1825" s="19" t="s">
        <v>0</v>
      </c>
      <c r="AC1825" s="18" t="str">
        <f t="shared" si="908"/>
        <v>null</v>
      </c>
      <c r="AD1825" s="19" t="s">
        <v>0</v>
      </c>
      <c r="AE1825" s="18" t="str">
        <f t="shared" si="912"/>
        <v>null</v>
      </c>
      <c r="AF1825" s="75" t="s">
        <v>0</v>
      </c>
      <c r="AG1825" s="38" t="s">
        <v>11132</v>
      </c>
    </row>
    <row r="1826" spans="1:33" customFormat="1" ht="6" customHeight="1" x14ac:dyDescent="0.4">
      <c r="A1826" s="4">
        <f>ROW()</f>
        <v>1826</v>
      </c>
      <c r="B1826" s="9" t="s">
        <v>27</v>
      </c>
      <c r="C1826" s="44" t="str">
        <f t="shared" si="917"/>
        <v>p.objetivar</v>
      </c>
      <c r="D1826" s="6" t="str">
        <f t="shared" si="911"/>
        <v>é.ods.14.03</v>
      </c>
      <c r="E1826" s="8" t="s">
        <v>28</v>
      </c>
      <c r="F1826" s="34" t="str">
        <f t="shared" si="926"/>
        <v>d.objetivar</v>
      </c>
      <c r="G1826" s="16" t="s">
        <v>10417</v>
      </c>
      <c r="H1826" s="33" t="s">
        <v>1581</v>
      </c>
      <c r="I1826" s="92" t="str">
        <f t="shared" si="910"/>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905"/>
        <v>Propriedade destinada a objetivar: é.ods.14.03</v>
      </c>
      <c r="V1826" s="5" t="str">
        <f t="shared" si="906"/>
        <v>Dado para objetivar:  ods.14.03  Deve ser formatado como (rdfs:Literal  or  xsd:string)</v>
      </c>
      <c r="W1826" s="38" t="s">
        <v>10566</v>
      </c>
      <c r="X1826" s="17" t="str">
        <f t="shared" si="922"/>
        <v>d.objet.232</v>
      </c>
      <c r="Y1826" s="17" t="str">
        <f t="shared" si="923"/>
        <v>Ação de objetivar</v>
      </c>
      <c r="Z1826" s="62" t="s">
        <v>10715</v>
      </c>
      <c r="AA1826" s="18" t="str">
        <f t="shared" si="907"/>
        <v>null</v>
      </c>
      <c r="AB1826" s="19" t="s">
        <v>0</v>
      </c>
      <c r="AC1826" s="18" t="str">
        <f t="shared" si="908"/>
        <v>null</v>
      </c>
      <c r="AD1826" s="19" t="s">
        <v>0</v>
      </c>
      <c r="AE1826" s="18" t="str">
        <f t="shared" si="912"/>
        <v>null</v>
      </c>
      <c r="AF1826" s="75" t="s">
        <v>0</v>
      </c>
      <c r="AG1826" s="38" t="s">
        <v>11133</v>
      </c>
    </row>
    <row r="1827" spans="1:33" customFormat="1" ht="6" customHeight="1" x14ac:dyDescent="0.4">
      <c r="A1827" s="4">
        <f>ROW()</f>
        <v>1827</v>
      </c>
      <c r="B1827" s="9" t="s">
        <v>27</v>
      </c>
      <c r="C1827" s="44" t="str">
        <f t="shared" si="917"/>
        <v>p.objetivar</v>
      </c>
      <c r="D1827" s="6" t="str">
        <f t="shared" si="911"/>
        <v>é.ods.14.04</v>
      </c>
      <c r="E1827" s="8" t="s">
        <v>28</v>
      </c>
      <c r="F1827" s="34" t="str">
        <f t="shared" si="926"/>
        <v>d.objetivar</v>
      </c>
      <c r="G1827" s="16" t="s">
        <v>10418</v>
      </c>
      <c r="H1827" s="33" t="s">
        <v>1581</v>
      </c>
      <c r="I1827" s="92" t="str">
        <f t="shared" si="910"/>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905"/>
        <v>Propriedade destinada a objetivar: é.ods.14.04</v>
      </c>
      <c r="V1827" s="5" t="str">
        <f t="shared" si="906"/>
        <v>Dado para objetivar:  ods.14.04  Deve ser formatado como (rdfs:Literal  or  xsd:string)</v>
      </c>
      <c r="W1827" s="39" t="s">
        <v>10567</v>
      </c>
      <c r="X1827" s="17" t="str">
        <f t="shared" si="922"/>
        <v>d.objet.233</v>
      </c>
      <c r="Y1827" s="17" t="str">
        <f t="shared" si="923"/>
        <v>Ação de objetivar</v>
      </c>
      <c r="Z1827" s="62" t="s">
        <v>10716</v>
      </c>
      <c r="AA1827" s="18" t="str">
        <f t="shared" si="907"/>
        <v>null</v>
      </c>
      <c r="AB1827" s="19" t="s">
        <v>0</v>
      </c>
      <c r="AC1827" s="18" t="str">
        <f t="shared" si="908"/>
        <v>null</v>
      </c>
      <c r="AD1827" s="19" t="s">
        <v>0</v>
      </c>
      <c r="AE1827" s="18" t="str">
        <f t="shared" si="912"/>
        <v>null</v>
      </c>
      <c r="AF1827" s="75" t="s">
        <v>0</v>
      </c>
      <c r="AG1827" s="38" t="s">
        <v>11134</v>
      </c>
    </row>
    <row r="1828" spans="1:33" customFormat="1" ht="6" customHeight="1" x14ac:dyDescent="0.4">
      <c r="A1828" s="4">
        <f>ROW()</f>
        <v>1828</v>
      </c>
      <c r="B1828" s="9" t="s">
        <v>27</v>
      </c>
      <c r="C1828" s="44" t="str">
        <f t="shared" si="917"/>
        <v>p.objetivar</v>
      </c>
      <c r="D1828" s="6" t="str">
        <f t="shared" si="911"/>
        <v>é.ods.14.05</v>
      </c>
      <c r="E1828" s="8" t="s">
        <v>28</v>
      </c>
      <c r="F1828" s="34" t="str">
        <f t="shared" si="926"/>
        <v>d.objetivar</v>
      </c>
      <c r="G1828" s="16" t="s">
        <v>10419</v>
      </c>
      <c r="H1828" s="33" t="s">
        <v>1581</v>
      </c>
      <c r="I1828" s="92" t="str">
        <f t="shared" si="910"/>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905"/>
        <v>Propriedade destinada a objetivar: é.ods.14.05</v>
      </c>
      <c r="V1828" s="5" t="str">
        <f t="shared" si="906"/>
        <v>Dado para objetivar:  ods.14.05  Deve ser formatado como (rdfs:Literal  or  xsd:string)</v>
      </c>
      <c r="W1828" s="38" t="s">
        <v>10568</v>
      </c>
      <c r="X1828" s="17" t="str">
        <f t="shared" si="922"/>
        <v>d.objet.234</v>
      </c>
      <c r="Y1828" s="17" t="str">
        <f t="shared" si="923"/>
        <v>Ação de objetivar</v>
      </c>
      <c r="Z1828" s="62" t="s">
        <v>10717</v>
      </c>
      <c r="AA1828" s="18" t="str">
        <f t="shared" si="907"/>
        <v>null</v>
      </c>
      <c r="AB1828" s="19" t="s">
        <v>0</v>
      </c>
      <c r="AC1828" s="18" t="str">
        <f t="shared" si="908"/>
        <v>null</v>
      </c>
      <c r="AD1828" s="19" t="s">
        <v>0</v>
      </c>
      <c r="AE1828" s="18" t="str">
        <f t="shared" si="912"/>
        <v>null</v>
      </c>
      <c r="AF1828" s="75" t="s">
        <v>0</v>
      </c>
      <c r="AG1828" s="38" t="s">
        <v>11135</v>
      </c>
    </row>
    <row r="1829" spans="1:33" customFormat="1" ht="6" customHeight="1" x14ac:dyDescent="0.4">
      <c r="A1829" s="4">
        <f>ROW()</f>
        <v>1829</v>
      </c>
      <c r="B1829" s="9" t="s">
        <v>27</v>
      </c>
      <c r="C1829" s="44" t="str">
        <f t="shared" si="917"/>
        <v>p.objetivar</v>
      </c>
      <c r="D1829" s="6" t="str">
        <f t="shared" si="911"/>
        <v>é.ods.14.06</v>
      </c>
      <c r="E1829" s="8" t="s">
        <v>28</v>
      </c>
      <c r="F1829" s="34" t="str">
        <f t="shared" si="926"/>
        <v>d.objetivar</v>
      </c>
      <c r="G1829" s="16" t="s">
        <v>10420</v>
      </c>
      <c r="H1829" s="33" t="s">
        <v>1581</v>
      </c>
      <c r="I1829" s="92" t="str">
        <f t="shared" si="910"/>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905"/>
        <v>Propriedade destinada a objetivar: é.ods.14.06</v>
      </c>
      <c r="V1829" s="5" t="str">
        <f t="shared" si="906"/>
        <v>Dado para objetivar:  ods.14.06  Deve ser formatado como (rdfs:Literal  or  xsd:string)</v>
      </c>
      <c r="W1829" s="38" t="s">
        <v>10569</v>
      </c>
      <c r="X1829" s="17" t="str">
        <f t="shared" si="922"/>
        <v>d.objet.235</v>
      </c>
      <c r="Y1829" s="17" t="str">
        <f t="shared" si="923"/>
        <v>Ação de objetivar</v>
      </c>
      <c r="Z1829" s="62" t="s">
        <v>10718</v>
      </c>
      <c r="AA1829" s="18" t="str">
        <f t="shared" si="907"/>
        <v>null</v>
      </c>
      <c r="AB1829" s="19" t="s">
        <v>0</v>
      </c>
      <c r="AC1829" s="18" t="str">
        <f t="shared" si="908"/>
        <v>null</v>
      </c>
      <c r="AD1829" s="19" t="s">
        <v>0</v>
      </c>
      <c r="AE1829" s="18" t="str">
        <f t="shared" si="912"/>
        <v>null</v>
      </c>
      <c r="AF1829" s="75" t="s">
        <v>0</v>
      </c>
      <c r="AG1829" s="38" t="s">
        <v>11136</v>
      </c>
    </row>
    <row r="1830" spans="1:33" customFormat="1" ht="6" customHeight="1" x14ac:dyDescent="0.4">
      <c r="A1830" s="4">
        <f>ROW()</f>
        <v>1830</v>
      </c>
      <c r="B1830" s="9" t="s">
        <v>27</v>
      </c>
      <c r="C1830" s="44" t="str">
        <f t="shared" si="917"/>
        <v>p.objetivar</v>
      </c>
      <c r="D1830" s="6" t="str">
        <f t="shared" si="911"/>
        <v>é.ods.14.07</v>
      </c>
      <c r="E1830" s="8" t="s">
        <v>28</v>
      </c>
      <c r="F1830" s="34" t="str">
        <f t="shared" si="926"/>
        <v>d.objetivar</v>
      </c>
      <c r="G1830" s="16" t="s">
        <v>10421</v>
      </c>
      <c r="H1830" s="33" t="s">
        <v>1581</v>
      </c>
      <c r="I1830" s="92" t="str">
        <f t="shared" si="910"/>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905"/>
        <v>Propriedade destinada a objetivar: é.ods.14.07</v>
      </c>
      <c r="V1830" s="5" t="str">
        <f t="shared" si="906"/>
        <v>Dado para objetivar:  ods.14.07  Deve ser formatado como (rdfs:Literal  or  xsd:string)</v>
      </c>
      <c r="W1830" s="38" t="s">
        <v>10570</v>
      </c>
      <c r="X1830" s="17" t="str">
        <f t="shared" si="922"/>
        <v>d.objet.236</v>
      </c>
      <c r="Y1830" s="17" t="str">
        <f t="shared" si="923"/>
        <v>Ação de objetivar</v>
      </c>
      <c r="Z1830" s="62" t="s">
        <v>10719</v>
      </c>
      <c r="AA1830" s="18" t="str">
        <f t="shared" si="907"/>
        <v>null</v>
      </c>
      <c r="AB1830" s="19" t="s">
        <v>0</v>
      </c>
      <c r="AC1830" s="18" t="str">
        <f t="shared" si="908"/>
        <v>null</v>
      </c>
      <c r="AD1830" s="19" t="s">
        <v>0</v>
      </c>
      <c r="AE1830" s="18" t="str">
        <f t="shared" si="912"/>
        <v>null</v>
      </c>
      <c r="AF1830" s="75" t="s">
        <v>0</v>
      </c>
      <c r="AG1830" s="38" t="s">
        <v>11137</v>
      </c>
    </row>
    <row r="1831" spans="1:33" customFormat="1" ht="6" customHeight="1" x14ac:dyDescent="0.4">
      <c r="A1831" s="4">
        <f>ROW()</f>
        <v>1831</v>
      </c>
      <c r="B1831" s="9" t="s">
        <v>27</v>
      </c>
      <c r="C1831" s="44" t="str">
        <f t="shared" si="917"/>
        <v>p.objetivar</v>
      </c>
      <c r="D1831" s="6" t="str">
        <f t="shared" si="911"/>
        <v>é.ods.14.08</v>
      </c>
      <c r="E1831" s="8" t="s">
        <v>28</v>
      </c>
      <c r="F1831" s="34" t="str">
        <f t="shared" si="926"/>
        <v>d.objetivar</v>
      </c>
      <c r="G1831" s="16" t="s">
        <v>10422</v>
      </c>
      <c r="H1831" s="33" t="s">
        <v>1581</v>
      </c>
      <c r="I1831" s="92" t="str">
        <f t="shared" si="910"/>
        <v>null</v>
      </c>
      <c r="J1831" s="82" t="s">
        <v>0</v>
      </c>
      <c r="K1831" s="82" t="s">
        <v>0</v>
      </c>
      <c r="L1831" s="82" t="s">
        <v>0</v>
      </c>
      <c r="M1831" s="82" t="s">
        <v>0</v>
      </c>
      <c r="N1831" s="80" t="s">
        <v>0</v>
      </c>
      <c r="O1831" s="82" t="s">
        <v>0</v>
      </c>
      <c r="P1831" s="82" t="s">
        <v>0</v>
      </c>
      <c r="Q1831" s="82" t="s">
        <v>0</v>
      </c>
      <c r="R1831" s="84" t="s">
        <v>0</v>
      </c>
      <c r="S1831" s="10" t="s">
        <v>1</v>
      </c>
      <c r="T1831" s="10" t="s">
        <v>10221</v>
      </c>
      <c r="U1831" s="5" t="str">
        <f t="shared" si="905"/>
        <v>Propriedade destinada a objetivar: é.ods.14.08</v>
      </c>
      <c r="V1831" s="5" t="str">
        <f t="shared" si="906"/>
        <v>Dado para objetivar:  ods.14.08  Deve ser formatado como (rdfs:Literal  or  xsd:string)</v>
      </c>
      <c r="W1831" s="38" t="s">
        <v>10571</v>
      </c>
      <c r="X1831" s="17" t="str">
        <f t="shared" si="922"/>
        <v>d.objet.237</v>
      </c>
      <c r="Y1831" s="17" t="str">
        <f t="shared" si="923"/>
        <v>Ação de objetivar</v>
      </c>
      <c r="Z1831" s="62" t="s">
        <v>10720</v>
      </c>
      <c r="AA1831" s="18" t="str">
        <f t="shared" si="907"/>
        <v>null</v>
      </c>
      <c r="AB1831" s="19" t="s">
        <v>0</v>
      </c>
      <c r="AC1831" s="18" t="str">
        <f t="shared" si="908"/>
        <v>null</v>
      </c>
      <c r="AD1831" s="19" t="s">
        <v>0</v>
      </c>
      <c r="AE1831" s="18" t="str">
        <f t="shared" si="912"/>
        <v>null</v>
      </c>
      <c r="AF1831" s="75" t="s">
        <v>0</v>
      </c>
      <c r="AG1831" s="38" t="s">
        <v>11138</v>
      </c>
    </row>
    <row r="1832" spans="1:33" customFormat="1" ht="6" customHeight="1" x14ac:dyDescent="0.4">
      <c r="A1832" s="4">
        <f>ROW()</f>
        <v>1832</v>
      </c>
      <c r="B1832" s="9" t="s">
        <v>27</v>
      </c>
      <c r="C1832" s="44" t="str">
        <f t="shared" si="917"/>
        <v>p.objetivar</v>
      </c>
      <c r="D1832" s="6" t="str">
        <f t="shared" si="911"/>
        <v>é.ods.14.09</v>
      </c>
      <c r="E1832" s="8" t="s">
        <v>28</v>
      </c>
      <c r="F1832" s="34" t="str">
        <f t="shared" si="926"/>
        <v>d.objetivar</v>
      </c>
      <c r="G1832" s="16" t="s">
        <v>10423</v>
      </c>
      <c r="H1832" s="33" t="s">
        <v>1581</v>
      </c>
      <c r="I1832" s="92" t="str">
        <f t="shared" si="910"/>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905"/>
        <v>Propriedade destinada a objetivar: é.ods.14.09</v>
      </c>
      <c r="V1832" s="5" t="str">
        <f t="shared" si="906"/>
        <v>Dado para objetivar:  ods.14.09  Deve ser formatado como (rdfs:Literal  or  xsd:string)</v>
      </c>
      <c r="W1832" s="38" t="s">
        <v>10572</v>
      </c>
      <c r="X1832" s="17" t="str">
        <f t="shared" si="922"/>
        <v>d.objet.238</v>
      </c>
      <c r="Y1832" s="17" t="str">
        <f t="shared" si="923"/>
        <v>Ação de objetivar</v>
      </c>
      <c r="Z1832" s="62" t="s">
        <v>10721</v>
      </c>
      <c r="AA1832" s="18" t="str">
        <f t="shared" si="907"/>
        <v>null</v>
      </c>
      <c r="AB1832" s="19" t="s">
        <v>0</v>
      </c>
      <c r="AC1832" s="18" t="str">
        <f t="shared" si="908"/>
        <v>null</v>
      </c>
      <c r="AD1832" s="19" t="s">
        <v>0</v>
      </c>
      <c r="AE1832" s="18" t="str">
        <f t="shared" si="912"/>
        <v>null</v>
      </c>
      <c r="AF1832" s="75" t="s">
        <v>0</v>
      </c>
      <c r="AG1832" s="38" t="s">
        <v>11139</v>
      </c>
    </row>
    <row r="1833" spans="1:33" customFormat="1" ht="6" customHeight="1" x14ac:dyDescent="0.4">
      <c r="A1833" s="4">
        <f>ROW()</f>
        <v>1833</v>
      </c>
      <c r="B1833" s="9" t="s">
        <v>27</v>
      </c>
      <c r="C1833" s="44" t="str">
        <f t="shared" si="917"/>
        <v>p.objetivar</v>
      </c>
      <c r="D1833" s="6" t="str">
        <f t="shared" si="911"/>
        <v>é.ods.14.10</v>
      </c>
      <c r="E1833" s="8" t="s">
        <v>28</v>
      </c>
      <c r="F1833" s="34" t="str">
        <f t="shared" si="926"/>
        <v>d.objetivar</v>
      </c>
      <c r="G1833" s="16" t="s">
        <v>10424</v>
      </c>
      <c r="H1833" s="33" t="s">
        <v>1581</v>
      </c>
      <c r="I1833" s="92" t="str">
        <f t="shared" si="910"/>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905"/>
        <v>Propriedade destinada a objetivar: é.ods.14.10</v>
      </c>
      <c r="V1833" s="5" t="str">
        <f t="shared" si="906"/>
        <v>Dado para objetivar:  ods.14.10  Deve ser formatado como (rdfs:Literal  or  xsd:string)</v>
      </c>
      <c r="W1833" s="38" t="s">
        <v>10573</v>
      </c>
      <c r="X1833" s="17" t="str">
        <f t="shared" si="922"/>
        <v>d.objet.239</v>
      </c>
      <c r="Y1833" s="17" t="str">
        <f t="shared" si="923"/>
        <v>Ação de objetivar</v>
      </c>
      <c r="Z1833" s="62" t="s">
        <v>10722</v>
      </c>
      <c r="AA1833" s="18" t="str">
        <f t="shared" si="907"/>
        <v>null</v>
      </c>
      <c r="AB1833" s="19" t="s">
        <v>0</v>
      </c>
      <c r="AC1833" s="18" t="str">
        <f t="shared" si="908"/>
        <v>null</v>
      </c>
      <c r="AD1833" s="19" t="s">
        <v>0</v>
      </c>
      <c r="AE1833" s="18" t="str">
        <f t="shared" si="912"/>
        <v>null</v>
      </c>
      <c r="AF1833" s="75" t="s">
        <v>0</v>
      </c>
      <c r="AG1833" s="38" t="s">
        <v>11140</v>
      </c>
    </row>
    <row r="1834" spans="1:33" customFormat="1" ht="6" customHeight="1" x14ac:dyDescent="0.4">
      <c r="A1834" s="4">
        <f>ROW()</f>
        <v>1834</v>
      </c>
      <c r="B1834" s="9" t="s">
        <v>27</v>
      </c>
      <c r="C1834" s="44" t="str">
        <f t="shared" si="917"/>
        <v>p.objetivar</v>
      </c>
      <c r="D1834" s="6" t="str">
        <f t="shared" si="911"/>
        <v>é.ods.15</v>
      </c>
      <c r="E1834" s="8" t="s">
        <v>28</v>
      </c>
      <c r="F1834" s="34" t="str">
        <f>F1832</f>
        <v>d.objetivar</v>
      </c>
      <c r="G1834" s="16" t="s">
        <v>11141</v>
      </c>
      <c r="H1834" s="33" t="s">
        <v>1581</v>
      </c>
      <c r="I1834" s="92" t="str">
        <f t="shared" si="910"/>
        <v>null</v>
      </c>
      <c r="J1834" s="82" t="s">
        <v>0</v>
      </c>
      <c r="K1834" s="82" t="s">
        <v>0</v>
      </c>
      <c r="L1834" s="82" t="s">
        <v>0</v>
      </c>
      <c r="M1834" s="82" t="s">
        <v>0</v>
      </c>
      <c r="N1834" s="80" t="s">
        <v>0</v>
      </c>
      <c r="O1834" s="82" t="s">
        <v>0</v>
      </c>
      <c r="P1834" s="82" t="s">
        <v>0</v>
      </c>
      <c r="Q1834" s="82" t="s">
        <v>0</v>
      </c>
      <c r="R1834" s="84" t="s">
        <v>1761</v>
      </c>
      <c r="S1834" s="10" t="s">
        <v>1</v>
      </c>
      <c r="T1834" s="10" t="s">
        <v>10221</v>
      </c>
      <c r="U1834" s="5" t="str">
        <f t="shared" si="905"/>
        <v>Propriedade destinada a objetivar: é.ods.15</v>
      </c>
      <c r="V1834" s="5" t="str">
        <f t="shared" si="906"/>
        <v>Dado para objetivar:  ods.15  Deve ser formatado como (rdfs:Literal  or  xsd:string)</v>
      </c>
      <c r="W1834" s="39" t="s">
        <v>11142</v>
      </c>
      <c r="X1834" s="17" t="str">
        <f t="shared" si="922"/>
        <v>d.objet.240</v>
      </c>
      <c r="Y1834" s="17" t="str">
        <f t="shared" si="923"/>
        <v>Ação de objetivar</v>
      </c>
      <c r="Z1834" s="62" t="s">
        <v>11143</v>
      </c>
      <c r="AA1834" s="18" t="str">
        <f t="shared" si="907"/>
        <v>null</v>
      </c>
      <c r="AB1834" s="19" t="s">
        <v>0</v>
      </c>
      <c r="AC1834" s="18" t="str">
        <f t="shared" si="908"/>
        <v>null</v>
      </c>
      <c r="AD1834" s="19" t="s">
        <v>0</v>
      </c>
      <c r="AE1834" s="18" t="str">
        <f t="shared" si="912"/>
        <v>null</v>
      </c>
      <c r="AF1834" s="75" t="s">
        <v>0</v>
      </c>
      <c r="AG1834" s="38" t="s">
        <v>11144</v>
      </c>
    </row>
    <row r="1835" spans="1:33" customFormat="1" ht="6" customHeight="1" x14ac:dyDescent="0.4">
      <c r="A1835" s="4">
        <f>ROW()</f>
        <v>1835</v>
      </c>
      <c r="B1835" s="9" t="s">
        <v>27</v>
      </c>
      <c r="C1835" s="44" t="str">
        <f t="shared" si="917"/>
        <v>p.objetivar</v>
      </c>
      <c r="D1835" s="6" t="str">
        <f t="shared" si="911"/>
        <v>é.ods.15.01</v>
      </c>
      <c r="E1835" s="8" t="s">
        <v>28</v>
      </c>
      <c r="F1835" s="34" t="str">
        <f>F1833</f>
        <v>d.objetivar</v>
      </c>
      <c r="G1835" s="16" t="s">
        <v>10425</v>
      </c>
      <c r="H1835" s="33" t="s">
        <v>1581</v>
      </c>
      <c r="I1835" s="92" t="str">
        <f t="shared" si="910"/>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905"/>
        <v>Propriedade destinada a objetivar: é.ods.15.01</v>
      </c>
      <c r="V1835" s="5" t="str">
        <f t="shared" si="906"/>
        <v>Dado para objetivar:  ods.15.01  Deve ser formatado como (rdfs:Literal  or  xsd:string)</v>
      </c>
      <c r="W1835" s="39" t="s">
        <v>10574</v>
      </c>
      <c r="X1835" s="17" t="str">
        <f t="shared" si="922"/>
        <v>d.objet.241</v>
      </c>
      <c r="Y1835" s="17" t="str">
        <f t="shared" si="923"/>
        <v>Ação de objetivar</v>
      </c>
      <c r="Z1835" s="62" t="s">
        <v>10723</v>
      </c>
      <c r="AA1835" s="18" t="str">
        <f t="shared" si="907"/>
        <v>null</v>
      </c>
      <c r="AB1835" s="19" t="s">
        <v>0</v>
      </c>
      <c r="AC1835" s="18" t="str">
        <f t="shared" si="908"/>
        <v>null</v>
      </c>
      <c r="AD1835" s="19" t="s">
        <v>0</v>
      </c>
      <c r="AE1835" s="18" t="str">
        <f t="shared" si="912"/>
        <v>null</v>
      </c>
      <c r="AF1835" s="75" t="s">
        <v>0</v>
      </c>
      <c r="AG1835" s="38" t="s">
        <v>11145</v>
      </c>
    </row>
    <row r="1836" spans="1:33" customFormat="1" ht="6" customHeight="1" x14ac:dyDescent="0.4">
      <c r="A1836" s="4">
        <f>ROW()</f>
        <v>1836</v>
      </c>
      <c r="B1836" s="9" t="s">
        <v>27</v>
      </c>
      <c r="C1836" s="44" t="str">
        <f t="shared" si="917"/>
        <v>p.objetivar</v>
      </c>
      <c r="D1836" s="6" t="str">
        <f t="shared" si="911"/>
        <v>é.ods.15.02</v>
      </c>
      <c r="E1836" s="8" t="s">
        <v>28</v>
      </c>
      <c r="F1836" s="34" t="str">
        <f t="shared" ref="F1836:F1846" si="927">F1835</f>
        <v>d.objetivar</v>
      </c>
      <c r="G1836" s="16" t="s">
        <v>10426</v>
      </c>
      <c r="H1836" s="33" t="s">
        <v>1581</v>
      </c>
      <c r="I1836" s="92" t="str">
        <f t="shared" si="910"/>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905"/>
        <v>Propriedade destinada a objetivar: é.ods.15.02</v>
      </c>
      <c r="V1836" s="5" t="str">
        <f t="shared" si="906"/>
        <v>Dado para objetivar:  ods.15.02  Deve ser formatado como (rdfs:Literal  or  xsd:string)</v>
      </c>
      <c r="W1836" s="39" t="s">
        <v>10575</v>
      </c>
      <c r="X1836" s="17" t="str">
        <f t="shared" si="922"/>
        <v>d.objet.242</v>
      </c>
      <c r="Y1836" s="17" t="str">
        <f t="shared" si="923"/>
        <v>Ação de objetivar</v>
      </c>
      <c r="Z1836" s="62" t="s">
        <v>10724</v>
      </c>
      <c r="AA1836" s="18" t="str">
        <f t="shared" si="907"/>
        <v>null</v>
      </c>
      <c r="AB1836" s="19" t="s">
        <v>0</v>
      </c>
      <c r="AC1836" s="18" t="str">
        <f t="shared" si="908"/>
        <v>null</v>
      </c>
      <c r="AD1836" s="19" t="s">
        <v>0</v>
      </c>
      <c r="AE1836" s="18" t="str">
        <f t="shared" si="912"/>
        <v>null</v>
      </c>
      <c r="AF1836" s="75" t="s">
        <v>0</v>
      </c>
      <c r="AG1836" s="38" t="s">
        <v>11146</v>
      </c>
    </row>
    <row r="1837" spans="1:33" customFormat="1" ht="6" customHeight="1" x14ac:dyDescent="0.4">
      <c r="A1837" s="4">
        <f>ROW()</f>
        <v>1837</v>
      </c>
      <c r="B1837" s="9" t="s">
        <v>27</v>
      </c>
      <c r="C1837" s="44" t="str">
        <f t="shared" si="917"/>
        <v>p.objetivar</v>
      </c>
      <c r="D1837" s="6" t="str">
        <f t="shared" si="911"/>
        <v>é.ods.15.03</v>
      </c>
      <c r="E1837" s="8" t="s">
        <v>28</v>
      </c>
      <c r="F1837" s="34" t="str">
        <f t="shared" si="927"/>
        <v>d.objetivar</v>
      </c>
      <c r="G1837" s="16" t="s">
        <v>10427</v>
      </c>
      <c r="H1837" s="33" t="s">
        <v>1581</v>
      </c>
      <c r="I1837" s="92" t="str">
        <f t="shared" si="910"/>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905"/>
        <v>Propriedade destinada a objetivar: é.ods.15.03</v>
      </c>
      <c r="V1837" s="5" t="str">
        <f t="shared" si="906"/>
        <v>Dado para objetivar:  ods.15.03  Deve ser formatado como (rdfs:Literal  or  xsd:string)</v>
      </c>
      <c r="W1837" s="39" t="s">
        <v>10576</v>
      </c>
      <c r="X1837" s="17" t="str">
        <f t="shared" si="922"/>
        <v>d.objet.243</v>
      </c>
      <c r="Y1837" s="17" t="str">
        <f t="shared" si="923"/>
        <v>Ação de objetivar</v>
      </c>
      <c r="Z1837" s="62" t="s">
        <v>10725</v>
      </c>
      <c r="AA1837" s="18" t="str">
        <f t="shared" si="907"/>
        <v>null</v>
      </c>
      <c r="AB1837" s="19" t="s">
        <v>0</v>
      </c>
      <c r="AC1837" s="18" t="str">
        <f t="shared" si="908"/>
        <v>null</v>
      </c>
      <c r="AD1837" s="19" t="s">
        <v>0</v>
      </c>
      <c r="AE1837" s="18" t="str">
        <f t="shared" si="912"/>
        <v>null</v>
      </c>
      <c r="AF1837" s="75" t="s">
        <v>0</v>
      </c>
      <c r="AG1837" s="38" t="s">
        <v>11147</v>
      </c>
    </row>
    <row r="1838" spans="1:33" customFormat="1" ht="6" customHeight="1" x14ac:dyDescent="0.4">
      <c r="A1838" s="4">
        <f>ROW()</f>
        <v>1838</v>
      </c>
      <c r="B1838" s="9" t="s">
        <v>27</v>
      </c>
      <c r="C1838" s="44" t="str">
        <f t="shared" si="917"/>
        <v>p.objetivar</v>
      </c>
      <c r="D1838" s="6" t="str">
        <f t="shared" si="911"/>
        <v>é.ods.15.04</v>
      </c>
      <c r="E1838" s="8" t="s">
        <v>28</v>
      </c>
      <c r="F1838" s="34" t="str">
        <f t="shared" si="927"/>
        <v>d.objetivar</v>
      </c>
      <c r="G1838" s="16" t="s">
        <v>10428</v>
      </c>
      <c r="H1838" s="33" t="s">
        <v>1581</v>
      </c>
      <c r="I1838" s="92" t="str">
        <f t="shared" si="910"/>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905"/>
        <v>Propriedade destinada a objetivar: é.ods.15.04</v>
      </c>
      <c r="V1838" s="5" t="str">
        <f t="shared" si="906"/>
        <v>Dado para objetivar:  ods.15.04  Deve ser formatado como (rdfs:Literal  or  xsd:string)</v>
      </c>
      <c r="W1838" s="39" t="s">
        <v>10577</v>
      </c>
      <c r="X1838" s="17" t="str">
        <f t="shared" si="922"/>
        <v>d.objet.244</v>
      </c>
      <c r="Y1838" s="17" t="str">
        <f t="shared" si="923"/>
        <v>Ação de objetivar</v>
      </c>
      <c r="Z1838" s="62" t="s">
        <v>10726</v>
      </c>
      <c r="AA1838" s="18" t="str">
        <f t="shared" si="907"/>
        <v>null</v>
      </c>
      <c r="AB1838" s="19" t="s">
        <v>0</v>
      </c>
      <c r="AC1838" s="18" t="str">
        <f t="shared" si="908"/>
        <v>null</v>
      </c>
      <c r="AD1838" s="19" t="s">
        <v>0</v>
      </c>
      <c r="AE1838" s="18" t="str">
        <f t="shared" si="912"/>
        <v>null</v>
      </c>
      <c r="AF1838" s="75" t="s">
        <v>0</v>
      </c>
      <c r="AG1838" s="38" t="s">
        <v>11148</v>
      </c>
    </row>
    <row r="1839" spans="1:33" customFormat="1" ht="6" customHeight="1" x14ac:dyDescent="0.4">
      <c r="A1839" s="4">
        <f>ROW()</f>
        <v>1839</v>
      </c>
      <c r="B1839" s="9" t="s">
        <v>27</v>
      </c>
      <c r="C1839" s="44" t="str">
        <f t="shared" si="917"/>
        <v>p.objetivar</v>
      </c>
      <c r="D1839" s="6" t="str">
        <f t="shared" si="911"/>
        <v>é.ods.15.05</v>
      </c>
      <c r="E1839" s="8" t="s">
        <v>28</v>
      </c>
      <c r="F1839" s="34" t="str">
        <f t="shared" si="927"/>
        <v>d.objetivar</v>
      </c>
      <c r="G1839" s="16" t="s">
        <v>10429</v>
      </c>
      <c r="H1839" s="33" t="s">
        <v>1581</v>
      </c>
      <c r="I1839" s="92" t="str">
        <f t="shared" si="910"/>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905"/>
        <v>Propriedade destinada a objetivar: é.ods.15.05</v>
      </c>
      <c r="V1839" s="5" t="str">
        <f t="shared" si="906"/>
        <v>Dado para objetivar:  ods.15.05  Deve ser formatado como (rdfs:Literal  or  xsd:string)</v>
      </c>
      <c r="W1839" s="39" t="s">
        <v>10578</v>
      </c>
      <c r="X1839" s="17" t="str">
        <f t="shared" si="922"/>
        <v>d.objet.245</v>
      </c>
      <c r="Y1839" s="17" t="str">
        <f t="shared" si="923"/>
        <v>Ação de objetivar</v>
      </c>
      <c r="Z1839" s="62" t="s">
        <v>10727</v>
      </c>
      <c r="AA1839" s="18" t="str">
        <f t="shared" si="907"/>
        <v>null</v>
      </c>
      <c r="AB1839" s="19" t="s">
        <v>0</v>
      </c>
      <c r="AC1839" s="18" t="str">
        <f t="shared" si="908"/>
        <v>null</v>
      </c>
      <c r="AD1839" s="19" t="s">
        <v>0</v>
      </c>
      <c r="AE1839" s="18" t="str">
        <f t="shared" si="912"/>
        <v>null</v>
      </c>
      <c r="AF1839" s="75" t="s">
        <v>0</v>
      </c>
      <c r="AG1839" s="38" t="s">
        <v>11149</v>
      </c>
    </row>
    <row r="1840" spans="1:33" customFormat="1" ht="6" customHeight="1" x14ac:dyDescent="0.4">
      <c r="A1840" s="4">
        <f>ROW()</f>
        <v>1840</v>
      </c>
      <c r="B1840" s="9" t="s">
        <v>27</v>
      </c>
      <c r="C1840" s="44" t="str">
        <f t="shared" si="917"/>
        <v>p.objetivar</v>
      </c>
      <c r="D1840" s="6" t="str">
        <f t="shared" si="911"/>
        <v>é.ods.15.06</v>
      </c>
      <c r="E1840" s="8" t="s">
        <v>28</v>
      </c>
      <c r="F1840" s="34" t="str">
        <f t="shared" si="927"/>
        <v>d.objetivar</v>
      </c>
      <c r="G1840" s="16" t="s">
        <v>10430</v>
      </c>
      <c r="H1840" s="33" t="s">
        <v>1581</v>
      </c>
      <c r="I1840" s="92" t="str">
        <f t="shared" si="910"/>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905"/>
        <v>Propriedade destinada a objetivar: é.ods.15.06</v>
      </c>
      <c r="V1840" s="5" t="str">
        <f t="shared" si="906"/>
        <v>Dado para objetivar:  ods.15.06  Deve ser formatado como (rdfs:Literal  or  xsd:string)</v>
      </c>
      <c r="W1840" s="38" t="s">
        <v>10579</v>
      </c>
      <c r="X1840" s="17" t="str">
        <f t="shared" si="922"/>
        <v>d.objet.246</v>
      </c>
      <c r="Y1840" s="17" t="str">
        <f t="shared" si="923"/>
        <v>Ação de objetivar</v>
      </c>
      <c r="Z1840" s="62" t="s">
        <v>10728</v>
      </c>
      <c r="AA1840" s="18" t="str">
        <f t="shared" si="907"/>
        <v>null</v>
      </c>
      <c r="AB1840" s="19" t="s">
        <v>0</v>
      </c>
      <c r="AC1840" s="18" t="str">
        <f t="shared" si="908"/>
        <v>null</v>
      </c>
      <c r="AD1840" s="19" t="s">
        <v>0</v>
      </c>
      <c r="AE1840" s="18" t="str">
        <f t="shared" si="912"/>
        <v>null</v>
      </c>
      <c r="AF1840" s="75" t="s">
        <v>0</v>
      </c>
      <c r="AG1840" s="38" t="s">
        <v>11150</v>
      </c>
    </row>
    <row r="1841" spans="1:33" customFormat="1" ht="6" customHeight="1" x14ac:dyDescent="0.4">
      <c r="A1841" s="4">
        <f>ROW()</f>
        <v>1841</v>
      </c>
      <c r="B1841" s="9" t="s">
        <v>27</v>
      </c>
      <c r="C1841" s="44" t="str">
        <f t="shared" si="917"/>
        <v>p.objetivar</v>
      </c>
      <c r="D1841" s="6" t="str">
        <f t="shared" si="911"/>
        <v>é.ods.15.07</v>
      </c>
      <c r="E1841" s="8" t="s">
        <v>28</v>
      </c>
      <c r="F1841" s="34" t="str">
        <f t="shared" si="927"/>
        <v>d.objetivar</v>
      </c>
      <c r="G1841" s="16" t="s">
        <v>10431</v>
      </c>
      <c r="H1841" s="33" t="s">
        <v>1581</v>
      </c>
      <c r="I1841" s="92" t="str">
        <f t="shared" si="910"/>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905"/>
        <v>Propriedade destinada a objetivar: é.ods.15.07</v>
      </c>
      <c r="V1841" s="5" t="str">
        <f t="shared" si="906"/>
        <v>Dado para objetivar:  ods.15.07  Deve ser formatado como (rdfs:Literal  or  xsd:string)</v>
      </c>
      <c r="W1841" s="38" t="s">
        <v>10580</v>
      </c>
      <c r="X1841" s="17" t="str">
        <f t="shared" si="922"/>
        <v>d.objet.247</v>
      </c>
      <c r="Y1841" s="17" t="str">
        <f t="shared" si="923"/>
        <v>Ação de objetivar</v>
      </c>
      <c r="Z1841" s="62" t="s">
        <v>10729</v>
      </c>
      <c r="AA1841" s="18" t="str">
        <f t="shared" si="907"/>
        <v>null</v>
      </c>
      <c r="AB1841" s="19" t="s">
        <v>0</v>
      </c>
      <c r="AC1841" s="18" t="str">
        <f t="shared" si="908"/>
        <v>null</v>
      </c>
      <c r="AD1841" s="19" t="s">
        <v>0</v>
      </c>
      <c r="AE1841" s="18" t="str">
        <f t="shared" si="912"/>
        <v>null</v>
      </c>
      <c r="AF1841" s="75" t="s">
        <v>0</v>
      </c>
      <c r="AG1841" s="38" t="s">
        <v>11151</v>
      </c>
    </row>
    <row r="1842" spans="1:33" customFormat="1" ht="6" customHeight="1" x14ac:dyDescent="0.4">
      <c r="A1842" s="4">
        <f>ROW()</f>
        <v>1842</v>
      </c>
      <c r="B1842" s="9" t="s">
        <v>27</v>
      </c>
      <c r="C1842" s="44" t="str">
        <f t="shared" si="917"/>
        <v>p.objetivar</v>
      </c>
      <c r="D1842" s="6" t="str">
        <f t="shared" si="911"/>
        <v>é.ods.15.08</v>
      </c>
      <c r="E1842" s="8" t="s">
        <v>28</v>
      </c>
      <c r="F1842" s="34" t="str">
        <f t="shared" si="927"/>
        <v>d.objetivar</v>
      </c>
      <c r="G1842" s="16" t="s">
        <v>10432</v>
      </c>
      <c r="H1842" s="33" t="s">
        <v>1581</v>
      </c>
      <c r="I1842" s="92" t="str">
        <f t="shared" si="910"/>
        <v>null</v>
      </c>
      <c r="J1842" s="82" t="s">
        <v>0</v>
      </c>
      <c r="K1842" s="82" t="s">
        <v>0</v>
      </c>
      <c r="L1842" s="82" t="s">
        <v>0</v>
      </c>
      <c r="M1842" s="82" t="s">
        <v>0</v>
      </c>
      <c r="N1842" s="80" t="s">
        <v>0</v>
      </c>
      <c r="O1842" s="82" t="s">
        <v>0</v>
      </c>
      <c r="P1842" s="82" t="s">
        <v>0</v>
      </c>
      <c r="Q1842" s="82" t="s">
        <v>0</v>
      </c>
      <c r="R1842" s="84" t="s">
        <v>0</v>
      </c>
      <c r="S1842" s="10" t="s">
        <v>1</v>
      </c>
      <c r="T1842" s="10" t="s">
        <v>10221</v>
      </c>
      <c r="U1842" s="5" t="str">
        <f t="shared" si="905"/>
        <v>Propriedade destinada a objetivar: é.ods.15.08</v>
      </c>
      <c r="V1842" s="5" t="str">
        <f t="shared" si="906"/>
        <v>Dado para objetivar:  ods.15.08  Deve ser formatado como (rdfs:Literal  or  xsd:string)</v>
      </c>
      <c r="W1842" s="38" t="s">
        <v>10581</v>
      </c>
      <c r="X1842" s="17" t="str">
        <f t="shared" si="922"/>
        <v>d.objet.248</v>
      </c>
      <c r="Y1842" s="17" t="str">
        <f t="shared" si="923"/>
        <v>Ação de objetivar</v>
      </c>
      <c r="Z1842" s="62" t="s">
        <v>10730</v>
      </c>
      <c r="AA1842" s="18" t="str">
        <f t="shared" si="907"/>
        <v>null</v>
      </c>
      <c r="AB1842" s="19" t="s">
        <v>0</v>
      </c>
      <c r="AC1842" s="18" t="str">
        <f t="shared" si="908"/>
        <v>null</v>
      </c>
      <c r="AD1842" s="19" t="s">
        <v>0</v>
      </c>
      <c r="AE1842" s="18" t="str">
        <f t="shared" si="912"/>
        <v>null</v>
      </c>
      <c r="AF1842" s="75" t="s">
        <v>0</v>
      </c>
      <c r="AG1842" s="38" t="s">
        <v>11152</v>
      </c>
    </row>
    <row r="1843" spans="1:33" customFormat="1" ht="6" customHeight="1" x14ac:dyDescent="0.4">
      <c r="A1843" s="4">
        <f>ROW()</f>
        <v>1843</v>
      </c>
      <c r="B1843" s="9" t="s">
        <v>27</v>
      </c>
      <c r="C1843" s="44" t="str">
        <f t="shared" si="917"/>
        <v>p.objetivar</v>
      </c>
      <c r="D1843" s="6" t="str">
        <f t="shared" si="911"/>
        <v>é.ods.15.09</v>
      </c>
      <c r="E1843" s="8" t="s">
        <v>28</v>
      </c>
      <c r="F1843" s="34" t="str">
        <f t="shared" si="927"/>
        <v>d.objetivar</v>
      </c>
      <c r="G1843" s="16" t="s">
        <v>10433</v>
      </c>
      <c r="H1843" s="33" t="s">
        <v>1581</v>
      </c>
      <c r="I1843" s="92" t="str">
        <f t="shared" si="910"/>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905"/>
        <v>Propriedade destinada a objetivar: é.ods.15.09</v>
      </c>
      <c r="V1843" s="5" t="str">
        <f t="shared" si="906"/>
        <v>Dado para objetivar:  ods.15.09  Deve ser formatado como (rdfs:Literal  or  xsd:string)</v>
      </c>
      <c r="W1843" s="38" t="s">
        <v>10582</v>
      </c>
      <c r="X1843" s="17" t="str">
        <f t="shared" si="922"/>
        <v>d.objet.249</v>
      </c>
      <c r="Y1843" s="17" t="str">
        <f t="shared" si="923"/>
        <v>Ação de objetivar</v>
      </c>
      <c r="Z1843" s="62" t="s">
        <v>10731</v>
      </c>
      <c r="AA1843" s="18" t="str">
        <f t="shared" si="907"/>
        <v>null</v>
      </c>
      <c r="AB1843" s="19" t="s">
        <v>0</v>
      </c>
      <c r="AC1843" s="18" t="str">
        <f t="shared" si="908"/>
        <v>null</v>
      </c>
      <c r="AD1843" s="19" t="s">
        <v>0</v>
      </c>
      <c r="AE1843" s="18" t="str">
        <f t="shared" si="912"/>
        <v>null</v>
      </c>
      <c r="AF1843" s="75" t="s">
        <v>0</v>
      </c>
      <c r="AG1843" s="38" t="s">
        <v>11153</v>
      </c>
    </row>
    <row r="1844" spans="1:33" customFormat="1" ht="6" customHeight="1" x14ac:dyDescent="0.4">
      <c r="A1844" s="4">
        <f>ROW()</f>
        <v>1844</v>
      </c>
      <c r="B1844" s="9" t="s">
        <v>27</v>
      </c>
      <c r="C1844" s="44" t="str">
        <f t="shared" si="917"/>
        <v>p.objetivar</v>
      </c>
      <c r="D1844" s="6" t="str">
        <f t="shared" si="911"/>
        <v>é.ods.15.10</v>
      </c>
      <c r="E1844" s="8" t="s">
        <v>28</v>
      </c>
      <c r="F1844" s="34" t="str">
        <f t="shared" si="927"/>
        <v>d.objetivar</v>
      </c>
      <c r="G1844" s="16" t="s">
        <v>10434</v>
      </c>
      <c r="H1844" s="33" t="s">
        <v>1581</v>
      </c>
      <c r="I1844" s="92" t="str">
        <f t="shared" si="910"/>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905"/>
        <v>Propriedade destinada a objetivar: é.ods.15.10</v>
      </c>
      <c r="V1844" s="5" t="str">
        <f t="shared" si="906"/>
        <v>Dado para objetivar:  ods.15.10  Deve ser formatado como (rdfs:Literal  or  xsd:string)</v>
      </c>
      <c r="W1844" s="38" t="s">
        <v>10583</v>
      </c>
      <c r="X1844" s="17" t="str">
        <f t="shared" si="922"/>
        <v>d.objet.250</v>
      </c>
      <c r="Y1844" s="17" t="str">
        <f t="shared" si="923"/>
        <v>Ação de objetivar</v>
      </c>
      <c r="Z1844" s="62" t="s">
        <v>10732</v>
      </c>
      <c r="AA1844" s="18" t="str">
        <f t="shared" si="907"/>
        <v>null</v>
      </c>
      <c r="AB1844" s="19" t="s">
        <v>0</v>
      </c>
      <c r="AC1844" s="18" t="str">
        <f t="shared" si="908"/>
        <v>null</v>
      </c>
      <c r="AD1844" s="19" t="s">
        <v>0</v>
      </c>
      <c r="AE1844" s="18" t="str">
        <f t="shared" si="912"/>
        <v>null</v>
      </c>
      <c r="AF1844" s="75" t="s">
        <v>0</v>
      </c>
      <c r="AG1844" s="38" t="s">
        <v>11154</v>
      </c>
    </row>
    <row r="1845" spans="1:33" customFormat="1" ht="6" customHeight="1" x14ac:dyDescent="0.4">
      <c r="A1845" s="4">
        <f>ROW()</f>
        <v>1845</v>
      </c>
      <c r="B1845" s="9" t="s">
        <v>27</v>
      </c>
      <c r="C1845" s="44" t="str">
        <f t="shared" si="917"/>
        <v>p.objetivar</v>
      </c>
      <c r="D1845" s="6" t="str">
        <f t="shared" si="911"/>
        <v>é.ods.15.11</v>
      </c>
      <c r="E1845" s="8" t="s">
        <v>28</v>
      </c>
      <c r="F1845" s="34" t="str">
        <f t="shared" si="927"/>
        <v>d.objetivar</v>
      </c>
      <c r="G1845" s="16" t="s">
        <v>10435</v>
      </c>
      <c r="H1845" s="33" t="s">
        <v>1581</v>
      </c>
      <c r="I1845" s="92" t="str">
        <f t="shared" si="910"/>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905"/>
        <v>Propriedade destinada a objetivar: é.ods.15.11</v>
      </c>
      <c r="V1845" s="5" t="str">
        <f t="shared" si="906"/>
        <v>Dado para objetivar:  ods.15.11  Deve ser formatado como (rdfs:Literal  or  xsd:string)</v>
      </c>
      <c r="W1845" s="38" t="s">
        <v>10584</v>
      </c>
      <c r="X1845" s="17" t="str">
        <f t="shared" si="922"/>
        <v>d.objet.251</v>
      </c>
      <c r="Y1845" s="17" t="str">
        <f t="shared" si="923"/>
        <v>Ação de objetivar</v>
      </c>
      <c r="Z1845" s="62" t="s">
        <v>10733</v>
      </c>
      <c r="AA1845" s="18" t="str">
        <f t="shared" si="907"/>
        <v>null</v>
      </c>
      <c r="AB1845" s="19" t="s">
        <v>0</v>
      </c>
      <c r="AC1845" s="18" t="str">
        <f t="shared" si="908"/>
        <v>null</v>
      </c>
      <c r="AD1845" s="19" t="s">
        <v>0</v>
      </c>
      <c r="AE1845" s="18" t="str">
        <f t="shared" si="912"/>
        <v>null</v>
      </c>
      <c r="AF1845" s="75" t="s">
        <v>0</v>
      </c>
      <c r="AG1845" s="38" t="s">
        <v>11155</v>
      </c>
    </row>
    <row r="1846" spans="1:33" customFormat="1" ht="6" customHeight="1" x14ac:dyDescent="0.4">
      <c r="A1846" s="4">
        <f>ROW()</f>
        <v>1846</v>
      </c>
      <c r="B1846" s="9" t="s">
        <v>27</v>
      </c>
      <c r="C1846" s="44" t="str">
        <f t="shared" si="917"/>
        <v>p.objetivar</v>
      </c>
      <c r="D1846" s="6" t="str">
        <f t="shared" si="911"/>
        <v>é.ods.15.12</v>
      </c>
      <c r="E1846" s="8" t="s">
        <v>28</v>
      </c>
      <c r="F1846" s="34" t="str">
        <f t="shared" si="927"/>
        <v>d.objetivar</v>
      </c>
      <c r="G1846" s="16" t="s">
        <v>10436</v>
      </c>
      <c r="H1846" s="33" t="s">
        <v>1581</v>
      </c>
      <c r="I1846" s="92" t="str">
        <f t="shared" si="910"/>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905"/>
        <v>Propriedade destinada a objetivar: é.ods.15.12</v>
      </c>
      <c r="V1846" s="5" t="str">
        <f t="shared" si="906"/>
        <v>Dado para objetivar:  ods.15.12  Deve ser formatado como (rdfs:Literal  or  xsd:string)</v>
      </c>
      <c r="W1846" s="38" t="s">
        <v>10585</v>
      </c>
      <c r="X1846" s="17" t="str">
        <f t="shared" si="922"/>
        <v>d.objet.252</v>
      </c>
      <c r="Y1846" s="17" t="str">
        <f t="shared" si="923"/>
        <v>Ação de objetivar</v>
      </c>
      <c r="Z1846" s="62" t="s">
        <v>10734</v>
      </c>
      <c r="AA1846" s="18" t="str">
        <f t="shared" si="907"/>
        <v>null</v>
      </c>
      <c r="AB1846" s="19" t="s">
        <v>0</v>
      </c>
      <c r="AC1846" s="18" t="str">
        <f t="shared" si="908"/>
        <v>null</v>
      </c>
      <c r="AD1846" s="19" t="s">
        <v>0</v>
      </c>
      <c r="AE1846" s="18" t="str">
        <f t="shared" si="912"/>
        <v>null</v>
      </c>
      <c r="AF1846" s="75" t="s">
        <v>0</v>
      </c>
      <c r="AG1846" s="38" t="s">
        <v>11156</v>
      </c>
    </row>
    <row r="1847" spans="1:33" customFormat="1" ht="6" customHeight="1" x14ac:dyDescent="0.4">
      <c r="A1847" s="4">
        <f>ROW()</f>
        <v>1847</v>
      </c>
      <c r="B1847" s="9" t="s">
        <v>27</v>
      </c>
      <c r="C1847" s="44" t="str">
        <f t="shared" si="917"/>
        <v>p.objetivar</v>
      </c>
      <c r="D1847" s="6" t="str">
        <f t="shared" si="911"/>
        <v>é.ods.16</v>
      </c>
      <c r="E1847" s="8" t="s">
        <v>28</v>
      </c>
      <c r="F1847" s="34" t="str">
        <f>F1845</f>
        <v>d.objetivar</v>
      </c>
      <c r="G1847" s="16" t="s">
        <v>11157</v>
      </c>
      <c r="H1847" s="33" t="s">
        <v>1581</v>
      </c>
      <c r="I1847" s="92" t="str">
        <f t="shared" si="910"/>
        <v>null</v>
      </c>
      <c r="J1847" s="82" t="s">
        <v>0</v>
      </c>
      <c r="K1847" s="82" t="s">
        <v>0</v>
      </c>
      <c r="L1847" s="82" t="s">
        <v>0</v>
      </c>
      <c r="M1847" s="82" t="s">
        <v>0</v>
      </c>
      <c r="N1847" s="80" t="s">
        <v>0</v>
      </c>
      <c r="O1847" s="82" t="s">
        <v>0</v>
      </c>
      <c r="P1847" s="82" t="s">
        <v>0</v>
      </c>
      <c r="Q1847" s="82" t="s">
        <v>0</v>
      </c>
      <c r="R1847" s="84" t="s">
        <v>1761</v>
      </c>
      <c r="S1847" s="10" t="s">
        <v>1</v>
      </c>
      <c r="T1847" s="10" t="s">
        <v>10221</v>
      </c>
      <c r="U1847" s="5" t="str">
        <f t="shared" si="905"/>
        <v>Propriedade destinada a objetivar: é.ods.16</v>
      </c>
      <c r="V1847" s="5" t="str">
        <f t="shared" si="906"/>
        <v>Dado para objetivar:  ods.16  Deve ser formatado como (rdfs:Literal  or  xsd:string)</v>
      </c>
      <c r="W1847" s="38" t="s">
        <v>11158</v>
      </c>
      <c r="X1847" s="17" t="str">
        <f t="shared" si="922"/>
        <v>d.objet.253</v>
      </c>
      <c r="Y1847" s="17" t="str">
        <f t="shared" si="923"/>
        <v>Ação de objetivar</v>
      </c>
      <c r="Z1847" s="62" t="s">
        <v>11159</v>
      </c>
      <c r="AA1847" s="18" t="str">
        <f t="shared" si="907"/>
        <v>null</v>
      </c>
      <c r="AB1847" s="19" t="s">
        <v>0</v>
      </c>
      <c r="AC1847" s="18" t="str">
        <f t="shared" si="908"/>
        <v>null</v>
      </c>
      <c r="AD1847" s="19" t="s">
        <v>0</v>
      </c>
      <c r="AE1847" s="18" t="str">
        <f t="shared" si="912"/>
        <v>null</v>
      </c>
      <c r="AF1847" s="75" t="s">
        <v>0</v>
      </c>
      <c r="AG1847" s="38" t="s">
        <v>11160</v>
      </c>
    </row>
    <row r="1848" spans="1:33" customFormat="1" ht="6" customHeight="1" x14ac:dyDescent="0.4">
      <c r="A1848" s="4">
        <f>ROW()</f>
        <v>1848</v>
      </c>
      <c r="B1848" s="9" t="s">
        <v>27</v>
      </c>
      <c r="C1848" s="44" t="str">
        <f t="shared" si="917"/>
        <v>p.objetivar</v>
      </c>
      <c r="D1848" s="6" t="str">
        <f t="shared" si="911"/>
        <v>é.ods.16.01</v>
      </c>
      <c r="E1848" s="8" t="s">
        <v>28</v>
      </c>
      <c r="F1848" s="34" t="str">
        <f>F1846</f>
        <v>d.objetivar</v>
      </c>
      <c r="G1848" s="16" t="s">
        <v>10437</v>
      </c>
      <c r="H1848" s="33" t="s">
        <v>1581</v>
      </c>
      <c r="I1848" s="92" t="str">
        <f t="shared" si="910"/>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905"/>
        <v>Propriedade destinada a objetivar: é.ods.16.01</v>
      </c>
      <c r="V1848" s="5" t="str">
        <f t="shared" si="906"/>
        <v>Dado para objetivar:  ods.16.01  Deve ser formatado como (rdfs:Literal  or  xsd:string)</v>
      </c>
      <c r="W1848" s="38" t="s">
        <v>10586</v>
      </c>
      <c r="X1848" s="17" t="str">
        <f t="shared" si="922"/>
        <v>d.objet.254</v>
      </c>
      <c r="Y1848" s="17" t="str">
        <f t="shared" si="923"/>
        <v>Ação de objetivar</v>
      </c>
      <c r="Z1848" s="62" t="s">
        <v>10735</v>
      </c>
      <c r="AA1848" s="18" t="str">
        <f t="shared" si="907"/>
        <v>null</v>
      </c>
      <c r="AB1848" s="19" t="s">
        <v>0</v>
      </c>
      <c r="AC1848" s="18" t="str">
        <f t="shared" si="908"/>
        <v>null</v>
      </c>
      <c r="AD1848" s="19" t="s">
        <v>0</v>
      </c>
      <c r="AE1848" s="18" t="str">
        <f t="shared" si="912"/>
        <v>null</v>
      </c>
      <c r="AF1848" s="75" t="s">
        <v>0</v>
      </c>
      <c r="AG1848" s="38" t="s">
        <v>11161</v>
      </c>
    </row>
    <row r="1849" spans="1:33" customFormat="1" ht="6" customHeight="1" x14ac:dyDescent="0.4">
      <c r="A1849" s="4">
        <f>ROW()</f>
        <v>1849</v>
      </c>
      <c r="B1849" s="9" t="s">
        <v>27</v>
      </c>
      <c r="C1849" s="44" t="str">
        <f t="shared" si="917"/>
        <v>p.objetivar</v>
      </c>
      <c r="D1849" s="6" t="str">
        <f t="shared" si="911"/>
        <v>é.ods.16.02</v>
      </c>
      <c r="E1849" s="8" t="s">
        <v>28</v>
      </c>
      <c r="F1849" s="34" t="str">
        <f t="shared" ref="F1849:F1859" si="928">F1848</f>
        <v>d.objetivar</v>
      </c>
      <c r="G1849" s="16" t="s">
        <v>10438</v>
      </c>
      <c r="H1849" s="33" t="s">
        <v>1581</v>
      </c>
      <c r="I1849" s="92" t="str">
        <f t="shared" si="910"/>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905"/>
        <v>Propriedade destinada a objetivar: é.ods.16.02</v>
      </c>
      <c r="V1849" s="5" t="str">
        <f t="shared" si="906"/>
        <v>Dado para objetivar:  ods.16.02  Deve ser formatado como (rdfs:Literal  or  xsd:string)</v>
      </c>
      <c r="W1849" s="38" t="s">
        <v>10587</v>
      </c>
      <c r="X1849" s="17" t="str">
        <f t="shared" si="922"/>
        <v>d.objet.255</v>
      </c>
      <c r="Y1849" s="17" t="str">
        <f t="shared" si="923"/>
        <v>Ação de objetivar</v>
      </c>
      <c r="Z1849" s="62" t="s">
        <v>10736</v>
      </c>
      <c r="AA1849" s="18" t="str">
        <f t="shared" si="907"/>
        <v>null</v>
      </c>
      <c r="AB1849" s="19" t="s">
        <v>0</v>
      </c>
      <c r="AC1849" s="18" t="str">
        <f t="shared" si="908"/>
        <v>null</v>
      </c>
      <c r="AD1849" s="19" t="s">
        <v>0</v>
      </c>
      <c r="AE1849" s="18" t="str">
        <f t="shared" si="912"/>
        <v>null</v>
      </c>
      <c r="AF1849" s="75" t="s">
        <v>0</v>
      </c>
      <c r="AG1849" s="38" t="s">
        <v>11162</v>
      </c>
    </row>
    <row r="1850" spans="1:33" customFormat="1" ht="6" customHeight="1" x14ac:dyDescent="0.4">
      <c r="A1850" s="4">
        <f>ROW()</f>
        <v>1850</v>
      </c>
      <c r="B1850" s="9" t="s">
        <v>27</v>
      </c>
      <c r="C1850" s="44" t="str">
        <f t="shared" si="917"/>
        <v>p.objetivar</v>
      </c>
      <c r="D1850" s="6" t="str">
        <f t="shared" si="911"/>
        <v>é.ods.16.03</v>
      </c>
      <c r="E1850" s="8" t="s">
        <v>28</v>
      </c>
      <c r="F1850" s="34" t="str">
        <f t="shared" si="928"/>
        <v>d.objetivar</v>
      </c>
      <c r="G1850" s="16" t="s">
        <v>10439</v>
      </c>
      <c r="H1850" s="33" t="s">
        <v>1581</v>
      </c>
      <c r="I1850" s="92" t="str">
        <f t="shared" si="910"/>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905"/>
        <v>Propriedade destinada a objetivar: é.ods.16.03</v>
      </c>
      <c r="V1850" s="5" t="str">
        <f t="shared" si="906"/>
        <v>Dado para objetivar:  ods.16.03  Deve ser formatado como (rdfs:Literal  or  xsd:string)</v>
      </c>
      <c r="W1850" s="38" t="s">
        <v>10588</v>
      </c>
      <c r="X1850" s="17" t="str">
        <f t="shared" si="922"/>
        <v>d.objet.256</v>
      </c>
      <c r="Y1850" s="17" t="str">
        <f t="shared" si="923"/>
        <v>Ação de objetivar</v>
      </c>
      <c r="Z1850" s="62" t="s">
        <v>10737</v>
      </c>
      <c r="AA1850" s="18" t="str">
        <f t="shared" si="907"/>
        <v>null</v>
      </c>
      <c r="AB1850" s="19" t="s">
        <v>0</v>
      </c>
      <c r="AC1850" s="18" t="str">
        <f t="shared" si="908"/>
        <v>null</v>
      </c>
      <c r="AD1850" s="19" t="s">
        <v>0</v>
      </c>
      <c r="AE1850" s="18" t="str">
        <f t="shared" si="912"/>
        <v>null</v>
      </c>
      <c r="AF1850" s="75" t="s">
        <v>0</v>
      </c>
      <c r="AG1850" s="38" t="s">
        <v>11163</v>
      </c>
    </row>
    <row r="1851" spans="1:33" customFormat="1" ht="6" customHeight="1" x14ac:dyDescent="0.4">
      <c r="A1851" s="4">
        <f>ROW()</f>
        <v>1851</v>
      </c>
      <c r="B1851" s="9" t="s">
        <v>27</v>
      </c>
      <c r="C1851" s="44" t="str">
        <f t="shared" si="917"/>
        <v>p.objetivar</v>
      </c>
      <c r="D1851" s="6" t="str">
        <f t="shared" si="911"/>
        <v>é.ods.16.04</v>
      </c>
      <c r="E1851" s="8" t="s">
        <v>28</v>
      </c>
      <c r="F1851" s="34" t="str">
        <f t="shared" si="928"/>
        <v>d.objetivar</v>
      </c>
      <c r="G1851" s="16" t="s">
        <v>10440</v>
      </c>
      <c r="H1851" s="33" t="s">
        <v>1581</v>
      </c>
      <c r="I1851" s="92" t="str">
        <f t="shared" si="910"/>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905"/>
        <v>Propriedade destinada a objetivar: é.ods.16.04</v>
      </c>
      <c r="V1851" s="5" t="str">
        <f t="shared" si="906"/>
        <v>Dado para objetivar:  ods.16.04  Deve ser formatado como (rdfs:Literal  or  xsd:string)</v>
      </c>
      <c r="W1851" s="38" t="s">
        <v>10589</v>
      </c>
      <c r="X1851" s="17" t="str">
        <f t="shared" si="922"/>
        <v>d.objet.257</v>
      </c>
      <c r="Y1851" s="17" t="str">
        <f t="shared" si="923"/>
        <v>Ação de objetivar</v>
      </c>
      <c r="Z1851" s="62" t="s">
        <v>10738</v>
      </c>
      <c r="AA1851" s="18" t="str">
        <f t="shared" si="907"/>
        <v>null</v>
      </c>
      <c r="AB1851" s="19" t="s">
        <v>0</v>
      </c>
      <c r="AC1851" s="18" t="str">
        <f t="shared" si="908"/>
        <v>null</v>
      </c>
      <c r="AD1851" s="19" t="s">
        <v>0</v>
      </c>
      <c r="AE1851" s="18" t="str">
        <f t="shared" si="912"/>
        <v>null</v>
      </c>
      <c r="AF1851" s="75" t="s">
        <v>0</v>
      </c>
      <c r="AG1851" s="38" t="s">
        <v>11164</v>
      </c>
    </row>
    <row r="1852" spans="1:33" customFormat="1" ht="6" customHeight="1" x14ac:dyDescent="0.4">
      <c r="A1852" s="4">
        <f>ROW()</f>
        <v>1852</v>
      </c>
      <c r="B1852" s="9" t="s">
        <v>27</v>
      </c>
      <c r="C1852" s="44" t="str">
        <f t="shared" si="917"/>
        <v>p.objetivar</v>
      </c>
      <c r="D1852" s="6" t="str">
        <f t="shared" si="911"/>
        <v>é.ods.16.05</v>
      </c>
      <c r="E1852" s="8" t="s">
        <v>28</v>
      </c>
      <c r="F1852" s="34" t="str">
        <f t="shared" si="928"/>
        <v>d.objetivar</v>
      </c>
      <c r="G1852" s="16" t="s">
        <v>10441</v>
      </c>
      <c r="H1852" s="33" t="s">
        <v>1581</v>
      </c>
      <c r="I1852" s="92" t="str">
        <f t="shared" si="910"/>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905"/>
        <v>Propriedade destinada a objetivar: é.ods.16.05</v>
      </c>
      <c r="V1852" s="5" t="str">
        <f t="shared" si="906"/>
        <v>Dado para objetivar:  ods.16.05  Deve ser formatado como (rdfs:Literal  or  xsd:string)</v>
      </c>
      <c r="W1852" s="38" t="s">
        <v>10590</v>
      </c>
      <c r="X1852" s="17" t="str">
        <f t="shared" si="922"/>
        <v>d.objet.258</v>
      </c>
      <c r="Y1852" s="17" t="str">
        <f t="shared" si="923"/>
        <v>Ação de objetivar</v>
      </c>
      <c r="Z1852" s="62" t="s">
        <v>10739</v>
      </c>
      <c r="AA1852" s="18" t="str">
        <f t="shared" si="907"/>
        <v>null</v>
      </c>
      <c r="AB1852" s="19" t="s">
        <v>0</v>
      </c>
      <c r="AC1852" s="18" t="str">
        <f t="shared" si="908"/>
        <v>null</v>
      </c>
      <c r="AD1852" s="19" t="s">
        <v>0</v>
      </c>
      <c r="AE1852" s="18" t="str">
        <f t="shared" si="912"/>
        <v>null</v>
      </c>
      <c r="AF1852" s="75" t="s">
        <v>0</v>
      </c>
      <c r="AG1852" s="38" t="s">
        <v>11165</v>
      </c>
    </row>
    <row r="1853" spans="1:33" customFormat="1" ht="6" customHeight="1" x14ac:dyDescent="0.4">
      <c r="A1853" s="4">
        <f>ROW()</f>
        <v>1853</v>
      </c>
      <c r="B1853" s="9" t="s">
        <v>27</v>
      </c>
      <c r="C1853" s="44" t="str">
        <f t="shared" si="917"/>
        <v>p.objetivar</v>
      </c>
      <c r="D1853" s="6" t="str">
        <f t="shared" si="911"/>
        <v>é.ods.16.06</v>
      </c>
      <c r="E1853" s="8" t="s">
        <v>28</v>
      </c>
      <c r="F1853" s="34" t="str">
        <f t="shared" si="928"/>
        <v>d.objetivar</v>
      </c>
      <c r="G1853" s="16" t="s">
        <v>10442</v>
      </c>
      <c r="H1853" s="33" t="s">
        <v>1581</v>
      </c>
      <c r="I1853" s="92" t="str">
        <f t="shared" si="910"/>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905"/>
        <v>Propriedade destinada a objetivar: é.ods.16.06</v>
      </c>
      <c r="V1853" s="5" t="str">
        <f t="shared" si="906"/>
        <v>Dado para objetivar:  ods.16.06  Deve ser formatado como (rdfs:Literal  or  xsd:string)</v>
      </c>
      <c r="W1853" s="38" t="s">
        <v>10591</v>
      </c>
      <c r="X1853" s="17" t="str">
        <f t="shared" si="922"/>
        <v>d.objet.259</v>
      </c>
      <c r="Y1853" s="17" t="str">
        <f t="shared" si="923"/>
        <v>Ação de objetivar</v>
      </c>
      <c r="Z1853" s="62" t="s">
        <v>10740</v>
      </c>
      <c r="AA1853" s="18" t="str">
        <f t="shared" si="907"/>
        <v>null</v>
      </c>
      <c r="AB1853" s="19" t="s">
        <v>0</v>
      </c>
      <c r="AC1853" s="18" t="str">
        <f t="shared" si="908"/>
        <v>null</v>
      </c>
      <c r="AD1853" s="19" t="s">
        <v>0</v>
      </c>
      <c r="AE1853" s="18" t="str">
        <f t="shared" si="912"/>
        <v>null</v>
      </c>
      <c r="AF1853" s="75" t="s">
        <v>0</v>
      </c>
      <c r="AG1853" s="38" t="s">
        <v>11166</v>
      </c>
    </row>
    <row r="1854" spans="1:33" customFormat="1" ht="6" customHeight="1" x14ac:dyDescent="0.4">
      <c r="A1854" s="4">
        <f>ROW()</f>
        <v>1854</v>
      </c>
      <c r="B1854" s="9" t="s">
        <v>27</v>
      </c>
      <c r="C1854" s="44" t="str">
        <f t="shared" si="917"/>
        <v>p.objetivar</v>
      </c>
      <c r="D1854" s="6" t="str">
        <f t="shared" si="911"/>
        <v>é.ods.16.07</v>
      </c>
      <c r="E1854" s="8" t="s">
        <v>28</v>
      </c>
      <c r="F1854" s="34" t="str">
        <f t="shared" si="928"/>
        <v>d.objetivar</v>
      </c>
      <c r="G1854" s="16" t="s">
        <v>10443</v>
      </c>
      <c r="H1854" s="33" t="s">
        <v>1581</v>
      </c>
      <c r="I1854" s="92" t="str">
        <f t="shared" si="910"/>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905"/>
        <v>Propriedade destinada a objetivar: é.ods.16.07</v>
      </c>
      <c r="V1854" s="5" t="str">
        <f t="shared" si="906"/>
        <v>Dado para objetivar:  ods.16.07  Deve ser formatado como (rdfs:Literal  or  xsd:string)</v>
      </c>
      <c r="W1854" s="38" t="s">
        <v>10592</v>
      </c>
      <c r="X1854" s="17" t="str">
        <f t="shared" si="922"/>
        <v>d.objet.260</v>
      </c>
      <c r="Y1854" s="17" t="str">
        <f t="shared" si="923"/>
        <v>Ação de objetivar</v>
      </c>
      <c r="Z1854" s="62" t="s">
        <v>10741</v>
      </c>
      <c r="AA1854" s="18" t="str">
        <f t="shared" si="907"/>
        <v>null</v>
      </c>
      <c r="AB1854" s="19" t="s">
        <v>0</v>
      </c>
      <c r="AC1854" s="18" t="str">
        <f t="shared" si="908"/>
        <v>null</v>
      </c>
      <c r="AD1854" s="19" t="s">
        <v>0</v>
      </c>
      <c r="AE1854" s="18" t="str">
        <f t="shared" si="912"/>
        <v>null</v>
      </c>
      <c r="AF1854" s="75" t="s">
        <v>0</v>
      </c>
      <c r="AG1854" s="38" t="s">
        <v>11167</v>
      </c>
    </row>
    <row r="1855" spans="1:33" customFormat="1" ht="6" customHeight="1" x14ac:dyDescent="0.4">
      <c r="A1855" s="4">
        <f>ROW()</f>
        <v>1855</v>
      </c>
      <c r="B1855" s="9" t="s">
        <v>27</v>
      </c>
      <c r="C1855" s="44" t="str">
        <f t="shared" si="917"/>
        <v>p.objetivar</v>
      </c>
      <c r="D1855" s="6" t="str">
        <f t="shared" si="911"/>
        <v>é.ods.16.08</v>
      </c>
      <c r="E1855" s="8" t="s">
        <v>28</v>
      </c>
      <c r="F1855" s="34" t="str">
        <f t="shared" si="928"/>
        <v>d.objetivar</v>
      </c>
      <c r="G1855" s="16" t="s">
        <v>10444</v>
      </c>
      <c r="H1855" s="33" t="s">
        <v>1581</v>
      </c>
      <c r="I1855" s="92" t="str">
        <f t="shared" si="910"/>
        <v>null</v>
      </c>
      <c r="J1855" s="82" t="s">
        <v>0</v>
      </c>
      <c r="K1855" s="82" t="s">
        <v>0</v>
      </c>
      <c r="L1855" s="82" t="s">
        <v>0</v>
      </c>
      <c r="M1855" s="82" t="s">
        <v>0</v>
      </c>
      <c r="N1855" s="80" t="s">
        <v>0</v>
      </c>
      <c r="O1855" s="82" t="s">
        <v>0</v>
      </c>
      <c r="P1855" s="82" t="s">
        <v>0</v>
      </c>
      <c r="Q1855" s="82" t="s">
        <v>0</v>
      </c>
      <c r="R1855" s="84" t="s">
        <v>0</v>
      </c>
      <c r="S1855" s="10" t="s">
        <v>1</v>
      </c>
      <c r="T1855" s="10" t="s">
        <v>10221</v>
      </c>
      <c r="U1855" s="5" t="str">
        <f t="shared" si="905"/>
        <v>Propriedade destinada a objetivar: é.ods.16.08</v>
      </c>
      <c r="V1855" s="5" t="str">
        <f t="shared" si="906"/>
        <v>Dado para objetivar:  ods.16.08  Deve ser formatado como (rdfs:Literal  or  xsd:string)</v>
      </c>
      <c r="W1855" s="38" t="s">
        <v>10593</v>
      </c>
      <c r="X1855" s="17" t="str">
        <f t="shared" si="922"/>
        <v>d.objet.261</v>
      </c>
      <c r="Y1855" s="17" t="str">
        <f t="shared" si="923"/>
        <v>Ação de objetivar</v>
      </c>
      <c r="Z1855" s="62" t="s">
        <v>10742</v>
      </c>
      <c r="AA1855" s="18" t="str">
        <f t="shared" si="907"/>
        <v>null</v>
      </c>
      <c r="AB1855" s="19" t="s">
        <v>0</v>
      </c>
      <c r="AC1855" s="18" t="str">
        <f t="shared" si="908"/>
        <v>null</v>
      </c>
      <c r="AD1855" s="19" t="s">
        <v>0</v>
      </c>
      <c r="AE1855" s="18" t="str">
        <f t="shared" si="912"/>
        <v>null</v>
      </c>
      <c r="AF1855" s="75" t="s">
        <v>0</v>
      </c>
      <c r="AG1855" s="38" t="s">
        <v>11168</v>
      </c>
    </row>
    <row r="1856" spans="1:33" customFormat="1" ht="6" customHeight="1" x14ac:dyDescent="0.4">
      <c r="A1856" s="4">
        <f>ROW()</f>
        <v>1856</v>
      </c>
      <c r="B1856" s="9" t="s">
        <v>27</v>
      </c>
      <c r="C1856" s="44" t="str">
        <f t="shared" si="917"/>
        <v>p.objetivar</v>
      </c>
      <c r="D1856" s="6" t="str">
        <f t="shared" si="911"/>
        <v>é.ods.16.09</v>
      </c>
      <c r="E1856" s="8" t="s">
        <v>28</v>
      </c>
      <c r="F1856" s="34" t="str">
        <f t="shared" si="928"/>
        <v>d.objetivar</v>
      </c>
      <c r="G1856" s="16" t="s">
        <v>10445</v>
      </c>
      <c r="H1856" s="33" t="s">
        <v>1581</v>
      </c>
      <c r="I1856" s="92" t="str">
        <f t="shared" si="910"/>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905"/>
        <v>Propriedade destinada a objetivar: é.ods.16.09</v>
      </c>
      <c r="V1856" s="5" t="str">
        <f t="shared" si="906"/>
        <v>Dado para objetivar:  ods.16.09  Deve ser formatado como (rdfs:Literal  or  xsd:string)</v>
      </c>
      <c r="W1856" s="38" t="s">
        <v>10594</v>
      </c>
      <c r="X1856" s="17" t="str">
        <f t="shared" si="922"/>
        <v>d.objet.262</v>
      </c>
      <c r="Y1856" s="17" t="str">
        <f t="shared" si="923"/>
        <v>Ação de objetivar</v>
      </c>
      <c r="Z1856" s="62" t="s">
        <v>10743</v>
      </c>
      <c r="AA1856" s="18" t="str">
        <f t="shared" si="907"/>
        <v>null</v>
      </c>
      <c r="AB1856" s="19" t="s">
        <v>0</v>
      </c>
      <c r="AC1856" s="18" t="str">
        <f t="shared" si="908"/>
        <v>null</v>
      </c>
      <c r="AD1856" s="19" t="s">
        <v>0</v>
      </c>
      <c r="AE1856" s="18" t="str">
        <f t="shared" si="912"/>
        <v>null</v>
      </c>
      <c r="AF1856" s="75" t="s">
        <v>0</v>
      </c>
      <c r="AG1856" s="38" t="s">
        <v>11169</v>
      </c>
    </row>
    <row r="1857" spans="1:33" customFormat="1" ht="6" customHeight="1" x14ac:dyDescent="0.4">
      <c r="A1857" s="4">
        <f>ROW()</f>
        <v>1857</v>
      </c>
      <c r="B1857" s="9" t="s">
        <v>27</v>
      </c>
      <c r="C1857" s="44" t="str">
        <f t="shared" si="917"/>
        <v>p.objetivar</v>
      </c>
      <c r="D1857" s="6" t="str">
        <f t="shared" si="911"/>
        <v>é.ods.16.10</v>
      </c>
      <c r="E1857" s="8" t="s">
        <v>28</v>
      </c>
      <c r="F1857" s="34" t="str">
        <f t="shared" si="928"/>
        <v>d.objetivar</v>
      </c>
      <c r="G1857" s="16" t="s">
        <v>10446</v>
      </c>
      <c r="H1857" s="33" t="s">
        <v>1581</v>
      </c>
      <c r="I1857" s="92" t="str">
        <f t="shared" si="910"/>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905"/>
        <v>Propriedade destinada a objetivar: é.ods.16.10</v>
      </c>
      <c r="V1857" s="5" t="str">
        <f t="shared" si="906"/>
        <v>Dado para objetivar:  ods.16.10  Deve ser formatado como (rdfs:Literal  or  xsd:string)</v>
      </c>
      <c r="W1857" s="38" t="s">
        <v>10595</v>
      </c>
      <c r="X1857" s="17" t="str">
        <f t="shared" si="922"/>
        <v>d.objet.263</v>
      </c>
      <c r="Y1857" s="17" t="str">
        <f t="shared" si="923"/>
        <v>Ação de objetivar</v>
      </c>
      <c r="Z1857" s="62" t="s">
        <v>10744</v>
      </c>
      <c r="AA1857" s="18" t="str">
        <f t="shared" si="907"/>
        <v>null</v>
      </c>
      <c r="AB1857" s="19" t="s">
        <v>0</v>
      </c>
      <c r="AC1857" s="18" t="str">
        <f t="shared" si="908"/>
        <v>null</v>
      </c>
      <c r="AD1857" s="19" t="s">
        <v>0</v>
      </c>
      <c r="AE1857" s="18" t="str">
        <f t="shared" si="912"/>
        <v>null</v>
      </c>
      <c r="AF1857" s="75" t="s">
        <v>0</v>
      </c>
      <c r="AG1857" s="38" t="s">
        <v>11170</v>
      </c>
    </row>
    <row r="1858" spans="1:33" customFormat="1" ht="6" customHeight="1" x14ac:dyDescent="0.4">
      <c r="A1858" s="4">
        <f>ROW()</f>
        <v>1858</v>
      </c>
      <c r="B1858" s="9" t="s">
        <v>27</v>
      </c>
      <c r="C1858" s="44" t="str">
        <f t="shared" si="917"/>
        <v>p.objetivar</v>
      </c>
      <c r="D1858" s="6" t="str">
        <f t="shared" si="911"/>
        <v>é.ods.16.11</v>
      </c>
      <c r="E1858" s="8" t="s">
        <v>28</v>
      </c>
      <c r="F1858" s="34" t="str">
        <f t="shared" si="928"/>
        <v>d.objetivar</v>
      </c>
      <c r="G1858" s="16" t="s">
        <v>10447</v>
      </c>
      <c r="H1858" s="33" t="s">
        <v>1581</v>
      </c>
      <c r="I1858" s="92" t="str">
        <f t="shared" si="910"/>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905"/>
        <v>Propriedade destinada a objetivar: é.ods.16.11</v>
      </c>
      <c r="V1858" s="5" t="str">
        <f t="shared" si="906"/>
        <v>Dado para objetivar:  ods.16.11  Deve ser formatado como (rdfs:Literal  or  xsd:string)</v>
      </c>
      <c r="W1858" s="38" t="s">
        <v>10596</v>
      </c>
      <c r="X1858" s="17" t="str">
        <f t="shared" si="922"/>
        <v>d.objet.264</v>
      </c>
      <c r="Y1858" s="17" t="str">
        <f t="shared" si="923"/>
        <v>Ação de objetivar</v>
      </c>
      <c r="Z1858" s="62" t="s">
        <v>10745</v>
      </c>
      <c r="AA1858" s="18" t="str">
        <f t="shared" si="907"/>
        <v>null</v>
      </c>
      <c r="AB1858" s="19" t="s">
        <v>0</v>
      </c>
      <c r="AC1858" s="18" t="str">
        <f t="shared" si="908"/>
        <v>null</v>
      </c>
      <c r="AD1858" s="19" t="s">
        <v>0</v>
      </c>
      <c r="AE1858" s="18" t="str">
        <f t="shared" si="912"/>
        <v>null</v>
      </c>
      <c r="AF1858" s="75" t="s">
        <v>0</v>
      </c>
      <c r="AG1858" s="38" t="s">
        <v>11171</v>
      </c>
    </row>
    <row r="1859" spans="1:33" customFormat="1" ht="6" customHeight="1" x14ac:dyDescent="0.4">
      <c r="A1859" s="4">
        <f>ROW()</f>
        <v>1859</v>
      </c>
      <c r="B1859" s="9" t="s">
        <v>27</v>
      </c>
      <c r="C1859" s="44" t="str">
        <f t="shared" si="917"/>
        <v>p.objetivar</v>
      </c>
      <c r="D1859" s="6" t="str">
        <f t="shared" si="911"/>
        <v>é.ods.16.12</v>
      </c>
      <c r="E1859" s="8" t="s">
        <v>28</v>
      </c>
      <c r="F1859" s="34" t="str">
        <f t="shared" si="928"/>
        <v>d.objetivar</v>
      </c>
      <c r="G1859" s="16" t="s">
        <v>10448</v>
      </c>
      <c r="H1859" s="33" t="s">
        <v>1581</v>
      </c>
      <c r="I1859" s="92" t="str">
        <f t="shared" si="910"/>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905"/>
        <v>Propriedade destinada a objetivar: é.ods.16.12</v>
      </c>
      <c r="V1859" s="5" t="str">
        <f t="shared" si="906"/>
        <v>Dado para objetivar:  ods.16.12  Deve ser formatado como (rdfs:Literal  or  xsd:string)</v>
      </c>
      <c r="W1859" s="38" t="s">
        <v>10597</v>
      </c>
      <c r="X1859" s="17" t="str">
        <f t="shared" ref="X1859:X1922" si="929">IF(F1858&lt;&gt;F1859,_xlfn.CONCAT(RIGHT(LEFT(F1859,7),7),".100"),_xlfn.CONCAT(RIGHT(LEFT(F1859,7),7),".",SUM(VALUE(RIGHT(X1858,3)),1)))</f>
        <v>d.objet.265</v>
      </c>
      <c r="Y1859" s="17" t="str">
        <f t="shared" ref="Y1859:Y1922" si="930">_xlfn.CONCAT("Ação de ", SUBSTITUTE(F1859, "d.",  ""))</f>
        <v>Ação de objetivar</v>
      </c>
      <c r="Z1859" s="62" t="s">
        <v>10746</v>
      </c>
      <c r="AA1859" s="18" t="str">
        <f t="shared" si="907"/>
        <v>null</v>
      </c>
      <c r="AB1859" s="19" t="s">
        <v>0</v>
      </c>
      <c r="AC1859" s="18" t="str">
        <f t="shared" si="908"/>
        <v>null</v>
      </c>
      <c r="AD1859" s="19" t="s">
        <v>0</v>
      </c>
      <c r="AE1859" s="18" t="str">
        <f t="shared" si="912"/>
        <v>null</v>
      </c>
      <c r="AF1859" s="75" t="s">
        <v>0</v>
      </c>
      <c r="AG1859" s="38" t="s">
        <v>11172</v>
      </c>
    </row>
    <row r="1860" spans="1:33" customFormat="1" ht="6" customHeight="1" x14ac:dyDescent="0.4">
      <c r="A1860" s="4">
        <f>ROW()</f>
        <v>1860</v>
      </c>
      <c r="B1860" s="9" t="s">
        <v>27</v>
      </c>
      <c r="C1860" s="44" t="str">
        <f t="shared" si="917"/>
        <v>p.objetivar</v>
      </c>
      <c r="D1860" s="6" t="str">
        <f t="shared" si="911"/>
        <v>é.ods.17</v>
      </c>
      <c r="E1860" s="8" t="s">
        <v>28</v>
      </c>
      <c r="F1860" s="34" t="str">
        <f>F1858</f>
        <v>d.objetivar</v>
      </c>
      <c r="G1860" s="16" t="s">
        <v>11173</v>
      </c>
      <c r="H1860" s="33" t="s">
        <v>1581</v>
      </c>
      <c r="I1860" s="92" t="str">
        <f t="shared" si="910"/>
        <v>null</v>
      </c>
      <c r="J1860" s="82" t="s">
        <v>0</v>
      </c>
      <c r="K1860" s="82" t="s">
        <v>0</v>
      </c>
      <c r="L1860" s="82" t="s">
        <v>0</v>
      </c>
      <c r="M1860" s="82" t="s">
        <v>0</v>
      </c>
      <c r="N1860" s="80" t="s">
        <v>0</v>
      </c>
      <c r="O1860" s="82" t="s">
        <v>0</v>
      </c>
      <c r="P1860" s="82" t="s">
        <v>0</v>
      </c>
      <c r="Q1860" s="82" t="s">
        <v>0</v>
      </c>
      <c r="R1860" s="84" t="s">
        <v>1761</v>
      </c>
      <c r="S1860" s="10" t="s">
        <v>1</v>
      </c>
      <c r="T1860" s="10" t="s">
        <v>10221</v>
      </c>
      <c r="U1860" s="5" t="str">
        <f t="shared" si="905"/>
        <v>Propriedade destinada a objetivar: é.ods.17</v>
      </c>
      <c r="V1860" s="5" t="str">
        <f t="shared" si="906"/>
        <v>Dado para objetivar:  ods.17  Deve ser formatado como (rdfs:Literal  or  xsd:string)</v>
      </c>
      <c r="W1860" s="38" t="s">
        <v>11174</v>
      </c>
      <c r="X1860" s="17" t="str">
        <f t="shared" si="929"/>
        <v>d.objet.266</v>
      </c>
      <c r="Y1860" s="17" t="str">
        <f t="shared" si="930"/>
        <v>Ação de objetivar</v>
      </c>
      <c r="Z1860" s="62" t="s">
        <v>11175</v>
      </c>
      <c r="AA1860" s="18" t="str">
        <f t="shared" si="907"/>
        <v>null</v>
      </c>
      <c r="AB1860" s="19" t="s">
        <v>0</v>
      </c>
      <c r="AC1860" s="18" t="str">
        <f t="shared" si="908"/>
        <v>null</v>
      </c>
      <c r="AD1860" s="19" t="s">
        <v>0</v>
      </c>
      <c r="AE1860" s="18" t="str">
        <f t="shared" si="912"/>
        <v>null</v>
      </c>
      <c r="AF1860" s="75" t="s">
        <v>0</v>
      </c>
      <c r="AG1860" s="38" t="s">
        <v>11176</v>
      </c>
    </row>
    <row r="1861" spans="1:33" customFormat="1" ht="6" customHeight="1" x14ac:dyDescent="0.4">
      <c r="A1861" s="4">
        <f>ROW()</f>
        <v>1861</v>
      </c>
      <c r="B1861" s="9" t="s">
        <v>27</v>
      </c>
      <c r="C1861" s="44" t="str">
        <f t="shared" si="917"/>
        <v>p.objetivar</v>
      </c>
      <c r="D1861" s="6" t="str">
        <f t="shared" si="911"/>
        <v>é.ods.17.01</v>
      </c>
      <c r="E1861" s="8" t="s">
        <v>28</v>
      </c>
      <c r="F1861" s="34" t="str">
        <f>F1859</f>
        <v>d.objetivar</v>
      </c>
      <c r="G1861" s="16" t="s">
        <v>10449</v>
      </c>
      <c r="H1861" s="33" t="s">
        <v>1581</v>
      </c>
      <c r="I1861" s="92" t="str">
        <f t="shared" si="910"/>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905"/>
        <v>Propriedade destinada a objetivar: é.ods.17.01</v>
      </c>
      <c r="V1861" s="5" t="str">
        <f t="shared" si="906"/>
        <v>Dado para objetivar:  ods.17.01  Deve ser formatado como (rdfs:Literal  or  xsd:string)</v>
      </c>
      <c r="W1861" s="38" t="s">
        <v>10598</v>
      </c>
      <c r="X1861" s="17" t="str">
        <f t="shared" si="929"/>
        <v>d.objet.267</v>
      </c>
      <c r="Y1861" s="17" t="str">
        <f t="shared" si="930"/>
        <v>Ação de objetivar</v>
      </c>
      <c r="Z1861" s="62" t="s">
        <v>10747</v>
      </c>
      <c r="AA1861" s="18" t="str">
        <f t="shared" si="907"/>
        <v>null</v>
      </c>
      <c r="AB1861" s="19" t="s">
        <v>0</v>
      </c>
      <c r="AC1861" s="18" t="str">
        <f t="shared" si="908"/>
        <v>null</v>
      </c>
      <c r="AD1861" s="19" t="s">
        <v>0</v>
      </c>
      <c r="AE1861" s="18" t="str">
        <f t="shared" si="912"/>
        <v>null</v>
      </c>
      <c r="AF1861" s="75" t="s">
        <v>0</v>
      </c>
      <c r="AG1861" s="38" t="s">
        <v>11177</v>
      </c>
    </row>
    <row r="1862" spans="1:33" customFormat="1" ht="6" customHeight="1" x14ac:dyDescent="0.4">
      <c r="A1862" s="4">
        <f>ROW()</f>
        <v>1862</v>
      </c>
      <c r="B1862" s="9" t="s">
        <v>27</v>
      </c>
      <c r="C1862" s="44" t="str">
        <f t="shared" si="917"/>
        <v>p.objetivar</v>
      </c>
      <c r="D1862" s="6" t="str">
        <f t="shared" si="911"/>
        <v>é.ods.17.02</v>
      </c>
      <c r="E1862" s="8" t="s">
        <v>28</v>
      </c>
      <c r="F1862" s="34" t="str">
        <f t="shared" ref="F1862:F1879" si="931">F1861</f>
        <v>d.objetivar</v>
      </c>
      <c r="G1862" s="16" t="s">
        <v>10450</v>
      </c>
      <c r="H1862" s="33" t="s">
        <v>1581</v>
      </c>
      <c r="I1862" s="92" t="str">
        <f t="shared" si="910"/>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905"/>
        <v>Propriedade destinada a objetivar: é.ods.17.02</v>
      </c>
      <c r="V1862" s="5" t="str">
        <f t="shared" si="906"/>
        <v>Dado para objetivar:  ods.17.02  Deve ser formatado como (rdfs:Literal  or  xsd:string)</v>
      </c>
      <c r="W1862" s="38" t="s">
        <v>10599</v>
      </c>
      <c r="X1862" s="17" t="str">
        <f t="shared" si="929"/>
        <v>d.objet.268</v>
      </c>
      <c r="Y1862" s="17" t="str">
        <f t="shared" si="930"/>
        <v>Ação de objetivar</v>
      </c>
      <c r="Z1862" s="62" t="s">
        <v>10748</v>
      </c>
      <c r="AA1862" s="18" t="str">
        <f t="shared" si="907"/>
        <v>null</v>
      </c>
      <c r="AB1862" s="19" t="s">
        <v>0</v>
      </c>
      <c r="AC1862" s="18" t="str">
        <f t="shared" si="908"/>
        <v>null</v>
      </c>
      <c r="AD1862" s="19" t="s">
        <v>0</v>
      </c>
      <c r="AE1862" s="18" t="str">
        <f t="shared" si="912"/>
        <v>null</v>
      </c>
      <c r="AF1862" s="75" t="s">
        <v>0</v>
      </c>
      <c r="AG1862" s="38" t="s">
        <v>11178</v>
      </c>
    </row>
    <row r="1863" spans="1:33" customFormat="1" ht="6" customHeight="1" x14ac:dyDescent="0.4">
      <c r="A1863" s="4">
        <f>ROW()</f>
        <v>1863</v>
      </c>
      <c r="B1863" s="9" t="s">
        <v>27</v>
      </c>
      <c r="C1863" s="44" t="str">
        <f t="shared" si="917"/>
        <v>p.objetivar</v>
      </c>
      <c r="D1863" s="6" t="str">
        <f t="shared" si="911"/>
        <v>é.ods.17.03</v>
      </c>
      <c r="E1863" s="8" t="s">
        <v>28</v>
      </c>
      <c r="F1863" s="34" t="str">
        <f t="shared" si="931"/>
        <v>d.objetivar</v>
      </c>
      <c r="G1863" s="16" t="s">
        <v>10451</v>
      </c>
      <c r="H1863" s="33" t="s">
        <v>1581</v>
      </c>
      <c r="I1863" s="92" t="str">
        <f t="shared" si="910"/>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905"/>
        <v>Propriedade destinada a objetivar: é.ods.17.03</v>
      </c>
      <c r="V1863" s="5" t="str">
        <f t="shared" si="906"/>
        <v>Dado para objetivar:  ods.17.03  Deve ser formatado como (rdfs:Literal  or  xsd:string)</v>
      </c>
      <c r="W1863" s="38" t="s">
        <v>10600</v>
      </c>
      <c r="X1863" s="17" t="str">
        <f t="shared" si="929"/>
        <v>d.objet.269</v>
      </c>
      <c r="Y1863" s="17" t="str">
        <f t="shared" si="930"/>
        <v>Ação de objetivar</v>
      </c>
      <c r="Z1863" s="62" t="s">
        <v>10749</v>
      </c>
      <c r="AA1863" s="18" t="str">
        <f t="shared" si="907"/>
        <v>null</v>
      </c>
      <c r="AB1863" s="19" t="s">
        <v>0</v>
      </c>
      <c r="AC1863" s="18" t="str">
        <f t="shared" si="908"/>
        <v>null</v>
      </c>
      <c r="AD1863" s="19" t="s">
        <v>0</v>
      </c>
      <c r="AE1863" s="18" t="str">
        <f t="shared" si="912"/>
        <v>null</v>
      </c>
      <c r="AF1863" s="75" t="s">
        <v>0</v>
      </c>
      <c r="AG1863" s="38" t="s">
        <v>11179</v>
      </c>
    </row>
    <row r="1864" spans="1:33" customFormat="1" ht="6" customHeight="1" x14ac:dyDescent="0.4">
      <c r="A1864" s="4">
        <f>ROW()</f>
        <v>1864</v>
      </c>
      <c r="B1864" s="9" t="s">
        <v>27</v>
      </c>
      <c r="C1864" s="44" t="str">
        <f t="shared" si="917"/>
        <v>p.objetivar</v>
      </c>
      <c r="D1864" s="6" t="str">
        <f t="shared" si="911"/>
        <v>é.ods.17.04</v>
      </c>
      <c r="E1864" s="8" t="s">
        <v>28</v>
      </c>
      <c r="F1864" s="34" t="str">
        <f t="shared" si="931"/>
        <v>d.objetivar</v>
      </c>
      <c r="G1864" s="16" t="s">
        <v>10452</v>
      </c>
      <c r="H1864" s="33" t="s">
        <v>1581</v>
      </c>
      <c r="I1864" s="92" t="str">
        <f t="shared" si="910"/>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905"/>
        <v>Propriedade destinada a objetivar: é.ods.17.04</v>
      </c>
      <c r="V1864" s="5" t="str">
        <f t="shared" si="906"/>
        <v>Dado para objetivar:  ods.17.04  Deve ser formatado como (rdfs:Literal  or  xsd:string)</v>
      </c>
      <c r="W1864" s="38" t="s">
        <v>10601</v>
      </c>
      <c r="X1864" s="17" t="str">
        <f t="shared" si="929"/>
        <v>d.objet.270</v>
      </c>
      <c r="Y1864" s="17" t="str">
        <f t="shared" si="930"/>
        <v>Ação de objetivar</v>
      </c>
      <c r="Z1864" s="62" t="s">
        <v>10750</v>
      </c>
      <c r="AA1864" s="18" t="str">
        <f t="shared" si="907"/>
        <v>null</v>
      </c>
      <c r="AB1864" s="19" t="s">
        <v>0</v>
      </c>
      <c r="AC1864" s="18" t="str">
        <f t="shared" si="908"/>
        <v>null</v>
      </c>
      <c r="AD1864" s="19" t="s">
        <v>0</v>
      </c>
      <c r="AE1864" s="18" t="str">
        <f t="shared" si="912"/>
        <v>null</v>
      </c>
      <c r="AF1864" s="75" t="s">
        <v>0</v>
      </c>
      <c r="AG1864" s="38" t="s">
        <v>11180</v>
      </c>
    </row>
    <row r="1865" spans="1:33" customFormat="1" ht="6" customHeight="1" x14ac:dyDescent="0.4">
      <c r="A1865" s="4">
        <f>ROW()</f>
        <v>1865</v>
      </c>
      <c r="B1865" s="9" t="s">
        <v>27</v>
      </c>
      <c r="C1865" s="44" t="str">
        <f t="shared" si="917"/>
        <v>p.objetivar</v>
      </c>
      <c r="D1865" s="6" t="str">
        <f t="shared" si="911"/>
        <v>é.ods.17.05</v>
      </c>
      <c r="E1865" s="8" t="s">
        <v>28</v>
      </c>
      <c r="F1865" s="34" t="str">
        <f t="shared" si="931"/>
        <v>d.objetivar</v>
      </c>
      <c r="G1865" s="16" t="s">
        <v>10453</v>
      </c>
      <c r="H1865" s="33" t="s">
        <v>1581</v>
      </c>
      <c r="I1865" s="92" t="str">
        <f t="shared" si="910"/>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905"/>
        <v>Propriedade destinada a objetivar: é.ods.17.05</v>
      </c>
      <c r="V1865" s="5" t="str">
        <f t="shared" si="906"/>
        <v>Dado para objetivar:  ods.17.05  Deve ser formatado como (rdfs:Literal  or  xsd:string)</v>
      </c>
      <c r="W1865" s="38" t="s">
        <v>10602</v>
      </c>
      <c r="X1865" s="17" t="str">
        <f t="shared" si="929"/>
        <v>d.objet.271</v>
      </c>
      <c r="Y1865" s="17" t="str">
        <f t="shared" si="930"/>
        <v>Ação de objetivar</v>
      </c>
      <c r="Z1865" s="62" t="s">
        <v>10751</v>
      </c>
      <c r="AA1865" s="18" t="str">
        <f t="shared" si="907"/>
        <v>null</v>
      </c>
      <c r="AB1865" s="19" t="s">
        <v>0</v>
      </c>
      <c r="AC1865" s="18" t="str">
        <f t="shared" si="908"/>
        <v>null</v>
      </c>
      <c r="AD1865" s="19" t="s">
        <v>0</v>
      </c>
      <c r="AE1865" s="18" t="str">
        <f t="shared" si="912"/>
        <v>null</v>
      </c>
      <c r="AF1865" s="75" t="s">
        <v>0</v>
      </c>
      <c r="AG1865" s="38" t="s">
        <v>11181</v>
      </c>
    </row>
    <row r="1866" spans="1:33" customFormat="1" ht="6" customHeight="1" x14ac:dyDescent="0.4">
      <c r="A1866" s="4">
        <f>ROW()</f>
        <v>1866</v>
      </c>
      <c r="B1866" s="9" t="s">
        <v>27</v>
      </c>
      <c r="C1866" s="44" t="str">
        <f t="shared" si="917"/>
        <v>p.objetivar</v>
      </c>
      <c r="D1866" s="6" t="str">
        <f t="shared" si="911"/>
        <v>é.ods.17.06</v>
      </c>
      <c r="E1866" s="8" t="s">
        <v>28</v>
      </c>
      <c r="F1866" s="34" t="str">
        <f t="shared" si="931"/>
        <v>d.objetivar</v>
      </c>
      <c r="G1866" s="16" t="s">
        <v>10454</v>
      </c>
      <c r="H1866" s="33" t="s">
        <v>1581</v>
      </c>
      <c r="I1866" s="92" t="str">
        <f t="shared" si="910"/>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905"/>
        <v>Propriedade destinada a objetivar: é.ods.17.06</v>
      </c>
      <c r="V1866" s="5" t="str">
        <f t="shared" si="906"/>
        <v>Dado para objetivar:  ods.17.06  Deve ser formatado como (rdfs:Literal  or  xsd:string)</v>
      </c>
      <c r="W1866" s="38" t="s">
        <v>10603</v>
      </c>
      <c r="X1866" s="17" t="str">
        <f t="shared" si="929"/>
        <v>d.objet.272</v>
      </c>
      <c r="Y1866" s="17" t="str">
        <f t="shared" si="930"/>
        <v>Ação de objetivar</v>
      </c>
      <c r="Z1866" s="62" t="s">
        <v>10752</v>
      </c>
      <c r="AA1866" s="18" t="str">
        <f t="shared" si="907"/>
        <v>null</v>
      </c>
      <c r="AB1866" s="19" t="s">
        <v>0</v>
      </c>
      <c r="AC1866" s="18" t="str">
        <f t="shared" si="908"/>
        <v>null</v>
      </c>
      <c r="AD1866" s="19" t="s">
        <v>0</v>
      </c>
      <c r="AE1866" s="18" t="str">
        <f t="shared" si="912"/>
        <v>null</v>
      </c>
      <c r="AF1866" s="75" t="s">
        <v>0</v>
      </c>
      <c r="AG1866" s="38" t="s">
        <v>11182</v>
      </c>
    </row>
    <row r="1867" spans="1:33" customFormat="1" ht="6" customHeight="1" x14ac:dyDescent="0.4">
      <c r="A1867" s="4">
        <f>ROW()</f>
        <v>1867</v>
      </c>
      <c r="B1867" s="9" t="s">
        <v>27</v>
      </c>
      <c r="C1867" s="44" t="str">
        <f t="shared" si="917"/>
        <v>p.objetivar</v>
      </c>
      <c r="D1867" s="6" t="str">
        <f t="shared" si="911"/>
        <v>é.ods.17.07</v>
      </c>
      <c r="E1867" s="8" t="s">
        <v>28</v>
      </c>
      <c r="F1867" s="34" t="str">
        <f t="shared" si="931"/>
        <v>d.objetivar</v>
      </c>
      <c r="G1867" s="16" t="s">
        <v>10455</v>
      </c>
      <c r="H1867" s="33" t="s">
        <v>1581</v>
      </c>
      <c r="I1867" s="92" t="str">
        <f t="shared" si="910"/>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905"/>
        <v>Propriedade destinada a objetivar: é.ods.17.07</v>
      </c>
      <c r="V1867" s="5" t="str">
        <f t="shared" si="906"/>
        <v>Dado para objetivar:  ods.17.07  Deve ser formatado como (rdfs:Literal  or  xsd:string)</v>
      </c>
      <c r="W1867" s="38" t="s">
        <v>10604</v>
      </c>
      <c r="X1867" s="17" t="str">
        <f t="shared" si="929"/>
        <v>d.objet.273</v>
      </c>
      <c r="Y1867" s="17" t="str">
        <f t="shared" si="930"/>
        <v>Ação de objetivar</v>
      </c>
      <c r="Z1867" s="62" t="s">
        <v>10753</v>
      </c>
      <c r="AA1867" s="18" t="str">
        <f t="shared" si="907"/>
        <v>null</v>
      </c>
      <c r="AB1867" s="19" t="s">
        <v>0</v>
      </c>
      <c r="AC1867" s="18" t="str">
        <f t="shared" si="908"/>
        <v>null</v>
      </c>
      <c r="AD1867" s="19" t="s">
        <v>0</v>
      </c>
      <c r="AE1867" s="18" t="str">
        <f t="shared" si="912"/>
        <v>null</v>
      </c>
      <c r="AF1867" s="75" t="s">
        <v>0</v>
      </c>
      <c r="AG1867" s="38" t="s">
        <v>11183</v>
      </c>
    </row>
    <row r="1868" spans="1:33" customFormat="1" ht="6" customHeight="1" x14ac:dyDescent="0.4">
      <c r="A1868" s="4">
        <f>ROW()</f>
        <v>1868</v>
      </c>
      <c r="B1868" s="9" t="s">
        <v>27</v>
      </c>
      <c r="C1868" s="44" t="str">
        <f t="shared" si="917"/>
        <v>p.objetivar</v>
      </c>
      <c r="D1868" s="6" t="str">
        <f t="shared" si="911"/>
        <v>é.ods.17.08</v>
      </c>
      <c r="E1868" s="8" t="s">
        <v>28</v>
      </c>
      <c r="F1868" s="34" t="str">
        <f t="shared" si="931"/>
        <v>d.objetivar</v>
      </c>
      <c r="G1868" s="16" t="s">
        <v>10456</v>
      </c>
      <c r="H1868" s="33" t="s">
        <v>1581</v>
      </c>
      <c r="I1868" s="92" t="str">
        <f t="shared" si="910"/>
        <v>null</v>
      </c>
      <c r="J1868" s="82" t="s">
        <v>0</v>
      </c>
      <c r="K1868" s="82" t="s">
        <v>0</v>
      </c>
      <c r="L1868" s="82" t="s">
        <v>0</v>
      </c>
      <c r="M1868" s="82" t="s">
        <v>0</v>
      </c>
      <c r="N1868" s="80" t="s">
        <v>0</v>
      </c>
      <c r="O1868" s="82" t="s">
        <v>0</v>
      </c>
      <c r="P1868" s="82" t="s">
        <v>0</v>
      </c>
      <c r="Q1868" s="82" t="s">
        <v>0</v>
      </c>
      <c r="R1868" s="84" t="s">
        <v>0</v>
      </c>
      <c r="S1868" s="10" t="s">
        <v>1</v>
      </c>
      <c r="T1868" s="10" t="s">
        <v>10221</v>
      </c>
      <c r="U1868" s="5" t="str">
        <f t="shared" si="905"/>
        <v>Propriedade destinada a objetivar: é.ods.17.08</v>
      </c>
      <c r="V1868" s="5" t="str">
        <f t="shared" si="906"/>
        <v>Dado para objetivar:  ods.17.08  Deve ser formatado como (rdfs:Literal  or  xsd:string)</v>
      </c>
      <c r="W1868" s="38" t="s">
        <v>10605</v>
      </c>
      <c r="X1868" s="17" t="str">
        <f t="shared" si="929"/>
        <v>d.objet.274</v>
      </c>
      <c r="Y1868" s="17" t="str">
        <f t="shared" si="930"/>
        <v>Ação de objetivar</v>
      </c>
      <c r="Z1868" s="62" t="s">
        <v>10754</v>
      </c>
      <c r="AA1868" s="18" t="str">
        <f t="shared" si="907"/>
        <v>null</v>
      </c>
      <c r="AB1868" s="19" t="s">
        <v>0</v>
      </c>
      <c r="AC1868" s="18" t="str">
        <f t="shared" si="908"/>
        <v>null</v>
      </c>
      <c r="AD1868" s="19" t="s">
        <v>0</v>
      </c>
      <c r="AE1868" s="18" t="str">
        <f t="shared" si="912"/>
        <v>null</v>
      </c>
      <c r="AF1868" s="75" t="s">
        <v>0</v>
      </c>
      <c r="AG1868" s="38" t="s">
        <v>11184</v>
      </c>
    </row>
    <row r="1869" spans="1:33" customFormat="1" ht="6" customHeight="1" x14ac:dyDescent="0.4">
      <c r="A1869" s="4">
        <f>ROW()</f>
        <v>1869</v>
      </c>
      <c r="B1869" s="9" t="s">
        <v>27</v>
      </c>
      <c r="C1869" s="44" t="str">
        <f t="shared" si="917"/>
        <v>p.objetivar</v>
      </c>
      <c r="D1869" s="6" t="str">
        <f t="shared" si="911"/>
        <v>é.ods.17.09</v>
      </c>
      <c r="E1869" s="8" t="s">
        <v>28</v>
      </c>
      <c r="F1869" s="34" t="str">
        <f t="shared" si="931"/>
        <v>d.objetivar</v>
      </c>
      <c r="G1869" s="16" t="s">
        <v>10457</v>
      </c>
      <c r="H1869" s="33" t="s">
        <v>1581</v>
      </c>
      <c r="I1869" s="92" t="str">
        <f t="shared" si="910"/>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905"/>
        <v>Propriedade destinada a objetivar: é.ods.17.09</v>
      </c>
      <c r="V1869" s="5" t="str">
        <f t="shared" si="906"/>
        <v>Dado para objetivar:  ods.17.09  Deve ser formatado como (rdfs:Literal  or  xsd:string)</v>
      </c>
      <c r="W1869" s="38" t="s">
        <v>10606</v>
      </c>
      <c r="X1869" s="17" t="str">
        <f t="shared" si="929"/>
        <v>d.objet.275</v>
      </c>
      <c r="Y1869" s="17" t="str">
        <f t="shared" si="930"/>
        <v>Ação de objetivar</v>
      </c>
      <c r="Z1869" s="62" t="s">
        <v>10755</v>
      </c>
      <c r="AA1869" s="18" t="str">
        <f t="shared" si="907"/>
        <v>null</v>
      </c>
      <c r="AB1869" s="19" t="s">
        <v>0</v>
      </c>
      <c r="AC1869" s="18" t="str">
        <f t="shared" si="908"/>
        <v>null</v>
      </c>
      <c r="AD1869" s="19" t="s">
        <v>0</v>
      </c>
      <c r="AE1869" s="18" t="str">
        <f t="shared" si="912"/>
        <v>null</v>
      </c>
      <c r="AF1869" s="75" t="s">
        <v>0</v>
      </c>
      <c r="AG1869" s="38" t="s">
        <v>11185</v>
      </c>
    </row>
    <row r="1870" spans="1:33" customFormat="1" ht="6" customHeight="1" x14ac:dyDescent="0.4">
      <c r="A1870" s="4">
        <f>ROW()</f>
        <v>1870</v>
      </c>
      <c r="B1870" s="9" t="s">
        <v>27</v>
      </c>
      <c r="C1870" s="44" t="str">
        <f t="shared" si="917"/>
        <v>p.objetivar</v>
      </c>
      <c r="D1870" s="6" t="str">
        <f t="shared" si="911"/>
        <v>é.ods.17.10</v>
      </c>
      <c r="E1870" s="8" t="s">
        <v>28</v>
      </c>
      <c r="F1870" s="34" t="str">
        <f t="shared" si="931"/>
        <v>d.objetivar</v>
      </c>
      <c r="G1870" s="16" t="s">
        <v>10458</v>
      </c>
      <c r="H1870" s="33" t="s">
        <v>1581</v>
      </c>
      <c r="I1870" s="92" t="str">
        <f t="shared" si="910"/>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905"/>
        <v>Propriedade destinada a objetivar: é.ods.17.10</v>
      </c>
      <c r="V1870" s="5" t="str">
        <f t="shared" si="906"/>
        <v>Dado para objetivar:  ods.17.10  Deve ser formatado como (rdfs:Literal  or  xsd:string)</v>
      </c>
      <c r="W1870" s="38" t="s">
        <v>10607</v>
      </c>
      <c r="X1870" s="17" t="str">
        <f t="shared" si="929"/>
        <v>d.objet.276</v>
      </c>
      <c r="Y1870" s="17" t="str">
        <f t="shared" si="930"/>
        <v>Ação de objetivar</v>
      </c>
      <c r="Z1870" s="62" t="s">
        <v>10756</v>
      </c>
      <c r="AA1870" s="18" t="str">
        <f t="shared" si="907"/>
        <v>null</v>
      </c>
      <c r="AB1870" s="19" t="s">
        <v>0</v>
      </c>
      <c r="AC1870" s="18" t="str">
        <f t="shared" si="908"/>
        <v>null</v>
      </c>
      <c r="AD1870" s="19" t="s">
        <v>0</v>
      </c>
      <c r="AE1870" s="18" t="str">
        <f t="shared" si="912"/>
        <v>null</v>
      </c>
      <c r="AF1870" s="75" t="s">
        <v>0</v>
      </c>
      <c r="AG1870" s="38" t="s">
        <v>11186</v>
      </c>
    </row>
    <row r="1871" spans="1:33" customFormat="1" ht="6" customHeight="1" x14ac:dyDescent="0.4">
      <c r="A1871" s="4">
        <f>ROW()</f>
        <v>1871</v>
      </c>
      <c r="B1871" s="9" t="s">
        <v>27</v>
      </c>
      <c r="C1871" s="44" t="str">
        <f t="shared" si="917"/>
        <v>p.objetivar</v>
      </c>
      <c r="D1871" s="6" t="str">
        <f t="shared" si="911"/>
        <v>é.ods.17.11</v>
      </c>
      <c r="E1871" s="8" t="s">
        <v>28</v>
      </c>
      <c r="F1871" s="34" t="str">
        <f t="shared" si="931"/>
        <v>d.objetivar</v>
      </c>
      <c r="G1871" s="16" t="s">
        <v>10459</v>
      </c>
      <c r="H1871" s="33" t="s">
        <v>1581</v>
      </c>
      <c r="I1871" s="92" t="str">
        <f t="shared" si="910"/>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905"/>
        <v>Propriedade destinada a objetivar: é.ods.17.11</v>
      </c>
      <c r="V1871" s="5" t="str">
        <f t="shared" si="906"/>
        <v>Dado para objetivar:  ods.17.11  Deve ser formatado como (rdfs:Literal  or  xsd:string)</v>
      </c>
      <c r="W1871" s="38" t="s">
        <v>10608</v>
      </c>
      <c r="X1871" s="17" t="str">
        <f t="shared" si="929"/>
        <v>d.objet.277</v>
      </c>
      <c r="Y1871" s="17" t="str">
        <f t="shared" si="930"/>
        <v>Ação de objetivar</v>
      </c>
      <c r="Z1871" s="62" t="s">
        <v>10757</v>
      </c>
      <c r="AA1871" s="18" t="str">
        <f t="shared" si="907"/>
        <v>null</v>
      </c>
      <c r="AB1871" s="19" t="s">
        <v>0</v>
      </c>
      <c r="AC1871" s="18" t="str">
        <f t="shared" si="908"/>
        <v>null</v>
      </c>
      <c r="AD1871" s="19" t="s">
        <v>0</v>
      </c>
      <c r="AE1871" s="18" t="str">
        <f t="shared" si="912"/>
        <v>null</v>
      </c>
      <c r="AF1871" s="75" t="s">
        <v>0</v>
      </c>
      <c r="AG1871" s="38" t="s">
        <v>11187</v>
      </c>
    </row>
    <row r="1872" spans="1:33" customFormat="1" ht="6" customHeight="1" x14ac:dyDescent="0.4">
      <c r="A1872" s="4">
        <f>ROW()</f>
        <v>1872</v>
      </c>
      <c r="B1872" s="9" t="s">
        <v>27</v>
      </c>
      <c r="C1872" s="44" t="str">
        <f t="shared" si="917"/>
        <v>p.objetivar</v>
      </c>
      <c r="D1872" s="6" t="str">
        <f t="shared" si="911"/>
        <v>é.ods.17.12</v>
      </c>
      <c r="E1872" s="8" t="s">
        <v>28</v>
      </c>
      <c r="F1872" s="34" t="str">
        <f t="shared" si="931"/>
        <v>d.objetivar</v>
      </c>
      <c r="G1872" s="16" t="s">
        <v>10460</v>
      </c>
      <c r="H1872" s="33" t="s">
        <v>1581</v>
      </c>
      <c r="I1872" s="92" t="str">
        <f t="shared" si="910"/>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905"/>
        <v>Propriedade destinada a objetivar: é.ods.17.12</v>
      </c>
      <c r="V1872" s="5" t="str">
        <f t="shared" si="906"/>
        <v>Dado para objetivar:  ods.17.12  Deve ser formatado como (rdfs:Literal  or  xsd:string)</v>
      </c>
      <c r="W1872" s="38" t="s">
        <v>10609</v>
      </c>
      <c r="X1872" s="17" t="str">
        <f t="shared" si="929"/>
        <v>d.objet.278</v>
      </c>
      <c r="Y1872" s="17" t="str">
        <f t="shared" si="930"/>
        <v>Ação de objetivar</v>
      </c>
      <c r="Z1872" s="62" t="s">
        <v>10758</v>
      </c>
      <c r="AA1872" s="18" t="str">
        <f t="shared" si="907"/>
        <v>null</v>
      </c>
      <c r="AB1872" s="19" t="s">
        <v>0</v>
      </c>
      <c r="AC1872" s="18" t="str">
        <f t="shared" si="908"/>
        <v>null</v>
      </c>
      <c r="AD1872" s="19" t="s">
        <v>0</v>
      </c>
      <c r="AE1872" s="18" t="str">
        <f t="shared" si="912"/>
        <v>null</v>
      </c>
      <c r="AF1872" s="75" t="s">
        <v>0</v>
      </c>
      <c r="AG1872" s="38" t="s">
        <v>11188</v>
      </c>
    </row>
    <row r="1873" spans="1:33" customFormat="1" ht="6" customHeight="1" x14ac:dyDescent="0.4">
      <c r="A1873" s="4">
        <f>ROW()</f>
        <v>1873</v>
      </c>
      <c r="B1873" s="9" t="s">
        <v>27</v>
      </c>
      <c r="C1873" s="44" t="str">
        <f t="shared" si="917"/>
        <v>p.objetivar</v>
      </c>
      <c r="D1873" s="6" t="str">
        <f t="shared" si="911"/>
        <v>é.ods.17.13</v>
      </c>
      <c r="E1873" s="8" t="s">
        <v>28</v>
      </c>
      <c r="F1873" s="34" t="str">
        <f t="shared" si="931"/>
        <v>d.objetivar</v>
      </c>
      <c r="G1873" s="16" t="s">
        <v>10461</v>
      </c>
      <c r="H1873" s="33" t="s">
        <v>1581</v>
      </c>
      <c r="I1873" s="92" t="str">
        <f t="shared" si="910"/>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905"/>
        <v>Propriedade destinada a objetivar: é.ods.17.13</v>
      </c>
      <c r="V1873" s="5" t="str">
        <f t="shared" si="906"/>
        <v>Dado para objetivar:  ods.17.13  Deve ser formatado como (rdfs:Literal  or  xsd:string)</v>
      </c>
      <c r="W1873" s="38" t="s">
        <v>10610</v>
      </c>
      <c r="X1873" s="17" t="str">
        <f t="shared" si="929"/>
        <v>d.objet.279</v>
      </c>
      <c r="Y1873" s="17" t="str">
        <f t="shared" si="930"/>
        <v>Ação de objetivar</v>
      </c>
      <c r="Z1873" s="62" t="s">
        <v>10759</v>
      </c>
      <c r="AA1873" s="18" t="str">
        <f t="shared" si="907"/>
        <v>null</v>
      </c>
      <c r="AB1873" s="19" t="s">
        <v>0</v>
      </c>
      <c r="AC1873" s="18" t="str">
        <f t="shared" si="908"/>
        <v>null</v>
      </c>
      <c r="AD1873" s="19" t="s">
        <v>0</v>
      </c>
      <c r="AE1873" s="18" t="str">
        <f t="shared" si="912"/>
        <v>null</v>
      </c>
      <c r="AF1873" s="75" t="s">
        <v>0</v>
      </c>
      <c r="AG1873" s="38" t="s">
        <v>11189</v>
      </c>
    </row>
    <row r="1874" spans="1:33" customFormat="1" ht="6" customHeight="1" x14ac:dyDescent="0.4">
      <c r="A1874" s="4">
        <f>ROW()</f>
        <v>1874</v>
      </c>
      <c r="B1874" s="9" t="s">
        <v>27</v>
      </c>
      <c r="C1874" s="44" t="str">
        <f t="shared" si="917"/>
        <v>p.objetivar</v>
      </c>
      <c r="D1874" s="6" t="str">
        <f t="shared" si="911"/>
        <v>é.ods.17.14</v>
      </c>
      <c r="E1874" s="8" t="s">
        <v>28</v>
      </c>
      <c r="F1874" s="34" t="str">
        <f t="shared" si="931"/>
        <v>d.objetivar</v>
      </c>
      <c r="G1874" s="16" t="s">
        <v>10462</v>
      </c>
      <c r="H1874" s="33" t="s">
        <v>1581</v>
      </c>
      <c r="I1874" s="92" t="str">
        <f t="shared" si="910"/>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905"/>
        <v>Propriedade destinada a objetivar: é.ods.17.14</v>
      </c>
      <c r="V1874" s="5" t="str">
        <f t="shared" si="906"/>
        <v>Dado para objetivar:  ods.17.14  Deve ser formatado como (rdfs:Literal  or  xsd:string)</v>
      </c>
      <c r="W1874" s="38" t="s">
        <v>10611</v>
      </c>
      <c r="X1874" s="17" t="str">
        <f t="shared" si="929"/>
        <v>d.objet.280</v>
      </c>
      <c r="Y1874" s="17" t="str">
        <f t="shared" si="930"/>
        <v>Ação de objetivar</v>
      </c>
      <c r="Z1874" s="62" t="s">
        <v>10760</v>
      </c>
      <c r="AA1874" s="18" t="str">
        <f t="shared" si="907"/>
        <v>null</v>
      </c>
      <c r="AB1874" s="19" t="s">
        <v>0</v>
      </c>
      <c r="AC1874" s="18" t="str">
        <f t="shared" si="908"/>
        <v>null</v>
      </c>
      <c r="AD1874" s="19" t="s">
        <v>0</v>
      </c>
      <c r="AE1874" s="18" t="str">
        <f t="shared" si="912"/>
        <v>null</v>
      </c>
      <c r="AF1874" s="75" t="s">
        <v>0</v>
      </c>
      <c r="AG1874" s="38" t="s">
        <v>11190</v>
      </c>
    </row>
    <row r="1875" spans="1:33" customFormat="1" ht="6" customHeight="1" x14ac:dyDescent="0.4">
      <c r="A1875" s="4">
        <f>ROW()</f>
        <v>1875</v>
      </c>
      <c r="B1875" s="9" t="s">
        <v>27</v>
      </c>
      <c r="C1875" s="44" t="str">
        <f t="shared" si="917"/>
        <v>p.objetivar</v>
      </c>
      <c r="D1875" s="6" t="str">
        <f t="shared" si="911"/>
        <v>é.ods.17.15</v>
      </c>
      <c r="E1875" s="8" t="s">
        <v>28</v>
      </c>
      <c r="F1875" s="34" t="str">
        <f t="shared" si="931"/>
        <v>d.objetivar</v>
      </c>
      <c r="G1875" s="16" t="s">
        <v>10463</v>
      </c>
      <c r="H1875" s="33" t="s">
        <v>1581</v>
      </c>
      <c r="I1875" s="92" t="str">
        <f t="shared" si="910"/>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905"/>
        <v>Propriedade destinada a objetivar: é.ods.17.15</v>
      </c>
      <c r="V1875" s="5" t="str">
        <f t="shared" si="906"/>
        <v>Dado para objetivar:  ods.17.15  Deve ser formatado como (rdfs:Literal  or  xsd:string)</v>
      </c>
      <c r="W1875" s="38" t="s">
        <v>10612</v>
      </c>
      <c r="X1875" s="17" t="str">
        <f t="shared" si="929"/>
        <v>d.objet.281</v>
      </c>
      <c r="Y1875" s="17" t="str">
        <f t="shared" si="930"/>
        <v>Ação de objetivar</v>
      </c>
      <c r="Z1875" s="62" t="s">
        <v>10761</v>
      </c>
      <c r="AA1875" s="18" t="str">
        <f t="shared" si="907"/>
        <v>null</v>
      </c>
      <c r="AB1875" s="19" t="s">
        <v>0</v>
      </c>
      <c r="AC1875" s="18" t="str">
        <f t="shared" si="908"/>
        <v>null</v>
      </c>
      <c r="AD1875" s="19" t="s">
        <v>0</v>
      </c>
      <c r="AE1875" s="18" t="str">
        <f t="shared" si="912"/>
        <v>null</v>
      </c>
      <c r="AF1875" s="75" t="s">
        <v>0</v>
      </c>
      <c r="AG1875" s="38" t="s">
        <v>11191</v>
      </c>
    </row>
    <row r="1876" spans="1:33" customFormat="1" ht="6" customHeight="1" x14ac:dyDescent="0.4">
      <c r="A1876" s="4">
        <f>ROW()</f>
        <v>1876</v>
      </c>
      <c r="B1876" s="9" t="s">
        <v>27</v>
      </c>
      <c r="C1876" s="44" t="str">
        <f t="shared" si="917"/>
        <v>p.objetivar</v>
      </c>
      <c r="D1876" s="6" t="str">
        <f t="shared" si="911"/>
        <v>é.ods.17.16</v>
      </c>
      <c r="E1876" s="8" t="s">
        <v>28</v>
      </c>
      <c r="F1876" s="34" t="str">
        <f t="shared" si="931"/>
        <v>d.objetivar</v>
      </c>
      <c r="G1876" s="16" t="s">
        <v>10464</v>
      </c>
      <c r="H1876" s="33" t="s">
        <v>1581</v>
      </c>
      <c r="I1876" s="92" t="str">
        <f t="shared" si="910"/>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905"/>
        <v>Propriedade destinada a objetivar: é.ods.17.16</v>
      </c>
      <c r="V1876" s="5" t="str">
        <f t="shared" si="906"/>
        <v>Dado para objetivar:  ods.17.16  Deve ser formatado como (rdfs:Literal  or  xsd:string)</v>
      </c>
      <c r="W1876" s="38" t="s">
        <v>10613</v>
      </c>
      <c r="X1876" s="17" t="str">
        <f t="shared" si="929"/>
        <v>d.objet.282</v>
      </c>
      <c r="Y1876" s="17" t="str">
        <f t="shared" si="930"/>
        <v>Ação de objetivar</v>
      </c>
      <c r="Z1876" s="62" t="s">
        <v>10762</v>
      </c>
      <c r="AA1876" s="18" t="str">
        <f t="shared" si="907"/>
        <v>null</v>
      </c>
      <c r="AB1876" s="19" t="s">
        <v>0</v>
      </c>
      <c r="AC1876" s="18" t="str">
        <f t="shared" si="908"/>
        <v>null</v>
      </c>
      <c r="AD1876" s="19" t="s">
        <v>0</v>
      </c>
      <c r="AE1876" s="18" t="str">
        <f t="shared" si="912"/>
        <v>null</v>
      </c>
      <c r="AF1876" s="75" t="s">
        <v>0</v>
      </c>
      <c r="AG1876" s="38" t="s">
        <v>11192</v>
      </c>
    </row>
    <row r="1877" spans="1:33" customFormat="1" ht="6" customHeight="1" x14ac:dyDescent="0.4">
      <c r="A1877" s="4">
        <f>ROW()</f>
        <v>1877</v>
      </c>
      <c r="B1877" s="9" t="s">
        <v>27</v>
      </c>
      <c r="C1877" s="44" t="str">
        <f t="shared" si="917"/>
        <v>p.objetivar</v>
      </c>
      <c r="D1877" s="6" t="str">
        <f t="shared" si="911"/>
        <v>é.ods.17.17</v>
      </c>
      <c r="E1877" s="8" t="s">
        <v>28</v>
      </c>
      <c r="F1877" s="34" t="str">
        <f t="shared" si="931"/>
        <v>d.objetivar</v>
      </c>
      <c r="G1877" s="16" t="s">
        <v>10465</v>
      </c>
      <c r="H1877" s="33" t="s">
        <v>1581</v>
      </c>
      <c r="I1877" s="92" t="str">
        <f t="shared" si="910"/>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905"/>
        <v>Propriedade destinada a objetivar: é.ods.17.17</v>
      </c>
      <c r="V1877" s="5" t="str">
        <f t="shared" si="906"/>
        <v>Dado para objetivar:  ods.17.17  Deve ser formatado como (rdfs:Literal  or  xsd:string)</v>
      </c>
      <c r="W1877" s="38" t="s">
        <v>10614</v>
      </c>
      <c r="X1877" s="17" t="str">
        <f t="shared" si="929"/>
        <v>d.objet.283</v>
      </c>
      <c r="Y1877" s="17" t="str">
        <f t="shared" si="930"/>
        <v>Ação de objetivar</v>
      </c>
      <c r="Z1877" s="62" t="s">
        <v>10763</v>
      </c>
      <c r="AA1877" s="18" t="str">
        <f t="shared" si="907"/>
        <v>null</v>
      </c>
      <c r="AB1877" s="19" t="s">
        <v>0</v>
      </c>
      <c r="AC1877" s="18" t="str">
        <f t="shared" si="908"/>
        <v>null</v>
      </c>
      <c r="AD1877" s="19" t="s">
        <v>0</v>
      </c>
      <c r="AE1877" s="18" t="str">
        <f t="shared" si="912"/>
        <v>null</v>
      </c>
      <c r="AF1877" s="75" t="s">
        <v>0</v>
      </c>
      <c r="AG1877" s="38" t="s">
        <v>11193</v>
      </c>
    </row>
    <row r="1878" spans="1:33" customFormat="1" ht="6" customHeight="1" x14ac:dyDescent="0.4">
      <c r="A1878" s="4">
        <f>ROW()</f>
        <v>1878</v>
      </c>
      <c r="B1878" s="9" t="s">
        <v>27</v>
      </c>
      <c r="C1878" s="44" t="str">
        <f t="shared" si="917"/>
        <v>p.objetivar</v>
      </c>
      <c r="D1878" s="6" t="str">
        <f t="shared" si="911"/>
        <v>é.ods.17.18</v>
      </c>
      <c r="E1878" s="8" t="s">
        <v>28</v>
      </c>
      <c r="F1878" s="34" t="str">
        <f t="shared" si="931"/>
        <v>d.objetivar</v>
      </c>
      <c r="G1878" s="16" t="s">
        <v>10466</v>
      </c>
      <c r="H1878" s="33" t="s">
        <v>1581</v>
      </c>
      <c r="I1878" s="92" t="str">
        <f t="shared" si="910"/>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905"/>
        <v>Propriedade destinada a objetivar: é.ods.17.18</v>
      </c>
      <c r="V1878" s="5" t="str">
        <f t="shared" si="906"/>
        <v>Dado para objetivar:  ods.17.18  Deve ser formatado como (rdfs:Literal  or  xsd:string)</v>
      </c>
      <c r="W1878" s="38" t="s">
        <v>10615</v>
      </c>
      <c r="X1878" s="17" t="str">
        <f t="shared" si="929"/>
        <v>d.objet.284</v>
      </c>
      <c r="Y1878" s="17" t="str">
        <f t="shared" si="930"/>
        <v>Ação de objetivar</v>
      </c>
      <c r="Z1878" s="62" t="s">
        <v>10764</v>
      </c>
      <c r="AA1878" s="18" t="str">
        <f t="shared" si="907"/>
        <v>null</v>
      </c>
      <c r="AB1878" s="19" t="s">
        <v>0</v>
      </c>
      <c r="AC1878" s="18" t="str">
        <f t="shared" si="908"/>
        <v>null</v>
      </c>
      <c r="AD1878" s="19" t="s">
        <v>0</v>
      </c>
      <c r="AE1878" s="18" t="str">
        <f t="shared" si="912"/>
        <v>null</v>
      </c>
      <c r="AF1878" s="75" t="s">
        <v>0</v>
      </c>
      <c r="AG1878" s="38" t="s">
        <v>11194</v>
      </c>
    </row>
    <row r="1879" spans="1:33" customFormat="1" ht="6" customHeight="1" x14ac:dyDescent="0.4">
      <c r="A1879" s="4">
        <f>ROW()</f>
        <v>1879</v>
      </c>
      <c r="B1879" s="9" t="s">
        <v>27</v>
      </c>
      <c r="C1879" s="44" t="str">
        <f t="shared" si="917"/>
        <v>p.objetivar</v>
      </c>
      <c r="D1879" s="6" t="str">
        <f t="shared" si="911"/>
        <v>é.ods.17.19</v>
      </c>
      <c r="E1879" s="8" t="s">
        <v>28</v>
      </c>
      <c r="F1879" s="34" t="str">
        <f t="shared" si="931"/>
        <v>d.objetivar</v>
      </c>
      <c r="G1879" s="16" t="s">
        <v>10467</v>
      </c>
      <c r="H1879" s="33" t="s">
        <v>1581</v>
      </c>
      <c r="I1879" s="92" t="str">
        <f t="shared" si="910"/>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905"/>
        <v>Propriedade destinada a objetivar: é.ods.17.19</v>
      </c>
      <c r="V1879" s="5" t="str">
        <f t="shared" si="906"/>
        <v>Dado para objetivar:  ods.17.19  Deve ser formatado como (rdfs:Literal  or  xsd:string)</v>
      </c>
      <c r="W1879" s="38" t="s">
        <v>10616</v>
      </c>
      <c r="X1879" s="17" t="str">
        <f t="shared" si="929"/>
        <v>d.objet.285</v>
      </c>
      <c r="Y1879" s="17" t="str">
        <f t="shared" si="930"/>
        <v>Ação de objetivar</v>
      </c>
      <c r="Z1879" s="62" t="s">
        <v>10765</v>
      </c>
      <c r="AA1879" s="18" t="str">
        <f t="shared" si="907"/>
        <v>null</v>
      </c>
      <c r="AB1879" s="19" t="s">
        <v>0</v>
      </c>
      <c r="AC1879" s="18" t="str">
        <f t="shared" si="908"/>
        <v>null</v>
      </c>
      <c r="AD1879" s="19" t="s">
        <v>0</v>
      </c>
      <c r="AE1879" s="18" t="str">
        <f t="shared" si="912"/>
        <v>null</v>
      </c>
      <c r="AF1879" s="75" t="s">
        <v>0</v>
      </c>
      <c r="AG1879" s="38" t="s">
        <v>11195</v>
      </c>
    </row>
    <row r="1880" spans="1:33" ht="6" customHeight="1" x14ac:dyDescent="0.4">
      <c r="A1880" s="4">
        <f>ROW()</f>
        <v>1880</v>
      </c>
      <c r="B1880" s="9" t="s">
        <v>27</v>
      </c>
      <c r="C1880" s="43" t="str">
        <f t="shared" si="877"/>
        <v>p.orçamentar</v>
      </c>
      <c r="D1880" s="6" t="str">
        <f t="shared" si="875"/>
        <v>é.aquisição</v>
      </c>
      <c r="E1880" s="8" t="s">
        <v>28</v>
      </c>
      <c r="F1880" s="41" t="s">
        <v>2210</v>
      </c>
      <c r="G1880" s="16" t="s">
        <v>374</v>
      </c>
      <c r="H1880" s="34" t="s">
        <v>1581</v>
      </c>
      <c r="I1880" s="92" t="str">
        <f t="shared" si="902"/>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97"/>
        <v>Propriedade destinada a orçamentar: é.aquisição</v>
      </c>
      <c r="V1880" s="5" t="str">
        <f t="shared" si="898"/>
        <v>Dado para orçamentar:  aquisição  Deve ser formatado como (rdfs:Literal  or  xsd:string)</v>
      </c>
      <c r="W1880" s="69" t="s">
        <v>5886</v>
      </c>
      <c r="X1880" s="17" t="str">
        <f t="shared" si="929"/>
        <v>d.orçam.100</v>
      </c>
      <c r="Y1880" s="17" t="str">
        <f t="shared" si="930"/>
        <v>Ação de orçamentar</v>
      </c>
      <c r="Z1880" s="62" t="s">
        <v>1187</v>
      </c>
      <c r="AA1880" s="18" t="str">
        <f t="shared" si="839"/>
        <v>null</v>
      </c>
      <c r="AB1880" s="19" t="s">
        <v>0</v>
      </c>
      <c r="AC1880" s="18" t="str">
        <f t="shared" si="840"/>
        <v>null</v>
      </c>
      <c r="AD1880" s="19" t="s">
        <v>0</v>
      </c>
      <c r="AE1880" s="18" t="str">
        <f t="shared" si="876"/>
        <v>null</v>
      </c>
      <c r="AF1880" s="75" t="s">
        <v>0</v>
      </c>
      <c r="AG1880" s="38" t="s">
        <v>8837</v>
      </c>
    </row>
    <row r="1881" spans="1:33" ht="6" customHeight="1" x14ac:dyDescent="0.4">
      <c r="A1881" s="4">
        <f>ROW()</f>
        <v>1881</v>
      </c>
      <c r="B1881" s="9" t="s">
        <v>27</v>
      </c>
      <c r="C1881" s="44" t="str">
        <f t="shared" ref="C1881:C1914" si="932">SUBSTITUTE(F1881,"d.","p.")</f>
        <v>p.orçamentar</v>
      </c>
      <c r="D1881" s="6" t="str">
        <f t="shared" si="875"/>
        <v>é.auxílio.doença</v>
      </c>
      <c r="E1881" s="8" t="s">
        <v>28</v>
      </c>
      <c r="F1881" s="34" t="str">
        <f>F1880</f>
        <v>d.orçamentar</v>
      </c>
      <c r="G1881" s="16" t="s">
        <v>762</v>
      </c>
      <c r="H1881" s="33" t="s">
        <v>35</v>
      </c>
      <c r="I1881" s="92" t="str">
        <f t="shared" si="902"/>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97"/>
        <v>Propriedade destinada a orçamentar: é.auxílio.doença</v>
      </c>
      <c r="V1881" s="5" t="str">
        <f t="shared" si="898"/>
        <v>Dado para orçamentar:  auxílio.doença  Deve ser formatado como (xsd:double)</v>
      </c>
      <c r="W1881" s="69" t="s">
        <v>5887</v>
      </c>
      <c r="X1881" s="17" t="str">
        <f t="shared" si="929"/>
        <v>d.orçam.101</v>
      </c>
      <c r="Y1881" s="17" t="str">
        <f t="shared" si="930"/>
        <v>Ação de orçamentar</v>
      </c>
      <c r="Z1881" s="62" t="s">
        <v>1367</v>
      </c>
      <c r="AA1881" s="18" t="str">
        <f t="shared" ref="AA1881:AA1914" si="933">IF(AB1881="null", "null", "categoria.revit")</f>
        <v>null</v>
      </c>
      <c r="AB1881" s="19" t="s">
        <v>0</v>
      </c>
      <c r="AC1881" s="18" t="str">
        <f t="shared" ref="AC1881:AC1914" si="934">IF(AD1881="null", "null", "classe.ifc")</f>
        <v>null</v>
      </c>
      <c r="AD1881" s="19" t="s">
        <v>0</v>
      </c>
      <c r="AE1881" s="18" t="str">
        <f t="shared" si="876"/>
        <v>null</v>
      </c>
      <c r="AF1881" s="75" t="s">
        <v>0</v>
      </c>
      <c r="AG1881" s="38" t="s">
        <v>8838</v>
      </c>
    </row>
    <row r="1882" spans="1:33" ht="6" customHeight="1" x14ac:dyDescent="0.4">
      <c r="A1882" s="4">
        <f>ROW()</f>
        <v>1882</v>
      </c>
      <c r="B1882" s="9" t="s">
        <v>27</v>
      </c>
      <c r="C1882" s="44" t="str">
        <f t="shared" si="932"/>
        <v>p.orçamentar</v>
      </c>
      <c r="D1882" s="6" t="str">
        <f t="shared" si="875"/>
        <v>é.coeficiente</v>
      </c>
      <c r="E1882" s="8" t="s">
        <v>28</v>
      </c>
      <c r="F1882" s="34" t="str">
        <f t="shared" ref="F1882:F1940" si="935">F1881</f>
        <v>d.orçamentar</v>
      </c>
      <c r="G1882" s="16" t="s">
        <v>365</v>
      </c>
      <c r="H1882" s="33" t="s">
        <v>35</v>
      </c>
      <c r="I1882" s="92" t="str">
        <f t="shared" si="902"/>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97"/>
        <v>Propriedade destinada a orçamentar: é.coeficiente</v>
      </c>
      <c r="V1882" s="5" t="str">
        <f t="shared" si="898"/>
        <v>Dado para orçamentar:  coeficiente  Deve ser formatado como (xsd:double)</v>
      </c>
      <c r="W1882" s="69" t="s">
        <v>5888</v>
      </c>
      <c r="X1882" s="17" t="str">
        <f t="shared" si="929"/>
        <v>d.orçam.102</v>
      </c>
      <c r="Y1882" s="17" t="str">
        <f t="shared" si="930"/>
        <v>Ação de orçamentar</v>
      </c>
      <c r="Z1882" s="62" t="s">
        <v>1368</v>
      </c>
      <c r="AA1882" s="18" t="str">
        <f t="shared" si="933"/>
        <v>null</v>
      </c>
      <c r="AB1882" s="19" t="s">
        <v>0</v>
      </c>
      <c r="AC1882" s="18" t="str">
        <f t="shared" si="934"/>
        <v>null</v>
      </c>
      <c r="AD1882" s="19" t="s">
        <v>0</v>
      </c>
      <c r="AE1882" s="18" t="str">
        <f t="shared" si="876"/>
        <v>null</v>
      </c>
      <c r="AF1882" s="75" t="s">
        <v>0</v>
      </c>
      <c r="AG1882" s="38" t="s">
        <v>8839</v>
      </c>
    </row>
    <row r="1883" spans="1:33" ht="6" customHeight="1" x14ac:dyDescent="0.4">
      <c r="A1883" s="4">
        <f>ROW()</f>
        <v>1883</v>
      </c>
      <c r="B1883" s="9" t="s">
        <v>27</v>
      </c>
      <c r="C1883" s="44" t="str">
        <f t="shared" si="932"/>
        <v>p.orçamentar</v>
      </c>
      <c r="D1883" s="6" t="str">
        <f t="shared" si="875"/>
        <v>é.contribuição.previdenciária</v>
      </c>
      <c r="E1883" s="8" t="s">
        <v>28</v>
      </c>
      <c r="F1883" s="34" t="str">
        <f t="shared" si="935"/>
        <v>d.orçamentar</v>
      </c>
      <c r="G1883" s="16" t="s">
        <v>763</v>
      </c>
      <c r="H1883" s="33" t="s">
        <v>35</v>
      </c>
      <c r="I1883" s="92" t="str">
        <f t="shared" si="902"/>
        <v>null</v>
      </c>
      <c r="J1883" s="82" t="s">
        <v>0</v>
      </c>
      <c r="K1883" s="82" t="s">
        <v>0</v>
      </c>
      <c r="L1883" s="82" t="s">
        <v>0</v>
      </c>
      <c r="M1883" s="82" t="s">
        <v>0</v>
      </c>
      <c r="N1883" s="80" t="s">
        <v>0</v>
      </c>
      <c r="O1883" s="82" t="s">
        <v>0</v>
      </c>
      <c r="P1883" s="82" t="s">
        <v>0</v>
      </c>
      <c r="Q1883" s="82" t="s">
        <v>0</v>
      </c>
      <c r="R1883" s="84" t="s">
        <v>764</v>
      </c>
      <c r="S1883" s="10" t="s">
        <v>1</v>
      </c>
      <c r="T1883" s="10" t="s">
        <v>10221</v>
      </c>
      <c r="U1883" s="5" t="str">
        <f t="shared" si="897"/>
        <v>Propriedade destinada a orçamentar: é.contribuição.previdenciária</v>
      </c>
      <c r="V1883" s="5" t="str">
        <f t="shared" si="898"/>
        <v>Dado para orçamentar:  contribuição.previdenciária  Deve ser formatado como (xsd:double)</v>
      </c>
      <c r="W1883" s="69" t="s">
        <v>5889</v>
      </c>
      <c r="X1883" s="17" t="str">
        <f t="shared" si="929"/>
        <v>d.orçam.103</v>
      </c>
      <c r="Y1883" s="17" t="str">
        <f t="shared" si="930"/>
        <v>Ação de orçamentar</v>
      </c>
      <c r="Z1883" s="62" t="s">
        <v>1369</v>
      </c>
      <c r="AA1883" s="18" t="str">
        <f t="shared" si="933"/>
        <v>null</v>
      </c>
      <c r="AB1883" s="19" t="s">
        <v>0</v>
      </c>
      <c r="AC1883" s="18" t="str">
        <f t="shared" si="934"/>
        <v>null</v>
      </c>
      <c r="AD1883" s="19" t="s">
        <v>0</v>
      </c>
      <c r="AE1883" s="18" t="str">
        <f t="shared" si="876"/>
        <v>null</v>
      </c>
      <c r="AF1883" s="75" t="s">
        <v>0</v>
      </c>
      <c r="AG1883" s="38" t="s">
        <v>8840</v>
      </c>
    </row>
    <row r="1884" spans="1:33" ht="6" customHeight="1" x14ac:dyDescent="0.4">
      <c r="A1884" s="4">
        <f>ROW()</f>
        <v>1884</v>
      </c>
      <c r="B1884" s="9" t="s">
        <v>27</v>
      </c>
      <c r="C1884" s="44" t="str">
        <f t="shared" si="932"/>
        <v>p.orçamentar</v>
      </c>
      <c r="D1884" s="6" t="str">
        <f t="shared" si="875"/>
        <v>é.custo.de.equipamento</v>
      </c>
      <c r="E1884" s="8" t="s">
        <v>28</v>
      </c>
      <c r="F1884" s="34" t="str">
        <f t="shared" si="935"/>
        <v>d.orçamentar</v>
      </c>
      <c r="G1884" s="16" t="s">
        <v>765</v>
      </c>
      <c r="H1884" s="33" t="s">
        <v>35</v>
      </c>
      <c r="I1884" s="92" t="str">
        <f t="shared" si="902"/>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97"/>
        <v>Propriedade destinada a orçamentar: é.custo.de.equipamento</v>
      </c>
      <c r="V1884" s="5" t="str">
        <f t="shared" si="898"/>
        <v>Dado para orçamentar:  custo.de.equipamento  Deve ser formatado como (xsd:double)</v>
      </c>
      <c r="W1884" s="69" t="s">
        <v>5890</v>
      </c>
      <c r="X1884" s="17" t="str">
        <f t="shared" si="929"/>
        <v>d.orçam.104</v>
      </c>
      <c r="Y1884" s="17" t="str">
        <f t="shared" si="930"/>
        <v>Ação de orçamentar</v>
      </c>
      <c r="Z1884" s="62" t="s">
        <v>1370</v>
      </c>
      <c r="AA1884" s="18" t="str">
        <f t="shared" si="933"/>
        <v>null</v>
      </c>
      <c r="AB1884" s="19" t="s">
        <v>0</v>
      </c>
      <c r="AC1884" s="18" t="str">
        <f t="shared" si="934"/>
        <v>null</v>
      </c>
      <c r="AD1884" s="19" t="s">
        <v>0</v>
      </c>
      <c r="AE1884" s="18" t="str">
        <f t="shared" si="876"/>
        <v>null</v>
      </c>
      <c r="AF1884" s="75" t="s">
        <v>0</v>
      </c>
      <c r="AG1884" s="38" t="s">
        <v>8841</v>
      </c>
    </row>
    <row r="1885" spans="1:33" ht="6" customHeight="1" x14ac:dyDescent="0.4">
      <c r="A1885" s="4">
        <f>ROW()</f>
        <v>1885</v>
      </c>
      <c r="B1885" s="9" t="s">
        <v>27</v>
      </c>
      <c r="C1885" s="44" t="str">
        <f t="shared" si="932"/>
        <v>p.orçamentar</v>
      </c>
      <c r="D1885" s="6" t="str">
        <f t="shared" si="875"/>
        <v>é.custo.de.mão.de.obra</v>
      </c>
      <c r="E1885" s="8" t="s">
        <v>28</v>
      </c>
      <c r="F1885" s="34" t="str">
        <f t="shared" si="935"/>
        <v>d.orçamentar</v>
      </c>
      <c r="G1885" s="16" t="s">
        <v>766</v>
      </c>
      <c r="H1885" s="33" t="s">
        <v>35</v>
      </c>
      <c r="I1885" s="92" t="str">
        <f t="shared" si="902"/>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97"/>
        <v>Propriedade destinada a orçamentar: é.custo.de.mão.de.obra</v>
      </c>
      <c r="V1885" s="5" t="str">
        <f t="shared" si="898"/>
        <v>Dado para orçamentar:  custo.de.mão.de.obra  Deve ser formatado como (xsd:double)</v>
      </c>
      <c r="W1885" s="69" t="s">
        <v>5891</v>
      </c>
      <c r="X1885" s="17" t="str">
        <f t="shared" si="929"/>
        <v>d.orçam.105</v>
      </c>
      <c r="Y1885" s="17" t="str">
        <f t="shared" si="930"/>
        <v>Ação de orçamentar</v>
      </c>
      <c r="Z1885" s="62" t="s">
        <v>1371</v>
      </c>
      <c r="AA1885" s="18" t="str">
        <f t="shared" si="933"/>
        <v>null</v>
      </c>
      <c r="AB1885" s="19" t="s">
        <v>0</v>
      </c>
      <c r="AC1885" s="18" t="str">
        <f t="shared" si="934"/>
        <v>null</v>
      </c>
      <c r="AD1885" s="19" t="s">
        <v>0</v>
      </c>
      <c r="AE1885" s="18" t="str">
        <f t="shared" si="876"/>
        <v>null</v>
      </c>
      <c r="AF1885" s="75" t="s">
        <v>0</v>
      </c>
      <c r="AG1885" s="38" t="s">
        <v>8842</v>
      </c>
    </row>
    <row r="1886" spans="1:33" ht="6" customHeight="1" x14ac:dyDescent="0.4">
      <c r="A1886" s="4">
        <f>ROW()</f>
        <v>1886</v>
      </c>
      <c r="B1886" s="9" t="s">
        <v>27</v>
      </c>
      <c r="C1886" s="44" t="str">
        <f t="shared" si="932"/>
        <v>p.orçamentar</v>
      </c>
      <c r="D1886" s="6" t="str">
        <f t="shared" si="875"/>
        <v>é.custo.de.material</v>
      </c>
      <c r="E1886" s="8" t="s">
        <v>28</v>
      </c>
      <c r="F1886" s="34" t="str">
        <f t="shared" si="935"/>
        <v>d.orçamentar</v>
      </c>
      <c r="G1886" s="16" t="s">
        <v>767</v>
      </c>
      <c r="H1886" s="33" t="s">
        <v>35</v>
      </c>
      <c r="I1886" s="92" t="str">
        <f t="shared" si="902"/>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97"/>
        <v>Propriedade destinada a orçamentar: é.custo.de.material</v>
      </c>
      <c r="V1886" s="5" t="str">
        <f t="shared" si="898"/>
        <v>Dado para orçamentar:  custo.de.material  Deve ser formatado como (xsd:double)</v>
      </c>
      <c r="W1886" s="69" t="s">
        <v>5892</v>
      </c>
      <c r="X1886" s="17" t="str">
        <f t="shared" si="929"/>
        <v>d.orçam.106</v>
      </c>
      <c r="Y1886" s="17" t="str">
        <f t="shared" si="930"/>
        <v>Ação de orçamentar</v>
      </c>
      <c r="Z1886" s="62" t="s">
        <v>1372</v>
      </c>
      <c r="AA1886" s="18" t="str">
        <f t="shared" si="933"/>
        <v>null</v>
      </c>
      <c r="AB1886" s="19" t="s">
        <v>0</v>
      </c>
      <c r="AC1886" s="18" t="str">
        <f t="shared" si="934"/>
        <v>null</v>
      </c>
      <c r="AD1886" s="19" t="s">
        <v>0</v>
      </c>
      <c r="AE1886" s="18" t="str">
        <f t="shared" si="876"/>
        <v>null</v>
      </c>
      <c r="AF1886" s="75" t="s">
        <v>0</v>
      </c>
      <c r="AG1886" s="38" t="s">
        <v>8843</v>
      </c>
    </row>
    <row r="1887" spans="1:33" ht="6" customHeight="1" x14ac:dyDescent="0.4">
      <c r="A1887" s="4">
        <f>ROW()</f>
        <v>1887</v>
      </c>
      <c r="B1887" s="9" t="s">
        <v>27</v>
      </c>
      <c r="C1887" s="44" t="str">
        <f t="shared" si="932"/>
        <v>p.orçamentar</v>
      </c>
      <c r="D1887" s="6" t="str">
        <f t="shared" si="875"/>
        <v>é.custo.de.serviço.terceirizado</v>
      </c>
      <c r="E1887" s="8" t="s">
        <v>28</v>
      </c>
      <c r="F1887" s="34" t="str">
        <f t="shared" si="935"/>
        <v>d.orçamentar</v>
      </c>
      <c r="G1887" s="16" t="s">
        <v>768</v>
      </c>
      <c r="H1887" s="33" t="s">
        <v>35</v>
      </c>
      <c r="I1887" s="92" t="str">
        <f t="shared" si="902"/>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97"/>
        <v>Propriedade destinada a orçamentar: é.custo.de.serviço.terceirizado</v>
      </c>
      <c r="V1887" s="5" t="str">
        <f t="shared" si="898"/>
        <v>Dado para orçamentar:  custo.de.serviço.terceirizado  Deve ser formatado como (xsd:double)</v>
      </c>
      <c r="W1887" s="69" t="s">
        <v>5893</v>
      </c>
      <c r="X1887" s="17" t="str">
        <f t="shared" si="929"/>
        <v>d.orçam.107</v>
      </c>
      <c r="Y1887" s="17" t="str">
        <f t="shared" si="930"/>
        <v>Ação de orçamentar</v>
      </c>
      <c r="Z1887" s="62" t="s">
        <v>1373</v>
      </c>
      <c r="AA1887" s="18" t="str">
        <f t="shared" si="933"/>
        <v>null</v>
      </c>
      <c r="AB1887" s="19" t="s">
        <v>0</v>
      </c>
      <c r="AC1887" s="18" t="str">
        <f t="shared" si="934"/>
        <v>null</v>
      </c>
      <c r="AD1887" s="19" t="s">
        <v>0</v>
      </c>
      <c r="AE1887" s="18" t="str">
        <f t="shared" si="876"/>
        <v>null</v>
      </c>
      <c r="AF1887" s="75" t="s">
        <v>0</v>
      </c>
      <c r="AG1887" s="38" t="s">
        <v>8844</v>
      </c>
    </row>
    <row r="1888" spans="1:33" ht="6" customHeight="1" x14ac:dyDescent="0.4">
      <c r="A1888" s="4">
        <f>ROW()</f>
        <v>1888</v>
      </c>
      <c r="B1888" s="9" t="s">
        <v>27</v>
      </c>
      <c r="C1888" s="44" t="str">
        <f t="shared" si="932"/>
        <v>p.orçamentar</v>
      </c>
      <c r="D1888" s="6" t="str">
        <f t="shared" si="875"/>
        <v>é.custo.total</v>
      </c>
      <c r="E1888" s="8" t="s">
        <v>28</v>
      </c>
      <c r="F1888" s="34" t="str">
        <f t="shared" si="935"/>
        <v>d.orçamentar</v>
      </c>
      <c r="G1888" s="16" t="s">
        <v>769</v>
      </c>
      <c r="H1888" s="33" t="s">
        <v>35</v>
      </c>
      <c r="I1888" s="92" t="str">
        <f t="shared" si="902"/>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97"/>
        <v>Propriedade destinada a orçamentar: é.custo.total</v>
      </c>
      <c r="V1888" s="5" t="str">
        <f t="shared" si="898"/>
        <v>Dado para orçamentar:  custo.total  Deve ser formatado como (xsd:double)</v>
      </c>
      <c r="W1888" s="69" t="s">
        <v>5894</v>
      </c>
      <c r="X1888" s="17" t="str">
        <f t="shared" si="929"/>
        <v>d.orçam.108</v>
      </c>
      <c r="Y1888" s="17" t="str">
        <f t="shared" si="930"/>
        <v>Ação de orçamentar</v>
      </c>
      <c r="Z1888" s="62" t="s">
        <v>1374</v>
      </c>
      <c r="AA1888" s="18" t="str">
        <f t="shared" si="933"/>
        <v>null</v>
      </c>
      <c r="AB1888" s="19" t="s">
        <v>0</v>
      </c>
      <c r="AC1888" s="18" t="str">
        <f t="shared" si="934"/>
        <v>null</v>
      </c>
      <c r="AD1888" s="19" t="s">
        <v>0</v>
      </c>
      <c r="AE1888" s="18" t="str">
        <f t="shared" si="876"/>
        <v>null</v>
      </c>
      <c r="AF1888" s="75" t="s">
        <v>0</v>
      </c>
      <c r="AG1888" s="38" t="s">
        <v>8845</v>
      </c>
    </row>
    <row r="1889" spans="1:33" ht="6" customHeight="1" x14ac:dyDescent="0.4">
      <c r="A1889" s="4">
        <f>ROW()</f>
        <v>1889</v>
      </c>
      <c r="B1889" s="9" t="s">
        <v>27</v>
      </c>
      <c r="C1889" s="44" t="str">
        <f t="shared" si="932"/>
        <v>p.orçamentar</v>
      </c>
      <c r="D1889" s="6" t="str">
        <f t="shared" si="875"/>
        <v>é.despesa.obrigatória</v>
      </c>
      <c r="E1889" s="8" t="s">
        <v>28</v>
      </c>
      <c r="F1889" s="34" t="str">
        <f t="shared" si="935"/>
        <v>d.orçamentar</v>
      </c>
      <c r="G1889" s="14" t="s">
        <v>770</v>
      </c>
      <c r="H1889" s="33" t="s">
        <v>35</v>
      </c>
      <c r="I1889" s="92" t="str">
        <f t="shared" si="902"/>
        <v>null</v>
      </c>
      <c r="J1889" s="82" t="s">
        <v>0</v>
      </c>
      <c r="K1889" s="82" t="s">
        <v>0</v>
      </c>
      <c r="L1889" s="82" t="s">
        <v>0</v>
      </c>
      <c r="M1889" s="82" t="s">
        <v>0</v>
      </c>
      <c r="N1889" s="80" t="s">
        <v>0</v>
      </c>
      <c r="O1889" s="82" t="s">
        <v>0</v>
      </c>
      <c r="P1889" s="82" t="s">
        <v>0</v>
      </c>
      <c r="Q1889" s="82" t="s">
        <v>0</v>
      </c>
      <c r="R1889" s="84" t="s">
        <v>2394</v>
      </c>
      <c r="S1889" s="10" t="s">
        <v>1</v>
      </c>
      <c r="T1889" s="10" t="s">
        <v>10221</v>
      </c>
      <c r="U1889" s="5" t="str">
        <f t="shared" si="897"/>
        <v>Propriedade destinada a orçamentar: é.despesa.obrigatória</v>
      </c>
      <c r="V1889" s="5" t="str">
        <f t="shared" si="898"/>
        <v>Dado para orçamentar:  despesa.obrigatória  Deve ser formatado como (xsd:double)</v>
      </c>
      <c r="W1889" s="69" t="s">
        <v>5895</v>
      </c>
      <c r="X1889" s="17" t="str">
        <f t="shared" si="929"/>
        <v>d.orçam.109</v>
      </c>
      <c r="Y1889" s="17" t="str">
        <f t="shared" si="930"/>
        <v>Ação de orçamentar</v>
      </c>
      <c r="Z1889" s="62" t="s">
        <v>1375</v>
      </c>
      <c r="AA1889" s="18" t="str">
        <f t="shared" si="933"/>
        <v>null</v>
      </c>
      <c r="AB1889" s="19" t="s">
        <v>0</v>
      </c>
      <c r="AC1889" s="18" t="str">
        <f t="shared" si="934"/>
        <v>null</v>
      </c>
      <c r="AD1889" s="19" t="s">
        <v>0</v>
      </c>
      <c r="AE1889" s="18" t="str">
        <f t="shared" si="876"/>
        <v>null</v>
      </c>
      <c r="AF1889" s="75" t="s">
        <v>0</v>
      </c>
      <c r="AG1889" s="38" t="s">
        <v>8846</v>
      </c>
    </row>
    <row r="1890" spans="1:33" ht="6" customHeight="1" x14ac:dyDescent="0.4">
      <c r="A1890" s="4">
        <f>ROW()</f>
        <v>1890</v>
      </c>
      <c r="B1890" s="9" t="s">
        <v>27</v>
      </c>
      <c r="C1890" s="44" t="str">
        <f t="shared" si="932"/>
        <v>p.orçamentar</v>
      </c>
      <c r="D1890" s="6" t="str">
        <f t="shared" si="875"/>
        <v>é.empenho</v>
      </c>
      <c r="E1890" s="8" t="s">
        <v>28</v>
      </c>
      <c r="F1890" s="34" t="str">
        <f t="shared" si="935"/>
        <v>d.orçamentar</v>
      </c>
      <c r="G1890" s="14" t="s">
        <v>2392</v>
      </c>
      <c r="H1890" s="33" t="s">
        <v>35</v>
      </c>
      <c r="I1890" s="92" t="str">
        <f t="shared" si="902"/>
        <v>null</v>
      </c>
      <c r="J1890" s="82" t="s">
        <v>0</v>
      </c>
      <c r="K1890" s="82" t="s">
        <v>0</v>
      </c>
      <c r="L1890" s="82" t="s">
        <v>0</v>
      </c>
      <c r="M1890" s="82" t="s">
        <v>0</v>
      </c>
      <c r="N1890" s="80" t="s">
        <v>0</v>
      </c>
      <c r="O1890" s="82" t="s">
        <v>0</v>
      </c>
      <c r="P1890" s="82" t="s">
        <v>0</v>
      </c>
      <c r="Q1890" s="82" t="s">
        <v>0</v>
      </c>
      <c r="R1890" s="84" t="s">
        <v>2393</v>
      </c>
      <c r="S1890" s="10" t="s">
        <v>1</v>
      </c>
      <c r="T1890" s="10" t="s">
        <v>10221</v>
      </c>
      <c r="U1890" s="5" t="str">
        <f t="shared" si="897"/>
        <v>Propriedade destinada a orçamentar: é.empenho</v>
      </c>
      <c r="V1890" s="5" t="str">
        <f t="shared" si="898"/>
        <v>Dado para orçamentar:  empenho  Deve ser formatado como (xsd:double)</v>
      </c>
      <c r="W1890" s="69" t="s">
        <v>5896</v>
      </c>
      <c r="X1890" s="17" t="str">
        <f t="shared" si="929"/>
        <v>d.orçam.110</v>
      </c>
      <c r="Y1890" s="17" t="str">
        <f t="shared" si="930"/>
        <v>Ação de orçamentar</v>
      </c>
      <c r="Z1890" s="62" t="s">
        <v>3129</v>
      </c>
      <c r="AA1890" s="18" t="str">
        <f t="shared" si="933"/>
        <v>null</v>
      </c>
      <c r="AB1890" s="19" t="s">
        <v>0</v>
      </c>
      <c r="AC1890" s="18" t="str">
        <f t="shared" si="934"/>
        <v>null</v>
      </c>
      <c r="AD1890" s="19" t="s">
        <v>0</v>
      </c>
      <c r="AE1890" s="18" t="str">
        <f t="shared" si="876"/>
        <v>null</v>
      </c>
      <c r="AF1890" s="75" t="s">
        <v>0</v>
      </c>
      <c r="AG1890" s="38" t="s">
        <v>8847</v>
      </c>
    </row>
    <row r="1891" spans="1:33" ht="6" customHeight="1" x14ac:dyDescent="0.4">
      <c r="A1891" s="4">
        <f>ROW()</f>
        <v>1891</v>
      </c>
      <c r="B1891" s="9" t="s">
        <v>27</v>
      </c>
      <c r="C1891" s="44" t="str">
        <f t="shared" si="932"/>
        <v>p.orçamentar</v>
      </c>
      <c r="D1891" s="6" t="str">
        <f t="shared" si="875"/>
        <v>é.encargo.social</v>
      </c>
      <c r="E1891" s="8" t="s">
        <v>28</v>
      </c>
      <c r="F1891" s="34" t="str">
        <f t="shared" si="935"/>
        <v>d.orçamentar</v>
      </c>
      <c r="G1891" s="14" t="s">
        <v>771</v>
      </c>
      <c r="H1891" s="33" t="s">
        <v>35</v>
      </c>
      <c r="I1891" s="92" t="str">
        <f t="shared" si="902"/>
        <v>null</v>
      </c>
      <c r="J1891" s="82" t="s">
        <v>0</v>
      </c>
      <c r="K1891" s="82" t="s">
        <v>0</v>
      </c>
      <c r="L1891" s="82" t="s">
        <v>0</v>
      </c>
      <c r="M1891" s="82" t="s">
        <v>0</v>
      </c>
      <c r="N1891" s="80" t="s">
        <v>0</v>
      </c>
      <c r="O1891" s="82" t="s">
        <v>0</v>
      </c>
      <c r="P1891" s="82" t="s">
        <v>0</v>
      </c>
      <c r="Q1891" s="82" t="s">
        <v>0</v>
      </c>
      <c r="R1891" s="84" t="s">
        <v>772</v>
      </c>
      <c r="S1891" s="10" t="s">
        <v>1</v>
      </c>
      <c r="T1891" s="10" t="s">
        <v>10221</v>
      </c>
      <c r="U1891" s="5" t="str">
        <f t="shared" si="897"/>
        <v>Propriedade destinada a orçamentar: é.encargo.social</v>
      </c>
      <c r="V1891" s="5" t="str">
        <f t="shared" si="898"/>
        <v>Dado para orçamentar:  encargo.social  Deve ser formatado como (xsd:double)</v>
      </c>
      <c r="W1891" s="69" t="s">
        <v>5897</v>
      </c>
      <c r="X1891" s="17" t="str">
        <f t="shared" si="929"/>
        <v>d.orçam.111</v>
      </c>
      <c r="Y1891" s="17" t="str">
        <f t="shared" si="930"/>
        <v>Ação de orçamentar</v>
      </c>
      <c r="Z1891" s="62" t="s">
        <v>1376</v>
      </c>
      <c r="AA1891" s="18" t="str">
        <f t="shared" si="933"/>
        <v>null</v>
      </c>
      <c r="AB1891" s="19" t="s">
        <v>0</v>
      </c>
      <c r="AC1891" s="18" t="str">
        <f t="shared" si="934"/>
        <v>null</v>
      </c>
      <c r="AD1891" s="19" t="s">
        <v>0</v>
      </c>
      <c r="AE1891" s="18" t="str">
        <f t="shared" si="876"/>
        <v>null</v>
      </c>
      <c r="AF1891" s="75" t="s">
        <v>0</v>
      </c>
      <c r="AG1891" s="38" t="s">
        <v>8848</v>
      </c>
    </row>
    <row r="1892" spans="1:33" ht="6" customHeight="1" x14ac:dyDescent="0.4">
      <c r="A1892" s="4">
        <f>ROW()</f>
        <v>1892</v>
      </c>
      <c r="B1892" s="9" t="s">
        <v>27</v>
      </c>
      <c r="C1892" s="44" t="str">
        <f t="shared" si="932"/>
        <v>p.orçamentar</v>
      </c>
      <c r="D1892" s="6" t="str">
        <f t="shared" si="875"/>
        <v>é.imposto.de.valor.agregado</v>
      </c>
      <c r="E1892" s="8" t="s">
        <v>28</v>
      </c>
      <c r="F1892" s="34" t="str">
        <f t="shared" si="935"/>
        <v>d.orçamentar</v>
      </c>
      <c r="G1892" s="14" t="s">
        <v>773</v>
      </c>
      <c r="H1892" s="33" t="s">
        <v>35</v>
      </c>
      <c r="I1892" s="92" t="str">
        <f t="shared" si="902"/>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97"/>
        <v>Propriedade destinada a orçamentar: é.imposto.de.valor.agregado</v>
      </c>
      <c r="V1892" s="5" t="str">
        <f t="shared" si="898"/>
        <v>Dado para orçamentar:  imposto.de.valor.agregado  Deve ser formatado como (xsd:double)</v>
      </c>
      <c r="W1892" s="69" t="s">
        <v>5898</v>
      </c>
      <c r="X1892" s="17" t="str">
        <f t="shared" si="929"/>
        <v>d.orçam.112</v>
      </c>
      <c r="Y1892" s="17" t="str">
        <f t="shared" si="930"/>
        <v>Ação de orçamentar</v>
      </c>
      <c r="Z1892" s="62" t="s">
        <v>1377</v>
      </c>
      <c r="AA1892" s="18" t="str">
        <f t="shared" si="933"/>
        <v>null</v>
      </c>
      <c r="AB1892" s="19" t="s">
        <v>0</v>
      </c>
      <c r="AC1892" s="18" t="str">
        <f t="shared" si="934"/>
        <v>null</v>
      </c>
      <c r="AD1892" s="19" t="s">
        <v>0</v>
      </c>
      <c r="AE1892" s="18" t="str">
        <f t="shared" si="876"/>
        <v>null</v>
      </c>
      <c r="AF1892" s="75" t="s">
        <v>0</v>
      </c>
      <c r="AG1892" s="38" t="s">
        <v>8849</v>
      </c>
    </row>
    <row r="1893" spans="1:33" ht="6" customHeight="1" x14ac:dyDescent="0.4">
      <c r="A1893" s="4">
        <f>ROW()</f>
        <v>1893</v>
      </c>
      <c r="B1893" s="9" t="s">
        <v>27</v>
      </c>
      <c r="C1893" s="44" t="str">
        <f t="shared" si="932"/>
        <v>p.orçamentar</v>
      </c>
      <c r="D1893" s="6" t="str">
        <f t="shared" ref="D1893:D1975" si="936">_xlfn.CONCAT("é.",G1893)</f>
        <v>é.imposto.estadual</v>
      </c>
      <c r="E1893" s="8" t="s">
        <v>28</v>
      </c>
      <c r="F1893" s="34" t="str">
        <f t="shared" si="935"/>
        <v>d.orçamentar</v>
      </c>
      <c r="G1893" s="14" t="s">
        <v>774</v>
      </c>
      <c r="H1893" s="33" t="s">
        <v>35</v>
      </c>
      <c r="I1893" s="92" t="str">
        <f t="shared" si="902"/>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97"/>
        <v>Propriedade destinada a orçamentar: é.imposto.estadual</v>
      </c>
      <c r="V1893" s="5" t="str">
        <f t="shared" si="898"/>
        <v>Dado para orçamentar:  imposto.estadual  Deve ser formatado como (xsd:double)</v>
      </c>
      <c r="W1893" s="69" t="s">
        <v>5899</v>
      </c>
      <c r="X1893" s="17" t="str">
        <f t="shared" si="929"/>
        <v>d.orçam.113</v>
      </c>
      <c r="Y1893" s="17" t="str">
        <f t="shared" si="930"/>
        <v>Ação de orçamentar</v>
      </c>
      <c r="Z1893" s="62" t="s">
        <v>1378</v>
      </c>
      <c r="AA1893" s="18" t="str">
        <f t="shared" si="933"/>
        <v>null</v>
      </c>
      <c r="AB1893" s="19" t="s">
        <v>0</v>
      </c>
      <c r="AC1893" s="18" t="str">
        <f t="shared" si="934"/>
        <v>null</v>
      </c>
      <c r="AD1893" s="19" t="s">
        <v>0</v>
      </c>
      <c r="AE1893" s="18" t="str">
        <f t="shared" ref="AE1893:AE1975" si="937">IF(AF1893="null", "null", "propriedade")</f>
        <v>null</v>
      </c>
      <c r="AF1893" s="75" t="s">
        <v>0</v>
      </c>
      <c r="AG1893" s="38" t="s">
        <v>8850</v>
      </c>
    </row>
    <row r="1894" spans="1:33" ht="6" customHeight="1" x14ac:dyDescent="0.4">
      <c r="A1894" s="4">
        <f>ROW()</f>
        <v>1894</v>
      </c>
      <c r="B1894" s="9" t="s">
        <v>27</v>
      </c>
      <c r="C1894" s="44" t="str">
        <f t="shared" si="932"/>
        <v>p.orçamentar</v>
      </c>
      <c r="D1894" s="6" t="str">
        <f t="shared" si="936"/>
        <v>é.imposto.federal</v>
      </c>
      <c r="E1894" s="8" t="s">
        <v>28</v>
      </c>
      <c r="F1894" s="34" t="str">
        <f t="shared" si="935"/>
        <v>d.orçamentar</v>
      </c>
      <c r="G1894" s="14" t="s">
        <v>775</v>
      </c>
      <c r="H1894" s="33" t="s">
        <v>35</v>
      </c>
      <c r="I1894" s="92" t="str">
        <f t="shared" si="902"/>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97"/>
        <v>Propriedade destinada a orçamentar: é.imposto.federal</v>
      </c>
      <c r="V1894" s="5" t="str">
        <f t="shared" si="898"/>
        <v>Dado para orçamentar:  imposto.federal  Deve ser formatado como (xsd:double)</v>
      </c>
      <c r="W1894" s="69" t="s">
        <v>5900</v>
      </c>
      <c r="X1894" s="17" t="str">
        <f t="shared" si="929"/>
        <v>d.orçam.114</v>
      </c>
      <c r="Y1894" s="17" t="str">
        <f t="shared" si="930"/>
        <v>Ação de orçamentar</v>
      </c>
      <c r="Z1894" s="62" t="s">
        <v>1379</v>
      </c>
      <c r="AA1894" s="18" t="str">
        <f t="shared" si="933"/>
        <v>null</v>
      </c>
      <c r="AB1894" s="19" t="s">
        <v>0</v>
      </c>
      <c r="AC1894" s="18" t="str">
        <f t="shared" si="934"/>
        <v>null</v>
      </c>
      <c r="AD1894" s="19" t="s">
        <v>0</v>
      </c>
      <c r="AE1894" s="18" t="str">
        <f t="shared" si="937"/>
        <v>null</v>
      </c>
      <c r="AF1894" s="75" t="s">
        <v>0</v>
      </c>
      <c r="AG1894" s="38" t="s">
        <v>8851</v>
      </c>
    </row>
    <row r="1895" spans="1:33" ht="6" customHeight="1" x14ac:dyDescent="0.4">
      <c r="A1895" s="4">
        <f>ROW()</f>
        <v>1895</v>
      </c>
      <c r="B1895" s="9" t="s">
        <v>27</v>
      </c>
      <c r="C1895" s="44" t="str">
        <f t="shared" si="932"/>
        <v>p.orçamentar</v>
      </c>
      <c r="D1895" s="6" t="str">
        <f t="shared" si="936"/>
        <v>é.imposto.municipal</v>
      </c>
      <c r="E1895" s="8" t="s">
        <v>28</v>
      </c>
      <c r="F1895" s="34" t="str">
        <f t="shared" si="935"/>
        <v>d.orçamentar</v>
      </c>
      <c r="G1895" s="14" t="s">
        <v>776</v>
      </c>
      <c r="H1895" s="33" t="s">
        <v>35</v>
      </c>
      <c r="I1895" s="92" t="str">
        <f t="shared" si="902"/>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97"/>
        <v>Propriedade destinada a orçamentar: é.imposto.municipal</v>
      </c>
      <c r="V1895" s="5" t="str">
        <f t="shared" si="898"/>
        <v>Dado para orçamentar:  imposto.municipal  Deve ser formatado como (xsd:double)</v>
      </c>
      <c r="W1895" s="69" t="s">
        <v>5901</v>
      </c>
      <c r="X1895" s="17" t="str">
        <f t="shared" si="929"/>
        <v>d.orçam.115</v>
      </c>
      <c r="Y1895" s="17" t="str">
        <f t="shared" si="930"/>
        <v>Ação de orçamentar</v>
      </c>
      <c r="Z1895" s="62" t="s">
        <v>1380</v>
      </c>
      <c r="AA1895" s="18" t="str">
        <f t="shared" si="933"/>
        <v>null</v>
      </c>
      <c r="AB1895" s="19" t="s">
        <v>0</v>
      </c>
      <c r="AC1895" s="18" t="str">
        <f t="shared" si="934"/>
        <v>null</v>
      </c>
      <c r="AD1895" s="19" t="s">
        <v>0</v>
      </c>
      <c r="AE1895" s="18" t="str">
        <f t="shared" si="937"/>
        <v>null</v>
      </c>
      <c r="AF1895" s="75" t="s">
        <v>0</v>
      </c>
      <c r="AG1895" s="38" t="s">
        <v>8852</v>
      </c>
    </row>
    <row r="1896" spans="1:33" ht="6" customHeight="1" x14ac:dyDescent="0.4">
      <c r="A1896" s="4">
        <f>ROW()</f>
        <v>1896</v>
      </c>
      <c r="B1896" s="9" t="s">
        <v>27</v>
      </c>
      <c r="C1896" s="44" t="str">
        <f t="shared" si="932"/>
        <v>p.orçamentar</v>
      </c>
      <c r="D1896" s="6" t="str">
        <f t="shared" si="936"/>
        <v>é.item.codificado</v>
      </c>
      <c r="E1896" s="8" t="s">
        <v>28</v>
      </c>
      <c r="F1896" s="34" t="str">
        <f t="shared" si="935"/>
        <v>d.orçamentar</v>
      </c>
      <c r="G1896" s="16" t="s">
        <v>777</v>
      </c>
      <c r="H1896" s="34" t="s">
        <v>1581</v>
      </c>
      <c r="I1896" s="92" t="str">
        <f t="shared" si="902"/>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97"/>
        <v>Propriedade destinada a orçamentar: é.item.codificado</v>
      </c>
      <c r="V1896" s="5" t="str">
        <f t="shared" si="898"/>
        <v>Dado para orçamentar:  item.codificado  Deve ser formatado como (rdfs:Literal  or  xsd:string)</v>
      </c>
      <c r="W1896" s="69" t="s">
        <v>5902</v>
      </c>
      <c r="X1896" s="17" t="str">
        <f t="shared" si="929"/>
        <v>d.orçam.116</v>
      </c>
      <c r="Y1896" s="17" t="str">
        <f t="shared" si="930"/>
        <v>Ação de orçamentar</v>
      </c>
      <c r="Z1896" s="62" t="s">
        <v>1573</v>
      </c>
      <c r="AA1896" s="18" t="str">
        <f t="shared" si="933"/>
        <v>null</v>
      </c>
      <c r="AB1896" s="19" t="s">
        <v>0</v>
      </c>
      <c r="AC1896" s="18" t="str">
        <f t="shared" si="934"/>
        <v>null</v>
      </c>
      <c r="AD1896" s="19" t="s">
        <v>0</v>
      </c>
      <c r="AE1896" s="18" t="str">
        <f t="shared" si="937"/>
        <v>null</v>
      </c>
      <c r="AF1896" s="75" t="s">
        <v>0</v>
      </c>
      <c r="AG1896" s="38" t="s">
        <v>8853</v>
      </c>
    </row>
    <row r="1897" spans="1:33" ht="6" customHeight="1" x14ac:dyDescent="0.4">
      <c r="A1897" s="4">
        <f>ROW()</f>
        <v>1897</v>
      </c>
      <c r="B1897" s="9" t="s">
        <v>27</v>
      </c>
      <c r="C1897" s="44" t="str">
        <f t="shared" si="932"/>
        <v>p.orçamentar</v>
      </c>
      <c r="D1897" s="6" t="str">
        <f t="shared" si="936"/>
        <v>é.item.de.classe</v>
      </c>
      <c r="E1897" s="8" t="s">
        <v>28</v>
      </c>
      <c r="F1897" s="34" t="str">
        <f t="shared" si="935"/>
        <v>d.orçamentar</v>
      </c>
      <c r="G1897" s="16" t="s">
        <v>778</v>
      </c>
      <c r="H1897" s="34" t="s">
        <v>1581</v>
      </c>
      <c r="I1897" s="92" t="str">
        <f t="shared" si="902"/>
        <v>null</v>
      </c>
      <c r="J1897" s="82" t="s">
        <v>0</v>
      </c>
      <c r="K1897" s="82" t="s">
        <v>0</v>
      </c>
      <c r="L1897" s="82" t="s">
        <v>0</v>
      </c>
      <c r="M1897" s="82" t="s">
        <v>0</v>
      </c>
      <c r="N1897" s="80" t="s">
        <v>0</v>
      </c>
      <c r="O1897" s="82" t="s">
        <v>0</v>
      </c>
      <c r="P1897" s="82" t="s">
        <v>0</v>
      </c>
      <c r="Q1897" s="80" t="s">
        <v>0</v>
      </c>
      <c r="R1897" s="84" t="s">
        <v>0</v>
      </c>
      <c r="S1897" s="10" t="s">
        <v>1</v>
      </c>
      <c r="T1897" s="10" t="s">
        <v>10221</v>
      </c>
      <c r="U1897" s="5" t="str">
        <f t="shared" si="897"/>
        <v>Propriedade destinada a orçamentar: é.item.de.classe</v>
      </c>
      <c r="V1897" s="5" t="str">
        <f t="shared" si="898"/>
        <v>Dado para orçamentar:  item.de.classe  Deve ser formatado como (rdfs:Literal  or  xsd:string)</v>
      </c>
      <c r="W1897" s="69" t="s">
        <v>5903</v>
      </c>
      <c r="X1897" s="17" t="str">
        <f t="shared" si="929"/>
        <v>d.orçam.117</v>
      </c>
      <c r="Y1897" s="17" t="str">
        <f t="shared" si="930"/>
        <v>Ação de orçamentar</v>
      </c>
      <c r="Z1897" s="62" t="s">
        <v>1381</v>
      </c>
      <c r="AA1897" s="18" t="str">
        <f t="shared" si="933"/>
        <v>null</v>
      </c>
      <c r="AB1897" s="19" t="s">
        <v>0</v>
      </c>
      <c r="AC1897" s="18" t="str">
        <f t="shared" si="934"/>
        <v>null</v>
      </c>
      <c r="AD1897" s="19" t="s">
        <v>0</v>
      </c>
      <c r="AE1897" s="18" t="str">
        <f t="shared" si="937"/>
        <v>null</v>
      </c>
      <c r="AF1897" s="75" t="s">
        <v>0</v>
      </c>
      <c r="AG1897" s="38" t="s">
        <v>8854</v>
      </c>
    </row>
    <row r="1898" spans="1:33" ht="6" customHeight="1" x14ac:dyDescent="0.4">
      <c r="A1898" s="4">
        <f>ROW()</f>
        <v>1898</v>
      </c>
      <c r="B1898" s="9" t="s">
        <v>27</v>
      </c>
      <c r="C1898" s="44" t="str">
        <f t="shared" si="932"/>
        <v>p.orçamentar</v>
      </c>
      <c r="D1898" s="6" t="str">
        <f t="shared" si="936"/>
        <v>é.item.de.composição</v>
      </c>
      <c r="E1898" s="8" t="s">
        <v>28</v>
      </c>
      <c r="F1898" s="34" t="str">
        <f t="shared" si="935"/>
        <v>d.orçamentar</v>
      </c>
      <c r="G1898" s="16" t="s">
        <v>779</v>
      </c>
      <c r="H1898" s="34" t="s">
        <v>1581</v>
      </c>
      <c r="I1898" s="92" t="str">
        <f t="shared" si="902"/>
        <v>null</v>
      </c>
      <c r="J1898" s="82" t="s">
        <v>0</v>
      </c>
      <c r="K1898" s="82" t="s">
        <v>0</v>
      </c>
      <c r="L1898" s="82" t="s">
        <v>0</v>
      </c>
      <c r="M1898" s="82" t="s">
        <v>0</v>
      </c>
      <c r="N1898" s="80" t="s">
        <v>0</v>
      </c>
      <c r="O1898" s="82" t="s">
        <v>0</v>
      </c>
      <c r="P1898" s="82" t="s">
        <v>0</v>
      </c>
      <c r="Q1898" s="80" t="s">
        <v>0</v>
      </c>
      <c r="R1898" s="84" t="s">
        <v>0</v>
      </c>
      <c r="S1898" s="10" t="s">
        <v>1</v>
      </c>
      <c r="T1898" s="10" t="s">
        <v>10221</v>
      </c>
      <c r="U1898" s="5" t="str">
        <f t="shared" si="897"/>
        <v>Propriedade destinada a orçamentar: é.item.de.composição</v>
      </c>
      <c r="V1898" s="5" t="str">
        <f t="shared" si="898"/>
        <v>Dado para orçamentar:  item.de.composição  Deve ser formatado como (rdfs:Literal  or  xsd:string)</v>
      </c>
      <c r="W1898" s="69" t="s">
        <v>5904</v>
      </c>
      <c r="X1898" s="17" t="str">
        <f t="shared" si="929"/>
        <v>d.orçam.118</v>
      </c>
      <c r="Y1898" s="17" t="str">
        <f t="shared" si="930"/>
        <v>Ação de orçamentar</v>
      </c>
      <c r="Z1898" s="62" t="s">
        <v>1382</v>
      </c>
      <c r="AA1898" s="18" t="str">
        <f t="shared" si="933"/>
        <v>null</v>
      </c>
      <c r="AB1898" s="19" t="s">
        <v>0</v>
      </c>
      <c r="AC1898" s="18" t="str">
        <f t="shared" si="934"/>
        <v>null</v>
      </c>
      <c r="AD1898" s="19" t="s">
        <v>0</v>
      </c>
      <c r="AE1898" s="18" t="str">
        <f t="shared" si="937"/>
        <v>null</v>
      </c>
      <c r="AF1898" s="75" t="s">
        <v>0</v>
      </c>
      <c r="AG1898" s="38" t="s">
        <v>8855</v>
      </c>
    </row>
    <row r="1899" spans="1:33" ht="6" customHeight="1" x14ac:dyDescent="0.4">
      <c r="A1899" s="4">
        <f>ROW()</f>
        <v>1899</v>
      </c>
      <c r="B1899" s="9" t="s">
        <v>27</v>
      </c>
      <c r="C1899" s="44" t="str">
        <f t="shared" si="932"/>
        <v>p.orçamentar</v>
      </c>
      <c r="D1899" s="6" t="str">
        <f t="shared" si="936"/>
        <v>é.item.unidade</v>
      </c>
      <c r="E1899" s="8" t="s">
        <v>28</v>
      </c>
      <c r="F1899" s="34" t="str">
        <f t="shared" si="935"/>
        <v>d.orçamentar</v>
      </c>
      <c r="G1899" s="16" t="s">
        <v>780</v>
      </c>
      <c r="H1899" s="34" t="s">
        <v>1581</v>
      </c>
      <c r="I1899" s="92" t="str">
        <f t="shared" si="902"/>
        <v>null</v>
      </c>
      <c r="J1899" s="82" t="s">
        <v>0</v>
      </c>
      <c r="K1899" s="82" t="s">
        <v>0</v>
      </c>
      <c r="L1899" s="82" t="s">
        <v>0</v>
      </c>
      <c r="M1899" s="82" t="s">
        <v>0</v>
      </c>
      <c r="N1899" s="80" t="s">
        <v>0</v>
      </c>
      <c r="O1899" s="82" t="s">
        <v>0</v>
      </c>
      <c r="P1899" s="82" t="s">
        <v>0</v>
      </c>
      <c r="Q1899" s="82" t="s">
        <v>0</v>
      </c>
      <c r="R1899" s="84" t="s">
        <v>0</v>
      </c>
      <c r="S1899" s="10" t="s">
        <v>1</v>
      </c>
      <c r="T1899" s="10" t="s">
        <v>10221</v>
      </c>
      <c r="U1899" s="5" t="str">
        <f t="shared" si="897"/>
        <v>Propriedade destinada a orçamentar: é.item.unidade</v>
      </c>
      <c r="V1899" s="5" t="str">
        <f t="shared" si="898"/>
        <v>Dado para orçamentar:  item.unidade  Deve ser formatado como (rdfs:Literal  or  xsd:string)</v>
      </c>
      <c r="W1899" s="69" t="s">
        <v>5905</v>
      </c>
      <c r="X1899" s="17" t="str">
        <f t="shared" si="929"/>
        <v>d.orçam.119</v>
      </c>
      <c r="Y1899" s="17" t="str">
        <f t="shared" si="930"/>
        <v>Ação de orçamentar</v>
      </c>
      <c r="Z1899" s="62" t="s">
        <v>1383</v>
      </c>
      <c r="AA1899" s="18" t="str">
        <f t="shared" si="933"/>
        <v>null</v>
      </c>
      <c r="AB1899" s="19" t="s">
        <v>0</v>
      </c>
      <c r="AC1899" s="18" t="str">
        <f t="shared" si="934"/>
        <v>null</v>
      </c>
      <c r="AD1899" s="19" t="s">
        <v>0</v>
      </c>
      <c r="AE1899" s="18" t="str">
        <f t="shared" si="937"/>
        <v>null</v>
      </c>
      <c r="AF1899" s="75" t="s">
        <v>0</v>
      </c>
      <c r="AG1899" s="38" t="s">
        <v>8856</v>
      </c>
    </row>
    <row r="1900" spans="1:33" ht="6" customHeight="1" x14ac:dyDescent="0.4">
      <c r="A1900" s="4">
        <f>ROW()</f>
        <v>1900</v>
      </c>
      <c r="B1900" s="9" t="s">
        <v>27</v>
      </c>
      <c r="C1900" s="44" t="str">
        <f t="shared" si="932"/>
        <v>p.orçamentar</v>
      </c>
      <c r="D1900" s="6" t="str">
        <f t="shared" si="936"/>
        <v>é.local.de.uso</v>
      </c>
      <c r="E1900" s="8" t="s">
        <v>28</v>
      </c>
      <c r="F1900" s="34" t="str">
        <f t="shared" si="935"/>
        <v>d.orçamentar</v>
      </c>
      <c r="G1900" s="16" t="s">
        <v>781</v>
      </c>
      <c r="H1900" s="34" t="s">
        <v>1581</v>
      </c>
      <c r="I1900" s="92" t="str">
        <f t="shared" si="902"/>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97"/>
        <v>Propriedade destinada a orçamentar: é.local.de.uso</v>
      </c>
      <c r="V1900" s="5" t="str">
        <f t="shared" si="898"/>
        <v>Dado para orçamentar:  local.de.uso  Deve ser formatado como (rdfs:Literal  or  xsd:string)</v>
      </c>
      <c r="W1900" s="69" t="s">
        <v>5906</v>
      </c>
      <c r="X1900" s="17" t="str">
        <f t="shared" si="929"/>
        <v>d.orçam.120</v>
      </c>
      <c r="Y1900" s="17" t="str">
        <f t="shared" si="930"/>
        <v>Ação de orçamentar</v>
      </c>
      <c r="Z1900" s="62" t="s">
        <v>1384</v>
      </c>
      <c r="AA1900" s="18" t="str">
        <f t="shared" si="933"/>
        <v>null</v>
      </c>
      <c r="AB1900" s="19" t="s">
        <v>0</v>
      </c>
      <c r="AC1900" s="18" t="str">
        <f t="shared" si="934"/>
        <v>null</v>
      </c>
      <c r="AD1900" s="19" t="s">
        <v>0</v>
      </c>
      <c r="AE1900" s="18" t="str">
        <f t="shared" si="937"/>
        <v>null</v>
      </c>
      <c r="AF1900" s="75" t="s">
        <v>0</v>
      </c>
      <c r="AG1900" s="38" t="s">
        <v>8857</v>
      </c>
    </row>
    <row r="1901" spans="1:33" ht="6" customHeight="1" x14ac:dyDescent="0.4">
      <c r="A1901" s="4">
        <f>ROW()</f>
        <v>1901</v>
      </c>
      <c r="B1901" s="9" t="s">
        <v>27</v>
      </c>
      <c r="C1901" s="44" t="str">
        <f t="shared" si="932"/>
        <v>p.orçamentar</v>
      </c>
      <c r="D1901" s="6" t="str">
        <f t="shared" si="936"/>
        <v>é.origem.do.preço</v>
      </c>
      <c r="E1901" s="8" t="s">
        <v>28</v>
      </c>
      <c r="F1901" s="34" t="str">
        <f t="shared" si="935"/>
        <v>d.orçamentar</v>
      </c>
      <c r="G1901" s="16" t="s">
        <v>782</v>
      </c>
      <c r="H1901" s="34" t="s">
        <v>1581</v>
      </c>
      <c r="I1901" s="92" t="str">
        <f t="shared" si="902"/>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97"/>
        <v>Propriedade destinada a orçamentar: é.origem.do.preço</v>
      </c>
      <c r="V1901" s="5" t="str">
        <f t="shared" si="898"/>
        <v>Dado para orçamentar:  origem.do.preço  Deve ser formatado como (rdfs:Literal  or  xsd:string)</v>
      </c>
      <c r="W1901" s="69" t="s">
        <v>5907</v>
      </c>
      <c r="X1901" s="17" t="str">
        <f t="shared" si="929"/>
        <v>d.orçam.121</v>
      </c>
      <c r="Y1901" s="17" t="str">
        <f t="shared" si="930"/>
        <v>Ação de orçamentar</v>
      </c>
      <c r="Z1901" s="62" t="s">
        <v>1385</v>
      </c>
      <c r="AA1901" s="18" t="str">
        <f t="shared" si="933"/>
        <v>null</v>
      </c>
      <c r="AB1901" s="19" t="s">
        <v>0</v>
      </c>
      <c r="AC1901" s="18" t="str">
        <f t="shared" si="934"/>
        <v>null</v>
      </c>
      <c r="AD1901" s="19" t="s">
        <v>0</v>
      </c>
      <c r="AE1901" s="18" t="str">
        <f t="shared" si="937"/>
        <v>null</v>
      </c>
      <c r="AF1901" s="75" t="s">
        <v>0</v>
      </c>
      <c r="AG1901" s="38" t="s">
        <v>8858</v>
      </c>
    </row>
    <row r="1902" spans="1:33" ht="6" customHeight="1" x14ac:dyDescent="0.4">
      <c r="A1902" s="4">
        <f>ROW()</f>
        <v>1902</v>
      </c>
      <c r="B1902" s="9" t="s">
        <v>27</v>
      </c>
      <c r="C1902" s="44" t="str">
        <f t="shared" si="932"/>
        <v>p.orçamentar</v>
      </c>
      <c r="D1902" s="6" t="str">
        <f t="shared" si="936"/>
        <v>é.percentual.de.equipamento</v>
      </c>
      <c r="E1902" s="8" t="s">
        <v>28</v>
      </c>
      <c r="F1902" s="34" t="str">
        <f t="shared" si="935"/>
        <v>d.orçamentar</v>
      </c>
      <c r="G1902" s="16" t="s">
        <v>783</v>
      </c>
      <c r="H1902" s="33" t="s">
        <v>35</v>
      </c>
      <c r="I1902" s="92" t="str">
        <f t="shared" si="902"/>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97"/>
        <v>Propriedade destinada a orçamentar: é.percentual.de.equipamento</v>
      </c>
      <c r="V1902" s="5" t="str">
        <f t="shared" si="898"/>
        <v>Dado para orçamentar:  percentual.de.equipamento  Deve ser formatado como (xsd:double)</v>
      </c>
      <c r="W1902" s="69" t="s">
        <v>5908</v>
      </c>
      <c r="X1902" s="17" t="str">
        <f t="shared" si="929"/>
        <v>d.orçam.122</v>
      </c>
      <c r="Y1902" s="17" t="str">
        <f t="shared" si="930"/>
        <v>Ação de orçamentar</v>
      </c>
      <c r="Z1902" s="62" t="s">
        <v>1386</v>
      </c>
      <c r="AA1902" s="18" t="str">
        <f t="shared" si="933"/>
        <v>null</v>
      </c>
      <c r="AB1902" s="19" t="s">
        <v>0</v>
      </c>
      <c r="AC1902" s="18" t="str">
        <f t="shared" si="934"/>
        <v>null</v>
      </c>
      <c r="AD1902" s="19" t="s">
        <v>0</v>
      </c>
      <c r="AE1902" s="18" t="str">
        <f t="shared" si="937"/>
        <v>null</v>
      </c>
      <c r="AF1902" s="75" t="s">
        <v>0</v>
      </c>
      <c r="AG1902" s="38" t="s">
        <v>8859</v>
      </c>
    </row>
    <row r="1903" spans="1:33" ht="6" customHeight="1" x14ac:dyDescent="0.4">
      <c r="A1903" s="4">
        <f>ROW()</f>
        <v>1903</v>
      </c>
      <c r="B1903" s="9" t="s">
        <v>27</v>
      </c>
      <c r="C1903" s="44" t="str">
        <f t="shared" si="932"/>
        <v>p.orçamentar</v>
      </c>
      <c r="D1903" s="6" t="str">
        <f t="shared" si="936"/>
        <v>é.percentual.de.mão.de.obra</v>
      </c>
      <c r="E1903" s="8" t="s">
        <v>28</v>
      </c>
      <c r="F1903" s="34" t="str">
        <f t="shared" si="935"/>
        <v>d.orçamentar</v>
      </c>
      <c r="G1903" s="16" t="s">
        <v>784</v>
      </c>
      <c r="H1903" s="33" t="s">
        <v>35</v>
      </c>
      <c r="I1903" s="92" t="str">
        <f t="shared" si="902"/>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97"/>
        <v>Propriedade destinada a orçamentar: é.percentual.de.mão.de.obra</v>
      </c>
      <c r="V1903" s="5" t="str">
        <f t="shared" si="898"/>
        <v>Dado para orçamentar:  percentual.de.mão.de.obra  Deve ser formatado como (xsd:double)</v>
      </c>
      <c r="W1903" s="69" t="s">
        <v>5909</v>
      </c>
      <c r="X1903" s="17" t="str">
        <f t="shared" si="929"/>
        <v>d.orçam.123</v>
      </c>
      <c r="Y1903" s="17" t="str">
        <f t="shared" si="930"/>
        <v>Ação de orçamentar</v>
      </c>
      <c r="Z1903" s="62" t="s">
        <v>1387</v>
      </c>
      <c r="AA1903" s="18" t="str">
        <f t="shared" si="933"/>
        <v>null</v>
      </c>
      <c r="AB1903" s="19" t="s">
        <v>0</v>
      </c>
      <c r="AC1903" s="18" t="str">
        <f t="shared" si="934"/>
        <v>null</v>
      </c>
      <c r="AD1903" s="19" t="s">
        <v>0</v>
      </c>
      <c r="AE1903" s="18" t="str">
        <f t="shared" si="937"/>
        <v>null</v>
      </c>
      <c r="AF1903" s="75" t="s">
        <v>0</v>
      </c>
      <c r="AG1903" s="38" t="s">
        <v>8860</v>
      </c>
    </row>
    <row r="1904" spans="1:33" ht="6" customHeight="1" x14ac:dyDescent="0.4">
      <c r="A1904" s="4">
        <f>ROW()</f>
        <v>1904</v>
      </c>
      <c r="B1904" s="9" t="s">
        <v>27</v>
      </c>
      <c r="C1904" s="44" t="str">
        <f t="shared" si="932"/>
        <v>p.orçamentar</v>
      </c>
      <c r="D1904" s="6" t="str">
        <f t="shared" si="936"/>
        <v>é.percentual.de.material</v>
      </c>
      <c r="E1904" s="8" t="s">
        <v>28</v>
      </c>
      <c r="F1904" s="34" t="str">
        <f t="shared" si="935"/>
        <v>d.orçamentar</v>
      </c>
      <c r="G1904" s="16" t="s">
        <v>785</v>
      </c>
      <c r="H1904" s="33" t="s">
        <v>35</v>
      </c>
      <c r="I1904" s="92" t="str">
        <f t="shared" si="902"/>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97"/>
        <v>Propriedade destinada a orçamentar: é.percentual.de.material</v>
      </c>
      <c r="V1904" s="5" t="str">
        <f t="shared" si="898"/>
        <v>Dado para orçamentar:  percentual.de.material  Deve ser formatado como (xsd:double)</v>
      </c>
      <c r="W1904" s="69" t="s">
        <v>5910</v>
      </c>
      <c r="X1904" s="17" t="str">
        <f t="shared" si="929"/>
        <v>d.orçam.124</v>
      </c>
      <c r="Y1904" s="17" t="str">
        <f t="shared" si="930"/>
        <v>Ação de orçamentar</v>
      </c>
      <c r="Z1904" s="62" t="s">
        <v>1388</v>
      </c>
      <c r="AA1904" s="18" t="str">
        <f t="shared" si="933"/>
        <v>null</v>
      </c>
      <c r="AB1904" s="19" t="s">
        <v>0</v>
      </c>
      <c r="AC1904" s="18" t="str">
        <f t="shared" si="934"/>
        <v>null</v>
      </c>
      <c r="AD1904" s="19" t="s">
        <v>0</v>
      </c>
      <c r="AE1904" s="18" t="str">
        <f t="shared" si="937"/>
        <v>null</v>
      </c>
      <c r="AF1904" s="75" t="s">
        <v>0</v>
      </c>
      <c r="AG1904" s="38" t="s">
        <v>8861</v>
      </c>
    </row>
    <row r="1905" spans="1:33" ht="6" customHeight="1" x14ac:dyDescent="0.4">
      <c r="A1905" s="4">
        <f>ROW()</f>
        <v>1905</v>
      </c>
      <c r="B1905" s="9" t="s">
        <v>27</v>
      </c>
      <c r="C1905" s="44" t="str">
        <f t="shared" si="932"/>
        <v>p.orçamentar</v>
      </c>
      <c r="D1905" s="6" t="str">
        <f t="shared" si="936"/>
        <v>é.percentual.de.serviço.terceirizado</v>
      </c>
      <c r="E1905" s="8" t="s">
        <v>28</v>
      </c>
      <c r="F1905" s="34" t="str">
        <f t="shared" si="935"/>
        <v>d.orçamentar</v>
      </c>
      <c r="G1905" s="16" t="s">
        <v>3040</v>
      </c>
      <c r="H1905" s="33" t="s">
        <v>35</v>
      </c>
      <c r="I1905" s="92" t="str">
        <f t="shared" si="902"/>
        <v>null</v>
      </c>
      <c r="J1905" s="82" t="s">
        <v>0</v>
      </c>
      <c r="K1905" s="82" t="s">
        <v>0</v>
      </c>
      <c r="L1905" s="82" t="s">
        <v>0</v>
      </c>
      <c r="M1905" s="82" t="s">
        <v>0</v>
      </c>
      <c r="N1905" s="80" t="s">
        <v>0</v>
      </c>
      <c r="O1905" s="82" t="s">
        <v>0</v>
      </c>
      <c r="P1905" s="82" t="s">
        <v>0</v>
      </c>
      <c r="Q1905" s="82" t="s">
        <v>0</v>
      </c>
      <c r="R1905" s="84" t="s">
        <v>0</v>
      </c>
      <c r="S1905" s="10" t="s">
        <v>1</v>
      </c>
      <c r="T1905" s="10" t="s">
        <v>10221</v>
      </c>
      <c r="U1905" s="5" t="str">
        <f t="shared" si="897"/>
        <v>Propriedade destinada a orçamentar: é.percentual.de.serviço.terceirizado</v>
      </c>
      <c r="V1905" s="5" t="str">
        <f t="shared" si="898"/>
        <v>Dado para orçamentar:  percentual.de.serviço.terceirizado  Deve ser formatado como (xsd:double)</v>
      </c>
      <c r="W1905" s="69" t="s">
        <v>5911</v>
      </c>
      <c r="X1905" s="17" t="str">
        <f t="shared" si="929"/>
        <v>d.orçam.125</v>
      </c>
      <c r="Y1905" s="17" t="str">
        <f t="shared" si="930"/>
        <v>Ação de orçamentar</v>
      </c>
      <c r="Z1905" s="62" t="s">
        <v>1389</v>
      </c>
      <c r="AA1905" s="18" t="str">
        <f t="shared" si="933"/>
        <v>null</v>
      </c>
      <c r="AB1905" s="19" t="s">
        <v>0</v>
      </c>
      <c r="AC1905" s="18" t="str">
        <f t="shared" si="934"/>
        <v>null</v>
      </c>
      <c r="AD1905" s="19" t="s">
        <v>0</v>
      </c>
      <c r="AE1905" s="18" t="str">
        <f t="shared" si="937"/>
        <v>null</v>
      </c>
      <c r="AF1905" s="75" t="s">
        <v>0</v>
      </c>
      <c r="AG1905" s="38" t="s">
        <v>8862</v>
      </c>
    </row>
    <row r="1906" spans="1:33" ht="6" customHeight="1" x14ac:dyDescent="0.4">
      <c r="A1906" s="4">
        <f>ROW()</f>
        <v>1906</v>
      </c>
      <c r="B1906" s="9" t="s">
        <v>27</v>
      </c>
      <c r="C1906" s="44" t="str">
        <f t="shared" si="932"/>
        <v>p.orçamentar</v>
      </c>
      <c r="D1906" s="6" t="str">
        <f t="shared" si="936"/>
        <v>é.preço</v>
      </c>
      <c r="E1906" s="8" t="s">
        <v>28</v>
      </c>
      <c r="F1906" s="34" t="str">
        <f t="shared" si="935"/>
        <v>d.orçamentar</v>
      </c>
      <c r="G1906" s="14" t="s">
        <v>157</v>
      </c>
      <c r="H1906" s="33" t="s">
        <v>35</v>
      </c>
      <c r="I1906" s="92" t="str">
        <f t="shared" si="902"/>
        <v>null</v>
      </c>
      <c r="J1906" s="82" t="s">
        <v>0</v>
      </c>
      <c r="K1906" s="82" t="s">
        <v>0</v>
      </c>
      <c r="L1906" s="82" t="s">
        <v>0</v>
      </c>
      <c r="M1906" s="82" t="s">
        <v>0</v>
      </c>
      <c r="N1906" s="80" t="s">
        <v>0</v>
      </c>
      <c r="O1906" s="82" t="s">
        <v>0</v>
      </c>
      <c r="P1906" s="82" t="s">
        <v>0</v>
      </c>
      <c r="Q1906" s="82" t="s">
        <v>0</v>
      </c>
      <c r="R1906" s="84" t="s">
        <v>0</v>
      </c>
      <c r="S1906" s="10" t="s">
        <v>1</v>
      </c>
      <c r="T1906" s="10" t="s">
        <v>10221</v>
      </c>
      <c r="U1906" s="5" t="str">
        <f t="shared" si="897"/>
        <v>Propriedade destinada a orçamentar: é.preço</v>
      </c>
      <c r="V1906" s="5" t="str">
        <f t="shared" si="898"/>
        <v>Dado para orçamentar:  preço  Deve ser formatado como (xsd:double)</v>
      </c>
      <c r="W1906" s="69" t="s">
        <v>5912</v>
      </c>
      <c r="X1906" s="17" t="str">
        <f t="shared" si="929"/>
        <v>d.orçam.126</v>
      </c>
      <c r="Y1906" s="17" t="str">
        <f t="shared" si="930"/>
        <v>Ação de orçamentar</v>
      </c>
      <c r="Z1906" s="62" t="s">
        <v>1390</v>
      </c>
      <c r="AA1906" s="18" t="str">
        <f t="shared" si="933"/>
        <v>null</v>
      </c>
      <c r="AB1906" s="19" t="s">
        <v>0</v>
      </c>
      <c r="AC1906" s="18" t="str">
        <f t="shared" si="934"/>
        <v>null</v>
      </c>
      <c r="AD1906" s="19" t="s">
        <v>0</v>
      </c>
      <c r="AE1906" s="18" t="str">
        <f t="shared" si="937"/>
        <v>null</v>
      </c>
      <c r="AF1906" s="75" t="s">
        <v>0</v>
      </c>
      <c r="AG1906" s="38" t="s">
        <v>8863</v>
      </c>
    </row>
    <row r="1907" spans="1:33" ht="6" customHeight="1" x14ac:dyDescent="0.4">
      <c r="A1907" s="4">
        <f>ROW()</f>
        <v>1907</v>
      </c>
      <c r="B1907" s="9" t="s">
        <v>27</v>
      </c>
      <c r="C1907" s="44" t="str">
        <f t="shared" si="932"/>
        <v>p.orçamentar</v>
      </c>
      <c r="D1907" s="6" t="str">
        <f t="shared" si="936"/>
        <v>é.preço.ofertado</v>
      </c>
      <c r="E1907" s="8" t="s">
        <v>28</v>
      </c>
      <c r="F1907" s="34" t="str">
        <f t="shared" si="935"/>
        <v>d.orçamentar</v>
      </c>
      <c r="G1907" s="14" t="s">
        <v>786</v>
      </c>
      <c r="H1907" s="33" t="s">
        <v>35</v>
      </c>
      <c r="I1907" s="92" t="str">
        <f t="shared" si="902"/>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97"/>
        <v>Propriedade destinada a orçamentar: é.preço.ofertado</v>
      </c>
      <c r="V1907" s="5" t="str">
        <f t="shared" si="898"/>
        <v>Dado para orçamentar:  preço.ofertado  Deve ser formatado como (xsd:double)</v>
      </c>
      <c r="W1907" s="69" t="s">
        <v>5913</v>
      </c>
      <c r="X1907" s="17" t="str">
        <f t="shared" si="929"/>
        <v>d.orçam.127</v>
      </c>
      <c r="Y1907" s="17" t="str">
        <f t="shared" si="930"/>
        <v>Ação de orçamentar</v>
      </c>
      <c r="Z1907" s="62" t="s">
        <v>1391</v>
      </c>
      <c r="AA1907" s="18" t="str">
        <f t="shared" si="933"/>
        <v>null</v>
      </c>
      <c r="AB1907" s="19" t="s">
        <v>0</v>
      </c>
      <c r="AC1907" s="18" t="str">
        <f t="shared" si="934"/>
        <v>null</v>
      </c>
      <c r="AD1907" s="19" t="s">
        <v>0</v>
      </c>
      <c r="AE1907" s="18" t="str">
        <f t="shared" si="937"/>
        <v>null</v>
      </c>
      <c r="AF1907" s="75" t="s">
        <v>0</v>
      </c>
      <c r="AG1907" s="38" t="s">
        <v>8864</v>
      </c>
    </row>
    <row r="1908" spans="1:33" ht="6" customHeight="1" x14ac:dyDescent="0.4">
      <c r="A1908" s="4">
        <f>ROW()</f>
        <v>1908</v>
      </c>
      <c r="B1908" s="9" t="s">
        <v>27</v>
      </c>
      <c r="C1908" s="44" t="str">
        <f t="shared" si="932"/>
        <v>p.orçamentar</v>
      </c>
      <c r="D1908" s="6" t="str">
        <f t="shared" si="936"/>
        <v>é.preço.unitário</v>
      </c>
      <c r="E1908" s="8" t="s">
        <v>28</v>
      </c>
      <c r="F1908" s="34" t="str">
        <f t="shared" si="935"/>
        <v>d.orçamentar</v>
      </c>
      <c r="G1908" s="16" t="s">
        <v>787</v>
      </c>
      <c r="H1908" s="33" t="s">
        <v>35</v>
      </c>
      <c r="I1908" s="92" t="str">
        <f t="shared" si="902"/>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97"/>
        <v>Propriedade destinada a orçamentar: é.preço.unitário</v>
      </c>
      <c r="V1908" s="5" t="str">
        <f t="shared" si="898"/>
        <v>Dado para orçamentar:  preço.unitário  Deve ser formatado como (xsd:double)</v>
      </c>
      <c r="W1908" s="69" t="s">
        <v>5914</v>
      </c>
      <c r="X1908" s="17" t="str">
        <f t="shared" si="929"/>
        <v>d.orçam.128</v>
      </c>
      <c r="Y1908" s="17" t="str">
        <f t="shared" si="930"/>
        <v>Ação de orçamentar</v>
      </c>
      <c r="Z1908" s="62" t="s">
        <v>1392</v>
      </c>
      <c r="AA1908" s="18" t="str">
        <f t="shared" si="933"/>
        <v>null</v>
      </c>
      <c r="AB1908" s="19" t="s">
        <v>0</v>
      </c>
      <c r="AC1908" s="18" t="str">
        <f t="shared" si="934"/>
        <v>null</v>
      </c>
      <c r="AD1908" s="19" t="s">
        <v>0</v>
      </c>
      <c r="AE1908" s="18" t="str">
        <f t="shared" si="937"/>
        <v>null</v>
      </c>
      <c r="AF1908" s="75" t="s">
        <v>0</v>
      </c>
      <c r="AG1908" s="38" t="s">
        <v>8865</v>
      </c>
    </row>
    <row r="1909" spans="1:33" ht="6" customHeight="1" x14ac:dyDescent="0.4">
      <c r="A1909" s="4">
        <f>ROW()</f>
        <v>1909</v>
      </c>
      <c r="B1909" s="9" t="s">
        <v>27</v>
      </c>
      <c r="C1909" s="44" t="str">
        <f t="shared" si="932"/>
        <v>p.orçamentar</v>
      </c>
      <c r="D1909" s="6" t="str">
        <f t="shared" si="936"/>
        <v>é.sinapi.agrupador</v>
      </c>
      <c r="E1909" s="8" t="s">
        <v>28</v>
      </c>
      <c r="F1909" s="34" t="str">
        <f t="shared" si="935"/>
        <v>d.orçamentar</v>
      </c>
      <c r="G1909" s="16" t="s">
        <v>788</v>
      </c>
      <c r="H1909" s="33" t="s">
        <v>35</v>
      </c>
      <c r="I1909" s="92" t="str">
        <f t="shared" si="902"/>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97"/>
        <v>Propriedade destinada a orçamentar: é.sinapi.agrupador</v>
      </c>
      <c r="V1909" s="5" t="str">
        <f t="shared" si="898"/>
        <v>Dado para orçamentar:  sinapi.agrupador  Deve ser formatado como (xsd:double)</v>
      </c>
      <c r="W1909" s="69" t="s">
        <v>5915</v>
      </c>
      <c r="X1909" s="17" t="str">
        <f t="shared" si="929"/>
        <v>d.orçam.129</v>
      </c>
      <c r="Y1909" s="17" t="str">
        <f t="shared" si="930"/>
        <v>Ação de orçamentar</v>
      </c>
      <c r="Z1909" s="62" t="s">
        <v>3177</v>
      </c>
      <c r="AA1909" s="18" t="str">
        <f t="shared" si="933"/>
        <v>null</v>
      </c>
      <c r="AB1909" s="19" t="s">
        <v>0</v>
      </c>
      <c r="AC1909" s="18" t="str">
        <f t="shared" si="934"/>
        <v>null</v>
      </c>
      <c r="AD1909" s="19" t="s">
        <v>0</v>
      </c>
      <c r="AE1909" s="18" t="str">
        <f t="shared" si="937"/>
        <v>null</v>
      </c>
      <c r="AF1909" s="75" t="s">
        <v>0</v>
      </c>
      <c r="AG1909" s="38" t="s">
        <v>8866</v>
      </c>
    </row>
    <row r="1910" spans="1:33" ht="6" customHeight="1" x14ac:dyDescent="0.4">
      <c r="A1910" s="4">
        <f>ROW()</f>
        <v>1910</v>
      </c>
      <c r="B1910" s="9" t="s">
        <v>27</v>
      </c>
      <c r="C1910" s="44" t="str">
        <f t="shared" si="932"/>
        <v>p.orçamentar</v>
      </c>
      <c r="D1910" s="6" t="str">
        <f t="shared" si="936"/>
        <v>é.sinapi.analítico</v>
      </c>
      <c r="E1910" s="8" t="s">
        <v>28</v>
      </c>
      <c r="F1910" s="34" t="str">
        <f t="shared" si="935"/>
        <v>d.orçamentar</v>
      </c>
      <c r="G1910" s="16" t="s">
        <v>789</v>
      </c>
      <c r="H1910" s="34" t="s">
        <v>1581</v>
      </c>
      <c r="I1910" s="92" t="str">
        <f t="shared" si="902"/>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97"/>
        <v>Propriedade destinada a orçamentar: é.sinapi.analítico</v>
      </c>
      <c r="V1910" s="5" t="str">
        <f t="shared" si="898"/>
        <v>Dado para orçamentar:  sinapi.analítico  Deve ser formatado como (rdfs:Literal  or  xsd:string)</v>
      </c>
      <c r="W1910" s="69" t="s">
        <v>5916</v>
      </c>
      <c r="X1910" s="17" t="str">
        <f t="shared" si="929"/>
        <v>d.orçam.130</v>
      </c>
      <c r="Y1910" s="17" t="str">
        <f t="shared" si="930"/>
        <v>Ação de orçamentar</v>
      </c>
      <c r="Z1910" s="62" t="s">
        <v>3178</v>
      </c>
      <c r="AA1910" s="18" t="str">
        <f t="shared" si="933"/>
        <v>null</v>
      </c>
      <c r="AB1910" s="19" t="s">
        <v>0</v>
      </c>
      <c r="AC1910" s="18" t="str">
        <f t="shared" si="934"/>
        <v>null</v>
      </c>
      <c r="AD1910" s="19" t="s">
        <v>0</v>
      </c>
      <c r="AE1910" s="18" t="str">
        <f t="shared" si="937"/>
        <v>null</v>
      </c>
      <c r="AF1910" s="75" t="s">
        <v>0</v>
      </c>
      <c r="AG1910" s="38" t="s">
        <v>8867</v>
      </c>
    </row>
    <row r="1911" spans="1:33" ht="6" customHeight="1" x14ac:dyDescent="0.4">
      <c r="A1911" s="4">
        <f>ROW()</f>
        <v>1911</v>
      </c>
      <c r="B1911" s="9" t="s">
        <v>27</v>
      </c>
      <c r="C1911" s="44" t="str">
        <f t="shared" si="932"/>
        <v>p.orçamentar</v>
      </c>
      <c r="D1911" s="6" t="str">
        <f t="shared" si="936"/>
        <v>é.sinapi.categoria</v>
      </c>
      <c r="E1911" s="8" t="s">
        <v>28</v>
      </c>
      <c r="F1911" s="34" t="str">
        <f t="shared" si="935"/>
        <v>d.orçamentar</v>
      </c>
      <c r="G1911" s="53" t="s">
        <v>3112</v>
      </c>
      <c r="H1911" s="34" t="s">
        <v>1581</v>
      </c>
      <c r="I1911" s="92" t="str">
        <f t="shared" si="902"/>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97"/>
        <v>Propriedade destinada a orçamentar: é.sinapi.categoria</v>
      </c>
      <c r="V1911" s="5" t="str">
        <f t="shared" si="898"/>
        <v>Dado para orçamentar:  sinapi.categoria  Deve ser formatado como (rdfs:Literal  or  xsd:string)</v>
      </c>
      <c r="W1911" s="69" t="s">
        <v>5917</v>
      </c>
      <c r="X1911" s="17" t="str">
        <f t="shared" si="929"/>
        <v>d.orçam.131</v>
      </c>
      <c r="Y1911" s="17" t="str">
        <f t="shared" si="930"/>
        <v>Ação de orçamentar</v>
      </c>
      <c r="Z1911" s="62" t="s">
        <v>3130</v>
      </c>
      <c r="AA1911" s="18" t="str">
        <f t="shared" si="933"/>
        <v>null</v>
      </c>
      <c r="AB1911" s="19" t="s">
        <v>0</v>
      </c>
      <c r="AC1911" s="18" t="str">
        <f t="shared" si="934"/>
        <v>null</v>
      </c>
      <c r="AD1911" s="19" t="s">
        <v>0</v>
      </c>
      <c r="AE1911" s="18" t="str">
        <f t="shared" si="937"/>
        <v>null</v>
      </c>
      <c r="AF1911" s="75" t="s">
        <v>0</v>
      </c>
      <c r="AG1911" s="38" t="s">
        <v>8868</v>
      </c>
    </row>
    <row r="1912" spans="1:33" ht="6" customHeight="1" x14ac:dyDescent="0.4">
      <c r="A1912" s="4">
        <f>ROW()</f>
        <v>1912</v>
      </c>
      <c r="B1912" s="9" t="s">
        <v>27</v>
      </c>
      <c r="C1912" s="44" t="str">
        <f t="shared" si="932"/>
        <v>p.orçamentar</v>
      </c>
      <c r="D1912" s="6" t="str">
        <f t="shared" si="936"/>
        <v>é.sinapi.código</v>
      </c>
      <c r="E1912" s="8" t="s">
        <v>28</v>
      </c>
      <c r="F1912" s="34" t="str">
        <f>F1909</f>
        <v>d.orçamentar</v>
      </c>
      <c r="G1912" s="53" t="s">
        <v>3175</v>
      </c>
      <c r="H1912" s="34" t="s">
        <v>1581</v>
      </c>
      <c r="I1912" s="92" t="str">
        <f t="shared" si="902"/>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97"/>
        <v>Propriedade destinada a orçamentar: é.sinapi.código</v>
      </c>
      <c r="V1912" s="5" t="str">
        <f t="shared" si="898"/>
        <v>Dado para orçamentar:  sinapi.código  Deve ser formatado como (rdfs:Literal  or  xsd:string)</v>
      </c>
      <c r="W1912" s="69" t="s">
        <v>5918</v>
      </c>
      <c r="X1912" s="17" t="str">
        <f t="shared" si="929"/>
        <v>d.orçam.132</v>
      </c>
      <c r="Y1912" s="17" t="str">
        <f t="shared" si="930"/>
        <v>Ação de orçamentar</v>
      </c>
      <c r="Z1912" s="62" t="s">
        <v>3179</v>
      </c>
      <c r="AA1912" s="18" t="str">
        <f t="shared" ref="AA1912" si="938">IF(AB1912="null", "null", "categoria.revit")</f>
        <v>null</v>
      </c>
      <c r="AB1912" s="19" t="s">
        <v>0</v>
      </c>
      <c r="AC1912" s="18" t="str">
        <f t="shared" ref="AC1912" si="939">IF(AD1912="null", "null", "classe.ifc")</f>
        <v>null</v>
      </c>
      <c r="AD1912" s="19" t="s">
        <v>0</v>
      </c>
      <c r="AE1912" s="18" t="str">
        <f t="shared" si="937"/>
        <v>null</v>
      </c>
      <c r="AF1912" s="75" t="s">
        <v>0</v>
      </c>
      <c r="AG1912" s="38" t="s">
        <v>8869</v>
      </c>
    </row>
    <row r="1913" spans="1:33" ht="6" customHeight="1" x14ac:dyDescent="0.4">
      <c r="A1913" s="4">
        <f>ROW()</f>
        <v>1913</v>
      </c>
      <c r="B1913" s="9" t="s">
        <v>27</v>
      </c>
      <c r="C1913" s="44" t="str">
        <f t="shared" ref="C1913" si="940">SUBSTITUTE(F1913,"d.","p.")</f>
        <v>p.orçamentar</v>
      </c>
      <c r="D1913" s="6" t="str">
        <f t="shared" si="936"/>
        <v>é.sinapi.código.de.composição</v>
      </c>
      <c r="E1913" s="8" t="s">
        <v>28</v>
      </c>
      <c r="F1913" s="34" t="str">
        <f>F1910</f>
        <v>d.orçamentar</v>
      </c>
      <c r="G1913" s="53" t="s">
        <v>3139</v>
      </c>
      <c r="H1913" s="34" t="s">
        <v>1581</v>
      </c>
      <c r="I1913" s="92" t="str">
        <f t="shared" si="902"/>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97"/>
        <v>Propriedade destinada a orçamentar: é.sinapi.código.de.composição</v>
      </c>
      <c r="V1913" s="5" t="str">
        <f t="shared" si="898"/>
        <v>Dado para orçamentar:  sinapi.código.de.composição  Deve ser formatado como (rdfs:Literal  or  xsd:string)</v>
      </c>
      <c r="W1913" s="69" t="s">
        <v>5919</v>
      </c>
      <c r="X1913" s="17" t="str">
        <f t="shared" si="929"/>
        <v>d.orçam.133</v>
      </c>
      <c r="Y1913" s="17" t="str">
        <f t="shared" si="930"/>
        <v>Ação de orçamentar</v>
      </c>
      <c r="Z1913" s="62" t="s">
        <v>3182</v>
      </c>
      <c r="AA1913" s="18" t="str">
        <f t="shared" si="933"/>
        <v>null</v>
      </c>
      <c r="AB1913" s="19" t="s">
        <v>0</v>
      </c>
      <c r="AC1913" s="18" t="str">
        <f t="shared" si="934"/>
        <v>null</v>
      </c>
      <c r="AD1913" s="19" t="s">
        <v>0</v>
      </c>
      <c r="AE1913" s="18" t="str">
        <f t="shared" si="937"/>
        <v>null</v>
      </c>
      <c r="AF1913" s="75" t="s">
        <v>0</v>
      </c>
      <c r="AG1913" s="38" t="s">
        <v>8870</v>
      </c>
    </row>
    <row r="1914" spans="1:33" ht="6" customHeight="1" x14ac:dyDescent="0.4">
      <c r="A1914" s="4">
        <f>ROW()</f>
        <v>1914</v>
      </c>
      <c r="B1914" s="9" t="s">
        <v>27</v>
      </c>
      <c r="C1914" s="44" t="str">
        <f t="shared" si="932"/>
        <v>p.orçamentar</v>
      </c>
      <c r="D1914" s="6" t="str">
        <f t="shared" si="936"/>
        <v>é.sinapi.código.de.família</v>
      </c>
      <c r="E1914" s="8" t="s">
        <v>28</v>
      </c>
      <c r="F1914" s="34" t="str">
        <f>F1911</f>
        <v>d.orçamentar</v>
      </c>
      <c r="G1914" s="53" t="s">
        <v>3121</v>
      </c>
      <c r="H1914" s="34" t="s">
        <v>1581</v>
      </c>
      <c r="I1914" s="92" t="str">
        <f t="shared" si="902"/>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97"/>
        <v>Propriedade destinada a orçamentar: é.sinapi.código.de.família</v>
      </c>
      <c r="V1914" s="5" t="str">
        <f t="shared" si="898"/>
        <v>Dado para orçamentar:  sinapi.código.de.família  Deve ser formatado como (rdfs:Literal  or  xsd:string)</v>
      </c>
      <c r="W1914" s="69" t="s">
        <v>5920</v>
      </c>
      <c r="X1914" s="17" t="str">
        <f t="shared" si="929"/>
        <v>d.orçam.134</v>
      </c>
      <c r="Y1914" s="17" t="str">
        <f t="shared" si="930"/>
        <v>Ação de orçamentar</v>
      </c>
      <c r="Z1914" s="62" t="s">
        <v>3183</v>
      </c>
      <c r="AA1914" s="18" t="str">
        <f t="shared" si="933"/>
        <v>null</v>
      </c>
      <c r="AB1914" s="19" t="s">
        <v>0</v>
      </c>
      <c r="AC1914" s="18" t="str">
        <f t="shared" si="934"/>
        <v>null</v>
      </c>
      <c r="AD1914" s="19" t="s">
        <v>0</v>
      </c>
      <c r="AE1914" s="18" t="str">
        <f t="shared" si="937"/>
        <v>null</v>
      </c>
      <c r="AF1914" s="75" t="s">
        <v>0</v>
      </c>
      <c r="AG1914" s="38" t="s">
        <v>8871</v>
      </c>
    </row>
    <row r="1915" spans="1:33" ht="6" customHeight="1" x14ac:dyDescent="0.4">
      <c r="A1915" s="4">
        <f>ROW()</f>
        <v>1915</v>
      </c>
      <c r="B1915" s="9" t="s">
        <v>27</v>
      </c>
      <c r="C1915" s="44" t="str">
        <f t="shared" ref="C1915:C1940" si="941">SUBSTITUTE(F1915,"d.","p.")</f>
        <v>p.orçamentar</v>
      </c>
      <c r="D1915" s="6" t="str">
        <f t="shared" si="936"/>
        <v>é.sinapi.código.de.grupo</v>
      </c>
      <c r="E1915" s="8" t="s">
        <v>28</v>
      </c>
      <c r="F1915" s="34" t="str">
        <f t="shared" si="935"/>
        <v>d.orçamentar</v>
      </c>
      <c r="G1915" s="53" t="s">
        <v>3122</v>
      </c>
      <c r="H1915" s="34" t="s">
        <v>1581</v>
      </c>
      <c r="I1915" s="92" t="str">
        <f t="shared" si="902"/>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97"/>
        <v>Propriedade destinada a orçamentar: é.sinapi.código.de.grupo</v>
      </c>
      <c r="V1915" s="5" t="str">
        <f t="shared" si="898"/>
        <v>Dado para orçamentar:  sinapi.código.de.grupo  Deve ser formatado como (rdfs:Literal  or  xsd:string)</v>
      </c>
      <c r="W1915" s="69" t="s">
        <v>5921</v>
      </c>
      <c r="X1915" s="17" t="str">
        <f t="shared" si="929"/>
        <v>d.orçam.135</v>
      </c>
      <c r="Y1915" s="17" t="str">
        <f t="shared" si="930"/>
        <v>Ação de orçamentar</v>
      </c>
      <c r="Z1915" s="62" t="s">
        <v>3180</v>
      </c>
      <c r="AA1915" s="18" t="str">
        <f t="shared" ref="AA1915:AA1940" si="942">IF(AB1915="null", "null", "categoria.revit")</f>
        <v>null</v>
      </c>
      <c r="AB1915" s="19" t="s">
        <v>0</v>
      </c>
      <c r="AC1915" s="18" t="str">
        <f t="shared" ref="AC1915:AC1940" si="943">IF(AD1915="null", "null", "classe.ifc")</f>
        <v>null</v>
      </c>
      <c r="AD1915" s="19" t="s">
        <v>0</v>
      </c>
      <c r="AE1915" s="18" t="str">
        <f t="shared" si="937"/>
        <v>null</v>
      </c>
      <c r="AF1915" s="75" t="s">
        <v>0</v>
      </c>
      <c r="AG1915" s="38" t="s">
        <v>8872</v>
      </c>
    </row>
    <row r="1916" spans="1:33" ht="6" customHeight="1" x14ac:dyDescent="0.4">
      <c r="A1916" s="4">
        <f>ROW()</f>
        <v>1916</v>
      </c>
      <c r="B1916" s="9" t="s">
        <v>27</v>
      </c>
      <c r="C1916" s="44" t="str">
        <f t="shared" si="941"/>
        <v>p.orçamentar</v>
      </c>
      <c r="D1916" s="6" t="str">
        <f t="shared" si="936"/>
        <v>é.sinapi.código.de.insumo</v>
      </c>
      <c r="E1916" s="8" t="s">
        <v>28</v>
      </c>
      <c r="F1916" s="34" t="str">
        <f t="shared" si="935"/>
        <v>d.orçamentar</v>
      </c>
      <c r="G1916" s="53" t="s">
        <v>3123</v>
      </c>
      <c r="H1916" s="34" t="s">
        <v>1581</v>
      </c>
      <c r="I1916" s="92" t="str">
        <f t="shared" si="902"/>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97"/>
        <v>Propriedade destinada a orçamentar: é.sinapi.código.de.insumo</v>
      </c>
      <c r="V1916" s="5" t="str">
        <f t="shared" si="898"/>
        <v>Dado para orçamentar:  sinapi.código.de.insumo  Deve ser formatado como (rdfs:Literal  or  xsd:string)</v>
      </c>
      <c r="W1916" s="69" t="s">
        <v>5922</v>
      </c>
      <c r="X1916" s="17" t="str">
        <f t="shared" si="929"/>
        <v>d.orçam.136</v>
      </c>
      <c r="Y1916" s="17" t="str">
        <f t="shared" si="930"/>
        <v>Ação de orçamentar</v>
      </c>
      <c r="Z1916" s="62" t="s">
        <v>3181</v>
      </c>
      <c r="AA1916" s="18" t="str">
        <f t="shared" si="942"/>
        <v>null</v>
      </c>
      <c r="AB1916" s="19" t="s">
        <v>0</v>
      </c>
      <c r="AC1916" s="18" t="str">
        <f t="shared" si="943"/>
        <v>null</v>
      </c>
      <c r="AD1916" s="19" t="s">
        <v>0</v>
      </c>
      <c r="AE1916" s="18" t="str">
        <f t="shared" si="937"/>
        <v>null</v>
      </c>
      <c r="AF1916" s="75" t="s">
        <v>0</v>
      </c>
      <c r="AG1916" s="38" t="s">
        <v>8873</v>
      </c>
    </row>
    <row r="1917" spans="1:33" ht="6" customHeight="1" x14ac:dyDescent="0.4">
      <c r="A1917" s="4">
        <f>ROW()</f>
        <v>1917</v>
      </c>
      <c r="B1917" s="9" t="s">
        <v>27</v>
      </c>
      <c r="C1917" s="44" t="str">
        <f t="shared" si="941"/>
        <v>p.orçamentar</v>
      </c>
      <c r="D1917" s="6" t="str">
        <f t="shared" si="936"/>
        <v>é.sinapi.código.representativo</v>
      </c>
      <c r="E1917" s="8" t="s">
        <v>28</v>
      </c>
      <c r="F1917" s="34" t="str">
        <f t="shared" si="935"/>
        <v>d.orçamentar</v>
      </c>
      <c r="G1917" s="14" t="s">
        <v>790</v>
      </c>
      <c r="H1917" s="34" t="s">
        <v>1581</v>
      </c>
      <c r="I1917" s="92" t="str">
        <f t="shared" si="902"/>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97"/>
        <v>Propriedade destinada a orçamentar: é.sinapi.código.representativo</v>
      </c>
      <c r="V1917" s="5" t="str">
        <f t="shared" si="898"/>
        <v>Dado para orçamentar:  sinapi.código.representativo  Deve ser formatado como (rdfs:Literal  or  xsd:string)</v>
      </c>
      <c r="W1917" s="69" t="s">
        <v>5923</v>
      </c>
      <c r="X1917" s="17" t="str">
        <f t="shared" si="929"/>
        <v>d.orçam.137</v>
      </c>
      <c r="Y1917" s="17" t="str">
        <f t="shared" si="930"/>
        <v>Ação de orçamentar</v>
      </c>
      <c r="Z1917" s="62" t="s">
        <v>3176</v>
      </c>
      <c r="AA1917" s="18" t="str">
        <f t="shared" si="942"/>
        <v>null</v>
      </c>
      <c r="AB1917" s="19" t="s">
        <v>0</v>
      </c>
      <c r="AC1917" s="18" t="str">
        <f t="shared" si="943"/>
        <v>null</v>
      </c>
      <c r="AD1917" s="19" t="s">
        <v>0</v>
      </c>
      <c r="AE1917" s="18" t="str">
        <f t="shared" si="937"/>
        <v>null</v>
      </c>
      <c r="AF1917" s="75" t="s">
        <v>0</v>
      </c>
      <c r="AG1917" s="38" t="s">
        <v>8874</v>
      </c>
    </row>
    <row r="1918" spans="1:33" ht="6" customHeight="1" x14ac:dyDescent="0.4">
      <c r="A1918" s="4">
        <f>ROW()</f>
        <v>1918</v>
      </c>
      <c r="B1918" s="9" t="s">
        <v>27</v>
      </c>
      <c r="C1918" s="44" t="str">
        <f t="shared" si="941"/>
        <v>p.orçamentar</v>
      </c>
      <c r="D1918" s="6" t="str">
        <f t="shared" si="936"/>
        <v>é.sinapi.data.de.emissão</v>
      </c>
      <c r="E1918" s="8" t="s">
        <v>28</v>
      </c>
      <c r="F1918" s="34" t="str">
        <f t="shared" si="935"/>
        <v>d.orçamentar</v>
      </c>
      <c r="G1918" s="53" t="s">
        <v>3120</v>
      </c>
      <c r="H1918" s="33" t="s">
        <v>33</v>
      </c>
      <c r="I1918" s="92" t="str">
        <f t="shared" si="902"/>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97"/>
        <v>Propriedade destinada a orçamentar: é.sinapi.data.de.emissão</v>
      </c>
      <c r="V1918" s="5" t="str">
        <f t="shared" si="898"/>
        <v>Dado para orçamentar:  sinapi.data.de.emissão  Deve ser formatado como (xsd:dateTime)</v>
      </c>
      <c r="W1918" s="69" t="s">
        <v>3105</v>
      </c>
      <c r="X1918" s="17" t="str">
        <f t="shared" si="929"/>
        <v>d.orçam.138</v>
      </c>
      <c r="Y1918" s="17" t="str">
        <f t="shared" si="930"/>
        <v>Ação de orçamentar</v>
      </c>
      <c r="Z1918" s="62" t="s">
        <v>3131</v>
      </c>
      <c r="AA1918" s="18" t="str">
        <f t="shared" si="942"/>
        <v>null</v>
      </c>
      <c r="AB1918" s="19" t="s">
        <v>0</v>
      </c>
      <c r="AC1918" s="18" t="str">
        <f t="shared" si="943"/>
        <v>null</v>
      </c>
      <c r="AD1918" s="19" t="s">
        <v>0</v>
      </c>
      <c r="AE1918" s="18" t="str">
        <f t="shared" si="937"/>
        <v>null</v>
      </c>
      <c r="AF1918" s="75" t="s">
        <v>0</v>
      </c>
      <c r="AG1918" s="38" t="s">
        <v>8875</v>
      </c>
    </row>
    <row r="1919" spans="1:33" ht="6" customHeight="1" x14ac:dyDescent="0.4">
      <c r="A1919" s="4">
        <f>ROW()</f>
        <v>1919</v>
      </c>
      <c r="B1919" s="9" t="s">
        <v>27</v>
      </c>
      <c r="C1919" s="44" t="str">
        <f t="shared" si="941"/>
        <v>p.orçamentar</v>
      </c>
      <c r="D1919" s="6" t="str">
        <f t="shared" si="936"/>
        <v>é.sinapi.descrição.de.composição</v>
      </c>
      <c r="E1919" s="8" t="s">
        <v>28</v>
      </c>
      <c r="F1919" s="34" t="str">
        <f t="shared" si="935"/>
        <v>d.orçamentar</v>
      </c>
      <c r="G1919" s="53" t="s">
        <v>3117</v>
      </c>
      <c r="H1919" s="34" t="s">
        <v>1581</v>
      </c>
      <c r="I1919" s="92" t="str">
        <f t="shared" si="902"/>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97"/>
        <v>Propriedade destinada a orçamentar: é.sinapi.descrição.de.composição</v>
      </c>
      <c r="V1919" s="5" t="str">
        <f t="shared" si="898"/>
        <v>Dado para orçamentar:  sinapi.descrição.de.composição  Deve ser formatado como (rdfs:Literal  or  xsd:string)</v>
      </c>
      <c r="W1919" s="69" t="s">
        <v>5924</v>
      </c>
      <c r="X1919" s="17" t="str">
        <f t="shared" si="929"/>
        <v>d.orçam.139</v>
      </c>
      <c r="Y1919" s="17" t="str">
        <f t="shared" si="930"/>
        <v>Ação de orçamentar</v>
      </c>
      <c r="Z1919" s="62" t="s">
        <v>3137</v>
      </c>
      <c r="AA1919" s="18" t="str">
        <f t="shared" si="942"/>
        <v>null</v>
      </c>
      <c r="AB1919" s="19" t="s">
        <v>0</v>
      </c>
      <c r="AC1919" s="18" t="str">
        <f t="shared" si="943"/>
        <v>null</v>
      </c>
      <c r="AD1919" s="19" t="s">
        <v>0</v>
      </c>
      <c r="AE1919" s="18" t="str">
        <f t="shared" si="937"/>
        <v>null</v>
      </c>
      <c r="AF1919" s="75" t="s">
        <v>0</v>
      </c>
      <c r="AG1919" s="38" t="s">
        <v>8876</v>
      </c>
    </row>
    <row r="1920" spans="1:33" ht="6" customHeight="1" x14ac:dyDescent="0.4">
      <c r="A1920" s="4">
        <f>ROW()</f>
        <v>1920</v>
      </c>
      <c r="B1920" s="9" t="s">
        <v>27</v>
      </c>
      <c r="C1920" s="44" t="str">
        <f t="shared" si="941"/>
        <v>p.orçamentar</v>
      </c>
      <c r="D1920" s="6" t="str">
        <f t="shared" si="936"/>
        <v>é.sinapi.descrição.de.grupo</v>
      </c>
      <c r="E1920" s="8" t="s">
        <v>28</v>
      </c>
      <c r="F1920" s="34" t="str">
        <f t="shared" si="935"/>
        <v>d.orçamentar</v>
      </c>
      <c r="G1920" s="53" t="s">
        <v>3118</v>
      </c>
      <c r="H1920" s="34" t="s">
        <v>1581</v>
      </c>
      <c r="I1920" s="92" t="str">
        <f t="shared" si="902"/>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97"/>
        <v>Propriedade destinada a orçamentar: é.sinapi.descrição.de.grupo</v>
      </c>
      <c r="V1920" s="5" t="str">
        <f t="shared" si="898"/>
        <v>Dado para orçamentar:  sinapi.descrição.de.grupo  Deve ser formatado como (rdfs:Literal  or  xsd:string)</v>
      </c>
      <c r="W1920" s="69" t="s">
        <v>3109</v>
      </c>
      <c r="X1920" s="17" t="str">
        <f t="shared" si="929"/>
        <v>d.orçam.140</v>
      </c>
      <c r="Y1920" s="17" t="str">
        <f t="shared" si="930"/>
        <v>Ação de orçamentar</v>
      </c>
      <c r="Z1920" s="62" t="s">
        <v>3136</v>
      </c>
      <c r="AA1920" s="18" t="str">
        <f t="shared" si="942"/>
        <v>null</v>
      </c>
      <c r="AB1920" s="19" t="s">
        <v>0</v>
      </c>
      <c r="AC1920" s="18" t="str">
        <f t="shared" si="943"/>
        <v>null</v>
      </c>
      <c r="AD1920" s="19" t="s">
        <v>0</v>
      </c>
      <c r="AE1920" s="18" t="str">
        <f t="shared" si="937"/>
        <v>null</v>
      </c>
      <c r="AF1920" s="75" t="s">
        <v>0</v>
      </c>
      <c r="AG1920" s="38" t="s">
        <v>8877</v>
      </c>
    </row>
    <row r="1921" spans="1:33" ht="6" customHeight="1" x14ac:dyDescent="0.4">
      <c r="A1921" s="4">
        <f>ROW()</f>
        <v>1921</v>
      </c>
      <c r="B1921" s="9" t="s">
        <v>27</v>
      </c>
      <c r="C1921" s="44" t="str">
        <f t="shared" si="941"/>
        <v>p.orçamentar</v>
      </c>
      <c r="D1921" s="6" t="str">
        <f t="shared" si="936"/>
        <v>é.sinapi.descrição.de.insumo</v>
      </c>
      <c r="E1921" s="8" t="s">
        <v>28</v>
      </c>
      <c r="F1921" s="34" t="str">
        <f t="shared" si="935"/>
        <v>d.orçamentar</v>
      </c>
      <c r="G1921" s="53" t="s">
        <v>3119</v>
      </c>
      <c r="H1921" s="34" t="s">
        <v>1581</v>
      </c>
      <c r="I1921" s="92" t="str">
        <f t="shared" si="902"/>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97"/>
        <v>Propriedade destinada a orçamentar: é.sinapi.descrição.de.insumo</v>
      </c>
      <c r="V1921" s="5" t="str">
        <f t="shared" si="898"/>
        <v>Dado para orçamentar:  sinapi.descrição.de.insumo  Deve ser formatado como (rdfs:Literal  or  xsd:string)</v>
      </c>
      <c r="W1921" s="69" t="s">
        <v>5925</v>
      </c>
      <c r="X1921" s="17" t="str">
        <f t="shared" si="929"/>
        <v>d.orçam.141</v>
      </c>
      <c r="Y1921" s="17" t="str">
        <f t="shared" si="930"/>
        <v>Ação de orçamentar</v>
      </c>
      <c r="Z1921" s="62" t="s">
        <v>3138</v>
      </c>
      <c r="AA1921" s="18" t="str">
        <f t="shared" si="942"/>
        <v>null</v>
      </c>
      <c r="AB1921" s="19" t="s">
        <v>0</v>
      </c>
      <c r="AC1921" s="18" t="str">
        <f t="shared" si="943"/>
        <v>null</v>
      </c>
      <c r="AD1921" s="19" t="s">
        <v>0</v>
      </c>
      <c r="AE1921" s="18" t="str">
        <f t="shared" si="937"/>
        <v>null</v>
      </c>
      <c r="AF1921" s="75" t="s">
        <v>0</v>
      </c>
      <c r="AG1921" s="38" t="s">
        <v>8878</v>
      </c>
    </row>
    <row r="1922" spans="1:33" ht="6" customHeight="1" x14ac:dyDescent="0.4">
      <c r="A1922" s="4">
        <f>ROW()</f>
        <v>1922</v>
      </c>
      <c r="B1922" s="9" t="s">
        <v>27</v>
      </c>
      <c r="C1922" s="44" t="str">
        <f t="shared" ref="C1922" si="944">SUBSTITUTE(F1922,"d.","p.")</f>
        <v>p.orçamentar</v>
      </c>
      <c r="D1922" s="6" t="str">
        <f t="shared" si="936"/>
        <v>é.sinapi.incidência</v>
      </c>
      <c r="E1922" s="8" t="s">
        <v>28</v>
      </c>
      <c r="F1922" s="34" t="str">
        <f t="shared" si="935"/>
        <v>d.orçamentar</v>
      </c>
      <c r="G1922" s="53" t="s">
        <v>3173</v>
      </c>
      <c r="H1922" s="34" t="s">
        <v>1581</v>
      </c>
      <c r="I1922" s="92" t="str">
        <f t="shared" si="902"/>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97"/>
        <v>Propriedade destinada a orçamentar: é.sinapi.incidência</v>
      </c>
      <c r="V1922" s="5" t="str">
        <f t="shared" si="898"/>
        <v>Dado para orçamentar:  sinapi.incidência  Deve ser formatado como (rdfs:Literal  or  xsd:string)</v>
      </c>
      <c r="W1922" s="69" t="s">
        <v>3174</v>
      </c>
      <c r="X1922" s="17" t="str">
        <f t="shared" si="929"/>
        <v>d.orçam.142</v>
      </c>
      <c r="Y1922" s="17" t="str">
        <f t="shared" si="930"/>
        <v>Ação de orçamentar</v>
      </c>
      <c r="Z1922" s="62" t="s">
        <v>3297</v>
      </c>
      <c r="AA1922" s="18" t="str">
        <f t="shared" ref="AA1922" si="945">IF(AB1922="null", "null", "categoria.revit")</f>
        <v>null</v>
      </c>
      <c r="AB1922" s="19" t="s">
        <v>0</v>
      </c>
      <c r="AC1922" s="18" t="str">
        <f t="shared" ref="AC1922" si="946">IF(AD1922="null", "null", "classe.ifc")</f>
        <v>null</v>
      </c>
      <c r="AD1922" s="19" t="s">
        <v>0</v>
      </c>
      <c r="AE1922" s="18" t="str">
        <f t="shared" si="937"/>
        <v>null</v>
      </c>
      <c r="AF1922" s="75" t="s">
        <v>0</v>
      </c>
      <c r="AG1922" s="38" t="s">
        <v>7407</v>
      </c>
    </row>
    <row r="1923" spans="1:33" ht="6" customHeight="1" x14ac:dyDescent="0.4">
      <c r="A1923" s="4">
        <f>ROW()</f>
        <v>1923</v>
      </c>
      <c r="B1923" s="9" t="s">
        <v>27</v>
      </c>
      <c r="C1923" s="44" t="str">
        <f t="shared" si="941"/>
        <v>p.orçamentar</v>
      </c>
      <c r="D1923" s="6" t="str">
        <f t="shared" si="936"/>
        <v>é.sinapi.manutenção</v>
      </c>
      <c r="E1923" s="8" t="s">
        <v>28</v>
      </c>
      <c r="F1923" s="34" t="str">
        <f t="shared" si="935"/>
        <v>d.orçamentar</v>
      </c>
      <c r="G1923" s="53" t="s">
        <v>3115</v>
      </c>
      <c r="H1923" s="34" t="s">
        <v>1581</v>
      </c>
      <c r="I1923" s="92" t="str">
        <f t="shared" si="902"/>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97"/>
        <v>Propriedade destinada a orçamentar: é.sinapi.manutenção</v>
      </c>
      <c r="V1923" s="5" t="str">
        <f t="shared" si="898"/>
        <v>Dado para orçamentar:  sinapi.manutenção  Deve ser formatado como (rdfs:Literal  or  xsd:string)</v>
      </c>
      <c r="W1923" s="69" t="s">
        <v>3107</v>
      </c>
      <c r="X1923" s="17" t="str">
        <f t="shared" ref="X1923:X1986" si="947">IF(F1922&lt;&gt;F1923,_xlfn.CONCAT(RIGHT(LEFT(F1923,7),7),".100"),_xlfn.CONCAT(RIGHT(LEFT(F1923,7),7),".",SUM(VALUE(RIGHT(X1922,3)),1)))</f>
        <v>d.orçam.143</v>
      </c>
      <c r="Y1923" s="17" t="str">
        <f t="shared" ref="Y1923:Y1986" si="948">_xlfn.CONCAT("Ação de ", SUBSTITUTE(F1923, "d.",  ""))</f>
        <v>Ação de orçamentar</v>
      </c>
      <c r="Z1923" s="62" t="s">
        <v>4798</v>
      </c>
      <c r="AA1923" s="18" t="str">
        <f t="shared" si="942"/>
        <v>null</v>
      </c>
      <c r="AB1923" s="19" t="s">
        <v>0</v>
      </c>
      <c r="AC1923" s="18" t="str">
        <f t="shared" si="943"/>
        <v>null</v>
      </c>
      <c r="AD1923" s="19" t="s">
        <v>0</v>
      </c>
      <c r="AE1923" s="18" t="str">
        <f t="shared" si="937"/>
        <v>null</v>
      </c>
      <c r="AF1923" s="75" t="s">
        <v>0</v>
      </c>
      <c r="AG1923" s="38" t="s">
        <v>8879</v>
      </c>
    </row>
    <row r="1924" spans="1:33" ht="6" customHeight="1" x14ac:dyDescent="0.4">
      <c r="A1924" s="4">
        <f>ROW()</f>
        <v>1924</v>
      </c>
      <c r="B1924" s="9" t="s">
        <v>27</v>
      </c>
      <c r="C1924" s="44" t="str">
        <f t="shared" si="941"/>
        <v>p.orçamentar</v>
      </c>
      <c r="D1924" s="6" t="str">
        <f t="shared" si="936"/>
        <v>é.sinapi.mês.de.referência</v>
      </c>
      <c r="E1924" s="8" t="s">
        <v>28</v>
      </c>
      <c r="F1924" s="34" t="str">
        <f t="shared" si="935"/>
        <v>d.orçamentar</v>
      </c>
      <c r="G1924" s="53" t="s">
        <v>3110</v>
      </c>
      <c r="H1924" s="33" t="s">
        <v>33</v>
      </c>
      <c r="I1924" s="92" t="str">
        <f t="shared" si="902"/>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97"/>
        <v>Propriedade destinada a orçamentar: é.sinapi.mês.de.referência</v>
      </c>
      <c r="V1924" s="5" t="str">
        <f t="shared" si="898"/>
        <v>Dado para orçamentar:  sinapi.mês.de.referência  Deve ser formatado como (xsd:dateTime)</v>
      </c>
      <c r="W1924" s="69" t="s">
        <v>3104</v>
      </c>
      <c r="X1924" s="17" t="str">
        <f t="shared" si="947"/>
        <v>d.orçam.144</v>
      </c>
      <c r="Y1924" s="17" t="str">
        <f t="shared" si="948"/>
        <v>Ação de orçamentar</v>
      </c>
      <c r="Z1924" s="62" t="s">
        <v>3132</v>
      </c>
      <c r="AA1924" s="18" t="str">
        <f t="shared" si="942"/>
        <v>null</v>
      </c>
      <c r="AB1924" s="19" t="s">
        <v>0</v>
      </c>
      <c r="AC1924" s="18" t="str">
        <f t="shared" si="943"/>
        <v>null</v>
      </c>
      <c r="AD1924" s="19" t="s">
        <v>0</v>
      </c>
      <c r="AE1924" s="18" t="str">
        <f t="shared" si="937"/>
        <v>null</v>
      </c>
      <c r="AF1924" s="75" t="s">
        <v>0</v>
      </c>
      <c r="AG1924" s="38" t="s">
        <v>8880</v>
      </c>
    </row>
    <row r="1925" spans="1:33" ht="6" customHeight="1" x14ac:dyDescent="0.4">
      <c r="A1925" s="4">
        <f>ROW()</f>
        <v>1925</v>
      </c>
      <c r="B1925" s="9" t="s">
        <v>27</v>
      </c>
      <c r="C1925" s="44" t="str">
        <f t="shared" ref="C1925" si="949">SUBSTITUTE(F1925,"d.","p.")</f>
        <v>p.orçamentar</v>
      </c>
      <c r="D1925" s="6" t="str">
        <f t="shared" si="936"/>
        <v>é.sinapi.origem.do.preço</v>
      </c>
      <c r="E1925" s="8" t="s">
        <v>28</v>
      </c>
      <c r="F1925" s="34" t="str">
        <f t="shared" si="935"/>
        <v>d.orçamentar</v>
      </c>
      <c r="G1925" s="53" t="s">
        <v>3141</v>
      </c>
      <c r="H1925" s="34" t="s">
        <v>1581</v>
      </c>
      <c r="I1925" s="92" t="str">
        <f t="shared" si="902"/>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97"/>
        <v>Propriedade destinada a orçamentar: é.sinapi.origem.do.preço</v>
      </c>
      <c r="V1925" s="5" t="str">
        <f t="shared" si="898"/>
        <v>Dado para orçamentar:  sinapi.origem.do.preço  Deve ser formatado como (rdfs:Literal  or  xsd:string)</v>
      </c>
      <c r="W1925" s="69" t="s">
        <v>3140</v>
      </c>
      <c r="X1925" s="17" t="str">
        <f t="shared" si="947"/>
        <v>d.orçam.145</v>
      </c>
      <c r="Y1925" s="17" t="str">
        <f t="shared" si="948"/>
        <v>Ação de orçamentar</v>
      </c>
      <c r="Z1925" s="62" t="s">
        <v>4799</v>
      </c>
      <c r="AA1925" s="18" t="str">
        <f t="shared" ref="AA1925" si="950">IF(AB1925="null", "null", "categoria.revit")</f>
        <v>null</v>
      </c>
      <c r="AB1925" s="19" t="s">
        <v>0</v>
      </c>
      <c r="AC1925" s="18" t="str">
        <f t="shared" ref="AC1925" si="951">IF(AD1925="null", "null", "classe.ifc")</f>
        <v>null</v>
      </c>
      <c r="AD1925" s="19" t="s">
        <v>0</v>
      </c>
      <c r="AE1925" s="18" t="str">
        <f t="shared" si="937"/>
        <v>null</v>
      </c>
      <c r="AF1925" s="75" t="s">
        <v>0</v>
      </c>
      <c r="AG1925" s="38" t="s">
        <v>8881</v>
      </c>
    </row>
    <row r="1926" spans="1:33" ht="6" customHeight="1" x14ac:dyDescent="0.4">
      <c r="A1926" s="4">
        <f>ROW()</f>
        <v>1926</v>
      </c>
      <c r="B1926" s="9" t="s">
        <v>27</v>
      </c>
      <c r="C1926" s="44" t="str">
        <f t="shared" si="941"/>
        <v>p.orçamentar</v>
      </c>
      <c r="D1926" s="6" t="str">
        <f t="shared" si="936"/>
        <v>é.sinapi.situação</v>
      </c>
      <c r="E1926" s="8" t="s">
        <v>28</v>
      </c>
      <c r="F1926" s="34" t="str">
        <f t="shared" si="935"/>
        <v>d.orçamentar</v>
      </c>
      <c r="G1926" s="53" t="s">
        <v>3116</v>
      </c>
      <c r="H1926" s="34" t="s">
        <v>1581</v>
      </c>
      <c r="I1926" s="92" t="str">
        <f t="shared" si="902"/>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97"/>
        <v>Propriedade destinada a orçamentar: é.sinapi.situação</v>
      </c>
      <c r="V1926" s="5" t="str">
        <f t="shared" si="898"/>
        <v>Dado para orçamentar:  sinapi.situação  Deve ser formatado como (rdfs:Literal  or  xsd:string)</v>
      </c>
      <c r="W1926" s="69" t="s">
        <v>3108</v>
      </c>
      <c r="X1926" s="17" t="str">
        <f t="shared" si="947"/>
        <v>d.orçam.146</v>
      </c>
      <c r="Y1926" s="17" t="str">
        <f t="shared" si="948"/>
        <v>Ação de orçamentar</v>
      </c>
      <c r="Z1926" s="62" t="s">
        <v>4800</v>
      </c>
      <c r="AA1926" s="18" t="str">
        <f t="shared" si="942"/>
        <v>null</v>
      </c>
      <c r="AB1926" s="19" t="s">
        <v>0</v>
      </c>
      <c r="AC1926" s="18" t="str">
        <f t="shared" si="943"/>
        <v>null</v>
      </c>
      <c r="AD1926" s="19" t="s">
        <v>0</v>
      </c>
      <c r="AE1926" s="18" t="str">
        <f t="shared" si="937"/>
        <v>null</v>
      </c>
      <c r="AF1926" s="75" t="s">
        <v>0</v>
      </c>
      <c r="AG1926" s="38" t="s">
        <v>8882</v>
      </c>
    </row>
    <row r="1927" spans="1:33" ht="6" customHeight="1" x14ac:dyDescent="0.4">
      <c r="A1927" s="4">
        <f>ROW()</f>
        <v>1927</v>
      </c>
      <c r="B1927" s="9" t="s">
        <v>27</v>
      </c>
      <c r="C1927" s="44" t="str">
        <f t="shared" si="941"/>
        <v>p.orçamentar</v>
      </c>
      <c r="D1927" s="6" t="str">
        <f t="shared" si="936"/>
        <v>é.sinapi.tipo</v>
      </c>
      <c r="E1927" s="8" t="s">
        <v>28</v>
      </c>
      <c r="F1927" s="34" t="str">
        <f t="shared" si="935"/>
        <v>d.orçamentar</v>
      </c>
      <c r="G1927" s="53" t="s">
        <v>3113</v>
      </c>
      <c r="H1927" s="34" t="s">
        <v>1581</v>
      </c>
      <c r="I1927" s="92" t="str">
        <f t="shared" si="902"/>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97"/>
        <v>Propriedade destinada a orçamentar: é.sinapi.tipo</v>
      </c>
      <c r="V1927" s="5" t="str">
        <f t="shared" si="898"/>
        <v>Dado para orçamentar:  sinapi.tipo  Deve ser formatado como (rdfs:Literal  or  xsd:string)</v>
      </c>
      <c r="W1927" s="69" t="s">
        <v>3106</v>
      </c>
      <c r="X1927" s="17" t="str">
        <f t="shared" si="947"/>
        <v>d.orçam.147</v>
      </c>
      <c r="Y1927" s="17" t="str">
        <f t="shared" si="948"/>
        <v>Ação de orçamentar</v>
      </c>
      <c r="Z1927" s="62" t="s">
        <v>4801</v>
      </c>
      <c r="AA1927" s="18" t="str">
        <f t="shared" si="942"/>
        <v>null</v>
      </c>
      <c r="AB1927" s="19" t="s">
        <v>0</v>
      </c>
      <c r="AC1927" s="18" t="str">
        <f t="shared" si="943"/>
        <v>null</v>
      </c>
      <c r="AD1927" s="19" t="s">
        <v>0</v>
      </c>
      <c r="AE1927" s="18" t="str">
        <f t="shared" si="937"/>
        <v>null</v>
      </c>
      <c r="AF1927" s="75" t="s">
        <v>0</v>
      </c>
      <c r="AG1927" s="38" t="s">
        <v>8883</v>
      </c>
    </row>
    <row r="1928" spans="1:33" ht="6" customHeight="1" x14ac:dyDescent="0.4">
      <c r="A1928" s="4">
        <f>ROW()</f>
        <v>1928</v>
      </c>
      <c r="B1928" s="9" t="s">
        <v>27</v>
      </c>
      <c r="C1928" s="44" t="str">
        <f t="shared" si="941"/>
        <v>p.orçamentar</v>
      </c>
      <c r="D1928" s="6" t="str">
        <f t="shared" si="936"/>
        <v>é.sinapi.uf</v>
      </c>
      <c r="E1928" s="8" t="s">
        <v>28</v>
      </c>
      <c r="F1928" s="34" t="str">
        <f t="shared" si="935"/>
        <v>d.orçamentar</v>
      </c>
      <c r="G1928" s="53" t="s">
        <v>3114</v>
      </c>
      <c r="H1928" s="34" t="s">
        <v>1581</v>
      </c>
      <c r="I1928" s="92" t="str">
        <f t="shared" si="902"/>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97"/>
        <v>Propriedade destinada a orçamentar: é.sinapi.uf</v>
      </c>
      <c r="V1928" s="5" t="str">
        <f t="shared" si="898"/>
        <v>Dado para orçamentar:  sinapi.uf  Deve ser formatado como (rdfs:Literal  or  xsd:string)</v>
      </c>
      <c r="W1928" s="69" t="s">
        <v>3102</v>
      </c>
      <c r="X1928" s="17" t="str">
        <f t="shared" si="947"/>
        <v>d.orçam.148</v>
      </c>
      <c r="Y1928" s="17" t="str">
        <f t="shared" si="948"/>
        <v>Ação de orçamentar</v>
      </c>
      <c r="Z1928" s="62" t="s">
        <v>3133</v>
      </c>
      <c r="AA1928" s="18" t="str">
        <f t="shared" si="942"/>
        <v>null</v>
      </c>
      <c r="AB1928" s="19" t="s">
        <v>0</v>
      </c>
      <c r="AC1928" s="18" t="str">
        <f t="shared" si="943"/>
        <v>null</v>
      </c>
      <c r="AD1928" s="19" t="s">
        <v>0</v>
      </c>
      <c r="AE1928" s="18" t="str">
        <f t="shared" si="937"/>
        <v>null</v>
      </c>
      <c r="AF1928" s="75" t="s">
        <v>0</v>
      </c>
      <c r="AG1928" s="38" t="s">
        <v>8884</v>
      </c>
    </row>
    <row r="1929" spans="1:33" ht="6" customHeight="1" x14ac:dyDescent="0.4">
      <c r="A1929" s="4">
        <f>ROW()</f>
        <v>1929</v>
      </c>
      <c r="B1929" s="9" t="s">
        <v>27</v>
      </c>
      <c r="C1929" s="44" t="str">
        <f t="shared" si="941"/>
        <v>p.orçamentar</v>
      </c>
      <c r="D1929" s="6" t="str">
        <f t="shared" si="936"/>
        <v>é.sinapi.unidade</v>
      </c>
      <c r="E1929" s="8" t="s">
        <v>28</v>
      </c>
      <c r="F1929" s="34" t="str">
        <f t="shared" si="935"/>
        <v>d.orçamentar</v>
      </c>
      <c r="G1929" s="53" t="s">
        <v>3111</v>
      </c>
      <c r="H1929" s="34" t="s">
        <v>1581</v>
      </c>
      <c r="I1929" s="92" t="str">
        <f t="shared" si="902"/>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ref="U1929:U2011" si="952">_xlfn.CONCAT("Propriedade destinada a ",MID(C1929,FIND("p.",C1929,1)+2,100),": ",D1929)</f>
        <v>Propriedade destinada a orçamentar: é.sinapi.unidade</v>
      </c>
      <c r="V1929" s="5" t="str">
        <f t="shared" ref="V1929:V2011" si="953">_xlfn.CONCAT("Dado para ",MID(F1929,FIND("d.",F1929,1)+2,100),":  ",G1929, "  Deve ser formatado como (",H1929, ")")</f>
        <v>Dado para orçamentar:  sinapi.unidade  Deve ser formatado como (rdfs:Literal  or  xsd:string)</v>
      </c>
      <c r="W1929" s="69" t="s">
        <v>3103</v>
      </c>
      <c r="X1929" s="17" t="str">
        <f t="shared" si="947"/>
        <v>d.orçam.149</v>
      </c>
      <c r="Y1929" s="17" t="str">
        <f t="shared" si="948"/>
        <v>Ação de orçamentar</v>
      </c>
      <c r="Z1929" s="62" t="s">
        <v>4802</v>
      </c>
      <c r="AA1929" s="18" t="str">
        <f t="shared" si="942"/>
        <v>null</v>
      </c>
      <c r="AB1929" s="19" t="s">
        <v>0</v>
      </c>
      <c r="AC1929" s="18" t="str">
        <f t="shared" si="943"/>
        <v>null</v>
      </c>
      <c r="AD1929" s="19" t="s">
        <v>0</v>
      </c>
      <c r="AE1929" s="18" t="str">
        <f t="shared" si="937"/>
        <v>null</v>
      </c>
      <c r="AF1929" s="75" t="s">
        <v>0</v>
      </c>
      <c r="AG1929" s="38" t="s">
        <v>8885</v>
      </c>
    </row>
    <row r="1930" spans="1:33" ht="6" customHeight="1" x14ac:dyDescent="0.4">
      <c r="A1930" s="4">
        <f>ROW()</f>
        <v>1930</v>
      </c>
      <c r="B1930" s="9" t="s">
        <v>27</v>
      </c>
      <c r="C1930" s="44" t="str">
        <f t="shared" si="941"/>
        <v>p.orçamentar</v>
      </c>
      <c r="D1930" s="6" t="str">
        <f t="shared" si="936"/>
        <v>é.valor.da.comissão</v>
      </c>
      <c r="E1930" s="8" t="s">
        <v>28</v>
      </c>
      <c r="F1930" s="34" t="str">
        <f t="shared" si="935"/>
        <v>d.orçamentar</v>
      </c>
      <c r="G1930" s="14" t="s">
        <v>791</v>
      </c>
      <c r="H1930" s="33" t="s">
        <v>35</v>
      </c>
      <c r="I1930" s="92" t="str">
        <f t="shared" si="902"/>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952"/>
        <v>Propriedade destinada a orçamentar: é.valor.da.comissão</v>
      </c>
      <c r="V1930" s="5" t="str">
        <f t="shared" si="953"/>
        <v>Dado para orçamentar:  valor.da.comissão  Deve ser formatado como (xsd:double)</v>
      </c>
      <c r="W1930" s="69" t="s">
        <v>5926</v>
      </c>
      <c r="X1930" s="17" t="str">
        <f t="shared" si="947"/>
        <v>d.orçam.150</v>
      </c>
      <c r="Y1930" s="17" t="str">
        <f t="shared" si="948"/>
        <v>Ação de orçamentar</v>
      </c>
      <c r="Z1930" s="62" t="s">
        <v>1393</v>
      </c>
      <c r="AA1930" s="18" t="str">
        <f t="shared" si="942"/>
        <v>null</v>
      </c>
      <c r="AB1930" s="19" t="s">
        <v>0</v>
      </c>
      <c r="AC1930" s="18" t="str">
        <f t="shared" si="943"/>
        <v>null</v>
      </c>
      <c r="AD1930" s="19" t="s">
        <v>0</v>
      </c>
      <c r="AE1930" s="18" t="str">
        <f t="shared" si="937"/>
        <v>null</v>
      </c>
      <c r="AF1930" s="75" t="s">
        <v>0</v>
      </c>
      <c r="AG1930" s="38" t="s">
        <v>8886</v>
      </c>
    </row>
    <row r="1931" spans="1:33" ht="6" customHeight="1" x14ac:dyDescent="0.4">
      <c r="A1931" s="4">
        <f>ROW()</f>
        <v>1931</v>
      </c>
      <c r="B1931" s="9" t="s">
        <v>27</v>
      </c>
      <c r="C1931" s="44" t="str">
        <f t="shared" si="941"/>
        <v>p.orçamentar</v>
      </c>
      <c r="D1931" s="6" t="str">
        <f t="shared" si="936"/>
        <v>é.valor.da.gratificação</v>
      </c>
      <c r="E1931" s="8" t="s">
        <v>28</v>
      </c>
      <c r="F1931" s="34" t="str">
        <f t="shared" si="935"/>
        <v>d.orçamentar</v>
      </c>
      <c r="G1931" s="14" t="s">
        <v>792</v>
      </c>
      <c r="H1931" s="33" t="s">
        <v>35</v>
      </c>
      <c r="I1931" s="92" t="str">
        <f t="shared" si="902"/>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952"/>
        <v>Propriedade destinada a orçamentar: é.valor.da.gratificação</v>
      </c>
      <c r="V1931" s="5" t="str">
        <f t="shared" si="953"/>
        <v>Dado para orçamentar:  valor.da.gratificação  Deve ser formatado como (xsd:double)</v>
      </c>
      <c r="W1931" s="69" t="s">
        <v>5927</v>
      </c>
      <c r="X1931" s="17" t="str">
        <f t="shared" si="947"/>
        <v>d.orçam.151</v>
      </c>
      <c r="Y1931" s="17" t="str">
        <f t="shared" si="948"/>
        <v>Ação de orçamentar</v>
      </c>
      <c r="Z1931" s="62" t="s">
        <v>3134</v>
      </c>
      <c r="AA1931" s="18" t="str">
        <f t="shared" si="942"/>
        <v>null</v>
      </c>
      <c r="AB1931" s="19" t="s">
        <v>0</v>
      </c>
      <c r="AC1931" s="18" t="str">
        <f t="shared" si="943"/>
        <v>null</v>
      </c>
      <c r="AD1931" s="19" t="s">
        <v>0</v>
      </c>
      <c r="AE1931" s="18" t="str">
        <f t="shared" si="937"/>
        <v>null</v>
      </c>
      <c r="AF1931" s="75" t="s">
        <v>0</v>
      </c>
      <c r="AG1931" s="38" t="s">
        <v>8887</v>
      </c>
    </row>
    <row r="1932" spans="1:33" ht="6" customHeight="1" x14ac:dyDescent="0.4">
      <c r="A1932" s="4">
        <f>ROW()</f>
        <v>1932</v>
      </c>
      <c r="B1932" s="9" t="s">
        <v>27</v>
      </c>
      <c r="C1932" s="44" t="str">
        <f t="shared" si="941"/>
        <v>p.orçamentar</v>
      </c>
      <c r="D1932" s="6" t="str">
        <f t="shared" si="936"/>
        <v>é.valor.do.bônus</v>
      </c>
      <c r="E1932" s="8" t="s">
        <v>28</v>
      </c>
      <c r="F1932" s="34" t="str">
        <f t="shared" si="935"/>
        <v>d.orçamentar</v>
      </c>
      <c r="G1932" s="14" t="s">
        <v>795</v>
      </c>
      <c r="H1932" s="33" t="s">
        <v>35</v>
      </c>
      <c r="I1932" s="92" t="str">
        <f t="shared" si="902"/>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952"/>
        <v>Propriedade destinada a orçamentar: é.valor.do.bônus</v>
      </c>
      <c r="V1932" s="5" t="str">
        <f t="shared" si="953"/>
        <v>Dado para orçamentar:  valor.do.bônus  Deve ser formatado como (xsd:double)</v>
      </c>
      <c r="W1932" s="69" t="s">
        <v>5928</v>
      </c>
      <c r="X1932" s="17" t="str">
        <f t="shared" si="947"/>
        <v>d.orçam.152</v>
      </c>
      <c r="Y1932" s="17" t="str">
        <f t="shared" si="948"/>
        <v>Ação de orçamentar</v>
      </c>
      <c r="Z1932" s="62" t="s">
        <v>1394</v>
      </c>
      <c r="AA1932" s="18" t="str">
        <f t="shared" si="942"/>
        <v>null</v>
      </c>
      <c r="AB1932" s="19" t="s">
        <v>0</v>
      </c>
      <c r="AC1932" s="18" t="str">
        <f t="shared" si="943"/>
        <v>null</v>
      </c>
      <c r="AD1932" s="19" t="s">
        <v>0</v>
      </c>
      <c r="AE1932" s="18" t="str">
        <f t="shared" si="937"/>
        <v>null</v>
      </c>
      <c r="AF1932" s="75" t="s">
        <v>0</v>
      </c>
      <c r="AG1932" s="38" t="s">
        <v>8888</v>
      </c>
    </row>
    <row r="1933" spans="1:33" ht="6" customHeight="1" x14ac:dyDescent="0.4">
      <c r="A1933" s="4">
        <f>ROW()</f>
        <v>1933</v>
      </c>
      <c r="B1933" s="9" t="s">
        <v>27</v>
      </c>
      <c r="C1933" s="44" t="str">
        <f t="shared" si="941"/>
        <v>p.orçamentar</v>
      </c>
      <c r="D1933" s="6" t="str">
        <f t="shared" si="936"/>
        <v>é.valor.do.lucro</v>
      </c>
      <c r="E1933" s="8" t="s">
        <v>28</v>
      </c>
      <c r="F1933" s="34" t="str">
        <f t="shared" si="935"/>
        <v>d.orçamentar</v>
      </c>
      <c r="G1933" s="14" t="s">
        <v>793</v>
      </c>
      <c r="H1933" s="33" t="s">
        <v>35</v>
      </c>
      <c r="I1933" s="92" t="str">
        <f t="shared" si="902"/>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952"/>
        <v>Propriedade destinada a orçamentar: é.valor.do.lucro</v>
      </c>
      <c r="V1933" s="5" t="str">
        <f t="shared" si="953"/>
        <v>Dado para orçamentar:  valor.do.lucro  Deve ser formatado como (xsd:double)</v>
      </c>
      <c r="W1933" s="69" t="s">
        <v>5929</v>
      </c>
      <c r="X1933" s="17" t="str">
        <f t="shared" si="947"/>
        <v>d.orçam.153</v>
      </c>
      <c r="Y1933" s="17" t="str">
        <f t="shared" si="948"/>
        <v>Ação de orçamentar</v>
      </c>
      <c r="Z1933" s="62" t="s">
        <v>3135</v>
      </c>
      <c r="AA1933" s="18" t="str">
        <f t="shared" si="942"/>
        <v>null</v>
      </c>
      <c r="AB1933" s="19" t="s">
        <v>0</v>
      </c>
      <c r="AC1933" s="18" t="str">
        <f t="shared" si="943"/>
        <v>null</v>
      </c>
      <c r="AD1933" s="19" t="s">
        <v>0</v>
      </c>
      <c r="AE1933" s="18" t="str">
        <f t="shared" si="937"/>
        <v>null</v>
      </c>
      <c r="AF1933" s="75" t="s">
        <v>0</v>
      </c>
      <c r="AG1933" s="38" t="s">
        <v>8889</v>
      </c>
    </row>
    <row r="1934" spans="1:33" ht="6" customHeight="1" x14ac:dyDescent="0.4">
      <c r="A1934" s="4">
        <f>ROW()</f>
        <v>1934</v>
      </c>
      <c r="B1934" s="9" t="s">
        <v>27</v>
      </c>
      <c r="C1934" s="44" t="str">
        <f t="shared" si="941"/>
        <v>p.orçamentar</v>
      </c>
      <c r="D1934" s="6" t="str">
        <f t="shared" si="936"/>
        <v>é.valor.do.salário</v>
      </c>
      <c r="E1934" s="8" t="s">
        <v>28</v>
      </c>
      <c r="F1934" s="34" t="str">
        <f t="shared" si="935"/>
        <v>d.orçamentar</v>
      </c>
      <c r="G1934" s="14" t="s">
        <v>794</v>
      </c>
      <c r="H1934" s="33" t="s">
        <v>35</v>
      </c>
      <c r="I1934" s="92" t="str">
        <f t="shared" si="902"/>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952"/>
        <v>Propriedade destinada a orçamentar: é.valor.do.salário</v>
      </c>
      <c r="V1934" s="5" t="str">
        <f t="shared" si="953"/>
        <v>Dado para orçamentar:  valor.do.salário  Deve ser formatado como (xsd:double)</v>
      </c>
      <c r="W1934" s="69" t="s">
        <v>5930</v>
      </c>
      <c r="X1934" s="17" t="str">
        <f t="shared" si="947"/>
        <v>d.orçam.154</v>
      </c>
      <c r="Y1934" s="17" t="str">
        <f t="shared" si="948"/>
        <v>Ação de orçamentar</v>
      </c>
      <c r="Z1934" s="62" t="s">
        <v>4754</v>
      </c>
      <c r="AA1934" s="18" t="str">
        <f t="shared" si="942"/>
        <v>null</v>
      </c>
      <c r="AB1934" s="19" t="s">
        <v>0</v>
      </c>
      <c r="AC1934" s="18" t="str">
        <f t="shared" si="943"/>
        <v>null</v>
      </c>
      <c r="AD1934" s="19" t="s">
        <v>0</v>
      </c>
      <c r="AE1934" s="18" t="str">
        <f t="shared" si="937"/>
        <v>null</v>
      </c>
      <c r="AF1934" s="75" t="s">
        <v>0</v>
      </c>
      <c r="AG1934" s="38" t="s">
        <v>8890</v>
      </c>
    </row>
    <row r="1935" spans="1:33" ht="6" customHeight="1" x14ac:dyDescent="0.4">
      <c r="A1935" s="4">
        <f>ROW()</f>
        <v>1935</v>
      </c>
      <c r="B1935" s="9" t="s">
        <v>27</v>
      </c>
      <c r="C1935" s="44" t="str">
        <f t="shared" si="941"/>
        <v>p.orçamentar</v>
      </c>
      <c r="D1935" s="6" t="str">
        <f t="shared" si="936"/>
        <v>é.verba.de.bolsa.docente</v>
      </c>
      <c r="E1935" s="8" t="s">
        <v>28</v>
      </c>
      <c r="F1935" s="34" t="str">
        <f t="shared" si="935"/>
        <v>d.orçamentar</v>
      </c>
      <c r="G1935" s="16" t="s">
        <v>1557</v>
      </c>
      <c r="H1935" s="33" t="s">
        <v>35</v>
      </c>
      <c r="I1935" s="92" t="str">
        <f t="shared" si="902"/>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952"/>
        <v>Propriedade destinada a orçamentar: é.verba.de.bolsa.docente</v>
      </c>
      <c r="V1935" s="5" t="str">
        <f t="shared" si="953"/>
        <v>Dado para orçamentar:  verba.de.bolsa.docente  Deve ser formatado como (xsd:double)</v>
      </c>
      <c r="W1935" s="69" t="s">
        <v>5931</v>
      </c>
      <c r="X1935" s="17" t="str">
        <f t="shared" si="947"/>
        <v>d.orçam.155</v>
      </c>
      <c r="Y1935" s="17" t="str">
        <f t="shared" si="948"/>
        <v>Ação de orçamentar</v>
      </c>
      <c r="Z1935" s="62" t="s">
        <v>3124</v>
      </c>
      <c r="AA1935" s="18" t="str">
        <f t="shared" si="942"/>
        <v>null</v>
      </c>
      <c r="AB1935" s="19" t="s">
        <v>0</v>
      </c>
      <c r="AC1935" s="18" t="str">
        <f t="shared" si="943"/>
        <v>null</v>
      </c>
      <c r="AD1935" s="19" t="s">
        <v>0</v>
      </c>
      <c r="AE1935" s="18" t="str">
        <f t="shared" si="937"/>
        <v>null</v>
      </c>
      <c r="AF1935" s="75" t="s">
        <v>0</v>
      </c>
      <c r="AG1935" s="38" t="s">
        <v>8891</v>
      </c>
    </row>
    <row r="1936" spans="1:33" ht="6" customHeight="1" x14ac:dyDescent="0.4">
      <c r="A1936" s="4">
        <f>ROW()</f>
        <v>1936</v>
      </c>
      <c r="B1936" s="9" t="s">
        <v>27</v>
      </c>
      <c r="C1936" s="44" t="str">
        <f t="shared" si="941"/>
        <v>p.orçamentar</v>
      </c>
      <c r="D1936" s="6" t="str">
        <f t="shared" si="936"/>
        <v>é.verba.de.bolsa.estudante</v>
      </c>
      <c r="E1936" s="8" t="s">
        <v>28</v>
      </c>
      <c r="F1936" s="34" t="str">
        <f t="shared" si="935"/>
        <v>d.orçamentar</v>
      </c>
      <c r="G1936" s="16" t="s">
        <v>1556</v>
      </c>
      <c r="H1936" s="33" t="s">
        <v>35</v>
      </c>
      <c r="I1936" s="92" t="str">
        <f t="shared" si="902"/>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952"/>
        <v>Propriedade destinada a orçamentar: é.verba.de.bolsa.estudante</v>
      </c>
      <c r="V1936" s="5" t="str">
        <f t="shared" si="953"/>
        <v>Dado para orçamentar:  verba.de.bolsa.estudante  Deve ser formatado como (xsd:double)</v>
      </c>
      <c r="W1936" s="69" t="s">
        <v>5932</v>
      </c>
      <c r="X1936" s="17" t="str">
        <f t="shared" si="947"/>
        <v>d.orçam.156</v>
      </c>
      <c r="Y1936" s="17" t="str">
        <f t="shared" si="948"/>
        <v>Ação de orçamentar</v>
      </c>
      <c r="Z1936" s="62" t="s">
        <v>3128</v>
      </c>
      <c r="AA1936" s="18" t="str">
        <f t="shared" si="942"/>
        <v>null</v>
      </c>
      <c r="AB1936" s="19" t="s">
        <v>0</v>
      </c>
      <c r="AC1936" s="18" t="str">
        <f t="shared" si="943"/>
        <v>null</v>
      </c>
      <c r="AD1936" s="19" t="s">
        <v>0</v>
      </c>
      <c r="AE1936" s="18" t="str">
        <f t="shared" si="937"/>
        <v>null</v>
      </c>
      <c r="AF1936" s="75" t="s">
        <v>0</v>
      </c>
      <c r="AG1936" s="38" t="s">
        <v>8892</v>
      </c>
    </row>
    <row r="1937" spans="1:33" ht="6" customHeight="1" x14ac:dyDescent="0.4">
      <c r="A1937" s="4">
        <f>ROW()</f>
        <v>1937</v>
      </c>
      <c r="B1937" s="9" t="s">
        <v>27</v>
      </c>
      <c r="C1937" s="44" t="str">
        <f t="shared" si="941"/>
        <v>p.orçamentar</v>
      </c>
      <c r="D1937" s="6" t="str">
        <f t="shared" si="936"/>
        <v>é.verba.de.capacitação</v>
      </c>
      <c r="E1937" s="8" t="s">
        <v>28</v>
      </c>
      <c r="F1937" s="34" t="str">
        <f t="shared" si="935"/>
        <v>d.orçamentar</v>
      </c>
      <c r="G1937" s="16" t="s">
        <v>1554</v>
      </c>
      <c r="H1937" s="33" t="s">
        <v>35</v>
      </c>
      <c r="I1937" s="92" t="str">
        <f t="shared" si="902"/>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si="952"/>
        <v>Propriedade destinada a orçamentar: é.verba.de.capacitação</v>
      </c>
      <c r="V1937" s="5" t="str">
        <f t="shared" si="953"/>
        <v>Dado para orçamentar:  verba.de.capacitação  Deve ser formatado como (xsd:double)</v>
      </c>
      <c r="W1937" s="69" t="s">
        <v>5933</v>
      </c>
      <c r="X1937" s="17" t="str">
        <f t="shared" si="947"/>
        <v>d.orçam.157</v>
      </c>
      <c r="Y1937" s="17" t="str">
        <f t="shared" si="948"/>
        <v>Ação de orçamentar</v>
      </c>
      <c r="Z1937" s="62" t="s">
        <v>3125</v>
      </c>
      <c r="AA1937" s="18" t="str">
        <f t="shared" si="942"/>
        <v>null</v>
      </c>
      <c r="AB1937" s="19" t="s">
        <v>0</v>
      </c>
      <c r="AC1937" s="18" t="str">
        <f t="shared" si="943"/>
        <v>null</v>
      </c>
      <c r="AD1937" s="19" t="s">
        <v>0</v>
      </c>
      <c r="AE1937" s="18" t="str">
        <f t="shared" si="937"/>
        <v>null</v>
      </c>
      <c r="AF1937" s="75" t="s">
        <v>0</v>
      </c>
      <c r="AG1937" s="38" t="s">
        <v>8893</v>
      </c>
    </row>
    <row r="1938" spans="1:33" ht="6" customHeight="1" x14ac:dyDescent="0.4">
      <c r="A1938" s="4">
        <f>ROW()</f>
        <v>1938</v>
      </c>
      <c r="B1938" s="9" t="s">
        <v>27</v>
      </c>
      <c r="C1938" s="44" t="str">
        <f t="shared" si="941"/>
        <v>p.orçamentar</v>
      </c>
      <c r="D1938" s="6" t="str">
        <f t="shared" si="936"/>
        <v>é.verba.de.custeio</v>
      </c>
      <c r="E1938" s="8" t="s">
        <v>28</v>
      </c>
      <c r="F1938" s="34" t="str">
        <f t="shared" si="935"/>
        <v>d.orçamentar</v>
      </c>
      <c r="G1938" s="16" t="s">
        <v>1552</v>
      </c>
      <c r="H1938" s="33" t="s">
        <v>35</v>
      </c>
      <c r="I1938" s="92" t="str">
        <f t="shared" si="902"/>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52"/>
        <v>Propriedade destinada a orçamentar: é.verba.de.custeio</v>
      </c>
      <c r="V1938" s="5" t="str">
        <f t="shared" si="953"/>
        <v>Dado para orçamentar:  verba.de.custeio  Deve ser formatado como (xsd:double)</v>
      </c>
      <c r="W1938" s="69" t="s">
        <v>5934</v>
      </c>
      <c r="X1938" s="17" t="str">
        <f t="shared" si="947"/>
        <v>d.orçam.158</v>
      </c>
      <c r="Y1938" s="17" t="str">
        <f t="shared" si="948"/>
        <v>Ação de orçamentar</v>
      </c>
      <c r="Z1938" s="62" t="s">
        <v>3126</v>
      </c>
      <c r="AA1938" s="18" t="str">
        <f t="shared" si="942"/>
        <v>null</v>
      </c>
      <c r="AB1938" s="19" t="s">
        <v>0</v>
      </c>
      <c r="AC1938" s="18" t="str">
        <f t="shared" si="943"/>
        <v>null</v>
      </c>
      <c r="AD1938" s="19" t="s">
        <v>0</v>
      </c>
      <c r="AE1938" s="18" t="str">
        <f t="shared" si="937"/>
        <v>null</v>
      </c>
      <c r="AF1938" s="75" t="s">
        <v>0</v>
      </c>
      <c r="AG1938" s="38" t="s">
        <v>8894</v>
      </c>
    </row>
    <row r="1939" spans="1:33" ht="6" customHeight="1" x14ac:dyDescent="0.4">
      <c r="A1939" s="4">
        <f>ROW()</f>
        <v>1939</v>
      </c>
      <c r="B1939" s="9" t="s">
        <v>27</v>
      </c>
      <c r="C1939" s="44" t="str">
        <f t="shared" si="941"/>
        <v>p.orçamentar</v>
      </c>
      <c r="D1939" s="6" t="str">
        <f t="shared" si="936"/>
        <v>é.verba.de.equipamento</v>
      </c>
      <c r="E1939" s="8" t="s">
        <v>28</v>
      </c>
      <c r="F1939" s="34" t="str">
        <f t="shared" si="935"/>
        <v>d.orçamentar</v>
      </c>
      <c r="G1939" s="16" t="s">
        <v>1553</v>
      </c>
      <c r="H1939" s="33" t="s">
        <v>35</v>
      </c>
      <c r="I1939" s="92" t="str">
        <f t="shared" si="902"/>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52"/>
        <v>Propriedade destinada a orçamentar: é.verba.de.equipamento</v>
      </c>
      <c r="V1939" s="5" t="str">
        <f t="shared" si="953"/>
        <v>Dado para orçamentar:  verba.de.equipamento  Deve ser formatado como (xsd:double)</v>
      </c>
      <c r="W1939" s="69" t="s">
        <v>5935</v>
      </c>
      <c r="X1939" s="17" t="str">
        <f t="shared" si="947"/>
        <v>d.orçam.159</v>
      </c>
      <c r="Y1939" s="17" t="str">
        <f t="shared" si="948"/>
        <v>Ação de orçamentar</v>
      </c>
      <c r="Z1939" s="62" t="s">
        <v>3127</v>
      </c>
      <c r="AA1939" s="18" t="str">
        <f t="shared" si="942"/>
        <v>null</v>
      </c>
      <c r="AB1939" s="19" t="s">
        <v>0</v>
      </c>
      <c r="AC1939" s="18" t="str">
        <f t="shared" si="943"/>
        <v>null</v>
      </c>
      <c r="AD1939" s="19" t="s">
        <v>0</v>
      </c>
      <c r="AE1939" s="18" t="str">
        <f t="shared" si="937"/>
        <v>null</v>
      </c>
      <c r="AF1939" s="75" t="s">
        <v>0</v>
      </c>
      <c r="AG1939" s="38" t="s">
        <v>8895</v>
      </c>
    </row>
    <row r="1940" spans="1:33" ht="6" customHeight="1" x14ac:dyDescent="0.4">
      <c r="A1940" s="4">
        <f>ROW()</f>
        <v>1940</v>
      </c>
      <c r="B1940" s="9" t="s">
        <v>27</v>
      </c>
      <c r="C1940" s="44" t="str">
        <f t="shared" si="941"/>
        <v>p.orçamentar</v>
      </c>
      <c r="D1940" s="6" t="str">
        <f t="shared" si="936"/>
        <v>é.verba.de.material</v>
      </c>
      <c r="E1940" s="8" t="s">
        <v>28</v>
      </c>
      <c r="F1940" s="34" t="str">
        <f t="shared" si="935"/>
        <v>d.orçamentar</v>
      </c>
      <c r="G1940" s="16" t="s">
        <v>1555</v>
      </c>
      <c r="H1940" s="33" t="s">
        <v>35</v>
      </c>
      <c r="I1940" s="92" t="str">
        <f t="shared" ref="I1940:I2029" si="954">IF(OR(J1940="Functional",K1940="InverseFunctional"),"Functional","null")</f>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52"/>
        <v>Propriedade destinada a orçamentar: é.verba.de.material</v>
      </c>
      <c r="V1940" s="5" t="str">
        <f t="shared" si="953"/>
        <v>Dado para orçamentar:  verba.de.material  Deve ser formatado como (xsd:double)</v>
      </c>
      <c r="W1940" s="69" t="s">
        <v>5936</v>
      </c>
      <c r="X1940" s="17" t="str">
        <f t="shared" si="947"/>
        <v>d.orçam.160</v>
      </c>
      <c r="Y1940" s="17" t="str">
        <f t="shared" si="948"/>
        <v>Ação de orçamentar</v>
      </c>
      <c r="Z1940" s="62" t="s">
        <v>2794</v>
      </c>
      <c r="AA1940" s="18" t="str">
        <f t="shared" si="942"/>
        <v>null</v>
      </c>
      <c r="AB1940" s="19" t="s">
        <v>0</v>
      </c>
      <c r="AC1940" s="18" t="str">
        <f t="shared" si="943"/>
        <v>null</v>
      </c>
      <c r="AD1940" s="19" t="s">
        <v>0</v>
      </c>
      <c r="AE1940" s="18" t="str">
        <f t="shared" si="937"/>
        <v>null</v>
      </c>
      <c r="AF1940" s="75" t="s">
        <v>0</v>
      </c>
      <c r="AG1940" s="38" t="s">
        <v>8896</v>
      </c>
    </row>
    <row r="1941" spans="1:33" ht="6" customHeight="1" x14ac:dyDescent="0.4">
      <c r="A1941" s="4">
        <f>ROW()</f>
        <v>1941</v>
      </c>
      <c r="B1941" s="9" t="s">
        <v>27</v>
      </c>
      <c r="C1941" s="43" t="str">
        <f t="shared" ref="C1941:C2000" si="955">SUBSTITUTE(F1941,"d.","p.")</f>
        <v>p.orientar</v>
      </c>
      <c r="D1941" s="6" t="str">
        <f t="shared" si="936"/>
        <v>é.norte.verdadeiro</v>
      </c>
      <c r="E1941" s="8" t="s">
        <v>28</v>
      </c>
      <c r="F1941" s="41" t="s">
        <v>2211</v>
      </c>
      <c r="G1941" s="13" t="s">
        <v>796</v>
      </c>
      <c r="H1941" s="34" t="s">
        <v>35</v>
      </c>
      <c r="I1941" s="92" t="str">
        <f t="shared" si="954"/>
        <v>null</v>
      </c>
      <c r="J1941" s="80" t="s">
        <v>0</v>
      </c>
      <c r="K1941" s="80" t="s">
        <v>0</v>
      </c>
      <c r="L1941" s="80" t="s">
        <v>0</v>
      </c>
      <c r="M1941" s="80" t="s">
        <v>0</v>
      </c>
      <c r="N1941" s="80" t="s">
        <v>0</v>
      </c>
      <c r="O1941" s="80" t="s">
        <v>0</v>
      </c>
      <c r="P1941" s="80" t="s">
        <v>0</v>
      </c>
      <c r="Q1941" s="80" t="s">
        <v>0</v>
      </c>
      <c r="R1941" s="84" t="s">
        <v>0</v>
      </c>
      <c r="S1941" s="10" t="s">
        <v>1</v>
      </c>
      <c r="T1941" s="10" t="s">
        <v>10221</v>
      </c>
      <c r="U1941" s="5" t="str">
        <f t="shared" si="952"/>
        <v>Propriedade destinada a orientar: é.norte.verdadeiro</v>
      </c>
      <c r="V1941" s="5" t="str">
        <f t="shared" si="953"/>
        <v>Dado para orientar:  norte.verdadeiro  Deve ser formatado como (xsd:double)</v>
      </c>
      <c r="W1941" s="69" t="s">
        <v>5937</v>
      </c>
      <c r="X1941" s="17" t="str">
        <f t="shared" si="947"/>
        <v>d.orien.100</v>
      </c>
      <c r="Y1941" s="17" t="str">
        <f t="shared" si="948"/>
        <v>Ação de orientar</v>
      </c>
      <c r="Z1941" s="62" t="s">
        <v>4515</v>
      </c>
      <c r="AA1941" s="18" t="str">
        <f t="shared" ref="AA1941:AA1981" si="956">IF(AB1941="null", "null", "categoria.revit")</f>
        <v>null</v>
      </c>
      <c r="AB1941" s="19" t="s">
        <v>0</v>
      </c>
      <c r="AC1941" s="18" t="str">
        <f t="shared" ref="AC1941:AC1981" si="957">IF(AD1941="null", "null", "classe.ifc")</f>
        <v>null</v>
      </c>
      <c r="AD1941" s="19" t="s">
        <v>0</v>
      </c>
      <c r="AE1941" s="18" t="str">
        <f t="shared" si="937"/>
        <v>null</v>
      </c>
      <c r="AF1941" s="75" t="s">
        <v>0</v>
      </c>
      <c r="AG1941" s="38" t="s">
        <v>8897</v>
      </c>
    </row>
    <row r="1942" spans="1:33" ht="6" customHeight="1" x14ac:dyDescent="0.4">
      <c r="A1942" s="4">
        <f>ROW()</f>
        <v>1942</v>
      </c>
      <c r="B1942" s="9" t="s">
        <v>27</v>
      </c>
      <c r="C1942" s="44" t="str">
        <f t="shared" si="955"/>
        <v>p.orientar</v>
      </c>
      <c r="D1942" s="6" t="str">
        <f t="shared" si="936"/>
        <v>é.norte.projetual</v>
      </c>
      <c r="E1942" s="8" t="s">
        <v>28</v>
      </c>
      <c r="F1942" s="34" t="str">
        <f t="shared" ref="F1942:F1954" si="958">F1941</f>
        <v>d.orientar</v>
      </c>
      <c r="G1942" s="14" t="s">
        <v>797</v>
      </c>
      <c r="H1942" s="34" t="s">
        <v>35</v>
      </c>
      <c r="I1942" s="92" t="str">
        <f t="shared" si="954"/>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52"/>
        <v>Propriedade destinada a orientar: é.norte.projetual</v>
      </c>
      <c r="V1942" s="5" t="str">
        <f t="shared" si="953"/>
        <v>Dado para orientar:  norte.projetual  Deve ser formatado como (xsd:double)</v>
      </c>
      <c r="W1942" s="69" t="s">
        <v>5938</v>
      </c>
      <c r="X1942" s="17" t="str">
        <f t="shared" si="947"/>
        <v>d.orien.101</v>
      </c>
      <c r="Y1942" s="17" t="str">
        <f t="shared" si="948"/>
        <v>Ação de orientar</v>
      </c>
      <c r="Z1942" s="62" t="s">
        <v>4516</v>
      </c>
      <c r="AA1942" s="18" t="str">
        <f t="shared" si="956"/>
        <v>null</v>
      </c>
      <c r="AB1942" s="19" t="s">
        <v>0</v>
      </c>
      <c r="AC1942" s="18" t="str">
        <f t="shared" si="957"/>
        <v>null</v>
      </c>
      <c r="AD1942" s="19" t="s">
        <v>0</v>
      </c>
      <c r="AE1942" s="18" t="str">
        <f t="shared" si="937"/>
        <v>null</v>
      </c>
      <c r="AF1942" s="75" t="s">
        <v>0</v>
      </c>
      <c r="AG1942" s="38" t="s">
        <v>8898</v>
      </c>
    </row>
    <row r="1943" spans="1:33" ht="6" customHeight="1" x14ac:dyDescent="0.4">
      <c r="A1943" s="4">
        <f>ROW()</f>
        <v>1943</v>
      </c>
      <c r="B1943" s="9" t="s">
        <v>27</v>
      </c>
      <c r="C1943" s="44" t="str">
        <f t="shared" si="955"/>
        <v>p.orientar</v>
      </c>
      <c r="D1943" s="6" t="str">
        <f t="shared" si="936"/>
        <v>é.a.barlavento</v>
      </c>
      <c r="E1943" s="8" t="s">
        <v>28</v>
      </c>
      <c r="F1943" s="34" t="str">
        <f t="shared" si="958"/>
        <v>d.orientar</v>
      </c>
      <c r="G1943" s="14" t="s">
        <v>798</v>
      </c>
      <c r="H1943" s="34" t="s">
        <v>36</v>
      </c>
      <c r="I1943" s="92" t="str">
        <f t="shared" si="954"/>
        <v>null</v>
      </c>
      <c r="J1943" s="82" t="s">
        <v>0</v>
      </c>
      <c r="K1943" s="82" t="s">
        <v>0</v>
      </c>
      <c r="L1943" s="82" t="s">
        <v>0</v>
      </c>
      <c r="M1943" s="82" t="s">
        <v>0</v>
      </c>
      <c r="N1943" s="80" t="s">
        <v>0</v>
      </c>
      <c r="O1943" s="82" t="s">
        <v>0</v>
      </c>
      <c r="P1943" s="82" t="s">
        <v>0</v>
      </c>
      <c r="Q1943" s="82" t="s">
        <v>799</v>
      </c>
      <c r="R1943" s="84" t="s">
        <v>0</v>
      </c>
      <c r="S1943" s="10" t="s">
        <v>1</v>
      </c>
      <c r="T1943" s="10" t="s">
        <v>10221</v>
      </c>
      <c r="U1943" s="5" t="str">
        <f t="shared" si="952"/>
        <v>Propriedade destinada a orientar: é.a.barlavento</v>
      </c>
      <c r="V1943" s="5" t="str">
        <f t="shared" si="953"/>
        <v>Dado para orientar:  a.barlavento  Deve ser formatado como (xsd:boolean)</v>
      </c>
      <c r="W1943" s="69" t="s">
        <v>5939</v>
      </c>
      <c r="X1943" s="17" t="str">
        <f t="shared" si="947"/>
        <v>d.orien.102</v>
      </c>
      <c r="Y1943" s="17" t="str">
        <f t="shared" si="948"/>
        <v>Ação de orientar</v>
      </c>
      <c r="Z1943" s="62" t="s">
        <v>1395</v>
      </c>
      <c r="AA1943" s="18" t="str">
        <f t="shared" si="956"/>
        <v>null</v>
      </c>
      <c r="AB1943" s="19" t="s">
        <v>0</v>
      </c>
      <c r="AC1943" s="18" t="str">
        <f t="shared" si="957"/>
        <v>null</v>
      </c>
      <c r="AD1943" s="19" t="s">
        <v>0</v>
      </c>
      <c r="AE1943" s="18" t="str">
        <f t="shared" si="937"/>
        <v>null</v>
      </c>
      <c r="AF1943" s="75" t="s">
        <v>0</v>
      </c>
      <c r="AG1943" s="38" t="s">
        <v>8899</v>
      </c>
    </row>
    <row r="1944" spans="1:33" ht="6" customHeight="1" x14ac:dyDescent="0.4">
      <c r="A1944" s="4">
        <f>ROW()</f>
        <v>1944</v>
      </c>
      <c r="B1944" s="9" t="s">
        <v>27</v>
      </c>
      <c r="C1944" s="44" t="str">
        <f t="shared" si="955"/>
        <v>p.orientar</v>
      </c>
      <c r="D1944" s="6" t="str">
        <f t="shared" si="936"/>
        <v>é.a.sotavento</v>
      </c>
      <c r="E1944" s="8" t="s">
        <v>28</v>
      </c>
      <c r="F1944" s="34" t="str">
        <f t="shared" si="958"/>
        <v>d.orientar</v>
      </c>
      <c r="G1944" s="14" t="s">
        <v>800</v>
      </c>
      <c r="H1944" s="34" t="s">
        <v>36</v>
      </c>
      <c r="I1944" s="92" t="str">
        <f t="shared" si="954"/>
        <v>null</v>
      </c>
      <c r="J1944" s="82" t="s">
        <v>0</v>
      </c>
      <c r="K1944" s="82" t="s">
        <v>0</v>
      </c>
      <c r="L1944" s="82" t="s">
        <v>0</v>
      </c>
      <c r="M1944" s="82" t="s">
        <v>0</v>
      </c>
      <c r="N1944" s="80" t="s">
        <v>0</v>
      </c>
      <c r="O1944" s="82" t="s">
        <v>0</v>
      </c>
      <c r="P1944" s="82" t="s">
        <v>0</v>
      </c>
      <c r="Q1944" s="82" t="s">
        <v>801</v>
      </c>
      <c r="R1944" s="84" t="s">
        <v>0</v>
      </c>
      <c r="S1944" s="10" t="s">
        <v>1</v>
      </c>
      <c r="T1944" s="10" t="s">
        <v>10221</v>
      </c>
      <c r="U1944" s="5" t="str">
        <f t="shared" si="952"/>
        <v>Propriedade destinada a orientar: é.a.sotavento</v>
      </c>
      <c r="V1944" s="5" t="str">
        <f t="shared" si="953"/>
        <v>Dado para orientar:  a.sotavento  Deve ser formatado como (xsd:boolean)</v>
      </c>
      <c r="W1944" s="69" t="s">
        <v>5940</v>
      </c>
      <c r="X1944" s="17" t="str">
        <f t="shared" si="947"/>
        <v>d.orien.103</v>
      </c>
      <c r="Y1944" s="17" t="str">
        <f t="shared" si="948"/>
        <v>Ação de orientar</v>
      </c>
      <c r="Z1944" s="62" t="s">
        <v>1396</v>
      </c>
      <c r="AA1944" s="18" t="str">
        <f t="shared" si="956"/>
        <v>null</v>
      </c>
      <c r="AB1944" s="19" t="s">
        <v>0</v>
      </c>
      <c r="AC1944" s="18" t="str">
        <f t="shared" si="957"/>
        <v>null</v>
      </c>
      <c r="AD1944" s="19" t="s">
        <v>0</v>
      </c>
      <c r="AE1944" s="18" t="str">
        <f t="shared" si="937"/>
        <v>null</v>
      </c>
      <c r="AF1944" s="75" t="s">
        <v>0</v>
      </c>
      <c r="AG1944" s="38" t="s">
        <v>8900</v>
      </c>
    </row>
    <row r="1945" spans="1:33" ht="6" customHeight="1" x14ac:dyDescent="0.4">
      <c r="A1945" s="4">
        <f>ROW()</f>
        <v>1945</v>
      </c>
      <c r="B1945" s="9" t="s">
        <v>27</v>
      </c>
      <c r="C1945" s="44" t="str">
        <f t="shared" si="955"/>
        <v>p.orientar</v>
      </c>
      <c r="D1945" s="6" t="str">
        <f t="shared" si="936"/>
        <v>é.ao.norte</v>
      </c>
      <c r="E1945" s="8" t="s">
        <v>28</v>
      </c>
      <c r="F1945" s="34" t="str">
        <f t="shared" si="958"/>
        <v>d.orientar</v>
      </c>
      <c r="G1945" s="14" t="s">
        <v>802</v>
      </c>
      <c r="H1945" s="34" t="s">
        <v>36</v>
      </c>
      <c r="I1945" s="92" t="str">
        <f t="shared" si="954"/>
        <v>null</v>
      </c>
      <c r="J1945" s="82" t="s">
        <v>0</v>
      </c>
      <c r="K1945" s="82" t="s">
        <v>0</v>
      </c>
      <c r="L1945" s="82" t="s">
        <v>0</v>
      </c>
      <c r="M1945" s="82" t="s">
        <v>0</v>
      </c>
      <c r="N1945" s="80" t="s">
        <v>0</v>
      </c>
      <c r="O1945" s="82" t="s">
        <v>0</v>
      </c>
      <c r="P1945" s="82" t="s">
        <v>0</v>
      </c>
      <c r="Q1945" s="82" t="s">
        <v>803</v>
      </c>
      <c r="R1945" s="84" t="s">
        <v>0</v>
      </c>
      <c r="S1945" s="10" t="s">
        <v>1</v>
      </c>
      <c r="T1945" s="10" t="s">
        <v>10221</v>
      </c>
      <c r="U1945" s="5" t="str">
        <f t="shared" si="952"/>
        <v>Propriedade destinada a orientar: é.ao.norte</v>
      </c>
      <c r="V1945" s="5" t="str">
        <f t="shared" si="953"/>
        <v>Dado para orientar:  ao.norte  Deve ser formatado como (xsd:boolean)</v>
      </c>
      <c r="W1945" s="69" t="s">
        <v>5941</v>
      </c>
      <c r="X1945" s="17" t="str">
        <f t="shared" si="947"/>
        <v>d.orien.104</v>
      </c>
      <c r="Y1945" s="17" t="str">
        <f t="shared" si="948"/>
        <v>Ação de orientar</v>
      </c>
      <c r="Z1945" s="62" t="s">
        <v>1397</v>
      </c>
      <c r="AA1945" s="18" t="str">
        <f t="shared" si="956"/>
        <v>null</v>
      </c>
      <c r="AB1945" s="19" t="s">
        <v>0</v>
      </c>
      <c r="AC1945" s="18" t="str">
        <f t="shared" si="957"/>
        <v>null</v>
      </c>
      <c r="AD1945" s="19" t="s">
        <v>0</v>
      </c>
      <c r="AE1945" s="18" t="str">
        <f t="shared" si="937"/>
        <v>null</v>
      </c>
      <c r="AF1945" s="75" t="s">
        <v>0</v>
      </c>
      <c r="AG1945" s="38" t="s">
        <v>8901</v>
      </c>
    </row>
    <row r="1946" spans="1:33" ht="6" customHeight="1" x14ac:dyDescent="0.4">
      <c r="A1946" s="4">
        <f>ROW()</f>
        <v>1946</v>
      </c>
      <c r="B1946" s="9" t="s">
        <v>27</v>
      </c>
      <c r="C1946" s="44" t="str">
        <f t="shared" si="955"/>
        <v>p.orientar</v>
      </c>
      <c r="D1946" s="6" t="str">
        <f t="shared" si="936"/>
        <v>é.ao.oeste</v>
      </c>
      <c r="E1946" s="8" t="s">
        <v>28</v>
      </c>
      <c r="F1946" s="34" t="str">
        <f t="shared" si="958"/>
        <v>d.orientar</v>
      </c>
      <c r="G1946" s="14" t="s">
        <v>804</v>
      </c>
      <c r="H1946" s="34" t="s">
        <v>36</v>
      </c>
      <c r="I1946" s="92" t="str">
        <f t="shared" si="954"/>
        <v>null</v>
      </c>
      <c r="J1946" s="80" t="s">
        <v>0</v>
      </c>
      <c r="K1946" s="80" t="s">
        <v>0</v>
      </c>
      <c r="L1946" s="80" t="s">
        <v>0</v>
      </c>
      <c r="M1946" s="80" t="s">
        <v>0</v>
      </c>
      <c r="N1946" s="80" t="s">
        <v>0</v>
      </c>
      <c r="O1946" s="80" t="s">
        <v>0</v>
      </c>
      <c r="P1946" s="80" t="s">
        <v>0</v>
      </c>
      <c r="Q1946" s="82" t="s">
        <v>805</v>
      </c>
      <c r="R1946" s="6" t="s">
        <v>806</v>
      </c>
      <c r="S1946" s="10" t="s">
        <v>1</v>
      </c>
      <c r="T1946" s="10" t="s">
        <v>10221</v>
      </c>
      <c r="U1946" s="5" t="str">
        <f t="shared" si="952"/>
        <v>Propriedade destinada a orientar: é.ao.oeste</v>
      </c>
      <c r="V1946" s="5" t="str">
        <f t="shared" si="953"/>
        <v>Dado para orientar:  ao.oeste  Deve ser formatado como (xsd:boolean)</v>
      </c>
      <c r="W1946" s="69" t="s">
        <v>5942</v>
      </c>
      <c r="X1946" s="17" t="str">
        <f t="shared" si="947"/>
        <v>d.orien.105</v>
      </c>
      <c r="Y1946" s="17" t="str">
        <f t="shared" si="948"/>
        <v>Ação de orientar</v>
      </c>
      <c r="Z1946" s="62" t="s">
        <v>1398</v>
      </c>
      <c r="AA1946" s="18" t="str">
        <f t="shared" si="956"/>
        <v>null</v>
      </c>
      <c r="AB1946" s="19" t="s">
        <v>0</v>
      </c>
      <c r="AC1946" s="18" t="str">
        <f t="shared" si="957"/>
        <v>null</v>
      </c>
      <c r="AD1946" s="19" t="s">
        <v>0</v>
      </c>
      <c r="AE1946" s="18" t="str">
        <f t="shared" si="937"/>
        <v>null</v>
      </c>
      <c r="AF1946" s="75" t="s">
        <v>0</v>
      </c>
      <c r="AG1946" s="38" t="s">
        <v>8902</v>
      </c>
    </row>
    <row r="1947" spans="1:33" ht="6" customHeight="1" x14ac:dyDescent="0.4">
      <c r="A1947" s="4">
        <f>ROW()</f>
        <v>1947</v>
      </c>
      <c r="B1947" s="9" t="s">
        <v>27</v>
      </c>
      <c r="C1947" s="44" t="str">
        <f t="shared" si="955"/>
        <v>p.orientar</v>
      </c>
      <c r="D1947" s="6" t="str">
        <f t="shared" si="936"/>
        <v>é.ao.sul</v>
      </c>
      <c r="E1947" s="8" t="s">
        <v>28</v>
      </c>
      <c r="F1947" s="34" t="str">
        <f t="shared" si="958"/>
        <v>d.orientar</v>
      </c>
      <c r="G1947" s="14" t="s">
        <v>807</v>
      </c>
      <c r="H1947" s="34" t="s">
        <v>36</v>
      </c>
      <c r="I1947" s="92" t="str">
        <f t="shared" si="954"/>
        <v>null</v>
      </c>
      <c r="J1947" s="80" t="s">
        <v>0</v>
      </c>
      <c r="K1947" s="80" t="s">
        <v>0</v>
      </c>
      <c r="L1947" s="80" t="s">
        <v>0</v>
      </c>
      <c r="M1947" s="80" t="s">
        <v>0</v>
      </c>
      <c r="N1947" s="80" t="s">
        <v>0</v>
      </c>
      <c r="O1947" s="80" t="s">
        <v>0</v>
      </c>
      <c r="P1947" s="80" t="s">
        <v>0</v>
      </c>
      <c r="Q1947" s="80" t="s">
        <v>808</v>
      </c>
      <c r="R1947" s="84" t="s">
        <v>0</v>
      </c>
      <c r="S1947" s="10" t="s">
        <v>1</v>
      </c>
      <c r="T1947" s="10" t="s">
        <v>10221</v>
      </c>
      <c r="U1947" s="5" t="str">
        <f t="shared" si="952"/>
        <v>Propriedade destinada a orientar: é.ao.sul</v>
      </c>
      <c r="V1947" s="5" t="str">
        <f t="shared" si="953"/>
        <v>Dado para orientar:  ao.sul  Deve ser formatado como (xsd:boolean)</v>
      </c>
      <c r="W1947" s="69" t="s">
        <v>5943</v>
      </c>
      <c r="X1947" s="17" t="str">
        <f t="shared" si="947"/>
        <v>d.orien.106</v>
      </c>
      <c r="Y1947" s="17" t="str">
        <f t="shared" si="948"/>
        <v>Ação de orientar</v>
      </c>
      <c r="Z1947" s="62" t="s">
        <v>1399</v>
      </c>
      <c r="AA1947" s="18" t="str">
        <f t="shared" si="956"/>
        <v>null</v>
      </c>
      <c r="AB1947" s="19" t="s">
        <v>0</v>
      </c>
      <c r="AC1947" s="18" t="str">
        <f t="shared" si="957"/>
        <v>null</v>
      </c>
      <c r="AD1947" s="19" t="s">
        <v>0</v>
      </c>
      <c r="AE1947" s="18" t="str">
        <f t="shared" si="937"/>
        <v>null</v>
      </c>
      <c r="AF1947" s="75" t="s">
        <v>0</v>
      </c>
      <c r="AG1947" s="38" t="s">
        <v>8903</v>
      </c>
    </row>
    <row r="1948" spans="1:33" ht="6" customHeight="1" x14ac:dyDescent="0.4">
      <c r="A1948" s="4">
        <f>ROW()</f>
        <v>1948</v>
      </c>
      <c r="B1948" s="9" t="s">
        <v>27</v>
      </c>
      <c r="C1948" s="44" t="str">
        <f t="shared" si="955"/>
        <v>p.orientar</v>
      </c>
      <c r="D1948" s="6" t="str">
        <f t="shared" si="936"/>
        <v>é.ao.leste</v>
      </c>
      <c r="E1948" s="8" t="s">
        <v>28</v>
      </c>
      <c r="F1948" s="34" t="str">
        <f t="shared" si="958"/>
        <v>d.orientar</v>
      </c>
      <c r="G1948" s="14" t="s">
        <v>809</v>
      </c>
      <c r="H1948" s="34" t="s">
        <v>36</v>
      </c>
      <c r="I1948" s="92" t="str">
        <f t="shared" si="954"/>
        <v>null</v>
      </c>
      <c r="J1948" s="80" t="s">
        <v>0</v>
      </c>
      <c r="K1948" s="80" t="s">
        <v>0</v>
      </c>
      <c r="L1948" s="80" t="s">
        <v>0</v>
      </c>
      <c r="M1948" s="80" t="s">
        <v>0</v>
      </c>
      <c r="N1948" s="80" t="s">
        <v>0</v>
      </c>
      <c r="O1948" s="80" t="s">
        <v>0</v>
      </c>
      <c r="P1948" s="80" t="s">
        <v>0</v>
      </c>
      <c r="Q1948" s="80" t="s">
        <v>810</v>
      </c>
      <c r="R1948" s="6" t="s">
        <v>811</v>
      </c>
      <c r="S1948" s="10" t="s">
        <v>1</v>
      </c>
      <c r="T1948" s="10" t="s">
        <v>10221</v>
      </c>
      <c r="U1948" s="5" t="str">
        <f t="shared" si="952"/>
        <v>Propriedade destinada a orientar: é.ao.leste</v>
      </c>
      <c r="V1948" s="5" t="str">
        <f t="shared" si="953"/>
        <v>Dado para orientar:  ao.leste  Deve ser formatado como (xsd:boolean)</v>
      </c>
      <c r="W1948" s="69" t="s">
        <v>5944</v>
      </c>
      <c r="X1948" s="17" t="str">
        <f t="shared" si="947"/>
        <v>d.orien.107</v>
      </c>
      <c r="Y1948" s="17" t="str">
        <f t="shared" si="948"/>
        <v>Ação de orientar</v>
      </c>
      <c r="Z1948" s="62" t="s">
        <v>1400</v>
      </c>
      <c r="AA1948" s="18" t="str">
        <f t="shared" si="956"/>
        <v>null</v>
      </c>
      <c r="AB1948" s="19" t="s">
        <v>0</v>
      </c>
      <c r="AC1948" s="18" t="str">
        <f t="shared" si="957"/>
        <v>null</v>
      </c>
      <c r="AD1948" s="19" t="s">
        <v>0</v>
      </c>
      <c r="AE1948" s="18" t="str">
        <f t="shared" si="937"/>
        <v>null</v>
      </c>
      <c r="AF1948" s="75" t="s">
        <v>0</v>
      </c>
      <c r="AG1948" s="38" t="s">
        <v>8904</v>
      </c>
    </row>
    <row r="1949" spans="1:33" ht="6" customHeight="1" x14ac:dyDescent="0.4">
      <c r="A1949" s="4">
        <f>ROW()</f>
        <v>1949</v>
      </c>
      <c r="B1949" s="9" t="s">
        <v>27</v>
      </c>
      <c r="C1949" s="44" t="str">
        <f t="shared" si="955"/>
        <v>p.orientar</v>
      </c>
      <c r="D1949" s="6" t="str">
        <f t="shared" si="936"/>
        <v>é.ao.noroeste</v>
      </c>
      <c r="E1949" s="8" t="s">
        <v>28</v>
      </c>
      <c r="F1949" s="34" t="str">
        <f t="shared" si="958"/>
        <v>d.orientar</v>
      </c>
      <c r="G1949" s="14" t="s">
        <v>812</v>
      </c>
      <c r="H1949" s="34" t="s">
        <v>36</v>
      </c>
      <c r="I1949" s="92" t="str">
        <f t="shared" si="954"/>
        <v>null</v>
      </c>
      <c r="J1949" s="80" t="s">
        <v>0</v>
      </c>
      <c r="K1949" s="80" t="s">
        <v>0</v>
      </c>
      <c r="L1949" s="80" t="s">
        <v>0</v>
      </c>
      <c r="M1949" s="80" t="s">
        <v>0</v>
      </c>
      <c r="N1949" s="80" t="s">
        <v>0</v>
      </c>
      <c r="O1949" s="80" t="s">
        <v>0</v>
      </c>
      <c r="P1949" s="80" t="s">
        <v>0</v>
      </c>
      <c r="Q1949" s="80" t="s">
        <v>813</v>
      </c>
      <c r="R1949" s="84" t="s">
        <v>0</v>
      </c>
      <c r="S1949" s="10" t="s">
        <v>1</v>
      </c>
      <c r="T1949" s="10" t="s">
        <v>10221</v>
      </c>
      <c r="U1949" s="5" t="str">
        <f t="shared" si="952"/>
        <v>Propriedade destinada a orientar: é.ao.noroeste</v>
      </c>
      <c r="V1949" s="5" t="str">
        <f t="shared" si="953"/>
        <v>Dado para orientar:  ao.noroeste  Deve ser formatado como (xsd:boolean)</v>
      </c>
      <c r="W1949" s="69" t="s">
        <v>5945</v>
      </c>
      <c r="X1949" s="17" t="str">
        <f t="shared" si="947"/>
        <v>d.orien.108</v>
      </c>
      <c r="Y1949" s="17" t="str">
        <f t="shared" si="948"/>
        <v>Ação de orientar</v>
      </c>
      <c r="Z1949" s="62" t="s">
        <v>1401</v>
      </c>
      <c r="AA1949" s="18" t="str">
        <f t="shared" si="956"/>
        <v>null</v>
      </c>
      <c r="AB1949" s="19" t="s">
        <v>0</v>
      </c>
      <c r="AC1949" s="18" t="str">
        <f t="shared" si="957"/>
        <v>null</v>
      </c>
      <c r="AD1949" s="19" t="s">
        <v>0</v>
      </c>
      <c r="AE1949" s="18" t="str">
        <f t="shared" si="937"/>
        <v>null</v>
      </c>
      <c r="AF1949" s="75" t="s">
        <v>0</v>
      </c>
      <c r="AG1949" s="38" t="s">
        <v>8905</v>
      </c>
    </row>
    <row r="1950" spans="1:33" ht="6" customHeight="1" x14ac:dyDescent="0.4">
      <c r="A1950" s="4">
        <f>ROW()</f>
        <v>1950</v>
      </c>
      <c r="B1950" s="9" t="s">
        <v>27</v>
      </c>
      <c r="C1950" s="44" t="str">
        <f t="shared" si="955"/>
        <v>p.orientar</v>
      </c>
      <c r="D1950" s="6" t="str">
        <f t="shared" si="936"/>
        <v>é.ao.sudoeste</v>
      </c>
      <c r="E1950" s="8" t="s">
        <v>28</v>
      </c>
      <c r="F1950" s="34" t="str">
        <f t="shared" si="958"/>
        <v>d.orientar</v>
      </c>
      <c r="G1950" s="14" t="s">
        <v>3041</v>
      </c>
      <c r="H1950" s="34" t="s">
        <v>36</v>
      </c>
      <c r="I1950" s="92" t="str">
        <f t="shared" si="954"/>
        <v>null</v>
      </c>
      <c r="J1950" s="80" t="s">
        <v>0</v>
      </c>
      <c r="K1950" s="80" t="s">
        <v>0</v>
      </c>
      <c r="L1950" s="80" t="s">
        <v>0</v>
      </c>
      <c r="M1950" s="80" t="s">
        <v>0</v>
      </c>
      <c r="N1950" s="80" t="s">
        <v>0</v>
      </c>
      <c r="O1950" s="80" t="s">
        <v>0</v>
      </c>
      <c r="P1950" s="80" t="s">
        <v>0</v>
      </c>
      <c r="Q1950" s="80" t="s">
        <v>814</v>
      </c>
      <c r="R1950" s="84" t="s">
        <v>0</v>
      </c>
      <c r="S1950" s="10" t="s">
        <v>1</v>
      </c>
      <c r="T1950" s="10" t="s">
        <v>10221</v>
      </c>
      <c r="U1950" s="5" t="str">
        <f t="shared" si="952"/>
        <v>Propriedade destinada a orientar: é.ao.sudoeste</v>
      </c>
      <c r="V1950" s="5" t="str">
        <f t="shared" si="953"/>
        <v>Dado para orientar:  ao.sudoeste  Deve ser formatado como (xsd:boolean)</v>
      </c>
      <c r="W1950" s="69" t="s">
        <v>5946</v>
      </c>
      <c r="X1950" s="17" t="str">
        <f t="shared" si="947"/>
        <v>d.orien.109</v>
      </c>
      <c r="Y1950" s="17" t="str">
        <f t="shared" si="948"/>
        <v>Ação de orientar</v>
      </c>
      <c r="Z1950" s="62" t="s">
        <v>1402</v>
      </c>
      <c r="AA1950" s="18" t="str">
        <f t="shared" si="956"/>
        <v>null</v>
      </c>
      <c r="AB1950" s="19" t="s">
        <v>0</v>
      </c>
      <c r="AC1950" s="18" t="str">
        <f t="shared" si="957"/>
        <v>null</v>
      </c>
      <c r="AD1950" s="19" t="s">
        <v>0</v>
      </c>
      <c r="AE1950" s="18" t="str">
        <f t="shared" si="937"/>
        <v>null</v>
      </c>
      <c r="AF1950" s="75" t="s">
        <v>0</v>
      </c>
      <c r="AG1950" s="38" t="s">
        <v>8906</v>
      </c>
    </row>
    <row r="1951" spans="1:33" ht="6" customHeight="1" x14ac:dyDescent="0.4">
      <c r="A1951" s="4">
        <f>ROW()</f>
        <v>1951</v>
      </c>
      <c r="B1951" s="9" t="s">
        <v>27</v>
      </c>
      <c r="C1951" s="44" t="str">
        <f t="shared" si="955"/>
        <v>p.orientar</v>
      </c>
      <c r="D1951" s="6" t="str">
        <f t="shared" si="936"/>
        <v>é.ao.suleste</v>
      </c>
      <c r="E1951" s="8" t="s">
        <v>28</v>
      </c>
      <c r="F1951" s="34" t="str">
        <f t="shared" si="958"/>
        <v>d.orientar</v>
      </c>
      <c r="G1951" s="14" t="s">
        <v>815</v>
      </c>
      <c r="H1951" s="34" t="s">
        <v>36</v>
      </c>
      <c r="I1951" s="92" t="str">
        <f t="shared" si="954"/>
        <v>null</v>
      </c>
      <c r="J1951" s="80" t="s">
        <v>0</v>
      </c>
      <c r="K1951" s="80" t="s">
        <v>0</v>
      </c>
      <c r="L1951" s="80" t="s">
        <v>0</v>
      </c>
      <c r="M1951" s="80" t="s">
        <v>0</v>
      </c>
      <c r="N1951" s="80" t="s">
        <v>0</v>
      </c>
      <c r="O1951" s="80" t="s">
        <v>0</v>
      </c>
      <c r="P1951" s="80" t="s">
        <v>0</v>
      </c>
      <c r="Q1951" s="80" t="s">
        <v>816</v>
      </c>
      <c r="R1951" s="84" t="s">
        <v>0</v>
      </c>
      <c r="S1951" s="10" t="s">
        <v>1</v>
      </c>
      <c r="T1951" s="10" t="s">
        <v>10221</v>
      </c>
      <c r="U1951" s="5" t="str">
        <f t="shared" si="952"/>
        <v>Propriedade destinada a orientar: é.ao.suleste</v>
      </c>
      <c r="V1951" s="5" t="str">
        <f t="shared" si="953"/>
        <v>Dado para orientar:  ao.suleste  Deve ser formatado como (xsd:boolean)</v>
      </c>
      <c r="W1951" s="69" t="s">
        <v>5947</v>
      </c>
      <c r="X1951" s="17" t="str">
        <f t="shared" si="947"/>
        <v>d.orien.110</v>
      </c>
      <c r="Y1951" s="17" t="str">
        <f t="shared" si="948"/>
        <v>Ação de orientar</v>
      </c>
      <c r="Z1951" s="62" t="s">
        <v>1403</v>
      </c>
      <c r="AA1951" s="18" t="str">
        <f t="shared" si="956"/>
        <v>null</v>
      </c>
      <c r="AB1951" s="19" t="s">
        <v>0</v>
      </c>
      <c r="AC1951" s="18" t="str">
        <f t="shared" si="957"/>
        <v>null</v>
      </c>
      <c r="AD1951" s="19" t="s">
        <v>0</v>
      </c>
      <c r="AE1951" s="18" t="str">
        <f t="shared" si="937"/>
        <v>null</v>
      </c>
      <c r="AF1951" s="75" t="s">
        <v>0</v>
      </c>
      <c r="AG1951" s="38" t="s">
        <v>8907</v>
      </c>
    </row>
    <row r="1952" spans="1:33" ht="6" customHeight="1" x14ac:dyDescent="0.4">
      <c r="A1952" s="4">
        <f>ROW()</f>
        <v>1952</v>
      </c>
      <c r="B1952" s="9" t="s">
        <v>27</v>
      </c>
      <c r="C1952" s="44" t="str">
        <f t="shared" si="955"/>
        <v>p.orientar</v>
      </c>
      <c r="D1952" s="6" t="str">
        <f t="shared" si="936"/>
        <v>é.ao.nordeste</v>
      </c>
      <c r="E1952" s="8" t="s">
        <v>28</v>
      </c>
      <c r="F1952" s="34" t="str">
        <f t="shared" si="958"/>
        <v>d.orientar</v>
      </c>
      <c r="G1952" s="14" t="s">
        <v>817</v>
      </c>
      <c r="H1952" s="34" t="s">
        <v>36</v>
      </c>
      <c r="I1952" s="92" t="str">
        <f t="shared" si="954"/>
        <v>null</v>
      </c>
      <c r="J1952" s="80" t="s">
        <v>0</v>
      </c>
      <c r="K1952" s="80" t="s">
        <v>0</v>
      </c>
      <c r="L1952" s="80" t="s">
        <v>0</v>
      </c>
      <c r="M1952" s="80" t="s">
        <v>0</v>
      </c>
      <c r="N1952" s="80" t="s">
        <v>0</v>
      </c>
      <c r="O1952" s="80" t="s">
        <v>0</v>
      </c>
      <c r="P1952" s="80" t="s">
        <v>0</v>
      </c>
      <c r="Q1952" s="80" t="s">
        <v>3042</v>
      </c>
      <c r="R1952" s="84" t="s">
        <v>0</v>
      </c>
      <c r="S1952" s="10" t="s">
        <v>1</v>
      </c>
      <c r="T1952" s="10" t="s">
        <v>10221</v>
      </c>
      <c r="U1952" s="5" t="str">
        <f t="shared" si="952"/>
        <v>Propriedade destinada a orientar: é.ao.nordeste</v>
      </c>
      <c r="V1952" s="5" t="str">
        <f t="shared" si="953"/>
        <v>Dado para orientar:  ao.nordeste  Deve ser formatado como (xsd:boolean)</v>
      </c>
      <c r="W1952" s="69" t="s">
        <v>5948</v>
      </c>
      <c r="X1952" s="17" t="str">
        <f t="shared" si="947"/>
        <v>d.orien.111</v>
      </c>
      <c r="Y1952" s="17" t="str">
        <f t="shared" si="948"/>
        <v>Ação de orientar</v>
      </c>
      <c r="Z1952" s="62" t="s">
        <v>1404</v>
      </c>
      <c r="AA1952" s="18" t="str">
        <f t="shared" si="956"/>
        <v>null</v>
      </c>
      <c r="AB1952" s="19" t="s">
        <v>0</v>
      </c>
      <c r="AC1952" s="18" t="str">
        <f t="shared" si="957"/>
        <v>null</v>
      </c>
      <c r="AD1952" s="19" t="s">
        <v>0</v>
      </c>
      <c r="AE1952" s="18" t="str">
        <f t="shared" si="937"/>
        <v>null</v>
      </c>
      <c r="AF1952" s="75" t="s">
        <v>0</v>
      </c>
      <c r="AG1952" s="38" t="s">
        <v>8908</v>
      </c>
    </row>
    <row r="1953" spans="1:33" ht="6" customHeight="1" x14ac:dyDescent="0.4">
      <c r="A1953" s="4">
        <f>ROW()</f>
        <v>1953</v>
      </c>
      <c r="B1953" s="9" t="s">
        <v>27</v>
      </c>
      <c r="C1953" s="44" t="str">
        <f t="shared" si="955"/>
        <v>p.orientar</v>
      </c>
      <c r="D1953" s="6" t="str">
        <f t="shared" si="936"/>
        <v>é.ao.nascente</v>
      </c>
      <c r="E1953" s="8" t="s">
        <v>28</v>
      </c>
      <c r="F1953" s="34" t="str">
        <f t="shared" si="958"/>
        <v>d.orientar</v>
      </c>
      <c r="G1953" s="14" t="s">
        <v>818</v>
      </c>
      <c r="H1953" s="34" t="s">
        <v>36</v>
      </c>
      <c r="I1953" s="92" t="str">
        <f t="shared" si="954"/>
        <v>null</v>
      </c>
      <c r="J1953" s="80" t="s">
        <v>0</v>
      </c>
      <c r="K1953" s="80" t="s">
        <v>0</v>
      </c>
      <c r="L1953" s="80" t="s">
        <v>0</v>
      </c>
      <c r="M1953" s="80" t="s">
        <v>0</v>
      </c>
      <c r="N1953" s="80" t="s">
        <v>0</v>
      </c>
      <c r="O1953" s="80" t="s">
        <v>0</v>
      </c>
      <c r="P1953" s="80" t="s">
        <v>0</v>
      </c>
      <c r="Q1953" s="80" t="s">
        <v>0</v>
      </c>
      <c r="R1953" s="84" t="s">
        <v>805</v>
      </c>
      <c r="S1953" s="10" t="s">
        <v>1</v>
      </c>
      <c r="T1953" s="10" t="s">
        <v>10221</v>
      </c>
      <c r="U1953" s="5" t="str">
        <f t="shared" si="952"/>
        <v>Propriedade destinada a orientar: é.ao.nascente</v>
      </c>
      <c r="V1953" s="5" t="str">
        <f t="shared" si="953"/>
        <v>Dado para orientar:  ao.nascente  Deve ser formatado como (xsd:boolean)</v>
      </c>
      <c r="W1953" s="69" t="s">
        <v>5949</v>
      </c>
      <c r="X1953" s="17" t="str">
        <f t="shared" si="947"/>
        <v>d.orien.112</v>
      </c>
      <c r="Y1953" s="17" t="str">
        <f t="shared" si="948"/>
        <v>Ação de orientar</v>
      </c>
      <c r="Z1953" s="62" t="s">
        <v>1400</v>
      </c>
      <c r="AA1953" s="18" t="str">
        <f t="shared" si="956"/>
        <v>null</v>
      </c>
      <c r="AB1953" s="19" t="s">
        <v>0</v>
      </c>
      <c r="AC1953" s="18" t="str">
        <f t="shared" si="957"/>
        <v>null</v>
      </c>
      <c r="AD1953" s="19" t="s">
        <v>0</v>
      </c>
      <c r="AE1953" s="18" t="str">
        <f t="shared" si="937"/>
        <v>null</v>
      </c>
      <c r="AF1953" s="75" t="s">
        <v>0</v>
      </c>
      <c r="AG1953" s="38" t="s">
        <v>8909</v>
      </c>
    </row>
    <row r="1954" spans="1:33" ht="6" customHeight="1" x14ac:dyDescent="0.4">
      <c r="A1954" s="4">
        <f>ROW()</f>
        <v>1954</v>
      </c>
      <c r="B1954" s="9" t="s">
        <v>27</v>
      </c>
      <c r="C1954" s="44" t="str">
        <f t="shared" si="955"/>
        <v>p.orientar</v>
      </c>
      <c r="D1954" s="6" t="str">
        <f t="shared" si="936"/>
        <v>é.ao.poente</v>
      </c>
      <c r="E1954" s="8" t="s">
        <v>28</v>
      </c>
      <c r="F1954" s="34" t="str">
        <f t="shared" si="958"/>
        <v>d.orientar</v>
      </c>
      <c r="G1954" s="14" t="s">
        <v>819</v>
      </c>
      <c r="H1954" s="34" t="s">
        <v>36</v>
      </c>
      <c r="I1954" s="92" t="str">
        <f t="shared" si="954"/>
        <v>null</v>
      </c>
      <c r="J1954" s="80" t="s">
        <v>0</v>
      </c>
      <c r="K1954" s="80" t="s">
        <v>0</v>
      </c>
      <c r="L1954" s="80" t="s">
        <v>0</v>
      </c>
      <c r="M1954" s="80" t="s">
        <v>0</v>
      </c>
      <c r="N1954" s="80" t="s">
        <v>0</v>
      </c>
      <c r="O1954" s="80" t="s">
        <v>0</v>
      </c>
      <c r="P1954" s="80" t="s">
        <v>0</v>
      </c>
      <c r="Q1954" s="80" t="s">
        <v>0</v>
      </c>
      <c r="R1954" s="84" t="s">
        <v>810</v>
      </c>
      <c r="S1954" s="10" t="s">
        <v>1</v>
      </c>
      <c r="T1954" s="10" t="s">
        <v>10221</v>
      </c>
      <c r="U1954" s="5" t="str">
        <f t="shared" si="952"/>
        <v>Propriedade destinada a orientar: é.ao.poente</v>
      </c>
      <c r="V1954" s="5" t="str">
        <f t="shared" si="953"/>
        <v>Dado para orientar:  ao.poente  Deve ser formatado como (xsd:boolean)</v>
      </c>
      <c r="W1954" s="69" t="s">
        <v>5950</v>
      </c>
      <c r="X1954" s="17" t="str">
        <f t="shared" si="947"/>
        <v>d.orien.113</v>
      </c>
      <c r="Y1954" s="17" t="str">
        <f t="shared" si="948"/>
        <v>Ação de orientar</v>
      </c>
      <c r="Z1954" s="62" t="s">
        <v>1398</v>
      </c>
      <c r="AA1954" s="18" t="str">
        <f t="shared" si="956"/>
        <v>null</v>
      </c>
      <c r="AB1954" s="19" t="s">
        <v>0</v>
      </c>
      <c r="AC1954" s="18" t="str">
        <f t="shared" si="957"/>
        <v>null</v>
      </c>
      <c r="AD1954" s="19" t="s">
        <v>0</v>
      </c>
      <c r="AE1954" s="18" t="str">
        <f t="shared" si="937"/>
        <v>null</v>
      </c>
      <c r="AF1954" s="75" t="s">
        <v>0</v>
      </c>
      <c r="AG1954" s="38" t="s">
        <v>8902</v>
      </c>
    </row>
    <row r="1955" spans="1:33" ht="6" customHeight="1" x14ac:dyDescent="0.4">
      <c r="A1955" s="4">
        <f>ROW()</f>
        <v>1955</v>
      </c>
      <c r="B1955" s="9" t="s">
        <v>27</v>
      </c>
      <c r="C1955" s="43" t="str">
        <f t="shared" si="955"/>
        <v>p.orquestrar</v>
      </c>
      <c r="D1955" s="6" t="str">
        <f t="shared" si="936"/>
        <v>é.orq.tipo</v>
      </c>
      <c r="E1955" s="8" t="s">
        <v>28</v>
      </c>
      <c r="F1955" s="41" t="s">
        <v>10881</v>
      </c>
      <c r="G1955" s="13" t="s">
        <v>10901</v>
      </c>
      <c r="H1955" s="34" t="s">
        <v>1581</v>
      </c>
      <c r="I1955" s="92" t="str">
        <f t="shared" si="954"/>
        <v>null</v>
      </c>
      <c r="J1955" s="80" t="s">
        <v>0</v>
      </c>
      <c r="K1955" s="80" t="s">
        <v>0</v>
      </c>
      <c r="L1955" s="80" t="s">
        <v>0</v>
      </c>
      <c r="M1955" s="80" t="s">
        <v>0</v>
      </c>
      <c r="N1955" s="80" t="s">
        <v>0</v>
      </c>
      <c r="O1955" s="80" t="s">
        <v>0</v>
      </c>
      <c r="P1955" s="80" t="s">
        <v>0</v>
      </c>
      <c r="Q1955" s="80" t="s">
        <v>0</v>
      </c>
      <c r="R1955" s="84" t="s">
        <v>10882</v>
      </c>
      <c r="S1955" s="10" t="s">
        <v>1</v>
      </c>
      <c r="T1955" s="10" t="s">
        <v>10221</v>
      </c>
      <c r="U1955" s="5" t="str">
        <f t="shared" si="952"/>
        <v>Propriedade destinada a orquestrar: é.orq.tipo</v>
      </c>
      <c r="V1955" s="5" t="str">
        <f t="shared" si="953"/>
        <v>Dado para orquestrar:  orq.tipo  Deve ser formatado como (rdfs:Literal  or  xsd:string)</v>
      </c>
      <c r="W1955" s="38" t="s">
        <v>10867</v>
      </c>
      <c r="X1955" s="17" t="str">
        <f t="shared" si="947"/>
        <v>d.orque.100</v>
      </c>
      <c r="Y1955" s="17" t="str">
        <f t="shared" si="948"/>
        <v>Ação de orquestrar</v>
      </c>
      <c r="Z1955" s="62" t="str">
        <f t="shared" ref="Z1955:Z1973" si="959">_xlfn.TRANSLATE(W1955,"pt","es")</f>
        <v>Declara el tipo OKF. Es el único parámetro requerido para OKF. Representa el tipo de clase del resultado devuelto por el proceso.</v>
      </c>
      <c r="AA1955" s="18" t="s">
        <v>0</v>
      </c>
      <c r="AB1955" s="19" t="s">
        <v>0</v>
      </c>
      <c r="AC1955" s="18" t="s">
        <v>0</v>
      </c>
      <c r="AD1955" s="19" t="s">
        <v>0</v>
      </c>
      <c r="AE1955" s="18" t="str">
        <f t="shared" si="937"/>
        <v>null</v>
      </c>
      <c r="AF1955" s="75" t="s">
        <v>0</v>
      </c>
      <c r="AG1955" s="62" t="s">
        <v>11227</v>
      </c>
    </row>
    <row r="1956" spans="1:33" ht="6" customHeight="1" x14ac:dyDescent="0.4">
      <c r="A1956" s="4">
        <f>ROW()</f>
        <v>1956</v>
      </c>
      <c r="B1956" s="9" t="s">
        <v>27</v>
      </c>
      <c r="C1956" s="44" t="str">
        <f t="shared" si="955"/>
        <v>p.orquestrar</v>
      </c>
      <c r="D1956" s="6" t="str">
        <f t="shared" si="936"/>
        <v>é.orq.dataset</v>
      </c>
      <c r="E1956" s="8" t="s">
        <v>28</v>
      </c>
      <c r="F1956" s="34" t="str">
        <f t="shared" ref="F1956:F1965" si="960">F1955</f>
        <v>d.orquestrar</v>
      </c>
      <c r="G1956" s="16" t="s">
        <v>10902</v>
      </c>
      <c r="H1956" s="34" t="s">
        <v>1581</v>
      </c>
      <c r="I1956" s="92" t="str">
        <f t="shared" si="954"/>
        <v>null</v>
      </c>
      <c r="J1956" s="80" t="s">
        <v>0</v>
      </c>
      <c r="K1956" s="80" t="s">
        <v>0</v>
      </c>
      <c r="L1956" s="80" t="s">
        <v>0</v>
      </c>
      <c r="M1956" s="80" t="s">
        <v>0</v>
      </c>
      <c r="N1956" s="80" t="s">
        <v>0</v>
      </c>
      <c r="O1956" s="80" t="s">
        <v>0</v>
      </c>
      <c r="P1956" s="80" t="s">
        <v>0</v>
      </c>
      <c r="Q1956" s="80" t="s">
        <v>0</v>
      </c>
      <c r="R1956" s="84" t="s">
        <v>10883</v>
      </c>
      <c r="S1956" s="10" t="s">
        <v>1</v>
      </c>
      <c r="T1956" s="10" t="s">
        <v>10221</v>
      </c>
      <c r="U1956" s="5" t="str">
        <f t="shared" si="952"/>
        <v>Propriedade destinada a orquestrar: é.orq.dataset</v>
      </c>
      <c r="V1956" s="5" t="str">
        <f t="shared" si="953"/>
        <v>Dado para orquestrar:  orq.dataset  Deve ser formatado como (rdfs:Literal  or  xsd:string)</v>
      </c>
      <c r="W1956" s="38" t="s">
        <v>10851</v>
      </c>
      <c r="X1956" s="17" t="str">
        <f t="shared" si="947"/>
        <v>d.orque.101</v>
      </c>
      <c r="Y1956" s="17" t="str">
        <f t="shared" si="948"/>
        <v>Ação de orquestrar</v>
      </c>
      <c r="Z1956" s="62" t="str">
        <f t="shared" si="959"/>
        <v>Declara un okf.dataset. Es un parámetro opcional para OKF, definido por el usuario.</v>
      </c>
      <c r="AA1956" s="18" t="s">
        <v>0</v>
      </c>
      <c r="AB1956" s="19" t="s">
        <v>0</v>
      </c>
      <c r="AC1956" s="18" t="s">
        <v>0</v>
      </c>
      <c r="AD1956" s="19" t="s">
        <v>0</v>
      </c>
      <c r="AE1956" s="18" t="str">
        <f t="shared" si="937"/>
        <v>null</v>
      </c>
      <c r="AF1956" s="75" t="s">
        <v>0</v>
      </c>
      <c r="AG1956" s="62" t="s">
        <v>11228</v>
      </c>
    </row>
    <row r="1957" spans="1:33" ht="6" customHeight="1" x14ac:dyDescent="0.4">
      <c r="A1957" s="4">
        <f>ROW()</f>
        <v>1957</v>
      </c>
      <c r="B1957" s="9" t="s">
        <v>27</v>
      </c>
      <c r="C1957" s="44" t="str">
        <f t="shared" si="955"/>
        <v>p.orquestrar</v>
      </c>
      <c r="D1957" s="6" t="str">
        <f t="shared" si="936"/>
        <v>é.orq.fluxo.de.trabalho</v>
      </c>
      <c r="E1957" s="8" t="s">
        <v>28</v>
      </c>
      <c r="F1957" s="34" t="str">
        <f t="shared" si="960"/>
        <v>d.orquestrar</v>
      </c>
      <c r="G1957" s="16" t="s">
        <v>10903</v>
      </c>
      <c r="H1957" s="34" t="s">
        <v>1581</v>
      </c>
      <c r="I1957" s="92" t="str">
        <f t="shared" si="954"/>
        <v>null</v>
      </c>
      <c r="J1957" s="80" t="s">
        <v>0</v>
      </c>
      <c r="K1957" s="80" t="s">
        <v>0</v>
      </c>
      <c r="L1957" s="80" t="s">
        <v>0</v>
      </c>
      <c r="M1957" s="80" t="s">
        <v>0</v>
      </c>
      <c r="N1957" s="80" t="s">
        <v>0</v>
      </c>
      <c r="O1957" s="80" t="s">
        <v>0</v>
      </c>
      <c r="P1957" s="80" t="s">
        <v>0</v>
      </c>
      <c r="Q1957" s="80" t="s">
        <v>0</v>
      </c>
      <c r="R1957" s="84" t="s">
        <v>10884</v>
      </c>
      <c r="S1957" s="10" t="s">
        <v>1</v>
      </c>
      <c r="T1957" s="10" t="s">
        <v>10221</v>
      </c>
      <c r="U1957" s="5" t="str">
        <f t="shared" si="952"/>
        <v>Propriedade destinada a orquestrar: é.orq.fluxo.de.trabalho</v>
      </c>
      <c r="V1957" s="5" t="str">
        <f t="shared" si="953"/>
        <v>Dado para orquestrar:  orq.fluxo.de.trabalho  Deve ser formatado como (rdfs:Literal  or  xsd:string)</v>
      </c>
      <c r="W1957" s="38" t="s">
        <v>10852</v>
      </c>
      <c r="X1957" s="17" t="str">
        <f t="shared" si="947"/>
        <v>d.orque.102</v>
      </c>
      <c r="Y1957" s="17" t="str">
        <f t="shared" si="948"/>
        <v>Ação de orquestrar</v>
      </c>
      <c r="Z1957" s="62" t="str">
        <f t="shared" si="959"/>
        <v>Declara un okf.workflow. Es un parámetro opcional para OKF, definido por el usuario.</v>
      </c>
      <c r="AA1957" s="18" t="s">
        <v>0</v>
      </c>
      <c r="AB1957" s="19" t="s">
        <v>0</v>
      </c>
      <c r="AC1957" s="18" t="s">
        <v>0</v>
      </c>
      <c r="AD1957" s="19" t="s">
        <v>0</v>
      </c>
      <c r="AE1957" s="18" t="str">
        <f t="shared" si="937"/>
        <v>null</v>
      </c>
      <c r="AF1957" s="75" t="s">
        <v>0</v>
      </c>
      <c r="AG1957" s="62" t="s">
        <v>11229</v>
      </c>
    </row>
    <row r="1958" spans="1:33" ht="6" customHeight="1" x14ac:dyDescent="0.4">
      <c r="A1958" s="4">
        <f>ROW()</f>
        <v>1958</v>
      </c>
      <c r="B1958" s="9" t="s">
        <v>27</v>
      </c>
      <c r="C1958" s="44" t="str">
        <f t="shared" si="955"/>
        <v>p.orquestrar</v>
      </c>
      <c r="D1958" s="6" t="str">
        <f t="shared" si="936"/>
        <v>é.orq.guia.de.processo</v>
      </c>
      <c r="E1958" s="8" t="s">
        <v>28</v>
      </c>
      <c r="F1958" s="34" t="str">
        <f t="shared" si="960"/>
        <v>d.orquestrar</v>
      </c>
      <c r="G1958" s="16" t="s">
        <v>10904</v>
      </c>
      <c r="H1958" s="34" t="s">
        <v>1581</v>
      </c>
      <c r="I1958" s="93" t="str">
        <f t="shared" si="954"/>
        <v>null</v>
      </c>
      <c r="J1958" s="80" t="s">
        <v>0</v>
      </c>
      <c r="K1958" s="80" t="s">
        <v>0</v>
      </c>
      <c r="L1958" s="80" t="s">
        <v>0</v>
      </c>
      <c r="M1958" s="80" t="s">
        <v>0</v>
      </c>
      <c r="N1958" s="80" t="s">
        <v>0</v>
      </c>
      <c r="O1958" s="80" t="s">
        <v>0</v>
      </c>
      <c r="P1958" s="80" t="s">
        <v>0</v>
      </c>
      <c r="Q1958" s="80" t="s">
        <v>0</v>
      </c>
      <c r="R1958" s="84" t="s">
        <v>10885</v>
      </c>
      <c r="S1958" s="10" t="s">
        <v>1</v>
      </c>
      <c r="T1958" s="10" t="s">
        <v>10221</v>
      </c>
      <c r="U1958" s="5" t="str">
        <f t="shared" si="952"/>
        <v>Propriedade destinada a orquestrar: é.orq.guia.de.processo</v>
      </c>
      <c r="V1958" s="5" t="str">
        <f t="shared" si="953"/>
        <v>Dado para orquestrar:  orq.guia.de.processo  Deve ser formatado como (rdfs:Literal  or  xsd:string)</v>
      </c>
      <c r="W1958" s="38" t="s">
        <v>10853</v>
      </c>
      <c r="X1958" s="17" t="str">
        <f t="shared" si="947"/>
        <v>d.orque.103</v>
      </c>
      <c r="Y1958" s="17" t="str">
        <f t="shared" si="948"/>
        <v>Ação de orquestrar</v>
      </c>
      <c r="Z1958" s="62" t="str">
        <f t="shared" si="959"/>
        <v>Declara un proceso okf.guia.de. Es un parámetro opcional para OKF, definido por el usuario.</v>
      </c>
      <c r="AA1958" s="18" t="s">
        <v>0</v>
      </c>
      <c r="AB1958" s="19" t="s">
        <v>0</v>
      </c>
      <c r="AC1958" s="18" t="s">
        <v>0</v>
      </c>
      <c r="AD1958" s="19" t="s">
        <v>0</v>
      </c>
      <c r="AE1958" s="18" t="str">
        <f t="shared" si="937"/>
        <v>null</v>
      </c>
      <c r="AF1958" s="75" t="s">
        <v>0</v>
      </c>
      <c r="AG1958" s="62" t="s">
        <v>11230</v>
      </c>
    </row>
    <row r="1959" spans="1:33" customFormat="1" ht="6" customHeight="1" x14ac:dyDescent="0.4">
      <c r="A1959" s="4">
        <f>ROW()</f>
        <v>1959</v>
      </c>
      <c r="B1959" s="9" t="s">
        <v>27</v>
      </c>
      <c r="C1959" s="44" t="str">
        <f t="shared" si="955"/>
        <v>p.orquestrar</v>
      </c>
      <c r="D1959" s="6" t="str">
        <f t="shared" si="936"/>
        <v>é.orq.métrica</v>
      </c>
      <c r="E1959" s="8" t="s">
        <v>28</v>
      </c>
      <c r="F1959" s="34" t="str">
        <f t="shared" si="960"/>
        <v>d.orquestrar</v>
      </c>
      <c r="G1959" s="16" t="s">
        <v>10905</v>
      </c>
      <c r="H1959" s="34" t="s">
        <v>1581</v>
      </c>
      <c r="I1959" s="93" t="str">
        <f t="shared" si="954"/>
        <v>null</v>
      </c>
      <c r="J1959" s="80" t="s">
        <v>0</v>
      </c>
      <c r="K1959" s="80" t="s">
        <v>0</v>
      </c>
      <c r="L1959" s="80" t="s">
        <v>0</v>
      </c>
      <c r="M1959" s="80" t="s">
        <v>0</v>
      </c>
      <c r="N1959" s="80" t="s">
        <v>0</v>
      </c>
      <c r="O1959" s="80" t="s">
        <v>0</v>
      </c>
      <c r="P1959" s="80" t="s">
        <v>0</v>
      </c>
      <c r="Q1959" s="80" t="s">
        <v>0</v>
      </c>
      <c r="R1959" s="84" t="s">
        <v>10886</v>
      </c>
      <c r="S1959" s="10" t="s">
        <v>1</v>
      </c>
      <c r="T1959" s="10" t="s">
        <v>10221</v>
      </c>
      <c r="U1959" s="5" t="str">
        <f t="shared" si="952"/>
        <v>Propriedade destinada a orquestrar: é.orq.métrica</v>
      </c>
      <c r="V1959" s="5" t="str">
        <f t="shared" si="953"/>
        <v>Dado para orquestrar:  orq.métrica  Deve ser formatado como (rdfs:Literal  or  xsd:string)</v>
      </c>
      <c r="W1959" s="38" t="s">
        <v>10854</v>
      </c>
      <c r="X1959" s="17" t="str">
        <f t="shared" si="947"/>
        <v>d.orque.104</v>
      </c>
      <c r="Y1959" s="17" t="str">
        <f t="shared" si="948"/>
        <v>Ação de orquestrar</v>
      </c>
      <c r="Z1959" s="62" t="str">
        <f t="shared" si="959"/>
        <v>Declara un okf.metric. Es un parámetro opcional para OKF, definido por el usuario.</v>
      </c>
      <c r="AA1959" s="18" t="s">
        <v>0</v>
      </c>
      <c r="AB1959" s="19" t="s">
        <v>0</v>
      </c>
      <c r="AC1959" s="18" t="s">
        <v>0</v>
      </c>
      <c r="AD1959" s="19" t="s">
        <v>0</v>
      </c>
      <c r="AE1959" s="18" t="str">
        <f t="shared" si="937"/>
        <v>null</v>
      </c>
      <c r="AF1959" s="75" t="s">
        <v>0</v>
      </c>
      <c r="AG1959" s="62" t="s">
        <v>11231</v>
      </c>
    </row>
    <row r="1960" spans="1:33" customFormat="1" ht="6" customHeight="1" x14ac:dyDescent="0.4">
      <c r="A1960" s="4">
        <f>ROW()</f>
        <v>1960</v>
      </c>
      <c r="B1960" s="9" t="s">
        <v>27</v>
      </c>
      <c r="C1960" s="44" t="str">
        <f t="shared" si="955"/>
        <v>p.orquestrar</v>
      </c>
      <c r="D1960" s="6" t="str">
        <f t="shared" si="936"/>
        <v>é.orq.norma.abnt</v>
      </c>
      <c r="E1960" s="8" t="s">
        <v>28</v>
      </c>
      <c r="F1960" s="34" t="str">
        <f t="shared" si="960"/>
        <v>d.orquestrar</v>
      </c>
      <c r="G1960" s="16" t="s">
        <v>10906</v>
      </c>
      <c r="H1960" s="34" t="s">
        <v>1581</v>
      </c>
      <c r="I1960" s="93" t="str">
        <f t="shared" si="954"/>
        <v>null</v>
      </c>
      <c r="J1960" s="80" t="s">
        <v>0</v>
      </c>
      <c r="K1960" s="80" t="s">
        <v>0</v>
      </c>
      <c r="L1960" s="80" t="s">
        <v>0</v>
      </c>
      <c r="M1960" s="80" t="s">
        <v>0</v>
      </c>
      <c r="N1960" s="80" t="s">
        <v>0</v>
      </c>
      <c r="O1960" s="80" t="s">
        <v>0</v>
      </c>
      <c r="P1960" s="80" t="s">
        <v>0</v>
      </c>
      <c r="Q1960" s="80" t="s">
        <v>0</v>
      </c>
      <c r="R1960" s="84" t="s">
        <v>10887</v>
      </c>
      <c r="S1960" s="10" t="s">
        <v>1</v>
      </c>
      <c r="T1960" s="10" t="s">
        <v>10221</v>
      </c>
      <c r="U1960" s="5" t="str">
        <f t="shared" si="952"/>
        <v>Propriedade destinada a orquestrar: é.orq.norma.abnt</v>
      </c>
      <c r="V1960" s="5" t="str">
        <f t="shared" si="953"/>
        <v>Dado para orquestrar:  orq.norma.abnt  Deve ser formatado como (rdfs:Literal  or  xsd:string)</v>
      </c>
      <c r="W1960" s="38" t="s">
        <v>10855</v>
      </c>
      <c r="X1960" s="17" t="str">
        <f t="shared" si="947"/>
        <v>d.orque.105</v>
      </c>
      <c r="Y1960" s="17" t="str">
        <f t="shared" si="948"/>
        <v>Ação de orquestrar</v>
      </c>
      <c r="Z1960" s="62" t="str">
        <f t="shared" si="959"/>
        <v>Declara un okf.norma.abnt. Es un parámetro opcional para OKF, definido por el usuario.</v>
      </c>
      <c r="AA1960" s="18" t="s">
        <v>0</v>
      </c>
      <c r="AB1960" s="19" t="s">
        <v>0</v>
      </c>
      <c r="AC1960" s="18" t="s">
        <v>0</v>
      </c>
      <c r="AD1960" s="19" t="s">
        <v>0</v>
      </c>
      <c r="AE1960" s="18" t="str">
        <f t="shared" si="937"/>
        <v>null</v>
      </c>
      <c r="AF1960" s="75" t="s">
        <v>0</v>
      </c>
      <c r="AG1960" s="62" t="s">
        <v>11232</v>
      </c>
    </row>
    <row r="1961" spans="1:33" customFormat="1" ht="6" customHeight="1" x14ac:dyDescent="0.4">
      <c r="A1961" s="4">
        <f>ROW()</f>
        <v>1961</v>
      </c>
      <c r="B1961" s="9" t="s">
        <v>27</v>
      </c>
      <c r="C1961" s="44" t="str">
        <f t="shared" si="955"/>
        <v>p.orquestrar</v>
      </c>
      <c r="D1961" s="6" t="str">
        <f t="shared" si="936"/>
        <v>é.orq.norma.bombeiro</v>
      </c>
      <c r="E1961" s="8" t="s">
        <v>28</v>
      </c>
      <c r="F1961" s="34" t="str">
        <f t="shared" si="960"/>
        <v>d.orquestrar</v>
      </c>
      <c r="G1961" s="16" t="s">
        <v>10907</v>
      </c>
      <c r="H1961" s="34" t="s">
        <v>1581</v>
      </c>
      <c r="I1961" s="93" t="str">
        <f t="shared" si="954"/>
        <v>null</v>
      </c>
      <c r="J1961" s="80" t="s">
        <v>0</v>
      </c>
      <c r="K1961" s="80" t="s">
        <v>0</v>
      </c>
      <c r="L1961" s="80" t="s">
        <v>0</v>
      </c>
      <c r="M1961" s="80" t="s">
        <v>0</v>
      </c>
      <c r="N1961" s="80" t="s">
        <v>0</v>
      </c>
      <c r="O1961" s="80" t="s">
        <v>0</v>
      </c>
      <c r="P1961" s="80" t="s">
        <v>0</v>
      </c>
      <c r="Q1961" s="80" t="s">
        <v>0</v>
      </c>
      <c r="R1961" s="84" t="s">
        <v>10888</v>
      </c>
      <c r="S1961" s="10" t="s">
        <v>1</v>
      </c>
      <c r="T1961" s="10" t="s">
        <v>10221</v>
      </c>
      <c r="U1961" s="5" t="str">
        <f t="shared" si="952"/>
        <v>Propriedade destinada a orquestrar: é.orq.norma.bombeiro</v>
      </c>
      <c r="V1961" s="5" t="str">
        <f t="shared" si="953"/>
        <v>Dado para orquestrar:  orq.norma.bombeiro  Deve ser formatado como (rdfs:Literal  or  xsd:string)</v>
      </c>
      <c r="W1961" s="38" t="s">
        <v>10856</v>
      </c>
      <c r="X1961" s="17" t="str">
        <f t="shared" si="947"/>
        <v>d.orque.106</v>
      </c>
      <c r="Y1961" s="17" t="str">
        <f t="shared" si="948"/>
        <v>Ação de orquestrar</v>
      </c>
      <c r="Z1961" s="62" t="str">
        <f t="shared" si="959"/>
        <v>Declara un bombero de la norma. Es un parámetro opcional para OKF, definido por el usuario.</v>
      </c>
      <c r="AA1961" s="18" t="s">
        <v>0</v>
      </c>
      <c r="AB1961" s="19" t="s">
        <v>0</v>
      </c>
      <c r="AC1961" s="18" t="s">
        <v>0</v>
      </c>
      <c r="AD1961" s="19" t="s">
        <v>0</v>
      </c>
      <c r="AE1961" s="18" t="str">
        <f t="shared" si="937"/>
        <v>null</v>
      </c>
      <c r="AF1961" s="75" t="s">
        <v>0</v>
      </c>
      <c r="AG1961" s="62" t="s">
        <v>11233</v>
      </c>
    </row>
    <row r="1962" spans="1:33" customFormat="1" ht="6" customHeight="1" x14ac:dyDescent="0.4">
      <c r="A1962" s="4">
        <f>ROW()</f>
        <v>1962</v>
      </c>
      <c r="B1962" s="9" t="s">
        <v>27</v>
      </c>
      <c r="C1962" s="44" t="str">
        <f t="shared" si="955"/>
        <v>p.orquestrar</v>
      </c>
      <c r="D1962" s="6" t="str">
        <f t="shared" si="936"/>
        <v>é.orq.norma.fabricante</v>
      </c>
      <c r="E1962" s="8" t="s">
        <v>28</v>
      </c>
      <c r="F1962" s="34" t="str">
        <f t="shared" si="960"/>
        <v>d.orquestrar</v>
      </c>
      <c r="G1962" s="16" t="s">
        <v>10908</v>
      </c>
      <c r="H1962" s="34" t="s">
        <v>1581</v>
      </c>
      <c r="I1962" s="93" t="str">
        <f t="shared" si="954"/>
        <v>null</v>
      </c>
      <c r="J1962" s="80" t="s">
        <v>0</v>
      </c>
      <c r="K1962" s="80" t="s">
        <v>0</v>
      </c>
      <c r="L1962" s="80" t="s">
        <v>0</v>
      </c>
      <c r="M1962" s="80" t="s">
        <v>0</v>
      </c>
      <c r="N1962" s="80" t="s">
        <v>0</v>
      </c>
      <c r="O1962" s="80" t="s">
        <v>0</v>
      </c>
      <c r="P1962" s="80" t="s">
        <v>0</v>
      </c>
      <c r="Q1962" s="80" t="s">
        <v>0</v>
      </c>
      <c r="R1962" s="84" t="s">
        <v>10889</v>
      </c>
      <c r="S1962" s="10" t="s">
        <v>1</v>
      </c>
      <c r="T1962" s="10" t="s">
        <v>10221</v>
      </c>
      <c r="U1962" s="5" t="str">
        <f t="shared" si="952"/>
        <v>Propriedade destinada a orquestrar: é.orq.norma.fabricante</v>
      </c>
      <c r="V1962" s="5" t="str">
        <f t="shared" si="953"/>
        <v>Dado para orquestrar:  orq.norma.fabricante  Deve ser formatado como (rdfs:Literal  or  xsd:string)</v>
      </c>
      <c r="W1962" s="38" t="s">
        <v>10857</v>
      </c>
      <c r="X1962" s="17" t="str">
        <f t="shared" si="947"/>
        <v>d.orque.107</v>
      </c>
      <c r="Y1962" s="17" t="str">
        <f t="shared" si="948"/>
        <v>Ação de orquestrar</v>
      </c>
      <c r="Z1962" s="62" t="str">
        <f t="shared" si="959"/>
        <v>Declara un fabricante de okf.standard. Es un parámetro opcional para OKF, definido por el usuario.</v>
      </c>
      <c r="AA1962" s="18" t="s">
        <v>0</v>
      </c>
      <c r="AB1962" s="19" t="s">
        <v>0</v>
      </c>
      <c r="AC1962" s="18" t="s">
        <v>0</v>
      </c>
      <c r="AD1962" s="19" t="s">
        <v>0</v>
      </c>
      <c r="AE1962" s="18" t="str">
        <f t="shared" si="937"/>
        <v>null</v>
      </c>
      <c r="AF1962" s="75" t="s">
        <v>0</v>
      </c>
      <c r="AG1962" s="62" t="s">
        <v>11234</v>
      </c>
    </row>
    <row r="1963" spans="1:33" customFormat="1" ht="6" customHeight="1" x14ac:dyDescent="0.4">
      <c r="A1963" s="4">
        <f>ROW()</f>
        <v>1963</v>
      </c>
      <c r="B1963" s="9" t="s">
        <v>27</v>
      </c>
      <c r="C1963" s="44" t="str">
        <f t="shared" si="955"/>
        <v>p.orquestrar</v>
      </c>
      <c r="D1963" s="6" t="str">
        <f t="shared" si="936"/>
        <v>é.orq.norma.sus</v>
      </c>
      <c r="E1963" s="8" t="s">
        <v>28</v>
      </c>
      <c r="F1963" s="34" t="str">
        <f t="shared" si="960"/>
        <v>d.orquestrar</v>
      </c>
      <c r="G1963" s="16" t="s">
        <v>10909</v>
      </c>
      <c r="H1963" s="34" t="s">
        <v>1581</v>
      </c>
      <c r="I1963" s="93" t="str">
        <f t="shared" si="954"/>
        <v>null</v>
      </c>
      <c r="J1963" s="80" t="s">
        <v>0</v>
      </c>
      <c r="K1963" s="80" t="s">
        <v>0</v>
      </c>
      <c r="L1963" s="80" t="s">
        <v>0</v>
      </c>
      <c r="M1963" s="80" t="s">
        <v>0</v>
      </c>
      <c r="N1963" s="80" t="s">
        <v>0</v>
      </c>
      <c r="O1963" s="80" t="s">
        <v>0</v>
      </c>
      <c r="P1963" s="80" t="s">
        <v>0</v>
      </c>
      <c r="Q1963" s="80" t="s">
        <v>0</v>
      </c>
      <c r="R1963" s="84" t="s">
        <v>10890</v>
      </c>
      <c r="S1963" s="10" t="s">
        <v>1</v>
      </c>
      <c r="T1963" s="10" t="s">
        <v>10221</v>
      </c>
      <c r="U1963" s="5" t="str">
        <f t="shared" si="952"/>
        <v>Propriedade destinada a orquestrar: é.orq.norma.sus</v>
      </c>
      <c r="V1963" s="5" t="str">
        <f t="shared" si="953"/>
        <v>Dado para orquestrar:  orq.norma.sus  Deve ser formatado como (rdfs:Literal  or  xsd:string)</v>
      </c>
      <c r="W1963" s="38" t="s">
        <v>10858</v>
      </c>
      <c r="X1963" s="17" t="str">
        <f t="shared" si="947"/>
        <v>d.orque.108</v>
      </c>
      <c r="Y1963" s="17" t="str">
        <f t="shared" si="948"/>
        <v>Ação de orquestrar</v>
      </c>
      <c r="Z1963" s="62" t="str">
        <f t="shared" si="959"/>
        <v>Declara un okf.norma.sus. Es un parámetro opcional para OKF, definido por el usuario.</v>
      </c>
      <c r="AA1963" s="18" t="s">
        <v>0</v>
      </c>
      <c r="AB1963" s="19" t="s">
        <v>0</v>
      </c>
      <c r="AC1963" s="18" t="s">
        <v>0</v>
      </c>
      <c r="AD1963" s="19" t="s">
        <v>0</v>
      </c>
      <c r="AE1963" s="18" t="str">
        <f t="shared" si="937"/>
        <v>null</v>
      </c>
      <c r="AF1963" s="75" t="s">
        <v>0</v>
      </c>
      <c r="AG1963" s="62" t="s">
        <v>11235</v>
      </c>
    </row>
    <row r="1964" spans="1:33" customFormat="1" ht="6" customHeight="1" x14ac:dyDescent="0.4">
      <c r="A1964" s="4">
        <f>ROW()</f>
        <v>1964</v>
      </c>
      <c r="B1964" s="9" t="s">
        <v>27</v>
      </c>
      <c r="C1964" s="44" t="str">
        <f t="shared" si="955"/>
        <v>p.orquestrar</v>
      </c>
      <c r="D1964" s="6" t="str">
        <f t="shared" si="936"/>
        <v>é.orq.norma.urbana</v>
      </c>
      <c r="E1964" s="8" t="s">
        <v>28</v>
      </c>
      <c r="F1964" s="34" t="str">
        <f t="shared" si="960"/>
        <v>d.orquestrar</v>
      </c>
      <c r="G1964" s="16" t="s">
        <v>10910</v>
      </c>
      <c r="H1964" s="34" t="s">
        <v>1581</v>
      </c>
      <c r="I1964" s="93" t="str">
        <f t="shared" si="954"/>
        <v>null</v>
      </c>
      <c r="J1964" s="80" t="s">
        <v>0</v>
      </c>
      <c r="K1964" s="80" t="s">
        <v>0</v>
      </c>
      <c r="L1964" s="80" t="s">
        <v>0</v>
      </c>
      <c r="M1964" s="80" t="s">
        <v>0</v>
      </c>
      <c r="N1964" s="80" t="s">
        <v>0</v>
      </c>
      <c r="O1964" s="80" t="s">
        <v>0</v>
      </c>
      <c r="P1964" s="80" t="s">
        <v>0</v>
      </c>
      <c r="Q1964" s="80" t="s">
        <v>0</v>
      </c>
      <c r="R1964" s="84" t="s">
        <v>10891</v>
      </c>
      <c r="S1964" s="10" t="s">
        <v>1</v>
      </c>
      <c r="T1964" s="10" t="s">
        <v>10221</v>
      </c>
      <c r="U1964" s="5" t="str">
        <f t="shared" si="952"/>
        <v>Propriedade destinada a orquestrar: é.orq.norma.urbana</v>
      </c>
      <c r="V1964" s="5" t="str">
        <f t="shared" si="953"/>
        <v>Dado para orquestrar:  orq.norma.urbana  Deve ser formatado como (rdfs:Literal  or  xsd:string)</v>
      </c>
      <c r="W1964" s="38" t="s">
        <v>10859</v>
      </c>
      <c r="X1964" s="17" t="str">
        <f t="shared" si="947"/>
        <v>d.orque.109</v>
      </c>
      <c r="Y1964" s="17" t="str">
        <f t="shared" si="948"/>
        <v>Ação de orquestrar</v>
      </c>
      <c r="Z1964" s="62" t="str">
        <f t="shared" si="959"/>
        <v>Declara un okf.norma.urbana. Es un parámetro opcional para OKF, definido por el usuario.</v>
      </c>
      <c r="AA1964" s="18" t="s">
        <v>0</v>
      </c>
      <c r="AB1964" s="19" t="s">
        <v>0</v>
      </c>
      <c r="AC1964" s="18" t="s">
        <v>0</v>
      </c>
      <c r="AD1964" s="19" t="s">
        <v>0</v>
      </c>
      <c r="AE1964" s="18" t="str">
        <f t="shared" si="937"/>
        <v>null</v>
      </c>
      <c r="AF1964" s="75" t="s">
        <v>0</v>
      </c>
      <c r="AG1964" s="62" t="s">
        <v>11236</v>
      </c>
    </row>
    <row r="1965" spans="1:33" customFormat="1" ht="6" customHeight="1" x14ac:dyDescent="0.4">
      <c r="A1965" s="4">
        <f>ROW()</f>
        <v>1965</v>
      </c>
      <c r="B1965" s="9" t="s">
        <v>27</v>
      </c>
      <c r="C1965" s="44" t="str">
        <f t="shared" si="955"/>
        <v>p.orquestrar</v>
      </c>
      <c r="D1965" s="6" t="str">
        <f t="shared" si="936"/>
        <v>é.orq.ontologia</v>
      </c>
      <c r="E1965" s="8" t="s">
        <v>28</v>
      </c>
      <c r="F1965" s="34" t="str">
        <f t="shared" si="960"/>
        <v>d.orquestrar</v>
      </c>
      <c r="G1965" s="16" t="s">
        <v>10911</v>
      </c>
      <c r="H1965" s="34" t="s">
        <v>1581</v>
      </c>
      <c r="I1965" s="93" t="str">
        <f t="shared" si="954"/>
        <v>null</v>
      </c>
      <c r="J1965" s="80" t="s">
        <v>0</v>
      </c>
      <c r="K1965" s="80" t="s">
        <v>0</v>
      </c>
      <c r="L1965" s="80" t="s">
        <v>0</v>
      </c>
      <c r="M1965" s="80" t="s">
        <v>0</v>
      </c>
      <c r="N1965" s="80" t="s">
        <v>0</v>
      </c>
      <c r="O1965" s="80" t="s">
        <v>0</v>
      </c>
      <c r="P1965" s="80" t="s">
        <v>0</v>
      </c>
      <c r="Q1965" s="80" t="s">
        <v>0</v>
      </c>
      <c r="R1965" s="84" t="s">
        <v>10892</v>
      </c>
      <c r="S1965" s="10" t="s">
        <v>1</v>
      </c>
      <c r="T1965" s="10" t="s">
        <v>10221</v>
      </c>
      <c r="U1965" s="5" t="str">
        <f t="shared" si="952"/>
        <v>Propriedade destinada a orquestrar: é.orq.ontologia</v>
      </c>
      <c r="V1965" s="5" t="str">
        <f t="shared" si="953"/>
        <v>Dado para orquestrar:  orq.ontologia  Deve ser formatado como (rdfs:Literal  or  xsd:string)</v>
      </c>
      <c r="W1965" s="38" t="s">
        <v>10860</v>
      </c>
      <c r="X1965" s="17" t="str">
        <f t="shared" si="947"/>
        <v>d.orque.110</v>
      </c>
      <c r="Y1965" s="17" t="str">
        <f t="shared" si="948"/>
        <v>Ação de orquestrar</v>
      </c>
      <c r="Z1965" s="62" t="str">
        <f t="shared" si="959"/>
        <v>Declara una okf.ontology. Es un parámetro opcional para OKF, definido por el usuario.</v>
      </c>
      <c r="AA1965" s="18" t="s">
        <v>0</v>
      </c>
      <c r="AB1965" s="19" t="s">
        <v>0</v>
      </c>
      <c r="AC1965" s="18" t="s">
        <v>0</v>
      </c>
      <c r="AD1965" s="19" t="s">
        <v>0</v>
      </c>
      <c r="AE1965" s="18" t="str">
        <f t="shared" si="937"/>
        <v>null</v>
      </c>
      <c r="AF1965" s="75" t="s">
        <v>0</v>
      </c>
      <c r="AG1965" s="62" t="s">
        <v>11237</v>
      </c>
    </row>
    <row r="1966" spans="1:33" customFormat="1" ht="6" customHeight="1" x14ac:dyDescent="0.4">
      <c r="A1966" s="4">
        <f>ROW()</f>
        <v>1966</v>
      </c>
      <c r="B1966" s="9" t="s">
        <v>27</v>
      </c>
      <c r="C1966" s="44" t="str">
        <f t="shared" si="955"/>
        <v>p.orquestrar</v>
      </c>
      <c r="D1966" s="6" t="str">
        <f t="shared" si="936"/>
        <v>é.orq.política.interna</v>
      </c>
      <c r="E1966" s="8" t="s">
        <v>28</v>
      </c>
      <c r="F1966" s="34" t="str">
        <f>F1964</f>
        <v>d.orquestrar</v>
      </c>
      <c r="G1966" s="16" t="s">
        <v>10912</v>
      </c>
      <c r="H1966" s="34" t="s">
        <v>1581</v>
      </c>
      <c r="I1966" s="93" t="str">
        <f t="shared" si="954"/>
        <v>null</v>
      </c>
      <c r="J1966" s="80" t="s">
        <v>0</v>
      </c>
      <c r="K1966" s="80" t="s">
        <v>0</v>
      </c>
      <c r="L1966" s="80" t="s">
        <v>0</v>
      </c>
      <c r="M1966" s="80" t="s">
        <v>0</v>
      </c>
      <c r="N1966" s="80" t="s">
        <v>0</v>
      </c>
      <c r="O1966" s="80" t="s">
        <v>0</v>
      </c>
      <c r="P1966" s="80" t="s">
        <v>0</v>
      </c>
      <c r="Q1966" s="80" t="s">
        <v>0</v>
      </c>
      <c r="R1966" s="84" t="s">
        <v>10893</v>
      </c>
      <c r="S1966" s="10" t="s">
        <v>1</v>
      </c>
      <c r="T1966" s="10" t="s">
        <v>10221</v>
      </c>
      <c r="U1966" s="5" t="str">
        <f t="shared" si="952"/>
        <v>Propriedade destinada a orquestrar: é.orq.política.interna</v>
      </c>
      <c r="V1966" s="5" t="str">
        <f t="shared" si="953"/>
        <v>Dado para orquestrar:  orq.política.interna  Deve ser formatado como (rdfs:Literal  or  xsd:string)</v>
      </c>
      <c r="W1966" s="38" t="s">
        <v>10861</v>
      </c>
      <c r="X1966" s="17" t="str">
        <f t="shared" si="947"/>
        <v>d.orque.111</v>
      </c>
      <c r="Y1966" s="17" t="str">
        <f t="shared" si="948"/>
        <v>Ação de orquestrar</v>
      </c>
      <c r="Z1966" s="62" t="str">
        <f t="shared" si="959"/>
        <v>Declara un internal.policy.okf. Es un parámetro opcional para OKF, definido por el usuario.</v>
      </c>
      <c r="AA1966" s="18" t="s">
        <v>0</v>
      </c>
      <c r="AB1966" s="19" t="s">
        <v>0</v>
      </c>
      <c r="AC1966" s="18" t="s">
        <v>0</v>
      </c>
      <c r="AD1966" s="19" t="s">
        <v>0</v>
      </c>
      <c r="AE1966" s="18" t="str">
        <f t="shared" si="937"/>
        <v>null</v>
      </c>
      <c r="AF1966" s="75" t="s">
        <v>0</v>
      </c>
      <c r="AG1966" s="62" t="s">
        <v>11238</v>
      </c>
    </row>
    <row r="1967" spans="1:33" customFormat="1" ht="6" customHeight="1" x14ac:dyDescent="0.4">
      <c r="A1967" s="4">
        <f>ROW()</f>
        <v>1967</v>
      </c>
      <c r="B1967" s="9" t="s">
        <v>27</v>
      </c>
      <c r="C1967" s="44" t="str">
        <f t="shared" si="955"/>
        <v>p.orquestrar</v>
      </c>
      <c r="D1967" s="6" t="str">
        <f t="shared" si="936"/>
        <v>é.orq.política.externa</v>
      </c>
      <c r="E1967" s="8" t="s">
        <v>28</v>
      </c>
      <c r="F1967" s="34" t="str">
        <f>F1965</f>
        <v>d.orquestrar</v>
      </c>
      <c r="G1967" s="16" t="s">
        <v>10913</v>
      </c>
      <c r="H1967" s="34" t="s">
        <v>1581</v>
      </c>
      <c r="I1967" s="93" t="str">
        <f t="shared" si="954"/>
        <v>null</v>
      </c>
      <c r="J1967" s="80" t="s">
        <v>0</v>
      </c>
      <c r="K1967" s="80" t="s">
        <v>0</v>
      </c>
      <c r="L1967" s="80" t="s">
        <v>0</v>
      </c>
      <c r="M1967" s="80" t="s">
        <v>0</v>
      </c>
      <c r="N1967" s="80" t="s">
        <v>0</v>
      </c>
      <c r="O1967" s="80" t="s">
        <v>0</v>
      </c>
      <c r="P1967" s="80" t="s">
        <v>0</v>
      </c>
      <c r="Q1967" s="80" t="s">
        <v>0</v>
      </c>
      <c r="R1967" s="84" t="s">
        <v>10894</v>
      </c>
      <c r="S1967" s="10" t="s">
        <v>1</v>
      </c>
      <c r="T1967" s="10" t="s">
        <v>10221</v>
      </c>
      <c r="U1967" s="5" t="str">
        <f t="shared" si="952"/>
        <v>Propriedade destinada a orquestrar: é.orq.política.externa</v>
      </c>
      <c r="V1967" s="5" t="str">
        <f t="shared" si="953"/>
        <v>Dado para orquestrar:  orq.política.externa  Deve ser formatado como (rdfs:Literal  or  xsd:string)</v>
      </c>
      <c r="W1967" s="38" t="s">
        <v>10862</v>
      </c>
      <c r="X1967" s="17" t="str">
        <f t="shared" si="947"/>
        <v>d.orque.112</v>
      </c>
      <c r="Y1967" s="17" t="str">
        <f t="shared" si="948"/>
        <v>Ação de orquestrar</v>
      </c>
      <c r="Z1967" s="62" t="str">
        <f t="shared" si="959"/>
        <v>Declara un okf. Foreignpolicy. Es un parámetro opcional para OKF, definido por el usuario.</v>
      </c>
      <c r="AA1967" s="18" t="s">
        <v>0</v>
      </c>
      <c r="AB1967" s="19" t="s">
        <v>0</v>
      </c>
      <c r="AC1967" s="18" t="s">
        <v>0</v>
      </c>
      <c r="AD1967" s="19" t="s">
        <v>0</v>
      </c>
      <c r="AE1967" s="18" t="str">
        <f t="shared" si="937"/>
        <v>null</v>
      </c>
      <c r="AF1967" s="75" t="s">
        <v>0</v>
      </c>
      <c r="AG1967" s="62" t="s">
        <v>11239</v>
      </c>
    </row>
    <row r="1968" spans="1:33" customFormat="1" ht="6" customHeight="1" x14ac:dyDescent="0.4">
      <c r="A1968" s="4">
        <f>ROW()</f>
        <v>1968</v>
      </c>
      <c r="B1968" s="9" t="s">
        <v>27</v>
      </c>
      <c r="C1968" s="44" t="str">
        <f t="shared" si="955"/>
        <v>p.orquestrar</v>
      </c>
      <c r="D1968" s="6" t="str">
        <f t="shared" si="936"/>
        <v>é.orq.programa.api</v>
      </c>
      <c r="E1968" s="8" t="s">
        <v>28</v>
      </c>
      <c r="F1968" s="34" t="str">
        <f>F1967</f>
        <v>d.orquestrar</v>
      </c>
      <c r="G1968" s="16" t="s">
        <v>10914</v>
      </c>
      <c r="H1968" s="34" t="s">
        <v>1581</v>
      </c>
      <c r="I1968" s="93" t="str">
        <f t="shared" si="954"/>
        <v>null</v>
      </c>
      <c r="J1968" s="80" t="s">
        <v>0</v>
      </c>
      <c r="K1968" s="80" t="s">
        <v>0</v>
      </c>
      <c r="L1968" s="80" t="s">
        <v>0</v>
      </c>
      <c r="M1968" s="80" t="s">
        <v>0</v>
      </c>
      <c r="N1968" s="80" t="s">
        <v>0</v>
      </c>
      <c r="O1968" s="80" t="s">
        <v>0</v>
      </c>
      <c r="P1968" s="80" t="s">
        <v>0</v>
      </c>
      <c r="Q1968" s="80" t="s">
        <v>0</v>
      </c>
      <c r="R1968" s="84" t="s">
        <v>10895</v>
      </c>
      <c r="S1968" s="10" t="s">
        <v>1</v>
      </c>
      <c r="T1968" s="10" t="s">
        <v>10221</v>
      </c>
      <c r="U1968" s="5" t="str">
        <f t="shared" si="952"/>
        <v>Propriedade destinada a orquestrar: é.orq.programa.api</v>
      </c>
      <c r="V1968" s="5" t="str">
        <f t="shared" si="953"/>
        <v>Dado para orquestrar:  orq.programa.api  Deve ser formatado como (rdfs:Literal  or  xsd:string)</v>
      </c>
      <c r="W1968" s="38" t="s">
        <v>10863</v>
      </c>
      <c r="X1968" s="17" t="str">
        <f t="shared" si="947"/>
        <v>d.orque.113</v>
      </c>
      <c r="Y1968" s="17" t="str">
        <f t="shared" si="948"/>
        <v>Ação de orquestrar</v>
      </c>
      <c r="Z1968" s="62" t="str">
        <f t="shared" si="959"/>
        <v>Declara una api okf.program.api. Es un parámetro opcional para OKF, definido por el usuario.</v>
      </c>
      <c r="AA1968" s="18" t="s">
        <v>0</v>
      </c>
      <c r="AB1968" s="19" t="s">
        <v>0</v>
      </c>
      <c r="AC1968" s="18" t="s">
        <v>0</v>
      </c>
      <c r="AD1968" s="19" t="s">
        <v>0</v>
      </c>
      <c r="AE1968" s="18" t="str">
        <f t="shared" si="937"/>
        <v>null</v>
      </c>
      <c r="AF1968" s="75" t="s">
        <v>0</v>
      </c>
      <c r="AG1968" s="62" t="s">
        <v>11240</v>
      </c>
    </row>
    <row r="1969" spans="1:33" customFormat="1" ht="6" customHeight="1" x14ac:dyDescent="0.4">
      <c r="A1969" s="4">
        <f>ROW()</f>
        <v>1969</v>
      </c>
      <c r="B1969" s="9" t="s">
        <v>27</v>
      </c>
      <c r="C1969" s="44" t="str">
        <f t="shared" si="955"/>
        <v>p.orquestrar</v>
      </c>
      <c r="D1969" s="6" t="str">
        <f t="shared" si="936"/>
        <v>é.orq.cliente</v>
      </c>
      <c r="E1969" s="8" t="s">
        <v>28</v>
      </c>
      <c r="F1969" s="34" t="str">
        <f>F1968</f>
        <v>d.orquestrar</v>
      </c>
      <c r="G1969" s="16" t="s">
        <v>10915</v>
      </c>
      <c r="H1969" s="34" t="s">
        <v>1581</v>
      </c>
      <c r="I1969" s="93" t="str">
        <f t="shared" si="954"/>
        <v>null</v>
      </c>
      <c r="J1969" s="80" t="s">
        <v>0</v>
      </c>
      <c r="K1969" s="80" t="s">
        <v>0</v>
      </c>
      <c r="L1969" s="80" t="s">
        <v>0</v>
      </c>
      <c r="M1969" s="80" t="s">
        <v>0</v>
      </c>
      <c r="N1969" s="80" t="s">
        <v>0</v>
      </c>
      <c r="O1969" s="80" t="s">
        <v>0</v>
      </c>
      <c r="P1969" s="80" t="s">
        <v>0</v>
      </c>
      <c r="Q1969" s="80" t="s">
        <v>0</v>
      </c>
      <c r="R1969" s="84" t="s">
        <v>10896</v>
      </c>
      <c r="S1969" s="10" t="s">
        <v>1</v>
      </c>
      <c r="T1969" s="10" t="s">
        <v>10221</v>
      </c>
      <c r="U1969" s="5" t="str">
        <f t="shared" si="952"/>
        <v>Propriedade destinada a orquestrar: é.orq.cliente</v>
      </c>
      <c r="V1969" s="5" t="str">
        <f t="shared" si="953"/>
        <v>Dado para orquestrar:  orq.cliente  Deve ser formatado como (rdfs:Literal  or  xsd:string)</v>
      </c>
      <c r="W1969" s="38" t="s">
        <v>10864</v>
      </c>
      <c r="X1969" s="17" t="str">
        <f t="shared" si="947"/>
        <v>d.orque.114</v>
      </c>
      <c r="Y1969" s="17" t="str">
        <f t="shared" si="948"/>
        <v>Ação de orquestrar</v>
      </c>
      <c r="Z1969" s="62" t="str">
        <f t="shared" si="959"/>
        <v>Declara un cliente de okf. Es un parámetro opcional para OKF, definido por el usuario.</v>
      </c>
      <c r="AA1969" s="18" t="s">
        <v>0</v>
      </c>
      <c r="AB1969" s="19" t="s">
        <v>0</v>
      </c>
      <c r="AC1969" s="18" t="s">
        <v>0</v>
      </c>
      <c r="AD1969" s="19" t="s">
        <v>0</v>
      </c>
      <c r="AE1969" s="18" t="str">
        <f t="shared" si="937"/>
        <v>null</v>
      </c>
      <c r="AF1969" s="75" t="s">
        <v>0</v>
      </c>
      <c r="AG1969" s="62" t="s">
        <v>11241</v>
      </c>
    </row>
    <row r="1970" spans="1:33" customFormat="1" ht="6" customHeight="1" x14ac:dyDescent="0.4">
      <c r="A1970" s="4">
        <f>ROW()</f>
        <v>1970</v>
      </c>
      <c r="B1970" s="9" t="s">
        <v>27</v>
      </c>
      <c r="C1970" s="44" t="str">
        <f t="shared" si="955"/>
        <v>p.orquestrar</v>
      </c>
      <c r="D1970" s="6" t="str">
        <f t="shared" si="936"/>
        <v>é.orq.md.índice</v>
      </c>
      <c r="E1970" s="8" t="s">
        <v>28</v>
      </c>
      <c r="F1970" s="34" t="str">
        <f>F1968</f>
        <v>d.orquestrar</v>
      </c>
      <c r="G1970" s="16" t="s">
        <v>10916</v>
      </c>
      <c r="H1970" s="34" t="s">
        <v>1581</v>
      </c>
      <c r="I1970" s="93" t="str">
        <f t="shared" si="954"/>
        <v>null</v>
      </c>
      <c r="J1970" s="80" t="s">
        <v>0</v>
      </c>
      <c r="K1970" s="80" t="s">
        <v>0</v>
      </c>
      <c r="L1970" s="80" t="s">
        <v>0</v>
      </c>
      <c r="M1970" s="80" t="s">
        <v>0</v>
      </c>
      <c r="N1970" s="80" t="s">
        <v>0</v>
      </c>
      <c r="O1970" s="80" t="s">
        <v>0</v>
      </c>
      <c r="P1970" s="80" t="s">
        <v>0</v>
      </c>
      <c r="Q1970" s="80" t="s">
        <v>0</v>
      </c>
      <c r="R1970" s="84" t="s">
        <v>10897</v>
      </c>
      <c r="S1970" s="10" t="s">
        <v>1</v>
      </c>
      <c r="T1970" s="10" t="s">
        <v>10221</v>
      </c>
      <c r="U1970" s="5" t="str">
        <f t="shared" si="952"/>
        <v>Propriedade destinada a orquestrar: é.orq.md.índice</v>
      </c>
      <c r="V1970" s="5" t="str">
        <f t="shared" si="953"/>
        <v>Dado para orquestrar:  orq.md.índice  Deve ser formatado como (rdfs:Literal  or  xsd:string)</v>
      </c>
      <c r="W1970" s="38" t="s">
        <v>10848</v>
      </c>
      <c r="X1970" s="17" t="str">
        <f t="shared" si="947"/>
        <v>d.orque.115</v>
      </c>
      <c r="Y1970" s="17" t="str">
        <f t="shared" si="948"/>
        <v>Ação de orquestrar</v>
      </c>
      <c r="Z1970" s="62" t="str">
        <f t="shared" si="959"/>
        <v>Declara un archivo Markdown con índices de carpetas definidos por el usuario y organización de procesos.</v>
      </c>
      <c r="AA1970" s="18" t="s">
        <v>0</v>
      </c>
      <c r="AB1970" s="19" t="s">
        <v>0</v>
      </c>
      <c r="AC1970" s="18" t="s">
        <v>0</v>
      </c>
      <c r="AD1970" s="19" t="s">
        <v>0</v>
      </c>
      <c r="AE1970" s="18" t="str">
        <f t="shared" si="937"/>
        <v>null</v>
      </c>
      <c r="AF1970" s="75" t="s">
        <v>0</v>
      </c>
      <c r="AG1970" s="62" t="s">
        <v>11242</v>
      </c>
    </row>
    <row r="1971" spans="1:33" customFormat="1" ht="6" customHeight="1" x14ac:dyDescent="0.4">
      <c r="A1971" s="4">
        <f>ROW()</f>
        <v>1971</v>
      </c>
      <c r="B1971" s="9" t="s">
        <v>27</v>
      </c>
      <c r="C1971" s="44" t="str">
        <f t="shared" si="955"/>
        <v>p.orquestrar</v>
      </c>
      <c r="D1971" s="6" t="str">
        <f t="shared" si="936"/>
        <v>é.orq.md.log</v>
      </c>
      <c r="E1971" s="8" t="s">
        <v>28</v>
      </c>
      <c r="F1971" s="34" t="str">
        <f t="shared" ref="F1971:F1973" si="961">F1969</f>
        <v>d.orquestrar</v>
      </c>
      <c r="G1971" s="16" t="s">
        <v>10917</v>
      </c>
      <c r="H1971" s="34" t="s">
        <v>1581</v>
      </c>
      <c r="I1971" s="93" t="str">
        <f t="shared" si="954"/>
        <v>null</v>
      </c>
      <c r="J1971" s="80" t="s">
        <v>0</v>
      </c>
      <c r="K1971" s="80" t="s">
        <v>0</v>
      </c>
      <c r="L1971" s="80" t="s">
        <v>0</v>
      </c>
      <c r="M1971" s="80" t="s">
        <v>0</v>
      </c>
      <c r="N1971" s="80" t="s">
        <v>0</v>
      </c>
      <c r="O1971" s="80" t="s">
        <v>0</v>
      </c>
      <c r="P1971" s="80" t="s">
        <v>0</v>
      </c>
      <c r="Q1971" s="80" t="s">
        <v>0</v>
      </c>
      <c r="R1971" s="84" t="s">
        <v>10898</v>
      </c>
      <c r="S1971" s="10" t="s">
        <v>1</v>
      </c>
      <c r="T1971" s="10" t="s">
        <v>10221</v>
      </c>
      <c r="U1971" s="5" t="str">
        <f t="shared" si="952"/>
        <v>Propriedade destinada a orquestrar: é.orq.md.log</v>
      </c>
      <c r="V1971" s="5" t="str">
        <f t="shared" si="953"/>
        <v>Dado para orquestrar:  orq.md.log  Deve ser formatado como (rdfs:Literal  or  xsd:string)</v>
      </c>
      <c r="W1971" s="38" t="s">
        <v>10849</v>
      </c>
      <c r="X1971" s="17" t="str">
        <f t="shared" si="947"/>
        <v>d.orque.116</v>
      </c>
      <c r="Y1971" s="17" t="str">
        <f t="shared" si="948"/>
        <v>Ação de orquestrar</v>
      </c>
      <c r="Z1971" s="62" t="str">
        <f t="shared" si="959"/>
        <v>Declara un archivo Markdown con los registros de trazabilidad de procesos definidos por el usuario.</v>
      </c>
      <c r="AA1971" s="18" t="s">
        <v>0</v>
      </c>
      <c r="AB1971" s="19" t="s">
        <v>0</v>
      </c>
      <c r="AC1971" s="18" t="s">
        <v>0</v>
      </c>
      <c r="AD1971" s="19" t="s">
        <v>0</v>
      </c>
      <c r="AE1971" s="18" t="str">
        <f t="shared" si="937"/>
        <v>null</v>
      </c>
      <c r="AF1971" s="75" t="s">
        <v>0</v>
      </c>
      <c r="AG1971" s="62" t="s">
        <v>11243</v>
      </c>
    </row>
    <row r="1972" spans="1:33" customFormat="1" ht="6" customHeight="1" x14ac:dyDescent="0.4">
      <c r="A1972" s="4">
        <f>ROW()</f>
        <v>1972</v>
      </c>
      <c r="B1972" s="9" t="s">
        <v>27</v>
      </c>
      <c r="C1972" s="44" t="str">
        <f t="shared" si="955"/>
        <v>p.orquestrar</v>
      </c>
      <c r="D1972" s="6" t="str">
        <f t="shared" si="936"/>
        <v>é.orq.md.processo</v>
      </c>
      <c r="E1972" s="8" t="s">
        <v>28</v>
      </c>
      <c r="F1972" s="34" t="str">
        <f t="shared" si="961"/>
        <v>d.orquestrar</v>
      </c>
      <c r="G1972" s="16" t="s">
        <v>10918</v>
      </c>
      <c r="H1972" s="34" t="s">
        <v>1581</v>
      </c>
      <c r="I1972" s="93" t="str">
        <f t="shared" si="954"/>
        <v>null</v>
      </c>
      <c r="J1972" s="80" t="s">
        <v>0</v>
      </c>
      <c r="K1972" s="80" t="s">
        <v>0</v>
      </c>
      <c r="L1972" s="80" t="s">
        <v>0</v>
      </c>
      <c r="M1972" s="80" t="s">
        <v>0</v>
      </c>
      <c r="N1972" s="80" t="s">
        <v>0</v>
      </c>
      <c r="O1972" s="80" t="s">
        <v>0</v>
      </c>
      <c r="P1972" s="80" t="s">
        <v>0</v>
      </c>
      <c r="Q1972" s="80" t="s">
        <v>0</v>
      </c>
      <c r="R1972" s="84" t="s">
        <v>10899</v>
      </c>
      <c r="S1972" s="10" t="s">
        <v>1</v>
      </c>
      <c r="T1972" s="10" t="s">
        <v>10221</v>
      </c>
      <c r="U1972" s="5" t="str">
        <f t="shared" si="952"/>
        <v>Propriedade destinada a orquestrar: é.orq.md.processo</v>
      </c>
      <c r="V1972" s="5" t="str">
        <f t="shared" si="953"/>
        <v>Dado para orquestrar:  orq.md.processo  Deve ser formatado como (rdfs:Literal  or  xsd:string)</v>
      </c>
      <c r="W1972" s="38" t="s">
        <v>10850</v>
      </c>
      <c r="X1972" s="17" t="str">
        <f t="shared" si="947"/>
        <v>d.orque.117</v>
      </c>
      <c r="Y1972" s="17" t="str">
        <f t="shared" si="948"/>
        <v>Ação de orquestrar</v>
      </c>
      <c r="Z1972" s="62" t="str">
        <f t="shared" si="959"/>
        <v>Declara un archivo Markdown con los Procesos Definidos por el Usuario.</v>
      </c>
      <c r="AA1972" s="18" t="s">
        <v>0</v>
      </c>
      <c r="AB1972" s="19" t="s">
        <v>0</v>
      </c>
      <c r="AC1972" s="18" t="s">
        <v>0</v>
      </c>
      <c r="AD1972" s="19" t="s">
        <v>0</v>
      </c>
      <c r="AE1972" s="18" t="str">
        <f t="shared" si="937"/>
        <v>null</v>
      </c>
      <c r="AF1972" s="75" t="s">
        <v>0</v>
      </c>
      <c r="AG1972" s="62" t="s">
        <v>11244</v>
      </c>
    </row>
    <row r="1973" spans="1:33" customFormat="1" ht="6" customHeight="1" x14ac:dyDescent="0.4">
      <c r="A1973" s="4">
        <f>ROW()</f>
        <v>1973</v>
      </c>
      <c r="B1973" s="9" t="s">
        <v>27</v>
      </c>
      <c r="C1973" s="44" t="str">
        <f t="shared" si="955"/>
        <v>p.orquestrar</v>
      </c>
      <c r="D1973" s="6" t="str">
        <f t="shared" si="936"/>
        <v>é.orq.md.título</v>
      </c>
      <c r="E1973" s="8" t="s">
        <v>28</v>
      </c>
      <c r="F1973" s="34" t="str">
        <f t="shared" si="961"/>
        <v>d.orquestrar</v>
      </c>
      <c r="G1973" s="16" t="s">
        <v>10919</v>
      </c>
      <c r="H1973" s="34" t="s">
        <v>1581</v>
      </c>
      <c r="I1973" s="93" t="str">
        <f t="shared" si="954"/>
        <v>null</v>
      </c>
      <c r="J1973" s="80" t="s">
        <v>0</v>
      </c>
      <c r="K1973" s="80" t="s">
        <v>0</v>
      </c>
      <c r="L1973" s="80" t="s">
        <v>0</v>
      </c>
      <c r="M1973" s="80" t="s">
        <v>0</v>
      </c>
      <c r="N1973" s="80" t="s">
        <v>0</v>
      </c>
      <c r="O1973" s="80" t="s">
        <v>0</v>
      </c>
      <c r="P1973" s="80" t="s">
        <v>0</v>
      </c>
      <c r="Q1973" s="80" t="s">
        <v>0</v>
      </c>
      <c r="R1973" s="84" t="s">
        <v>10900</v>
      </c>
      <c r="S1973" s="10" t="s">
        <v>1</v>
      </c>
      <c r="T1973" s="10" t="s">
        <v>10221</v>
      </c>
      <c r="U1973" s="5" t="str">
        <f t="shared" si="952"/>
        <v>Propriedade destinada a orquestrar: é.orq.md.título</v>
      </c>
      <c r="V1973" s="5" t="str">
        <f t="shared" si="953"/>
        <v>Dado para orquestrar:  orq.md.título  Deve ser formatado como (rdfs:Literal  or  xsd:string)</v>
      </c>
      <c r="W1973" s="38" t="s">
        <v>10866</v>
      </c>
      <c r="X1973" s="17" t="str">
        <f t="shared" si="947"/>
        <v>d.orque.118</v>
      </c>
      <c r="Y1973" s="17" t="str">
        <f t="shared" si="948"/>
        <v>Ação de orquestrar</v>
      </c>
      <c r="Z1973" s="62" t="str">
        <f t="shared" si="959"/>
        <v>Declara un título para una sección del archivo Markdown, definida por el usuario.</v>
      </c>
      <c r="AA1973" s="18" t="s">
        <v>0</v>
      </c>
      <c r="AB1973" s="19" t="s">
        <v>0</v>
      </c>
      <c r="AC1973" s="18" t="s">
        <v>0</v>
      </c>
      <c r="AD1973" s="19" t="s">
        <v>0</v>
      </c>
      <c r="AE1973" s="18" t="str">
        <f t="shared" si="937"/>
        <v>null</v>
      </c>
      <c r="AF1973" s="75" t="s">
        <v>0</v>
      </c>
      <c r="AG1973" s="62" t="s">
        <v>11245</v>
      </c>
    </row>
    <row r="1974" spans="1:33" ht="6" customHeight="1" x14ac:dyDescent="0.4">
      <c r="A1974" s="4">
        <f>ROW()</f>
        <v>1974</v>
      </c>
      <c r="B1974" s="9" t="s">
        <v>27</v>
      </c>
      <c r="C1974" s="43" t="str">
        <f t="shared" si="955"/>
        <v>p.pagar</v>
      </c>
      <c r="D1974" s="6" t="str">
        <f t="shared" si="936"/>
        <v>é.despesa</v>
      </c>
      <c r="E1974" s="8" t="s">
        <v>28</v>
      </c>
      <c r="F1974" s="41" t="s">
        <v>2212</v>
      </c>
      <c r="G1974" s="14" t="s">
        <v>360</v>
      </c>
      <c r="H1974" s="34" t="s">
        <v>35</v>
      </c>
      <c r="I1974" s="92" t="str">
        <f t="shared" si="954"/>
        <v>null</v>
      </c>
      <c r="J1974" s="82" t="s">
        <v>0</v>
      </c>
      <c r="K1974" s="82" t="s">
        <v>0</v>
      </c>
      <c r="L1974" s="82" t="s">
        <v>0</v>
      </c>
      <c r="M1974" s="82" t="s">
        <v>0</v>
      </c>
      <c r="N1974" s="80" t="s">
        <v>0</v>
      </c>
      <c r="O1974" s="82" t="s">
        <v>0</v>
      </c>
      <c r="P1974" s="82" t="s">
        <v>0</v>
      </c>
      <c r="Q1974" s="82" t="s">
        <v>820</v>
      </c>
      <c r="R1974" s="84" t="s">
        <v>0</v>
      </c>
      <c r="S1974" s="10" t="s">
        <v>1</v>
      </c>
      <c r="T1974" s="10" t="s">
        <v>10221</v>
      </c>
      <c r="U1974" s="5" t="str">
        <f t="shared" si="952"/>
        <v>Propriedade destinada a pagar: é.despesa</v>
      </c>
      <c r="V1974" s="5" t="str">
        <f t="shared" si="953"/>
        <v>Dado para pagar:  despesa  Deve ser formatado como (xsd:double)</v>
      </c>
      <c r="W1974" s="69" t="s">
        <v>5951</v>
      </c>
      <c r="X1974" s="17" t="str">
        <f t="shared" si="947"/>
        <v>d.pagar.100</v>
      </c>
      <c r="Y1974" s="17" t="str">
        <f t="shared" si="948"/>
        <v>Ação de pagar</v>
      </c>
      <c r="Z1974" s="62" t="s">
        <v>4518</v>
      </c>
      <c r="AA1974" s="18" t="str">
        <f t="shared" si="956"/>
        <v>null</v>
      </c>
      <c r="AB1974" s="19" t="s">
        <v>0</v>
      </c>
      <c r="AC1974" s="18" t="str">
        <f t="shared" si="957"/>
        <v>null</v>
      </c>
      <c r="AD1974" s="19" t="s">
        <v>0</v>
      </c>
      <c r="AE1974" s="18" t="str">
        <f t="shared" si="937"/>
        <v>null</v>
      </c>
      <c r="AF1974" s="75" t="s">
        <v>0</v>
      </c>
      <c r="AG1974" s="38" t="s">
        <v>8910</v>
      </c>
    </row>
    <row r="1975" spans="1:33" ht="6" customHeight="1" x14ac:dyDescent="0.4">
      <c r="A1975" s="4">
        <f>ROW()</f>
        <v>1975</v>
      </c>
      <c r="B1975" s="9" t="s">
        <v>27</v>
      </c>
      <c r="C1975" s="44" t="str">
        <f t="shared" si="955"/>
        <v>p.pagar</v>
      </c>
      <c r="D1975" s="6" t="str">
        <f t="shared" si="936"/>
        <v>é.nota.fiscal</v>
      </c>
      <c r="E1975" s="8" t="s">
        <v>28</v>
      </c>
      <c r="F1975" s="34" t="str">
        <f t="shared" ref="F1975:F1991" si="962">F1974</f>
        <v>d.pagar</v>
      </c>
      <c r="G1975" s="13" t="s">
        <v>821</v>
      </c>
      <c r="H1975" s="34" t="s">
        <v>1581</v>
      </c>
      <c r="I1975" s="92" t="str">
        <f t="shared" si="954"/>
        <v>null</v>
      </c>
      <c r="J1975" s="80" t="s">
        <v>0</v>
      </c>
      <c r="K1975" s="80" t="s">
        <v>0</v>
      </c>
      <c r="L1975" s="80" t="s">
        <v>0</v>
      </c>
      <c r="M1975" s="80" t="s">
        <v>0</v>
      </c>
      <c r="N1975" s="80" t="s">
        <v>0</v>
      </c>
      <c r="O1975" s="80" t="s">
        <v>0</v>
      </c>
      <c r="P1975" s="80" t="s">
        <v>0</v>
      </c>
      <c r="Q1975" s="80" t="s">
        <v>0</v>
      </c>
      <c r="R1975" s="84" t="s">
        <v>0</v>
      </c>
      <c r="S1975" s="10" t="s">
        <v>1</v>
      </c>
      <c r="T1975" s="10" t="s">
        <v>10221</v>
      </c>
      <c r="U1975" s="5" t="str">
        <f t="shared" si="952"/>
        <v>Propriedade destinada a pagar: é.nota.fiscal</v>
      </c>
      <c r="V1975" s="5" t="str">
        <f t="shared" si="953"/>
        <v>Dado para pagar:  nota.fiscal  Deve ser formatado como (rdfs:Literal  or  xsd:string)</v>
      </c>
      <c r="W1975" s="69" t="s">
        <v>5952</v>
      </c>
      <c r="X1975" s="17" t="str">
        <f t="shared" si="947"/>
        <v>d.pagar.101</v>
      </c>
      <c r="Y1975" s="17" t="str">
        <f t="shared" si="948"/>
        <v>Ação de pagar</v>
      </c>
      <c r="Z1975" s="62" t="s">
        <v>4517</v>
      </c>
      <c r="AA1975" s="18" t="str">
        <f t="shared" si="956"/>
        <v>null</v>
      </c>
      <c r="AB1975" s="19" t="s">
        <v>0</v>
      </c>
      <c r="AC1975" s="18" t="str">
        <f t="shared" si="957"/>
        <v>null</v>
      </c>
      <c r="AD1975" s="19" t="s">
        <v>0</v>
      </c>
      <c r="AE1975" s="18" t="str">
        <f t="shared" si="937"/>
        <v>null</v>
      </c>
      <c r="AF1975" s="75" t="s">
        <v>0</v>
      </c>
      <c r="AG1975" s="38" t="s">
        <v>8911</v>
      </c>
    </row>
    <row r="1976" spans="1:33" ht="6" customHeight="1" x14ac:dyDescent="0.4">
      <c r="A1976" s="4">
        <f>ROW()</f>
        <v>1976</v>
      </c>
      <c r="B1976" s="9" t="s">
        <v>27</v>
      </c>
      <c r="C1976" s="44" t="str">
        <f t="shared" si="955"/>
        <v>p.pagar</v>
      </c>
      <c r="D1976" s="6" t="str">
        <f t="shared" ref="D1976:D2046" si="963">_xlfn.CONCAT("é.",G1976)</f>
        <v>é.nota.fiscal.eletrônica</v>
      </c>
      <c r="E1976" s="8" t="s">
        <v>28</v>
      </c>
      <c r="F1976" s="34" t="str">
        <f t="shared" si="962"/>
        <v>d.pagar</v>
      </c>
      <c r="G1976" s="13" t="s">
        <v>822</v>
      </c>
      <c r="H1976" s="34" t="s">
        <v>1581</v>
      </c>
      <c r="I1976" s="92" t="str">
        <f t="shared" si="954"/>
        <v>null</v>
      </c>
      <c r="J1976" s="80" t="s">
        <v>0</v>
      </c>
      <c r="K1976" s="80" t="s">
        <v>0</v>
      </c>
      <c r="L1976" s="80" t="s">
        <v>0</v>
      </c>
      <c r="M1976" s="80" t="s">
        <v>0</v>
      </c>
      <c r="N1976" s="80" t="s">
        <v>0</v>
      </c>
      <c r="O1976" s="80" t="s">
        <v>0</v>
      </c>
      <c r="P1976" s="80" t="s">
        <v>0</v>
      </c>
      <c r="Q1976" s="80" t="s">
        <v>0</v>
      </c>
      <c r="R1976" s="84" t="s">
        <v>0</v>
      </c>
      <c r="S1976" s="10" t="s">
        <v>1</v>
      </c>
      <c r="T1976" s="10" t="s">
        <v>10221</v>
      </c>
      <c r="U1976" s="5" t="str">
        <f t="shared" si="952"/>
        <v>Propriedade destinada a pagar: é.nota.fiscal.eletrônica</v>
      </c>
      <c r="V1976" s="5" t="str">
        <f t="shared" si="953"/>
        <v>Dado para pagar:  nota.fiscal.eletrônica  Deve ser formatado como (rdfs:Literal  or  xsd:string)</v>
      </c>
      <c r="W1976" s="69" t="s">
        <v>5953</v>
      </c>
      <c r="X1976" s="17" t="str">
        <f t="shared" si="947"/>
        <v>d.pagar.102</v>
      </c>
      <c r="Y1976" s="17" t="str">
        <f t="shared" si="948"/>
        <v>Ação de pagar</v>
      </c>
      <c r="Z1976" s="62" t="s">
        <v>4520</v>
      </c>
      <c r="AA1976" s="18" t="str">
        <f t="shared" si="956"/>
        <v>null</v>
      </c>
      <c r="AB1976" s="19" t="s">
        <v>0</v>
      </c>
      <c r="AC1976" s="18" t="str">
        <f t="shared" si="957"/>
        <v>null</v>
      </c>
      <c r="AD1976" s="19" t="s">
        <v>0</v>
      </c>
      <c r="AE1976" s="18" t="str">
        <f t="shared" ref="AE1976:AE2046" si="964">IF(AF1976="null", "null", "propriedade")</f>
        <v>null</v>
      </c>
      <c r="AF1976" s="75" t="s">
        <v>0</v>
      </c>
      <c r="AG1976" s="38" t="s">
        <v>8912</v>
      </c>
    </row>
    <row r="1977" spans="1:33" ht="6" customHeight="1" x14ac:dyDescent="0.4">
      <c r="A1977" s="4">
        <f>ROW()</f>
        <v>1977</v>
      </c>
      <c r="B1977" s="9" t="s">
        <v>27</v>
      </c>
      <c r="C1977" s="44" t="str">
        <f t="shared" si="955"/>
        <v>p.pagar</v>
      </c>
      <c r="D1977" s="6" t="str">
        <f t="shared" si="963"/>
        <v>é.ordem.de.compra</v>
      </c>
      <c r="E1977" s="8" t="s">
        <v>28</v>
      </c>
      <c r="F1977" s="34" t="str">
        <f t="shared" si="962"/>
        <v>d.pagar</v>
      </c>
      <c r="G1977" s="14" t="s">
        <v>823</v>
      </c>
      <c r="H1977" s="33" t="s">
        <v>1581</v>
      </c>
      <c r="I1977" s="92" t="str">
        <f t="shared" si="954"/>
        <v>null</v>
      </c>
      <c r="J1977" s="82" t="s">
        <v>0</v>
      </c>
      <c r="K1977" s="82" t="s">
        <v>0</v>
      </c>
      <c r="L1977" s="82" t="s">
        <v>0</v>
      </c>
      <c r="M1977" s="82" t="s">
        <v>0</v>
      </c>
      <c r="N1977" s="80" t="s">
        <v>0</v>
      </c>
      <c r="O1977" s="82" t="s">
        <v>0</v>
      </c>
      <c r="P1977" s="82" t="s">
        <v>0</v>
      </c>
      <c r="Q1977" s="82" t="s">
        <v>0</v>
      </c>
      <c r="R1977" s="84" t="s">
        <v>0</v>
      </c>
      <c r="S1977" s="10" t="s">
        <v>1</v>
      </c>
      <c r="T1977" s="10" t="s">
        <v>10221</v>
      </c>
      <c r="U1977" s="5" t="str">
        <f t="shared" si="952"/>
        <v>Propriedade destinada a pagar: é.ordem.de.compra</v>
      </c>
      <c r="V1977" s="5" t="str">
        <f t="shared" si="953"/>
        <v>Dado para pagar:  ordem.de.compra  Deve ser formatado como (rdfs:Literal  or  xsd:string)</v>
      </c>
      <c r="W1977" s="69" t="s">
        <v>5954</v>
      </c>
      <c r="X1977" s="17" t="str">
        <f t="shared" si="947"/>
        <v>d.pagar.103</v>
      </c>
      <c r="Y1977" s="17" t="str">
        <f t="shared" si="948"/>
        <v>Ação de pagar</v>
      </c>
      <c r="Z1977" s="62" t="s">
        <v>4519</v>
      </c>
      <c r="AA1977" s="18" t="str">
        <f t="shared" si="956"/>
        <v>null</v>
      </c>
      <c r="AB1977" s="19" t="s">
        <v>0</v>
      </c>
      <c r="AC1977" s="18" t="str">
        <f t="shared" si="957"/>
        <v>null</v>
      </c>
      <c r="AD1977" s="19" t="s">
        <v>0</v>
      </c>
      <c r="AE1977" s="18" t="str">
        <f t="shared" si="964"/>
        <v>null</v>
      </c>
      <c r="AF1977" s="75" t="s">
        <v>0</v>
      </c>
      <c r="AG1977" s="38" t="s">
        <v>8913</v>
      </c>
    </row>
    <row r="1978" spans="1:33" ht="6" customHeight="1" x14ac:dyDescent="0.4">
      <c r="A1978" s="4">
        <f>ROW()</f>
        <v>1978</v>
      </c>
      <c r="B1978" s="9" t="s">
        <v>27</v>
      </c>
      <c r="C1978" s="44" t="str">
        <f t="shared" si="955"/>
        <v>p.pagar</v>
      </c>
      <c r="D1978" s="6" t="str">
        <f t="shared" si="963"/>
        <v>é.ordem.de.serviço</v>
      </c>
      <c r="E1978" s="8" t="s">
        <v>28</v>
      </c>
      <c r="F1978" s="34" t="str">
        <f t="shared" si="962"/>
        <v>d.pagar</v>
      </c>
      <c r="G1978" s="14" t="s">
        <v>824</v>
      </c>
      <c r="H1978" s="33" t="s">
        <v>1581</v>
      </c>
      <c r="I1978" s="92" t="str">
        <f t="shared" si="954"/>
        <v>null</v>
      </c>
      <c r="J1978" s="82" t="s">
        <v>0</v>
      </c>
      <c r="K1978" s="82" t="s">
        <v>0</v>
      </c>
      <c r="L1978" s="82" t="s">
        <v>0</v>
      </c>
      <c r="M1978" s="82" t="s">
        <v>0</v>
      </c>
      <c r="N1978" s="80" t="s">
        <v>0</v>
      </c>
      <c r="O1978" s="82" t="s">
        <v>0</v>
      </c>
      <c r="P1978" s="82" t="s">
        <v>0</v>
      </c>
      <c r="Q1978" s="82" t="s">
        <v>0</v>
      </c>
      <c r="R1978" s="84" t="s">
        <v>0</v>
      </c>
      <c r="S1978" s="10" t="s">
        <v>1</v>
      </c>
      <c r="T1978" s="10" t="s">
        <v>10221</v>
      </c>
      <c r="U1978" s="5" t="str">
        <f t="shared" si="952"/>
        <v>Propriedade destinada a pagar: é.ordem.de.serviço</v>
      </c>
      <c r="V1978" s="5" t="str">
        <f t="shared" si="953"/>
        <v>Dado para pagar:  ordem.de.serviço  Deve ser formatado como (rdfs:Literal  or  xsd:string)</v>
      </c>
      <c r="W1978" s="69" t="s">
        <v>5955</v>
      </c>
      <c r="X1978" s="17" t="str">
        <f t="shared" si="947"/>
        <v>d.pagar.104</v>
      </c>
      <c r="Y1978" s="17" t="str">
        <f t="shared" si="948"/>
        <v>Ação de pagar</v>
      </c>
      <c r="Z1978" s="62" t="s">
        <v>4521</v>
      </c>
      <c r="AA1978" s="18" t="str">
        <f t="shared" si="956"/>
        <v>null</v>
      </c>
      <c r="AB1978" s="19" t="s">
        <v>0</v>
      </c>
      <c r="AC1978" s="18" t="str">
        <f t="shared" si="957"/>
        <v>null</v>
      </c>
      <c r="AD1978" s="19" t="s">
        <v>0</v>
      </c>
      <c r="AE1978" s="18" t="str">
        <f t="shared" si="964"/>
        <v>null</v>
      </c>
      <c r="AF1978" s="75" t="s">
        <v>0</v>
      </c>
      <c r="AG1978" s="38" t="s">
        <v>8914</v>
      </c>
    </row>
    <row r="1979" spans="1:33" ht="6" customHeight="1" x14ac:dyDescent="0.4">
      <c r="A1979" s="4">
        <f>ROW()</f>
        <v>1979</v>
      </c>
      <c r="B1979" s="9" t="s">
        <v>27</v>
      </c>
      <c r="C1979" s="44" t="str">
        <f t="shared" si="955"/>
        <v>p.pagar</v>
      </c>
      <c r="D1979" s="6" t="str">
        <f t="shared" si="963"/>
        <v>é.pagado.por</v>
      </c>
      <c r="E1979" s="8" t="s">
        <v>28</v>
      </c>
      <c r="F1979" s="34" t="str">
        <f t="shared" si="962"/>
        <v>d.pagar</v>
      </c>
      <c r="G1979" s="13" t="s">
        <v>825</v>
      </c>
      <c r="H1979" s="34" t="s">
        <v>1581</v>
      </c>
      <c r="I1979" s="92" t="str">
        <f t="shared" si="954"/>
        <v>null</v>
      </c>
      <c r="J1979" s="80" t="s">
        <v>0</v>
      </c>
      <c r="K1979" s="80" t="s">
        <v>0</v>
      </c>
      <c r="L1979" s="80" t="s">
        <v>0</v>
      </c>
      <c r="M1979" s="80" t="s">
        <v>0</v>
      </c>
      <c r="N1979" s="80" t="s">
        <v>0</v>
      </c>
      <c r="O1979" s="80" t="s">
        <v>0</v>
      </c>
      <c r="P1979" s="80" t="s">
        <v>0</v>
      </c>
      <c r="Q1979" s="80" t="s">
        <v>0</v>
      </c>
      <c r="R1979" s="84" t="s">
        <v>0</v>
      </c>
      <c r="S1979" s="10" t="s">
        <v>1</v>
      </c>
      <c r="T1979" s="10" t="s">
        <v>10221</v>
      </c>
      <c r="U1979" s="5" t="str">
        <f t="shared" si="952"/>
        <v>Propriedade destinada a pagar: é.pagado.por</v>
      </c>
      <c r="V1979" s="5" t="str">
        <f t="shared" si="953"/>
        <v>Dado para pagar:  pagado.por  Deve ser formatado como (rdfs:Literal  or  xsd:string)</v>
      </c>
      <c r="W1979" s="69" t="s">
        <v>5956</v>
      </c>
      <c r="X1979" s="17" t="str">
        <f t="shared" si="947"/>
        <v>d.pagar.105</v>
      </c>
      <c r="Y1979" s="17" t="str">
        <f t="shared" si="948"/>
        <v>Ação de pagar</v>
      </c>
      <c r="Z1979" s="62" t="s">
        <v>4522</v>
      </c>
      <c r="AA1979" s="18" t="str">
        <f t="shared" si="956"/>
        <v>null</v>
      </c>
      <c r="AB1979" s="19" t="s">
        <v>0</v>
      </c>
      <c r="AC1979" s="18" t="str">
        <f t="shared" si="957"/>
        <v>null</v>
      </c>
      <c r="AD1979" s="19" t="s">
        <v>0</v>
      </c>
      <c r="AE1979" s="18" t="str">
        <f t="shared" si="964"/>
        <v>null</v>
      </c>
      <c r="AF1979" s="75" t="s">
        <v>0</v>
      </c>
      <c r="AG1979" s="38" t="s">
        <v>8915</v>
      </c>
    </row>
    <row r="1980" spans="1:33" ht="6" customHeight="1" x14ac:dyDescent="0.4">
      <c r="A1980" s="4">
        <f>ROW()</f>
        <v>1980</v>
      </c>
      <c r="B1980" s="9" t="s">
        <v>27</v>
      </c>
      <c r="C1980" s="44" t="str">
        <f t="shared" si="955"/>
        <v>p.pagar</v>
      </c>
      <c r="D1980" s="6" t="str">
        <f t="shared" si="963"/>
        <v>é.chave.pix</v>
      </c>
      <c r="E1980" s="8" t="s">
        <v>28</v>
      </c>
      <c r="F1980" s="34" t="str">
        <f t="shared" si="962"/>
        <v>d.pagar</v>
      </c>
      <c r="G1980" s="13" t="s">
        <v>826</v>
      </c>
      <c r="H1980" s="34" t="s">
        <v>1581</v>
      </c>
      <c r="I1980" s="92" t="str">
        <f t="shared" si="954"/>
        <v>null</v>
      </c>
      <c r="J1980" s="80" t="s">
        <v>0</v>
      </c>
      <c r="K1980" s="80" t="s">
        <v>0</v>
      </c>
      <c r="L1980" s="80" t="s">
        <v>0</v>
      </c>
      <c r="M1980" s="80" t="s">
        <v>0</v>
      </c>
      <c r="N1980" s="80" t="s">
        <v>0</v>
      </c>
      <c r="O1980" s="80" t="s">
        <v>0</v>
      </c>
      <c r="P1980" s="80" t="s">
        <v>0</v>
      </c>
      <c r="Q1980" s="80" t="s">
        <v>0</v>
      </c>
      <c r="R1980" s="84" t="s">
        <v>0</v>
      </c>
      <c r="S1980" s="10" t="s">
        <v>1</v>
      </c>
      <c r="T1980" s="10" t="s">
        <v>10221</v>
      </c>
      <c r="U1980" s="5" t="str">
        <f t="shared" si="952"/>
        <v>Propriedade destinada a pagar: é.chave.pix</v>
      </c>
      <c r="V1980" s="5" t="str">
        <f t="shared" si="953"/>
        <v>Dado para pagar:  chave.pix  Deve ser formatado como (rdfs:Literal  or  xsd:string)</v>
      </c>
      <c r="W1980" s="69" t="s">
        <v>5957</v>
      </c>
      <c r="X1980" s="17" t="str">
        <f t="shared" si="947"/>
        <v>d.pagar.106</v>
      </c>
      <c r="Y1980" s="17" t="str">
        <f t="shared" si="948"/>
        <v>Ação de pagar</v>
      </c>
      <c r="Z1980" s="62" t="s">
        <v>4523</v>
      </c>
      <c r="AA1980" s="18" t="str">
        <f t="shared" si="956"/>
        <v>null</v>
      </c>
      <c r="AB1980" s="19" t="s">
        <v>0</v>
      </c>
      <c r="AC1980" s="18" t="str">
        <f t="shared" si="957"/>
        <v>null</v>
      </c>
      <c r="AD1980" s="19" t="s">
        <v>0</v>
      </c>
      <c r="AE1980" s="18" t="str">
        <f t="shared" si="964"/>
        <v>null</v>
      </c>
      <c r="AF1980" s="75" t="s">
        <v>0</v>
      </c>
      <c r="AG1980" s="38" t="s">
        <v>8916</v>
      </c>
    </row>
    <row r="1981" spans="1:33" ht="6" customHeight="1" x14ac:dyDescent="0.4">
      <c r="A1981" s="4">
        <f>ROW()</f>
        <v>1981</v>
      </c>
      <c r="B1981" s="9" t="s">
        <v>27</v>
      </c>
      <c r="C1981" s="44" t="str">
        <f t="shared" si="955"/>
        <v>p.pagar</v>
      </c>
      <c r="D1981" s="6" t="str">
        <f t="shared" si="963"/>
        <v>é.recebido.por</v>
      </c>
      <c r="E1981" s="8" t="s">
        <v>28</v>
      </c>
      <c r="F1981" s="34" t="str">
        <f t="shared" si="962"/>
        <v>d.pagar</v>
      </c>
      <c r="G1981" s="13" t="s">
        <v>827</v>
      </c>
      <c r="H1981" s="34" t="s">
        <v>1581</v>
      </c>
      <c r="I1981" s="92" t="str">
        <f t="shared" si="954"/>
        <v>null</v>
      </c>
      <c r="J1981" s="80" t="s">
        <v>0</v>
      </c>
      <c r="K1981" s="80" t="s">
        <v>0</v>
      </c>
      <c r="L1981" s="80" t="s">
        <v>0</v>
      </c>
      <c r="M1981" s="80" t="s">
        <v>0</v>
      </c>
      <c r="N1981" s="80" t="s">
        <v>0</v>
      </c>
      <c r="O1981" s="80" t="s">
        <v>0</v>
      </c>
      <c r="P1981" s="80" t="s">
        <v>0</v>
      </c>
      <c r="Q1981" s="80" t="s">
        <v>0</v>
      </c>
      <c r="R1981" s="84" t="s">
        <v>0</v>
      </c>
      <c r="S1981" s="10" t="s">
        <v>1</v>
      </c>
      <c r="T1981" s="10" t="s">
        <v>10221</v>
      </c>
      <c r="U1981" s="5" t="str">
        <f t="shared" si="952"/>
        <v>Propriedade destinada a pagar: é.recebido.por</v>
      </c>
      <c r="V1981" s="5" t="str">
        <f t="shared" si="953"/>
        <v>Dado para pagar:  recebido.por  Deve ser formatado como (rdfs:Literal  or  xsd:string)</v>
      </c>
      <c r="W1981" s="69" t="s">
        <v>5958</v>
      </c>
      <c r="X1981" s="17" t="str">
        <f t="shared" si="947"/>
        <v>d.pagar.107</v>
      </c>
      <c r="Y1981" s="17" t="str">
        <f t="shared" si="948"/>
        <v>Ação de pagar</v>
      </c>
      <c r="Z1981" s="62" t="s">
        <v>4524</v>
      </c>
      <c r="AA1981" s="18" t="str">
        <f t="shared" si="956"/>
        <v>null</v>
      </c>
      <c r="AB1981" s="19" t="s">
        <v>0</v>
      </c>
      <c r="AC1981" s="18" t="str">
        <f t="shared" si="957"/>
        <v>null</v>
      </c>
      <c r="AD1981" s="19" t="s">
        <v>0</v>
      </c>
      <c r="AE1981" s="18" t="str">
        <f t="shared" si="964"/>
        <v>null</v>
      </c>
      <c r="AF1981" s="75" t="s">
        <v>0</v>
      </c>
      <c r="AG1981" s="38" t="s">
        <v>8917</v>
      </c>
    </row>
    <row r="1982" spans="1:33" ht="6" customHeight="1" x14ac:dyDescent="0.4">
      <c r="A1982" s="4">
        <f>ROW()</f>
        <v>1982</v>
      </c>
      <c r="B1982" s="9" t="s">
        <v>27</v>
      </c>
      <c r="C1982" s="44" t="str">
        <f t="shared" si="955"/>
        <v>p.pagar</v>
      </c>
      <c r="D1982" s="6" t="str">
        <f t="shared" si="963"/>
        <v>é.receita</v>
      </c>
      <c r="E1982" s="8" t="s">
        <v>28</v>
      </c>
      <c r="F1982" s="34" t="str">
        <f t="shared" si="962"/>
        <v>d.pagar</v>
      </c>
      <c r="G1982" s="14" t="s">
        <v>359</v>
      </c>
      <c r="H1982" s="34" t="s">
        <v>35</v>
      </c>
      <c r="I1982" s="92" t="str">
        <f t="shared" si="954"/>
        <v>null</v>
      </c>
      <c r="J1982" s="82" t="s">
        <v>0</v>
      </c>
      <c r="K1982" s="82" t="s">
        <v>0</v>
      </c>
      <c r="L1982" s="82" t="s">
        <v>0</v>
      </c>
      <c r="M1982" s="82" t="s">
        <v>0</v>
      </c>
      <c r="N1982" s="80" t="s">
        <v>0</v>
      </c>
      <c r="O1982" s="82" t="s">
        <v>0</v>
      </c>
      <c r="P1982" s="82" t="s">
        <v>0</v>
      </c>
      <c r="Q1982" s="82" t="s">
        <v>828</v>
      </c>
      <c r="R1982" s="84" t="s">
        <v>0</v>
      </c>
      <c r="S1982" s="10" t="s">
        <v>1</v>
      </c>
      <c r="T1982" s="10" t="s">
        <v>10221</v>
      </c>
      <c r="U1982" s="5" t="str">
        <f t="shared" si="952"/>
        <v>Propriedade destinada a pagar: é.receita</v>
      </c>
      <c r="V1982" s="5" t="str">
        <f t="shared" si="953"/>
        <v>Dado para pagar:  receita  Deve ser formatado como (xsd:double)</v>
      </c>
      <c r="W1982" s="69" t="s">
        <v>5959</v>
      </c>
      <c r="X1982" s="17" t="str">
        <f t="shared" si="947"/>
        <v>d.pagar.108</v>
      </c>
      <c r="Y1982" s="17" t="str">
        <f t="shared" si="948"/>
        <v>Ação de pagar</v>
      </c>
      <c r="Z1982" s="62" t="s">
        <v>4525</v>
      </c>
      <c r="AA1982" s="18" t="str">
        <f t="shared" ref="AA1982:AA2052" si="965">IF(AB1982="null", "null", "categoria.revit")</f>
        <v>null</v>
      </c>
      <c r="AB1982" s="19" t="s">
        <v>0</v>
      </c>
      <c r="AC1982" s="18" t="str">
        <f t="shared" ref="AC1982:AC2052" si="966">IF(AD1982="null", "null", "classe.ifc")</f>
        <v>null</v>
      </c>
      <c r="AD1982" s="19" t="s">
        <v>0</v>
      </c>
      <c r="AE1982" s="18" t="str">
        <f t="shared" si="964"/>
        <v>null</v>
      </c>
      <c r="AF1982" s="75" t="s">
        <v>0</v>
      </c>
      <c r="AG1982" s="38" t="s">
        <v>8918</v>
      </c>
    </row>
    <row r="1983" spans="1:33" ht="6" customHeight="1" x14ac:dyDescent="0.4">
      <c r="A1983" s="4">
        <f>ROW()</f>
        <v>1983</v>
      </c>
      <c r="B1983" s="9" t="s">
        <v>27</v>
      </c>
      <c r="C1983" s="44" t="str">
        <f t="shared" si="955"/>
        <v>p.pagar</v>
      </c>
      <c r="D1983" s="6" t="str">
        <f t="shared" si="963"/>
        <v>é.recibo</v>
      </c>
      <c r="E1983" s="8" t="s">
        <v>28</v>
      </c>
      <c r="F1983" s="34" t="str">
        <f t="shared" si="962"/>
        <v>d.pagar</v>
      </c>
      <c r="G1983" s="13" t="s">
        <v>237</v>
      </c>
      <c r="H1983" s="34" t="s">
        <v>35</v>
      </c>
      <c r="I1983" s="92" t="str">
        <f t="shared" si="954"/>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52"/>
        <v>Propriedade destinada a pagar: é.recibo</v>
      </c>
      <c r="V1983" s="5" t="str">
        <f t="shared" si="953"/>
        <v>Dado para pagar:  recibo  Deve ser formatado como (xsd:double)</v>
      </c>
      <c r="W1983" s="69" t="s">
        <v>5960</v>
      </c>
      <c r="X1983" s="17" t="str">
        <f t="shared" si="947"/>
        <v>d.pagar.109</v>
      </c>
      <c r="Y1983" s="17" t="str">
        <f t="shared" si="948"/>
        <v>Ação de pagar</v>
      </c>
      <c r="Z1983" s="62" t="s">
        <v>4526</v>
      </c>
      <c r="AA1983" s="18" t="str">
        <f t="shared" si="965"/>
        <v>null</v>
      </c>
      <c r="AB1983" s="19" t="s">
        <v>0</v>
      </c>
      <c r="AC1983" s="18" t="str">
        <f t="shared" si="966"/>
        <v>null</v>
      </c>
      <c r="AD1983" s="19" t="s">
        <v>0</v>
      </c>
      <c r="AE1983" s="18" t="str">
        <f t="shared" si="964"/>
        <v>null</v>
      </c>
      <c r="AF1983" s="75" t="s">
        <v>0</v>
      </c>
      <c r="AG1983" s="38" t="s">
        <v>8919</v>
      </c>
    </row>
    <row r="1984" spans="1:33" ht="6" customHeight="1" x14ac:dyDescent="0.4">
      <c r="A1984" s="4">
        <f>ROW()</f>
        <v>1984</v>
      </c>
      <c r="B1984" s="9" t="s">
        <v>27</v>
      </c>
      <c r="C1984" s="44" t="str">
        <f t="shared" si="955"/>
        <v>p.pagar</v>
      </c>
      <c r="D1984" s="6" t="str">
        <f t="shared" si="963"/>
        <v>é.tesoureiro</v>
      </c>
      <c r="E1984" s="8" t="s">
        <v>28</v>
      </c>
      <c r="F1984" s="34" t="str">
        <f t="shared" si="962"/>
        <v>d.pagar</v>
      </c>
      <c r="G1984" s="13" t="s">
        <v>3043</v>
      </c>
      <c r="H1984" s="34" t="s">
        <v>1581</v>
      </c>
      <c r="I1984" s="92" t="str">
        <f t="shared" si="954"/>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52"/>
        <v>Propriedade destinada a pagar: é.tesoureiro</v>
      </c>
      <c r="V1984" s="5" t="str">
        <f t="shared" si="953"/>
        <v>Dado para pagar:  tesoureiro  Deve ser formatado como (rdfs:Literal  or  xsd:string)</v>
      </c>
      <c r="W1984" s="69" t="s">
        <v>5961</v>
      </c>
      <c r="X1984" s="17" t="str">
        <f t="shared" si="947"/>
        <v>d.pagar.110</v>
      </c>
      <c r="Y1984" s="17" t="str">
        <f t="shared" si="948"/>
        <v>Ação de pagar</v>
      </c>
      <c r="Z1984" s="62" t="s">
        <v>4527</v>
      </c>
      <c r="AA1984" s="18" t="str">
        <f t="shared" si="965"/>
        <v>null</v>
      </c>
      <c r="AB1984" s="19" t="s">
        <v>0</v>
      </c>
      <c r="AC1984" s="18" t="str">
        <f t="shared" si="966"/>
        <v>null</v>
      </c>
      <c r="AD1984" s="19" t="s">
        <v>0</v>
      </c>
      <c r="AE1984" s="18" t="str">
        <f t="shared" si="964"/>
        <v>null</v>
      </c>
      <c r="AF1984" s="75" t="s">
        <v>0</v>
      </c>
      <c r="AG1984" s="38" t="s">
        <v>8920</v>
      </c>
    </row>
    <row r="1985" spans="1:33" ht="6" customHeight="1" x14ac:dyDescent="0.4">
      <c r="A1985" s="4">
        <f>ROW()</f>
        <v>1985</v>
      </c>
      <c r="B1985" s="9" t="s">
        <v>27</v>
      </c>
      <c r="C1985" s="44" t="str">
        <f t="shared" si="955"/>
        <v>p.pagar</v>
      </c>
      <c r="D1985" s="6" t="str">
        <f t="shared" si="963"/>
        <v>é.valor.creditado</v>
      </c>
      <c r="E1985" s="8" t="s">
        <v>28</v>
      </c>
      <c r="F1985" s="34" t="str">
        <f t="shared" si="962"/>
        <v>d.pagar</v>
      </c>
      <c r="G1985" s="13" t="s">
        <v>829</v>
      </c>
      <c r="H1985" s="34" t="s">
        <v>35</v>
      </c>
      <c r="I1985" s="92" t="str">
        <f t="shared" si="954"/>
        <v>null</v>
      </c>
      <c r="J1985" s="80" t="s">
        <v>0</v>
      </c>
      <c r="K1985" s="80" t="s">
        <v>0</v>
      </c>
      <c r="L1985" s="80" t="s">
        <v>0</v>
      </c>
      <c r="M1985" s="80" t="s">
        <v>0</v>
      </c>
      <c r="N1985" s="80" t="s">
        <v>0</v>
      </c>
      <c r="O1985" s="80" t="s">
        <v>0</v>
      </c>
      <c r="P1985" s="80" t="s">
        <v>0</v>
      </c>
      <c r="Q1985" s="80" t="s">
        <v>0</v>
      </c>
      <c r="R1985" s="84" t="s">
        <v>0</v>
      </c>
      <c r="S1985" s="10" t="s">
        <v>1</v>
      </c>
      <c r="T1985" s="10" t="s">
        <v>10221</v>
      </c>
      <c r="U1985" s="5" t="str">
        <f t="shared" si="952"/>
        <v>Propriedade destinada a pagar: é.valor.creditado</v>
      </c>
      <c r="V1985" s="5" t="str">
        <f t="shared" si="953"/>
        <v>Dado para pagar:  valor.creditado  Deve ser formatado como (xsd:double)</v>
      </c>
      <c r="W1985" s="69" t="s">
        <v>5962</v>
      </c>
      <c r="X1985" s="17" t="str">
        <f t="shared" si="947"/>
        <v>d.pagar.111</v>
      </c>
      <c r="Y1985" s="17" t="str">
        <f t="shared" si="948"/>
        <v>Ação de pagar</v>
      </c>
      <c r="Z1985" s="62" t="s">
        <v>4528</v>
      </c>
      <c r="AA1985" s="18" t="str">
        <f t="shared" si="965"/>
        <v>null</v>
      </c>
      <c r="AB1985" s="19" t="s">
        <v>0</v>
      </c>
      <c r="AC1985" s="18" t="str">
        <f t="shared" si="966"/>
        <v>null</v>
      </c>
      <c r="AD1985" s="19" t="s">
        <v>0</v>
      </c>
      <c r="AE1985" s="18" t="str">
        <f t="shared" si="964"/>
        <v>null</v>
      </c>
      <c r="AF1985" s="75" t="s">
        <v>0</v>
      </c>
      <c r="AG1985" s="38" t="s">
        <v>8921</v>
      </c>
    </row>
    <row r="1986" spans="1:33" ht="6" customHeight="1" x14ac:dyDescent="0.4">
      <c r="A1986" s="4">
        <f>ROW()</f>
        <v>1986</v>
      </c>
      <c r="B1986" s="9" t="s">
        <v>27</v>
      </c>
      <c r="C1986" s="44" t="str">
        <f t="shared" si="955"/>
        <v>p.pagar</v>
      </c>
      <c r="D1986" s="6" t="str">
        <f t="shared" si="963"/>
        <v>é.valor.debitado</v>
      </c>
      <c r="E1986" s="8" t="s">
        <v>28</v>
      </c>
      <c r="F1986" s="34" t="str">
        <f t="shared" si="962"/>
        <v>d.pagar</v>
      </c>
      <c r="G1986" s="13" t="s">
        <v>830</v>
      </c>
      <c r="H1986" s="34" t="s">
        <v>35</v>
      </c>
      <c r="I1986" s="92" t="str">
        <f t="shared" si="954"/>
        <v>null</v>
      </c>
      <c r="J1986" s="80" t="s">
        <v>0</v>
      </c>
      <c r="K1986" s="80" t="s">
        <v>0</v>
      </c>
      <c r="L1986" s="80" t="s">
        <v>0</v>
      </c>
      <c r="M1986" s="80" t="s">
        <v>0</v>
      </c>
      <c r="N1986" s="80" t="s">
        <v>0</v>
      </c>
      <c r="O1986" s="80" t="s">
        <v>0</v>
      </c>
      <c r="P1986" s="80" t="s">
        <v>0</v>
      </c>
      <c r="Q1986" s="80" t="s">
        <v>0</v>
      </c>
      <c r="R1986" s="84" t="s">
        <v>0</v>
      </c>
      <c r="S1986" s="10" t="s">
        <v>1</v>
      </c>
      <c r="T1986" s="10" t="s">
        <v>10221</v>
      </c>
      <c r="U1986" s="5" t="str">
        <f t="shared" si="952"/>
        <v>Propriedade destinada a pagar: é.valor.debitado</v>
      </c>
      <c r="V1986" s="5" t="str">
        <f t="shared" si="953"/>
        <v>Dado para pagar:  valor.debitado  Deve ser formatado como (xsd:double)</v>
      </c>
      <c r="W1986" s="69" t="s">
        <v>5963</v>
      </c>
      <c r="X1986" s="17" t="str">
        <f t="shared" si="947"/>
        <v>d.pagar.112</v>
      </c>
      <c r="Y1986" s="17" t="str">
        <f t="shared" si="948"/>
        <v>Ação de pagar</v>
      </c>
      <c r="Z1986" s="62" t="s">
        <v>4529</v>
      </c>
      <c r="AA1986" s="18" t="str">
        <f t="shared" si="965"/>
        <v>null</v>
      </c>
      <c r="AB1986" s="19" t="s">
        <v>0</v>
      </c>
      <c r="AC1986" s="18" t="str">
        <f t="shared" si="966"/>
        <v>null</v>
      </c>
      <c r="AD1986" s="19" t="s">
        <v>0</v>
      </c>
      <c r="AE1986" s="18" t="str">
        <f t="shared" si="964"/>
        <v>null</v>
      </c>
      <c r="AF1986" s="75" t="s">
        <v>0</v>
      </c>
      <c r="AG1986" s="38" t="s">
        <v>8922</v>
      </c>
    </row>
    <row r="1987" spans="1:33" ht="6" customHeight="1" x14ac:dyDescent="0.4">
      <c r="A1987" s="4">
        <f>ROW()</f>
        <v>1987</v>
      </c>
      <c r="B1987" s="9" t="s">
        <v>27</v>
      </c>
      <c r="C1987" s="44" t="str">
        <f t="shared" si="955"/>
        <v>p.pagar</v>
      </c>
      <c r="D1987" s="6" t="str">
        <f t="shared" si="963"/>
        <v>é.valor.pagamento</v>
      </c>
      <c r="E1987" s="8" t="s">
        <v>28</v>
      </c>
      <c r="F1987" s="34" t="str">
        <f t="shared" si="962"/>
        <v>d.pagar</v>
      </c>
      <c r="G1987" s="13" t="s">
        <v>831</v>
      </c>
      <c r="H1987" s="34" t="s">
        <v>35</v>
      </c>
      <c r="I1987" s="92" t="str">
        <f t="shared" si="954"/>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52"/>
        <v>Propriedade destinada a pagar: é.valor.pagamento</v>
      </c>
      <c r="V1987" s="5" t="str">
        <f t="shared" si="953"/>
        <v>Dado para pagar:  valor.pagamento  Deve ser formatado como (xsd:double)</v>
      </c>
      <c r="W1987" s="69" t="s">
        <v>5964</v>
      </c>
      <c r="X1987" s="17" t="str">
        <f t="shared" ref="X1987:X2050" si="967">IF(F1986&lt;&gt;F1987,_xlfn.CONCAT(RIGHT(LEFT(F1987,7),7),".100"),_xlfn.CONCAT(RIGHT(LEFT(F1987,7),7),".",SUM(VALUE(RIGHT(X1986,3)),1)))</f>
        <v>d.pagar.113</v>
      </c>
      <c r="Y1987" s="17" t="str">
        <f t="shared" ref="Y1987:Y2050" si="968">_xlfn.CONCAT("Ação de ", SUBSTITUTE(F1987, "d.",  ""))</f>
        <v>Ação de pagar</v>
      </c>
      <c r="Z1987" s="62" t="s">
        <v>4530</v>
      </c>
      <c r="AA1987" s="18" t="str">
        <f t="shared" si="965"/>
        <v>null</v>
      </c>
      <c r="AB1987" s="19" t="s">
        <v>0</v>
      </c>
      <c r="AC1987" s="18" t="str">
        <f t="shared" si="966"/>
        <v>null</v>
      </c>
      <c r="AD1987" s="19" t="s">
        <v>0</v>
      </c>
      <c r="AE1987" s="18" t="str">
        <f t="shared" si="964"/>
        <v>null</v>
      </c>
      <c r="AF1987" s="75" t="s">
        <v>0</v>
      </c>
      <c r="AG1987" s="38" t="s">
        <v>8923</v>
      </c>
    </row>
    <row r="1988" spans="1:33" ht="6" customHeight="1" x14ac:dyDescent="0.4">
      <c r="A1988" s="4">
        <f>ROW()</f>
        <v>1988</v>
      </c>
      <c r="B1988" s="9" t="s">
        <v>27</v>
      </c>
      <c r="C1988" s="44" t="str">
        <f t="shared" si="955"/>
        <v>p.pagar</v>
      </c>
      <c r="D1988" s="6" t="str">
        <f t="shared" si="963"/>
        <v>é.valor.pix</v>
      </c>
      <c r="E1988" s="8" t="s">
        <v>28</v>
      </c>
      <c r="F1988" s="34" t="str">
        <f t="shared" si="962"/>
        <v>d.pagar</v>
      </c>
      <c r="G1988" s="13" t="s">
        <v>832</v>
      </c>
      <c r="H1988" s="34" t="s">
        <v>35</v>
      </c>
      <c r="I1988" s="92" t="str">
        <f t="shared" si="954"/>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52"/>
        <v>Propriedade destinada a pagar: é.valor.pix</v>
      </c>
      <c r="V1988" s="5" t="str">
        <f t="shared" si="953"/>
        <v>Dado para pagar:  valor.pix  Deve ser formatado como (xsd:double)</v>
      </c>
      <c r="W1988" s="69" t="s">
        <v>5965</v>
      </c>
      <c r="X1988" s="17" t="str">
        <f t="shared" si="967"/>
        <v>d.pagar.114</v>
      </c>
      <c r="Y1988" s="17" t="str">
        <f t="shared" si="968"/>
        <v>Ação de pagar</v>
      </c>
      <c r="Z1988" s="62" t="s">
        <v>4531</v>
      </c>
      <c r="AA1988" s="18" t="str">
        <f t="shared" si="965"/>
        <v>null</v>
      </c>
      <c r="AB1988" s="19" t="s">
        <v>0</v>
      </c>
      <c r="AC1988" s="18" t="str">
        <f t="shared" si="966"/>
        <v>null</v>
      </c>
      <c r="AD1988" s="19" t="s">
        <v>0</v>
      </c>
      <c r="AE1988" s="18" t="str">
        <f t="shared" si="964"/>
        <v>null</v>
      </c>
      <c r="AF1988" s="75" t="s">
        <v>0</v>
      </c>
      <c r="AG1988" s="38" t="s">
        <v>8924</v>
      </c>
    </row>
    <row r="1989" spans="1:33" ht="6" customHeight="1" x14ac:dyDescent="0.4">
      <c r="A1989" s="4">
        <f>ROW()</f>
        <v>1989</v>
      </c>
      <c r="B1989" s="9" t="s">
        <v>27</v>
      </c>
      <c r="C1989" s="44" t="str">
        <f t="shared" si="955"/>
        <v>p.pagar</v>
      </c>
      <c r="D1989" s="6" t="str">
        <f t="shared" si="963"/>
        <v>é.valor.transferido</v>
      </c>
      <c r="E1989" s="8" t="s">
        <v>28</v>
      </c>
      <c r="F1989" s="34" t="str">
        <f t="shared" si="962"/>
        <v>d.pagar</v>
      </c>
      <c r="G1989" s="13" t="s">
        <v>833</v>
      </c>
      <c r="H1989" s="34" t="s">
        <v>35</v>
      </c>
      <c r="I1989" s="92" t="str">
        <f t="shared" si="954"/>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52"/>
        <v>Propriedade destinada a pagar: é.valor.transferido</v>
      </c>
      <c r="V1989" s="5" t="str">
        <f t="shared" si="953"/>
        <v>Dado para pagar:  valor.transferido  Deve ser formatado como (xsd:double)</v>
      </c>
      <c r="W1989" s="69" t="s">
        <v>5966</v>
      </c>
      <c r="X1989" s="17" t="str">
        <f t="shared" si="967"/>
        <v>d.pagar.115</v>
      </c>
      <c r="Y1989" s="17" t="str">
        <f t="shared" si="968"/>
        <v>Ação de pagar</v>
      </c>
      <c r="Z1989" s="62" t="s">
        <v>4532</v>
      </c>
      <c r="AA1989" s="18" t="str">
        <f t="shared" si="965"/>
        <v>null</v>
      </c>
      <c r="AB1989" s="19" t="s">
        <v>0</v>
      </c>
      <c r="AC1989" s="18" t="str">
        <f t="shared" si="966"/>
        <v>null</v>
      </c>
      <c r="AD1989" s="19" t="s">
        <v>0</v>
      </c>
      <c r="AE1989" s="18" t="str">
        <f t="shared" si="964"/>
        <v>null</v>
      </c>
      <c r="AF1989" s="75" t="s">
        <v>0</v>
      </c>
      <c r="AG1989" s="38" t="s">
        <v>8925</v>
      </c>
    </row>
    <row r="1990" spans="1:33" ht="6" customHeight="1" x14ac:dyDescent="0.4">
      <c r="A1990" s="4">
        <f>ROW()</f>
        <v>1990</v>
      </c>
      <c r="B1990" s="9" t="s">
        <v>27</v>
      </c>
      <c r="C1990" s="44" t="str">
        <f t="shared" si="955"/>
        <v>p.pagar</v>
      </c>
      <c r="D1990" s="6" t="str">
        <f t="shared" si="963"/>
        <v>é.moeda.nacional</v>
      </c>
      <c r="E1990" s="8" t="s">
        <v>28</v>
      </c>
      <c r="F1990" s="34" t="str">
        <f t="shared" si="962"/>
        <v>d.pagar</v>
      </c>
      <c r="G1990" s="13" t="s">
        <v>1522</v>
      </c>
      <c r="H1990" s="34" t="s">
        <v>35</v>
      </c>
      <c r="I1990" s="92" t="str">
        <f t="shared" si="954"/>
        <v>null</v>
      </c>
      <c r="J1990" s="80" t="s">
        <v>0</v>
      </c>
      <c r="K1990" s="80" t="s">
        <v>0</v>
      </c>
      <c r="L1990" s="80" t="s">
        <v>0</v>
      </c>
      <c r="M1990" s="80" t="s">
        <v>0</v>
      </c>
      <c r="N1990" s="80" t="s">
        <v>0</v>
      </c>
      <c r="O1990" s="80" t="s">
        <v>0</v>
      </c>
      <c r="P1990" s="80" t="s">
        <v>0</v>
      </c>
      <c r="Q1990" s="80" t="s">
        <v>0</v>
      </c>
      <c r="R1990" s="84" t="s">
        <v>0</v>
      </c>
      <c r="S1990" s="10" t="s">
        <v>1</v>
      </c>
      <c r="T1990" s="10" t="s">
        <v>10221</v>
      </c>
      <c r="U1990" s="5" t="str">
        <f t="shared" si="952"/>
        <v>Propriedade destinada a pagar: é.moeda.nacional</v>
      </c>
      <c r="V1990" s="5" t="str">
        <f t="shared" si="953"/>
        <v>Dado para pagar:  moeda.nacional  Deve ser formatado como (xsd:double)</v>
      </c>
      <c r="W1990" s="69" t="s">
        <v>5967</v>
      </c>
      <c r="X1990" s="17" t="str">
        <f t="shared" si="967"/>
        <v>d.pagar.116</v>
      </c>
      <c r="Y1990" s="17" t="str">
        <f t="shared" si="968"/>
        <v>Ação de pagar</v>
      </c>
      <c r="Z1990" s="62" t="s">
        <v>4533</v>
      </c>
      <c r="AA1990" s="18" t="str">
        <f t="shared" si="965"/>
        <v>null</v>
      </c>
      <c r="AB1990" s="19" t="s">
        <v>0</v>
      </c>
      <c r="AC1990" s="18" t="str">
        <f t="shared" si="966"/>
        <v>null</v>
      </c>
      <c r="AD1990" s="19" t="s">
        <v>0</v>
      </c>
      <c r="AE1990" s="18" t="str">
        <f t="shared" si="964"/>
        <v>null</v>
      </c>
      <c r="AF1990" s="75" t="s">
        <v>0</v>
      </c>
      <c r="AG1990" s="38" t="s">
        <v>8926</v>
      </c>
    </row>
    <row r="1991" spans="1:33" ht="6" customHeight="1" x14ac:dyDescent="0.4">
      <c r="A1991" s="4">
        <f>ROW()</f>
        <v>1991</v>
      </c>
      <c r="B1991" s="9" t="s">
        <v>27</v>
      </c>
      <c r="C1991" s="44" t="str">
        <f t="shared" si="955"/>
        <v>p.pagar</v>
      </c>
      <c r="D1991" s="6" t="str">
        <f t="shared" si="963"/>
        <v>é.criptomoeda</v>
      </c>
      <c r="E1991" s="8" t="s">
        <v>28</v>
      </c>
      <c r="F1991" s="34" t="str">
        <f t="shared" si="962"/>
        <v>d.pagar</v>
      </c>
      <c r="G1991" s="13" t="s">
        <v>1523</v>
      </c>
      <c r="H1991" s="34" t="s">
        <v>35</v>
      </c>
      <c r="I1991" s="92" t="str">
        <f t="shared" si="954"/>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52"/>
        <v>Propriedade destinada a pagar: é.criptomoeda</v>
      </c>
      <c r="V1991" s="5" t="str">
        <f t="shared" si="953"/>
        <v>Dado para pagar:  criptomoeda  Deve ser formatado como (xsd:double)</v>
      </c>
      <c r="W1991" s="69" t="s">
        <v>5968</v>
      </c>
      <c r="X1991" s="17" t="str">
        <f t="shared" si="967"/>
        <v>d.pagar.117</v>
      </c>
      <c r="Y1991" s="17" t="str">
        <f t="shared" si="968"/>
        <v>Ação de pagar</v>
      </c>
      <c r="Z1991" s="62" t="s">
        <v>4534</v>
      </c>
      <c r="AA1991" s="18" t="str">
        <f t="shared" si="965"/>
        <v>null</v>
      </c>
      <c r="AB1991" s="19" t="s">
        <v>0</v>
      </c>
      <c r="AC1991" s="18" t="str">
        <f t="shared" si="966"/>
        <v>null</v>
      </c>
      <c r="AD1991" s="19" t="s">
        <v>0</v>
      </c>
      <c r="AE1991" s="18" t="str">
        <f t="shared" si="964"/>
        <v>null</v>
      </c>
      <c r="AF1991" s="75" t="s">
        <v>0</v>
      </c>
      <c r="AG1991" s="38" t="s">
        <v>8927</v>
      </c>
    </row>
    <row r="1992" spans="1:33" ht="6" customHeight="1" x14ac:dyDescent="0.4">
      <c r="A1992" s="4">
        <f>ROW()</f>
        <v>1992</v>
      </c>
      <c r="B1992" s="9" t="s">
        <v>27</v>
      </c>
      <c r="C1992" s="43" t="str">
        <f t="shared" si="955"/>
        <v>p.particionar</v>
      </c>
      <c r="D1992" s="6" t="str">
        <f t="shared" si="963"/>
        <v>é.núcleo</v>
      </c>
      <c r="E1992" s="8" t="s">
        <v>28</v>
      </c>
      <c r="F1992" s="41" t="s">
        <v>2213</v>
      </c>
      <c r="G1992" s="13" t="s">
        <v>2653</v>
      </c>
      <c r="H1992" s="34" t="s">
        <v>1581</v>
      </c>
      <c r="I1992" s="92" t="str">
        <f t="shared" si="954"/>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52"/>
        <v>Propriedade destinada a particionar: é.núcleo</v>
      </c>
      <c r="V1992" s="5" t="str">
        <f t="shared" si="953"/>
        <v>Dado para particionar:  núcleo  Deve ser formatado como (rdfs:Literal  or  xsd:string)</v>
      </c>
      <c r="W1992" s="69" t="s">
        <v>5969</v>
      </c>
      <c r="X1992" s="17" t="str">
        <f t="shared" si="967"/>
        <v>d.parti.100</v>
      </c>
      <c r="Y1992" s="17" t="str">
        <f t="shared" si="968"/>
        <v>Ação de particionar</v>
      </c>
      <c r="Z1992" s="62" t="s">
        <v>4535</v>
      </c>
      <c r="AA1992" s="18" t="str">
        <f t="shared" si="965"/>
        <v>categoria.revit</v>
      </c>
      <c r="AB1992" s="19" t="s">
        <v>2135</v>
      </c>
      <c r="AC1992" s="18" t="str">
        <f t="shared" si="966"/>
        <v>classe.ifc</v>
      </c>
      <c r="AD1992" s="19" t="s">
        <v>2086</v>
      </c>
      <c r="AE1992" s="18" t="str">
        <f t="shared" si="964"/>
        <v>null</v>
      </c>
      <c r="AF1992" s="75" t="s">
        <v>0</v>
      </c>
      <c r="AG1992" s="38" t="s">
        <v>8928</v>
      </c>
    </row>
    <row r="1993" spans="1:33" ht="6" customHeight="1" x14ac:dyDescent="0.4">
      <c r="A1993" s="4">
        <f>ROW()</f>
        <v>1993</v>
      </c>
      <c r="B1993" s="9" t="s">
        <v>27</v>
      </c>
      <c r="C1993" s="44" t="str">
        <f t="shared" si="955"/>
        <v>p.particionar</v>
      </c>
      <c r="D1993" s="6" t="str">
        <f t="shared" si="963"/>
        <v>é.chapisco</v>
      </c>
      <c r="E1993" s="8" t="s">
        <v>28</v>
      </c>
      <c r="F1993" s="34" t="str">
        <f t="shared" ref="F1993:F1999" si="969">F1992</f>
        <v>d.particionar</v>
      </c>
      <c r="G1993" s="13" t="s">
        <v>2654</v>
      </c>
      <c r="H1993" s="33" t="s">
        <v>1581</v>
      </c>
      <c r="I1993" s="92" t="str">
        <f t="shared" si="954"/>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52"/>
        <v>Propriedade destinada a particionar: é.chapisco</v>
      </c>
      <c r="V1993" s="5" t="str">
        <f t="shared" si="953"/>
        <v>Dado para particionar:  chapisco  Deve ser formatado como (rdfs:Literal  or  xsd:string)</v>
      </c>
      <c r="W1993" s="69" t="s">
        <v>5970</v>
      </c>
      <c r="X1993" s="17" t="str">
        <f t="shared" si="967"/>
        <v>d.parti.101</v>
      </c>
      <c r="Y1993" s="17" t="str">
        <f t="shared" si="968"/>
        <v>Ação de particionar</v>
      </c>
      <c r="Z1993" s="62" t="s">
        <v>4536</v>
      </c>
      <c r="AA1993" s="18" t="str">
        <f t="shared" si="965"/>
        <v>categoria.revit</v>
      </c>
      <c r="AB1993" s="19" t="s">
        <v>2135</v>
      </c>
      <c r="AC1993" s="18" t="str">
        <f t="shared" si="966"/>
        <v>classe.ifc</v>
      </c>
      <c r="AD1993" s="19" t="s">
        <v>2086</v>
      </c>
      <c r="AE1993" s="18" t="str">
        <f t="shared" si="964"/>
        <v>null</v>
      </c>
      <c r="AF1993" s="75" t="s">
        <v>0</v>
      </c>
      <c r="AG1993" s="38" t="s">
        <v>8929</v>
      </c>
    </row>
    <row r="1994" spans="1:33" ht="6" customHeight="1" x14ac:dyDescent="0.4">
      <c r="A1994" s="4">
        <f>ROW()</f>
        <v>1994</v>
      </c>
      <c r="B1994" s="9" t="s">
        <v>27</v>
      </c>
      <c r="C1994" s="44" t="str">
        <f t="shared" si="955"/>
        <v>p.particionar</v>
      </c>
      <c r="D1994" s="6" t="str">
        <f t="shared" si="963"/>
        <v>é.emboço</v>
      </c>
      <c r="E1994" s="8" t="s">
        <v>28</v>
      </c>
      <c r="F1994" s="34" t="str">
        <f t="shared" si="969"/>
        <v>d.particionar</v>
      </c>
      <c r="G1994" s="13" t="s">
        <v>2655</v>
      </c>
      <c r="H1994" s="33" t="s">
        <v>1581</v>
      </c>
      <c r="I1994" s="92" t="str">
        <f t="shared" si="954"/>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52"/>
        <v>Propriedade destinada a particionar: é.emboço</v>
      </c>
      <c r="V1994" s="5" t="str">
        <f t="shared" si="953"/>
        <v>Dado para particionar:  emboço  Deve ser formatado como (rdfs:Literal  or  xsd:string)</v>
      </c>
      <c r="W1994" s="69" t="s">
        <v>5971</v>
      </c>
      <c r="X1994" s="17" t="str">
        <f t="shared" si="967"/>
        <v>d.parti.102</v>
      </c>
      <c r="Y1994" s="17" t="str">
        <f t="shared" si="968"/>
        <v>Ação de particionar</v>
      </c>
      <c r="Z1994" s="62" t="s">
        <v>4537</v>
      </c>
      <c r="AA1994" s="18" t="str">
        <f t="shared" si="965"/>
        <v>categoria.revit</v>
      </c>
      <c r="AB1994" s="19" t="s">
        <v>2135</v>
      </c>
      <c r="AC1994" s="18" t="str">
        <f t="shared" si="966"/>
        <v>classe.ifc</v>
      </c>
      <c r="AD1994" s="19" t="s">
        <v>2086</v>
      </c>
      <c r="AE1994" s="18" t="str">
        <f t="shared" si="964"/>
        <v>null</v>
      </c>
      <c r="AF1994" s="75" t="s">
        <v>0</v>
      </c>
      <c r="AG1994" s="38" t="s">
        <v>8930</v>
      </c>
    </row>
    <row r="1995" spans="1:33" ht="6" customHeight="1" x14ac:dyDescent="0.4">
      <c r="A1995" s="4">
        <f>ROW()</f>
        <v>1995</v>
      </c>
      <c r="B1995" s="9" t="s">
        <v>27</v>
      </c>
      <c r="C1995" s="44" t="str">
        <f t="shared" si="955"/>
        <v>p.particionar</v>
      </c>
      <c r="D1995" s="6" t="str">
        <f t="shared" si="963"/>
        <v>é.reboco</v>
      </c>
      <c r="E1995" s="8" t="s">
        <v>28</v>
      </c>
      <c r="F1995" s="34" t="str">
        <f t="shared" si="969"/>
        <v>d.particionar</v>
      </c>
      <c r="G1995" s="13" t="s">
        <v>2656</v>
      </c>
      <c r="H1995" s="33" t="s">
        <v>1581</v>
      </c>
      <c r="I1995" s="92" t="str">
        <f t="shared" si="954"/>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52"/>
        <v>Propriedade destinada a particionar: é.reboco</v>
      </c>
      <c r="V1995" s="5" t="str">
        <f t="shared" si="953"/>
        <v>Dado para particionar:  reboco  Deve ser formatado como (rdfs:Literal  or  xsd:string)</v>
      </c>
      <c r="W1995" s="69" t="s">
        <v>5972</v>
      </c>
      <c r="X1995" s="17" t="str">
        <f t="shared" si="967"/>
        <v>d.parti.103</v>
      </c>
      <c r="Y1995" s="17" t="str">
        <f t="shared" si="968"/>
        <v>Ação de particionar</v>
      </c>
      <c r="Z1995" s="62" t="s">
        <v>4537</v>
      </c>
      <c r="AA1995" s="18" t="str">
        <f t="shared" si="965"/>
        <v>categoria.revit</v>
      </c>
      <c r="AB1995" s="19" t="s">
        <v>2135</v>
      </c>
      <c r="AC1995" s="18" t="str">
        <f t="shared" si="966"/>
        <v>classe.ifc</v>
      </c>
      <c r="AD1995" s="19" t="s">
        <v>2086</v>
      </c>
      <c r="AE1995" s="18" t="str">
        <f t="shared" si="964"/>
        <v>null</v>
      </c>
      <c r="AF1995" s="75" t="s">
        <v>0</v>
      </c>
      <c r="AG1995" s="38" t="s">
        <v>8930</v>
      </c>
    </row>
    <row r="1996" spans="1:33" ht="6" customHeight="1" x14ac:dyDescent="0.4">
      <c r="A1996" s="4">
        <f>ROW()</f>
        <v>1996</v>
      </c>
      <c r="B1996" s="9" t="s">
        <v>27</v>
      </c>
      <c r="C1996" s="44" t="str">
        <f t="shared" si="955"/>
        <v>p.particionar</v>
      </c>
      <c r="D1996" s="6" t="str">
        <f t="shared" si="963"/>
        <v>é.membrana</v>
      </c>
      <c r="E1996" s="8" t="s">
        <v>28</v>
      </c>
      <c r="F1996" s="34" t="str">
        <f t="shared" si="969"/>
        <v>d.particionar</v>
      </c>
      <c r="G1996" s="13" t="s">
        <v>2657</v>
      </c>
      <c r="H1996" s="33" t="s">
        <v>1581</v>
      </c>
      <c r="I1996" s="92" t="str">
        <f t="shared" si="954"/>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52"/>
        <v>Propriedade destinada a particionar: é.membrana</v>
      </c>
      <c r="V1996" s="5" t="str">
        <f t="shared" si="953"/>
        <v>Dado para particionar:  membrana  Deve ser formatado como (rdfs:Literal  or  xsd:string)</v>
      </c>
      <c r="W1996" s="69" t="s">
        <v>5973</v>
      </c>
      <c r="X1996" s="17" t="str">
        <f t="shared" si="967"/>
        <v>d.parti.104</v>
      </c>
      <c r="Y1996" s="17" t="str">
        <f t="shared" si="968"/>
        <v>Ação de particionar</v>
      </c>
      <c r="Z1996" s="62" t="s">
        <v>4833</v>
      </c>
      <c r="AA1996" s="18" t="str">
        <f t="shared" si="965"/>
        <v>categoria.revit</v>
      </c>
      <c r="AB1996" s="19" t="s">
        <v>2135</v>
      </c>
      <c r="AC1996" s="18" t="str">
        <f t="shared" si="966"/>
        <v>classe.ifc</v>
      </c>
      <c r="AD1996" s="19" t="s">
        <v>2086</v>
      </c>
      <c r="AE1996" s="18" t="str">
        <f t="shared" si="964"/>
        <v>null</v>
      </c>
      <c r="AF1996" s="75" t="s">
        <v>0</v>
      </c>
      <c r="AG1996" s="38" t="s">
        <v>8931</v>
      </c>
    </row>
    <row r="1997" spans="1:33" ht="6" customHeight="1" x14ac:dyDescent="0.4">
      <c r="A1997" s="4">
        <f>ROW()</f>
        <v>1997</v>
      </c>
      <c r="B1997" s="9" t="s">
        <v>27</v>
      </c>
      <c r="C1997" s="44" t="str">
        <f t="shared" si="955"/>
        <v>p.particionar</v>
      </c>
      <c r="D1997" s="6" t="str">
        <f t="shared" si="963"/>
        <v>é.camada.ar</v>
      </c>
      <c r="E1997" s="8" t="s">
        <v>28</v>
      </c>
      <c r="F1997" s="34" t="str">
        <f t="shared" si="969"/>
        <v>d.particionar</v>
      </c>
      <c r="G1997" s="13" t="s">
        <v>2658</v>
      </c>
      <c r="H1997" s="33" t="s">
        <v>1581</v>
      </c>
      <c r="I1997" s="92" t="str">
        <f t="shared" si="954"/>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52"/>
        <v>Propriedade destinada a particionar: é.camada.ar</v>
      </c>
      <c r="V1997" s="5" t="str">
        <f t="shared" si="953"/>
        <v>Dado para particionar:  camada.ar  Deve ser formatado como (rdfs:Literal  or  xsd:string)</v>
      </c>
      <c r="W1997" s="69" t="s">
        <v>5974</v>
      </c>
      <c r="X1997" s="17" t="str">
        <f t="shared" si="967"/>
        <v>d.parti.105</v>
      </c>
      <c r="Y1997" s="17" t="str">
        <f t="shared" si="968"/>
        <v>Ação de particionar</v>
      </c>
      <c r="Z1997" s="62" t="s">
        <v>4538</v>
      </c>
      <c r="AA1997" s="18" t="str">
        <f t="shared" si="965"/>
        <v>categoria.revit</v>
      </c>
      <c r="AB1997" s="19" t="s">
        <v>2135</v>
      </c>
      <c r="AC1997" s="18" t="str">
        <f t="shared" si="966"/>
        <v>classe.ifc</v>
      </c>
      <c r="AD1997" s="19" t="s">
        <v>2086</v>
      </c>
      <c r="AE1997" s="18" t="str">
        <f t="shared" si="964"/>
        <v>null</v>
      </c>
      <c r="AF1997" s="75" t="s">
        <v>0</v>
      </c>
      <c r="AG1997" s="38" t="s">
        <v>8932</v>
      </c>
    </row>
    <row r="1998" spans="1:33" ht="6" customHeight="1" x14ac:dyDescent="0.4">
      <c r="A1998" s="4">
        <f>ROW()</f>
        <v>1998</v>
      </c>
      <c r="B1998" s="9" t="s">
        <v>27</v>
      </c>
      <c r="C1998" s="44" t="str">
        <f t="shared" si="955"/>
        <v>p.particionar</v>
      </c>
      <c r="D1998" s="6" t="str">
        <f t="shared" si="963"/>
        <v>é.acabamento</v>
      </c>
      <c r="E1998" s="8" t="s">
        <v>28</v>
      </c>
      <c r="F1998" s="34" t="str">
        <f t="shared" si="969"/>
        <v>d.particionar</v>
      </c>
      <c r="G1998" s="13" t="s">
        <v>124</v>
      </c>
      <c r="H1998" s="33" t="s">
        <v>1581</v>
      </c>
      <c r="I1998" s="92" t="str">
        <f t="shared" si="954"/>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52"/>
        <v>Propriedade destinada a particionar: é.acabamento</v>
      </c>
      <c r="V1998" s="5" t="str">
        <f t="shared" si="953"/>
        <v>Dado para particionar:  acabamento  Deve ser formatado como (rdfs:Literal  or  xsd:string)</v>
      </c>
      <c r="W1998" s="69" t="s">
        <v>5975</v>
      </c>
      <c r="X1998" s="17" t="str">
        <f t="shared" si="967"/>
        <v>d.parti.106</v>
      </c>
      <c r="Y1998" s="17" t="str">
        <f t="shared" si="968"/>
        <v>Ação de particionar</v>
      </c>
      <c r="Z1998" s="62" t="s">
        <v>4539</v>
      </c>
      <c r="AA1998" s="18" t="str">
        <f t="shared" si="965"/>
        <v>categoria.revit</v>
      </c>
      <c r="AB1998" s="19" t="s">
        <v>2135</v>
      </c>
      <c r="AC1998" s="18" t="str">
        <f t="shared" si="966"/>
        <v>classe.ifc</v>
      </c>
      <c r="AD1998" s="19" t="s">
        <v>2087</v>
      </c>
      <c r="AE1998" s="18" t="str">
        <f t="shared" si="964"/>
        <v>null</v>
      </c>
      <c r="AF1998" s="75" t="s">
        <v>0</v>
      </c>
      <c r="AG1998" s="38" t="s">
        <v>8933</v>
      </c>
    </row>
    <row r="1999" spans="1:33" ht="6" customHeight="1" x14ac:dyDescent="0.4">
      <c r="A1999" s="4">
        <f>ROW()</f>
        <v>1999</v>
      </c>
      <c r="B1999" s="9" t="s">
        <v>27</v>
      </c>
      <c r="C1999" s="44" t="str">
        <f t="shared" si="955"/>
        <v>p.particionar</v>
      </c>
      <c r="D1999" s="6" t="str">
        <f t="shared" si="963"/>
        <v>é.junta.de.dilatação</v>
      </c>
      <c r="E1999" s="8" t="s">
        <v>28</v>
      </c>
      <c r="F1999" s="34" t="str">
        <f t="shared" si="969"/>
        <v>d.particionar</v>
      </c>
      <c r="G1999" s="13" t="s">
        <v>3044</v>
      </c>
      <c r="H1999" s="33" t="s">
        <v>1581</v>
      </c>
      <c r="I1999" s="92" t="str">
        <f t="shared" si="954"/>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52"/>
        <v>Propriedade destinada a particionar: é.junta.de.dilatação</v>
      </c>
      <c r="V1999" s="5" t="str">
        <f t="shared" si="953"/>
        <v>Dado para particionar:  junta.de.dilatação  Deve ser formatado como (rdfs:Literal  or  xsd:string)</v>
      </c>
      <c r="W1999" s="69" t="s">
        <v>5976</v>
      </c>
      <c r="X1999" s="17" t="str">
        <f t="shared" si="967"/>
        <v>d.parti.107</v>
      </c>
      <c r="Y1999" s="17" t="str">
        <f t="shared" si="968"/>
        <v>Ação de particionar</v>
      </c>
      <c r="Z1999" s="62" t="s">
        <v>4540</v>
      </c>
      <c r="AA1999" s="18" t="str">
        <f t="shared" si="965"/>
        <v>null</v>
      </c>
      <c r="AB1999" s="19" t="s">
        <v>0</v>
      </c>
      <c r="AC1999" s="18" t="str">
        <f t="shared" si="966"/>
        <v>null</v>
      </c>
      <c r="AD1999" s="19" t="s">
        <v>0</v>
      </c>
      <c r="AE1999" s="18" t="str">
        <f t="shared" si="964"/>
        <v>null</v>
      </c>
      <c r="AF1999" s="75" t="s">
        <v>0</v>
      </c>
      <c r="AG1999" s="38" t="s">
        <v>8934</v>
      </c>
    </row>
    <row r="2000" spans="1:33" ht="6" customHeight="1" x14ac:dyDescent="0.4">
      <c r="A2000" s="4">
        <f>ROW()</f>
        <v>2000</v>
      </c>
      <c r="B2000" s="9" t="s">
        <v>27</v>
      </c>
      <c r="C2000" s="43" t="str">
        <f t="shared" si="955"/>
        <v>p.passar</v>
      </c>
      <c r="D2000" s="6" t="str">
        <f t="shared" si="963"/>
        <v>é.porta</v>
      </c>
      <c r="E2000" s="8" t="s">
        <v>28</v>
      </c>
      <c r="F2000" s="41" t="s">
        <v>2214</v>
      </c>
      <c r="G2000" s="13" t="s">
        <v>2659</v>
      </c>
      <c r="H2000" s="34" t="s">
        <v>1581</v>
      </c>
      <c r="I2000" s="92" t="str">
        <f t="shared" si="954"/>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52"/>
        <v>Propriedade destinada a passar: é.porta</v>
      </c>
      <c r="V2000" s="5" t="str">
        <f t="shared" si="953"/>
        <v>Dado para passar:  porta  Deve ser formatado como (rdfs:Literal  or  xsd:string)</v>
      </c>
      <c r="W2000" s="69" t="s">
        <v>5977</v>
      </c>
      <c r="X2000" s="17" t="str">
        <f t="shared" si="967"/>
        <v>d.passa.100</v>
      </c>
      <c r="Y2000" s="17" t="str">
        <f t="shared" si="968"/>
        <v>Ação de passar</v>
      </c>
      <c r="Z2000" s="62" t="s">
        <v>2350</v>
      </c>
      <c r="AA2000" s="18" t="str">
        <f t="shared" si="965"/>
        <v>categoria.revit</v>
      </c>
      <c r="AB2000" s="19" t="s">
        <v>2136</v>
      </c>
      <c r="AC2000" s="18" t="str">
        <f t="shared" si="966"/>
        <v>classe.ifc</v>
      </c>
      <c r="AD2000" s="19" t="s">
        <v>2088</v>
      </c>
      <c r="AE2000" s="18" t="str">
        <f t="shared" si="964"/>
        <v>null</v>
      </c>
      <c r="AF2000" s="75" t="s">
        <v>0</v>
      </c>
      <c r="AG2000" s="38" t="s">
        <v>8935</v>
      </c>
    </row>
    <row r="2001" spans="1:33" ht="6" customHeight="1" x14ac:dyDescent="0.4">
      <c r="A2001" s="4">
        <f>ROW()</f>
        <v>2001</v>
      </c>
      <c r="B2001" s="9" t="s">
        <v>27</v>
      </c>
      <c r="C2001" s="44" t="str">
        <f t="shared" ref="C2001:C2021" si="970">SUBSTITUTE(F2001,"d.","p.")</f>
        <v>p.passar</v>
      </c>
      <c r="D2001" s="6" t="str">
        <f t="shared" si="963"/>
        <v>é.pass.through</v>
      </c>
      <c r="E2001" s="8" t="s">
        <v>28</v>
      </c>
      <c r="F2001" s="34" t="str">
        <f t="shared" ref="F2001:F2020" si="971">F2000</f>
        <v>d.passar</v>
      </c>
      <c r="G2001" s="13" t="s">
        <v>847</v>
      </c>
      <c r="H2001" s="33" t="s">
        <v>36</v>
      </c>
      <c r="I2001" s="92" t="str">
        <f t="shared" si="954"/>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52"/>
        <v>Propriedade destinada a passar: é.pass.through</v>
      </c>
      <c r="V2001" s="5" t="str">
        <f t="shared" si="953"/>
        <v>Dado para passar:  pass.through  Deve ser formatado como (xsd:boolean)</v>
      </c>
      <c r="W2001" s="69" t="s">
        <v>5978</v>
      </c>
      <c r="X2001" s="17" t="str">
        <f t="shared" si="967"/>
        <v>d.passa.101</v>
      </c>
      <c r="Y2001" s="17" t="str">
        <f t="shared" si="968"/>
        <v>Ação de passar</v>
      </c>
      <c r="Z2001" s="62" t="s">
        <v>4541</v>
      </c>
      <c r="AA2001" s="18" t="str">
        <f t="shared" ref="AA2001:AA2020" si="972">IF(AB2001="null", "null", "categoria.revit")</f>
        <v>categoria.revit</v>
      </c>
      <c r="AB2001" s="19" t="s">
        <v>2136</v>
      </c>
      <c r="AC2001" s="18" t="str">
        <f t="shared" ref="AC2001:AC2020" si="973">IF(AD2001="null", "null", "classe.ifc")</f>
        <v>classe.ifc</v>
      </c>
      <c r="AD2001" s="19" t="s">
        <v>2088</v>
      </c>
      <c r="AE2001" s="18" t="str">
        <f t="shared" si="964"/>
        <v>null</v>
      </c>
      <c r="AF2001" s="75" t="s">
        <v>0</v>
      </c>
      <c r="AG2001" s="38" t="s">
        <v>8936</v>
      </c>
    </row>
    <row r="2002" spans="1:33" ht="6" customHeight="1" x14ac:dyDescent="0.4">
      <c r="A2002" s="4">
        <f>ROW()</f>
        <v>2002</v>
      </c>
      <c r="B2002" s="9" t="s">
        <v>27</v>
      </c>
      <c r="C2002" s="44" t="str">
        <f t="shared" si="970"/>
        <v>p.passar</v>
      </c>
      <c r="D2002" s="6" t="str">
        <f t="shared" si="963"/>
        <v>é.pass.through.de.sala.limpa</v>
      </c>
      <c r="E2002" s="8" t="s">
        <v>28</v>
      </c>
      <c r="F2002" s="34" t="str">
        <f t="shared" si="971"/>
        <v>d.passar</v>
      </c>
      <c r="G2002" s="13" t="s">
        <v>848</v>
      </c>
      <c r="H2002" s="33" t="s">
        <v>36</v>
      </c>
      <c r="I2002" s="92" t="str">
        <f t="shared" si="954"/>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52"/>
        <v>Propriedade destinada a passar: é.pass.through.de.sala.limpa</v>
      </c>
      <c r="V2002" s="5" t="str">
        <f t="shared" si="953"/>
        <v>Dado para passar:  pass.through.de.sala.limpa  Deve ser formatado como (xsd:boolean)</v>
      </c>
      <c r="W2002" s="69" t="s">
        <v>5979</v>
      </c>
      <c r="X2002" s="17" t="str">
        <f t="shared" si="967"/>
        <v>d.passa.102</v>
      </c>
      <c r="Y2002" s="17" t="str">
        <f t="shared" si="968"/>
        <v>Ação de passar</v>
      </c>
      <c r="Z2002" s="62" t="s">
        <v>4542</v>
      </c>
      <c r="AA2002" s="18" t="str">
        <f t="shared" si="972"/>
        <v>categoria.revit</v>
      </c>
      <c r="AB2002" s="19" t="s">
        <v>2136</v>
      </c>
      <c r="AC2002" s="18" t="str">
        <f t="shared" si="973"/>
        <v>classe.ifc</v>
      </c>
      <c r="AD2002" s="19" t="s">
        <v>2088</v>
      </c>
      <c r="AE2002" s="18" t="str">
        <f t="shared" si="964"/>
        <v>null</v>
      </c>
      <c r="AF2002" s="75" t="s">
        <v>0</v>
      </c>
      <c r="AG2002" s="38" t="s">
        <v>8937</v>
      </c>
    </row>
    <row r="2003" spans="1:33" ht="6" customHeight="1" x14ac:dyDescent="0.4">
      <c r="A2003" s="4">
        <f>ROW()</f>
        <v>2003</v>
      </c>
      <c r="B2003" s="9" t="s">
        <v>27</v>
      </c>
      <c r="C2003" s="44" t="str">
        <f t="shared" si="970"/>
        <v>p.passar</v>
      </c>
      <c r="D2003" s="6" t="str">
        <f t="shared" si="963"/>
        <v>é.pass.through.de.transferência</v>
      </c>
      <c r="E2003" s="8" t="s">
        <v>28</v>
      </c>
      <c r="F2003" s="34" t="str">
        <f t="shared" si="971"/>
        <v>d.passar</v>
      </c>
      <c r="G2003" s="13" t="s">
        <v>849</v>
      </c>
      <c r="H2003" s="33" t="s">
        <v>36</v>
      </c>
      <c r="I2003" s="92" t="str">
        <f t="shared" si="954"/>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52"/>
        <v>Propriedade destinada a passar: é.pass.through.de.transferência</v>
      </c>
      <c r="V2003" s="5" t="str">
        <f t="shared" si="953"/>
        <v>Dado para passar:  pass.through.de.transferência  Deve ser formatado como (xsd:boolean)</v>
      </c>
      <c r="W2003" s="69" t="s">
        <v>5980</v>
      </c>
      <c r="X2003" s="17" t="str">
        <f t="shared" si="967"/>
        <v>d.passa.103</v>
      </c>
      <c r="Y2003" s="17" t="str">
        <f t="shared" si="968"/>
        <v>Ação de passar</v>
      </c>
      <c r="Z2003" s="62" t="s">
        <v>4543</v>
      </c>
      <c r="AA2003" s="18" t="str">
        <f t="shared" si="972"/>
        <v>categoria.revit</v>
      </c>
      <c r="AB2003" s="19" t="s">
        <v>2136</v>
      </c>
      <c r="AC2003" s="18" t="str">
        <f t="shared" si="973"/>
        <v>classe.ifc</v>
      </c>
      <c r="AD2003" s="19" t="s">
        <v>2088</v>
      </c>
      <c r="AE2003" s="18" t="str">
        <f t="shared" si="964"/>
        <v>null</v>
      </c>
      <c r="AF2003" s="75" t="s">
        <v>0</v>
      </c>
      <c r="AG2003" s="38" t="s">
        <v>8938</v>
      </c>
    </row>
    <row r="2004" spans="1:33" ht="6" customHeight="1" x14ac:dyDescent="0.4">
      <c r="A2004" s="4">
        <f>ROW()</f>
        <v>2004</v>
      </c>
      <c r="B2004" s="9" t="s">
        <v>27</v>
      </c>
      <c r="C2004" s="44" t="str">
        <f t="shared" si="970"/>
        <v>p.passar</v>
      </c>
      <c r="D2004" s="6" t="str">
        <f t="shared" si="963"/>
        <v>é.passaprato</v>
      </c>
      <c r="E2004" s="8" t="s">
        <v>28</v>
      </c>
      <c r="F2004" s="34" t="str">
        <f t="shared" si="971"/>
        <v>d.passar</v>
      </c>
      <c r="G2004" s="13" t="s">
        <v>158</v>
      </c>
      <c r="H2004" s="33" t="s">
        <v>36</v>
      </c>
      <c r="I2004" s="92" t="str">
        <f t="shared" si="954"/>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52"/>
        <v>Propriedade destinada a passar: é.passaprato</v>
      </c>
      <c r="V2004" s="5" t="str">
        <f t="shared" si="953"/>
        <v>Dado para passar:  passaprato  Deve ser formatado como (xsd:boolean)</v>
      </c>
      <c r="W2004" s="69" t="s">
        <v>5981</v>
      </c>
      <c r="X2004" s="17" t="str">
        <f t="shared" si="967"/>
        <v>d.passa.104</v>
      </c>
      <c r="Y2004" s="17" t="str">
        <f t="shared" si="968"/>
        <v>Ação de passar</v>
      </c>
      <c r="Z2004" s="62" t="s">
        <v>4544</v>
      </c>
      <c r="AA2004" s="18" t="str">
        <f t="shared" si="972"/>
        <v>categoria.revit</v>
      </c>
      <c r="AB2004" s="19" t="s">
        <v>2136</v>
      </c>
      <c r="AC2004" s="18" t="str">
        <f t="shared" si="973"/>
        <v>classe.ifc</v>
      </c>
      <c r="AD2004" s="19" t="s">
        <v>2088</v>
      </c>
      <c r="AE2004" s="18" t="str">
        <f t="shared" si="964"/>
        <v>null</v>
      </c>
      <c r="AF2004" s="75" t="s">
        <v>0</v>
      </c>
      <c r="AG2004" s="38" t="s">
        <v>8939</v>
      </c>
    </row>
    <row r="2005" spans="1:33" ht="6" customHeight="1" x14ac:dyDescent="0.4">
      <c r="A2005" s="4">
        <f>ROW()</f>
        <v>2005</v>
      </c>
      <c r="B2005" s="9" t="s">
        <v>27</v>
      </c>
      <c r="C2005" s="44" t="str">
        <f t="shared" si="970"/>
        <v>p.passar</v>
      </c>
      <c r="D2005" s="6" t="str">
        <f t="shared" si="963"/>
        <v>é.porta.acústica</v>
      </c>
      <c r="E2005" s="8" t="s">
        <v>28</v>
      </c>
      <c r="F2005" s="34" t="str">
        <f t="shared" si="971"/>
        <v>d.passar</v>
      </c>
      <c r="G2005" s="13" t="s">
        <v>840</v>
      </c>
      <c r="H2005" s="33" t="s">
        <v>36</v>
      </c>
      <c r="I2005" s="92" t="str">
        <f t="shared" si="954"/>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52"/>
        <v>Propriedade destinada a passar: é.porta.acústica</v>
      </c>
      <c r="V2005" s="5" t="str">
        <f t="shared" si="953"/>
        <v>Dado para passar:  porta.acústica  Deve ser formatado como (xsd:boolean)</v>
      </c>
      <c r="W2005" s="69" t="s">
        <v>5982</v>
      </c>
      <c r="X2005" s="17" t="str">
        <f t="shared" si="967"/>
        <v>d.passa.105</v>
      </c>
      <c r="Y2005" s="17" t="str">
        <f t="shared" si="968"/>
        <v>Ação de passar</v>
      </c>
      <c r="Z2005" s="62" t="s">
        <v>4545</v>
      </c>
      <c r="AA2005" s="18" t="str">
        <f t="shared" si="972"/>
        <v>categoria.revit</v>
      </c>
      <c r="AB2005" s="19" t="s">
        <v>2136</v>
      </c>
      <c r="AC2005" s="18" t="str">
        <f t="shared" si="973"/>
        <v>classe.ifc</v>
      </c>
      <c r="AD2005" s="19" t="s">
        <v>2088</v>
      </c>
      <c r="AE2005" s="18" t="str">
        <f t="shared" si="964"/>
        <v>null</v>
      </c>
      <c r="AF2005" s="75" t="s">
        <v>0</v>
      </c>
      <c r="AG2005" s="38" t="s">
        <v>8940</v>
      </c>
    </row>
    <row r="2006" spans="1:33" ht="6" customHeight="1" x14ac:dyDescent="0.4">
      <c r="A2006" s="4">
        <f>ROW()</f>
        <v>2006</v>
      </c>
      <c r="B2006" s="9" t="s">
        <v>27</v>
      </c>
      <c r="C2006" s="44" t="str">
        <f t="shared" si="970"/>
        <v>p.passar</v>
      </c>
      <c r="D2006" s="6" t="str">
        <f t="shared" si="963"/>
        <v>é.porta.blindada</v>
      </c>
      <c r="E2006" s="8" t="s">
        <v>28</v>
      </c>
      <c r="F2006" s="34" t="str">
        <f t="shared" si="971"/>
        <v>d.passar</v>
      </c>
      <c r="G2006" s="13" t="s">
        <v>841</v>
      </c>
      <c r="H2006" s="33" t="s">
        <v>36</v>
      </c>
      <c r="I2006" s="92" t="str">
        <f t="shared" si="954"/>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52"/>
        <v>Propriedade destinada a passar: é.porta.blindada</v>
      </c>
      <c r="V2006" s="5" t="str">
        <f t="shared" si="953"/>
        <v>Dado para passar:  porta.blindada  Deve ser formatado como (xsd:boolean)</v>
      </c>
      <c r="W2006" s="69" t="s">
        <v>5983</v>
      </c>
      <c r="X2006" s="17" t="str">
        <f t="shared" si="967"/>
        <v>d.passa.106</v>
      </c>
      <c r="Y2006" s="17" t="str">
        <f t="shared" si="968"/>
        <v>Ação de passar</v>
      </c>
      <c r="Z2006" s="62" t="s">
        <v>4546</v>
      </c>
      <c r="AA2006" s="18" t="str">
        <f t="shared" si="972"/>
        <v>categoria.revit</v>
      </c>
      <c r="AB2006" s="19" t="s">
        <v>2136</v>
      </c>
      <c r="AC2006" s="18" t="str">
        <f t="shared" si="973"/>
        <v>classe.ifc</v>
      </c>
      <c r="AD2006" s="19" t="s">
        <v>2088</v>
      </c>
      <c r="AE2006" s="18" t="str">
        <f t="shared" si="964"/>
        <v>null</v>
      </c>
      <c r="AF2006" s="75" t="s">
        <v>0</v>
      </c>
      <c r="AG2006" s="38" t="s">
        <v>8941</v>
      </c>
    </row>
    <row r="2007" spans="1:33" ht="6" customHeight="1" x14ac:dyDescent="0.4">
      <c r="A2007" s="4">
        <f>ROW()</f>
        <v>2007</v>
      </c>
      <c r="B2007" s="9" t="s">
        <v>27</v>
      </c>
      <c r="C2007" s="44" t="str">
        <f t="shared" si="970"/>
        <v>p.passar</v>
      </c>
      <c r="D2007" s="6" t="str">
        <f t="shared" si="963"/>
        <v>é.porta.com.bandeira</v>
      </c>
      <c r="E2007" s="8" t="s">
        <v>28</v>
      </c>
      <c r="F2007" s="34" t="str">
        <f t="shared" si="971"/>
        <v>d.passar</v>
      </c>
      <c r="G2007" s="13" t="s">
        <v>836</v>
      </c>
      <c r="H2007" s="33" t="s">
        <v>36</v>
      </c>
      <c r="I2007" s="92" t="str">
        <f t="shared" si="954"/>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52"/>
        <v>Propriedade destinada a passar: é.porta.com.bandeira</v>
      </c>
      <c r="V2007" s="5" t="str">
        <f t="shared" si="953"/>
        <v>Dado para passar:  porta.com.bandeira  Deve ser formatado como (xsd:boolean)</v>
      </c>
      <c r="W2007" s="69" t="s">
        <v>5984</v>
      </c>
      <c r="X2007" s="17" t="str">
        <f t="shared" si="967"/>
        <v>d.passa.107</v>
      </c>
      <c r="Y2007" s="17" t="str">
        <f t="shared" si="968"/>
        <v>Ação de passar</v>
      </c>
      <c r="Z2007" s="62" t="s">
        <v>4547</v>
      </c>
      <c r="AA2007" s="18" t="str">
        <f t="shared" si="972"/>
        <v>categoria.revit</v>
      </c>
      <c r="AB2007" s="19" t="s">
        <v>2136</v>
      </c>
      <c r="AC2007" s="18" t="str">
        <f t="shared" si="973"/>
        <v>classe.ifc</v>
      </c>
      <c r="AD2007" s="19" t="s">
        <v>2088</v>
      </c>
      <c r="AE2007" s="18" t="str">
        <f t="shared" si="964"/>
        <v>null</v>
      </c>
      <c r="AF2007" s="75" t="s">
        <v>0</v>
      </c>
      <c r="AG2007" s="38" t="s">
        <v>8942</v>
      </c>
    </row>
    <row r="2008" spans="1:33" ht="6" customHeight="1" x14ac:dyDescent="0.4">
      <c r="A2008" s="4">
        <f>ROW()</f>
        <v>2008</v>
      </c>
      <c r="B2008" s="9" t="s">
        <v>27</v>
      </c>
      <c r="C2008" s="44" t="str">
        <f t="shared" si="970"/>
        <v>p.passar</v>
      </c>
      <c r="D2008" s="6" t="str">
        <f t="shared" si="963"/>
        <v>é.porta.com.visor</v>
      </c>
      <c r="E2008" s="8" t="s">
        <v>28</v>
      </c>
      <c r="F2008" s="34" t="str">
        <f t="shared" si="971"/>
        <v>d.passar</v>
      </c>
      <c r="G2008" s="13" t="s">
        <v>838</v>
      </c>
      <c r="H2008" s="33" t="s">
        <v>36</v>
      </c>
      <c r="I2008" s="92" t="str">
        <f t="shared" si="954"/>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52"/>
        <v>Propriedade destinada a passar: é.porta.com.visor</v>
      </c>
      <c r="V2008" s="5" t="str">
        <f t="shared" si="953"/>
        <v>Dado para passar:  porta.com.visor  Deve ser formatado como (xsd:boolean)</v>
      </c>
      <c r="W2008" s="69" t="s">
        <v>5985</v>
      </c>
      <c r="X2008" s="17" t="str">
        <f t="shared" si="967"/>
        <v>d.passa.108</v>
      </c>
      <c r="Y2008" s="17" t="str">
        <f t="shared" si="968"/>
        <v>Ação de passar</v>
      </c>
      <c r="Z2008" s="62" t="s">
        <v>4548</v>
      </c>
      <c r="AA2008" s="18" t="str">
        <f t="shared" si="972"/>
        <v>categoria.revit</v>
      </c>
      <c r="AB2008" s="19" t="s">
        <v>2136</v>
      </c>
      <c r="AC2008" s="18" t="str">
        <f t="shared" si="973"/>
        <v>classe.ifc</v>
      </c>
      <c r="AD2008" s="19" t="s">
        <v>2088</v>
      </c>
      <c r="AE2008" s="18" t="str">
        <f t="shared" si="964"/>
        <v>null</v>
      </c>
      <c r="AF2008" s="75" t="s">
        <v>0</v>
      </c>
      <c r="AG2008" s="38" t="s">
        <v>8943</v>
      </c>
    </row>
    <row r="2009" spans="1:33" ht="6" customHeight="1" x14ac:dyDescent="0.4">
      <c r="A2009" s="4">
        <f>ROW()</f>
        <v>2009</v>
      </c>
      <c r="B2009" s="9" t="s">
        <v>27</v>
      </c>
      <c r="C2009" s="44" t="str">
        <f t="shared" si="970"/>
        <v>p.passar</v>
      </c>
      <c r="D2009" s="6" t="str">
        <f t="shared" si="963"/>
        <v>é.porta.cortafogo</v>
      </c>
      <c r="E2009" s="8" t="s">
        <v>28</v>
      </c>
      <c r="F2009" s="34" t="str">
        <f t="shared" si="971"/>
        <v>d.passar</v>
      </c>
      <c r="G2009" s="13" t="s">
        <v>839</v>
      </c>
      <c r="H2009" s="33" t="s">
        <v>36</v>
      </c>
      <c r="I2009" s="92" t="str">
        <f t="shared" si="954"/>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52"/>
        <v>Propriedade destinada a passar: é.porta.cortafogo</v>
      </c>
      <c r="V2009" s="5" t="str">
        <f t="shared" si="953"/>
        <v>Dado para passar:  porta.cortafogo  Deve ser formatado como (xsd:boolean)</v>
      </c>
      <c r="W2009" s="69" t="s">
        <v>5986</v>
      </c>
      <c r="X2009" s="17" t="str">
        <f t="shared" si="967"/>
        <v>d.passa.109</v>
      </c>
      <c r="Y2009" s="17" t="str">
        <f t="shared" si="968"/>
        <v>Ação de passar</v>
      </c>
      <c r="Z2009" s="62" t="s">
        <v>4549</v>
      </c>
      <c r="AA2009" s="18" t="str">
        <f t="shared" si="972"/>
        <v>categoria.revit</v>
      </c>
      <c r="AB2009" s="19" t="s">
        <v>2136</v>
      </c>
      <c r="AC2009" s="18" t="str">
        <f t="shared" si="973"/>
        <v>classe.ifc</v>
      </c>
      <c r="AD2009" s="19" t="s">
        <v>2088</v>
      </c>
      <c r="AE2009" s="18" t="str">
        <f t="shared" si="964"/>
        <v>null</v>
      </c>
      <c r="AF2009" s="75" t="s">
        <v>0</v>
      </c>
      <c r="AG2009" s="38" t="s">
        <v>8944</v>
      </c>
    </row>
    <row r="2010" spans="1:33" ht="6" customHeight="1" x14ac:dyDescent="0.4">
      <c r="A2010" s="4">
        <f>ROW()</f>
        <v>2010</v>
      </c>
      <c r="B2010" s="9" t="s">
        <v>27</v>
      </c>
      <c r="C2010" s="44" t="str">
        <f t="shared" si="970"/>
        <v>p.passar</v>
      </c>
      <c r="D2010" s="6" t="str">
        <f t="shared" si="963"/>
        <v>é.porta.de.biossegurança</v>
      </c>
      <c r="E2010" s="8" t="s">
        <v>28</v>
      </c>
      <c r="F2010" s="34" t="str">
        <f t="shared" si="971"/>
        <v>d.passar</v>
      </c>
      <c r="G2010" s="13" t="s">
        <v>3045</v>
      </c>
      <c r="H2010" s="33" t="s">
        <v>36</v>
      </c>
      <c r="I2010" s="92" t="str">
        <f t="shared" si="954"/>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52"/>
        <v>Propriedade destinada a passar: é.porta.de.biossegurança</v>
      </c>
      <c r="V2010" s="5" t="str">
        <f t="shared" si="953"/>
        <v>Dado para passar:  porta.de.biossegurança  Deve ser formatado como (xsd:boolean)</v>
      </c>
      <c r="W2010" s="69" t="s">
        <v>5987</v>
      </c>
      <c r="X2010" s="17" t="str">
        <f t="shared" si="967"/>
        <v>d.passa.110</v>
      </c>
      <c r="Y2010" s="17" t="str">
        <f t="shared" si="968"/>
        <v>Ação de passar</v>
      </c>
      <c r="Z2010" s="62" t="s">
        <v>4550</v>
      </c>
      <c r="AA2010" s="18" t="str">
        <f t="shared" si="972"/>
        <v>categoria.revit</v>
      </c>
      <c r="AB2010" s="19" t="s">
        <v>2136</v>
      </c>
      <c r="AC2010" s="18" t="str">
        <f t="shared" si="973"/>
        <v>classe.ifc</v>
      </c>
      <c r="AD2010" s="19" t="s">
        <v>2088</v>
      </c>
      <c r="AE2010" s="18" t="str">
        <f t="shared" si="964"/>
        <v>null</v>
      </c>
      <c r="AF2010" s="75" t="s">
        <v>0</v>
      </c>
      <c r="AG2010" s="38" t="s">
        <v>8945</v>
      </c>
    </row>
    <row r="2011" spans="1:33" ht="6" customHeight="1" x14ac:dyDescent="0.4">
      <c r="A2011" s="4">
        <f>ROW()</f>
        <v>2011</v>
      </c>
      <c r="B2011" s="9" t="s">
        <v>27</v>
      </c>
      <c r="C2011" s="44" t="str">
        <f t="shared" si="970"/>
        <v>p.passar</v>
      </c>
      <c r="D2011" s="6" t="str">
        <f t="shared" si="963"/>
        <v>é.porta.de.correr</v>
      </c>
      <c r="E2011" s="8" t="s">
        <v>28</v>
      </c>
      <c r="F2011" s="34" t="str">
        <f t="shared" si="971"/>
        <v>d.passar</v>
      </c>
      <c r="G2011" s="13" t="s">
        <v>837</v>
      </c>
      <c r="H2011" s="33" t="s">
        <v>36</v>
      </c>
      <c r="I2011" s="92" t="str">
        <f t="shared" si="954"/>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52"/>
        <v>Propriedade destinada a passar: é.porta.de.correr</v>
      </c>
      <c r="V2011" s="5" t="str">
        <f t="shared" si="953"/>
        <v>Dado para passar:  porta.de.correr  Deve ser formatado como (xsd:boolean)</v>
      </c>
      <c r="W2011" s="69" t="s">
        <v>5988</v>
      </c>
      <c r="X2011" s="17" t="str">
        <f t="shared" si="967"/>
        <v>d.passa.111</v>
      </c>
      <c r="Y2011" s="17" t="str">
        <f t="shared" si="968"/>
        <v>Ação de passar</v>
      </c>
      <c r="Z2011" s="62" t="s">
        <v>4551</v>
      </c>
      <c r="AA2011" s="18" t="str">
        <f t="shared" si="972"/>
        <v>categoria.revit</v>
      </c>
      <c r="AB2011" s="19" t="s">
        <v>2136</v>
      </c>
      <c r="AC2011" s="18" t="str">
        <f t="shared" si="973"/>
        <v>classe.ifc</v>
      </c>
      <c r="AD2011" s="19" t="s">
        <v>2088</v>
      </c>
      <c r="AE2011" s="18" t="str">
        <f t="shared" si="964"/>
        <v>null</v>
      </c>
      <c r="AF2011" s="75" t="s">
        <v>0</v>
      </c>
      <c r="AG2011" s="38" t="s">
        <v>8946</v>
      </c>
    </row>
    <row r="2012" spans="1:33" ht="6" customHeight="1" x14ac:dyDescent="0.4">
      <c r="A2012" s="4">
        <f>ROW()</f>
        <v>2012</v>
      </c>
      <c r="B2012" s="9" t="s">
        <v>27</v>
      </c>
      <c r="C2012" s="44" t="str">
        <f t="shared" si="970"/>
        <v>p.passar</v>
      </c>
      <c r="D2012" s="6" t="str">
        <f t="shared" si="963"/>
        <v>é.porta.de.elevador</v>
      </c>
      <c r="E2012" s="8" t="s">
        <v>28</v>
      </c>
      <c r="F2012" s="34" t="str">
        <f t="shared" si="971"/>
        <v>d.passar</v>
      </c>
      <c r="G2012" s="13" t="s">
        <v>845</v>
      </c>
      <c r="H2012" s="33" t="s">
        <v>36</v>
      </c>
      <c r="I2012" s="92" t="str">
        <f t="shared" si="954"/>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ref="U2012:U2091" si="974">_xlfn.CONCAT("Propriedade destinada a ",MID(C2012,FIND("p.",C2012,1)+2,100),": ",D2012)</f>
        <v>Propriedade destinada a passar: é.porta.de.elevador</v>
      </c>
      <c r="V2012" s="5" t="str">
        <f t="shared" ref="V2012:V2091" si="975">_xlfn.CONCAT("Dado para ",MID(F2012,FIND("d.",F2012,1)+2,100),":  ",G2012, "  Deve ser formatado como (",H2012, ")")</f>
        <v>Dado para passar:  porta.de.elevador  Deve ser formatado como (xsd:boolean)</v>
      </c>
      <c r="W2012" s="69" t="s">
        <v>5989</v>
      </c>
      <c r="X2012" s="17" t="str">
        <f t="shared" si="967"/>
        <v>d.passa.112</v>
      </c>
      <c r="Y2012" s="17" t="str">
        <f t="shared" si="968"/>
        <v>Ação de passar</v>
      </c>
      <c r="Z2012" s="62" t="s">
        <v>4552</v>
      </c>
      <c r="AA2012" s="18" t="str">
        <f t="shared" si="972"/>
        <v>categoria.revit</v>
      </c>
      <c r="AB2012" s="19" t="s">
        <v>2136</v>
      </c>
      <c r="AC2012" s="18" t="str">
        <f t="shared" si="973"/>
        <v>classe.ifc</v>
      </c>
      <c r="AD2012" s="19" t="s">
        <v>2088</v>
      </c>
      <c r="AE2012" s="18" t="str">
        <f t="shared" si="964"/>
        <v>null</v>
      </c>
      <c r="AF2012" s="75" t="s">
        <v>0</v>
      </c>
      <c r="AG2012" s="38" t="s">
        <v>8947</v>
      </c>
    </row>
    <row r="2013" spans="1:33" ht="6" customHeight="1" x14ac:dyDescent="0.4">
      <c r="A2013" s="4">
        <f>ROW()</f>
        <v>2013</v>
      </c>
      <c r="B2013" s="9" t="s">
        <v>27</v>
      </c>
      <c r="C2013" s="44" t="str">
        <f t="shared" si="970"/>
        <v>p.passar</v>
      </c>
      <c r="D2013" s="6" t="str">
        <f t="shared" si="963"/>
        <v>é.porta.dupla.assimétrica</v>
      </c>
      <c r="E2013" s="8" t="s">
        <v>28</v>
      </c>
      <c r="F2013" s="34" t="str">
        <f t="shared" si="971"/>
        <v>d.passar</v>
      </c>
      <c r="G2013" s="13" t="s">
        <v>3046</v>
      </c>
      <c r="H2013" s="33" t="s">
        <v>36</v>
      </c>
      <c r="I2013" s="92" t="str">
        <f t="shared" si="954"/>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74"/>
        <v>Propriedade destinada a passar: é.porta.dupla.assimétrica</v>
      </c>
      <c r="V2013" s="5" t="str">
        <f t="shared" si="975"/>
        <v>Dado para passar:  porta.dupla.assimétrica  Deve ser formatado como (xsd:boolean)</v>
      </c>
      <c r="W2013" s="69" t="s">
        <v>5990</v>
      </c>
      <c r="X2013" s="17" t="str">
        <f t="shared" si="967"/>
        <v>d.passa.113</v>
      </c>
      <c r="Y2013" s="17" t="str">
        <f t="shared" si="968"/>
        <v>Ação de passar</v>
      </c>
      <c r="Z2013" s="62" t="s">
        <v>4553</v>
      </c>
      <c r="AA2013" s="18" t="str">
        <f t="shared" si="972"/>
        <v>categoria.revit</v>
      </c>
      <c r="AB2013" s="19" t="s">
        <v>2136</v>
      </c>
      <c r="AC2013" s="18" t="str">
        <f t="shared" si="973"/>
        <v>classe.ifc</v>
      </c>
      <c r="AD2013" s="19" t="s">
        <v>2088</v>
      </c>
      <c r="AE2013" s="18" t="str">
        <f t="shared" si="964"/>
        <v>null</v>
      </c>
      <c r="AF2013" s="75" t="s">
        <v>0</v>
      </c>
      <c r="AG2013" s="38" t="s">
        <v>8948</v>
      </c>
    </row>
    <row r="2014" spans="1:33" ht="6" customHeight="1" x14ac:dyDescent="0.4">
      <c r="A2014" s="4">
        <f>ROW()</f>
        <v>2014</v>
      </c>
      <c r="B2014" s="9" t="s">
        <v>27</v>
      </c>
      <c r="C2014" s="44" t="str">
        <f t="shared" si="970"/>
        <v>p.passar</v>
      </c>
      <c r="D2014" s="6" t="str">
        <f t="shared" si="963"/>
        <v>é.porta.dupla.simétrica</v>
      </c>
      <c r="E2014" s="8" t="s">
        <v>28</v>
      </c>
      <c r="F2014" s="34" t="str">
        <f t="shared" si="971"/>
        <v>d.passar</v>
      </c>
      <c r="G2014" s="13" t="s">
        <v>835</v>
      </c>
      <c r="H2014" s="33" t="s">
        <v>36</v>
      </c>
      <c r="I2014" s="92" t="str">
        <f t="shared" si="954"/>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74"/>
        <v>Propriedade destinada a passar: é.porta.dupla.simétrica</v>
      </c>
      <c r="V2014" s="5" t="str">
        <f t="shared" si="975"/>
        <v>Dado para passar:  porta.dupla.simétrica  Deve ser formatado como (xsd:boolean)</v>
      </c>
      <c r="W2014" s="69" t="s">
        <v>5991</v>
      </c>
      <c r="X2014" s="17" t="str">
        <f t="shared" si="967"/>
        <v>d.passa.114</v>
      </c>
      <c r="Y2014" s="17" t="str">
        <f t="shared" si="968"/>
        <v>Ação de passar</v>
      </c>
      <c r="Z2014" s="62" t="s">
        <v>4554</v>
      </c>
      <c r="AA2014" s="18" t="str">
        <f t="shared" si="972"/>
        <v>categoria.revit</v>
      </c>
      <c r="AB2014" s="19" t="s">
        <v>2136</v>
      </c>
      <c r="AC2014" s="18" t="str">
        <f t="shared" si="973"/>
        <v>classe.ifc</v>
      </c>
      <c r="AD2014" s="19" t="s">
        <v>2088</v>
      </c>
      <c r="AE2014" s="18" t="str">
        <f t="shared" si="964"/>
        <v>null</v>
      </c>
      <c r="AF2014" s="75" t="s">
        <v>0</v>
      </c>
      <c r="AG2014" s="38" t="s">
        <v>8949</v>
      </c>
    </row>
    <row r="2015" spans="1:33" ht="6" customHeight="1" x14ac:dyDescent="0.4">
      <c r="A2015" s="4">
        <f>ROW()</f>
        <v>2015</v>
      </c>
      <c r="B2015" s="9" t="s">
        <v>27</v>
      </c>
      <c r="C2015" s="44" t="str">
        <f t="shared" si="970"/>
        <v>p.passar</v>
      </c>
      <c r="D2015" s="6" t="str">
        <f t="shared" si="963"/>
        <v>é.porta.giratória</v>
      </c>
      <c r="E2015" s="8" t="s">
        <v>28</v>
      </c>
      <c r="F2015" s="34" t="str">
        <f t="shared" si="971"/>
        <v>d.passar</v>
      </c>
      <c r="G2015" s="13" t="s">
        <v>843</v>
      </c>
      <c r="H2015" s="33" t="s">
        <v>36</v>
      </c>
      <c r="I2015" s="92" t="str">
        <f t="shared" si="954"/>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74"/>
        <v>Propriedade destinada a passar: é.porta.giratória</v>
      </c>
      <c r="V2015" s="5" t="str">
        <f t="shared" si="975"/>
        <v>Dado para passar:  porta.giratória  Deve ser formatado como (xsd:boolean)</v>
      </c>
      <c r="W2015" s="69" t="s">
        <v>5992</v>
      </c>
      <c r="X2015" s="17" t="str">
        <f t="shared" si="967"/>
        <v>d.passa.115</v>
      </c>
      <c r="Y2015" s="17" t="str">
        <f t="shared" si="968"/>
        <v>Ação de passar</v>
      </c>
      <c r="Z2015" s="62" t="s">
        <v>4803</v>
      </c>
      <c r="AA2015" s="18" t="str">
        <f t="shared" si="972"/>
        <v>categoria.revit</v>
      </c>
      <c r="AB2015" s="19" t="s">
        <v>2136</v>
      </c>
      <c r="AC2015" s="18" t="str">
        <f t="shared" si="973"/>
        <v>classe.ifc</v>
      </c>
      <c r="AD2015" s="19" t="s">
        <v>2088</v>
      </c>
      <c r="AE2015" s="18" t="str">
        <f t="shared" si="964"/>
        <v>null</v>
      </c>
      <c r="AF2015" s="75" t="s">
        <v>0</v>
      </c>
      <c r="AG2015" s="38" t="s">
        <v>8950</v>
      </c>
    </row>
    <row r="2016" spans="1:33" ht="6" customHeight="1" x14ac:dyDescent="0.4">
      <c r="A2016" s="4">
        <f>ROW()</f>
        <v>2016</v>
      </c>
      <c r="B2016" s="9" t="s">
        <v>27</v>
      </c>
      <c r="C2016" s="44" t="str">
        <f t="shared" si="970"/>
        <v>p.passar</v>
      </c>
      <c r="D2016" s="6" t="str">
        <f t="shared" si="963"/>
        <v>é.porta.sanfonada</v>
      </c>
      <c r="E2016" s="8" t="s">
        <v>28</v>
      </c>
      <c r="F2016" s="34" t="str">
        <f t="shared" si="971"/>
        <v>d.passar</v>
      </c>
      <c r="G2016" s="13" t="s">
        <v>844</v>
      </c>
      <c r="H2016" s="33" t="s">
        <v>36</v>
      </c>
      <c r="I2016" s="92" t="str">
        <f t="shared" si="954"/>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74"/>
        <v>Propriedade destinada a passar: é.porta.sanfonada</v>
      </c>
      <c r="V2016" s="5" t="str">
        <f t="shared" si="975"/>
        <v>Dado para passar:  porta.sanfonada  Deve ser formatado como (xsd:boolean)</v>
      </c>
      <c r="W2016" s="69" t="s">
        <v>5993</v>
      </c>
      <c r="X2016" s="17" t="str">
        <f t="shared" si="967"/>
        <v>d.passa.116</v>
      </c>
      <c r="Y2016" s="17" t="str">
        <f t="shared" si="968"/>
        <v>Ação de passar</v>
      </c>
      <c r="Z2016" s="62" t="s">
        <v>4555</v>
      </c>
      <c r="AA2016" s="18" t="str">
        <f t="shared" si="972"/>
        <v>categoria.revit</v>
      </c>
      <c r="AB2016" s="19" t="s">
        <v>2136</v>
      </c>
      <c r="AC2016" s="18" t="str">
        <f t="shared" si="973"/>
        <v>classe.ifc</v>
      </c>
      <c r="AD2016" s="19" t="s">
        <v>2088</v>
      </c>
      <c r="AE2016" s="18" t="str">
        <f t="shared" si="964"/>
        <v>null</v>
      </c>
      <c r="AF2016" s="75" t="s">
        <v>0</v>
      </c>
      <c r="AG2016" s="38" t="s">
        <v>8951</v>
      </c>
    </row>
    <row r="2017" spans="1:33" ht="6" customHeight="1" x14ac:dyDescent="0.4">
      <c r="A2017" s="4">
        <f>ROW()</f>
        <v>2017</v>
      </c>
      <c r="B2017" s="9" t="s">
        <v>27</v>
      </c>
      <c r="C2017" s="44" t="str">
        <f t="shared" si="970"/>
        <v>p.passar</v>
      </c>
      <c r="D2017" s="6" t="str">
        <f t="shared" si="963"/>
        <v>é.porta.seccional</v>
      </c>
      <c r="E2017" s="8" t="s">
        <v>28</v>
      </c>
      <c r="F2017" s="34" t="str">
        <f t="shared" si="971"/>
        <v>d.passar</v>
      </c>
      <c r="G2017" s="13" t="s">
        <v>846</v>
      </c>
      <c r="H2017" s="33" t="s">
        <v>36</v>
      </c>
      <c r="I2017" s="92" t="str">
        <f t="shared" si="954"/>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74"/>
        <v>Propriedade destinada a passar: é.porta.seccional</v>
      </c>
      <c r="V2017" s="5" t="str">
        <f t="shared" si="975"/>
        <v>Dado para passar:  porta.seccional  Deve ser formatado como (xsd:boolean)</v>
      </c>
      <c r="W2017" s="69" t="s">
        <v>5994</v>
      </c>
      <c r="X2017" s="17" t="str">
        <f t="shared" si="967"/>
        <v>d.passa.117</v>
      </c>
      <c r="Y2017" s="17" t="str">
        <f t="shared" si="968"/>
        <v>Ação de passar</v>
      </c>
      <c r="Z2017" s="62" t="s">
        <v>4556</v>
      </c>
      <c r="AA2017" s="18" t="str">
        <f t="shared" si="972"/>
        <v>categoria.revit</v>
      </c>
      <c r="AB2017" s="19" t="s">
        <v>2136</v>
      </c>
      <c r="AC2017" s="18" t="str">
        <f t="shared" si="973"/>
        <v>classe.ifc</v>
      </c>
      <c r="AD2017" s="19" t="s">
        <v>2088</v>
      </c>
      <c r="AE2017" s="18" t="str">
        <f t="shared" si="964"/>
        <v>null</v>
      </c>
      <c r="AF2017" s="75" t="s">
        <v>0</v>
      </c>
      <c r="AG2017" s="38" t="s">
        <v>8952</v>
      </c>
    </row>
    <row r="2018" spans="1:33" ht="6" customHeight="1" x14ac:dyDescent="0.4">
      <c r="A2018" s="4">
        <f>ROW()</f>
        <v>2018</v>
      </c>
      <c r="B2018" s="9" t="s">
        <v>27</v>
      </c>
      <c r="C2018" s="44" t="str">
        <f t="shared" si="970"/>
        <v>p.passar</v>
      </c>
      <c r="D2018" s="6" t="str">
        <f t="shared" si="963"/>
        <v>é.porta.simples</v>
      </c>
      <c r="E2018" s="8" t="s">
        <v>28</v>
      </c>
      <c r="F2018" s="34" t="str">
        <f t="shared" si="971"/>
        <v>d.passar</v>
      </c>
      <c r="G2018" s="13" t="s">
        <v>834</v>
      </c>
      <c r="H2018" s="33" t="s">
        <v>36</v>
      </c>
      <c r="I2018" s="92" t="str">
        <f t="shared" si="954"/>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74"/>
        <v>Propriedade destinada a passar: é.porta.simples</v>
      </c>
      <c r="V2018" s="5" t="str">
        <f t="shared" si="975"/>
        <v>Dado para passar:  porta.simples  Deve ser formatado como (xsd:boolean)</v>
      </c>
      <c r="W2018" s="69" t="s">
        <v>5995</v>
      </c>
      <c r="X2018" s="17" t="str">
        <f t="shared" si="967"/>
        <v>d.passa.118</v>
      </c>
      <c r="Y2018" s="17" t="str">
        <f t="shared" si="968"/>
        <v>Ação de passar</v>
      </c>
      <c r="Z2018" s="62" t="s">
        <v>4557</v>
      </c>
      <c r="AA2018" s="18" t="str">
        <f t="shared" si="972"/>
        <v>categoria.revit</v>
      </c>
      <c r="AB2018" s="19" t="s">
        <v>2136</v>
      </c>
      <c r="AC2018" s="18" t="str">
        <f t="shared" si="973"/>
        <v>classe.ifc</v>
      </c>
      <c r="AD2018" s="19" t="s">
        <v>2088</v>
      </c>
      <c r="AE2018" s="18" t="str">
        <f t="shared" si="964"/>
        <v>null</v>
      </c>
      <c r="AF2018" s="75" t="s">
        <v>0</v>
      </c>
      <c r="AG2018" s="38" t="s">
        <v>8953</v>
      </c>
    </row>
    <row r="2019" spans="1:33" ht="6" customHeight="1" x14ac:dyDescent="0.4">
      <c r="A2019" s="4">
        <f>ROW()</f>
        <v>2019</v>
      </c>
      <c r="B2019" s="9" t="s">
        <v>27</v>
      </c>
      <c r="C2019" s="44" t="str">
        <f t="shared" si="970"/>
        <v>p.passar</v>
      </c>
      <c r="D2019" s="6" t="str">
        <f t="shared" si="963"/>
        <v>é.porta.vaivém</v>
      </c>
      <c r="E2019" s="8" t="s">
        <v>28</v>
      </c>
      <c r="F2019" s="34" t="str">
        <f t="shared" si="971"/>
        <v>d.passar</v>
      </c>
      <c r="G2019" s="13" t="s">
        <v>3047</v>
      </c>
      <c r="H2019" s="33" t="s">
        <v>36</v>
      </c>
      <c r="I2019" s="92" t="str">
        <f t="shared" si="954"/>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74"/>
        <v>Propriedade destinada a passar: é.porta.vaivém</v>
      </c>
      <c r="V2019" s="5" t="str">
        <f t="shared" si="975"/>
        <v>Dado para passar:  porta.vaivém  Deve ser formatado como (xsd:boolean)</v>
      </c>
      <c r="W2019" s="69" t="s">
        <v>5996</v>
      </c>
      <c r="X2019" s="17" t="str">
        <f t="shared" si="967"/>
        <v>d.passa.119</v>
      </c>
      <c r="Y2019" s="17" t="str">
        <f t="shared" si="968"/>
        <v>Ação de passar</v>
      </c>
      <c r="Z2019" s="62" t="s">
        <v>4558</v>
      </c>
      <c r="AA2019" s="18" t="str">
        <f t="shared" si="972"/>
        <v>categoria.revit</v>
      </c>
      <c r="AB2019" s="19" t="s">
        <v>2136</v>
      </c>
      <c r="AC2019" s="18" t="str">
        <f t="shared" si="973"/>
        <v>classe.ifc</v>
      </c>
      <c r="AD2019" s="19" t="s">
        <v>2088</v>
      </c>
      <c r="AE2019" s="18" t="str">
        <f t="shared" si="964"/>
        <v>null</v>
      </c>
      <c r="AF2019" s="75" t="s">
        <v>0</v>
      </c>
      <c r="AG2019" s="38" t="s">
        <v>8954</v>
      </c>
    </row>
    <row r="2020" spans="1:33" ht="6" customHeight="1" x14ac:dyDescent="0.4">
      <c r="A2020" s="4">
        <f>ROW()</f>
        <v>2020</v>
      </c>
      <c r="B2020" s="9" t="s">
        <v>27</v>
      </c>
      <c r="C2020" s="44" t="str">
        <f t="shared" si="970"/>
        <v>p.passar</v>
      </c>
      <c r="D2020" s="6" t="str">
        <f t="shared" si="963"/>
        <v>é.porta.ventilada</v>
      </c>
      <c r="E2020" s="8" t="s">
        <v>28</v>
      </c>
      <c r="F2020" s="34" t="str">
        <f t="shared" si="971"/>
        <v>d.passar</v>
      </c>
      <c r="G2020" s="13" t="s">
        <v>842</v>
      </c>
      <c r="H2020" s="33" t="s">
        <v>36</v>
      </c>
      <c r="I2020" s="92" t="str">
        <f t="shared" si="954"/>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si="974"/>
        <v>Propriedade destinada a passar: é.porta.ventilada</v>
      </c>
      <c r="V2020" s="5" t="str">
        <f t="shared" si="975"/>
        <v>Dado para passar:  porta.ventilada  Deve ser formatado como (xsd:boolean)</v>
      </c>
      <c r="W2020" s="69" t="s">
        <v>5997</v>
      </c>
      <c r="X2020" s="17" t="str">
        <f t="shared" si="967"/>
        <v>d.passa.120</v>
      </c>
      <c r="Y2020" s="17" t="str">
        <f t="shared" si="968"/>
        <v>Ação de passar</v>
      </c>
      <c r="Z2020" s="62" t="s">
        <v>4559</v>
      </c>
      <c r="AA2020" s="18" t="str">
        <f t="shared" si="972"/>
        <v>categoria.revit</v>
      </c>
      <c r="AB2020" s="19" t="s">
        <v>2136</v>
      </c>
      <c r="AC2020" s="18" t="str">
        <f t="shared" si="973"/>
        <v>classe.ifc</v>
      </c>
      <c r="AD2020" s="19" t="s">
        <v>2088</v>
      </c>
      <c r="AE2020" s="18" t="str">
        <f t="shared" si="964"/>
        <v>null</v>
      </c>
      <c r="AF2020" s="75" t="s">
        <v>0</v>
      </c>
      <c r="AG2020" s="38" t="s">
        <v>8955</v>
      </c>
    </row>
    <row r="2021" spans="1:33" ht="6" customHeight="1" x14ac:dyDescent="0.4">
      <c r="A2021" s="4">
        <f>ROW()</f>
        <v>2021</v>
      </c>
      <c r="B2021" s="9" t="s">
        <v>27</v>
      </c>
      <c r="C2021" s="43" t="str">
        <f t="shared" si="970"/>
        <v>p.pendurar</v>
      </c>
      <c r="D2021" s="6" t="str">
        <f>_xlfn.CONCAT("é.",G2021)</f>
        <v>é.distância.ao.forro</v>
      </c>
      <c r="E2021" s="8" t="s">
        <v>28</v>
      </c>
      <c r="F2021" s="41" t="s">
        <v>10110</v>
      </c>
      <c r="G2021" s="13" t="s">
        <v>10111</v>
      </c>
      <c r="H2021" s="34" t="s">
        <v>35</v>
      </c>
      <c r="I2021" s="92" t="str">
        <f>IF(OR(J2021="Functional",K2021="InverseFunctional"),"Functional","null")</f>
        <v>null</v>
      </c>
      <c r="J2021" s="80" t="s">
        <v>0</v>
      </c>
      <c r="K2021" s="80" t="s">
        <v>0</v>
      </c>
      <c r="L2021" s="80" t="s">
        <v>0</v>
      </c>
      <c r="M2021" s="80" t="s">
        <v>0</v>
      </c>
      <c r="N2021" s="80" t="s">
        <v>0</v>
      </c>
      <c r="O2021" s="80" t="s">
        <v>0</v>
      </c>
      <c r="P2021" s="80" t="s">
        <v>0</v>
      </c>
      <c r="Q2021" s="80" t="s">
        <v>0</v>
      </c>
      <c r="R2021" s="84" t="s">
        <v>0</v>
      </c>
      <c r="S2021" s="10" t="s">
        <v>1</v>
      </c>
      <c r="T2021" s="10" t="s">
        <v>10221</v>
      </c>
      <c r="U2021" s="5" t="str">
        <f>_xlfn.CONCAT("Propriedade destinada a ",MID(C2021,FIND("p.",C2021,1)+2,100),": ",D2021)</f>
        <v>Propriedade destinada a pendurar: é.distância.ao.forro</v>
      </c>
      <c r="V2021" s="5" t="str">
        <f>_xlfn.CONCAT("Dado para ",MID(F2021,FIND("d.",F2021,1)+2,100),":  ",G2021, "  Deve ser formatado como (",H2021, ")")</f>
        <v>Dado para pendurar:  distância.ao.forro  Deve ser formatado como (xsd:double)</v>
      </c>
      <c r="W2021" s="69" t="s">
        <v>10148</v>
      </c>
      <c r="X2021" s="17" t="str">
        <f t="shared" si="967"/>
        <v>d.pendu.100</v>
      </c>
      <c r="Y2021" s="17" t="str">
        <f t="shared" si="968"/>
        <v>Ação de pendurar</v>
      </c>
      <c r="Z2021" s="62" t="str">
        <f t="shared" ref="Z2021:Z2027" si="976">_xlfn.TRANSLATE(W2021,"pt","es")</f>
        <v>Declara la distancia del tensor entre el plano superior de anclaje (losa, techo, techo) y el plano de fijación del elemento.</v>
      </c>
      <c r="AA2021" s="18" t="str">
        <f>IF(AB2021="null", "null", "categoria.revit")</f>
        <v>null</v>
      </c>
      <c r="AB2021" s="75" t="s">
        <v>0</v>
      </c>
      <c r="AC2021" s="18" t="str">
        <f>IF(AD2021="null", "null", "classe.ifc")</f>
        <v>null</v>
      </c>
      <c r="AD2021" s="75" t="s">
        <v>0</v>
      </c>
      <c r="AE2021" s="18" t="str">
        <f>IF(AF2021="null", "null", "propriedade")</f>
        <v>propriedade</v>
      </c>
      <c r="AF2021" s="75" t="s">
        <v>10119</v>
      </c>
      <c r="AG2021" s="38" t="s">
        <v>11284</v>
      </c>
    </row>
    <row r="2022" spans="1:33" ht="6" customHeight="1" x14ac:dyDescent="0.4">
      <c r="A2022" s="4">
        <f>ROW()</f>
        <v>2022</v>
      </c>
      <c r="B2022" s="9" t="s">
        <v>27</v>
      </c>
      <c r="C2022" s="44" t="str">
        <f t="shared" ref="C2022:C2027" si="977">SUBSTITUTE(F2022,"d.","p.")</f>
        <v>p.pendurar</v>
      </c>
      <c r="D2022" s="6" t="str">
        <f t="shared" ref="D2022" si="978">_xlfn.CONCAT("é.",G2022)</f>
        <v>é.distância.livre</v>
      </c>
      <c r="E2022" s="8" t="s">
        <v>28</v>
      </c>
      <c r="F2022" s="34" t="str">
        <f t="shared" ref="F2022:F2024" si="979">F2021</f>
        <v>d.pendurar</v>
      </c>
      <c r="G2022" s="13" t="s">
        <v>10120</v>
      </c>
      <c r="H2022" s="34" t="s">
        <v>35</v>
      </c>
      <c r="I2022" s="92" t="str">
        <f t="shared" ref="I2022" si="980">IF(OR(J2022="Functional",K2022="InverseFunctional"),"Functional","null")</f>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ref="U2022" si="981">_xlfn.CONCAT("Propriedade destinada a ",MID(C2022,FIND("p.",C2022,1)+2,100),": ",D2022)</f>
        <v>Propriedade destinada a pendurar: é.distância.livre</v>
      </c>
      <c r="V2022" s="5" t="str">
        <f t="shared" ref="V2022" si="982">_xlfn.CONCAT("Dado para ",MID(F2022,FIND("d.",F2022,1)+2,100),":  ",G2022, "  Deve ser formatado como (",H2022, ")")</f>
        <v>Dado para pendurar:  distância.livre  Deve ser formatado como (xsd:double)</v>
      </c>
      <c r="W2022" s="69" t="s">
        <v>10147</v>
      </c>
      <c r="X2022" s="17" t="str">
        <f t="shared" si="967"/>
        <v>d.pendu.101</v>
      </c>
      <c r="Y2022" s="17" t="str">
        <f t="shared" si="968"/>
        <v>Ação de pendurar</v>
      </c>
      <c r="Z2022" s="62" t="str">
        <f t="shared" si="976"/>
        <v>Declara la altura libre que queda debajo del elemento colgante, entre el suelo y el elemento colgante.</v>
      </c>
      <c r="AA2022" s="18" t="str">
        <f t="shared" ref="AA2022" si="983">IF(AB2022="null", "null", "categoria.revit")</f>
        <v>null</v>
      </c>
      <c r="AB2022" s="75" t="s">
        <v>0</v>
      </c>
      <c r="AC2022" s="18" t="str">
        <f t="shared" ref="AC2022" si="984">IF(AD2022="null", "null", "classe.ifc")</f>
        <v>null</v>
      </c>
      <c r="AD2022" s="75" t="s">
        <v>0</v>
      </c>
      <c r="AE2022" s="18" t="str">
        <f t="shared" ref="AE2022" si="985">IF(AF2022="null", "null", "propriedade")</f>
        <v>propriedade</v>
      </c>
      <c r="AF2022" s="75" t="s">
        <v>10119</v>
      </c>
      <c r="AG2022" s="38" t="s">
        <v>11285</v>
      </c>
    </row>
    <row r="2023" spans="1:33" ht="6" customHeight="1" x14ac:dyDescent="0.4">
      <c r="A2023" s="4">
        <f>ROW()</f>
        <v>2023</v>
      </c>
      <c r="B2023" s="9" t="s">
        <v>27</v>
      </c>
      <c r="C2023" s="44" t="str">
        <f t="shared" si="977"/>
        <v>p.pendurar</v>
      </c>
      <c r="D2023" s="6" t="str">
        <f>_xlfn.CONCAT("é.",G2023)</f>
        <v>é.fixador.distribuição</v>
      </c>
      <c r="E2023" s="8" t="s">
        <v>28</v>
      </c>
      <c r="F2023" s="34" t="str">
        <f t="shared" si="979"/>
        <v>d.pendurar</v>
      </c>
      <c r="G2023" s="13" t="s">
        <v>10117</v>
      </c>
      <c r="H2023" s="34" t="s">
        <v>1581</v>
      </c>
      <c r="I2023" s="92" t="str">
        <f>IF(OR(J2023="Functional",K2023="InverseFunctional"),"Functional","null")</f>
        <v>null</v>
      </c>
      <c r="J2023" s="80" t="s">
        <v>0</v>
      </c>
      <c r="K2023" s="80" t="s">
        <v>0</v>
      </c>
      <c r="L2023" s="80" t="s">
        <v>0</v>
      </c>
      <c r="M2023" s="80" t="s">
        <v>0</v>
      </c>
      <c r="N2023" s="80" t="s">
        <v>0</v>
      </c>
      <c r="O2023" s="80" t="s">
        <v>0</v>
      </c>
      <c r="P2023" s="80" t="s">
        <v>0</v>
      </c>
      <c r="Q2023" s="80" t="s">
        <v>0</v>
      </c>
      <c r="R2023" s="84" t="s">
        <v>0</v>
      </c>
      <c r="S2023" s="10" t="s">
        <v>1</v>
      </c>
      <c r="T2023" s="10" t="s">
        <v>10221</v>
      </c>
      <c r="U2023" s="5" t="str">
        <f>_xlfn.CONCAT("Propriedade destinada a ",MID(C2023,FIND("p.",C2023,1)+2,100),": ",D2023)</f>
        <v>Propriedade destinada a pendurar: é.fixador.distribuição</v>
      </c>
      <c r="V2023" s="5" t="str">
        <f>_xlfn.CONCAT("Dado para ",MID(F2023,FIND("d.",F2023,1)+2,100),":  ",G2023, "  Deve ser formatado como (",H2023, ")")</f>
        <v>Dado para pendurar:  fixador.distribuição  Deve ser formatado como (rdfs:Literal  or  xsd:string)</v>
      </c>
      <c r="W2023" s="69" t="s">
        <v>10118</v>
      </c>
      <c r="X2023" s="17" t="str">
        <f t="shared" si="967"/>
        <v>d.pendu.102</v>
      </c>
      <c r="Y2023" s="17" t="str">
        <f t="shared" si="968"/>
        <v>Ação de pendurar</v>
      </c>
      <c r="Z2023" s="62" t="str">
        <f t="shared" si="976"/>
        <v>Declara la forma de distribución de los puntos de unión (punto, lineal, radial, etc.).</v>
      </c>
      <c r="AA2023" s="18" t="str">
        <f>IF(AB2023="null", "null", "categoria.revit")</f>
        <v>null</v>
      </c>
      <c r="AB2023" s="75" t="s">
        <v>0</v>
      </c>
      <c r="AC2023" s="18" t="str">
        <f>IF(AD2023="null", "null", "classe.ifc")</f>
        <v>null</v>
      </c>
      <c r="AD2023" s="75" t="s">
        <v>0</v>
      </c>
      <c r="AE2023" s="18" t="str">
        <f>IF(AF2023="null", "null", "propriedade")</f>
        <v>propriedade</v>
      </c>
      <c r="AF2023" s="75" t="s">
        <v>10119</v>
      </c>
      <c r="AG2023" s="38" t="s">
        <v>11286</v>
      </c>
    </row>
    <row r="2024" spans="1:33" ht="6" customHeight="1" x14ac:dyDescent="0.4">
      <c r="A2024" s="4">
        <f>ROW()</f>
        <v>2024</v>
      </c>
      <c r="B2024" s="9" t="s">
        <v>27</v>
      </c>
      <c r="C2024" s="44" t="str">
        <f t="shared" si="977"/>
        <v>p.pendurar</v>
      </c>
      <c r="D2024" s="6" t="str">
        <f>_xlfn.CONCAT("é.",G2024)</f>
        <v>é.fixador.quantidade</v>
      </c>
      <c r="E2024" s="8" t="s">
        <v>28</v>
      </c>
      <c r="F2024" s="34" t="str">
        <f t="shared" si="979"/>
        <v>d.pendurar</v>
      </c>
      <c r="G2024" s="13" t="s">
        <v>10116</v>
      </c>
      <c r="H2024" s="34" t="s">
        <v>32</v>
      </c>
      <c r="I2024" s="92" t="str">
        <f>IF(OR(J2024="Functional",K2024="InverseFunctional"),"Functional","null")</f>
        <v>null</v>
      </c>
      <c r="J2024" s="80" t="s">
        <v>0</v>
      </c>
      <c r="K2024" s="80" t="s">
        <v>0</v>
      </c>
      <c r="L2024" s="80" t="s">
        <v>0</v>
      </c>
      <c r="M2024" s="80" t="s">
        <v>0</v>
      </c>
      <c r="N2024" s="80" t="s">
        <v>0</v>
      </c>
      <c r="O2024" s="80" t="s">
        <v>0</v>
      </c>
      <c r="P2024" s="80" t="s">
        <v>0</v>
      </c>
      <c r="Q2024" s="80" t="s">
        <v>0</v>
      </c>
      <c r="R2024" s="84" t="s">
        <v>0</v>
      </c>
      <c r="S2024" s="10" t="s">
        <v>1</v>
      </c>
      <c r="T2024" s="10" t="s">
        <v>10221</v>
      </c>
      <c r="U2024" s="5" t="str">
        <f>_xlfn.CONCAT("Propriedade destinada a ",MID(C2024,FIND("p.",C2024,1)+2,100),": ",D2024)</f>
        <v>Propriedade destinada a pendurar: é.fixador.quantidade</v>
      </c>
      <c r="V2024" s="5" t="str">
        <f>_xlfn.CONCAT("Dado para ",MID(F2024,FIND("d.",F2024,1)+2,100),":  ",G2024, "  Deve ser formatado como (",H2024, ")")</f>
        <v>Dado para pendurar:  fixador.quantidade  Deve ser formatado como (xsd:integer)</v>
      </c>
      <c r="W2024" s="69" t="s">
        <v>10112</v>
      </c>
      <c r="X2024" s="17" t="str">
        <f t="shared" si="967"/>
        <v>d.pendu.103</v>
      </c>
      <c r="Y2024" s="17" t="str">
        <f t="shared" si="968"/>
        <v>Ação de pendurar</v>
      </c>
      <c r="Z2024" s="62" t="str">
        <f t="shared" si="976"/>
        <v>Declara el número de puntos de ancración.</v>
      </c>
      <c r="AA2024" s="18" t="str">
        <f>IF(AB2024="null", "null", "categoria.revit")</f>
        <v>null</v>
      </c>
      <c r="AB2024" s="75" t="s">
        <v>0</v>
      </c>
      <c r="AC2024" s="18" t="str">
        <f>IF(AD2024="null", "null", "classe.ifc")</f>
        <v>null</v>
      </c>
      <c r="AD2024" s="75" t="s">
        <v>0</v>
      </c>
      <c r="AE2024" s="18" t="str">
        <f>IF(AF2024="null", "null", "propriedade")</f>
        <v>propriedade</v>
      </c>
      <c r="AF2024" s="75" t="s">
        <v>10119</v>
      </c>
      <c r="AG2024" s="38" t="s">
        <v>11287</v>
      </c>
    </row>
    <row r="2025" spans="1:33" ht="6" customHeight="1" x14ac:dyDescent="0.4">
      <c r="A2025" s="4">
        <f>ROW()</f>
        <v>2025</v>
      </c>
      <c r="B2025" s="9" t="s">
        <v>27</v>
      </c>
      <c r="C2025" s="44" t="str">
        <f t="shared" si="977"/>
        <v>p.pendurar</v>
      </c>
      <c r="D2025" s="6" t="str">
        <f>_xlfn.CONCAT("é.",G2025)</f>
        <v>é.fixador.inferior.tipo</v>
      </c>
      <c r="E2025" s="8" t="s">
        <v>28</v>
      </c>
      <c r="F2025" s="34" t="str">
        <f>F2022</f>
        <v>d.pendurar</v>
      </c>
      <c r="G2025" s="13" t="s">
        <v>10142</v>
      </c>
      <c r="H2025" s="34" t="s">
        <v>1581</v>
      </c>
      <c r="I2025" s="92" t="str">
        <f>IF(OR(J2025="Functional",K2025="InverseFunctional"),"Functional","null")</f>
        <v>null</v>
      </c>
      <c r="J2025" s="80" t="s">
        <v>0</v>
      </c>
      <c r="K2025" s="80" t="s">
        <v>0</v>
      </c>
      <c r="L2025" s="80" t="s">
        <v>0</v>
      </c>
      <c r="M2025" s="80" t="s">
        <v>0</v>
      </c>
      <c r="N2025" s="80" t="s">
        <v>0</v>
      </c>
      <c r="O2025" s="80" t="s">
        <v>0</v>
      </c>
      <c r="P2025" s="80" t="s">
        <v>0</v>
      </c>
      <c r="Q2025" s="80" t="s">
        <v>0</v>
      </c>
      <c r="R2025" s="84" t="s">
        <v>0</v>
      </c>
      <c r="S2025" s="10" t="s">
        <v>1</v>
      </c>
      <c r="T2025" s="10" t="s">
        <v>10221</v>
      </c>
      <c r="U2025" s="5" t="str">
        <f>_xlfn.CONCAT("Propriedade destinada a ",MID(C2025,FIND("p.",C2025,1)+2,100),": ",D2025)</f>
        <v>Propriedade destinada a pendurar: é.fixador.inferior.tipo</v>
      </c>
      <c r="V2025" s="5" t="str">
        <f>_xlfn.CONCAT("Dado para ",MID(F2025,FIND("d.",F2025,1)+2,100),":  ",G2025, "  Deve ser formatado como (",H2025, ")")</f>
        <v>Dado para pendurar:  fixador.inferior.tipo  Deve ser formatado como (rdfs:Literal  or  xsd:string)</v>
      </c>
      <c r="W2025" s="69" t="s">
        <v>10144</v>
      </c>
      <c r="X2025" s="17" t="str">
        <f t="shared" si="967"/>
        <v>d.pendu.104</v>
      </c>
      <c r="Y2025" s="17" t="str">
        <f t="shared" si="968"/>
        <v>Ação de pendurar</v>
      </c>
      <c r="Z2025" s="62" t="str">
        <f t="shared" si="976"/>
        <v>Declara el tipo de sujetador inferior (tornillos, pasadores, pinzas, pasadores metálicos, etc.)</v>
      </c>
      <c r="AA2025" s="18" t="str">
        <f>IF(AB2025="null", "null", "categoria.revit")</f>
        <v>categoria.revit</v>
      </c>
      <c r="AB2025" s="77" t="s">
        <v>10140</v>
      </c>
      <c r="AC2025" s="18" t="str">
        <f>IF(AD2025="null", "null", "classe.ifc")</f>
        <v>classe.ifc</v>
      </c>
      <c r="AD2025" s="75" t="s">
        <v>10149</v>
      </c>
      <c r="AE2025" s="18" t="str">
        <f>IF(AF2025="null", "null", "propriedade")</f>
        <v>propriedade</v>
      </c>
      <c r="AF2025" s="75" t="s">
        <v>10119</v>
      </c>
      <c r="AG2025" s="38" t="s">
        <v>11288</v>
      </c>
    </row>
    <row r="2026" spans="1:33" ht="6" customHeight="1" x14ac:dyDescent="0.4">
      <c r="A2026" s="4">
        <f>ROW()</f>
        <v>2026</v>
      </c>
      <c r="B2026" s="9" t="s">
        <v>27</v>
      </c>
      <c r="C2026" s="44" t="str">
        <f t="shared" ref="C2026" si="986">SUBSTITUTE(F2026,"d.","p.")</f>
        <v>p.pendurar</v>
      </c>
      <c r="D2026" s="6" t="str">
        <f>_xlfn.CONCAT("é.",G2026)</f>
        <v>é.fixador.superior.tipo</v>
      </c>
      <c r="E2026" s="8" t="s">
        <v>28</v>
      </c>
      <c r="F2026" s="34" t="str">
        <f>F2023</f>
        <v>d.pendurar</v>
      </c>
      <c r="G2026" s="13" t="s">
        <v>10143</v>
      </c>
      <c r="H2026" s="34" t="s">
        <v>1581</v>
      </c>
      <c r="I2026" s="92" t="str">
        <f>IF(OR(J2026="Functional",K2026="InverseFunctional"),"Functional","null")</f>
        <v>null</v>
      </c>
      <c r="J2026" s="80" t="s">
        <v>0</v>
      </c>
      <c r="K2026" s="80" t="s">
        <v>0</v>
      </c>
      <c r="L2026" s="80" t="s">
        <v>0</v>
      </c>
      <c r="M2026" s="80" t="s">
        <v>0</v>
      </c>
      <c r="N2026" s="80" t="s">
        <v>0</v>
      </c>
      <c r="O2026" s="80" t="s">
        <v>0</v>
      </c>
      <c r="P2026" s="80" t="s">
        <v>0</v>
      </c>
      <c r="Q2026" s="80" t="s">
        <v>0</v>
      </c>
      <c r="R2026" s="84" t="s">
        <v>0</v>
      </c>
      <c r="S2026" s="10" t="s">
        <v>1</v>
      </c>
      <c r="T2026" s="10" t="s">
        <v>10221</v>
      </c>
      <c r="U2026" s="5" t="str">
        <f>_xlfn.CONCAT("Propriedade destinada a ",MID(C2026,FIND("p.",C2026,1)+2,100),": ",D2026)</f>
        <v>Propriedade destinada a pendurar: é.fixador.superior.tipo</v>
      </c>
      <c r="V2026" s="5" t="str">
        <f>_xlfn.CONCAT("Dado para ",MID(F2026,FIND("d.",F2026,1)+2,100),":  ",G2026, "  Deve ser formatado como (",H2026, ")")</f>
        <v>Dado para pendurar:  fixador.superior.tipo  Deve ser formatado como (rdfs:Literal  or  xsd:string)</v>
      </c>
      <c r="W2026" s="69" t="s">
        <v>10145</v>
      </c>
      <c r="X2026" s="17" t="str">
        <f t="shared" si="967"/>
        <v>d.pendu.105</v>
      </c>
      <c r="Y2026" s="17" t="str">
        <f t="shared" si="968"/>
        <v>Ação de pendurar</v>
      </c>
      <c r="Z2026" s="62" t="str">
        <f t="shared" si="976"/>
        <v>Declara el tipo de sujetador superior (casquillos, remaches, pasadores metálicos, etc.)</v>
      </c>
      <c r="AA2026" s="18" t="str">
        <f>IF(AB2026="null", "null", "categoria.revit")</f>
        <v>categoria.revit</v>
      </c>
      <c r="AB2026" s="77" t="s">
        <v>10140</v>
      </c>
      <c r="AC2026" s="18" t="str">
        <f>IF(AD2026="null", "null", "classe.ifc")</f>
        <v>classe.ifc</v>
      </c>
      <c r="AD2026" s="75" t="s">
        <v>10149</v>
      </c>
      <c r="AE2026" s="18" t="str">
        <f>IF(AF2026="null", "null", "propriedade")</f>
        <v>propriedade</v>
      </c>
      <c r="AF2026" s="75" t="s">
        <v>10119</v>
      </c>
      <c r="AG2026" s="38" t="s">
        <v>11289</v>
      </c>
    </row>
    <row r="2027" spans="1:33" ht="6" customHeight="1" x14ac:dyDescent="0.4">
      <c r="A2027" s="4">
        <f>ROW()</f>
        <v>2027</v>
      </c>
      <c r="B2027" s="9" t="s">
        <v>27</v>
      </c>
      <c r="C2027" s="44" t="str">
        <f t="shared" si="977"/>
        <v>p.pendurar</v>
      </c>
      <c r="D2027" s="6" t="str">
        <f>_xlfn.CONCAT("é.",G2027)</f>
        <v>é.tensor.tipo</v>
      </c>
      <c r="E2027" s="8" t="s">
        <v>28</v>
      </c>
      <c r="F2027" s="34" t="str">
        <f>F2024</f>
        <v>d.pendurar</v>
      </c>
      <c r="G2027" s="13" t="s">
        <v>10141</v>
      </c>
      <c r="H2027" s="34" t="s">
        <v>1581</v>
      </c>
      <c r="I2027" s="92" t="str">
        <f>IF(OR(J2027="Functional",K2027="InverseFunctional"),"Functional","null")</f>
        <v>null</v>
      </c>
      <c r="J2027" s="80" t="s">
        <v>0</v>
      </c>
      <c r="K2027" s="80" t="s">
        <v>0</v>
      </c>
      <c r="L2027" s="80" t="s">
        <v>0</v>
      </c>
      <c r="M2027" s="80" t="s">
        <v>0</v>
      </c>
      <c r="N2027" s="80" t="s">
        <v>0</v>
      </c>
      <c r="O2027" s="80" t="s">
        <v>0</v>
      </c>
      <c r="P2027" s="80" t="s">
        <v>0</v>
      </c>
      <c r="Q2027" s="80" t="s">
        <v>0</v>
      </c>
      <c r="R2027" s="84" t="s">
        <v>0</v>
      </c>
      <c r="S2027" s="10" t="s">
        <v>1</v>
      </c>
      <c r="T2027" s="10" t="s">
        <v>10221</v>
      </c>
      <c r="U2027" s="5" t="str">
        <f>_xlfn.CONCAT("Propriedade destinada a ",MID(C2027,FIND("p.",C2027,1)+2,100),": ",D2027)</f>
        <v>Propriedade destinada a pendurar: é.tensor.tipo</v>
      </c>
      <c r="V2027" s="5" t="str">
        <f>_xlfn.CONCAT("Dado para ",MID(F2027,FIND("d.",F2027,1)+2,100),":  ",G2027, "  Deve ser formatado como (",H2027, ")")</f>
        <v>Dado para pendurar:  tensor.tipo  Deve ser formatado como (rdfs:Literal  or  xsd:string)</v>
      </c>
      <c r="W2027" s="69" t="s">
        <v>10146</v>
      </c>
      <c r="X2027" s="17" t="str">
        <f t="shared" si="967"/>
        <v>d.pendu.106</v>
      </c>
      <c r="Y2027" s="17" t="str">
        <f t="shared" si="968"/>
        <v>Ação de pendurar</v>
      </c>
      <c r="Z2027" s="62" t="str">
        <f t="shared" si="976"/>
        <v>Indica el tipo de tensor (varillas, cables, cables, etc.).</v>
      </c>
      <c r="AA2027" s="18" t="str">
        <f>IF(AB2027="null", "null", "categoria.revit")</f>
        <v>categoria.revit</v>
      </c>
      <c r="AB2027" s="77" t="s">
        <v>10140</v>
      </c>
      <c r="AC2027" s="18" t="str">
        <f>IF(AD2027="null", "null", "classe.ifc")</f>
        <v>classe.ifc</v>
      </c>
      <c r="AD2027" s="75" t="s">
        <v>10150</v>
      </c>
      <c r="AE2027" s="18" t="str">
        <f>IF(AF2027="null", "null", "propriedade")</f>
        <v>propriedade</v>
      </c>
      <c r="AF2027" s="75" t="s">
        <v>10119</v>
      </c>
      <c r="AG2027" s="38" t="s">
        <v>11290</v>
      </c>
    </row>
    <row r="2028" spans="1:33" ht="6" customHeight="1" x14ac:dyDescent="0.4">
      <c r="A2028" s="4">
        <f>ROW()</f>
        <v>2028</v>
      </c>
      <c r="B2028" s="9" t="s">
        <v>27</v>
      </c>
      <c r="C2028" s="43" t="str">
        <f t="shared" ref="C2028:C2067" si="987">SUBSTITUTE(F2028,"d.","p.")</f>
        <v>p.perfilar</v>
      </c>
      <c r="D2028" s="6" t="str">
        <f t="shared" si="963"/>
        <v>é.perfil</v>
      </c>
      <c r="E2028" s="8" t="s">
        <v>28</v>
      </c>
      <c r="F2028" s="40" t="s">
        <v>2215</v>
      </c>
      <c r="G2028" s="14" t="s">
        <v>2660</v>
      </c>
      <c r="H2028" s="34" t="s">
        <v>1581</v>
      </c>
      <c r="I2028" s="92" t="str">
        <f t="shared" si="954"/>
        <v>null</v>
      </c>
      <c r="J2028" s="82" t="s">
        <v>0</v>
      </c>
      <c r="K2028" s="82" t="s">
        <v>0</v>
      </c>
      <c r="L2028" s="82" t="s">
        <v>0</v>
      </c>
      <c r="M2028" s="82" t="s">
        <v>0</v>
      </c>
      <c r="N2028" s="80" t="s">
        <v>0</v>
      </c>
      <c r="O2028" s="82" t="s">
        <v>0</v>
      </c>
      <c r="P2028" s="82" t="s">
        <v>0</v>
      </c>
      <c r="Q2028" s="82" t="s">
        <v>0</v>
      </c>
      <c r="R2028" s="84" t="s">
        <v>0</v>
      </c>
      <c r="S2028" s="10" t="s">
        <v>1</v>
      </c>
      <c r="T2028" s="10" t="s">
        <v>10221</v>
      </c>
      <c r="U2028" s="5" t="str">
        <f t="shared" si="974"/>
        <v>Propriedade destinada a perfilar: é.perfil</v>
      </c>
      <c r="V2028" s="5" t="str">
        <f t="shared" si="975"/>
        <v>Dado para perfilar:  perfil  Deve ser formatado como (rdfs:Literal  or  xsd:string)</v>
      </c>
      <c r="W2028" s="69" t="s">
        <v>5998</v>
      </c>
      <c r="X2028" s="17" t="str">
        <f t="shared" si="967"/>
        <v>d.perfi.100</v>
      </c>
      <c r="Y2028" s="17" t="str">
        <f t="shared" si="968"/>
        <v>Ação de perfilar</v>
      </c>
      <c r="Z2028" s="62" t="s">
        <v>2351</v>
      </c>
      <c r="AA2028" s="18" t="str">
        <f t="shared" si="965"/>
        <v>null</v>
      </c>
      <c r="AB2028" s="19" t="s">
        <v>0</v>
      </c>
      <c r="AC2028" s="18" t="str">
        <f t="shared" si="966"/>
        <v>null</v>
      </c>
      <c r="AD2028" s="19" t="s">
        <v>0</v>
      </c>
      <c r="AE2028" s="18" t="str">
        <f t="shared" si="964"/>
        <v>null</v>
      </c>
      <c r="AF2028" s="75" t="s">
        <v>0</v>
      </c>
      <c r="AG2028" s="38" t="s">
        <v>8956</v>
      </c>
    </row>
    <row r="2029" spans="1:33" ht="6" customHeight="1" x14ac:dyDescent="0.4">
      <c r="A2029" s="4">
        <f>ROW()</f>
        <v>2029</v>
      </c>
      <c r="B2029" s="9" t="s">
        <v>27</v>
      </c>
      <c r="C2029" s="44" t="str">
        <f t="shared" si="987"/>
        <v>p.perfilar</v>
      </c>
      <c r="D2029" s="6" t="str">
        <f t="shared" si="963"/>
        <v>é.perfil.circular</v>
      </c>
      <c r="E2029" s="8" t="s">
        <v>28</v>
      </c>
      <c r="F2029" s="34" t="str">
        <f t="shared" ref="F2029:F2040" si="988">F2028</f>
        <v>d.perfilar</v>
      </c>
      <c r="G2029" s="14" t="s">
        <v>850</v>
      </c>
      <c r="H2029" s="34" t="s">
        <v>1581</v>
      </c>
      <c r="I2029" s="92" t="str">
        <f t="shared" si="954"/>
        <v>null</v>
      </c>
      <c r="J2029" s="82" t="s">
        <v>0</v>
      </c>
      <c r="K2029" s="82" t="s">
        <v>0</v>
      </c>
      <c r="L2029" s="82" t="s">
        <v>0</v>
      </c>
      <c r="M2029" s="82" t="s">
        <v>0</v>
      </c>
      <c r="N2029" s="80" t="s">
        <v>0</v>
      </c>
      <c r="O2029" s="82" t="s">
        <v>0</v>
      </c>
      <c r="P2029" s="82" t="s">
        <v>0</v>
      </c>
      <c r="Q2029" s="82" t="s">
        <v>0</v>
      </c>
      <c r="R2029" s="84" t="s">
        <v>0</v>
      </c>
      <c r="S2029" s="10" t="s">
        <v>1</v>
      </c>
      <c r="T2029" s="10" t="s">
        <v>10221</v>
      </c>
      <c r="U2029" s="5" t="str">
        <f t="shared" si="974"/>
        <v>Propriedade destinada a perfilar: é.perfil.circular</v>
      </c>
      <c r="V2029" s="5" t="str">
        <f t="shared" si="975"/>
        <v>Dado para perfilar:  perfil.circular  Deve ser formatado como (rdfs:Literal  or  xsd:string)</v>
      </c>
      <c r="W2029" s="69" t="s">
        <v>5999</v>
      </c>
      <c r="X2029" s="17" t="str">
        <f t="shared" si="967"/>
        <v>d.perfi.101</v>
      </c>
      <c r="Y2029" s="17" t="str">
        <f t="shared" si="968"/>
        <v>Ação de perfilar</v>
      </c>
      <c r="Z2029" s="62" t="s">
        <v>3100</v>
      </c>
      <c r="AA2029" s="18" t="str">
        <f t="shared" si="965"/>
        <v>null</v>
      </c>
      <c r="AB2029" s="19" t="s">
        <v>0</v>
      </c>
      <c r="AC2029" s="18" t="str">
        <f t="shared" si="966"/>
        <v>null</v>
      </c>
      <c r="AD2029" s="19" t="s">
        <v>0</v>
      </c>
      <c r="AE2029" s="18" t="str">
        <f t="shared" si="964"/>
        <v>null</v>
      </c>
      <c r="AF2029" s="75" t="s">
        <v>0</v>
      </c>
      <c r="AG2029" s="38" t="s">
        <v>8957</v>
      </c>
    </row>
    <row r="2030" spans="1:33" ht="6" customHeight="1" x14ac:dyDescent="0.4">
      <c r="A2030" s="4">
        <f>ROW()</f>
        <v>2030</v>
      </c>
      <c r="B2030" s="9" t="s">
        <v>27</v>
      </c>
      <c r="C2030" s="44" t="str">
        <f t="shared" si="987"/>
        <v>p.perfilar</v>
      </c>
      <c r="D2030" s="6" t="str">
        <f t="shared" si="963"/>
        <v>é.perfil.elíptico</v>
      </c>
      <c r="E2030" s="8" t="s">
        <v>28</v>
      </c>
      <c r="F2030" s="34" t="str">
        <f t="shared" si="988"/>
        <v>d.perfilar</v>
      </c>
      <c r="G2030" s="14" t="s">
        <v>851</v>
      </c>
      <c r="H2030" s="34" t="s">
        <v>1581</v>
      </c>
      <c r="I2030" s="92" t="str">
        <f t="shared" ref="I2030:I2093" si="989">IF(OR(J2030="Functional",K2030="InverseFunctional"),"Functional","null")</f>
        <v>null</v>
      </c>
      <c r="J2030" s="82" t="s">
        <v>0</v>
      </c>
      <c r="K2030" s="82" t="s">
        <v>0</v>
      </c>
      <c r="L2030" s="82" t="s">
        <v>0</v>
      </c>
      <c r="M2030" s="82" t="s">
        <v>0</v>
      </c>
      <c r="N2030" s="80" t="s">
        <v>0</v>
      </c>
      <c r="O2030" s="82" t="s">
        <v>0</v>
      </c>
      <c r="P2030" s="82" t="s">
        <v>0</v>
      </c>
      <c r="Q2030" s="82" t="s">
        <v>0</v>
      </c>
      <c r="R2030" s="84" t="s">
        <v>0</v>
      </c>
      <c r="S2030" s="10" t="s">
        <v>1</v>
      </c>
      <c r="T2030" s="10" t="s">
        <v>10221</v>
      </c>
      <c r="U2030" s="5" t="str">
        <f t="shared" si="974"/>
        <v>Propriedade destinada a perfilar: é.perfil.elíptico</v>
      </c>
      <c r="V2030" s="5" t="str">
        <f t="shared" si="975"/>
        <v>Dado para perfilar:  perfil.elíptico  Deve ser formatado como (rdfs:Literal  or  xsd:string)</v>
      </c>
      <c r="W2030" s="69" t="s">
        <v>6000</v>
      </c>
      <c r="X2030" s="17" t="str">
        <f t="shared" si="967"/>
        <v>d.perfi.102</v>
      </c>
      <c r="Y2030" s="17" t="str">
        <f t="shared" si="968"/>
        <v>Ação de perfilar</v>
      </c>
      <c r="Z2030" s="62" t="s">
        <v>2541</v>
      </c>
      <c r="AA2030" s="18" t="str">
        <f t="shared" si="965"/>
        <v>null</v>
      </c>
      <c r="AB2030" s="19" t="s">
        <v>0</v>
      </c>
      <c r="AC2030" s="18" t="str">
        <f t="shared" si="966"/>
        <v>null</v>
      </c>
      <c r="AD2030" s="19" t="s">
        <v>0</v>
      </c>
      <c r="AE2030" s="18" t="str">
        <f t="shared" si="964"/>
        <v>null</v>
      </c>
      <c r="AF2030" s="75" t="s">
        <v>0</v>
      </c>
      <c r="AG2030" s="38" t="s">
        <v>8958</v>
      </c>
    </row>
    <row r="2031" spans="1:33" ht="6" customHeight="1" x14ac:dyDescent="0.4">
      <c r="A2031" s="4">
        <f>ROW()</f>
        <v>2031</v>
      </c>
      <c r="B2031" s="9" t="s">
        <v>27</v>
      </c>
      <c r="C2031" s="44" t="str">
        <f t="shared" si="987"/>
        <v>p.perfilar</v>
      </c>
      <c r="D2031" s="6" t="str">
        <f t="shared" si="963"/>
        <v>é.perfil.estrela</v>
      </c>
      <c r="E2031" s="8" t="s">
        <v>28</v>
      </c>
      <c r="F2031" s="34" t="str">
        <f t="shared" si="988"/>
        <v>d.perfilar</v>
      </c>
      <c r="G2031" s="14" t="s">
        <v>852</v>
      </c>
      <c r="H2031" s="34" t="s">
        <v>1581</v>
      </c>
      <c r="I2031" s="92" t="str">
        <f t="shared" si="989"/>
        <v>null</v>
      </c>
      <c r="J2031" s="82" t="s">
        <v>0</v>
      </c>
      <c r="K2031" s="82" t="s">
        <v>0</v>
      </c>
      <c r="L2031" s="82" t="s">
        <v>0</v>
      </c>
      <c r="M2031" s="82" t="s">
        <v>0</v>
      </c>
      <c r="N2031" s="80" t="s">
        <v>0</v>
      </c>
      <c r="O2031" s="82" t="s">
        <v>0</v>
      </c>
      <c r="P2031" s="82" t="s">
        <v>0</v>
      </c>
      <c r="Q2031" s="82" t="s">
        <v>0</v>
      </c>
      <c r="R2031" s="84" t="s">
        <v>0</v>
      </c>
      <c r="S2031" s="10" t="s">
        <v>1</v>
      </c>
      <c r="T2031" s="10" t="s">
        <v>10221</v>
      </c>
      <c r="U2031" s="5" t="str">
        <f t="shared" si="974"/>
        <v>Propriedade destinada a perfilar: é.perfil.estrela</v>
      </c>
      <c r="V2031" s="5" t="str">
        <f t="shared" si="975"/>
        <v>Dado para perfilar:  perfil.estrela  Deve ser formatado como (rdfs:Literal  or  xsd:string)</v>
      </c>
      <c r="W2031" s="69" t="s">
        <v>6001</v>
      </c>
      <c r="X2031" s="17" t="str">
        <f t="shared" si="967"/>
        <v>d.perfi.103</v>
      </c>
      <c r="Y2031" s="17" t="str">
        <f t="shared" si="968"/>
        <v>Ação de perfilar</v>
      </c>
      <c r="Z2031" s="62" t="s">
        <v>2536</v>
      </c>
      <c r="AA2031" s="18" t="str">
        <f t="shared" si="965"/>
        <v>null</v>
      </c>
      <c r="AB2031" s="19" t="s">
        <v>0</v>
      </c>
      <c r="AC2031" s="18" t="str">
        <f t="shared" si="966"/>
        <v>null</v>
      </c>
      <c r="AD2031" s="19" t="s">
        <v>0</v>
      </c>
      <c r="AE2031" s="18" t="str">
        <f t="shared" si="964"/>
        <v>null</v>
      </c>
      <c r="AF2031" s="75" t="s">
        <v>0</v>
      </c>
      <c r="AG2031" s="38" t="s">
        <v>8959</v>
      </c>
    </row>
    <row r="2032" spans="1:33" ht="6" customHeight="1" x14ac:dyDescent="0.4">
      <c r="A2032" s="4">
        <f>ROW()</f>
        <v>2032</v>
      </c>
      <c r="B2032" s="9" t="s">
        <v>27</v>
      </c>
      <c r="C2032" s="44" t="str">
        <f t="shared" si="987"/>
        <v>p.perfilar</v>
      </c>
      <c r="D2032" s="6" t="str">
        <f t="shared" si="963"/>
        <v>é.perfil.fractal</v>
      </c>
      <c r="E2032" s="8" t="s">
        <v>28</v>
      </c>
      <c r="F2032" s="34" t="str">
        <f t="shared" si="988"/>
        <v>d.perfilar</v>
      </c>
      <c r="G2032" s="14" t="s">
        <v>853</v>
      </c>
      <c r="H2032" s="34" t="s">
        <v>1581</v>
      </c>
      <c r="I2032" s="92" t="str">
        <f t="shared" si="989"/>
        <v>null</v>
      </c>
      <c r="J2032" s="82" t="s">
        <v>0</v>
      </c>
      <c r="K2032" s="82" t="s">
        <v>0</v>
      </c>
      <c r="L2032" s="82" t="s">
        <v>0</v>
      </c>
      <c r="M2032" s="82" t="s">
        <v>0</v>
      </c>
      <c r="N2032" s="80" t="s">
        <v>0</v>
      </c>
      <c r="O2032" s="82" t="s">
        <v>0</v>
      </c>
      <c r="P2032" s="82" t="s">
        <v>0</v>
      </c>
      <c r="Q2032" s="82" t="s">
        <v>0</v>
      </c>
      <c r="R2032" s="84" t="s">
        <v>0</v>
      </c>
      <c r="S2032" s="10" t="s">
        <v>1</v>
      </c>
      <c r="T2032" s="10" t="s">
        <v>10221</v>
      </c>
      <c r="U2032" s="5" t="str">
        <f t="shared" si="974"/>
        <v>Propriedade destinada a perfilar: é.perfil.fractal</v>
      </c>
      <c r="V2032" s="5" t="str">
        <f t="shared" si="975"/>
        <v>Dado para perfilar:  perfil.fractal  Deve ser formatado como (rdfs:Literal  or  xsd:string)</v>
      </c>
      <c r="W2032" s="69" t="s">
        <v>6002</v>
      </c>
      <c r="X2032" s="17" t="str">
        <f t="shared" si="967"/>
        <v>d.perfi.104</v>
      </c>
      <c r="Y2032" s="17" t="str">
        <f t="shared" si="968"/>
        <v>Ação de perfilar</v>
      </c>
      <c r="Z2032" s="62" t="s">
        <v>2542</v>
      </c>
      <c r="AA2032" s="18" t="str">
        <f t="shared" si="965"/>
        <v>null</v>
      </c>
      <c r="AB2032" s="19" t="s">
        <v>0</v>
      </c>
      <c r="AC2032" s="18" t="str">
        <f t="shared" si="966"/>
        <v>null</v>
      </c>
      <c r="AD2032" s="19" t="s">
        <v>0</v>
      </c>
      <c r="AE2032" s="18" t="str">
        <f t="shared" si="964"/>
        <v>null</v>
      </c>
      <c r="AF2032" s="75" t="s">
        <v>0</v>
      </c>
      <c r="AG2032" s="38" t="s">
        <v>8960</v>
      </c>
    </row>
    <row r="2033" spans="1:33" ht="6" customHeight="1" x14ac:dyDescent="0.4">
      <c r="A2033" s="4">
        <f>ROW()</f>
        <v>2033</v>
      </c>
      <c r="B2033" s="9" t="s">
        <v>27</v>
      </c>
      <c r="C2033" s="44" t="str">
        <f t="shared" si="987"/>
        <v>p.perfilar</v>
      </c>
      <c r="D2033" s="6" t="str">
        <f t="shared" si="963"/>
        <v>é.perfil.orgânico</v>
      </c>
      <c r="E2033" s="8" t="s">
        <v>28</v>
      </c>
      <c r="F2033" s="34" t="str">
        <f t="shared" si="988"/>
        <v>d.perfilar</v>
      </c>
      <c r="G2033" s="14" t="s">
        <v>3048</v>
      </c>
      <c r="H2033" s="34" t="s">
        <v>1581</v>
      </c>
      <c r="I2033" s="92" t="str">
        <f t="shared" si="989"/>
        <v>null</v>
      </c>
      <c r="J2033" s="82" t="s">
        <v>0</v>
      </c>
      <c r="K2033" s="82" t="s">
        <v>0</v>
      </c>
      <c r="L2033" s="82" t="s">
        <v>0</v>
      </c>
      <c r="M2033" s="82" t="s">
        <v>0</v>
      </c>
      <c r="N2033" s="80" t="s">
        <v>0</v>
      </c>
      <c r="O2033" s="82" t="s">
        <v>0</v>
      </c>
      <c r="P2033" s="82" t="s">
        <v>0</v>
      </c>
      <c r="Q2033" s="82" t="s">
        <v>0</v>
      </c>
      <c r="R2033" s="84" t="s">
        <v>0</v>
      </c>
      <c r="S2033" s="10" t="s">
        <v>1</v>
      </c>
      <c r="T2033" s="10" t="s">
        <v>10221</v>
      </c>
      <c r="U2033" s="5" t="str">
        <f t="shared" si="974"/>
        <v>Propriedade destinada a perfilar: é.perfil.orgânico</v>
      </c>
      <c r="V2033" s="5" t="str">
        <f t="shared" si="975"/>
        <v>Dado para perfilar:  perfil.orgânico  Deve ser formatado como (rdfs:Literal  or  xsd:string)</v>
      </c>
      <c r="W2033" s="69" t="s">
        <v>6003</v>
      </c>
      <c r="X2033" s="17" t="str">
        <f t="shared" si="967"/>
        <v>d.perfi.105</v>
      </c>
      <c r="Y2033" s="17" t="str">
        <f t="shared" si="968"/>
        <v>Ação de perfilar</v>
      </c>
      <c r="Z2033" s="62" t="s">
        <v>2543</v>
      </c>
      <c r="AA2033" s="18" t="str">
        <f t="shared" si="965"/>
        <v>null</v>
      </c>
      <c r="AB2033" s="19" t="s">
        <v>0</v>
      </c>
      <c r="AC2033" s="18" t="str">
        <f t="shared" si="966"/>
        <v>null</v>
      </c>
      <c r="AD2033" s="19" t="s">
        <v>0</v>
      </c>
      <c r="AE2033" s="18" t="str">
        <f t="shared" si="964"/>
        <v>null</v>
      </c>
      <c r="AF2033" s="75" t="s">
        <v>0</v>
      </c>
      <c r="AG2033" s="38" t="s">
        <v>8961</v>
      </c>
    </row>
    <row r="2034" spans="1:33" ht="6" customHeight="1" x14ac:dyDescent="0.4">
      <c r="A2034" s="4">
        <f>ROW()</f>
        <v>2034</v>
      </c>
      <c r="B2034" s="9" t="s">
        <v>27</v>
      </c>
      <c r="C2034" s="44" t="str">
        <f t="shared" si="987"/>
        <v>p.perfilar</v>
      </c>
      <c r="D2034" s="6" t="str">
        <f t="shared" si="963"/>
        <v>é.perfil.poligonal</v>
      </c>
      <c r="E2034" s="8" t="s">
        <v>28</v>
      </c>
      <c r="F2034" s="34" t="str">
        <f t="shared" si="988"/>
        <v>d.perfilar</v>
      </c>
      <c r="G2034" s="14" t="s">
        <v>854</v>
      </c>
      <c r="H2034" s="34" t="s">
        <v>1581</v>
      </c>
      <c r="I2034" s="92" t="str">
        <f t="shared" si="989"/>
        <v>null</v>
      </c>
      <c r="J2034" s="82" t="s">
        <v>0</v>
      </c>
      <c r="K2034" s="82" t="s">
        <v>0</v>
      </c>
      <c r="L2034" s="82" t="s">
        <v>0</v>
      </c>
      <c r="M2034" s="82" t="s">
        <v>0</v>
      </c>
      <c r="N2034" s="80" t="s">
        <v>0</v>
      </c>
      <c r="O2034" s="82" t="s">
        <v>0</v>
      </c>
      <c r="P2034" s="82" t="s">
        <v>0</v>
      </c>
      <c r="Q2034" s="82" t="s">
        <v>0</v>
      </c>
      <c r="R2034" s="84" t="s">
        <v>0</v>
      </c>
      <c r="S2034" s="10" t="s">
        <v>1</v>
      </c>
      <c r="T2034" s="10" t="s">
        <v>10221</v>
      </c>
      <c r="U2034" s="5" t="str">
        <f t="shared" si="974"/>
        <v>Propriedade destinada a perfilar: é.perfil.poligonal</v>
      </c>
      <c r="V2034" s="5" t="str">
        <f t="shared" si="975"/>
        <v>Dado para perfilar:  perfil.poligonal  Deve ser formatado como (rdfs:Literal  or  xsd:string)</v>
      </c>
      <c r="W2034" s="69" t="s">
        <v>6004</v>
      </c>
      <c r="X2034" s="17" t="str">
        <f t="shared" si="967"/>
        <v>d.perfi.106</v>
      </c>
      <c r="Y2034" s="17" t="str">
        <f t="shared" si="968"/>
        <v>Ação de perfilar</v>
      </c>
      <c r="Z2034" s="62" t="s">
        <v>2537</v>
      </c>
      <c r="AA2034" s="18" t="str">
        <f t="shared" si="965"/>
        <v>null</v>
      </c>
      <c r="AB2034" s="19" t="s">
        <v>0</v>
      </c>
      <c r="AC2034" s="18" t="str">
        <f t="shared" si="966"/>
        <v>null</v>
      </c>
      <c r="AD2034" s="19" t="s">
        <v>0</v>
      </c>
      <c r="AE2034" s="18" t="str">
        <f t="shared" si="964"/>
        <v>null</v>
      </c>
      <c r="AF2034" s="75" t="s">
        <v>0</v>
      </c>
      <c r="AG2034" s="38" t="s">
        <v>8962</v>
      </c>
    </row>
    <row r="2035" spans="1:33" ht="6" customHeight="1" x14ac:dyDescent="0.4">
      <c r="A2035" s="4">
        <f>ROW()</f>
        <v>2035</v>
      </c>
      <c r="B2035" s="9" t="s">
        <v>27</v>
      </c>
      <c r="C2035" s="44" t="str">
        <f t="shared" si="987"/>
        <v>p.perfilar</v>
      </c>
      <c r="D2035" s="6" t="str">
        <f t="shared" si="963"/>
        <v>é.perfil.polígono</v>
      </c>
      <c r="E2035" s="8" t="s">
        <v>28</v>
      </c>
      <c r="F2035" s="34" t="str">
        <f t="shared" si="988"/>
        <v>d.perfilar</v>
      </c>
      <c r="G2035" s="14" t="s">
        <v>855</v>
      </c>
      <c r="H2035" s="34" t="s">
        <v>1581</v>
      </c>
      <c r="I2035" s="92" t="str">
        <f t="shared" si="989"/>
        <v>null</v>
      </c>
      <c r="J2035" s="82" t="s">
        <v>0</v>
      </c>
      <c r="K2035" s="82" t="s">
        <v>0</v>
      </c>
      <c r="L2035" s="82" t="s">
        <v>0</v>
      </c>
      <c r="M2035" s="82" t="s">
        <v>0</v>
      </c>
      <c r="N2035" s="80" t="s">
        <v>0</v>
      </c>
      <c r="O2035" s="82" t="s">
        <v>0</v>
      </c>
      <c r="P2035" s="82" t="s">
        <v>0</v>
      </c>
      <c r="Q2035" s="82" t="s">
        <v>0</v>
      </c>
      <c r="R2035" s="84" t="s">
        <v>0</v>
      </c>
      <c r="S2035" s="10" t="s">
        <v>1</v>
      </c>
      <c r="T2035" s="10" t="s">
        <v>10221</v>
      </c>
      <c r="U2035" s="5" t="str">
        <f t="shared" si="974"/>
        <v>Propriedade destinada a perfilar: é.perfil.polígono</v>
      </c>
      <c r="V2035" s="5" t="str">
        <f t="shared" si="975"/>
        <v>Dado para perfilar:  perfil.polígono  Deve ser formatado como (rdfs:Literal  or  xsd:string)</v>
      </c>
      <c r="W2035" s="69" t="s">
        <v>6005</v>
      </c>
      <c r="X2035" s="17" t="str">
        <f t="shared" si="967"/>
        <v>d.perfi.107</v>
      </c>
      <c r="Y2035" s="17" t="str">
        <f t="shared" si="968"/>
        <v>Ação de perfilar</v>
      </c>
      <c r="Z2035" s="62" t="s">
        <v>2538</v>
      </c>
      <c r="AA2035" s="18" t="str">
        <f t="shared" si="965"/>
        <v>null</v>
      </c>
      <c r="AB2035" s="19" t="s">
        <v>0</v>
      </c>
      <c r="AC2035" s="18" t="str">
        <f t="shared" si="966"/>
        <v>null</v>
      </c>
      <c r="AD2035" s="19" t="s">
        <v>0</v>
      </c>
      <c r="AE2035" s="18" t="str">
        <f t="shared" si="964"/>
        <v>null</v>
      </c>
      <c r="AF2035" s="75" t="s">
        <v>0</v>
      </c>
      <c r="AG2035" s="38" t="s">
        <v>8963</v>
      </c>
    </row>
    <row r="2036" spans="1:33" ht="6" customHeight="1" x14ac:dyDescent="0.4">
      <c r="A2036" s="4">
        <f>ROW()</f>
        <v>2036</v>
      </c>
      <c r="B2036" s="9" t="s">
        <v>27</v>
      </c>
      <c r="C2036" s="44" t="str">
        <f t="shared" si="987"/>
        <v>p.perfilar</v>
      </c>
      <c r="D2036" s="6" t="str">
        <f t="shared" si="963"/>
        <v>é.perfil.quadrado</v>
      </c>
      <c r="E2036" s="8" t="s">
        <v>28</v>
      </c>
      <c r="F2036" s="34" t="str">
        <f t="shared" si="988"/>
        <v>d.perfilar</v>
      </c>
      <c r="G2036" s="14" t="s">
        <v>856</v>
      </c>
      <c r="H2036" s="34" t="s">
        <v>1581</v>
      </c>
      <c r="I2036" s="92" t="str">
        <f t="shared" si="989"/>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74"/>
        <v>Propriedade destinada a perfilar: é.perfil.quadrado</v>
      </c>
      <c r="V2036" s="5" t="str">
        <f t="shared" si="975"/>
        <v>Dado para perfilar:  perfil.quadrado  Deve ser formatado como (rdfs:Literal  or  xsd:string)</v>
      </c>
      <c r="W2036" s="69" t="s">
        <v>6006</v>
      </c>
      <c r="X2036" s="17" t="str">
        <f t="shared" si="967"/>
        <v>d.perfi.108</v>
      </c>
      <c r="Y2036" s="17" t="str">
        <f t="shared" si="968"/>
        <v>Ação de perfilar</v>
      </c>
      <c r="Z2036" s="62" t="s">
        <v>2539</v>
      </c>
      <c r="AA2036" s="18" t="str">
        <f t="shared" si="965"/>
        <v>null</v>
      </c>
      <c r="AB2036" s="19" t="s">
        <v>0</v>
      </c>
      <c r="AC2036" s="18" t="str">
        <f t="shared" si="966"/>
        <v>null</v>
      </c>
      <c r="AD2036" s="19" t="s">
        <v>0</v>
      </c>
      <c r="AE2036" s="18" t="str">
        <f t="shared" si="964"/>
        <v>null</v>
      </c>
      <c r="AF2036" s="75" t="s">
        <v>0</v>
      </c>
      <c r="AG2036" s="38" t="s">
        <v>8964</v>
      </c>
    </row>
    <row r="2037" spans="1:33" ht="6" customHeight="1" x14ac:dyDescent="0.4">
      <c r="A2037" s="4">
        <f>ROW()</f>
        <v>2037</v>
      </c>
      <c r="B2037" s="9" t="s">
        <v>27</v>
      </c>
      <c r="C2037" s="44" t="str">
        <f t="shared" si="987"/>
        <v>p.perfilar</v>
      </c>
      <c r="D2037" s="6" t="str">
        <f t="shared" si="963"/>
        <v>é.perfil.regular</v>
      </c>
      <c r="E2037" s="8" t="s">
        <v>28</v>
      </c>
      <c r="F2037" s="34" t="str">
        <f t="shared" si="988"/>
        <v>d.perfilar</v>
      </c>
      <c r="G2037" s="14" t="s">
        <v>857</v>
      </c>
      <c r="H2037" s="34" t="s">
        <v>1581</v>
      </c>
      <c r="I2037" s="92" t="str">
        <f t="shared" si="989"/>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74"/>
        <v>Propriedade destinada a perfilar: é.perfil.regular</v>
      </c>
      <c r="V2037" s="5" t="str">
        <f t="shared" si="975"/>
        <v>Dado para perfilar:  perfil.regular  Deve ser formatado como (rdfs:Literal  or  xsd:string)</v>
      </c>
      <c r="W2037" s="69" t="s">
        <v>6007</v>
      </c>
      <c r="X2037" s="17" t="str">
        <f t="shared" si="967"/>
        <v>d.perfi.109</v>
      </c>
      <c r="Y2037" s="17" t="str">
        <f t="shared" si="968"/>
        <v>Ação de perfilar</v>
      </c>
      <c r="Z2037" s="62" t="s">
        <v>4755</v>
      </c>
      <c r="AA2037" s="18" t="str">
        <f t="shared" si="965"/>
        <v>null</v>
      </c>
      <c r="AB2037" s="19" t="s">
        <v>0</v>
      </c>
      <c r="AC2037" s="18" t="str">
        <f t="shared" si="966"/>
        <v>null</v>
      </c>
      <c r="AD2037" s="19" t="s">
        <v>0</v>
      </c>
      <c r="AE2037" s="18" t="str">
        <f t="shared" si="964"/>
        <v>null</v>
      </c>
      <c r="AF2037" s="75" t="s">
        <v>0</v>
      </c>
      <c r="AG2037" s="38" t="s">
        <v>8965</v>
      </c>
    </row>
    <row r="2038" spans="1:33" ht="6" customHeight="1" x14ac:dyDescent="0.4">
      <c r="A2038" s="4">
        <f>ROW()</f>
        <v>2038</v>
      </c>
      <c r="B2038" s="9" t="s">
        <v>27</v>
      </c>
      <c r="C2038" s="44" t="str">
        <f t="shared" si="987"/>
        <v>p.perfilar</v>
      </c>
      <c r="D2038" s="6" t="str">
        <f t="shared" si="963"/>
        <v>é.perfil.retangular</v>
      </c>
      <c r="E2038" s="8" t="s">
        <v>28</v>
      </c>
      <c r="F2038" s="34" t="str">
        <f t="shared" si="988"/>
        <v>d.perfilar</v>
      </c>
      <c r="G2038" s="14" t="s">
        <v>858</v>
      </c>
      <c r="H2038" s="34" t="s">
        <v>1581</v>
      </c>
      <c r="I2038" s="92" t="str">
        <f t="shared" si="989"/>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74"/>
        <v>Propriedade destinada a perfilar: é.perfil.retangular</v>
      </c>
      <c r="V2038" s="5" t="str">
        <f t="shared" si="975"/>
        <v>Dado para perfilar:  perfil.retangular  Deve ser formatado como (rdfs:Literal  or  xsd:string)</v>
      </c>
      <c r="W2038" s="69" t="s">
        <v>6008</v>
      </c>
      <c r="X2038" s="17" t="str">
        <f t="shared" si="967"/>
        <v>d.perfi.110</v>
      </c>
      <c r="Y2038" s="17" t="str">
        <f t="shared" si="968"/>
        <v>Ação de perfilar</v>
      </c>
      <c r="Z2038" s="62" t="s">
        <v>2540</v>
      </c>
      <c r="AA2038" s="18" t="str">
        <f t="shared" si="965"/>
        <v>null</v>
      </c>
      <c r="AB2038" s="19" t="s">
        <v>0</v>
      </c>
      <c r="AC2038" s="18" t="str">
        <f t="shared" si="966"/>
        <v>null</v>
      </c>
      <c r="AD2038" s="19" t="s">
        <v>0</v>
      </c>
      <c r="AE2038" s="18" t="str">
        <f t="shared" si="964"/>
        <v>null</v>
      </c>
      <c r="AF2038" s="75" t="s">
        <v>0</v>
      </c>
      <c r="AG2038" s="38" t="s">
        <v>8966</v>
      </c>
    </row>
    <row r="2039" spans="1:33" ht="6" customHeight="1" x14ac:dyDescent="0.4">
      <c r="A2039" s="4">
        <f>ROW()</f>
        <v>2039</v>
      </c>
      <c r="B2039" s="9" t="s">
        <v>27</v>
      </c>
      <c r="C2039" s="44" t="str">
        <f t="shared" si="987"/>
        <v>p.perfilar</v>
      </c>
      <c r="D2039" s="6" t="str">
        <f t="shared" si="963"/>
        <v>é.módulo.do.período</v>
      </c>
      <c r="E2039" s="8" t="s">
        <v>28</v>
      </c>
      <c r="F2039" s="34" t="str">
        <f t="shared" si="988"/>
        <v>d.perfilar</v>
      </c>
      <c r="G2039" s="14" t="s">
        <v>859</v>
      </c>
      <c r="H2039" s="34" t="s">
        <v>1581</v>
      </c>
      <c r="I2039" s="92" t="str">
        <f t="shared" si="989"/>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74"/>
        <v>Propriedade destinada a perfilar: é.módulo.do.período</v>
      </c>
      <c r="V2039" s="5" t="str">
        <f t="shared" si="975"/>
        <v>Dado para perfilar:  módulo.do.período  Deve ser formatado como (rdfs:Literal  or  xsd:string)</v>
      </c>
      <c r="W2039" s="69" t="s">
        <v>6009</v>
      </c>
      <c r="X2039" s="17" t="str">
        <f t="shared" si="967"/>
        <v>d.perfi.111</v>
      </c>
      <c r="Y2039" s="17" t="str">
        <f t="shared" si="968"/>
        <v>Ação de perfilar</v>
      </c>
      <c r="Z2039" s="62" t="s">
        <v>4756</v>
      </c>
      <c r="AA2039" s="18" t="str">
        <f t="shared" si="965"/>
        <v>null</v>
      </c>
      <c r="AB2039" s="19" t="s">
        <v>0</v>
      </c>
      <c r="AC2039" s="18" t="str">
        <f t="shared" si="966"/>
        <v>null</v>
      </c>
      <c r="AD2039" s="19" t="s">
        <v>0</v>
      </c>
      <c r="AE2039" s="18" t="str">
        <f t="shared" si="964"/>
        <v>null</v>
      </c>
      <c r="AF2039" s="75" t="s">
        <v>0</v>
      </c>
      <c r="AG2039" s="38" t="s">
        <v>8967</v>
      </c>
    </row>
    <row r="2040" spans="1:33" ht="6" customHeight="1" x14ac:dyDescent="0.4">
      <c r="A2040" s="4">
        <f>ROW()</f>
        <v>2040</v>
      </c>
      <c r="B2040" s="9" t="s">
        <v>27</v>
      </c>
      <c r="C2040" s="44" t="str">
        <f t="shared" si="987"/>
        <v>p.perfilar</v>
      </c>
      <c r="D2040" s="6" t="str">
        <f t="shared" si="963"/>
        <v>é.ritmo</v>
      </c>
      <c r="E2040" s="8" t="s">
        <v>28</v>
      </c>
      <c r="F2040" s="34" t="str">
        <f t="shared" si="988"/>
        <v>d.perfilar</v>
      </c>
      <c r="G2040" s="14" t="s">
        <v>358</v>
      </c>
      <c r="H2040" s="34" t="s">
        <v>1581</v>
      </c>
      <c r="I2040" s="92" t="str">
        <f t="shared" si="989"/>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74"/>
        <v>Propriedade destinada a perfilar: é.ritmo</v>
      </c>
      <c r="V2040" s="5" t="str">
        <f t="shared" si="975"/>
        <v>Dado para perfilar:  ritmo  Deve ser formatado como (rdfs:Literal  or  xsd:string)</v>
      </c>
      <c r="W2040" s="69" t="s">
        <v>6010</v>
      </c>
      <c r="X2040" s="17" t="str">
        <f t="shared" si="967"/>
        <v>d.perfi.112</v>
      </c>
      <c r="Y2040" s="17" t="str">
        <f t="shared" si="968"/>
        <v>Ação de perfilar</v>
      </c>
      <c r="Z2040" s="62" t="s">
        <v>4834</v>
      </c>
      <c r="AA2040" s="18" t="str">
        <f t="shared" si="965"/>
        <v>null</v>
      </c>
      <c r="AB2040" s="19" t="s">
        <v>0</v>
      </c>
      <c r="AC2040" s="18" t="str">
        <f t="shared" si="966"/>
        <v>null</v>
      </c>
      <c r="AD2040" s="19" t="s">
        <v>0</v>
      </c>
      <c r="AE2040" s="18" t="str">
        <f t="shared" si="964"/>
        <v>null</v>
      </c>
      <c r="AF2040" s="75" t="s">
        <v>0</v>
      </c>
      <c r="AG2040" s="38" t="s">
        <v>8968</v>
      </c>
    </row>
    <row r="2041" spans="1:33" ht="6" customHeight="1" x14ac:dyDescent="0.4">
      <c r="A2041" s="4">
        <f>ROW()</f>
        <v>2041</v>
      </c>
      <c r="B2041" s="9" t="s">
        <v>27</v>
      </c>
      <c r="C2041" s="43" t="str">
        <f t="shared" si="987"/>
        <v>p.permitir</v>
      </c>
      <c r="D2041" s="6" t="str">
        <f t="shared" si="963"/>
        <v>é.permitida</v>
      </c>
      <c r="E2041" s="8" t="s">
        <v>28</v>
      </c>
      <c r="F2041" s="41" t="s">
        <v>2216</v>
      </c>
      <c r="G2041" s="13" t="s">
        <v>273</v>
      </c>
      <c r="H2041" s="34" t="s">
        <v>36</v>
      </c>
      <c r="I2041" s="92" t="str">
        <f t="shared" si="989"/>
        <v>null</v>
      </c>
      <c r="J2041" s="80" t="s">
        <v>0</v>
      </c>
      <c r="K2041" s="80" t="s">
        <v>0</v>
      </c>
      <c r="L2041" s="80" t="s">
        <v>0</v>
      </c>
      <c r="M2041" s="80" t="s">
        <v>0</v>
      </c>
      <c r="N2041" s="80" t="s">
        <v>0</v>
      </c>
      <c r="O2041" s="80" t="s">
        <v>0</v>
      </c>
      <c r="P2041" s="80" t="s">
        <v>0</v>
      </c>
      <c r="Q2041" s="80" t="s">
        <v>860</v>
      </c>
      <c r="R2041" s="84" t="s">
        <v>861</v>
      </c>
      <c r="S2041" s="10" t="s">
        <v>1</v>
      </c>
      <c r="T2041" s="10" t="s">
        <v>10221</v>
      </c>
      <c r="U2041" s="5" t="str">
        <f t="shared" si="974"/>
        <v>Propriedade destinada a permitir: é.permitida</v>
      </c>
      <c r="V2041" s="5" t="str">
        <f t="shared" si="975"/>
        <v>Dado para permitir:  permitida  Deve ser formatado como (xsd:boolean)</v>
      </c>
      <c r="W2041" s="69" t="s">
        <v>6011</v>
      </c>
      <c r="X2041" s="17" t="str">
        <f t="shared" si="967"/>
        <v>d.permi.100</v>
      </c>
      <c r="Y2041" s="17" t="str">
        <f t="shared" si="968"/>
        <v>Ação de permitir</v>
      </c>
      <c r="Z2041" s="62" t="s">
        <v>4560</v>
      </c>
      <c r="AA2041" s="18" t="str">
        <f t="shared" si="965"/>
        <v>null</v>
      </c>
      <c r="AB2041" s="19" t="s">
        <v>0</v>
      </c>
      <c r="AC2041" s="18" t="str">
        <f t="shared" si="966"/>
        <v>null</v>
      </c>
      <c r="AD2041" s="19" t="s">
        <v>0</v>
      </c>
      <c r="AE2041" s="18" t="str">
        <f t="shared" si="964"/>
        <v>null</v>
      </c>
      <c r="AF2041" s="75" t="s">
        <v>0</v>
      </c>
      <c r="AG2041" s="38" t="s">
        <v>8969</v>
      </c>
    </row>
    <row r="2042" spans="1:33" ht="6" customHeight="1" x14ac:dyDescent="0.4">
      <c r="A2042" s="4">
        <f>ROW()</f>
        <v>2042</v>
      </c>
      <c r="B2042" s="9" t="s">
        <v>27</v>
      </c>
      <c r="C2042" s="44" t="str">
        <f t="shared" si="987"/>
        <v>p.permitir</v>
      </c>
      <c r="D2042" s="6" t="str">
        <f t="shared" si="963"/>
        <v>é.proibida</v>
      </c>
      <c r="E2042" s="8" t="s">
        <v>28</v>
      </c>
      <c r="F2042" s="34" t="str">
        <f t="shared" ref="F2042:F2060" si="990">F2041</f>
        <v>d.permitir</v>
      </c>
      <c r="G2042" s="13" t="s">
        <v>274</v>
      </c>
      <c r="H2042" s="34" t="s">
        <v>36</v>
      </c>
      <c r="I2042" s="92" t="str">
        <f t="shared" si="989"/>
        <v>null</v>
      </c>
      <c r="J2042" s="80" t="s">
        <v>0</v>
      </c>
      <c r="K2042" s="80" t="s">
        <v>0</v>
      </c>
      <c r="L2042" s="80" t="s">
        <v>0</v>
      </c>
      <c r="M2042" s="80" t="s">
        <v>0</v>
      </c>
      <c r="N2042" s="80" t="s">
        <v>0</v>
      </c>
      <c r="O2042" s="80" t="s">
        <v>0</v>
      </c>
      <c r="P2042" s="80" t="s">
        <v>0</v>
      </c>
      <c r="Q2042" s="80" t="s">
        <v>0</v>
      </c>
      <c r="R2042" s="84" t="s">
        <v>0</v>
      </c>
      <c r="S2042" s="10" t="s">
        <v>1</v>
      </c>
      <c r="T2042" s="10" t="s">
        <v>10221</v>
      </c>
      <c r="U2042" s="5" t="str">
        <f t="shared" si="974"/>
        <v>Propriedade destinada a permitir: é.proibida</v>
      </c>
      <c r="V2042" s="5" t="str">
        <f t="shared" si="975"/>
        <v>Dado para permitir:  proibida  Deve ser formatado como (xsd:boolean)</v>
      </c>
      <c r="W2042" s="69" t="s">
        <v>6012</v>
      </c>
      <c r="X2042" s="17" t="str">
        <f t="shared" si="967"/>
        <v>d.permi.101</v>
      </c>
      <c r="Y2042" s="17" t="str">
        <f t="shared" si="968"/>
        <v>Ação de permitir</v>
      </c>
      <c r="Z2042" s="62" t="s">
        <v>4561</v>
      </c>
      <c r="AA2042" s="18" t="str">
        <f t="shared" si="965"/>
        <v>null</v>
      </c>
      <c r="AB2042" s="19" t="s">
        <v>0</v>
      </c>
      <c r="AC2042" s="18" t="str">
        <f t="shared" si="966"/>
        <v>null</v>
      </c>
      <c r="AD2042" s="19" t="s">
        <v>0</v>
      </c>
      <c r="AE2042" s="18" t="str">
        <f t="shared" si="964"/>
        <v>null</v>
      </c>
      <c r="AF2042" s="75" t="s">
        <v>0</v>
      </c>
      <c r="AG2042" s="38" t="s">
        <v>8970</v>
      </c>
    </row>
    <row r="2043" spans="1:33" ht="6" customHeight="1" x14ac:dyDescent="0.4">
      <c r="A2043" s="4">
        <f>ROW()</f>
        <v>2043</v>
      </c>
      <c r="B2043" s="9" t="s">
        <v>27</v>
      </c>
      <c r="C2043" s="44" t="str">
        <f t="shared" si="987"/>
        <v>p.permitir</v>
      </c>
      <c r="D2043" s="6" t="str">
        <f t="shared" si="963"/>
        <v>é.autorizada</v>
      </c>
      <c r="E2043" s="8" t="s">
        <v>28</v>
      </c>
      <c r="F2043" s="34" t="str">
        <f t="shared" si="990"/>
        <v>d.permitir</v>
      </c>
      <c r="G2043" s="13" t="s">
        <v>275</v>
      </c>
      <c r="H2043" s="34" t="s">
        <v>36</v>
      </c>
      <c r="I2043" s="92" t="str">
        <f t="shared" si="989"/>
        <v>null</v>
      </c>
      <c r="J2043" s="80" t="s">
        <v>0</v>
      </c>
      <c r="K2043" s="80" t="s">
        <v>0</v>
      </c>
      <c r="L2043" s="80" t="s">
        <v>0</v>
      </c>
      <c r="M2043" s="80" t="s">
        <v>0</v>
      </c>
      <c r="N2043" s="80" t="s">
        <v>0</v>
      </c>
      <c r="O2043" s="80" t="s">
        <v>0</v>
      </c>
      <c r="P2043" s="80" t="s">
        <v>0</v>
      </c>
      <c r="Q2043" s="80" t="s">
        <v>0</v>
      </c>
      <c r="R2043" s="84" t="s">
        <v>0</v>
      </c>
      <c r="S2043" s="10" t="s">
        <v>1</v>
      </c>
      <c r="T2043" s="10" t="s">
        <v>10221</v>
      </c>
      <c r="U2043" s="5" t="str">
        <f t="shared" si="974"/>
        <v>Propriedade destinada a permitir: é.autorizada</v>
      </c>
      <c r="V2043" s="5" t="str">
        <f t="shared" si="975"/>
        <v>Dado para permitir:  autorizada  Deve ser formatado como (xsd:boolean)</v>
      </c>
      <c r="W2043" s="69" t="s">
        <v>6013</v>
      </c>
      <c r="X2043" s="17" t="str">
        <f t="shared" si="967"/>
        <v>d.permi.102</v>
      </c>
      <c r="Y2043" s="17" t="str">
        <f t="shared" si="968"/>
        <v>Ação de permitir</v>
      </c>
      <c r="Z2043" s="62" t="s">
        <v>4562</v>
      </c>
      <c r="AA2043" s="18" t="str">
        <f t="shared" si="965"/>
        <v>null</v>
      </c>
      <c r="AB2043" s="19" t="s">
        <v>0</v>
      </c>
      <c r="AC2043" s="18" t="str">
        <f t="shared" si="966"/>
        <v>null</v>
      </c>
      <c r="AD2043" s="19" t="s">
        <v>0</v>
      </c>
      <c r="AE2043" s="18" t="str">
        <f t="shared" si="964"/>
        <v>null</v>
      </c>
      <c r="AF2043" s="75" t="s">
        <v>0</v>
      </c>
      <c r="AG2043" s="38" t="s">
        <v>8971</v>
      </c>
    </row>
    <row r="2044" spans="1:33" ht="6" customHeight="1" x14ac:dyDescent="0.4">
      <c r="A2044" s="4">
        <f>ROW()</f>
        <v>2044</v>
      </c>
      <c r="B2044" s="9" t="s">
        <v>27</v>
      </c>
      <c r="C2044" s="44" t="str">
        <f t="shared" si="987"/>
        <v>p.permitir</v>
      </c>
      <c r="D2044" s="6" t="str">
        <f t="shared" si="963"/>
        <v>é.homologada</v>
      </c>
      <c r="E2044" s="8" t="s">
        <v>28</v>
      </c>
      <c r="F2044" s="34" t="str">
        <f t="shared" si="990"/>
        <v>d.permitir</v>
      </c>
      <c r="G2044" s="14" t="s">
        <v>276</v>
      </c>
      <c r="H2044" s="34" t="s">
        <v>36</v>
      </c>
      <c r="I2044" s="92" t="str">
        <f t="shared" si="989"/>
        <v>null</v>
      </c>
      <c r="J2044" s="82" t="s">
        <v>0</v>
      </c>
      <c r="K2044" s="82" t="s">
        <v>0</v>
      </c>
      <c r="L2044" s="82" t="s">
        <v>0</v>
      </c>
      <c r="M2044" s="82" t="s">
        <v>0</v>
      </c>
      <c r="N2044" s="80" t="s">
        <v>0</v>
      </c>
      <c r="O2044" s="82" t="s">
        <v>0</v>
      </c>
      <c r="P2044" s="82" t="s">
        <v>0</v>
      </c>
      <c r="Q2044" s="82" t="s">
        <v>0</v>
      </c>
      <c r="R2044" s="84" t="s">
        <v>1143</v>
      </c>
      <c r="S2044" s="10" t="s">
        <v>1</v>
      </c>
      <c r="T2044" s="10" t="s">
        <v>10221</v>
      </c>
      <c r="U2044" s="5" t="str">
        <f t="shared" si="974"/>
        <v>Propriedade destinada a permitir: é.homologada</v>
      </c>
      <c r="V2044" s="5" t="str">
        <f t="shared" si="975"/>
        <v>Dado para permitir:  homologada  Deve ser formatado como (xsd:boolean)</v>
      </c>
      <c r="W2044" s="69" t="s">
        <v>6014</v>
      </c>
      <c r="X2044" s="17" t="str">
        <f t="shared" si="967"/>
        <v>d.permi.103</v>
      </c>
      <c r="Y2044" s="17" t="str">
        <f t="shared" si="968"/>
        <v>Ação de permitir</v>
      </c>
      <c r="Z2044" s="62" t="s">
        <v>4563</v>
      </c>
      <c r="AA2044" s="18" t="str">
        <f t="shared" si="965"/>
        <v>null</v>
      </c>
      <c r="AB2044" s="19" t="s">
        <v>0</v>
      </c>
      <c r="AC2044" s="18" t="str">
        <f t="shared" si="966"/>
        <v>null</v>
      </c>
      <c r="AD2044" s="19" t="s">
        <v>0</v>
      </c>
      <c r="AE2044" s="18" t="str">
        <f t="shared" si="964"/>
        <v>null</v>
      </c>
      <c r="AF2044" s="75" t="s">
        <v>0</v>
      </c>
      <c r="AG2044" s="38" t="s">
        <v>8972</v>
      </c>
    </row>
    <row r="2045" spans="1:33" ht="6" customHeight="1" x14ac:dyDescent="0.4">
      <c r="A2045" s="4">
        <f>ROW()</f>
        <v>2045</v>
      </c>
      <c r="B2045" s="9" t="s">
        <v>27</v>
      </c>
      <c r="C2045" s="44" t="str">
        <f t="shared" si="987"/>
        <v>p.permitir</v>
      </c>
      <c r="D2045" s="6" t="str">
        <f t="shared" si="963"/>
        <v>é.habilitado.para</v>
      </c>
      <c r="E2045" s="8" t="s">
        <v>28</v>
      </c>
      <c r="F2045" s="34" t="str">
        <f t="shared" si="990"/>
        <v>d.permitir</v>
      </c>
      <c r="G2045" s="14" t="s">
        <v>1483</v>
      </c>
      <c r="H2045" s="34" t="s">
        <v>1581</v>
      </c>
      <c r="I2045" s="92" t="str">
        <f t="shared" si="989"/>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74"/>
        <v>Propriedade destinada a permitir: é.habilitado.para</v>
      </c>
      <c r="V2045" s="5" t="str">
        <f t="shared" si="975"/>
        <v>Dado para permitir:  habilitado.para  Deve ser formatado como (rdfs:Literal  or  xsd:string)</v>
      </c>
      <c r="W2045" s="69" t="s">
        <v>6015</v>
      </c>
      <c r="X2045" s="17" t="str">
        <f t="shared" si="967"/>
        <v>d.permi.104</v>
      </c>
      <c r="Y2045" s="17" t="str">
        <f t="shared" si="968"/>
        <v>Ação de permitir</v>
      </c>
      <c r="Z2045" s="62" t="s">
        <v>4804</v>
      </c>
      <c r="AA2045" s="18" t="str">
        <f t="shared" si="965"/>
        <v>null</v>
      </c>
      <c r="AB2045" s="19" t="s">
        <v>0</v>
      </c>
      <c r="AC2045" s="18" t="str">
        <f t="shared" si="966"/>
        <v>null</v>
      </c>
      <c r="AD2045" s="19" t="s">
        <v>0</v>
      </c>
      <c r="AE2045" s="18" t="str">
        <f t="shared" si="964"/>
        <v>null</v>
      </c>
      <c r="AF2045" s="75" t="s">
        <v>0</v>
      </c>
      <c r="AG2045" s="38" t="s">
        <v>8973</v>
      </c>
    </row>
    <row r="2046" spans="1:33" ht="6" customHeight="1" x14ac:dyDescent="0.4">
      <c r="A2046" s="4">
        <f>ROW()</f>
        <v>2046</v>
      </c>
      <c r="B2046" s="9" t="s">
        <v>27</v>
      </c>
      <c r="C2046" s="44" t="str">
        <f t="shared" si="987"/>
        <v>p.permitir</v>
      </c>
      <c r="D2046" s="6" t="str">
        <f t="shared" si="963"/>
        <v>é.ativa</v>
      </c>
      <c r="E2046" s="8" t="s">
        <v>28</v>
      </c>
      <c r="F2046" s="34" t="str">
        <f t="shared" si="990"/>
        <v>d.permitir</v>
      </c>
      <c r="G2046" s="14" t="s">
        <v>270</v>
      </c>
      <c r="H2046" s="34" t="s">
        <v>36</v>
      </c>
      <c r="I2046" s="92" t="str">
        <f t="shared" si="989"/>
        <v>null</v>
      </c>
      <c r="J2046" s="82" t="s">
        <v>0</v>
      </c>
      <c r="K2046" s="82" t="s">
        <v>0</v>
      </c>
      <c r="L2046" s="82" t="s">
        <v>0</v>
      </c>
      <c r="M2046" s="82" t="s">
        <v>0</v>
      </c>
      <c r="N2046" s="80" t="s">
        <v>0</v>
      </c>
      <c r="O2046" s="82" t="s">
        <v>0</v>
      </c>
      <c r="P2046" s="82" t="s">
        <v>0</v>
      </c>
      <c r="Q2046" s="82" t="s">
        <v>862</v>
      </c>
      <c r="R2046" s="84" t="s">
        <v>0</v>
      </c>
      <c r="S2046" s="10" t="s">
        <v>1</v>
      </c>
      <c r="T2046" s="10" t="s">
        <v>10221</v>
      </c>
      <c r="U2046" s="5" t="str">
        <f t="shared" si="974"/>
        <v>Propriedade destinada a permitir: é.ativa</v>
      </c>
      <c r="V2046" s="5" t="str">
        <f t="shared" si="975"/>
        <v>Dado para permitir:  ativa  Deve ser formatado como (xsd:boolean)</v>
      </c>
      <c r="W2046" s="69" t="s">
        <v>6016</v>
      </c>
      <c r="X2046" s="17" t="str">
        <f t="shared" si="967"/>
        <v>d.permi.105</v>
      </c>
      <c r="Y2046" s="17" t="str">
        <f t="shared" si="968"/>
        <v>Ação de permitir</v>
      </c>
      <c r="Z2046" s="62" t="s">
        <v>4564</v>
      </c>
      <c r="AA2046" s="18" t="str">
        <f t="shared" si="965"/>
        <v>null</v>
      </c>
      <c r="AB2046" s="19" t="s">
        <v>0</v>
      </c>
      <c r="AC2046" s="18" t="str">
        <f t="shared" si="966"/>
        <v>null</v>
      </c>
      <c r="AD2046" s="19" t="s">
        <v>0</v>
      </c>
      <c r="AE2046" s="18" t="str">
        <f t="shared" si="964"/>
        <v>null</v>
      </c>
      <c r="AF2046" s="75" t="s">
        <v>0</v>
      </c>
      <c r="AG2046" s="38" t="s">
        <v>8974</v>
      </c>
    </row>
    <row r="2047" spans="1:33" ht="6" customHeight="1" x14ac:dyDescent="0.4">
      <c r="A2047" s="4">
        <f>ROW()</f>
        <v>2047</v>
      </c>
      <c r="B2047" s="9" t="s">
        <v>27</v>
      </c>
      <c r="C2047" s="44" t="str">
        <f t="shared" si="987"/>
        <v>p.permitir</v>
      </c>
      <c r="D2047" s="6" t="str">
        <f t="shared" ref="D2047:D2119" si="991">_xlfn.CONCAT("é.",G2047)</f>
        <v>é.concedida</v>
      </c>
      <c r="E2047" s="8" t="s">
        <v>28</v>
      </c>
      <c r="F2047" s="34" t="str">
        <f t="shared" si="990"/>
        <v>d.permitir</v>
      </c>
      <c r="G2047" s="14" t="s">
        <v>277</v>
      </c>
      <c r="H2047" s="34" t="s">
        <v>36</v>
      </c>
      <c r="I2047" s="92" t="str">
        <f t="shared" si="989"/>
        <v>null</v>
      </c>
      <c r="J2047" s="82" t="s">
        <v>0</v>
      </c>
      <c r="K2047" s="82" t="s">
        <v>0</v>
      </c>
      <c r="L2047" s="82" t="s">
        <v>0</v>
      </c>
      <c r="M2047" s="82" t="s">
        <v>0</v>
      </c>
      <c r="N2047" s="80" t="s">
        <v>0</v>
      </c>
      <c r="O2047" s="82" t="s">
        <v>0</v>
      </c>
      <c r="P2047" s="82" t="s">
        <v>0</v>
      </c>
      <c r="Q2047" s="82" t="s">
        <v>0</v>
      </c>
      <c r="R2047" s="84" t="s">
        <v>861</v>
      </c>
      <c r="S2047" s="10" t="s">
        <v>1</v>
      </c>
      <c r="T2047" s="10" t="s">
        <v>10221</v>
      </c>
      <c r="U2047" s="5" t="str">
        <f t="shared" si="974"/>
        <v>Propriedade destinada a permitir: é.concedida</v>
      </c>
      <c r="V2047" s="5" t="str">
        <f t="shared" si="975"/>
        <v>Dado para permitir:  concedida  Deve ser formatado como (xsd:boolean)</v>
      </c>
      <c r="W2047" s="69" t="s">
        <v>6017</v>
      </c>
      <c r="X2047" s="17" t="str">
        <f t="shared" si="967"/>
        <v>d.permi.106</v>
      </c>
      <c r="Y2047" s="17" t="str">
        <f t="shared" si="968"/>
        <v>Ação de permitir</v>
      </c>
      <c r="Z2047" s="62" t="s">
        <v>4565</v>
      </c>
      <c r="AA2047" s="18" t="str">
        <f t="shared" si="965"/>
        <v>null</v>
      </c>
      <c r="AB2047" s="19" t="s">
        <v>0</v>
      </c>
      <c r="AC2047" s="18" t="str">
        <f t="shared" si="966"/>
        <v>null</v>
      </c>
      <c r="AD2047" s="19" t="s">
        <v>0</v>
      </c>
      <c r="AE2047" s="18" t="str">
        <f t="shared" ref="AE2047:AE2109" si="992">IF(AF2047="null", "null", "propriedade")</f>
        <v>null</v>
      </c>
      <c r="AF2047" s="75" t="s">
        <v>0</v>
      </c>
      <c r="AG2047" s="38" t="s">
        <v>8975</v>
      </c>
    </row>
    <row r="2048" spans="1:33" ht="6" customHeight="1" x14ac:dyDescent="0.4">
      <c r="A2048" s="4">
        <f>ROW()</f>
        <v>2048</v>
      </c>
      <c r="B2048" s="9" t="s">
        <v>27</v>
      </c>
      <c r="C2048" s="44" t="str">
        <f t="shared" si="987"/>
        <v>p.permitir</v>
      </c>
      <c r="D2048" s="6" t="str">
        <f t="shared" si="991"/>
        <v>é.pendente</v>
      </c>
      <c r="E2048" s="8" t="s">
        <v>28</v>
      </c>
      <c r="F2048" s="34" t="str">
        <f t="shared" si="990"/>
        <v>d.permitir</v>
      </c>
      <c r="G2048" s="14" t="s">
        <v>269</v>
      </c>
      <c r="H2048" s="34" t="s">
        <v>36</v>
      </c>
      <c r="I2048" s="92" t="str">
        <f t="shared" si="989"/>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74"/>
        <v>Propriedade destinada a permitir: é.pendente</v>
      </c>
      <c r="V2048" s="5" t="str">
        <f t="shared" si="975"/>
        <v>Dado para permitir:  pendente  Deve ser formatado como (xsd:boolean)</v>
      </c>
      <c r="W2048" s="69" t="s">
        <v>6018</v>
      </c>
      <c r="X2048" s="17" t="str">
        <f t="shared" si="967"/>
        <v>d.permi.107</v>
      </c>
      <c r="Y2048" s="17" t="str">
        <f t="shared" si="968"/>
        <v>Ação de permitir</v>
      </c>
      <c r="Z2048" s="62" t="s">
        <v>4566</v>
      </c>
      <c r="AA2048" s="18" t="str">
        <f t="shared" si="965"/>
        <v>null</v>
      </c>
      <c r="AB2048" s="19" t="s">
        <v>0</v>
      </c>
      <c r="AC2048" s="18" t="str">
        <f t="shared" si="966"/>
        <v>null</v>
      </c>
      <c r="AD2048" s="19" t="s">
        <v>0</v>
      </c>
      <c r="AE2048" s="18" t="str">
        <f t="shared" si="992"/>
        <v>null</v>
      </c>
      <c r="AF2048" s="75" t="s">
        <v>0</v>
      </c>
      <c r="AG2048" s="38" t="s">
        <v>8976</v>
      </c>
    </row>
    <row r="2049" spans="1:33" ht="6" customHeight="1" x14ac:dyDescent="0.4">
      <c r="A2049" s="4">
        <f>ROW()</f>
        <v>2049</v>
      </c>
      <c r="B2049" s="9" t="s">
        <v>27</v>
      </c>
      <c r="C2049" s="44" t="str">
        <f t="shared" si="987"/>
        <v>p.permitir</v>
      </c>
      <c r="D2049" s="6" t="str">
        <f t="shared" si="991"/>
        <v>é.suspensa</v>
      </c>
      <c r="E2049" s="8" t="s">
        <v>28</v>
      </c>
      <c r="F2049" s="34" t="str">
        <f t="shared" si="990"/>
        <v>d.permitir</v>
      </c>
      <c r="G2049" s="14" t="s">
        <v>278</v>
      </c>
      <c r="H2049" s="34" t="s">
        <v>36</v>
      </c>
      <c r="I2049" s="92" t="str">
        <f t="shared" si="989"/>
        <v>null</v>
      </c>
      <c r="J2049" s="82" t="s">
        <v>0</v>
      </c>
      <c r="K2049" s="82" t="s">
        <v>0</v>
      </c>
      <c r="L2049" s="82" t="s">
        <v>0</v>
      </c>
      <c r="M2049" s="82" t="s">
        <v>0</v>
      </c>
      <c r="N2049" s="80" t="s">
        <v>0</v>
      </c>
      <c r="O2049" s="82" t="s">
        <v>0</v>
      </c>
      <c r="P2049" s="82" t="s">
        <v>0</v>
      </c>
      <c r="Q2049" s="82" t="s">
        <v>0</v>
      </c>
      <c r="R2049" s="84" t="s">
        <v>0</v>
      </c>
      <c r="S2049" s="10" t="s">
        <v>1</v>
      </c>
      <c r="T2049" s="10" t="s">
        <v>10221</v>
      </c>
      <c r="U2049" s="5" t="str">
        <f t="shared" si="974"/>
        <v>Propriedade destinada a permitir: é.suspensa</v>
      </c>
      <c r="V2049" s="5" t="str">
        <f t="shared" si="975"/>
        <v>Dado para permitir:  suspensa  Deve ser formatado como (xsd:boolean)</v>
      </c>
      <c r="W2049" s="69" t="s">
        <v>6019</v>
      </c>
      <c r="X2049" s="17" t="str">
        <f t="shared" si="967"/>
        <v>d.permi.108</v>
      </c>
      <c r="Y2049" s="17" t="str">
        <f t="shared" si="968"/>
        <v>Ação de permitir</v>
      </c>
      <c r="Z2049" s="62" t="s">
        <v>4567</v>
      </c>
      <c r="AA2049" s="18" t="str">
        <f t="shared" si="965"/>
        <v>null</v>
      </c>
      <c r="AB2049" s="19" t="s">
        <v>0</v>
      </c>
      <c r="AC2049" s="18" t="str">
        <f t="shared" si="966"/>
        <v>null</v>
      </c>
      <c r="AD2049" s="19" t="s">
        <v>0</v>
      </c>
      <c r="AE2049" s="18" t="str">
        <f t="shared" si="992"/>
        <v>null</v>
      </c>
      <c r="AF2049" s="75" t="s">
        <v>0</v>
      </c>
      <c r="AG2049" s="38" t="s">
        <v>8977</v>
      </c>
    </row>
    <row r="2050" spans="1:33" ht="6" customHeight="1" x14ac:dyDescent="0.4">
      <c r="A2050" s="4">
        <f>ROW()</f>
        <v>2050</v>
      </c>
      <c r="B2050" s="9" t="s">
        <v>27</v>
      </c>
      <c r="C2050" s="44" t="str">
        <f t="shared" si="987"/>
        <v>p.permitir</v>
      </c>
      <c r="D2050" s="6" t="str">
        <f t="shared" si="991"/>
        <v>é.expirada</v>
      </c>
      <c r="E2050" s="8" t="s">
        <v>28</v>
      </c>
      <c r="F2050" s="34" t="str">
        <f t="shared" si="990"/>
        <v>d.permitir</v>
      </c>
      <c r="G2050" s="14" t="s">
        <v>271</v>
      </c>
      <c r="H2050" s="34" t="s">
        <v>36</v>
      </c>
      <c r="I2050" s="92" t="str">
        <f t="shared" si="989"/>
        <v>null</v>
      </c>
      <c r="J2050" s="82" t="s">
        <v>0</v>
      </c>
      <c r="K2050" s="82" t="s">
        <v>0</v>
      </c>
      <c r="L2050" s="82" t="s">
        <v>0</v>
      </c>
      <c r="M2050" s="82" t="s">
        <v>0</v>
      </c>
      <c r="N2050" s="80" t="s">
        <v>0</v>
      </c>
      <c r="O2050" s="82" t="s">
        <v>0</v>
      </c>
      <c r="P2050" s="82" t="s">
        <v>0</v>
      </c>
      <c r="Q2050" s="82" t="s">
        <v>0</v>
      </c>
      <c r="R2050" s="84" t="s">
        <v>0</v>
      </c>
      <c r="S2050" s="10" t="s">
        <v>1</v>
      </c>
      <c r="T2050" s="10" t="s">
        <v>10221</v>
      </c>
      <c r="U2050" s="5" t="str">
        <f t="shared" si="974"/>
        <v>Propriedade destinada a permitir: é.expirada</v>
      </c>
      <c r="V2050" s="5" t="str">
        <f t="shared" si="975"/>
        <v>Dado para permitir:  expirada  Deve ser formatado como (xsd:boolean)</v>
      </c>
      <c r="W2050" s="69" t="s">
        <v>6020</v>
      </c>
      <c r="X2050" s="17" t="str">
        <f t="shared" si="967"/>
        <v>d.permi.109</v>
      </c>
      <c r="Y2050" s="17" t="str">
        <f t="shared" si="968"/>
        <v>Ação de permitir</v>
      </c>
      <c r="Z2050" s="62" t="s">
        <v>4568</v>
      </c>
      <c r="AA2050" s="18" t="str">
        <f t="shared" si="965"/>
        <v>null</v>
      </c>
      <c r="AB2050" s="19" t="s">
        <v>0</v>
      </c>
      <c r="AC2050" s="18" t="str">
        <f t="shared" si="966"/>
        <v>null</v>
      </c>
      <c r="AD2050" s="19" t="s">
        <v>0</v>
      </c>
      <c r="AE2050" s="18" t="str">
        <f t="shared" si="992"/>
        <v>null</v>
      </c>
      <c r="AF2050" s="75" t="s">
        <v>0</v>
      </c>
      <c r="AG2050" s="38" t="s">
        <v>8978</v>
      </c>
    </row>
    <row r="2051" spans="1:33" ht="6" customHeight="1" x14ac:dyDescent="0.4">
      <c r="A2051" s="4">
        <f>ROW()</f>
        <v>2051</v>
      </c>
      <c r="B2051" s="9" t="s">
        <v>27</v>
      </c>
      <c r="C2051" s="44" t="str">
        <f t="shared" si="987"/>
        <v>p.permitir</v>
      </c>
      <c r="D2051" s="6" t="str">
        <f t="shared" si="991"/>
        <v>é.deferida</v>
      </c>
      <c r="E2051" s="8" t="s">
        <v>28</v>
      </c>
      <c r="F2051" s="34" t="str">
        <f t="shared" si="990"/>
        <v>d.permitir</v>
      </c>
      <c r="G2051" s="14" t="s">
        <v>1067</v>
      </c>
      <c r="H2051" s="34" t="s">
        <v>36</v>
      </c>
      <c r="I2051" s="92" t="str">
        <f t="shared" si="989"/>
        <v>null</v>
      </c>
      <c r="J2051" s="82" t="s">
        <v>0</v>
      </c>
      <c r="K2051" s="82" t="s">
        <v>0</v>
      </c>
      <c r="L2051" s="82" t="s">
        <v>0</v>
      </c>
      <c r="M2051" s="82" t="s">
        <v>0</v>
      </c>
      <c r="N2051" s="80" t="s">
        <v>0</v>
      </c>
      <c r="O2051" s="82" t="s">
        <v>0</v>
      </c>
      <c r="P2051" s="82" t="s">
        <v>0</v>
      </c>
      <c r="Q2051" s="82" t="s">
        <v>1068</v>
      </c>
      <c r="R2051" s="84" t="s">
        <v>861</v>
      </c>
      <c r="S2051" s="10" t="s">
        <v>1</v>
      </c>
      <c r="T2051" s="10" t="s">
        <v>10221</v>
      </c>
      <c r="U2051" s="5" t="str">
        <f t="shared" si="974"/>
        <v>Propriedade destinada a permitir: é.deferida</v>
      </c>
      <c r="V2051" s="5" t="str">
        <f t="shared" si="975"/>
        <v>Dado para permitir:  deferida  Deve ser formatado como (xsd:boolean)</v>
      </c>
      <c r="W2051" s="69" t="s">
        <v>6021</v>
      </c>
      <c r="X2051" s="17" t="str">
        <f t="shared" ref="X2051:X2114" si="993">IF(F2050&lt;&gt;F2051,_xlfn.CONCAT(RIGHT(LEFT(F2051,7),7),".100"),_xlfn.CONCAT(RIGHT(LEFT(F2051,7),7),".",SUM(VALUE(RIGHT(X2050,3)),1)))</f>
        <v>d.permi.110</v>
      </c>
      <c r="Y2051" s="17" t="str">
        <f t="shared" ref="Y2051:Y2114" si="994">_xlfn.CONCAT("Ação de ", SUBSTITUTE(F2051, "d.",  ""))</f>
        <v>Ação de permitir</v>
      </c>
      <c r="Z2051" s="62" t="s">
        <v>4569</v>
      </c>
      <c r="AA2051" s="18" t="str">
        <f t="shared" si="965"/>
        <v>null</v>
      </c>
      <c r="AB2051" s="19" t="s">
        <v>0</v>
      </c>
      <c r="AC2051" s="18" t="str">
        <f t="shared" si="966"/>
        <v>null</v>
      </c>
      <c r="AD2051" s="19" t="s">
        <v>0</v>
      </c>
      <c r="AE2051" s="18" t="str">
        <f t="shared" si="992"/>
        <v>null</v>
      </c>
      <c r="AF2051" s="75" t="s">
        <v>0</v>
      </c>
      <c r="AG2051" s="38" t="s">
        <v>8979</v>
      </c>
    </row>
    <row r="2052" spans="1:33" ht="6" customHeight="1" x14ac:dyDescent="0.4">
      <c r="A2052" s="4">
        <f>ROW()</f>
        <v>2052</v>
      </c>
      <c r="B2052" s="9" t="s">
        <v>27</v>
      </c>
      <c r="C2052" s="44" t="str">
        <f t="shared" si="987"/>
        <v>p.permitir</v>
      </c>
      <c r="D2052" s="6" t="str">
        <f t="shared" si="991"/>
        <v>é.rejeitada</v>
      </c>
      <c r="E2052" s="8" t="s">
        <v>28</v>
      </c>
      <c r="F2052" s="34" t="str">
        <f t="shared" si="990"/>
        <v>d.permitir</v>
      </c>
      <c r="G2052" s="14" t="s">
        <v>280</v>
      </c>
      <c r="H2052" s="34" t="s">
        <v>36</v>
      </c>
      <c r="I2052" s="92" t="str">
        <f t="shared" si="989"/>
        <v>null</v>
      </c>
      <c r="J2052" s="82" t="s">
        <v>0</v>
      </c>
      <c r="K2052" s="82" t="s">
        <v>0</v>
      </c>
      <c r="L2052" s="82" t="s">
        <v>0</v>
      </c>
      <c r="M2052" s="82" t="s">
        <v>0</v>
      </c>
      <c r="N2052" s="80" t="s">
        <v>0</v>
      </c>
      <c r="O2052" s="82" t="s">
        <v>0</v>
      </c>
      <c r="P2052" s="82" t="s">
        <v>0</v>
      </c>
      <c r="Q2052" s="80" t="s">
        <v>861</v>
      </c>
      <c r="R2052" s="84" t="s">
        <v>1068</v>
      </c>
      <c r="S2052" s="10" t="s">
        <v>1</v>
      </c>
      <c r="T2052" s="10" t="s">
        <v>10221</v>
      </c>
      <c r="U2052" s="5" t="str">
        <f t="shared" si="974"/>
        <v>Propriedade destinada a permitir: é.rejeitada</v>
      </c>
      <c r="V2052" s="5" t="str">
        <f t="shared" si="975"/>
        <v>Dado para permitir:  rejeitada  Deve ser formatado como (xsd:boolean)</v>
      </c>
      <c r="W2052" s="69" t="s">
        <v>6022</v>
      </c>
      <c r="X2052" s="17" t="str">
        <f t="shared" si="993"/>
        <v>d.permi.111</v>
      </c>
      <c r="Y2052" s="17" t="str">
        <f t="shared" si="994"/>
        <v>Ação de permitir</v>
      </c>
      <c r="Z2052" s="62" t="s">
        <v>4570</v>
      </c>
      <c r="AA2052" s="18" t="str">
        <f t="shared" si="965"/>
        <v>null</v>
      </c>
      <c r="AB2052" s="19" t="s">
        <v>0</v>
      </c>
      <c r="AC2052" s="18" t="str">
        <f t="shared" si="966"/>
        <v>null</v>
      </c>
      <c r="AD2052" s="19" t="s">
        <v>0</v>
      </c>
      <c r="AE2052" s="18" t="str">
        <f t="shared" si="992"/>
        <v>null</v>
      </c>
      <c r="AF2052" s="75" t="s">
        <v>0</v>
      </c>
      <c r="AG2052" s="38" t="s">
        <v>8980</v>
      </c>
    </row>
    <row r="2053" spans="1:33" ht="6" customHeight="1" x14ac:dyDescent="0.4">
      <c r="A2053" s="4">
        <f>ROW()</f>
        <v>2053</v>
      </c>
      <c r="B2053" s="9" t="s">
        <v>27</v>
      </c>
      <c r="C2053" s="44" t="str">
        <f t="shared" si="987"/>
        <v>p.permitir</v>
      </c>
      <c r="D2053" s="6" t="str">
        <f t="shared" si="991"/>
        <v>é.indeferida</v>
      </c>
      <c r="E2053" s="8" t="s">
        <v>28</v>
      </c>
      <c r="F2053" s="34" t="str">
        <f t="shared" si="990"/>
        <v>d.permitir</v>
      </c>
      <c r="G2053" s="14" t="s">
        <v>1069</v>
      </c>
      <c r="H2053" s="34" t="s">
        <v>36</v>
      </c>
      <c r="I2053" s="92" t="str">
        <f t="shared" si="989"/>
        <v>null</v>
      </c>
      <c r="J2053" s="82" t="s">
        <v>0</v>
      </c>
      <c r="K2053" s="82" t="s">
        <v>0</v>
      </c>
      <c r="L2053" s="82" t="s">
        <v>0</v>
      </c>
      <c r="M2053" s="82" t="s">
        <v>0</v>
      </c>
      <c r="N2053" s="80" t="s">
        <v>0</v>
      </c>
      <c r="O2053" s="82" t="s">
        <v>0</v>
      </c>
      <c r="P2053" s="82" t="s">
        <v>0</v>
      </c>
      <c r="Q2053" s="80" t="s">
        <v>861</v>
      </c>
      <c r="R2053" s="84" t="s">
        <v>0</v>
      </c>
      <c r="S2053" s="10" t="s">
        <v>1</v>
      </c>
      <c r="T2053" s="10" t="s">
        <v>10221</v>
      </c>
      <c r="U2053" s="5" t="str">
        <f t="shared" si="974"/>
        <v>Propriedade destinada a permitir: é.indeferida</v>
      </c>
      <c r="V2053" s="5" t="str">
        <f t="shared" si="975"/>
        <v>Dado para permitir:  indeferida  Deve ser formatado como (xsd:boolean)</v>
      </c>
      <c r="W2053" s="69" t="s">
        <v>6023</v>
      </c>
      <c r="X2053" s="17" t="str">
        <f t="shared" si="993"/>
        <v>d.permi.112</v>
      </c>
      <c r="Y2053" s="17" t="str">
        <f t="shared" si="994"/>
        <v>Ação de permitir</v>
      </c>
      <c r="Z2053" s="62" t="s">
        <v>4571</v>
      </c>
      <c r="AA2053" s="18" t="str">
        <f t="shared" ref="AA2053:AA2116" si="995">IF(AB2053="null", "null", "categoria.revit")</f>
        <v>null</v>
      </c>
      <c r="AB2053" s="19" t="s">
        <v>0</v>
      </c>
      <c r="AC2053" s="18" t="str">
        <f t="shared" ref="AC2053:AC2116" si="996">IF(AD2053="null", "null", "classe.ifc")</f>
        <v>null</v>
      </c>
      <c r="AD2053" s="19" t="s">
        <v>0</v>
      </c>
      <c r="AE2053" s="18" t="str">
        <f t="shared" si="992"/>
        <v>null</v>
      </c>
      <c r="AF2053" s="75" t="s">
        <v>0</v>
      </c>
      <c r="AG2053" s="38" t="s">
        <v>8981</v>
      </c>
    </row>
    <row r="2054" spans="1:33" ht="6" customHeight="1" x14ac:dyDescent="0.4">
      <c r="A2054" s="4">
        <f>ROW()</f>
        <v>2054</v>
      </c>
      <c r="B2054" s="9" t="s">
        <v>27</v>
      </c>
      <c r="C2054" s="44" t="str">
        <f t="shared" si="987"/>
        <v>p.permitir</v>
      </c>
      <c r="D2054" s="6" t="str">
        <f t="shared" si="991"/>
        <v>é.implícita</v>
      </c>
      <c r="E2054" s="8" t="s">
        <v>28</v>
      </c>
      <c r="F2054" s="34" t="str">
        <f t="shared" si="990"/>
        <v>d.permitir</v>
      </c>
      <c r="G2054" s="14" t="s">
        <v>279</v>
      </c>
      <c r="H2054" s="34" t="s">
        <v>36</v>
      </c>
      <c r="I2054" s="92" t="str">
        <f t="shared" si="989"/>
        <v>null</v>
      </c>
      <c r="J2054" s="82" t="s">
        <v>0</v>
      </c>
      <c r="K2054" s="82" t="s">
        <v>0</v>
      </c>
      <c r="L2054" s="82" t="s">
        <v>0</v>
      </c>
      <c r="M2054" s="82" t="s">
        <v>0</v>
      </c>
      <c r="N2054" s="80" t="s">
        <v>0</v>
      </c>
      <c r="O2054" s="82" t="s">
        <v>0</v>
      </c>
      <c r="P2054" s="82" t="s">
        <v>0</v>
      </c>
      <c r="Q2054" s="82" t="s">
        <v>0</v>
      </c>
      <c r="R2054" s="84" t="s">
        <v>0</v>
      </c>
      <c r="S2054" s="10" t="s">
        <v>1</v>
      </c>
      <c r="T2054" s="10" t="s">
        <v>10221</v>
      </c>
      <c r="U2054" s="5" t="str">
        <f t="shared" si="974"/>
        <v>Propriedade destinada a permitir: é.implícita</v>
      </c>
      <c r="V2054" s="5" t="str">
        <f t="shared" si="975"/>
        <v>Dado para permitir:  implícita  Deve ser formatado como (xsd:boolean)</v>
      </c>
      <c r="W2054" s="69" t="s">
        <v>6024</v>
      </c>
      <c r="X2054" s="17" t="str">
        <f t="shared" si="993"/>
        <v>d.permi.113</v>
      </c>
      <c r="Y2054" s="17" t="str">
        <f t="shared" si="994"/>
        <v>Ação de permitir</v>
      </c>
      <c r="Z2054" s="62" t="s">
        <v>4572</v>
      </c>
      <c r="AA2054" s="18" t="str">
        <f t="shared" si="995"/>
        <v>null</v>
      </c>
      <c r="AB2054" s="19" t="s">
        <v>0</v>
      </c>
      <c r="AC2054" s="18" t="str">
        <f t="shared" si="996"/>
        <v>null</v>
      </c>
      <c r="AD2054" s="19" t="s">
        <v>0</v>
      </c>
      <c r="AE2054" s="18" t="str">
        <f t="shared" si="992"/>
        <v>null</v>
      </c>
      <c r="AF2054" s="75" t="s">
        <v>0</v>
      </c>
      <c r="AG2054" s="38" t="s">
        <v>8982</v>
      </c>
    </row>
    <row r="2055" spans="1:33" ht="6" customHeight="1" x14ac:dyDescent="0.4">
      <c r="A2055" s="4">
        <f>ROW()</f>
        <v>2055</v>
      </c>
      <c r="B2055" s="9" t="s">
        <v>27</v>
      </c>
      <c r="C2055" s="44" t="str">
        <f t="shared" si="987"/>
        <v>p.permitir</v>
      </c>
      <c r="D2055" s="6" t="str">
        <f t="shared" si="991"/>
        <v>é.verbal</v>
      </c>
      <c r="E2055" s="8" t="s">
        <v>28</v>
      </c>
      <c r="F2055" s="34" t="str">
        <f t="shared" si="990"/>
        <v>d.permitir</v>
      </c>
      <c r="G2055" s="14" t="s">
        <v>272</v>
      </c>
      <c r="H2055" s="34" t="s">
        <v>36</v>
      </c>
      <c r="I2055" s="92" t="str">
        <f t="shared" si="989"/>
        <v>null</v>
      </c>
      <c r="J2055" s="82" t="s">
        <v>0</v>
      </c>
      <c r="K2055" s="82" t="s">
        <v>0</v>
      </c>
      <c r="L2055" s="82" t="s">
        <v>0</v>
      </c>
      <c r="M2055" s="82" t="s">
        <v>0</v>
      </c>
      <c r="N2055" s="80" t="s">
        <v>0</v>
      </c>
      <c r="O2055" s="82" t="s">
        <v>0</v>
      </c>
      <c r="P2055" s="82" t="s">
        <v>0</v>
      </c>
      <c r="Q2055" s="82" t="s">
        <v>0</v>
      </c>
      <c r="R2055" s="84" t="s">
        <v>0</v>
      </c>
      <c r="S2055" s="10" t="s">
        <v>1</v>
      </c>
      <c r="T2055" s="10" t="s">
        <v>10221</v>
      </c>
      <c r="U2055" s="5" t="str">
        <f t="shared" si="974"/>
        <v>Propriedade destinada a permitir: é.verbal</v>
      </c>
      <c r="V2055" s="5" t="str">
        <f t="shared" si="975"/>
        <v>Dado para permitir:  verbal  Deve ser formatado como (xsd:boolean)</v>
      </c>
      <c r="W2055" s="69" t="s">
        <v>6025</v>
      </c>
      <c r="X2055" s="17" t="str">
        <f t="shared" si="993"/>
        <v>d.permi.114</v>
      </c>
      <c r="Y2055" s="17" t="str">
        <f t="shared" si="994"/>
        <v>Ação de permitir</v>
      </c>
      <c r="Z2055" s="62" t="s">
        <v>4573</v>
      </c>
      <c r="AA2055" s="18" t="str">
        <f t="shared" si="995"/>
        <v>null</v>
      </c>
      <c r="AB2055" s="19" t="s">
        <v>0</v>
      </c>
      <c r="AC2055" s="18" t="str">
        <f t="shared" si="996"/>
        <v>null</v>
      </c>
      <c r="AD2055" s="19" t="s">
        <v>0</v>
      </c>
      <c r="AE2055" s="18" t="str">
        <f t="shared" si="992"/>
        <v>null</v>
      </c>
      <c r="AF2055" s="75" t="s">
        <v>0</v>
      </c>
      <c r="AG2055" s="38" t="s">
        <v>8983</v>
      </c>
    </row>
    <row r="2056" spans="1:33" ht="6" customHeight="1" x14ac:dyDescent="0.4">
      <c r="A2056" s="4">
        <f>ROW()</f>
        <v>2056</v>
      </c>
      <c r="B2056" s="9" t="s">
        <v>27</v>
      </c>
      <c r="C2056" s="44" t="str">
        <f t="shared" si="987"/>
        <v>p.permitir</v>
      </c>
      <c r="D2056" s="6" t="str">
        <f t="shared" si="991"/>
        <v>é.visto.refugiado</v>
      </c>
      <c r="E2056" s="8" t="s">
        <v>28</v>
      </c>
      <c r="F2056" s="34" t="str">
        <f t="shared" si="990"/>
        <v>d.permitir</v>
      </c>
      <c r="G2056" s="14" t="s">
        <v>863</v>
      </c>
      <c r="H2056" s="34" t="s">
        <v>36</v>
      </c>
      <c r="I2056" s="92" t="str">
        <f t="shared" si="989"/>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74"/>
        <v>Propriedade destinada a permitir: é.visto.refugiado</v>
      </c>
      <c r="V2056" s="5" t="str">
        <f t="shared" si="975"/>
        <v>Dado para permitir:  visto.refugiado  Deve ser formatado como (xsd:boolean)</v>
      </c>
      <c r="W2056" s="69" t="s">
        <v>6026</v>
      </c>
      <c r="X2056" s="17" t="str">
        <f t="shared" si="993"/>
        <v>d.permi.115</v>
      </c>
      <c r="Y2056" s="17" t="str">
        <f t="shared" si="994"/>
        <v>Ação de permitir</v>
      </c>
      <c r="Z2056" s="62" t="s">
        <v>4574</v>
      </c>
      <c r="AA2056" s="18" t="str">
        <f t="shared" si="995"/>
        <v>null</v>
      </c>
      <c r="AB2056" s="19" t="s">
        <v>0</v>
      </c>
      <c r="AC2056" s="18" t="str">
        <f t="shared" si="996"/>
        <v>null</v>
      </c>
      <c r="AD2056" s="19" t="s">
        <v>0</v>
      </c>
      <c r="AE2056" s="18" t="str">
        <f t="shared" si="992"/>
        <v>null</v>
      </c>
      <c r="AF2056" s="75" t="s">
        <v>0</v>
      </c>
      <c r="AG2056" s="38" t="s">
        <v>8984</v>
      </c>
    </row>
    <row r="2057" spans="1:33" ht="6" customHeight="1" x14ac:dyDescent="0.4">
      <c r="A2057" s="4">
        <f>ROW()</f>
        <v>2057</v>
      </c>
      <c r="B2057" s="9" t="s">
        <v>27</v>
      </c>
      <c r="C2057" s="44" t="str">
        <f t="shared" si="987"/>
        <v>p.permitir</v>
      </c>
      <c r="D2057" s="6" t="str">
        <f t="shared" si="991"/>
        <v>é.visto.permanente</v>
      </c>
      <c r="E2057" s="8" t="s">
        <v>28</v>
      </c>
      <c r="F2057" s="34" t="str">
        <f t="shared" si="990"/>
        <v>d.permitir</v>
      </c>
      <c r="G2057" s="14" t="s">
        <v>864</v>
      </c>
      <c r="H2057" s="34" t="s">
        <v>36</v>
      </c>
      <c r="I2057" s="92" t="str">
        <f t="shared" si="989"/>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74"/>
        <v>Propriedade destinada a permitir: é.visto.permanente</v>
      </c>
      <c r="V2057" s="5" t="str">
        <f t="shared" si="975"/>
        <v>Dado para permitir:  visto.permanente  Deve ser formatado como (xsd:boolean)</v>
      </c>
      <c r="W2057" s="69" t="s">
        <v>6027</v>
      </c>
      <c r="X2057" s="17" t="str">
        <f t="shared" si="993"/>
        <v>d.permi.116</v>
      </c>
      <c r="Y2057" s="17" t="str">
        <f t="shared" si="994"/>
        <v>Ação de permitir</v>
      </c>
      <c r="Z2057" s="62" t="s">
        <v>4575</v>
      </c>
      <c r="AA2057" s="18" t="str">
        <f t="shared" si="995"/>
        <v>null</v>
      </c>
      <c r="AB2057" s="19" t="s">
        <v>0</v>
      </c>
      <c r="AC2057" s="18" t="str">
        <f t="shared" si="996"/>
        <v>null</v>
      </c>
      <c r="AD2057" s="19" t="s">
        <v>0</v>
      </c>
      <c r="AE2057" s="18" t="str">
        <f t="shared" si="992"/>
        <v>null</v>
      </c>
      <c r="AF2057" s="75" t="s">
        <v>0</v>
      </c>
      <c r="AG2057" s="38" t="s">
        <v>8985</v>
      </c>
    </row>
    <row r="2058" spans="1:33" ht="6" customHeight="1" x14ac:dyDescent="0.4">
      <c r="A2058" s="4">
        <f>ROW()</f>
        <v>2058</v>
      </c>
      <c r="B2058" s="9" t="s">
        <v>27</v>
      </c>
      <c r="C2058" s="44" t="str">
        <f t="shared" si="987"/>
        <v>p.permitir</v>
      </c>
      <c r="D2058" s="6" t="str">
        <f t="shared" si="991"/>
        <v>é.visto.temporário</v>
      </c>
      <c r="E2058" s="8" t="s">
        <v>28</v>
      </c>
      <c r="F2058" s="34" t="str">
        <f t="shared" si="990"/>
        <v>d.permitir</v>
      </c>
      <c r="G2058" s="14" t="s">
        <v>865</v>
      </c>
      <c r="H2058" s="34" t="s">
        <v>36</v>
      </c>
      <c r="I2058" s="92" t="str">
        <f t="shared" si="989"/>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74"/>
        <v>Propriedade destinada a permitir: é.visto.temporário</v>
      </c>
      <c r="V2058" s="5" t="str">
        <f t="shared" si="975"/>
        <v>Dado para permitir:  visto.temporário  Deve ser formatado como (xsd:boolean)</v>
      </c>
      <c r="W2058" s="69" t="s">
        <v>6028</v>
      </c>
      <c r="X2058" s="17" t="str">
        <f t="shared" si="993"/>
        <v>d.permi.117</v>
      </c>
      <c r="Y2058" s="17" t="str">
        <f t="shared" si="994"/>
        <v>Ação de permitir</v>
      </c>
      <c r="Z2058" s="62" t="s">
        <v>4576</v>
      </c>
      <c r="AA2058" s="18" t="str">
        <f t="shared" si="995"/>
        <v>null</v>
      </c>
      <c r="AB2058" s="19" t="s">
        <v>0</v>
      </c>
      <c r="AC2058" s="18" t="str">
        <f t="shared" si="996"/>
        <v>null</v>
      </c>
      <c r="AD2058" s="19" t="s">
        <v>0</v>
      </c>
      <c r="AE2058" s="18" t="str">
        <f t="shared" si="992"/>
        <v>null</v>
      </c>
      <c r="AF2058" s="75" t="s">
        <v>0</v>
      </c>
      <c r="AG2058" s="38" t="s">
        <v>8986</v>
      </c>
    </row>
    <row r="2059" spans="1:33" ht="6" customHeight="1" x14ac:dyDescent="0.4">
      <c r="A2059" s="4">
        <f>ROW()</f>
        <v>2059</v>
      </c>
      <c r="B2059" s="9" t="s">
        <v>27</v>
      </c>
      <c r="C2059" s="44" t="str">
        <f t="shared" si="987"/>
        <v>p.permitir</v>
      </c>
      <c r="D2059" s="6" t="str">
        <f t="shared" si="991"/>
        <v>é.visto.turístico</v>
      </c>
      <c r="E2059" s="8" t="s">
        <v>28</v>
      </c>
      <c r="F2059" s="34" t="str">
        <f t="shared" si="990"/>
        <v>d.permitir</v>
      </c>
      <c r="G2059" s="14" t="s">
        <v>866</v>
      </c>
      <c r="H2059" s="34" t="s">
        <v>36</v>
      </c>
      <c r="I2059" s="92" t="str">
        <f t="shared" si="989"/>
        <v>null</v>
      </c>
      <c r="J2059" s="82" t="s">
        <v>0</v>
      </c>
      <c r="K2059" s="82" t="s">
        <v>0</v>
      </c>
      <c r="L2059" s="82" t="s">
        <v>0</v>
      </c>
      <c r="M2059" s="82" t="s">
        <v>0</v>
      </c>
      <c r="N2059" s="80" t="s">
        <v>0</v>
      </c>
      <c r="O2059" s="82" t="s">
        <v>0</v>
      </c>
      <c r="P2059" s="82" t="s">
        <v>0</v>
      </c>
      <c r="Q2059" s="82" t="s">
        <v>0</v>
      </c>
      <c r="R2059" s="84" t="s">
        <v>0</v>
      </c>
      <c r="S2059" s="10" t="s">
        <v>1</v>
      </c>
      <c r="T2059" s="10" t="s">
        <v>10221</v>
      </c>
      <c r="U2059" s="5" t="str">
        <f t="shared" si="974"/>
        <v>Propriedade destinada a permitir: é.visto.turístico</v>
      </c>
      <c r="V2059" s="5" t="str">
        <f t="shared" si="975"/>
        <v>Dado para permitir:  visto.turístico  Deve ser formatado como (xsd:boolean)</v>
      </c>
      <c r="W2059" s="69" t="s">
        <v>6029</v>
      </c>
      <c r="X2059" s="17" t="str">
        <f t="shared" si="993"/>
        <v>d.permi.118</v>
      </c>
      <c r="Y2059" s="17" t="str">
        <f t="shared" si="994"/>
        <v>Ação de permitir</v>
      </c>
      <c r="Z2059" s="62" t="s">
        <v>4577</v>
      </c>
      <c r="AA2059" s="18" t="str">
        <f t="shared" si="995"/>
        <v>null</v>
      </c>
      <c r="AB2059" s="19" t="s">
        <v>0</v>
      </c>
      <c r="AC2059" s="18" t="str">
        <f t="shared" si="996"/>
        <v>null</v>
      </c>
      <c r="AD2059" s="19" t="s">
        <v>0</v>
      </c>
      <c r="AE2059" s="18" t="str">
        <f t="shared" si="992"/>
        <v>null</v>
      </c>
      <c r="AF2059" s="75" t="s">
        <v>0</v>
      </c>
      <c r="AG2059" s="38" t="s">
        <v>8987</v>
      </c>
    </row>
    <row r="2060" spans="1:33" ht="6" customHeight="1" x14ac:dyDescent="0.4">
      <c r="A2060" s="4">
        <f>ROW()</f>
        <v>2060</v>
      </c>
      <c r="B2060" s="9" t="s">
        <v>27</v>
      </c>
      <c r="C2060" s="44" t="str">
        <f t="shared" si="987"/>
        <v>p.permitir</v>
      </c>
      <c r="D2060" s="6" t="str">
        <f t="shared" si="991"/>
        <v>é.visto.de.trânsito</v>
      </c>
      <c r="E2060" s="8" t="s">
        <v>28</v>
      </c>
      <c r="F2060" s="34" t="str">
        <f t="shared" si="990"/>
        <v>d.permitir</v>
      </c>
      <c r="G2060" s="14" t="s">
        <v>1070</v>
      </c>
      <c r="H2060" s="34" t="s">
        <v>36</v>
      </c>
      <c r="I2060" s="92" t="str">
        <f t="shared" si="989"/>
        <v>null</v>
      </c>
      <c r="J2060" s="82" t="s">
        <v>0</v>
      </c>
      <c r="K2060" s="82" t="s">
        <v>0</v>
      </c>
      <c r="L2060" s="82" t="s">
        <v>0</v>
      </c>
      <c r="M2060" s="82" t="s">
        <v>0</v>
      </c>
      <c r="N2060" s="80" t="s">
        <v>0</v>
      </c>
      <c r="O2060" s="82" t="s">
        <v>0</v>
      </c>
      <c r="P2060" s="82" t="s">
        <v>0</v>
      </c>
      <c r="Q2060" s="82" t="s">
        <v>0</v>
      </c>
      <c r="R2060" s="84" t="s">
        <v>0</v>
      </c>
      <c r="S2060" s="10" t="s">
        <v>1</v>
      </c>
      <c r="T2060" s="10" t="s">
        <v>10221</v>
      </c>
      <c r="U2060" s="5" t="str">
        <f t="shared" si="974"/>
        <v>Propriedade destinada a permitir: é.visto.de.trânsito</v>
      </c>
      <c r="V2060" s="5" t="str">
        <f t="shared" si="975"/>
        <v>Dado para permitir:  visto.de.trânsito  Deve ser formatado como (xsd:boolean)</v>
      </c>
      <c r="W2060" s="69" t="s">
        <v>6030</v>
      </c>
      <c r="X2060" s="17" t="str">
        <f t="shared" si="993"/>
        <v>d.permi.119</v>
      </c>
      <c r="Y2060" s="17" t="str">
        <f t="shared" si="994"/>
        <v>Ação de permitir</v>
      </c>
      <c r="Z2060" s="62" t="s">
        <v>4578</v>
      </c>
      <c r="AA2060" s="18" t="str">
        <f t="shared" si="995"/>
        <v>null</v>
      </c>
      <c r="AB2060" s="19" t="s">
        <v>0</v>
      </c>
      <c r="AC2060" s="18" t="str">
        <f t="shared" si="996"/>
        <v>null</v>
      </c>
      <c r="AD2060" s="19" t="s">
        <v>0</v>
      </c>
      <c r="AE2060" s="18" t="str">
        <f t="shared" si="992"/>
        <v>null</v>
      </c>
      <c r="AF2060" s="75" t="s">
        <v>0</v>
      </c>
      <c r="AG2060" s="38" t="s">
        <v>8988</v>
      </c>
    </row>
    <row r="2061" spans="1:33" ht="6" customHeight="1" x14ac:dyDescent="0.4">
      <c r="A2061" s="4">
        <f>ROW()</f>
        <v>2061</v>
      </c>
      <c r="B2061" s="9" t="s">
        <v>27</v>
      </c>
      <c r="C2061" s="43" t="str">
        <f t="shared" si="987"/>
        <v>p.pesar</v>
      </c>
      <c r="D2061" s="6" t="str">
        <f t="shared" si="991"/>
        <v>é.densidade</v>
      </c>
      <c r="E2061" s="8" t="s">
        <v>28</v>
      </c>
      <c r="F2061" s="41" t="s">
        <v>2217</v>
      </c>
      <c r="G2061" s="13" t="s">
        <v>159</v>
      </c>
      <c r="H2061" s="34" t="s">
        <v>35</v>
      </c>
      <c r="I2061" s="92" t="str">
        <f t="shared" si="989"/>
        <v>null</v>
      </c>
      <c r="J2061" s="80" t="s">
        <v>0</v>
      </c>
      <c r="K2061" s="80" t="s">
        <v>0</v>
      </c>
      <c r="L2061" s="80" t="s">
        <v>0</v>
      </c>
      <c r="M2061" s="80" t="s">
        <v>0</v>
      </c>
      <c r="N2061" s="80" t="s">
        <v>0</v>
      </c>
      <c r="O2061" s="80" t="s">
        <v>0</v>
      </c>
      <c r="P2061" s="80" t="s">
        <v>0</v>
      </c>
      <c r="Q2061" s="80" t="s">
        <v>0</v>
      </c>
      <c r="R2061" s="84" t="s">
        <v>0</v>
      </c>
      <c r="S2061" s="10" t="s">
        <v>1</v>
      </c>
      <c r="T2061" s="10" t="s">
        <v>10221</v>
      </c>
      <c r="U2061" s="5" t="str">
        <f t="shared" si="974"/>
        <v>Propriedade destinada a pesar: é.densidade</v>
      </c>
      <c r="V2061" s="5" t="str">
        <f t="shared" si="975"/>
        <v>Dado para pesar:  densidade  Deve ser formatado como (xsd:double)</v>
      </c>
      <c r="W2061" s="69" t="s">
        <v>6031</v>
      </c>
      <c r="X2061" s="17" t="str">
        <f t="shared" si="993"/>
        <v>d.pesar.100</v>
      </c>
      <c r="Y2061" s="17" t="str">
        <f t="shared" si="994"/>
        <v>Ação de pesar</v>
      </c>
      <c r="Z2061" s="62" t="s">
        <v>4579</v>
      </c>
      <c r="AA2061" s="18" t="str">
        <f t="shared" si="995"/>
        <v>null</v>
      </c>
      <c r="AB2061" s="19" t="s">
        <v>0</v>
      </c>
      <c r="AC2061" s="18" t="str">
        <f t="shared" si="996"/>
        <v>null</v>
      </c>
      <c r="AD2061" s="19" t="s">
        <v>0</v>
      </c>
      <c r="AE2061" s="18" t="str">
        <f t="shared" si="992"/>
        <v>null</v>
      </c>
      <c r="AF2061" s="75" t="s">
        <v>0</v>
      </c>
      <c r="AG2061" s="38" t="s">
        <v>8989</v>
      </c>
    </row>
    <row r="2062" spans="1:33" ht="6" customHeight="1" x14ac:dyDescent="0.4">
      <c r="A2062" s="4">
        <f>ROW()</f>
        <v>2062</v>
      </c>
      <c r="B2062" s="9" t="s">
        <v>27</v>
      </c>
      <c r="C2062" s="44" t="str">
        <f t="shared" si="987"/>
        <v>p.pesar</v>
      </c>
      <c r="D2062" s="6" t="str">
        <f t="shared" si="991"/>
        <v>é.massa</v>
      </c>
      <c r="E2062" s="8" t="s">
        <v>28</v>
      </c>
      <c r="F2062" s="34" t="str">
        <f>F2061</f>
        <v>d.pesar</v>
      </c>
      <c r="G2062" s="13" t="s">
        <v>160</v>
      </c>
      <c r="H2062" s="34" t="s">
        <v>35</v>
      </c>
      <c r="I2062" s="92" t="str">
        <f t="shared" si="989"/>
        <v>null</v>
      </c>
      <c r="J2062" s="80" t="s">
        <v>0</v>
      </c>
      <c r="K2062" s="80" t="s">
        <v>0</v>
      </c>
      <c r="L2062" s="80" t="s">
        <v>0</v>
      </c>
      <c r="M2062" s="80" t="s">
        <v>0</v>
      </c>
      <c r="N2062" s="80" t="s">
        <v>0</v>
      </c>
      <c r="O2062" s="80" t="s">
        <v>0</v>
      </c>
      <c r="P2062" s="80" t="s">
        <v>0</v>
      </c>
      <c r="Q2062" s="80" t="s">
        <v>0</v>
      </c>
      <c r="R2062" s="84" t="s">
        <v>0</v>
      </c>
      <c r="S2062" s="10" t="s">
        <v>1</v>
      </c>
      <c r="T2062" s="10" t="s">
        <v>10221</v>
      </c>
      <c r="U2062" s="5" t="str">
        <f t="shared" si="974"/>
        <v>Propriedade destinada a pesar: é.massa</v>
      </c>
      <c r="V2062" s="5" t="str">
        <f t="shared" si="975"/>
        <v>Dado para pesar:  massa  Deve ser formatado como (xsd:double)</v>
      </c>
      <c r="W2062" s="69" t="s">
        <v>6032</v>
      </c>
      <c r="X2062" s="17" t="str">
        <f t="shared" si="993"/>
        <v>d.pesar.101</v>
      </c>
      <c r="Y2062" s="17" t="str">
        <f t="shared" si="994"/>
        <v>Ação de pesar</v>
      </c>
      <c r="Z2062" s="62" t="s">
        <v>4580</v>
      </c>
      <c r="AA2062" s="18" t="str">
        <f t="shared" si="995"/>
        <v>null</v>
      </c>
      <c r="AB2062" s="19" t="s">
        <v>0</v>
      </c>
      <c r="AC2062" s="18" t="str">
        <f t="shared" si="996"/>
        <v>null</v>
      </c>
      <c r="AD2062" s="19" t="s">
        <v>0</v>
      </c>
      <c r="AE2062" s="18" t="str">
        <f t="shared" si="992"/>
        <v>null</v>
      </c>
      <c r="AF2062" s="75" t="s">
        <v>0</v>
      </c>
      <c r="AG2062" s="38" t="s">
        <v>8990</v>
      </c>
    </row>
    <row r="2063" spans="1:33" ht="6" customHeight="1" x14ac:dyDescent="0.4">
      <c r="A2063" s="4">
        <f>ROW()</f>
        <v>2063</v>
      </c>
      <c r="B2063" s="9" t="s">
        <v>27</v>
      </c>
      <c r="C2063" s="44" t="str">
        <f t="shared" si="987"/>
        <v>p.pesar</v>
      </c>
      <c r="D2063" s="6" t="str">
        <f t="shared" si="991"/>
        <v>é.peso</v>
      </c>
      <c r="E2063" s="8" t="s">
        <v>28</v>
      </c>
      <c r="F2063" s="34" t="str">
        <f>F2062</f>
        <v>d.pesar</v>
      </c>
      <c r="G2063" s="13" t="s">
        <v>161</v>
      </c>
      <c r="H2063" s="34" t="s">
        <v>35</v>
      </c>
      <c r="I2063" s="92" t="str">
        <f t="shared" si="989"/>
        <v>null</v>
      </c>
      <c r="J2063" s="80" t="s">
        <v>0</v>
      </c>
      <c r="K2063" s="80" t="s">
        <v>0</v>
      </c>
      <c r="L2063" s="80" t="s">
        <v>0</v>
      </c>
      <c r="M2063" s="80" t="s">
        <v>0</v>
      </c>
      <c r="N2063" s="80" t="s">
        <v>0</v>
      </c>
      <c r="O2063" s="80" t="s">
        <v>0</v>
      </c>
      <c r="P2063" s="80" t="s">
        <v>0</v>
      </c>
      <c r="Q2063" s="80" t="s">
        <v>0</v>
      </c>
      <c r="R2063" s="84" t="s">
        <v>0</v>
      </c>
      <c r="S2063" s="10" t="s">
        <v>1</v>
      </c>
      <c r="T2063" s="10" t="s">
        <v>10221</v>
      </c>
      <c r="U2063" s="5" t="str">
        <f t="shared" si="974"/>
        <v>Propriedade destinada a pesar: é.peso</v>
      </c>
      <c r="V2063" s="5" t="str">
        <f t="shared" si="975"/>
        <v>Dado para pesar:  peso  Deve ser formatado como (xsd:double)</v>
      </c>
      <c r="W2063" s="69" t="s">
        <v>6033</v>
      </c>
      <c r="X2063" s="17" t="str">
        <f t="shared" si="993"/>
        <v>d.pesar.102</v>
      </c>
      <c r="Y2063" s="17" t="str">
        <f t="shared" si="994"/>
        <v>Ação de pesar</v>
      </c>
      <c r="Z2063" s="62" t="s">
        <v>4581</v>
      </c>
      <c r="AA2063" s="18" t="str">
        <f t="shared" si="995"/>
        <v>null</v>
      </c>
      <c r="AB2063" s="19" t="s">
        <v>0</v>
      </c>
      <c r="AC2063" s="18" t="str">
        <f t="shared" si="996"/>
        <v>null</v>
      </c>
      <c r="AD2063" s="19" t="s">
        <v>0</v>
      </c>
      <c r="AE2063" s="18" t="str">
        <f t="shared" si="992"/>
        <v>null</v>
      </c>
      <c r="AF2063" s="75" t="s">
        <v>0</v>
      </c>
      <c r="AG2063" s="38" t="s">
        <v>8991</v>
      </c>
    </row>
    <row r="2064" spans="1:33" ht="6" customHeight="1" x14ac:dyDescent="0.4">
      <c r="A2064" s="4">
        <f>ROW()</f>
        <v>2064</v>
      </c>
      <c r="B2064" s="9" t="s">
        <v>27</v>
      </c>
      <c r="C2064" s="44" t="str">
        <f t="shared" si="987"/>
        <v>p.pesar</v>
      </c>
      <c r="D2064" s="6" t="str">
        <f t="shared" si="991"/>
        <v>é.peso.médio</v>
      </c>
      <c r="E2064" s="8" t="s">
        <v>28</v>
      </c>
      <c r="F2064" s="34" t="str">
        <f>F2063</f>
        <v>d.pesar</v>
      </c>
      <c r="G2064" s="13" t="s">
        <v>1190</v>
      </c>
      <c r="H2064" s="34" t="s">
        <v>35</v>
      </c>
      <c r="I2064" s="92" t="str">
        <f t="shared" si="989"/>
        <v>null</v>
      </c>
      <c r="J2064" s="80" t="s">
        <v>0</v>
      </c>
      <c r="K2064" s="80" t="s">
        <v>0</v>
      </c>
      <c r="L2064" s="80" t="s">
        <v>0</v>
      </c>
      <c r="M2064" s="80" t="s">
        <v>0</v>
      </c>
      <c r="N2064" s="80" t="s">
        <v>0</v>
      </c>
      <c r="O2064" s="80" t="s">
        <v>0</v>
      </c>
      <c r="P2064" s="80" t="s">
        <v>0</v>
      </c>
      <c r="Q2064" s="80" t="s">
        <v>0</v>
      </c>
      <c r="R2064" s="84" t="s">
        <v>0</v>
      </c>
      <c r="S2064" s="10" t="s">
        <v>1</v>
      </c>
      <c r="T2064" s="10" t="s">
        <v>10221</v>
      </c>
      <c r="U2064" s="5" t="str">
        <f t="shared" si="974"/>
        <v>Propriedade destinada a pesar: é.peso.médio</v>
      </c>
      <c r="V2064" s="5" t="str">
        <f t="shared" si="975"/>
        <v>Dado para pesar:  peso.médio  Deve ser formatado como (xsd:double)</v>
      </c>
      <c r="W2064" s="69" t="s">
        <v>6034</v>
      </c>
      <c r="X2064" s="17" t="str">
        <f t="shared" si="993"/>
        <v>d.pesar.103</v>
      </c>
      <c r="Y2064" s="17" t="str">
        <f t="shared" si="994"/>
        <v>Ação de pesar</v>
      </c>
      <c r="Z2064" s="62" t="s">
        <v>4582</v>
      </c>
      <c r="AA2064" s="18" t="str">
        <f t="shared" si="995"/>
        <v>null</v>
      </c>
      <c r="AB2064" s="19" t="s">
        <v>0</v>
      </c>
      <c r="AC2064" s="18" t="str">
        <f t="shared" si="996"/>
        <v>null</v>
      </c>
      <c r="AD2064" s="19" t="s">
        <v>0</v>
      </c>
      <c r="AE2064" s="18" t="str">
        <f t="shared" si="992"/>
        <v>null</v>
      </c>
      <c r="AF2064" s="75" t="s">
        <v>0</v>
      </c>
      <c r="AG2064" s="38" t="s">
        <v>8992</v>
      </c>
    </row>
    <row r="2065" spans="1:33" ht="6" customHeight="1" x14ac:dyDescent="0.4">
      <c r="A2065" s="4">
        <f>ROW()</f>
        <v>2065</v>
      </c>
      <c r="B2065" s="9" t="s">
        <v>27</v>
      </c>
      <c r="C2065" s="44" t="str">
        <f t="shared" si="987"/>
        <v>p.pesar</v>
      </c>
      <c r="D2065" s="6" t="str">
        <f t="shared" si="991"/>
        <v>é.peso.por.metro</v>
      </c>
      <c r="E2065" s="8" t="s">
        <v>28</v>
      </c>
      <c r="F2065" s="34" t="str">
        <f>F2064</f>
        <v>d.pesar</v>
      </c>
      <c r="G2065" s="13" t="s">
        <v>1147</v>
      </c>
      <c r="H2065" s="34" t="s">
        <v>35</v>
      </c>
      <c r="I2065" s="92" t="str">
        <f t="shared" si="989"/>
        <v>null</v>
      </c>
      <c r="J2065" s="80" t="s">
        <v>0</v>
      </c>
      <c r="K2065" s="80" t="s">
        <v>0</v>
      </c>
      <c r="L2065" s="80" t="s">
        <v>0</v>
      </c>
      <c r="M2065" s="80" t="s">
        <v>0</v>
      </c>
      <c r="N2065" s="80" t="s">
        <v>0</v>
      </c>
      <c r="O2065" s="80" t="s">
        <v>0</v>
      </c>
      <c r="P2065" s="80" t="s">
        <v>0</v>
      </c>
      <c r="Q2065" s="80" t="s">
        <v>0</v>
      </c>
      <c r="R2065" s="84" t="s">
        <v>0</v>
      </c>
      <c r="S2065" s="10" t="s">
        <v>1</v>
      </c>
      <c r="T2065" s="10" t="s">
        <v>10221</v>
      </c>
      <c r="U2065" s="5" t="str">
        <f t="shared" si="974"/>
        <v>Propriedade destinada a pesar: é.peso.por.metro</v>
      </c>
      <c r="V2065" s="5" t="str">
        <f t="shared" si="975"/>
        <v>Dado para pesar:  peso.por.metro  Deve ser formatado como (xsd:double)</v>
      </c>
      <c r="W2065" s="69" t="s">
        <v>6035</v>
      </c>
      <c r="X2065" s="17" t="str">
        <f t="shared" si="993"/>
        <v>d.pesar.104</v>
      </c>
      <c r="Y2065" s="17" t="str">
        <f t="shared" si="994"/>
        <v>Ação de pesar</v>
      </c>
      <c r="Z2065" s="62" t="s">
        <v>4583</v>
      </c>
      <c r="AA2065" s="18" t="str">
        <f t="shared" si="995"/>
        <v>null</v>
      </c>
      <c r="AB2065" s="19" t="s">
        <v>0</v>
      </c>
      <c r="AC2065" s="18" t="str">
        <f t="shared" si="996"/>
        <v>null</v>
      </c>
      <c r="AD2065" s="19" t="s">
        <v>0</v>
      </c>
      <c r="AE2065" s="18" t="str">
        <f t="shared" si="992"/>
        <v>null</v>
      </c>
      <c r="AF2065" s="75" t="s">
        <v>0</v>
      </c>
      <c r="AG2065" s="38" t="s">
        <v>8993</v>
      </c>
    </row>
    <row r="2066" spans="1:33" ht="6" customHeight="1" x14ac:dyDescent="0.4">
      <c r="A2066" s="4">
        <f>ROW()</f>
        <v>2066</v>
      </c>
      <c r="B2066" s="9" t="s">
        <v>27</v>
      </c>
      <c r="C2066" s="44" t="str">
        <f t="shared" si="987"/>
        <v>p.pesar</v>
      </c>
      <c r="D2066" s="6" t="str">
        <f t="shared" si="991"/>
        <v>é.massa.linear</v>
      </c>
      <c r="E2066" s="8" t="s">
        <v>28</v>
      </c>
      <c r="F2066" s="34" t="str">
        <f>F2065</f>
        <v>d.pesar</v>
      </c>
      <c r="G2066" s="13" t="s">
        <v>1173</v>
      </c>
      <c r="H2066" s="34" t="s">
        <v>35</v>
      </c>
      <c r="I2066" s="92" t="str">
        <f t="shared" si="989"/>
        <v>null</v>
      </c>
      <c r="J2066" s="80" t="s">
        <v>0</v>
      </c>
      <c r="K2066" s="80" t="s">
        <v>0</v>
      </c>
      <c r="L2066" s="80" t="s">
        <v>0</v>
      </c>
      <c r="M2066" s="80" t="s">
        <v>0</v>
      </c>
      <c r="N2066" s="80" t="s">
        <v>0</v>
      </c>
      <c r="O2066" s="80" t="s">
        <v>0</v>
      </c>
      <c r="P2066" s="80" t="s">
        <v>0</v>
      </c>
      <c r="Q2066" s="80" t="s">
        <v>0</v>
      </c>
      <c r="R2066" s="84" t="s">
        <v>0</v>
      </c>
      <c r="S2066" s="10" t="s">
        <v>1</v>
      </c>
      <c r="T2066" s="10" t="s">
        <v>10221</v>
      </c>
      <c r="U2066" s="5" t="str">
        <f t="shared" si="974"/>
        <v>Propriedade destinada a pesar: é.massa.linear</v>
      </c>
      <c r="V2066" s="5" t="str">
        <f t="shared" si="975"/>
        <v>Dado para pesar:  massa.linear  Deve ser formatado como (xsd:double)</v>
      </c>
      <c r="W2066" s="69" t="s">
        <v>6036</v>
      </c>
      <c r="X2066" s="17" t="str">
        <f t="shared" si="993"/>
        <v>d.pesar.105</v>
      </c>
      <c r="Y2066" s="17" t="str">
        <f t="shared" si="994"/>
        <v>Ação de pesar</v>
      </c>
      <c r="Z2066" s="62" t="s">
        <v>4584</v>
      </c>
      <c r="AA2066" s="18" t="str">
        <f t="shared" si="995"/>
        <v>null</v>
      </c>
      <c r="AB2066" s="19" t="s">
        <v>0</v>
      </c>
      <c r="AC2066" s="18" t="str">
        <f t="shared" si="996"/>
        <v>null</v>
      </c>
      <c r="AD2066" s="19" t="s">
        <v>0</v>
      </c>
      <c r="AE2066" s="18" t="str">
        <f t="shared" si="992"/>
        <v>null</v>
      </c>
      <c r="AF2066" s="75" t="s">
        <v>0</v>
      </c>
      <c r="AG2066" s="38" t="s">
        <v>8994</v>
      </c>
    </row>
    <row r="2067" spans="1:33" ht="6" customHeight="1" x14ac:dyDescent="0.4">
      <c r="A2067" s="4">
        <f>ROW()</f>
        <v>2067</v>
      </c>
      <c r="B2067" s="9" t="s">
        <v>27</v>
      </c>
      <c r="C2067" s="43" t="str">
        <f t="shared" si="987"/>
        <v>p.pintar</v>
      </c>
      <c r="D2067" s="6" t="str">
        <f>_xlfn.CONCAT("é.",G2067)</f>
        <v>é.acabamento.decapado</v>
      </c>
      <c r="E2067" s="8" t="s">
        <v>28</v>
      </c>
      <c r="F2067" s="41" t="s">
        <v>2218</v>
      </c>
      <c r="G2067" s="13" t="s">
        <v>1520</v>
      </c>
      <c r="H2067" s="33" t="s">
        <v>1581</v>
      </c>
      <c r="I2067" s="92" t="str">
        <f t="shared" si="989"/>
        <v>null</v>
      </c>
      <c r="J2067" s="80" t="s">
        <v>0</v>
      </c>
      <c r="K2067" s="80" t="s">
        <v>0</v>
      </c>
      <c r="L2067" s="80" t="s">
        <v>0</v>
      </c>
      <c r="M2067" s="80" t="s">
        <v>0</v>
      </c>
      <c r="N2067" s="80" t="s">
        <v>0</v>
      </c>
      <c r="O2067" s="80" t="s">
        <v>0</v>
      </c>
      <c r="P2067" s="80" t="s">
        <v>0</v>
      </c>
      <c r="Q2067" s="80" t="s">
        <v>0</v>
      </c>
      <c r="R2067" s="84" t="s">
        <v>0</v>
      </c>
      <c r="S2067" s="10" t="s">
        <v>1</v>
      </c>
      <c r="T2067" s="10" t="s">
        <v>10221</v>
      </c>
      <c r="U2067" s="5" t="str">
        <f>_xlfn.CONCAT("Propriedade destinada a ",MID(C2067,FIND("p.",C2067,1)+2,100),": ",D2067)</f>
        <v>Propriedade destinada a pintar: é.acabamento.decapado</v>
      </c>
      <c r="V2067" s="5" t="str">
        <f>_xlfn.CONCAT("Dado para ",MID(F2067,FIND("d.",F2067,1)+2,100),":  ",G2067, "  Deve ser formatado como (",H2067, ")")</f>
        <v>Dado para pintar:  acabamento.decapado  Deve ser formatado como (rdfs:Literal  or  xsd:string)</v>
      </c>
      <c r="W2067" s="69" t="s">
        <v>6037</v>
      </c>
      <c r="X2067" s="17" t="str">
        <f t="shared" si="993"/>
        <v>d.pinta.100</v>
      </c>
      <c r="Y2067" s="17" t="str">
        <f t="shared" si="994"/>
        <v>Ação de pintar</v>
      </c>
      <c r="Z2067" s="62" t="s">
        <v>4284</v>
      </c>
      <c r="AA2067" s="18" t="str">
        <f>IF(AB2067="null", "null", "categoria.revit")</f>
        <v>null</v>
      </c>
      <c r="AB2067" s="19" t="s">
        <v>0</v>
      </c>
      <c r="AC2067" s="18" t="str">
        <f>IF(AD2067="null", "null", "classe.ifc")</f>
        <v>null</v>
      </c>
      <c r="AD2067" s="19" t="s">
        <v>0</v>
      </c>
      <c r="AE2067" s="18" t="str">
        <f>IF(AF2067="null", "null", "propriedade")</f>
        <v>propriedade</v>
      </c>
      <c r="AF2067" s="75" t="s">
        <v>1897</v>
      </c>
      <c r="AG2067" s="38" t="s">
        <v>8995</v>
      </c>
    </row>
    <row r="2068" spans="1:33" ht="6" customHeight="1" x14ac:dyDescent="0.4">
      <c r="A2068" s="4">
        <f>ROW()</f>
        <v>2068</v>
      </c>
      <c r="B2068" s="9" t="s">
        <v>27</v>
      </c>
      <c r="C2068" s="44" t="str">
        <f>SUBSTITUTE(F2068,"d.","p.")</f>
        <v>p.pintar</v>
      </c>
      <c r="D2068" s="6" t="str">
        <f>_xlfn.CONCAT("é.",G2068)</f>
        <v>é.acabamento.fosco</v>
      </c>
      <c r="E2068" s="8" t="s">
        <v>28</v>
      </c>
      <c r="F2068" s="34" t="str">
        <f>F2067</f>
        <v>d.pintar</v>
      </c>
      <c r="G2068" s="13" t="s">
        <v>1507</v>
      </c>
      <c r="H2068" s="33" t="s">
        <v>1581</v>
      </c>
      <c r="I2068" s="92" t="str">
        <f t="shared" si="989"/>
        <v>null</v>
      </c>
      <c r="J2068" s="80" t="s">
        <v>0</v>
      </c>
      <c r="K2068" s="80" t="s">
        <v>0</v>
      </c>
      <c r="L2068" s="80" t="s">
        <v>0</v>
      </c>
      <c r="M2068" s="80" t="s">
        <v>0</v>
      </c>
      <c r="N2068" s="80" t="s">
        <v>0</v>
      </c>
      <c r="O2068" s="80" t="s">
        <v>0</v>
      </c>
      <c r="P2068" s="80" t="s">
        <v>0</v>
      </c>
      <c r="Q2068" s="80" t="s">
        <v>0</v>
      </c>
      <c r="R2068" s="84" t="s">
        <v>0</v>
      </c>
      <c r="S2068" s="10" t="s">
        <v>1</v>
      </c>
      <c r="T2068" s="10" t="s">
        <v>10221</v>
      </c>
      <c r="U2068" s="5" t="str">
        <f>_xlfn.CONCAT("Propriedade destinada a ",MID(C2068,FIND("p.",C2068,1)+2,100),": ",D2068)</f>
        <v>Propriedade destinada a pintar: é.acabamento.fosco</v>
      </c>
      <c r="V2068" s="5" t="str">
        <f>_xlfn.CONCAT("Dado para ",MID(F2068,FIND("d.",F2068,1)+2,100),":  ",G2068, "  Deve ser formatado como (",H2068, ")")</f>
        <v>Dado para pintar:  acabamento.fosco  Deve ser formatado como (rdfs:Literal  or  xsd:string)</v>
      </c>
      <c r="W2068" s="69" t="s">
        <v>6038</v>
      </c>
      <c r="X2068" s="17" t="str">
        <f t="shared" si="993"/>
        <v>d.pinta.101</v>
      </c>
      <c r="Y2068" s="17" t="str">
        <f t="shared" si="994"/>
        <v>Ação de pintar</v>
      </c>
      <c r="Z2068" s="62" t="s">
        <v>4285</v>
      </c>
      <c r="AA2068" s="18" t="str">
        <f>IF(AB2068="null", "null", "categoria.revit")</f>
        <v>null</v>
      </c>
      <c r="AB2068" s="19" t="s">
        <v>0</v>
      </c>
      <c r="AC2068" s="18" t="str">
        <f>IF(AD2068="null", "null", "classe.ifc")</f>
        <v>null</v>
      </c>
      <c r="AD2068" s="19" t="s">
        <v>0</v>
      </c>
      <c r="AE2068" s="18" t="str">
        <f>IF(AF2068="null", "null", "propriedade")</f>
        <v>propriedade</v>
      </c>
      <c r="AF2068" s="75" t="s">
        <v>1897</v>
      </c>
      <c r="AG2068" s="38" t="s">
        <v>8996</v>
      </c>
    </row>
    <row r="2069" spans="1:33" ht="6" customHeight="1" x14ac:dyDescent="0.4">
      <c r="A2069" s="4">
        <f>ROW()</f>
        <v>2069</v>
      </c>
      <c r="B2069" s="9" t="s">
        <v>27</v>
      </c>
      <c r="C2069" s="44" t="str">
        <f t="shared" ref="C2069:C2086" si="997">SUBSTITUTE(F2069,"d.","p.")</f>
        <v>p.pintar</v>
      </c>
      <c r="D2069" s="6" t="str">
        <f>_xlfn.CONCAT("é.",G2069)</f>
        <v>é.acabamento.lustrado</v>
      </c>
      <c r="E2069" s="8" t="s">
        <v>28</v>
      </c>
      <c r="F2069" s="34" t="str">
        <f t="shared" ref="F2069:F2086" si="998">F2068</f>
        <v>d.pintar</v>
      </c>
      <c r="G2069" s="13" t="s">
        <v>1509</v>
      </c>
      <c r="H2069" s="33" t="s">
        <v>1581</v>
      </c>
      <c r="I2069" s="92" t="str">
        <f t="shared" si="989"/>
        <v>null</v>
      </c>
      <c r="J2069" s="80" t="s">
        <v>0</v>
      </c>
      <c r="K2069" s="80" t="s">
        <v>0</v>
      </c>
      <c r="L2069" s="80" t="s">
        <v>0</v>
      </c>
      <c r="M2069" s="80" t="s">
        <v>0</v>
      </c>
      <c r="N2069" s="80" t="s">
        <v>0</v>
      </c>
      <c r="O2069" s="80" t="s">
        <v>0</v>
      </c>
      <c r="P2069" s="80" t="s">
        <v>0</v>
      </c>
      <c r="Q2069" s="80" t="s">
        <v>0</v>
      </c>
      <c r="R2069" s="84" t="s">
        <v>0</v>
      </c>
      <c r="S2069" s="10" t="s">
        <v>1</v>
      </c>
      <c r="T2069" s="10" t="s">
        <v>10221</v>
      </c>
      <c r="U2069" s="5" t="str">
        <f>_xlfn.CONCAT("Propriedade destinada a ",MID(C2069,FIND("p.",C2069,1)+2,100),": ",D2069)</f>
        <v>Propriedade destinada a pintar: é.acabamento.lustrado</v>
      </c>
      <c r="V2069" s="5" t="str">
        <f>_xlfn.CONCAT("Dado para ",MID(F2069,FIND("d.",F2069,1)+2,100),":  ",G2069, "  Deve ser formatado como (",H2069, ")")</f>
        <v>Dado para pintar:  acabamento.lustrado  Deve ser formatado como (rdfs:Literal  or  xsd:string)</v>
      </c>
      <c r="W2069" s="69" t="s">
        <v>6039</v>
      </c>
      <c r="X2069" s="17" t="str">
        <f t="shared" si="993"/>
        <v>d.pinta.102</v>
      </c>
      <c r="Y2069" s="17" t="str">
        <f t="shared" si="994"/>
        <v>Ação de pintar</v>
      </c>
      <c r="Z2069" s="62" t="s">
        <v>4286</v>
      </c>
      <c r="AA2069" s="18" t="str">
        <f>IF(AB2069="null", "null", "categoria.revit")</f>
        <v>null</v>
      </c>
      <c r="AB2069" s="19" t="s">
        <v>0</v>
      </c>
      <c r="AC2069" s="18" t="str">
        <f>IF(AD2069="null", "null", "classe.ifc")</f>
        <v>null</v>
      </c>
      <c r="AD2069" s="19" t="s">
        <v>0</v>
      </c>
      <c r="AE2069" s="18" t="str">
        <f>IF(AF2069="null", "null", "propriedade")</f>
        <v>propriedade</v>
      </c>
      <c r="AF2069" s="75" t="s">
        <v>1896</v>
      </c>
      <c r="AG2069" s="38" t="s">
        <v>7452</v>
      </c>
    </row>
    <row r="2070" spans="1:33" ht="6" customHeight="1" x14ac:dyDescent="0.4">
      <c r="A2070" s="4">
        <f>ROW()</f>
        <v>2070</v>
      </c>
      <c r="B2070" s="9" t="s">
        <v>27</v>
      </c>
      <c r="C2070" s="44" t="str">
        <f t="shared" ref="C2070" si="999">SUBSTITUTE(F2070,"d.","p.")</f>
        <v>p.pintar</v>
      </c>
      <c r="D2070" s="6" t="str">
        <f t="shared" ref="D2070" si="1000">_xlfn.CONCAT("é.",G2070)</f>
        <v>é.acabamento.sintecado</v>
      </c>
      <c r="E2070" s="8" t="s">
        <v>28</v>
      </c>
      <c r="F2070" s="34" t="str">
        <f t="shared" si="998"/>
        <v>d.pintar</v>
      </c>
      <c r="G2070" s="13" t="s">
        <v>1514</v>
      </c>
      <c r="H2070" s="33" t="s">
        <v>1581</v>
      </c>
      <c r="I2070" s="92" t="str">
        <f t="shared" si="989"/>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ref="U2070" si="1001">_xlfn.CONCAT("Propriedade destinada a ",MID(C2070,FIND("p.",C2070,1)+2,100),": ",D2070)</f>
        <v>Propriedade destinada a pintar: é.acabamento.sintecado</v>
      </c>
      <c r="V2070" s="5" t="str">
        <f t="shared" ref="V2070" si="1002">_xlfn.CONCAT("Dado para ",MID(F2070,FIND("d.",F2070,1)+2,100),":  ",G2070, "  Deve ser formatado como (",H2070, ")")</f>
        <v>Dado para pintar:  acabamento.sintecado  Deve ser formatado como (rdfs:Literal  or  xsd:string)</v>
      </c>
      <c r="W2070" s="69" t="s">
        <v>4290</v>
      </c>
      <c r="X2070" s="17" t="str">
        <f t="shared" si="993"/>
        <v>d.pinta.103</v>
      </c>
      <c r="Y2070" s="17" t="str">
        <f t="shared" si="994"/>
        <v>Ação de pintar</v>
      </c>
      <c r="Z2070" s="62" t="s">
        <v>4291</v>
      </c>
      <c r="AA2070" s="18" t="str">
        <f t="shared" ref="AA2070" si="1003">IF(AB2070="null", "null", "categoria.revit")</f>
        <v>null</v>
      </c>
      <c r="AB2070" s="19" t="s">
        <v>0</v>
      </c>
      <c r="AC2070" s="18" t="str">
        <f t="shared" ref="AC2070" si="1004">IF(AD2070="null", "null", "classe.ifc")</f>
        <v>null</v>
      </c>
      <c r="AD2070" s="19" t="s">
        <v>0</v>
      </c>
      <c r="AE2070" s="18" t="str">
        <f t="shared" ref="AE2070" si="1005">IF(AF2070="null", "null", "propriedade")</f>
        <v>propriedade</v>
      </c>
      <c r="AF2070" s="75" t="s">
        <v>1897</v>
      </c>
      <c r="AG2070" s="38" t="s">
        <v>8997</v>
      </c>
    </row>
    <row r="2071" spans="1:33" ht="6" customHeight="1" x14ac:dyDescent="0.4">
      <c r="A2071" s="4">
        <f>ROW()</f>
        <v>2071</v>
      </c>
      <c r="B2071" s="9" t="s">
        <v>27</v>
      </c>
      <c r="C2071" s="44" t="str">
        <f t="shared" si="997"/>
        <v>p.pintar</v>
      </c>
      <c r="D2071" s="6" t="str">
        <f>_xlfn.CONCAT("é.",G2071)</f>
        <v>é.acabamento.texturizado</v>
      </c>
      <c r="E2071" s="8" t="s">
        <v>28</v>
      </c>
      <c r="F2071" s="34" t="str">
        <f t="shared" si="998"/>
        <v>d.pintar</v>
      </c>
      <c r="G2071" s="13" t="s">
        <v>1512</v>
      </c>
      <c r="H2071" s="33" t="s">
        <v>1581</v>
      </c>
      <c r="I2071" s="92" t="str">
        <f t="shared" si="989"/>
        <v>null</v>
      </c>
      <c r="J2071" s="80" t="s">
        <v>0</v>
      </c>
      <c r="K2071" s="80" t="s">
        <v>0</v>
      </c>
      <c r="L2071" s="80" t="s">
        <v>0</v>
      </c>
      <c r="M2071" s="80" t="s">
        <v>0</v>
      </c>
      <c r="N2071" s="80" t="s">
        <v>0</v>
      </c>
      <c r="O2071" s="80" t="s">
        <v>0</v>
      </c>
      <c r="P2071" s="80" t="s">
        <v>0</v>
      </c>
      <c r="Q2071" s="80" t="s">
        <v>0</v>
      </c>
      <c r="R2071" s="84" t="s">
        <v>0</v>
      </c>
      <c r="S2071" s="10" t="s">
        <v>1</v>
      </c>
      <c r="T2071" s="10" t="s">
        <v>10221</v>
      </c>
      <c r="U2071" s="5" t="str">
        <f>_xlfn.CONCAT("Propriedade destinada a ",MID(C2071,FIND("p.",C2071,1)+2,100),": ",D2071)</f>
        <v>Propriedade destinada a pintar: é.acabamento.texturizado</v>
      </c>
      <c r="V2071" s="5" t="str">
        <f>_xlfn.CONCAT("Dado para ",MID(F2071,FIND("d.",F2071,1)+2,100),":  ",G2071, "  Deve ser formatado como (",H2071, ")")</f>
        <v>Dado para pintar:  acabamento.texturizado  Deve ser formatado como (rdfs:Literal  or  xsd:string)</v>
      </c>
      <c r="W2071" s="69" t="s">
        <v>6040</v>
      </c>
      <c r="X2071" s="17" t="str">
        <f t="shared" si="993"/>
        <v>d.pinta.104</v>
      </c>
      <c r="Y2071" s="17" t="str">
        <f t="shared" si="994"/>
        <v>Ação de pintar</v>
      </c>
      <c r="Z2071" s="62" t="s">
        <v>4287</v>
      </c>
      <c r="AA2071" s="18" t="str">
        <f>IF(AB2071="null", "null", "categoria.revit")</f>
        <v>null</v>
      </c>
      <c r="AB2071" s="19" t="s">
        <v>0</v>
      </c>
      <c r="AC2071" s="18" t="str">
        <f>IF(AD2071="null", "null", "classe.ifc")</f>
        <v>null</v>
      </c>
      <c r="AD2071" s="19" t="s">
        <v>0</v>
      </c>
      <c r="AE2071" s="18" t="str">
        <f>IF(AF2071="null", "null", "propriedade")</f>
        <v>propriedade</v>
      </c>
      <c r="AF2071" s="75" t="s">
        <v>1895</v>
      </c>
      <c r="AG2071" s="38" t="s">
        <v>8998</v>
      </c>
    </row>
    <row r="2072" spans="1:33" ht="6" customHeight="1" x14ac:dyDescent="0.4">
      <c r="A2072" s="4">
        <f>ROW()</f>
        <v>2072</v>
      </c>
      <c r="B2072" s="9" t="s">
        <v>27</v>
      </c>
      <c r="C2072" s="44" t="str">
        <f t="shared" si="997"/>
        <v>p.pintar</v>
      </c>
      <c r="D2072" s="6" t="str">
        <f t="shared" ref="D2072" si="1006">_xlfn.CONCAT("é.",G2072)</f>
        <v>é.demão</v>
      </c>
      <c r="E2072" s="8" t="s">
        <v>28</v>
      </c>
      <c r="F2072" s="34" t="str">
        <f t="shared" si="998"/>
        <v>d.pintar</v>
      </c>
      <c r="G2072" s="13" t="s">
        <v>3372</v>
      </c>
      <c r="H2072" s="34" t="s">
        <v>32</v>
      </c>
      <c r="I2072" s="92" t="str">
        <f t="shared" si="989"/>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ref="U2072" si="1007">_xlfn.CONCAT("Propriedade destinada a ",MID(C2072,FIND("p.",C2072,1)+2,100),": ",D2072)</f>
        <v>Propriedade destinada a pintar: é.demão</v>
      </c>
      <c r="V2072" s="5" t="str">
        <f t="shared" ref="V2072" si="1008">_xlfn.CONCAT("Dado para ",MID(F2072,FIND("d.",F2072,1)+2,100),":  ",G2072, "  Deve ser formatado como (",H2072, ")")</f>
        <v>Dado para pintar:  demão  Deve ser formatado como (xsd:integer)</v>
      </c>
      <c r="W2072" s="69" t="s">
        <v>6041</v>
      </c>
      <c r="X2072" s="17" t="str">
        <f t="shared" si="993"/>
        <v>d.pinta.105</v>
      </c>
      <c r="Y2072" s="17" t="str">
        <f t="shared" si="994"/>
        <v>Ação de pintar</v>
      </c>
      <c r="Z2072" s="62" t="s">
        <v>3818</v>
      </c>
      <c r="AA2072" s="18" t="str">
        <f t="shared" ref="AA2072" si="1009">IF(AB2072="null", "null", "categoria.revit")</f>
        <v>null</v>
      </c>
      <c r="AB2072" s="19" t="s">
        <v>0</v>
      </c>
      <c r="AC2072" s="18" t="str">
        <f t="shared" ref="AC2072" si="1010">IF(AD2072="null", "null", "classe.ifc")</f>
        <v>null</v>
      </c>
      <c r="AD2072" s="19" t="s">
        <v>0</v>
      </c>
      <c r="AE2072" s="18" t="str">
        <f t="shared" ref="AE2072" si="1011">IF(AF2072="null", "null", "propriedade")</f>
        <v>null</v>
      </c>
      <c r="AF2072" s="75" t="s">
        <v>0</v>
      </c>
      <c r="AG2072" s="38" t="s">
        <v>8999</v>
      </c>
    </row>
    <row r="2073" spans="1:33" ht="6" customHeight="1" x14ac:dyDescent="0.4">
      <c r="A2073" s="4">
        <f>ROW()</f>
        <v>2073</v>
      </c>
      <c r="B2073" s="9" t="s">
        <v>27</v>
      </c>
      <c r="C2073" s="44" t="str">
        <f t="shared" si="997"/>
        <v>p.pintar</v>
      </c>
      <c r="D2073" s="6" t="str">
        <f t="shared" ref="D2073:D2086" si="1012">_xlfn.CONCAT("é.",G2073)</f>
        <v>é.demão.acabamento</v>
      </c>
      <c r="E2073" s="8" t="s">
        <v>28</v>
      </c>
      <c r="F2073" s="34" t="str">
        <f t="shared" si="998"/>
        <v>d.pintar</v>
      </c>
      <c r="G2073" s="13" t="s">
        <v>3376</v>
      </c>
      <c r="H2073" s="34" t="s">
        <v>1581</v>
      </c>
      <c r="I2073" s="92" t="str">
        <f t="shared" si="989"/>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ref="U2073:U2086" si="1013">_xlfn.CONCAT("Propriedade destinada a ",MID(C2073,FIND("p.",C2073,1)+2,100),": ",D2073)</f>
        <v>Propriedade destinada a pintar: é.demão.acabamento</v>
      </c>
      <c r="V2073" s="5" t="str">
        <f t="shared" ref="V2073:V2086" si="1014">_xlfn.CONCAT("Dado para ",MID(F2073,FIND("d.",F2073,1)+2,100),":  ",G2073, "  Deve ser formatado como (",H2073, ")")</f>
        <v>Dado para pintar:  demão.acabamento  Deve ser formatado como (rdfs:Literal  or  xsd:string)</v>
      </c>
      <c r="W2073" s="69" t="s">
        <v>3377</v>
      </c>
      <c r="X2073" s="17" t="str">
        <f t="shared" si="993"/>
        <v>d.pinta.106</v>
      </c>
      <c r="Y2073" s="17" t="str">
        <f t="shared" si="994"/>
        <v>Ação de pintar</v>
      </c>
      <c r="Z2073" s="62" t="s">
        <v>3819</v>
      </c>
      <c r="AA2073" s="18" t="str">
        <f t="shared" ref="AA2073:AA2086" si="1015">IF(AB2073="null", "null", "categoria.revit")</f>
        <v>null</v>
      </c>
      <c r="AB2073" s="19" t="s">
        <v>0</v>
      </c>
      <c r="AC2073" s="18" t="str">
        <f t="shared" ref="AC2073:AC2086" si="1016">IF(AD2073="null", "null", "classe.ifc")</f>
        <v>null</v>
      </c>
      <c r="AD2073" s="19" t="s">
        <v>0</v>
      </c>
      <c r="AE2073" s="18" t="str">
        <f t="shared" ref="AE2073:AE2086" si="1017">IF(AF2073="null", "null", "propriedade")</f>
        <v>null</v>
      </c>
      <c r="AF2073" s="75" t="s">
        <v>0</v>
      </c>
      <c r="AG2073" s="38" t="s">
        <v>9000</v>
      </c>
    </row>
    <row r="2074" spans="1:33" ht="6" customHeight="1" x14ac:dyDescent="0.4">
      <c r="A2074" s="4">
        <f>ROW()</f>
        <v>2074</v>
      </c>
      <c r="B2074" s="9" t="s">
        <v>27</v>
      </c>
      <c r="C2074" s="44" t="str">
        <f t="shared" si="997"/>
        <v>p.pintar</v>
      </c>
      <c r="D2074" s="6" t="str">
        <f t="shared" si="1012"/>
        <v>é.demão.anticorrosiva</v>
      </c>
      <c r="E2074" s="8" t="s">
        <v>28</v>
      </c>
      <c r="F2074" s="34" t="str">
        <f t="shared" si="998"/>
        <v>d.pintar</v>
      </c>
      <c r="G2074" s="13" t="s">
        <v>3381</v>
      </c>
      <c r="H2074" s="34" t="s">
        <v>1581</v>
      </c>
      <c r="I2074" s="92" t="str">
        <f t="shared" si="989"/>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1013"/>
        <v>Propriedade destinada a pintar: é.demão.anticorrosiva</v>
      </c>
      <c r="V2074" s="5" t="str">
        <f t="shared" si="1014"/>
        <v>Dado para pintar:  demão.anticorrosiva  Deve ser formatado como (rdfs:Literal  or  xsd:string)</v>
      </c>
      <c r="W2074" s="69" t="s">
        <v>3387</v>
      </c>
      <c r="X2074" s="17" t="str">
        <f t="shared" si="993"/>
        <v>d.pinta.107</v>
      </c>
      <c r="Y2074" s="17" t="str">
        <f t="shared" si="994"/>
        <v>Ação de pintar</v>
      </c>
      <c r="Z2074" s="62" t="s">
        <v>3820</v>
      </c>
      <c r="AA2074" s="18" t="str">
        <f t="shared" si="1015"/>
        <v>null</v>
      </c>
      <c r="AB2074" s="19" t="s">
        <v>0</v>
      </c>
      <c r="AC2074" s="18" t="str">
        <f t="shared" si="1016"/>
        <v>null</v>
      </c>
      <c r="AD2074" s="19" t="s">
        <v>0</v>
      </c>
      <c r="AE2074" s="18" t="str">
        <f t="shared" si="1017"/>
        <v>null</v>
      </c>
      <c r="AF2074" s="75" t="s">
        <v>0</v>
      </c>
      <c r="AG2074" s="38" t="s">
        <v>9001</v>
      </c>
    </row>
    <row r="2075" spans="1:33" ht="6" customHeight="1" x14ac:dyDescent="0.4">
      <c r="A2075" s="4">
        <f>ROW()</f>
        <v>2075</v>
      </c>
      <c r="B2075" s="9" t="s">
        <v>27</v>
      </c>
      <c r="C2075" s="44" t="str">
        <f t="shared" si="997"/>
        <v>p.pintar</v>
      </c>
      <c r="D2075" s="6" t="str">
        <f t="shared" si="1012"/>
        <v>é.demão.antifungo</v>
      </c>
      <c r="E2075" s="8" t="s">
        <v>28</v>
      </c>
      <c r="F2075" s="34" t="str">
        <f t="shared" si="998"/>
        <v>d.pintar</v>
      </c>
      <c r="G2075" s="13" t="s">
        <v>3382</v>
      </c>
      <c r="H2075" s="34" t="s">
        <v>1581</v>
      </c>
      <c r="I2075" s="92" t="str">
        <f t="shared" si="989"/>
        <v>null</v>
      </c>
      <c r="J2075" s="80" t="s">
        <v>0</v>
      </c>
      <c r="K2075" s="80" t="s">
        <v>0</v>
      </c>
      <c r="L2075" s="80" t="s">
        <v>0</v>
      </c>
      <c r="M2075" s="80" t="s">
        <v>0</v>
      </c>
      <c r="N2075" s="80" t="s">
        <v>0</v>
      </c>
      <c r="O2075" s="80" t="s">
        <v>0</v>
      </c>
      <c r="P2075" s="80" t="s">
        <v>0</v>
      </c>
      <c r="Q2075" s="80" t="s">
        <v>0</v>
      </c>
      <c r="R2075" s="84" t="s">
        <v>0</v>
      </c>
      <c r="S2075" s="10" t="s">
        <v>1</v>
      </c>
      <c r="T2075" s="10" t="s">
        <v>10221</v>
      </c>
      <c r="U2075" s="5" t="str">
        <f t="shared" si="1013"/>
        <v>Propriedade destinada a pintar: é.demão.antifungo</v>
      </c>
      <c r="V2075" s="5" t="str">
        <f t="shared" si="1014"/>
        <v>Dado para pintar:  demão.antifungo  Deve ser formatado como (rdfs:Literal  or  xsd:string)</v>
      </c>
      <c r="W2075" s="69" t="s">
        <v>3385</v>
      </c>
      <c r="X2075" s="17" t="str">
        <f t="shared" si="993"/>
        <v>d.pinta.108</v>
      </c>
      <c r="Y2075" s="17" t="str">
        <f t="shared" si="994"/>
        <v>Ação de pintar</v>
      </c>
      <c r="Z2075" s="62" t="s">
        <v>3821</v>
      </c>
      <c r="AA2075" s="18" t="str">
        <f t="shared" si="1015"/>
        <v>null</v>
      </c>
      <c r="AB2075" s="19" t="s">
        <v>0</v>
      </c>
      <c r="AC2075" s="18" t="str">
        <f t="shared" si="1016"/>
        <v>null</v>
      </c>
      <c r="AD2075" s="19" t="s">
        <v>0</v>
      </c>
      <c r="AE2075" s="18" t="str">
        <f t="shared" si="1017"/>
        <v>null</v>
      </c>
      <c r="AF2075" s="75" t="s">
        <v>0</v>
      </c>
      <c r="AG2075" s="38" t="s">
        <v>9002</v>
      </c>
    </row>
    <row r="2076" spans="1:33" ht="6" customHeight="1" x14ac:dyDescent="0.4">
      <c r="A2076" s="4">
        <f>ROW()</f>
        <v>2076</v>
      </c>
      <c r="B2076" s="9" t="s">
        <v>27</v>
      </c>
      <c r="C2076" s="44" t="str">
        <f t="shared" si="997"/>
        <v>p.pintar</v>
      </c>
      <c r="D2076" s="6" t="str">
        <f t="shared" si="1012"/>
        <v>é.demão.eletrostática</v>
      </c>
      <c r="E2076" s="8" t="s">
        <v>28</v>
      </c>
      <c r="F2076" s="34" t="str">
        <f t="shared" si="998"/>
        <v>d.pintar</v>
      </c>
      <c r="G2076" s="13" t="s">
        <v>3383</v>
      </c>
      <c r="H2076" s="34" t="s">
        <v>1581</v>
      </c>
      <c r="I2076" s="92" t="str">
        <f t="shared" si="989"/>
        <v>null</v>
      </c>
      <c r="J2076" s="80" t="s">
        <v>0</v>
      </c>
      <c r="K2076" s="80" t="s">
        <v>0</v>
      </c>
      <c r="L2076" s="80" t="s">
        <v>0</v>
      </c>
      <c r="M2076" s="80" t="s">
        <v>0</v>
      </c>
      <c r="N2076" s="80" t="s">
        <v>0</v>
      </c>
      <c r="O2076" s="80" t="s">
        <v>0</v>
      </c>
      <c r="P2076" s="80" t="s">
        <v>0</v>
      </c>
      <c r="Q2076" s="80" t="s">
        <v>0</v>
      </c>
      <c r="R2076" s="84" t="s">
        <v>0</v>
      </c>
      <c r="S2076" s="10" t="s">
        <v>1</v>
      </c>
      <c r="T2076" s="10" t="s">
        <v>10221</v>
      </c>
      <c r="U2076" s="5" t="str">
        <f t="shared" si="1013"/>
        <v>Propriedade destinada a pintar: é.demão.eletrostática</v>
      </c>
      <c r="V2076" s="5" t="str">
        <f t="shared" si="1014"/>
        <v>Dado para pintar:  demão.eletrostática  Deve ser formatado como (rdfs:Literal  or  xsd:string)</v>
      </c>
      <c r="W2076" s="69" t="s">
        <v>3384</v>
      </c>
      <c r="X2076" s="17" t="str">
        <f t="shared" si="993"/>
        <v>d.pinta.109</v>
      </c>
      <c r="Y2076" s="17" t="str">
        <f t="shared" si="994"/>
        <v>Ação de pintar</v>
      </c>
      <c r="Z2076" s="62" t="s">
        <v>3822</v>
      </c>
      <c r="AA2076" s="18" t="str">
        <f t="shared" si="1015"/>
        <v>null</v>
      </c>
      <c r="AB2076" s="19" t="s">
        <v>0</v>
      </c>
      <c r="AC2076" s="18" t="str">
        <f t="shared" si="1016"/>
        <v>null</v>
      </c>
      <c r="AD2076" s="19" t="s">
        <v>0</v>
      </c>
      <c r="AE2076" s="18" t="str">
        <f t="shared" si="1017"/>
        <v>null</v>
      </c>
      <c r="AF2076" s="75" t="s">
        <v>0</v>
      </c>
      <c r="AG2076" s="38" t="s">
        <v>9003</v>
      </c>
    </row>
    <row r="2077" spans="1:33" ht="6" customHeight="1" x14ac:dyDescent="0.4">
      <c r="A2077" s="4">
        <f>ROW()</f>
        <v>2077</v>
      </c>
      <c r="B2077" s="9" t="s">
        <v>27</v>
      </c>
      <c r="C2077" s="44" t="str">
        <f t="shared" si="997"/>
        <v>p.pintar</v>
      </c>
      <c r="D2077" s="6" t="str">
        <f t="shared" si="1012"/>
        <v>é.demão.intermédia</v>
      </c>
      <c r="E2077" s="8" t="s">
        <v>28</v>
      </c>
      <c r="F2077" s="34" t="str">
        <f t="shared" si="998"/>
        <v>d.pintar</v>
      </c>
      <c r="G2077" s="13" t="s">
        <v>3375</v>
      </c>
      <c r="H2077" s="34" t="s">
        <v>1581</v>
      </c>
      <c r="I2077" s="92" t="str">
        <f t="shared" si="989"/>
        <v>null</v>
      </c>
      <c r="J2077" s="80" t="s">
        <v>0</v>
      </c>
      <c r="K2077" s="80" t="s">
        <v>0</v>
      </c>
      <c r="L2077" s="80" t="s">
        <v>0</v>
      </c>
      <c r="M2077" s="80" t="s">
        <v>0</v>
      </c>
      <c r="N2077" s="80" t="s">
        <v>0</v>
      </c>
      <c r="O2077" s="80" t="s">
        <v>0</v>
      </c>
      <c r="P2077" s="80" t="s">
        <v>0</v>
      </c>
      <c r="Q2077" s="80" t="s">
        <v>0</v>
      </c>
      <c r="R2077" s="84" t="s">
        <v>0</v>
      </c>
      <c r="S2077" s="10" t="s">
        <v>1</v>
      </c>
      <c r="T2077" s="10" t="s">
        <v>10221</v>
      </c>
      <c r="U2077" s="5" t="str">
        <f t="shared" si="1013"/>
        <v>Propriedade destinada a pintar: é.demão.intermédia</v>
      </c>
      <c r="V2077" s="5" t="str">
        <f t="shared" si="1014"/>
        <v>Dado para pintar:  demão.intermédia  Deve ser formatado como (rdfs:Literal  or  xsd:string)</v>
      </c>
      <c r="W2077" s="69" t="s">
        <v>3380</v>
      </c>
      <c r="X2077" s="17" t="str">
        <f t="shared" si="993"/>
        <v>d.pinta.110</v>
      </c>
      <c r="Y2077" s="17" t="str">
        <f t="shared" si="994"/>
        <v>Ação de pintar</v>
      </c>
      <c r="Z2077" s="62" t="s">
        <v>3823</v>
      </c>
      <c r="AA2077" s="18" t="str">
        <f t="shared" si="1015"/>
        <v>null</v>
      </c>
      <c r="AB2077" s="19" t="s">
        <v>0</v>
      </c>
      <c r="AC2077" s="18" t="str">
        <f t="shared" si="1016"/>
        <v>null</v>
      </c>
      <c r="AD2077" s="19" t="s">
        <v>0</v>
      </c>
      <c r="AE2077" s="18" t="str">
        <f t="shared" si="1017"/>
        <v>null</v>
      </c>
      <c r="AF2077" s="75" t="s">
        <v>0</v>
      </c>
      <c r="AG2077" s="38" t="s">
        <v>9004</v>
      </c>
    </row>
    <row r="2078" spans="1:33" ht="6" customHeight="1" x14ac:dyDescent="0.4">
      <c r="A2078" s="4">
        <f>ROW()</f>
        <v>2078</v>
      </c>
      <c r="B2078" s="9" t="s">
        <v>27</v>
      </c>
      <c r="C2078" s="44" t="str">
        <f t="shared" si="997"/>
        <v>p.pintar</v>
      </c>
      <c r="D2078" s="6" t="str">
        <f t="shared" si="1012"/>
        <v>é.demão.primer</v>
      </c>
      <c r="E2078" s="8" t="s">
        <v>28</v>
      </c>
      <c r="F2078" s="34" t="str">
        <f t="shared" si="998"/>
        <v>d.pintar</v>
      </c>
      <c r="G2078" s="13" t="s">
        <v>3374</v>
      </c>
      <c r="H2078" s="34" t="s">
        <v>1581</v>
      </c>
      <c r="I2078" s="92" t="str">
        <f t="shared" si="989"/>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si="1013"/>
        <v>Propriedade destinada a pintar: é.demão.primer</v>
      </c>
      <c r="V2078" s="5" t="str">
        <f t="shared" si="1014"/>
        <v>Dado para pintar:  demão.primer  Deve ser formatado como (rdfs:Literal  or  xsd:string)</v>
      </c>
      <c r="W2078" s="69" t="s">
        <v>3379</v>
      </c>
      <c r="X2078" s="17" t="str">
        <f t="shared" si="993"/>
        <v>d.pinta.111</v>
      </c>
      <c r="Y2078" s="17" t="str">
        <f t="shared" si="994"/>
        <v>Ação de pintar</v>
      </c>
      <c r="Z2078" s="62" t="s">
        <v>3824</v>
      </c>
      <c r="AA2078" s="18" t="str">
        <f t="shared" si="1015"/>
        <v>null</v>
      </c>
      <c r="AB2078" s="19" t="s">
        <v>0</v>
      </c>
      <c r="AC2078" s="18" t="str">
        <f t="shared" si="1016"/>
        <v>null</v>
      </c>
      <c r="AD2078" s="19" t="s">
        <v>0</v>
      </c>
      <c r="AE2078" s="18" t="str">
        <f t="shared" si="1017"/>
        <v>null</v>
      </c>
      <c r="AF2078" s="75" t="s">
        <v>0</v>
      </c>
      <c r="AG2078" s="38" t="s">
        <v>9005</v>
      </c>
    </row>
    <row r="2079" spans="1:33" ht="6" customHeight="1" x14ac:dyDescent="0.4">
      <c r="A2079" s="4">
        <f>ROW()</f>
        <v>2079</v>
      </c>
      <c r="B2079" s="9" t="s">
        <v>27</v>
      </c>
      <c r="C2079" s="44" t="str">
        <f t="shared" si="997"/>
        <v>p.pintar</v>
      </c>
      <c r="D2079" s="6" t="str">
        <f t="shared" si="1012"/>
        <v>é.demão.rendimento</v>
      </c>
      <c r="E2079" s="8" t="s">
        <v>28</v>
      </c>
      <c r="F2079" s="34" t="str">
        <f t="shared" si="998"/>
        <v>d.pintar</v>
      </c>
      <c r="G2079" s="13" t="s">
        <v>3389</v>
      </c>
      <c r="H2079" s="34" t="s">
        <v>35</v>
      </c>
      <c r="I2079" s="92" t="str">
        <f t="shared" si="989"/>
        <v>null</v>
      </c>
      <c r="J2079" s="80" t="s">
        <v>0</v>
      </c>
      <c r="K2079" s="80" t="s">
        <v>0</v>
      </c>
      <c r="L2079" s="80" t="s">
        <v>0</v>
      </c>
      <c r="M2079" s="80" t="s">
        <v>0</v>
      </c>
      <c r="N2079" s="80" t="s">
        <v>0</v>
      </c>
      <c r="O2079" s="80" t="s">
        <v>0</v>
      </c>
      <c r="P2079" s="80" t="s">
        <v>0</v>
      </c>
      <c r="Q2079" s="80" t="s">
        <v>0</v>
      </c>
      <c r="R2079" s="84" t="s">
        <v>0</v>
      </c>
      <c r="S2079" s="10" t="s">
        <v>1</v>
      </c>
      <c r="T2079" s="10" t="s">
        <v>10221</v>
      </c>
      <c r="U2079" s="5" t="str">
        <f t="shared" si="1013"/>
        <v>Propriedade destinada a pintar: é.demão.rendimento</v>
      </c>
      <c r="V2079" s="5" t="str">
        <f t="shared" si="1014"/>
        <v>Dado para pintar:  demão.rendimento  Deve ser formatado como (xsd:double)</v>
      </c>
      <c r="W2079" s="69" t="s">
        <v>6042</v>
      </c>
      <c r="X2079" s="17" t="str">
        <f t="shared" si="993"/>
        <v>d.pinta.112</v>
      </c>
      <c r="Y2079" s="17" t="str">
        <f t="shared" si="994"/>
        <v>Ação de pintar</v>
      </c>
      <c r="Z2079" s="62" t="s">
        <v>4757</v>
      </c>
      <c r="AA2079" s="18" t="str">
        <f t="shared" si="1015"/>
        <v>null</v>
      </c>
      <c r="AB2079" s="19" t="s">
        <v>0</v>
      </c>
      <c r="AC2079" s="18" t="str">
        <f t="shared" si="1016"/>
        <v>null</v>
      </c>
      <c r="AD2079" s="19" t="s">
        <v>0</v>
      </c>
      <c r="AE2079" s="18" t="str">
        <f t="shared" si="1017"/>
        <v>null</v>
      </c>
      <c r="AF2079" s="75" t="s">
        <v>0</v>
      </c>
      <c r="AG2079" s="38" t="s">
        <v>9006</v>
      </c>
    </row>
    <row r="2080" spans="1:33" ht="6" customHeight="1" x14ac:dyDescent="0.4">
      <c r="A2080" s="4">
        <f>ROW()</f>
        <v>2080</v>
      </c>
      <c r="B2080" s="9" t="s">
        <v>27</v>
      </c>
      <c r="C2080" s="44" t="str">
        <f t="shared" si="997"/>
        <v>p.pintar</v>
      </c>
      <c r="D2080" s="6" t="str">
        <f t="shared" si="1012"/>
        <v>é.demão.selador</v>
      </c>
      <c r="E2080" s="8" t="s">
        <v>28</v>
      </c>
      <c r="F2080" s="34" t="str">
        <f t="shared" si="998"/>
        <v>d.pintar</v>
      </c>
      <c r="G2080" s="13" t="s">
        <v>3373</v>
      </c>
      <c r="H2080" s="34" t="s">
        <v>1581</v>
      </c>
      <c r="I2080" s="92" t="str">
        <f t="shared" si="989"/>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si="1013"/>
        <v>Propriedade destinada a pintar: é.demão.selador</v>
      </c>
      <c r="V2080" s="5" t="str">
        <f t="shared" si="1014"/>
        <v>Dado para pintar:  demão.selador  Deve ser formatado como (rdfs:Literal  or  xsd:string)</v>
      </c>
      <c r="W2080" s="69" t="s">
        <v>3378</v>
      </c>
      <c r="X2080" s="17" t="str">
        <f t="shared" si="993"/>
        <v>d.pinta.113</v>
      </c>
      <c r="Y2080" s="17" t="str">
        <f t="shared" si="994"/>
        <v>Ação de pintar</v>
      </c>
      <c r="Z2080" s="62" t="s">
        <v>3825</v>
      </c>
      <c r="AA2080" s="18" t="str">
        <f t="shared" si="1015"/>
        <v>null</v>
      </c>
      <c r="AB2080" s="19" t="s">
        <v>0</v>
      </c>
      <c r="AC2080" s="18" t="str">
        <f t="shared" si="1016"/>
        <v>null</v>
      </c>
      <c r="AD2080" s="19" t="s">
        <v>0</v>
      </c>
      <c r="AE2080" s="18" t="str">
        <f t="shared" si="1017"/>
        <v>null</v>
      </c>
      <c r="AF2080" s="75" t="s">
        <v>0</v>
      </c>
      <c r="AG2080" s="38" t="s">
        <v>9007</v>
      </c>
    </row>
    <row r="2081" spans="1:33" ht="6" customHeight="1" x14ac:dyDescent="0.4">
      <c r="A2081" s="4">
        <f>ROW()</f>
        <v>2081</v>
      </c>
      <c r="B2081" s="9" t="s">
        <v>27</v>
      </c>
      <c r="C2081" s="44" t="str">
        <f t="shared" si="997"/>
        <v>p.pintar</v>
      </c>
      <c r="D2081" s="6" t="str">
        <f t="shared" si="1012"/>
        <v>é.demão.verniz</v>
      </c>
      <c r="E2081" s="8" t="s">
        <v>28</v>
      </c>
      <c r="F2081" s="34" t="str">
        <f t="shared" si="998"/>
        <v>d.pintar</v>
      </c>
      <c r="G2081" s="13" t="s">
        <v>3386</v>
      </c>
      <c r="H2081" s="34" t="s">
        <v>1581</v>
      </c>
      <c r="I2081" s="92" t="str">
        <f t="shared" si="989"/>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si="1013"/>
        <v>Propriedade destinada a pintar: é.demão.verniz</v>
      </c>
      <c r="V2081" s="5" t="str">
        <f t="shared" si="1014"/>
        <v>Dado para pintar:  demão.verniz  Deve ser formatado como (rdfs:Literal  or  xsd:string)</v>
      </c>
      <c r="W2081" s="69" t="s">
        <v>3388</v>
      </c>
      <c r="X2081" s="17" t="str">
        <f t="shared" si="993"/>
        <v>d.pinta.114</v>
      </c>
      <c r="Y2081" s="17" t="str">
        <f t="shared" si="994"/>
        <v>Ação de pintar</v>
      </c>
      <c r="Z2081" s="62" t="s">
        <v>3826</v>
      </c>
      <c r="AA2081" s="18" t="str">
        <f t="shared" si="1015"/>
        <v>null</v>
      </c>
      <c r="AB2081" s="19" t="s">
        <v>0</v>
      </c>
      <c r="AC2081" s="18" t="str">
        <f t="shared" si="1016"/>
        <v>null</v>
      </c>
      <c r="AD2081" s="19" t="s">
        <v>0</v>
      </c>
      <c r="AE2081" s="18" t="str">
        <f t="shared" si="1017"/>
        <v>null</v>
      </c>
      <c r="AF2081" s="75" t="s">
        <v>0</v>
      </c>
      <c r="AG2081" s="38" t="s">
        <v>9008</v>
      </c>
    </row>
    <row r="2082" spans="1:33" ht="6" customHeight="1" x14ac:dyDescent="0.4">
      <c r="A2082" s="4">
        <f>ROW()</f>
        <v>2082</v>
      </c>
      <c r="B2082" s="9" t="s">
        <v>27</v>
      </c>
      <c r="C2082" s="44" t="str">
        <f t="shared" si="997"/>
        <v>p.pintar</v>
      </c>
      <c r="D2082" s="6" t="str">
        <f t="shared" si="1012"/>
        <v>é.demãos.de.tinta</v>
      </c>
      <c r="E2082" s="8" t="s">
        <v>28</v>
      </c>
      <c r="F2082" s="34" t="str">
        <f t="shared" si="998"/>
        <v>d.pintar</v>
      </c>
      <c r="G2082" s="13" t="s">
        <v>577</v>
      </c>
      <c r="H2082" s="34" t="s">
        <v>32</v>
      </c>
      <c r="I2082" s="92" t="str">
        <f t="shared" si="989"/>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13"/>
        <v>Propriedade destinada a pintar: é.demãos.de.tinta</v>
      </c>
      <c r="V2082" s="5" t="str">
        <f t="shared" si="1014"/>
        <v>Dado para pintar:  demãos.de.tinta  Deve ser formatado como (xsd:integer)</v>
      </c>
      <c r="W2082" s="69" t="s">
        <v>6043</v>
      </c>
      <c r="X2082" s="17" t="str">
        <f t="shared" si="993"/>
        <v>d.pinta.115</v>
      </c>
      <c r="Y2082" s="17" t="str">
        <f t="shared" si="994"/>
        <v>Ação de pintar</v>
      </c>
      <c r="Z2082" s="62" t="s">
        <v>3827</v>
      </c>
      <c r="AA2082" s="18" t="str">
        <f t="shared" si="1015"/>
        <v>null</v>
      </c>
      <c r="AB2082" s="19" t="s">
        <v>0</v>
      </c>
      <c r="AC2082" s="18" t="str">
        <f t="shared" si="1016"/>
        <v>null</v>
      </c>
      <c r="AD2082" s="19" t="s">
        <v>0</v>
      </c>
      <c r="AE2082" s="18" t="str">
        <f t="shared" si="1017"/>
        <v>null</v>
      </c>
      <c r="AF2082" s="75" t="s">
        <v>0</v>
      </c>
      <c r="AG2082" s="38" t="s">
        <v>9009</v>
      </c>
    </row>
    <row r="2083" spans="1:33" ht="6" customHeight="1" x14ac:dyDescent="0.4">
      <c r="A2083" s="4">
        <f>ROW()</f>
        <v>2083</v>
      </c>
      <c r="B2083" s="9" t="s">
        <v>27</v>
      </c>
      <c r="C2083" s="44" t="str">
        <f t="shared" si="997"/>
        <v>p.pintar</v>
      </c>
      <c r="D2083" s="6" t="str">
        <f t="shared" si="1012"/>
        <v>é.emassada.com</v>
      </c>
      <c r="E2083" s="8" t="s">
        <v>28</v>
      </c>
      <c r="F2083" s="34" t="str">
        <f t="shared" si="998"/>
        <v>d.pintar</v>
      </c>
      <c r="G2083" s="13" t="s">
        <v>3011</v>
      </c>
      <c r="H2083" s="33" t="s">
        <v>1581</v>
      </c>
      <c r="I2083" s="92" t="str">
        <f t="shared" si="989"/>
        <v>null</v>
      </c>
      <c r="J2083" s="80" t="s">
        <v>0</v>
      </c>
      <c r="K2083" s="80" t="s">
        <v>0</v>
      </c>
      <c r="L2083" s="80" t="s">
        <v>0</v>
      </c>
      <c r="M2083" s="80" t="s">
        <v>0</v>
      </c>
      <c r="N2083" s="80" t="s">
        <v>0</v>
      </c>
      <c r="O2083" s="80" t="s">
        <v>0</v>
      </c>
      <c r="P2083" s="80" t="s">
        <v>0</v>
      </c>
      <c r="Q2083" s="80" t="s">
        <v>0</v>
      </c>
      <c r="R2083" s="84" t="s">
        <v>3013</v>
      </c>
      <c r="S2083" s="10" t="s">
        <v>1</v>
      </c>
      <c r="T2083" s="10" t="s">
        <v>10221</v>
      </c>
      <c r="U2083" s="5" t="str">
        <f t="shared" si="1013"/>
        <v>Propriedade destinada a pintar: é.emassada.com</v>
      </c>
      <c r="V2083" s="5" t="str">
        <f t="shared" si="1014"/>
        <v>Dado para pintar:  emassada.com  Deve ser formatado como (rdfs:Literal  or  xsd:string)</v>
      </c>
      <c r="W2083" s="69" t="s">
        <v>6044</v>
      </c>
      <c r="X2083" s="17" t="str">
        <f t="shared" si="993"/>
        <v>d.pinta.116</v>
      </c>
      <c r="Y2083" s="17" t="str">
        <f t="shared" si="994"/>
        <v>Ação de pintar</v>
      </c>
      <c r="Z2083" s="62" t="s">
        <v>3056</v>
      </c>
      <c r="AA2083" s="18" t="str">
        <f t="shared" si="1015"/>
        <v>null</v>
      </c>
      <c r="AB2083" s="19" t="s">
        <v>0</v>
      </c>
      <c r="AC2083" s="18" t="str">
        <f t="shared" si="1016"/>
        <v>null</v>
      </c>
      <c r="AD2083" s="19" t="s">
        <v>0</v>
      </c>
      <c r="AE2083" s="18" t="str">
        <f t="shared" si="1017"/>
        <v>null</v>
      </c>
      <c r="AF2083" s="75" t="s">
        <v>0</v>
      </c>
      <c r="AG2083" s="38" t="s">
        <v>9010</v>
      </c>
    </row>
    <row r="2084" spans="1:33" ht="6" customHeight="1" x14ac:dyDescent="0.4">
      <c r="A2084" s="4">
        <f>ROW()</f>
        <v>2084</v>
      </c>
      <c r="B2084" s="9" t="s">
        <v>27</v>
      </c>
      <c r="C2084" s="44" t="str">
        <f t="shared" si="997"/>
        <v>p.pintar</v>
      </c>
      <c r="D2084" s="6" t="str">
        <f t="shared" si="1012"/>
        <v>é.emassado.com</v>
      </c>
      <c r="E2084" s="8" t="s">
        <v>28</v>
      </c>
      <c r="F2084" s="34" t="str">
        <f t="shared" si="998"/>
        <v>d.pintar</v>
      </c>
      <c r="G2084" s="13" t="s">
        <v>3012</v>
      </c>
      <c r="H2084" s="33" t="s">
        <v>1581</v>
      </c>
      <c r="I2084" s="92" t="str">
        <f t="shared" si="989"/>
        <v>null</v>
      </c>
      <c r="J2084" s="80" t="s">
        <v>0</v>
      </c>
      <c r="K2084" s="80" t="s">
        <v>0</v>
      </c>
      <c r="L2084" s="80" t="s">
        <v>0</v>
      </c>
      <c r="M2084" s="80" t="s">
        <v>0</v>
      </c>
      <c r="N2084" s="80" t="s">
        <v>0</v>
      </c>
      <c r="O2084" s="80" t="s">
        <v>0</v>
      </c>
      <c r="P2084" s="80" t="s">
        <v>0</v>
      </c>
      <c r="Q2084" s="80" t="s">
        <v>0</v>
      </c>
      <c r="R2084" s="84" t="s">
        <v>3014</v>
      </c>
      <c r="S2084" s="10" t="s">
        <v>1</v>
      </c>
      <c r="T2084" s="10" t="s">
        <v>10221</v>
      </c>
      <c r="U2084" s="5" t="str">
        <f t="shared" si="1013"/>
        <v>Propriedade destinada a pintar: é.emassado.com</v>
      </c>
      <c r="V2084" s="5" t="str">
        <f t="shared" si="1014"/>
        <v>Dado para pintar:  emassado.com  Deve ser formatado como (rdfs:Literal  or  xsd:string)</v>
      </c>
      <c r="W2084" s="69" t="s">
        <v>6044</v>
      </c>
      <c r="X2084" s="17" t="str">
        <f t="shared" si="993"/>
        <v>d.pinta.117</v>
      </c>
      <c r="Y2084" s="17" t="str">
        <f t="shared" si="994"/>
        <v>Ação de pintar</v>
      </c>
      <c r="Z2084" s="62" t="s">
        <v>3056</v>
      </c>
      <c r="AA2084" s="18" t="str">
        <f t="shared" si="1015"/>
        <v>null</v>
      </c>
      <c r="AB2084" s="19" t="s">
        <v>0</v>
      </c>
      <c r="AC2084" s="18" t="str">
        <f t="shared" si="1016"/>
        <v>null</v>
      </c>
      <c r="AD2084" s="19" t="s">
        <v>0</v>
      </c>
      <c r="AE2084" s="18" t="str">
        <f t="shared" si="1017"/>
        <v>null</v>
      </c>
      <c r="AF2084" s="75" t="s">
        <v>0</v>
      </c>
      <c r="AG2084" s="38" t="s">
        <v>9010</v>
      </c>
    </row>
    <row r="2085" spans="1:33" ht="6" customHeight="1" x14ac:dyDescent="0.4">
      <c r="A2085" s="4">
        <f>ROW()</f>
        <v>2085</v>
      </c>
      <c r="B2085" s="9" t="s">
        <v>27</v>
      </c>
      <c r="C2085" s="44" t="str">
        <f t="shared" si="997"/>
        <v>p.pintar</v>
      </c>
      <c r="D2085" s="6" t="str">
        <f t="shared" si="1012"/>
        <v>é.pintada.com</v>
      </c>
      <c r="E2085" s="8" t="s">
        <v>28</v>
      </c>
      <c r="F2085" s="34" t="str">
        <f t="shared" si="998"/>
        <v>d.pintar</v>
      </c>
      <c r="G2085" s="13" t="s">
        <v>1506</v>
      </c>
      <c r="H2085" s="33" t="s">
        <v>1581</v>
      </c>
      <c r="I2085" s="92" t="str">
        <f t="shared" si="989"/>
        <v>null</v>
      </c>
      <c r="J2085" s="80" t="s">
        <v>0</v>
      </c>
      <c r="K2085" s="80" t="s">
        <v>0</v>
      </c>
      <c r="L2085" s="80" t="s">
        <v>0</v>
      </c>
      <c r="M2085" s="80" t="s">
        <v>0</v>
      </c>
      <c r="N2085" s="80" t="s">
        <v>0</v>
      </c>
      <c r="O2085" s="80" t="s">
        <v>0</v>
      </c>
      <c r="P2085" s="80" t="s">
        <v>0</v>
      </c>
      <c r="Q2085" s="80" t="s">
        <v>0</v>
      </c>
      <c r="R2085" s="84" t="s">
        <v>2526</v>
      </c>
      <c r="S2085" s="10" t="s">
        <v>1</v>
      </c>
      <c r="T2085" s="10" t="s">
        <v>10221</v>
      </c>
      <c r="U2085" s="5" t="str">
        <f t="shared" si="1013"/>
        <v>Propriedade destinada a pintar: é.pintada.com</v>
      </c>
      <c r="V2085" s="5" t="str">
        <f t="shared" si="1014"/>
        <v>Dado para pintar:  pintada.com  Deve ser formatado como (rdfs:Literal  or  xsd:string)</v>
      </c>
      <c r="W2085" s="69" t="s">
        <v>6045</v>
      </c>
      <c r="X2085" s="17" t="str">
        <f t="shared" si="993"/>
        <v>d.pinta.118</v>
      </c>
      <c r="Y2085" s="17" t="str">
        <f t="shared" si="994"/>
        <v>Ação de pintar</v>
      </c>
      <c r="Z2085" s="62" t="s">
        <v>3055</v>
      </c>
      <c r="AA2085" s="18" t="str">
        <f t="shared" si="1015"/>
        <v>null</v>
      </c>
      <c r="AB2085" s="19" t="s">
        <v>0</v>
      </c>
      <c r="AC2085" s="18" t="str">
        <f t="shared" si="1016"/>
        <v>null</v>
      </c>
      <c r="AD2085" s="19" t="s">
        <v>0</v>
      </c>
      <c r="AE2085" s="18" t="str">
        <f t="shared" si="1017"/>
        <v>null</v>
      </c>
      <c r="AF2085" s="75" t="s">
        <v>0</v>
      </c>
      <c r="AG2085" s="38" t="s">
        <v>9011</v>
      </c>
    </row>
    <row r="2086" spans="1:33" ht="6" customHeight="1" x14ac:dyDescent="0.4">
      <c r="A2086" s="4">
        <f>ROW()</f>
        <v>2086</v>
      </c>
      <c r="B2086" s="9" t="s">
        <v>27</v>
      </c>
      <c r="C2086" s="44" t="str">
        <f t="shared" si="997"/>
        <v>p.pintar</v>
      </c>
      <c r="D2086" s="6" t="str">
        <f t="shared" si="1012"/>
        <v>é.pintado.com</v>
      </c>
      <c r="E2086" s="8" t="s">
        <v>28</v>
      </c>
      <c r="F2086" s="34" t="str">
        <f t="shared" si="998"/>
        <v>d.pintar</v>
      </c>
      <c r="G2086" s="13" t="s">
        <v>1452</v>
      </c>
      <c r="H2086" s="33" t="s">
        <v>1581</v>
      </c>
      <c r="I2086" s="92" t="str">
        <f t="shared" si="989"/>
        <v>null</v>
      </c>
      <c r="J2086" s="80" t="s">
        <v>0</v>
      </c>
      <c r="K2086" s="80" t="s">
        <v>0</v>
      </c>
      <c r="L2086" s="80" t="s">
        <v>0</v>
      </c>
      <c r="M2086" s="80" t="s">
        <v>0</v>
      </c>
      <c r="N2086" s="80" t="s">
        <v>0</v>
      </c>
      <c r="O2086" s="80" t="s">
        <v>0</v>
      </c>
      <c r="P2086" s="80" t="s">
        <v>0</v>
      </c>
      <c r="Q2086" s="80" t="s">
        <v>0</v>
      </c>
      <c r="R2086" s="84" t="s">
        <v>2527</v>
      </c>
      <c r="S2086" s="10" t="s">
        <v>1</v>
      </c>
      <c r="T2086" s="10" t="s">
        <v>10221</v>
      </c>
      <c r="U2086" s="5" t="str">
        <f t="shared" si="1013"/>
        <v>Propriedade destinada a pintar: é.pintado.com</v>
      </c>
      <c r="V2086" s="5" t="str">
        <f t="shared" si="1014"/>
        <v>Dado para pintar:  pintado.com  Deve ser formatado como (rdfs:Literal  or  xsd:string)</v>
      </c>
      <c r="W2086" s="69" t="s">
        <v>6045</v>
      </c>
      <c r="X2086" s="17" t="str">
        <f t="shared" si="993"/>
        <v>d.pinta.119</v>
      </c>
      <c r="Y2086" s="17" t="str">
        <f t="shared" si="994"/>
        <v>Ação de pintar</v>
      </c>
      <c r="Z2086" s="62" t="s">
        <v>3055</v>
      </c>
      <c r="AA2086" s="18" t="str">
        <f t="shared" si="1015"/>
        <v>null</v>
      </c>
      <c r="AB2086" s="19" t="s">
        <v>0</v>
      </c>
      <c r="AC2086" s="18" t="str">
        <f t="shared" si="1016"/>
        <v>null</v>
      </c>
      <c r="AD2086" s="19" t="s">
        <v>0</v>
      </c>
      <c r="AE2086" s="18" t="str">
        <f t="shared" si="1017"/>
        <v>null</v>
      </c>
      <c r="AF2086" s="75" t="s">
        <v>0</v>
      </c>
      <c r="AG2086" s="38" t="s">
        <v>9011</v>
      </c>
    </row>
    <row r="2087" spans="1:33" ht="6" customHeight="1" x14ac:dyDescent="0.4">
      <c r="A2087" s="4">
        <f>ROW()</f>
        <v>2087</v>
      </c>
      <c r="B2087" s="9" t="s">
        <v>27</v>
      </c>
      <c r="C2087" s="43" t="str">
        <f t="shared" ref="C2087:C2128" si="1018">SUBSTITUTE(F2087,"d.","p.")</f>
        <v>p.planejar</v>
      </c>
      <c r="D2087" s="6" t="str">
        <f t="shared" si="991"/>
        <v>é.antes.de</v>
      </c>
      <c r="E2087" s="8" t="s">
        <v>28</v>
      </c>
      <c r="F2087" s="41" t="s">
        <v>2219</v>
      </c>
      <c r="G2087" s="14" t="s">
        <v>870</v>
      </c>
      <c r="H2087" s="34" t="s">
        <v>1581</v>
      </c>
      <c r="I2087" s="92" t="str">
        <f t="shared" si="989"/>
        <v>null</v>
      </c>
      <c r="J2087" s="82" t="s">
        <v>0</v>
      </c>
      <c r="K2087" s="82" t="s">
        <v>0</v>
      </c>
      <c r="L2087" s="82" t="s">
        <v>31</v>
      </c>
      <c r="M2087" s="82" t="s">
        <v>0</v>
      </c>
      <c r="N2087" s="82" t="s">
        <v>251</v>
      </c>
      <c r="O2087" s="82" t="s">
        <v>0</v>
      </c>
      <c r="P2087" s="82" t="s">
        <v>252</v>
      </c>
      <c r="Q2087" s="82" t="s">
        <v>871</v>
      </c>
      <c r="R2087" s="84" t="s">
        <v>0</v>
      </c>
      <c r="S2087" s="10" t="s">
        <v>1</v>
      </c>
      <c r="T2087" s="10" t="s">
        <v>10221</v>
      </c>
      <c r="U2087" s="5" t="str">
        <f t="shared" si="974"/>
        <v>Propriedade destinada a planejar: é.antes.de</v>
      </c>
      <c r="V2087" s="5" t="str">
        <f t="shared" si="975"/>
        <v>Dado para planejar:  antes.de  Deve ser formatado como (rdfs:Literal  or  xsd:string)</v>
      </c>
      <c r="W2087" s="69" t="s">
        <v>6046</v>
      </c>
      <c r="X2087" s="17" t="str">
        <f t="shared" si="993"/>
        <v>d.plane.100</v>
      </c>
      <c r="Y2087" s="17" t="str">
        <f t="shared" si="994"/>
        <v>Ação de planejar</v>
      </c>
      <c r="Z2087" s="62" t="s">
        <v>4585</v>
      </c>
      <c r="AA2087" s="18" t="str">
        <f t="shared" ref="AA2087" si="1019">IF(AB2087="null", "null", "categoria.revit")</f>
        <v>null</v>
      </c>
      <c r="AB2087" s="19" t="s">
        <v>0</v>
      </c>
      <c r="AC2087" s="18" t="str">
        <f t="shared" ref="AC2087" si="1020">IF(AD2087="null", "null", "classe.ifc")</f>
        <v>null</v>
      </c>
      <c r="AD2087" s="19" t="s">
        <v>0</v>
      </c>
      <c r="AE2087" s="18" t="str">
        <f t="shared" si="992"/>
        <v>null</v>
      </c>
      <c r="AF2087" s="75" t="s">
        <v>0</v>
      </c>
      <c r="AG2087" s="38" t="s">
        <v>9012</v>
      </c>
    </row>
    <row r="2088" spans="1:33" ht="6" customHeight="1" x14ac:dyDescent="0.4">
      <c r="A2088" s="4">
        <f>ROW()</f>
        <v>2088</v>
      </c>
      <c r="B2088" s="9" t="s">
        <v>27</v>
      </c>
      <c r="C2088" s="44" t="str">
        <f t="shared" si="1018"/>
        <v>p.planejar</v>
      </c>
      <c r="D2088" s="6" t="str">
        <f t="shared" si="991"/>
        <v>é.depois.de</v>
      </c>
      <c r="E2088" s="8" t="s">
        <v>28</v>
      </c>
      <c r="F2088" s="34" t="str">
        <f>F2087</f>
        <v>d.planejar</v>
      </c>
      <c r="G2088" s="14" t="s">
        <v>868</v>
      </c>
      <c r="H2088" s="34" t="s">
        <v>1581</v>
      </c>
      <c r="I2088" s="92" t="str">
        <f t="shared" si="989"/>
        <v>null</v>
      </c>
      <c r="J2088" s="82" t="s">
        <v>0</v>
      </c>
      <c r="K2088" s="82" t="s">
        <v>0</v>
      </c>
      <c r="L2088" s="82" t="s">
        <v>31</v>
      </c>
      <c r="M2088" s="82" t="s">
        <v>0</v>
      </c>
      <c r="N2088" s="82" t="s">
        <v>251</v>
      </c>
      <c r="O2088" s="82" t="s">
        <v>0</v>
      </c>
      <c r="P2088" s="82" t="s">
        <v>252</v>
      </c>
      <c r="Q2088" s="82" t="s">
        <v>869</v>
      </c>
      <c r="R2088" s="84" t="s">
        <v>0</v>
      </c>
      <c r="S2088" s="10" t="s">
        <v>1</v>
      </c>
      <c r="T2088" s="10" t="s">
        <v>10221</v>
      </c>
      <c r="U2088" s="5" t="str">
        <f t="shared" si="974"/>
        <v>Propriedade destinada a planejar: é.depois.de</v>
      </c>
      <c r="V2088" s="5" t="str">
        <f t="shared" si="975"/>
        <v>Dado para planejar:  depois.de  Deve ser formatado como (rdfs:Literal  or  xsd:string)</v>
      </c>
      <c r="W2088" s="69" t="s">
        <v>6047</v>
      </c>
      <c r="X2088" s="17" t="str">
        <f t="shared" si="993"/>
        <v>d.plane.101</v>
      </c>
      <c r="Y2088" s="17" t="str">
        <f t="shared" si="994"/>
        <v>Ação de planejar</v>
      </c>
      <c r="Z2088" s="62" t="s">
        <v>4586</v>
      </c>
      <c r="AA2088" s="18" t="str">
        <f t="shared" ref="AA2088:AA2089" si="1021">IF(AB2088="null", "null", "categoria.revit")</f>
        <v>null</v>
      </c>
      <c r="AB2088" s="19" t="s">
        <v>0</v>
      </c>
      <c r="AC2088" s="18" t="str">
        <f t="shared" ref="AC2088:AC2089" si="1022">IF(AD2088="null", "null", "classe.ifc")</f>
        <v>null</v>
      </c>
      <c r="AD2088" s="19" t="s">
        <v>0</v>
      </c>
      <c r="AE2088" s="18" t="str">
        <f t="shared" si="992"/>
        <v>null</v>
      </c>
      <c r="AF2088" s="75" t="s">
        <v>0</v>
      </c>
      <c r="AG2088" s="38" t="s">
        <v>9013</v>
      </c>
    </row>
    <row r="2089" spans="1:33" ht="6" customHeight="1" x14ac:dyDescent="0.4">
      <c r="A2089" s="4">
        <f>ROW()</f>
        <v>2089</v>
      </c>
      <c r="B2089" s="9" t="s">
        <v>27</v>
      </c>
      <c r="C2089" s="44" t="str">
        <f t="shared" si="1018"/>
        <v>p.planejar</v>
      </c>
      <c r="D2089" s="6" t="str">
        <f t="shared" si="991"/>
        <v>é.ciclo.de.vida</v>
      </c>
      <c r="E2089" s="8" t="s">
        <v>28</v>
      </c>
      <c r="F2089" s="34" t="str">
        <f t="shared" ref="F2089:F2096" si="1023">F2088</f>
        <v>d.planejar</v>
      </c>
      <c r="G2089" s="13" t="s">
        <v>993</v>
      </c>
      <c r="H2089" s="34" t="s">
        <v>1581</v>
      </c>
      <c r="I2089" s="92" t="str">
        <f t="shared" si="989"/>
        <v>null</v>
      </c>
      <c r="J2089" s="80" t="s">
        <v>0</v>
      </c>
      <c r="K2089" s="80" t="s">
        <v>0</v>
      </c>
      <c r="L2089" s="80" t="s">
        <v>0</v>
      </c>
      <c r="M2089" s="80" t="s">
        <v>0</v>
      </c>
      <c r="N2089" s="80" t="s">
        <v>0</v>
      </c>
      <c r="O2089" s="80" t="s">
        <v>0</v>
      </c>
      <c r="P2089" s="80" t="s">
        <v>0</v>
      </c>
      <c r="Q2089" s="80" t="s">
        <v>0</v>
      </c>
      <c r="R2089" s="84" t="s">
        <v>1066</v>
      </c>
      <c r="S2089" s="10" t="s">
        <v>1</v>
      </c>
      <c r="T2089" s="10" t="s">
        <v>10221</v>
      </c>
      <c r="U2089" s="5" t="str">
        <f t="shared" si="974"/>
        <v>Propriedade destinada a planejar: é.ciclo.de.vida</v>
      </c>
      <c r="V2089" s="5" t="str">
        <f t="shared" si="975"/>
        <v>Dado para planejar:  ciclo.de.vida  Deve ser formatado como (rdfs:Literal  or  xsd:string)</v>
      </c>
      <c r="W2089" s="69" t="s">
        <v>6048</v>
      </c>
      <c r="X2089" s="17" t="str">
        <f t="shared" si="993"/>
        <v>d.plane.102</v>
      </c>
      <c r="Y2089" s="17" t="str">
        <f t="shared" si="994"/>
        <v>Ação de planejar</v>
      </c>
      <c r="Z2089" s="62" t="s">
        <v>4207</v>
      </c>
      <c r="AA2089" s="18" t="str">
        <f t="shared" si="1021"/>
        <v>null</v>
      </c>
      <c r="AB2089" s="19" t="s">
        <v>0</v>
      </c>
      <c r="AC2089" s="18" t="str">
        <f t="shared" si="1022"/>
        <v>null</v>
      </c>
      <c r="AD2089" s="19" t="s">
        <v>0</v>
      </c>
      <c r="AE2089" s="18" t="str">
        <f t="shared" si="992"/>
        <v>null</v>
      </c>
      <c r="AF2089" s="75" t="s">
        <v>0</v>
      </c>
      <c r="AG2089" s="38" t="s">
        <v>9014</v>
      </c>
    </row>
    <row r="2090" spans="1:33" ht="6" customHeight="1" x14ac:dyDescent="0.4">
      <c r="A2090" s="4">
        <f>ROW()</f>
        <v>2090</v>
      </c>
      <c r="B2090" s="9" t="s">
        <v>27</v>
      </c>
      <c r="C2090" s="44" t="str">
        <f t="shared" si="1018"/>
        <v>p.planejar</v>
      </c>
      <c r="D2090" s="6" t="str">
        <f t="shared" si="991"/>
        <v>é.concomitante.a</v>
      </c>
      <c r="E2090" s="8" t="s">
        <v>28</v>
      </c>
      <c r="F2090" s="34" t="str">
        <f t="shared" si="1023"/>
        <v>d.planejar</v>
      </c>
      <c r="G2090" s="14" t="s">
        <v>872</v>
      </c>
      <c r="H2090" s="34" t="s">
        <v>1581</v>
      </c>
      <c r="I2090" s="92" t="str">
        <f t="shared" si="989"/>
        <v>null</v>
      </c>
      <c r="J2090" s="82" t="s">
        <v>0</v>
      </c>
      <c r="K2090" s="82" t="s">
        <v>0</v>
      </c>
      <c r="L2090" s="82" t="s">
        <v>31</v>
      </c>
      <c r="M2090" s="82" t="s">
        <v>34</v>
      </c>
      <c r="N2090" s="80" t="s">
        <v>0</v>
      </c>
      <c r="O2090" s="82" t="s">
        <v>0</v>
      </c>
      <c r="P2090" s="82" t="s">
        <v>0</v>
      </c>
      <c r="Q2090" s="82" t="s">
        <v>0</v>
      </c>
      <c r="R2090" s="84" t="s">
        <v>0</v>
      </c>
      <c r="S2090" s="10" t="s">
        <v>1</v>
      </c>
      <c r="T2090" s="10" t="s">
        <v>10221</v>
      </c>
      <c r="U2090" s="5" t="str">
        <f t="shared" si="974"/>
        <v>Propriedade destinada a planejar: é.concomitante.a</v>
      </c>
      <c r="V2090" s="5" t="str">
        <f t="shared" si="975"/>
        <v>Dado para planejar:  concomitante.a  Deve ser formatado como (rdfs:Literal  or  xsd:string)</v>
      </c>
      <c r="W2090" s="69" t="s">
        <v>6049</v>
      </c>
      <c r="X2090" s="17" t="str">
        <f t="shared" si="993"/>
        <v>d.plane.103</v>
      </c>
      <c r="Y2090" s="17" t="str">
        <f t="shared" si="994"/>
        <v>Ação de planejar</v>
      </c>
      <c r="Z2090" s="62" t="s">
        <v>4587</v>
      </c>
      <c r="AA2090" s="18" t="str">
        <f t="shared" ref="AA2090:AA2096" si="1024">IF(AB2090="null", "null", "categoria.revit")</f>
        <v>null</v>
      </c>
      <c r="AB2090" s="19" t="s">
        <v>0</v>
      </c>
      <c r="AC2090" s="18" t="str">
        <f t="shared" ref="AC2090:AC2096" si="1025">IF(AD2090="null", "null", "classe.ifc")</f>
        <v>null</v>
      </c>
      <c r="AD2090" s="19" t="s">
        <v>0</v>
      </c>
      <c r="AE2090" s="18" t="str">
        <f t="shared" si="992"/>
        <v>null</v>
      </c>
      <c r="AF2090" s="75" t="s">
        <v>0</v>
      </c>
      <c r="AG2090" s="38" t="s">
        <v>9015</v>
      </c>
    </row>
    <row r="2091" spans="1:33" ht="6" customHeight="1" x14ac:dyDescent="0.4">
      <c r="A2091" s="4">
        <f>ROW()</f>
        <v>2091</v>
      </c>
      <c r="B2091" s="9" t="s">
        <v>27</v>
      </c>
      <c r="C2091" s="44" t="str">
        <f t="shared" si="1018"/>
        <v>p.planejar</v>
      </c>
      <c r="D2091" s="6" t="str">
        <f t="shared" si="991"/>
        <v>é.cronometrado</v>
      </c>
      <c r="E2091" s="8" t="s">
        <v>28</v>
      </c>
      <c r="F2091" s="34" t="str">
        <f t="shared" si="1023"/>
        <v>d.planejar</v>
      </c>
      <c r="G2091" s="14" t="s">
        <v>1910</v>
      </c>
      <c r="H2091" s="34" t="s">
        <v>1581</v>
      </c>
      <c r="I2091" s="92" t="str">
        <f t="shared" si="989"/>
        <v>null</v>
      </c>
      <c r="J2091" s="82" t="s">
        <v>0</v>
      </c>
      <c r="K2091" s="82" t="s">
        <v>0</v>
      </c>
      <c r="L2091" s="82" t="s">
        <v>0</v>
      </c>
      <c r="M2091" s="82" t="s">
        <v>0</v>
      </c>
      <c r="N2091" s="80" t="s">
        <v>0</v>
      </c>
      <c r="O2091" s="82" t="s">
        <v>0</v>
      </c>
      <c r="P2091" s="82" t="s">
        <v>0</v>
      </c>
      <c r="Q2091" s="82" t="s">
        <v>0</v>
      </c>
      <c r="R2091" s="84" t="s">
        <v>0</v>
      </c>
      <c r="S2091" s="10" t="s">
        <v>1</v>
      </c>
      <c r="T2091" s="10" t="s">
        <v>10221</v>
      </c>
      <c r="U2091" s="5" t="str">
        <f t="shared" si="974"/>
        <v>Propriedade destinada a planejar: é.cronometrado</v>
      </c>
      <c r="V2091" s="5" t="str">
        <f t="shared" si="975"/>
        <v>Dado para planejar:  cronometrado  Deve ser formatado como (rdfs:Literal  or  xsd:string)</v>
      </c>
      <c r="W2091" s="69" t="s">
        <v>6050</v>
      </c>
      <c r="X2091" s="17" t="str">
        <f t="shared" si="993"/>
        <v>d.plane.104</v>
      </c>
      <c r="Y2091" s="17" t="str">
        <f t="shared" si="994"/>
        <v>Ação de planejar</v>
      </c>
      <c r="Z2091" s="62" t="s">
        <v>4588</v>
      </c>
      <c r="AA2091" s="18" t="str">
        <f t="shared" si="1024"/>
        <v>null</v>
      </c>
      <c r="AB2091" s="19" t="s">
        <v>0</v>
      </c>
      <c r="AC2091" s="18" t="str">
        <f t="shared" si="1025"/>
        <v>null</v>
      </c>
      <c r="AD2091" s="19" t="s">
        <v>0</v>
      </c>
      <c r="AE2091" s="18" t="str">
        <f t="shared" si="992"/>
        <v>null</v>
      </c>
      <c r="AF2091" s="75" t="s">
        <v>0</v>
      </c>
      <c r="AG2091" s="38" t="s">
        <v>9016</v>
      </c>
    </row>
    <row r="2092" spans="1:33" ht="6" customHeight="1" x14ac:dyDescent="0.4">
      <c r="A2092" s="4">
        <f>ROW()</f>
        <v>2092</v>
      </c>
      <c r="B2092" s="9" t="s">
        <v>27</v>
      </c>
      <c r="C2092" s="44" t="str">
        <f t="shared" si="1018"/>
        <v>p.planejar</v>
      </c>
      <c r="D2092" s="6" t="str">
        <f t="shared" si="991"/>
        <v>é.evento</v>
      </c>
      <c r="E2092" s="8" t="s">
        <v>28</v>
      </c>
      <c r="F2092" s="34" t="str">
        <f t="shared" si="1023"/>
        <v>d.planejar</v>
      </c>
      <c r="G2092" s="14" t="s">
        <v>179</v>
      </c>
      <c r="H2092" s="34" t="s">
        <v>1581</v>
      </c>
      <c r="I2092" s="92" t="str">
        <f t="shared" si="989"/>
        <v>null</v>
      </c>
      <c r="J2092" s="82" t="s">
        <v>0</v>
      </c>
      <c r="K2092" s="82" t="s">
        <v>0</v>
      </c>
      <c r="L2092" s="82" t="s">
        <v>0</v>
      </c>
      <c r="M2092" s="82" t="s">
        <v>0</v>
      </c>
      <c r="N2092" s="80" t="s">
        <v>0</v>
      </c>
      <c r="O2092" s="82" t="s">
        <v>0</v>
      </c>
      <c r="P2092" s="82" t="s">
        <v>0</v>
      </c>
      <c r="Q2092" s="82" t="s">
        <v>0</v>
      </c>
      <c r="R2092" s="6" t="s">
        <v>1014</v>
      </c>
      <c r="S2092" s="10" t="s">
        <v>1</v>
      </c>
      <c r="T2092" s="10" t="s">
        <v>10221</v>
      </c>
      <c r="U2092" s="5" t="str">
        <f t="shared" ref="U2092:U2156" si="1026">_xlfn.CONCAT("Propriedade destinada a ",MID(C2092,FIND("p.",C2092,1)+2,100),": ",D2092)</f>
        <v>Propriedade destinada a planejar: é.evento</v>
      </c>
      <c r="V2092" s="5" t="str">
        <f t="shared" ref="V2092:V2156" si="1027">_xlfn.CONCAT("Dado para ",MID(F2092,FIND("d.",F2092,1)+2,100),":  ",G2092, "  Deve ser formatado como (",H2092, ")")</f>
        <v>Dado para planejar:  evento  Deve ser formatado como (rdfs:Literal  or  xsd:string)</v>
      </c>
      <c r="W2092" s="69" t="s">
        <v>6051</v>
      </c>
      <c r="X2092" s="17" t="str">
        <f t="shared" si="993"/>
        <v>d.plane.105</v>
      </c>
      <c r="Y2092" s="17" t="str">
        <f t="shared" si="994"/>
        <v>Ação de planejar</v>
      </c>
      <c r="Z2092" s="62" t="s">
        <v>4589</v>
      </c>
      <c r="AA2092" s="18" t="str">
        <f t="shared" si="1024"/>
        <v>null</v>
      </c>
      <c r="AB2092" s="19" t="s">
        <v>0</v>
      </c>
      <c r="AC2092" s="18" t="str">
        <f t="shared" si="1025"/>
        <v>null</v>
      </c>
      <c r="AD2092" s="19" t="s">
        <v>0</v>
      </c>
      <c r="AE2092" s="18" t="str">
        <f t="shared" si="992"/>
        <v>null</v>
      </c>
      <c r="AF2092" s="75" t="s">
        <v>0</v>
      </c>
      <c r="AG2092" s="38" t="s">
        <v>9017</v>
      </c>
    </row>
    <row r="2093" spans="1:33" ht="6" customHeight="1" x14ac:dyDescent="0.4">
      <c r="A2093" s="4">
        <f>ROW()</f>
        <v>2093</v>
      </c>
      <c r="B2093" s="9" t="s">
        <v>27</v>
      </c>
      <c r="C2093" s="44" t="str">
        <f t="shared" si="1018"/>
        <v>p.planejar</v>
      </c>
      <c r="D2093" s="6" t="str">
        <f t="shared" si="991"/>
        <v>é.evento.final</v>
      </c>
      <c r="E2093" s="8" t="s">
        <v>28</v>
      </c>
      <c r="F2093" s="34" t="str">
        <f t="shared" si="1023"/>
        <v>d.planejar</v>
      </c>
      <c r="G2093" s="14" t="s">
        <v>875</v>
      </c>
      <c r="H2093" s="34" t="s">
        <v>1581</v>
      </c>
      <c r="I2093" s="92" t="str">
        <f t="shared" si="989"/>
        <v>null</v>
      </c>
      <c r="J2093" s="82" t="s">
        <v>0</v>
      </c>
      <c r="K2093" s="82" t="s">
        <v>0</v>
      </c>
      <c r="L2093" s="82" t="s">
        <v>0</v>
      </c>
      <c r="M2093" s="82" t="s">
        <v>0</v>
      </c>
      <c r="N2093" s="80" t="s">
        <v>0</v>
      </c>
      <c r="O2093" s="82" t="s">
        <v>0</v>
      </c>
      <c r="P2093" s="82" t="s">
        <v>0</v>
      </c>
      <c r="Q2093" s="82" t="s">
        <v>0</v>
      </c>
      <c r="R2093" s="84" t="s">
        <v>0</v>
      </c>
      <c r="S2093" s="10" t="s">
        <v>1</v>
      </c>
      <c r="T2093" s="10" t="s">
        <v>10221</v>
      </c>
      <c r="U2093" s="5" t="str">
        <f t="shared" si="1026"/>
        <v>Propriedade destinada a planejar: é.evento.final</v>
      </c>
      <c r="V2093" s="5" t="str">
        <f t="shared" si="1027"/>
        <v>Dado para planejar:  evento.final  Deve ser formatado como (rdfs:Literal  or  xsd:string)</v>
      </c>
      <c r="W2093" s="69" t="s">
        <v>6052</v>
      </c>
      <c r="X2093" s="17" t="str">
        <f t="shared" si="993"/>
        <v>d.plane.106</v>
      </c>
      <c r="Y2093" s="17" t="str">
        <f t="shared" si="994"/>
        <v>Ação de planejar</v>
      </c>
      <c r="Z2093" s="62" t="s">
        <v>4590</v>
      </c>
      <c r="AA2093" s="18" t="str">
        <f t="shared" si="1024"/>
        <v>null</v>
      </c>
      <c r="AB2093" s="19" t="s">
        <v>0</v>
      </c>
      <c r="AC2093" s="18" t="str">
        <f t="shared" si="1025"/>
        <v>null</v>
      </c>
      <c r="AD2093" s="19" t="s">
        <v>0</v>
      </c>
      <c r="AE2093" s="18" t="str">
        <f t="shared" si="992"/>
        <v>null</v>
      </c>
      <c r="AF2093" s="75" t="s">
        <v>0</v>
      </c>
      <c r="AG2093" s="38" t="s">
        <v>9018</v>
      </c>
    </row>
    <row r="2094" spans="1:33" ht="6" customHeight="1" x14ac:dyDescent="0.4">
      <c r="A2094" s="4">
        <f>ROW()</f>
        <v>2094</v>
      </c>
      <c r="B2094" s="9" t="s">
        <v>27</v>
      </c>
      <c r="C2094" s="44" t="str">
        <f t="shared" si="1018"/>
        <v>p.planejar</v>
      </c>
      <c r="D2094" s="6" t="str">
        <f t="shared" si="991"/>
        <v>é.evento.inicial</v>
      </c>
      <c r="E2094" s="8" t="s">
        <v>28</v>
      </c>
      <c r="F2094" s="34" t="str">
        <f t="shared" si="1023"/>
        <v>d.planejar</v>
      </c>
      <c r="G2094" s="14" t="s">
        <v>874</v>
      </c>
      <c r="H2094" s="34" t="s">
        <v>1581</v>
      </c>
      <c r="I2094" s="92" t="str">
        <f t="shared" ref="I2094:I2157" si="1028">IF(OR(J2094="Functional",K2094="InverseFunctional"),"Functional","null")</f>
        <v>null</v>
      </c>
      <c r="J2094" s="82" t="s">
        <v>0</v>
      </c>
      <c r="K2094" s="82" t="s">
        <v>0</v>
      </c>
      <c r="L2094" s="82" t="s">
        <v>0</v>
      </c>
      <c r="M2094" s="82" t="s">
        <v>0</v>
      </c>
      <c r="N2094" s="80" t="s">
        <v>0</v>
      </c>
      <c r="O2094" s="82" t="s">
        <v>0</v>
      </c>
      <c r="P2094" s="82" t="s">
        <v>0</v>
      </c>
      <c r="Q2094" s="82" t="s">
        <v>0</v>
      </c>
      <c r="R2094" s="84" t="s">
        <v>0</v>
      </c>
      <c r="S2094" s="10" t="s">
        <v>1</v>
      </c>
      <c r="T2094" s="10" t="s">
        <v>10221</v>
      </c>
      <c r="U2094" s="5" t="str">
        <f t="shared" si="1026"/>
        <v>Propriedade destinada a planejar: é.evento.inicial</v>
      </c>
      <c r="V2094" s="5" t="str">
        <f t="shared" si="1027"/>
        <v>Dado para planejar:  evento.inicial  Deve ser formatado como (rdfs:Literal  or  xsd:string)</v>
      </c>
      <c r="W2094" s="69" t="s">
        <v>6053</v>
      </c>
      <c r="X2094" s="17" t="str">
        <f t="shared" si="993"/>
        <v>d.plane.107</v>
      </c>
      <c r="Y2094" s="17" t="str">
        <f t="shared" si="994"/>
        <v>Ação de planejar</v>
      </c>
      <c r="Z2094" s="62" t="s">
        <v>4591</v>
      </c>
      <c r="AA2094" s="18" t="str">
        <f t="shared" si="1024"/>
        <v>null</v>
      </c>
      <c r="AB2094" s="19" t="s">
        <v>0</v>
      </c>
      <c r="AC2094" s="18" t="str">
        <f t="shared" si="1025"/>
        <v>null</v>
      </c>
      <c r="AD2094" s="19" t="s">
        <v>0</v>
      </c>
      <c r="AE2094" s="18" t="str">
        <f t="shared" si="992"/>
        <v>null</v>
      </c>
      <c r="AF2094" s="75" t="s">
        <v>0</v>
      </c>
      <c r="AG2094" s="38" t="s">
        <v>9019</v>
      </c>
    </row>
    <row r="2095" spans="1:33" ht="6" customHeight="1" x14ac:dyDescent="0.4">
      <c r="A2095" s="4">
        <f>ROW()</f>
        <v>2095</v>
      </c>
      <c r="B2095" s="9" t="s">
        <v>27</v>
      </c>
      <c r="C2095" s="44" t="str">
        <f t="shared" si="1018"/>
        <v>p.planejar</v>
      </c>
      <c r="D2095" s="6" t="str">
        <f t="shared" si="991"/>
        <v>é.simultâneo.a</v>
      </c>
      <c r="E2095" s="8" t="s">
        <v>28</v>
      </c>
      <c r="F2095" s="34" t="str">
        <f t="shared" si="1023"/>
        <v>d.planejar</v>
      </c>
      <c r="G2095" s="14" t="s">
        <v>873</v>
      </c>
      <c r="H2095" s="34" t="s">
        <v>1581</v>
      </c>
      <c r="I2095" s="92" t="str">
        <f t="shared" si="1028"/>
        <v>null</v>
      </c>
      <c r="J2095" s="82" t="s">
        <v>0</v>
      </c>
      <c r="K2095" s="82" t="s">
        <v>0</v>
      </c>
      <c r="L2095" s="82" t="s">
        <v>31</v>
      </c>
      <c r="M2095" s="82" t="s">
        <v>34</v>
      </c>
      <c r="N2095" s="80" t="s">
        <v>0</v>
      </c>
      <c r="O2095" s="82" t="s">
        <v>0</v>
      </c>
      <c r="P2095" s="82" t="s">
        <v>0</v>
      </c>
      <c r="Q2095" s="82" t="s">
        <v>0</v>
      </c>
      <c r="R2095" s="84" t="s">
        <v>0</v>
      </c>
      <c r="S2095" s="10" t="s">
        <v>1</v>
      </c>
      <c r="T2095" s="10" t="s">
        <v>10221</v>
      </c>
      <c r="U2095" s="5" t="str">
        <f t="shared" si="1026"/>
        <v>Propriedade destinada a planejar: é.simultâneo.a</v>
      </c>
      <c r="V2095" s="5" t="str">
        <f t="shared" si="1027"/>
        <v>Dado para planejar:  simultâneo.a  Deve ser formatado como (rdfs:Literal  or  xsd:string)</v>
      </c>
      <c r="W2095" s="69" t="s">
        <v>6054</v>
      </c>
      <c r="X2095" s="17" t="str">
        <f t="shared" si="993"/>
        <v>d.plane.108</v>
      </c>
      <c r="Y2095" s="17" t="str">
        <f t="shared" si="994"/>
        <v>Ação de planejar</v>
      </c>
      <c r="Z2095" s="62" t="s">
        <v>4592</v>
      </c>
      <c r="AA2095" s="18" t="str">
        <f t="shared" si="1024"/>
        <v>null</v>
      </c>
      <c r="AB2095" s="19" t="s">
        <v>0</v>
      </c>
      <c r="AC2095" s="18" t="str">
        <f t="shared" si="1025"/>
        <v>null</v>
      </c>
      <c r="AD2095" s="19" t="s">
        <v>0</v>
      </c>
      <c r="AE2095" s="18" t="str">
        <f t="shared" si="992"/>
        <v>null</v>
      </c>
      <c r="AF2095" s="75" t="s">
        <v>0</v>
      </c>
      <c r="AG2095" s="38" t="s">
        <v>9020</v>
      </c>
    </row>
    <row r="2096" spans="1:33" ht="6" customHeight="1" x14ac:dyDescent="0.4">
      <c r="A2096" s="4">
        <f>ROW()</f>
        <v>2096</v>
      </c>
      <c r="B2096" s="9" t="s">
        <v>27</v>
      </c>
      <c r="C2096" s="44" t="str">
        <f>SUBSTITUTE(F2096,"d.","p.")</f>
        <v>p.planejar</v>
      </c>
      <c r="D2096" s="6" t="str">
        <f t="shared" si="991"/>
        <v>é.vida.útil</v>
      </c>
      <c r="E2096" s="8" t="s">
        <v>28</v>
      </c>
      <c r="F2096" s="34" t="str">
        <f t="shared" si="1023"/>
        <v>d.planejar</v>
      </c>
      <c r="G2096" s="14" t="s">
        <v>876</v>
      </c>
      <c r="H2096" s="34" t="s">
        <v>1581</v>
      </c>
      <c r="I2096" s="92" t="str">
        <f t="shared" si="1028"/>
        <v>null</v>
      </c>
      <c r="J2096" s="82" t="s">
        <v>0</v>
      </c>
      <c r="K2096" s="82" t="s">
        <v>0</v>
      </c>
      <c r="L2096" s="82" t="s">
        <v>0</v>
      </c>
      <c r="M2096" s="82" t="s">
        <v>0</v>
      </c>
      <c r="N2096" s="80" t="s">
        <v>0</v>
      </c>
      <c r="O2096" s="82" t="s">
        <v>0</v>
      </c>
      <c r="P2096" s="82" t="s">
        <v>0</v>
      </c>
      <c r="Q2096" s="82" t="s">
        <v>0</v>
      </c>
      <c r="R2096" s="84" t="s">
        <v>1013</v>
      </c>
      <c r="S2096" s="10" t="s">
        <v>1</v>
      </c>
      <c r="T2096" s="10" t="s">
        <v>10221</v>
      </c>
      <c r="U2096" s="5" t="str">
        <f t="shared" si="1026"/>
        <v>Propriedade destinada a planejar: é.vida.útil</v>
      </c>
      <c r="V2096" s="5" t="str">
        <f t="shared" si="1027"/>
        <v>Dado para planejar:  vida.útil  Deve ser formatado como (rdfs:Literal  or  xsd:string)</v>
      </c>
      <c r="W2096" s="69" t="s">
        <v>6055</v>
      </c>
      <c r="X2096" s="17" t="str">
        <f t="shared" si="993"/>
        <v>d.plane.109</v>
      </c>
      <c r="Y2096" s="17" t="str">
        <f t="shared" si="994"/>
        <v>Ação de planejar</v>
      </c>
      <c r="Z2096" s="62" t="s">
        <v>4593</v>
      </c>
      <c r="AA2096" s="18" t="str">
        <f t="shared" si="1024"/>
        <v>null</v>
      </c>
      <c r="AB2096" s="19" t="s">
        <v>0</v>
      </c>
      <c r="AC2096" s="18" t="str">
        <f t="shared" si="1025"/>
        <v>null</v>
      </c>
      <c r="AD2096" s="19" t="s">
        <v>0</v>
      </c>
      <c r="AE2096" s="18" t="str">
        <f t="shared" si="992"/>
        <v>null</v>
      </c>
      <c r="AF2096" s="75" t="s">
        <v>0</v>
      </c>
      <c r="AG2096" s="38" t="s">
        <v>9021</v>
      </c>
    </row>
    <row r="2097" spans="1:33" ht="6" customHeight="1" x14ac:dyDescent="0.4">
      <c r="A2097" s="4">
        <f>ROW()</f>
        <v>2097</v>
      </c>
      <c r="B2097" s="9" t="s">
        <v>27</v>
      </c>
      <c r="C2097" s="43" t="str">
        <f t="shared" si="1018"/>
        <v xml:space="preserve">p.posicionar </v>
      </c>
      <c r="D2097" s="6" t="str">
        <f t="shared" si="991"/>
        <v>é.centralizado</v>
      </c>
      <c r="E2097" s="8" t="s">
        <v>28</v>
      </c>
      <c r="F2097" s="40" t="s">
        <v>2220</v>
      </c>
      <c r="G2097" s="14" t="s">
        <v>213</v>
      </c>
      <c r="H2097" s="34" t="s">
        <v>1581</v>
      </c>
      <c r="I2097" s="92" t="str">
        <f t="shared" si="1028"/>
        <v>null</v>
      </c>
      <c r="J2097" s="82" t="s">
        <v>0</v>
      </c>
      <c r="K2097" s="82" t="s">
        <v>0</v>
      </c>
      <c r="L2097" s="82" t="s">
        <v>0</v>
      </c>
      <c r="M2097" s="82" t="s">
        <v>34</v>
      </c>
      <c r="N2097" s="80" t="s">
        <v>0</v>
      </c>
      <c r="O2097" s="82" t="s">
        <v>0</v>
      </c>
      <c r="P2097" s="82" t="s">
        <v>0</v>
      </c>
      <c r="Q2097" s="82" t="s">
        <v>0</v>
      </c>
      <c r="R2097" s="84" t="s">
        <v>0</v>
      </c>
      <c r="S2097" s="10" t="s">
        <v>1</v>
      </c>
      <c r="T2097" s="10" t="s">
        <v>10221</v>
      </c>
      <c r="U2097" s="5" t="str">
        <f t="shared" si="1026"/>
        <v>Propriedade destinada a posicionar : é.centralizado</v>
      </c>
      <c r="V2097" s="5" t="str">
        <f t="shared" si="1027"/>
        <v>Dado para posicionar :  centralizado  Deve ser formatado como (rdfs:Literal  or  xsd:string)</v>
      </c>
      <c r="W2097" s="69" t="s">
        <v>6056</v>
      </c>
      <c r="X2097" s="17" t="str">
        <f t="shared" si="993"/>
        <v>d.posic.100</v>
      </c>
      <c r="Y2097" s="17" t="str">
        <f t="shared" si="994"/>
        <v xml:space="preserve">Ação de posicionar </v>
      </c>
      <c r="Z2097" s="62" t="s">
        <v>4594</v>
      </c>
      <c r="AA2097" s="18" t="str">
        <f t="shared" si="995"/>
        <v>null</v>
      </c>
      <c r="AB2097" s="19" t="s">
        <v>0</v>
      </c>
      <c r="AC2097" s="18" t="str">
        <f t="shared" si="996"/>
        <v>null</v>
      </c>
      <c r="AD2097" s="19" t="s">
        <v>0</v>
      </c>
      <c r="AE2097" s="18" t="str">
        <f t="shared" si="992"/>
        <v>null</v>
      </c>
      <c r="AF2097" s="75" t="s">
        <v>0</v>
      </c>
      <c r="AG2097" s="38" t="s">
        <v>9022</v>
      </c>
    </row>
    <row r="2098" spans="1:33" ht="6" customHeight="1" x14ac:dyDescent="0.4">
      <c r="A2098" s="4">
        <f>ROW()</f>
        <v>2098</v>
      </c>
      <c r="B2098" s="9" t="s">
        <v>27</v>
      </c>
      <c r="C2098" s="44" t="str">
        <f t="shared" si="1018"/>
        <v xml:space="preserve">p.posicionar </v>
      </c>
      <c r="D2098" s="6" t="str">
        <f t="shared" si="991"/>
        <v>é.perimetral</v>
      </c>
      <c r="E2098" s="8" t="s">
        <v>28</v>
      </c>
      <c r="F2098" s="34" t="str">
        <f t="shared" ref="F2098:F2125" si="1029">F2097</f>
        <v xml:space="preserve">d.posicionar </v>
      </c>
      <c r="G2098" s="14" t="s">
        <v>214</v>
      </c>
      <c r="H2098" s="34" t="s">
        <v>1581</v>
      </c>
      <c r="I2098" s="92" t="str">
        <f t="shared" si="1028"/>
        <v>null</v>
      </c>
      <c r="J2098" s="82" t="s">
        <v>0</v>
      </c>
      <c r="K2098" s="82" t="s">
        <v>0</v>
      </c>
      <c r="L2098" s="82" t="s">
        <v>0</v>
      </c>
      <c r="M2098" s="82" t="s">
        <v>0</v>
      </c>
      <c r="N2098" s="80" t="s">
        <v>0</v>
      </c>
      <c r="O2098" s="82" t="s">
        <v>0</v>
      </c>
      <c r="P2098" s="82" t="s">
        <v>0</v>
      </c>
      <c r="Q2098" s="82" t="s">
        <v>0</v>
      </c>
      <c r="R2098" s="84" t="s">
        <v>0</v>
      </c>
      <c r="S2098" s="10" t="s">
        <v>1</v>
      </c>
      <c r="T2098" s="10" t="s">
        <v>10221</v>
      </c>
      <c r="U2098" s="5" t="str">
        <f t="shared" si="1026"/>
        <v>Propriedade destinada a posicionar : é.perimetral</v>
      </c>
      <c r="V2098" s="5" t="str">
        <f t="shared" si="1027"/>
        <v>Dado para posicionar :  perimetral  Deve ser formatado como (rdfs:Literal  or  xsd:string)</v>
      </c>
      <c r="W2098" s="69" t="s">
        <v>6057</v>
      </c>
      <c r="X2098" s="17" t="str">
        <f t="shared" si="993"/>
        <v>d.posic.101</v>
      </c>
      <c r="Y2098" s="17" t="str">
        <f t="shared" si="994"/>
        <v xml:space="preserve">Ação de posicionar </v>
      </c>
      <c r="Z2098" s="62" t="s">
        <v>4595</v>
      </c>
      <c r="AA2098" s="18" t="str">
        <f t="shared" si="995"/>
        <v>null</v>
      </c>
      <c r="AB2098" s="19" t="s">
        <v>0</v>
      </c>
      <c r="AC2098" s="18" t="str">
        <f t="shared" si="996"/>
        <v>null</v>
      </c>
      <c r="AD2098" s="19" t="s">
        <v>0</v>
      </c>
      <c r="AE2098" s="18" t="str">
        <f t="shared" si="992"/>
        <v>null</v>
      </c>
      <c r="AF2098" s="75" t="s">
        <v>0</v>
      </c>
      <c r="AG2098" s="38" t="s">
        <v>9023</v>
      </c>
    </row>
    <row r="2099" spans="1:33" ht="6" customHeight="1" x14ac:dyDescent="0.4">
      <c r="A2099" s="4">
        <f>ROW()</f>
        <v>2099</v>
      </c>
      <c r="B2099" s="9" t="s">
        <v>27</v>
      </c>
      <c r="C2099" s="44" t="str">
        <f t="shared" si="1018"/>
        <v xml:space="preserve">p.posicionar </v>
      </c>
      <c r="D2099" s="6" t="str">
        <f t="shared" si="991"/>
        <v>é.equidistante.a</v>
      </c>
      <c r="E2099" s="8" t="s">
        <v>28</v>
      </c>
      <c r="F2099" s="34" t="str">
        <f t="shared" si="1029"/>
        <v xml:space="preserve">d.posicionar </v>
      </c>
      <c r="G2099" s="14" t="s">
        <v>877</v>
      </c>
      <c r="H2099" s="34" t="s">
        <v>1581</v>
      </c>
      <c r="I2099" s="92" t="str">
        <f t="shared" si="1028"/>
        <v>null</v>
      </c>
      <c r="J2099" s="82" t="s">
        <v>0</v>
      </c>
      <c r="K2099" s="82" t="s">
        <v>0</v>
      </c>
      <c r="L2099" s="82" t="s">
        <v>0</v>
      </c>
      <c r="M2099" s="82" t="s">
        <v>34</v>
      </c>
      <c r="N2099" s="80" t="s">
        <v>0</v>
      </c>
      <c r="O2099" s="82" t="s">
        <v>0</v>
      </c>
      <c r="P2099" s="82" t="s">
        <v>0</v>
      </c>
      <c r="Q2099" s="82" t="s">
        <v>0</v>
      </c>
      <c r="R2099" s="84" t="s">
        <v>0</v>
      </c>
      <c r="S2099" s="10" t="s">
        <v>1</v>
      </c>
      <c r="T2099" s="10" t="s">
        <v>10221</v>
      </c>
      <c r="U2099" s="5" t="str">
        <f t="shared" si="1026"/>
        <v>Propriedade destinada a posicionar : é.equidistante.a</v>
      </c>
      <c r="V2099" s="5" t="str">
        <f t="shared" si="1027"/>
        <v>Dado para posicionar :  equidistante.a  Deve ser formatado como (rdfs:Literal  or  xsd:string)</v>
      </c>
      <c r="W2099" s="69" t="s">
        <v>6058</v>
      </c>
      <c r="X2099" s="17" t="str">
        <f t="shared" si="993"/>
        <v>d.posic.102</v>
      </c>
      <c r="Y2099" s="17" t="str">
        <f t="shared" si="994"/>
        <v xml:space="preserve">Ação de posicionar </v>
      </c>
      <c r="Z2099" s="62" t="s">
        <v>4596</v>
      </c>
      <c r="AA2099" s="18" t="str">
        <f t="shared" si="995"/>
        <v>null</v>
      </c>
      <c r="AB2099" s="19" t="s">
        <v>0</v>
      </c>
      <c r="AC2099" s="18" t="str">
        <f t="shared" si="996"/>
        <v>null</v>
      </c>
      <c r="AD2099" s="19" t="s">
        <v>0</v>
      </c>
      <c r="AE2099" s="18" t="str">
        <f t="shared" si="992"/>
        <v>null</v>
      </c>
      <c r="AF2099" s="75" t="s">
        <v>0</v>
      </c>
      <c r="AG2099" s="38" t="s">
        <v>9024</v>
      </c>
    </row>
    <row r="2100" spans="1:33" ht="6" customHeight="1" x14ac:dyDescent="0.4">
      <c r="A2100" s="4">
        <f>ROW()</f>
        <v>2100</v>
      </c>
      <c r="B2100" s="9" t="s">
        <v>27</v>
      </c>
      <c r="C2100" s="44" t="str">
        <f t="shared" si="1018"/>
        <v xml:space="preserve">p.posicionar </v>
      </c>
      <c r="D2100" s="6" t="str">
        <f t="shared" si="991"/>
        <v>é.ortogonal.a</v>
      </c>
      <c r="E2100" s="8" t="s">
        <v>28</v>
      </c>
      <c r="F2100" s="34" t="str">
        <f t="shared" si="1029"/>
        <v xml:space="preserve">d.posicionar </v>
      </c>
      <c r="G2100" s="14" t="s">
        <v>878</v>
      </c>
      <c r="H2100" s="34" t="s">
        <v>1581</v>
      </c>
      <c r="I2100" s="92" t="str">
        <f t="shared" si="1028"/>
        <v>null</v>
      </c>
      <c r="J2100" s="82" t="s">
        <v>0</v>
      </c>
      <c r="K2100" s="82" t="s">
        <v>0</v>
      </c>
      <c r="L2100" s="82" t="s">
        <v>0</v>
      </c>
      <c r="M2100" s="82" t="s">
        <v>34</v>
      </c>
      <c r="N2100" s="80" t="s">
        <v>0</v>
      </c>
      <c r="O2100" s="82" t="s">
        <v>0</v>
      </c>
      <c r="P2100" s="82" t="s">
        <v>252</v>
      </c>
      <c r="Q2100" s="82" t="s">
        <v>0</v>
      </c>
      <c r="R2100" s="84" t="s">
        <v>0</v>
      </c>
      <c r="S2100" s="10" t="s">
        <v>1</v>
      </c>
      <c r="T2100" s="10" t="s">
        <v>10221</v>
      </c>
      <c r="U2100" s="5" t="str">
        <f t="shared" si="1026"/>
        <v>Propriedade destinada a posicionar : é.ortogonal.a</v>
      </c>
      <c r="V2100" s="5" t="str">
        <f t="shared" si="1027"/>
        <v>Dado para posicionar :  ortogonal.a  Deve ser formatado como (rdfs:Literal  or  xsd:string)</v>
      </c>
      <c r="W2100" s="69" t="s">
        <v>6059</v>
      </c>
      <c r="X2100" s="17" t="str">
        <f t="shared" si="993"/>
        <v>d.posic.103</v>
      </c>
      <c r="Y2100" s="17" t="str">
        <f t="shared" si="994"/>
        <v xml:space="preserve">Ação de posicionar </v>
      </c>
      <c r="Z2100" s="62" t="s">
        <v>4597</v>
      </c>
      <c r="AA2100" s="18" t="str">
        <f t="shared" si="995"/>
        <v>null</v>
      </c>
      <c r="AB2100" s="19" t="s">
        <v>0</v>
      </c>
      <c r="AC2100" s="18" t="str">
        <f t="shared" si="996"/>
        <v>null</v>
      </c>
      <c r="AD2100" s="19" t="s">
        <v>0</v>
      </c>
      <c r="AE2100" s="18" t="str">
        <f t="shared" si="992"/>
        <v>null</v>
      </c>
      <c r="AF2100" s="75" t="s">
        <v>0</v>
      </c>
      <c r="AG2100" s="38" t="s">
        <v>9025</v>
      </c>
    </row>
    <row r="2101" spans="1:33" ht="6" customHeight="1" x14ac:dyDescent="0.4">
      <c r="A2101" s="4">
        <f>ROW()</f>
        <v>2101</v>
      </c>
      <c r="B2101" s="9" t="s">
        <v>27</v>
      </c>
      <c r="C2101" s="44" t="str">
        <f t="shared" si="1018"/>
        <v xml:space="preserve">p.posicionar </v>
      </c>
      <c r="D2101" s="6" t="str">
        <f t="shared" si="991"/>
        <v>é.perpendicular.a</v>
      </c>
      <c r="E2101" s="8" t="s">
        <v>28</v>
      </c>
      <c r="F2101" s="34" t="str">
        <f t="shared" si="1029"/>
        <v xml:space="preserve">d.posicionar </v>
      </c>
      <c r="G2101" s="14" t="s">
        <v>879</v>
      </c>
      <c r="H2101" s="34" t="s">
        <v>1581</v>
      </c>
      <c r="I2101" s="92" t="str">
        <f t="shared" si="1028"/>
        <v>null</v>
      </c>
      <c r="J2101" s="82" t="s">
        <v>0</v>
      </c>
      <c r="K2101" s="82" t="s">
        <v>0</v>
      </c>
      <c r="L2101" s="82" t="s">
        <v>0</v>
      </c>
      <c r="M2101" s="82" t="s">
        <v>34</v>
      </c>
      <c r="N2101" s="80" t="s">
        <v>0</v>
      </c>
      <c r="O2101" s="82" t="s">
        <v>0</v>
      </c>
      <c r="P2101" s="82" t="s">
        <v>252</v>
      </c>
      <c r="Q2101" s="82" t="s">
        <v>0</v>
      </c>
      <c r="R2101" s="84" t="s">
        <v>0</v>
      </c>
      <c r="S2101" s="10" t="s">
        <v>1</v>
      </c>
      <c r="T2101" s="10" t="s">
        <v>10221</v>
      </c>
      <c r="U2101" s="5" t="str">
        <f t="shared" si="1026"/>
        <v>Propriedade destinada a posicionar : é.perpendicular.a</v>
      </c>
      <c r="V2101" s="5" t="str">
        <f t="shared" si="1027"/>
        <v>Dado para posicionar :  perpendicular.a  Deve ser formatado como (rdfs:Literal  or  xsd:string)</v>
      </c>
      <c r="W2101" s="69" t="s">
        <v>6060</v>
      </c>
      <c r="X2101" s="17" t="str">
        <f t="shared" si="993"/>
        <v>d.posic.104</v>
      </c>
      <c r="Y2101" s="17" t="str">
        <f t="shared" si="994"/>
        <v xml:space="preserve">Ação de posicionar </v>
      </c>
      <c r="Z2101" s="62" t="s">
        <v>4598</v>
      </c>
      <c r="AA2101" s="18" t="str">
        <f t="shared" si="995"/>
        <v>null</v>
      </c>
      <c r="AB2101" s="19" t="s">
        <v>0</v>
      </c>
      <c r="AC2101" s="18" t="str">
        <f t="shared" si="996"/>
        <v>null</v>
      </c>
      <c r="AD2101" s="19" t="s">
        <v>0</v>
      </c>
      <c r="AE2101" s="18" t="str">
        <f t="shared" si="992"/>
        <v>null</v>
      </c>
      <c r="AF2101" s="75" t="s">
        <v>0</v>
      </c>
      <c r="AG2101" s="38" t="s">
        <v>9026</v>
      </c>
    </row>
    <row r="2102" spans="1:33" ht="6" customHeight="1" x14ac:dyDescent="0.4">
      <c r="A2102" s="4">
        <f>ROW()</f>
        <v>2102</v>
      </c>
      <c r="B2102" s="9" t="s">
        <v>27</v>
      </c>
      <c r="C2102" s="44" t="str">
        <f t="shared" si="1018"/>
        <v xml:space="preserve">p.posicionar </v>
      </c>
      <c r="D2102" s="6" t="str">
        <f t="shared" si="991"/>
        <v>é.adjacente.a</v>
      </c>
      <c r="E2102" s="8" t="s">
        <v>28</v>
      </c>
      <c r="F2102" s="34" t="str">
        <f t="shared" si="1029"/>
        <v xml:space="preserve">d.posicionar </v>
      </c>
      <c r="G2102" s="14" t="s">
        <v>880</v>
      </c>
      <c r="H2102" s="34" t="s">
        <v>1581</v>
      </c>
      <c r="I2102" s="92" t="str">
        <f t="shared" si="1028"/>
        <v>null</v>
      </c>
      <c r="J2102" s="82" t="s">
        <v>0</v>
      </c>
      <c r="K2102" s="82" t="s">
        <v>0</v>
      </c>
      <c r="L2102" s="82" t="s">
        <v>0</v>
      </c>
      <c r="M2102" s="82" t="s">
        <v>34</v>
      </c>
      <c r="N2102" s="80" t="s">
        <v>0</v>
      </c>
      <c r="O2102" s="82" t="s">
        <v>0</v>
      </c>
      <c r="P2102" s="82" t="s">
        <v>252</v>
      </c>
      <c r="Q2102" s="82" t="s">
        <v>0</v>
      </c>
      <c r="R2102" s="84" t="s">
        <v>881</v>
      </c>
      <c r="S2102" s="10" t="s">
        <v>1</v>
      </c>
      <c r="T2102" s="10" t="s">
        <v>10221</v>
      </c>
      <c r="U2102" s="5" t="str">
        <f t="shared" si="1026"/>
        <v>Propriedade destinada a posicionar : é.adjacente.a</v>
      </c>
      <c r="V2102" s="5" t="str">
        <f t="shared" si="1027"/>
        <v>Dado para posicionar :  adjacente.a  Deve ser formatado como (rdfs:Literal  or  xsd:string)</v>
      </c>
      <c r="W2102" s="69" t="s">
        <v>6061</v>
      </c>
      <c r="X2102" s="17" t="str">
        <f t="shared" si="993"/>
        <v>d.posic.105</v>
      </c>
      <c r="Y2102" s="17" t="str">
        <f t="shared" si="994"/>
        <v xml:space="preserve">Ação de posicionar </v>
      </c>
      <c r="Z2102" s="62" t="s">
        <v>4600</v>
      </c>
      <c r="AA2102" s="18" t="str">
        <f t="shared" si="995"/>
        <v>null</v>
      </c>
      <c r="AB2102" s="19" t="s">
        <v>0</v>
      </c>
      <c r="AC2102" s="18" t="str">
        <f t="shared" si="996"/>
        <v>null</v>
      </c>
      <c r="AD2102" s="19" t="s">
        <v>0</v>
      </c>
      <c r="AE2102" s="18" t="str">
        <f t="shared" si="992"/>
        <v>null</v>
      </c>
      <c r="AF2102" s="75" t="s">
        <v>0</v>
      </c>
      <c r="AG2102" s="38" t="s">
        <v>9027</v>
      </c>
    </row>
    <row r="2103" spans="1:33" ht="6" customHeight="1" x14ac:dyDescent="0.4">
      <c r="A2103" s="4">
        <f>ROW()</f>
        <v>2103</v>
      </c>
      <c r="B2103" s="9" t="s">
        <v>27</v>
      </c>
      <c r="C2103" s="44" t="str">
        <f t="shared" si="1018"/>
        <v xml:space="preserve">p.posicionar </v>
      </c>
      <c r="D2103" s="6" t="str">
        <f t="shared" si="991"/>
        <v>é.contíguo.a</v>
      </c>
      <c r="E2103" s="8" t="s">
        <v>28</v>
      </c>
      <c r="F2103" s="34" t="str">
        <f t="shared" si="1029"/>
        <v xml:space="preserve">d.posicionar </v>
      </c>
      <c r="G2103" s="14" t="s">
        <v>882</v>
      </c>
      <c r="H2103" s="34" t="s">
        <v>1581</v>
      </c>
      <c r="I2103" s="92" t="str">
        <f t="shared" si="1028"/>
        <v>null</v>
      </c>
      <c r="J2103" s="82" t="s">
        <v>0</v>
      </c>
      <c r="K2103" s="82" t="s">
        <v>0</v>
      </c>
      <c r="L2103" s="82" t="s">
        <v>0</v>
      </c>
      <c r="M2103" s="82" t="s">
        <v>34</v>
      </c>
      <c r="N2103" s="80" t="s">
        <v>0</v>
      </c>
      <c r="O2103" s="82" t="s">
        <v>0</v>
      </c>
      <c r="P2103" s="82" t="s">
        <v>252</v>
      </c>
      <c r="Q2103" s="82" t="s">
        <v>0</v>
      </c>
      <c r="R2103" s="84" t="s">
        <v>0</v>
      </c>
      <c r="S2103" s="10" t="s">
        <v>1</v>
      </c>
      <c r="T2103" s="10" t="s">
        <v>10221</v>
      </c>
      <c r="U2103" s="5" t="str">
        <f t="shared" si="1026"/>
        <v>Propriedade destinada a posicionar : é.contíguo.a</v>
      </c>
      <c r="V2103" s="5" t="str">
        <f t="shared" si="1027"/>
        <v>Dado para posicionar :  contíguo.a  Deve ser formatado como (rdfs:Literal  or  xsd:string)</v>
      </c>
      <c r="W2103" s="69" t="s">
        <v>6062</v>
      </c>
      <c r="X2103" s="17" t="str">
        <f t="shared" si="993"/>
        <v>d.posic.106</v>
      </c>
      <c r="Y2103" s="17" t="str">
        <f t="shared" si="994"/>
        <v xml:space="preserve">Ação de posicionar </v>
      </c>
      <c r="Z2103" s="62" t="s">
        <v>4599</v>
      </c>
      <c r="AA2103" s="18" t="str">
        <f t="shared" si="995"/>
        <v>null</v>
      </c>
      <c r="AB2103" s="19" t="s">
        <v>0</v>
      </c>
      <c r="AC2103" s="18" t="str">
        <f t="shared" si="996"/>
        <v>null</v>
      </c>
      <c r="AD2103" s="19" t="s">
        <v>0</v>
      </c>
      <c r="AE2103" s="18" t="str">
        <f t="shared" si="992"/>
        <v>null</v>
      </c>
      <c r="AF2103" s="75" t="s">
        <v>0</v>
      </c>
      <c r="AG2103" s="38" t="s">
        <v>9028</v>
      </c>
    </row>
    <row r="2104" spans="1:33" ht="6" customHeight="1" x14ac:dyDescent="0.4">
      <c r="A2104" s="4">
        <f>ROW()</f>
        <v>2104</v>
      </c>
      <c r="B2104" s="9" t="s">
        <v>27</v>
      </c>
      <c r="C2104" s="44" t="str">
        <f t="shared" si="1018"/>
        <v xml:space="preserve">p.posicionar </v>
      </c>
      <c r="D2104" s="6" t="str">
        <f t="shared" si="991"/>
        <v>é.próximo.a</v>
      </c>
      <c r="E2104" s="8" t="s">
        <v>28</v>
      </c>
      <c r="F2104" s="34" t="str">
        <f t="shared" si="1029"/>
        <v xml:space="preserve">d.posicionar </v>
      </c>
      <c r="G2104" s="14" t="s">
        <v>883</v>
      </c>
      <c r="H2104" s="34" t="s">
        <v>1581</v>
      </c>
      <c r="I2104" s="92" t="str">
        <f t="shared" si="1028"/>
        <v>null</v>
      </c>
      <c r="J2104" s="82" t="s">
        <v>0</v>
      </c>
      <c r="K2104" s="82" t="s">
        <v>0</v>
      </c>
      <c r="L2104" s="82" t="s">
        <v>0</v>
      </c>
      <c r="M2104" s="82" t="s">
        <v>34</v>
      </c>
      <c r="N2104" s="80" t="s">
        <v>0</v>
      </c>
      <c r="O2104" s="82" t="s">
        <v>0</v>
      </c>
      <c r="P2104" s="82" t="s">
        <v>252</v>
      </c>
      <c r="Q2104" s="82" t="s">
        <v>884</v>
      </c>
      <c r="R2104" s="84" t="s">
        <v>0</v>
      </c>
      <c r="S2104" s="10" t="s">
        <v>1</v>
      </c>
      <c r="T2104" s="10" t="s">
        <v>10221</v>
      </c>
      <c r="U2104" s="5" t="str">
        <f t="shared" si="1026"/>
        <v>Propriedade destinada a posicionar : é.próximo.a</v>
      </c>
      <c r="V2104" s="5" t="str">
        <f t="shared" si="1027"/>
        <v>Dado para posicionar :  próximo.a  Deve ser formatado como (rdfs:Literal  or  xsd:string)</v>
      </c>
      <c r="W2104" s="69" t="s">
        <v>6063</v>
      </c>
      <c r="X2104" s="17" t="str">
        <f t="shared" si="993"/>
        <v>d.posic.107</v>
      </c>
      <c r="Y2104" s="17" t="str">
        <f t="shared" si="994"/>
        <v xml:space="preserve">Ação de posicionar </v>
      </c>
      <c r="Z2104" s="62" t="s">
        <v>4601</v>
      </c>
      <c r="AA2104" s="18" t="str">
        <f t="shared" si="995"/>
        <v>null</v>
      </c>
      <c r="AB2104" s="19" t="s">
        <v>0</v>
      </c>
      <c r="AC2104" s="18" t="str">
        <f t="shared" si="996"/>
        <v>null</v>
      </c>
      <c r="AD2104" s="19" t="s">
        <v>0</v>
      </c>
      <c r="AE2104" s="18" t="str">
        <f t="shared" si="992"/>
        <v>null</v>
      </c>
      <c r="AF2104" s="75" t="s">
        <v>0</v>
      </c>
      <c r="AG2104" s="38" t="s">
        <v>9029</v>
      </c>
    </row>
    <row r="2105" spans="1:33" ht="6" customHeight="1" x14ac:dyDescent="0.4">
      <c r="A2105" s="4">
        <f>ROW()</f>
        <v>2105</v>
      </c>
      <c r="B2105" s="9" t="s">
        <v>27</v>
      </c>
      <c r="C2105" s="44" t="str">
        <f t="shared" si="1018"/>
        <v xml:space="preserve">p.posicionar </v>
      </c>
      <c r="D2105" s="6" t="str">
        <f t="shared" si="991"/>
        <v>é.longe.a</v>
      </c>
      <c r="E2105" s="8" t="s">
        <v>28</v>
      </c>
      <c r="F2105" s="34" t="str">
        <f t="shared" si="1029"/>
        <v xml:space="preserve">d.posicionar </v>
      </c>
      <c r="G2105" s="14" t="s">
        <v>885</v>
      </c>
      <c r="H2105" s="34" t="s">
        <v>1581</v>
      </c>
      <c r="I2105" s="92" t="str">
        <f t="shared" si="1028"/>
        <v>null</v>
      </c>
      <c r="J2105" s="82" t="s">
        <v>0</v>
      </c>
      <c r="K2105" s="82" t="s">
        <v>0</v>
      </c>
      <c r="L2105" s="82" t="s">
        <v>0</v>
      </c>
      <c r="M2105" s="82" t="s">
        <v>34</v>
      </c>
      <c r="N2105" s="80" t="s">
        <v>0</v>
      </c>
      <c r="O2105" s="82" t="s">
        <v>0</v>
      </c>
      <c r="P2105" s="82" t="s">
        <v>252</v>
      </c>
      <c r="Q2105" s="82" t="s">
        <v>886</v>
      </c>
      <c r="R2105" s="84" t="s">
        <v>0</v>
      </c>
      <c r="S2105" s="10" t="s">
        <v>1</v>
      </c>
      <c r="T2105" s="10" t="s">
        <v>10221</v>
      </c>
      <c r="U2105" s="5" t="str">
        <f t="shared" si="1026"/>
        <v>Propriedade destinada a posicionar : é.longe.a</v>
      </c>
      <c r="V2105" s="5" t="str">
        <f t="shared" si="1027"/>
        <v>Dado para posicionar :  longe.a  Deve ser formatado como (rdfs:Literal  or  xsd:string)</v>
      </c>
      <c r="W2105" s="69" t="s">
        <v>6064</v>
      </c>
      <c r="X2105" s="17" t="str">
        <f t="shared" si="993"/>
        <v>d.posic.108</v>
      </c>
      <c r="Y2105" s="17" t="str">
        <f t="shared" si="994"/>
        <v xml:space="preserve">Ação de posicionar </v>
      </c>
      <c r="Z2105" s="62" t="s">
        <v>4602</v>
      </c>
      <c r="AA2105" s="18" t="str">
        <f t="shared" si="995"/>
        <v>null</v>
      </c>
      <c r="AB2105" s="19" t="s">
        <v>0</v>
      </c>
      <c r="AC2105" s="18" t="str">
        <f t="shared" si="996"/>
        <v>null</v>
      </c>
      <c r="AD2105" s="19" t="s">
        <v>0</v>
      </c>
      <c r="AE2105" s="18" t="str">
        <f t="shared" si="992"/>
        <v>null</v>
      </c>
      <c r="AF2105" s="75" t="s">
        <v>0</v>
      </c>
      <c r="AG2105" s="38" t="s">
        <v>9030</v>
      </c>
    </row>
    <row r="2106" spans="1:33" ht="6" customHeight="1" x14ac:dyDescent="0.4">
      <c r="A2106" s="4">
        <f>ROW()</f>
        <v>2106</v>
      </c>
      <c r="B2106" s="9" t="s">
        <v>27</v>
      </c>
      <c r="C2106" s="44" t="str">
        <f t="shared" si="1018"/>
        <v xml:space="preserve">p.posicionar </v>
      </c>
      <c r="D2106" s="6" t="str">
        <f t="shared" si="991"/>
        <v>é.tangente.a</v>
      </c>
      <c r="E2106" s="8" t="s">
        <v>28</v>
      </c>
      <c r="F2106" s="34" t="str">
        <f t="shared" si="1029"/>
        <v xml:space="preserve">d.posicionar </v>
      </c>
      <c r="G2106" s="14" t="s">
        <v>887</v>
      </c>
      <c r="H2106" s="34" t="s">
        <v>1581</v>
      </c>
      <c r="I2106" s="92" t="str">
        <f t="shared" si="1028"/>
        <v>null</v>
      </c>
      <c r="J2106" s="82" t="s">
        <v>0</v>
      </c>
      <c r="K2106" s="82" t="s">
        <v>0</v>
      </c>
      <c r="L2106" s="82" t="s">
        <v>0</v>
      </c>
      <c r="M2106" s="82" t="s">
        <v>0</v>
      </c>
      <c r="N2106" s="80" t="s">
        <v>0</v>
      </c>
      <c r="O2106" s="82" t="s">
        <v>0</v>
      </c>
      <c r="P2106" s="82" t="s">
        <v>252</v>
      </c>
      <c r="Q2106" s="82" t="s">
        <v>0</v>
      </c>
      <c r="R2106" s="84" t="s">
        <v>0</v>
      </c>
      <c r="S2106" s="10" t="s">
        <v>1</v>
      </c>
      <c r="T2106" s="10" t="s">
        <v>10221</v>
      </c>
      <c r="U2106" s="5" t="str">
        <f t="shared" si="1026"/>
        <v>Propriedade destinada a posicionar : é.tangente.a</v>
      </c>
      <c r="V2106" s="5" t="str">
        <f t="shared" si="1027"/>
        <v>Dado para posicionar :  tangente.a  Deve ser formatado como (rdfs:Literal  or  xsd:string)</v>
      </c>
      <c r="W2106" s="69" t="s">
        <v>6065</v>
      </c>
      <c r="X2106" s="17" t="str">
        <f t="shared" si="993"/>
        <v>d.posic.109</v>
      </c>
      <c r="Y2106" s="17" t="str">
        <f t="shared" si="994"/>
        <v xml:space="preserve">Ação de posicionar </v>
      </c>
      <c r="Z2106" s="62" t="s">
        <v>4603</v>
      </c>
      <c r="AA2106" s="18" t="str">
        <f t="shared" si="995"/>
        <v>null</v>
      </c>
      <c r="AB2106" s="19" t="s">
        <v>0</v>
      </c>
      <c r="AC2106" s="18" t="str">
        <f t="shared" si="996"/>
        <v>null</v>
      </c>
      <c r="AD2106" s="19" t="s">
        <v>0</v>
      </c>
      <c r="AE2106" s="18" t="str">
        <f t="shared" si="992"/>
        <v>null</v>
      </c>
      <c r="AF2106" s="75" t="s">
        <v>0</v>
      </c>
      <c r="AG2106" s="38" t="s">
        <v>9031</v>
      </c>
    </row>
    <row r="2107" spans="1:33" ht="6" customHeight="1" x14ac:dyDescent="0.4">
      <c r="A2107" s="4">
        <f>ROW()</f>
        <v>2107</v>
      </c>
      <c r="B2107" s="9" t="s">
        <v>27</v>
      </c>
      <c r="C2107" s="44" t="str">
        <f t="shared" si="1018"/>
        <v xml:space="preserve">p.posicionar </v>
      </c>
      <c r="D2107" s="6" t="str">
        <f t="shared" si="991"/>
        <v>é.dentro.de</v>
      </c>
      <c r="E2107" s="8" t="s">
        <v>28</v>
      </c>
      <c r="F2107" s="34" t="str">
        <f t="shared" si="1029"/>
        <v xml:space="preserve">d.posicionar </v>
      </c>
      <c r="G2107" s="14" t="s">
        <v>888</v>
      </c>
      <c r="H2107" s="33" t="s">
        <v>1581</v>
      </c>
      <c r="I2107" s="92" t="str">
        <f t="shared" si="1028"/>
        <v>null</v>
      </c>
      <c r="J2107" s="82" t="s">
        <v>0</v>
      </c>
      <c r="K2107" s="82" t="s">
        <v>0</v>
      </c>
      <c r="L2107" s="82" t="s">
        <v>31</v>
      </c>
      <c r="M2107" s="82" t="s">
        <v>0</v>
      </c>
      <c r="N2107" s="80" t="s">
        <v>0</v>
      </c>
      <c r="O2107" s="82" t="s">
        <v>0</v>
      </c>
      <c r="P2107" s="82" t="s">
        <v>252</v>
      </c>
      <c r="Q2107" s="82" t="s">
        <v>0</v>
      </c>
      <c r="R2107" s="84" t="s">
        <v>0</v>
      </c>
      <c r="S2107" s="10" t="s">
        <v>1</v>
      </c>
      <c r="T2107" s="10" t="s">
        <v>10221</v>
      </c>
      <c r="U2107" s="5" t="str">
        <f t="shared" si="1026"/>
        <v>Propriedade destinada a posicionar : é.dentro.de</v>
      </c>
      <c r="V2107" s="5" t="str">
        <f t="shared" si="1027"/>
        <v>Dado para posicionar :  dentro.de  Deve ser formatado como (rdfs:Literal  or  xsd:string)</v>
      </c>
      <c r="W2107" s="69" t="s">
        <v>6066</v>
      </c>
      <c r="X2107" s="17" t="str">
        <f t="shared" si="993"/>
        <v>d.posic.110</v>
      </c>
      <c r="Y2107" s="17" t="str">
        <f t="shared" si="994"/>
        <v xml:space="preserve">Ação de posicionar </v>
      </c>
      <c r="Z2107" s="62" t="s">
        <v>1405</v>
      </c>
      <c r="AA2107" s="18" t="str">
        <f t="shared" si="995"/>
        <v>null</v>
      </c>
      <c r="AB2107" s="19" t="s">
        <v>0</v>
      </c>
      <c r="AC2107" s="18" t="str">
        <f t="shared" si="996"/>
        <v>null</v>
      </c>
      <c r="AD2107" s="19" t="s">
        <v>0</v>
      </c>
      <c r="AE2107" s="18" t="str">
        <f t="shared" si="992"/>
        <v>null</v>
      </c>
      <c r="AF2107" s="75" t="s">
        <v>0</v>
      </c>
      <c r="AG2107" s="38" t="s">
        <v>9032</v>
      </c>
    </row>
    <row r="2108" spans="1:33" ht="6" customHeight="1" x14ac:dyDescent="0.4">
      <c r="A2108" s="4">
        <f>ROW()</f>
        <v>2108</v>
      </c>
      <c r="B2108" s="9" t="s">
        <v>27</v>
      </c>
      <c r="C2108" s="44" t="str">
        <f t="shared" si="1018"/>
        <v xml:space="preserve">p.posicionar </v>
      </c>
      <c r="D2108" s="6" t="str">
        <f t="shared" si="991"/>
        <v>é.fora.de</v>
      </c>
      <c r="E2108" s="8" t="s">
        <v>28</v>
      </c>
      <c r="F2108" s="34" t="str">
        <f t="shared" si="1029"/>
        <v xml:space="preserve">d.posicionar </v>
      </c>
      <c r="G2108" s="14" t="s">
        <v>889</v>
      </c>
      <c r="H2108" s="33" t="s">
        <v>1581</v>
      </c>
      <c r="I2108" s="92" t="str">
        <f t="shared" si="1028"/>
        <v>null</v>
      </c>
      <c r="J2108" s="82" t="s">
        <v>0</v>
      </c>
      <c r="K2108" s="82" t="s">
        <v>0</v>
      </c>
      <c r="L2108" s="82" t="s">
        <v>0</v>
      </c>
      <c r="M2108" s="82" t="s">
        <v>34</v>
      </c>
      <c r="N2108" s="80" t="s">
        <v>0</v>
      </c>
      <c r="O2108" s="82" t="s">
        <v>0</v>
      </c>
      <c r="P2108" s="82" t="s">
        <v>0</v>
      </c>
      <c r="Q2108" s="82" t="s">
        <v>0</v>
      </c>
      <c r="R2108" s="84" t="s">
        <v>0</v>
      </c>
      <c r="S2108" s="10" t="s">
        <v>1</v>
      </c>
      <c r="T2108" s="10" t="s">
        <v>10221</v>
      </c>
      <c r="U2108" s="5" t="str">
        <f t="shared" si="1026"/>
        <v>Propriedade destinada a posicionar : é.fora.de</v>
      </c>
      <c r="V2108" s="5" t="str">
        <f t="shared" si="1027"/>
        <v>Dado para posicionar :  fora.de  Deve ser formatado como (rdfs:Literal  or  xsd:string)</v>
      </c>
      <c r="W2108" s="69" t="s">
        <v>6067</v>
      </c>
      <c r="X2108" s="17" t="str">
        <f t="shared" si="993"/>
        <v>d.posic.111</v>
      </c>
      <c r="Y2108" s="17" t="str">
        <f t="shared" si="994"/>
        <v xml:space="preserve">Ação de posicionar </v>
      </c>
      <c r="Z2108" s="62" t="s">
        <v>1406</v>
      </c>
      <c r="AA2108" s="18" t="str">
        <f t="shared" si="995"/>
        <v>null</v>
      </c>
      <c r="AB2108" s="19" t="s">
        <v>0</v>
      </c>
      <c r="AC2108" s="18" t="str">
        <f t="shared" si="996"/>
        <v>null</v>
      </c>
      <c r="AD2108" s="19" t="s">
        <v>0</v>
      </c>
      <c r="AE2108" s="18" t="str">
        <f t="shared" si="992"/>
        <v>null</v>
      </c>
      <c r="AF2108" s="75" t="s">
        <v>0</v>
      </c>
      <c r="AG2108" s="38" t="s">
        <v>9033</v>
      </c>
    </row>
    <row r="2109" spans="1:33" ht="6" customHeight="1" x14ac:dyDescent="0.4">
      <c r="A2109" s="4">
        <f>ROW()</f>
        <v>2109</v>
      </c>
      <c r="B2109" s="9" t="s">
        <v>27</v>
      </c>
      <c r="C2109" s="44" t="str">
        <f t="shared" si="1018"/>
        <v xml:space="preserve">p.posicionar </v>
      </c>
      <c r="D2109" s="6" t="str">
        <f t="shared" si="991"/>
        <v>é.frontal</v>
      </c>
      <c r="E2109" s="8" t="s">
        <v>28</v>
      </c>
      <c r="F2109" s="34" t="str">
        <f t="shared" si="1029"/>
        <v xml:space="preserve">d.posicionar </v>
      </c>
      <c r="G2109" s="14" t="s">
        <v>248</v>
      </c>
      <c r="H2109" s="34" t="s">
        <v>1581</v>
      </c>
      <c r="I2109" s="92" t="str">
        <f t="shared" si="1028"/>
        <v>null</v>
      </c>
      <c r="J2109" s="82" t="s">
        <v>0</v>
      </c>
      <c r="K2109" s="82" t="s">
        <v>0</v>
      </c>
      <c r="L2109" s="82" t="s">
        <v>0</v>
      </c>
      <c r="M2109" s="82" t="s">
        <v>0</v>
      </c>
      <c r="N2109" s="80" t="s">
        <v>0</v>
      </c>
      <c r="O2109" s="82" t="s">
        <v>0</v>
      </c>
      <c r="P2109" s="82" t="s">
        <v>0</v>
      </c>
      <c r="Q2109" s="82" t="s">
        <v>0</v>
      </c>
      <c r="R2109" s="84" t="s">
        <v>0</v>
      </c>
      <c r="S2109" s="10" t="s">
        <v>1</v>
      </c>
      <c r="T2109" s="10" t="s">
        <v>10221</v>
      </c>
      <c r="U2109" s="5" t="str">
        <f t="shared" si="1026"/>
        <v>Propriedade destinada a posicionar : é.frontal</v>
      </c>
      <c r="V2109" s="5" t="str">
        <f t="shared" si="1027"/>
        <v>Dado para posicionar :  frontal  Deve ser formatado como (rdfs:Literal  or  xsd:string)</v>
      </c>
      <c r="W2109" s="69" t="s">
        <v>6068</v>
      </c>
      <c r="X2109" s="17" t="str">
        <f t="shared" si="993"/>
        <v>d.posic.112</v>
      </c>
      <c r="Y2109" s="17" t="str">
        <f t="shared" si="994"/>
        <v xml:space="preserve">Ação de posicionar </v>
      </c>
      <c r="Z2109" s="62" t="s">
        <v>1407</v>
      </c>
      <c r="AA2109" s="18" t="str">
        <f t="shared" si="995"/>
        <v>null</v>
      </c>
      <c r="AB2109" s="19" t="s">
        <v>0</v>
      </c>
      <c r="AC2109" s="18" t="str">
        <f t="shared" si="996"/>
        <v>null</v>
      </c>
      <c r="AD2109" s="19" t="s">
        <v>0</v>
      </c>
      <c r="AE2109" s="18" t="str">
        <f t="shared" si="992"/>
        <v>null</v>
      </c>
      <c r="AF2109" s="75" t="s">
        <v>0</v>
      </c>
      <c r="AG2109" s="38" t="s">
        <v>9034</v>
      </c>
    </row>
    <row r="2110" spans="1:33" ht="6" customHeight="1" x14ac:dyDescent="0.4">
      <c r="A2110" s="4">
        <f>ROW()</f>
        <v>2110</v>
      </c>
      <c r="B2110" s="9" t="s">
        <v>27</v>
      </c>
      <c r="C2110" s="44" t="str">
        <f t="shared" si="1018"/>
        <v xml:space="preserve">p.posicionar </v>
      </c>
      <c r="D2110" s="6" t="str">
        <f t="shared" si="991"/>
        <v>é.lateral</v>
      </c>
      <c r="E2110" s="8" t="s">
        <v>28</v>
      </c>
      <c r="F2110" s="34" t="str">
        <f t="shared" si="1029"/>
        <v xml:space="preserve">d.posicionar </v>
      </c>
      <c r="G2110" s="14" t="s">
        <v>249</v>
      </c>
      <c r="H2110" s="34" t="s">
        <v>1581</v>
      </c>
      <c r="I2110" s="92" t="str">
        <f t="shared" si="1028"/>
        <v>null</v>
      </c>
      <c r="J2110" s="82" t="s">
        <v>0</v>
      </c>
      <c r="K2110" s="82" t="s">
        <v>0</v>
      </c>
      <c r="L2110" s="82" t="s">
        <v>0</v>
      </c>
      <c r="M2110" s="82" t="s">
        <v>0</v>
      </c>
      <c r="N2110" s="80" t="s">
        <v>0</v>
      </c>
      <c r="O2110" s="82" t="s">
        <v>0</v>
      </c>
      <c r="P2110" s="82" t="s">
        <v>0</v>
      </c>
      <c r="Q2110" s="82" t="s">
        <v>0</v>
      </c>
      <c r="R2110" s="84" t="s">
        <v>0</v>
      </c>
      <c r="S2110" s="10" t="s">
        <v>1</v>
      </c>
      <c r="T2110" s="10" t="s">
        <v>10221</v>
      </c>
      <c r="U2110" s="5" t="str">
        <f t="shared" si="1026"/>
        <v>Propriedade destinada a posicionar : é.lateral</v>
      </c>
      <c r="V2110" s="5" t="str">
        <f t="shared" si="1027"/>
        <v>Dado para posicionar :  lateral  Deve ser formatado como (rdfs:Literal  or  xsd:string)</v>
      </c>
      <c r="W2110" s="69" t="s">
        <v>6069</v>
      </c>
      <c r="X2110" s="17" t="str">
        <f t="shared" si="993"/>
        <v>d.posic.113</v>
      </c>
      <c r="Y2110" s="17" t="str">
        <f t="shared" si="994"/>
        <v xml:space="preserve">Ação de posicionar </v>
      </c>
      <c r="Z2110" s="62" t="s">
        <v>1408</v>
      </c>
      <c r="AA2110" s="18" t="str">
        <f t="shared" si="995"/>
        <v>null</v>
      </c>
      <c r="AB2110" s="19" t="s">
        <v>0</v>
      </c>
      <c r="AC2110" s="18" t="str">
        <f t="shared" si="996"/>
        <v>null</v>
      </c>
      <c r="AD2110" s="19" t="s">
        <v>0</v>
      </c>
      <c r="AE2110" s="18" t="str">
        <f t="shared" ref="AE2110:AE2181" si="1030">IF(AF2110="null", "null", "propriedade")</f>
        <v>null</v>
      </c>
      <c r="AF2110" s="75" t="s">
        <v>0</v>
      </c>
      <c r="AG2110" s="38" t="s">
        <v>9035</v>
      </c>
    </row>
    <row r="2111" spans="1:33" ht="6" customHeight="1" x14ac:dyDescent="0.4">
      <c r="A2111" s="4">
        <f>ROW()</f>
        <v>2111</v>
      </c>
      <c r="B2111" s="9" t="s">
        <v>27</v>
      </c>
      <c r="C2111" s="44" t="str">
        <f t="shared" si="1018"/>
        <v xml:space="preserve">p.posicionar </v>
      </c>
      <c r="D2111" s="6" t="str">
        <f t="shared" si="991"/>
        <v>é.posterior</v>
      </c>
      <c r="E2111" s="8" t="s">
        <v>28</v>
      </c>
      <c r="F2111" s="34" t="str">
        <f t="shared" si="1029"/>
        <v xml:space="preserve">d.posicionar </v>
      </c>
      <c r="G2111" s="14" t="s">
        <v>250</v>
      </c>
      <c r="H2111" s="34" t="s">
        <v>1581</v>
      </c>
      <c r="I2111" s="92" t="str">
        <f t="shared" si="1028"/>
        <v>null</v>
      </c>
      <c r="J2111" s="82" t="s">
        <v>0</v>
      </c>
      <c r="K2111" s="82" t="s">
        <v>0</v>
      </c>
      <c r="L2111" s="82" t="s">
        <v>0</v>
      </c>
      <c r="M2111" s="82" t="s">
        <v>0</v>
      </c>
      <c r="N2111" s="80" t="s">
        <v>0</v>
      </c>
      <c r="O2111" s="82" t="s">
        <v>0</v>
      </c>
      <c r="P2111" s="82" t="s">
        <v>0</v>
      </c>
      <c r="Q2111" s="82" t="s">
        <v>0</v>
      </c>
      <c r="R2111" s="84" t="s">
        <v>0</v>
      </c>
      <c r="S2111" s="10" t="s">
        <v>1</v>
      </c>
      <c r="T2111" s="10" t="s">
        <v>10221</v>
      </c>
      <c r="U2111" s="5" t="str">
        <f t="shared" si="1026"/>
        <v>Propriedade destinada a posicionar : é.posterior</v>
      </c>
      <c r="V2111" s="5" t="str">
        <f t="shared" si="1027"/>
        <v>Dado para posicionar :  posterior  Deve ser formatado como (rdfs:Literal  or  xsd:string)</v>
      </c>
      <c r="W2111" s="69" t="s">
        <v>6070</v>
      </c>
      <c r="X2111" s="17" t="str">
        <f t="shared" si="993"/>
        <v>d.posic.114</v>
      </c>
      <c r="Y2111" s="17" t="str">
        <f t="shared" si="994"/>
        <v xml:space="preserve">Ação de posicionar </v>
      </c>
      <c r="Z2111" s="62" t="s">
        <v>1409</v>
      </c>
      <c r="AA2111" s="18" t="str">
        <f t="shared" si="995"/>
        <v>null</v>
      </c>
      <c r="AB2111" s="19" t="s">
        <v>0</v>
      </c>
      <c r="AC2111" s="18" t="str">
        <f t="shared" si="996"/>
        <v>null</v>
      </c>
      <c r="AD2111" s="19" t="s">
        <v>0</v>
      </c>
      <c r="AE2111" s="18" t="str">
        <f t="shared" si="1030"/>
        <v>null</v>
      </c>
      <c r="AF2111" s="75" t="s">
        <v>0</v>
      </c>
      <c r="AG2111" s="38" t="s">
        <v>9036</v>
      </c>
    </row>
    <row r="2112" spans="1:33" ht="6" customHeight="1" x14ac:dyDescent="0.4">
      <c r="A2112" s="4">
        <f>ROW()</f>
        <v>2112</v>
      </c>
      <c r="B2112" s="9" t="s">
        <v>27</v>
      </c>
      <c r="C2112" s="44" t="str">
        <f t="shared" si="1018"/>
        <v xml:space="preserve">p.posicionar </v>
      </c>
      <c r="D2112" s="6" t="str">
        <f t="shared" si="991"/>
        <v>é.vertical</v>
      </c>
      <c r="E2112" s="8" t="s">
        <v>28</v>
      </c>
      <c r="F2112" s="34" t="str">
        <f t="shared" si="1029"/>
        <v xml:space="preserve">d.posicionar </v>
      </c>
      <c r="G2112" s="14" t="s">
        <v>211</v>
      </c>
      <c r="H2112" s="33" t="s">
        <v>1581</v>
      </c>
      <c r="I2112" s="92" t="str">
        <f t="shared" si="1028"/>
        <v>null</v>
      </c>
      <c r="J2112" s="82" t="s">
        <v>0</v>
      </c>
      <c r="K2112" s="82" t="s">
        <v>0</v>
      </c>
      <c r="L2112" s="82" t="s">
        <v>0</v>
      </c>
      <c r="M2112" s="82" t="s">
        <v>0</v>
      </c>
      <c r="N2112" s="80" t="s">
        <v>0</v>
      </c>
      <c r="O2112" s="82" t="s">
        <v>0</v>
      </c>
      <c r="P2112" s="82" t="s">
        <v>0</v>
      </c>
      <c r="Q2112" s="82" t="s">
        <v>0</v>
      </c>
      <c r="R2112" s="84" t="s">
        <v>890</v>
      </c>
      <c r="S2112" s="10" t="s">
        <v>1</v>
      </c>
      <c r="T2112" s="10" t="s">
        <v>10221</v>
      </c>
      <c r="U2112" s="5" t="str">
        <f t="shared" si="1026"/>
        <v>Propriedade destinada a posicionar : é.vertical</v>
      </c>
      <c r="V2112" s="5" t="str">
        <f t="shared" si="1027"/>
        <v>Dado para posicionar :  vertical  Deve ser formatado como (rdfs:Literal  or  xsd:string)</v>
      </c>
      <c r="W2112" s="69" t="s">
        <v>6071</v>
      </c>
      <c r="X2112" s="17" t="str">
        <f t="shared" si="993"/>
        <v>d.posic.115</v>
      </c>
      <c r="Y2112" s="17" t="str">
        <f t="shared" si="994"/>
        <v xml:space="preserve">Ação de posicionar </v>
      </c>
      <c r="Z2112" s="62" t="s">
        <v>4604</v>
      </c>
      <c r="AA2112" s="18" t="str">
        <f t="shared" si="995"/>
        <v>null</v>
      </c>
      <c r="AB2112" s="19" t="s">
        <v>0</v>
      </c>
      <c r="AC2112" s="18" t="str">
        <f t="shared" si="996"/>
        <v>null</v>
      </c>
      <c r="AD2112" s="19" t="s">
        <v>0</v>
      </c>
      <c r="AE2112" s="18" t="str">
        <f t="shared" si="1030"/>
        <v>null</v>
      </c>
      <c r="AF2112" s="75" t="s">
        <v>0</v>
      </c>
      <c r="AG2112" s="38" t="s">
        <v>9037</v>
      </c>
    </row>
    <row r="2113" spans="1:33" ht="6" customHeight="1" x14ac:dyDescent="0.4">
      <c r="A2113" s="4">
        <f>ROW()</f>
        <v>2113</v>
      </c>
      <c r="B2113" s="9" t="s">
        <v>27</v>
      </c>
      <c r="C2113" s="44" t="str">
        <f t="shared" si="1018"/>
        <v xml:space="preserve">p.posicionar </v>
      </c>
      <c r="D2113" s="6" t="str">
        <f t="shared" si="991"/>
        <v>é.no.prumo</v>
      </c>
      <c r="E2113" s="8" t="s">
        <v>28</v>
      </c>
      <c r="F2113" s="34" t="str">
        <f t="shared" si="1029"/>
        <v xml:space="preserve">d.posicionar </v>
      </c>
      <c r="G2113" s="14" t="s">
        <v>891</v>
      </c>
      <c r="H2113" s="33" t="s">
        <v>1581</v>
      </c>
      <c r="I2113" s="92" t="str">
        <f t="shared" si="1028"/>
        <v>null</v>
      </c>
      <c r="J2113" s="82" t="s">
        <v>0</v>
      </c>
      <c r="K2113" s="82" t="s">
        <v>0</v>
      </c>
      <c r="L2113" s="82" t="s">
        <v>0</v>
      </c>
      <c r="M2113" s="82" t="s">
        <v>0</v>
      </c>
      <c r="N2113" s="80" t="s">
        <v>0</v>
      </c>
      <c r="O2113" s="82" t="s">
        <v>0</v>
      </c>
      <c r="P2113" s="82" t="s">
        <v>0</v>
      </c>
      <c r="Q2113" s="82" t="s">
        <v>0</v>
      </c>
      <c r="R2113" s="84" t="s">
        <v>892</v>
      </c>
      <c r="S2113" s="10" t="s">
        <v>1</v>
      </c>
      <c r="T2113" s="10" t="s">
        <v>10221</v>
      </c>
      <c r="U2113" s="5" t="str">
        <f t="shared" si="1026"/>
        <v>Propriedade destinada a posicionar : é.no.prumo</v>
      </c>
      <c r="V2113" s="5" t="str">
        <f t="shared" si="1027"/>
        <v>Dado para posicionar :  no.prumo  Deve ser formatado como (rdfs:Literal  or  xsd:string)</v>
      </c>
      <c r="W2113" s="69" t="s">
        <v>6072</v>
      </c>
      <c r="X2113" s="17" t="str">
        <f t="shared" si="993"/>
        <v>d.posic.116</v>
      </c>
      <c r="Y2113" s="17" t="str">
        <f t="shared" si="994"/>
        <v xml:space="preserve">Ação de posicionar </v>
      </c>
      <c r="Z2113" s="62" t="s">
        <v>4605</v>
      </c>
      <c r="AA2113" s="18" t="str">
        <f t="shared" si="995"/>
        <v>null</v>
      </c>
      <c r="AB2113" s="19" t="s">
        <v>0</v>
      </c>
      <c r="AC2113" s="18" t="str">
        <f t="shared" si="996"/>
        <v>null</v>
      </c>
      <c r="AD2113" s="19" t="s">
        <v>0</v>
      </c>
      <c r="AE2113" s="18" t="str">
        <f t="shared" si="1030"/>
        <v>null</v>
      </c>
      <c r="AF2113" s="75" t="s">
        <v>0</v>
      </c>
      <c r="AG2113" s="38" t="s">
        <v>9038</v>
      </c>
    </row>
    <row r="2114" spans="1:33" ht="6" customHeight="1" x14ac:dyDescent="0.4">
      <c r="A2114" s="4">
        <f>ROW()</f>
        <v>2114</v>
      </c>
      <c r="B2114" s="9" t="s">
        <v>27</v>
      </c>
      <c r="C2114" s="44" t="str">
        <f t="shared" si="1018"/>
        <v xml:space="preserve">p.posicionar </v>
      </c>
      <c r="D2114" s="6" t="str">
        <f t="shared" si="991"/>
        <v>é.horizontal</v>
      </c>
      <c r="E2114" s="8" t="s">
        <v>28</v>
      </c>
      <c r="F2114" s="34" t="str">
        <f t="shared" si="1029"/>
        <v xml:space="preserve">d.posicionar </v>
      </c>
      <c r="G2114" s="14" t="s">
        <v>212</v>
      </c>
      <c r="H2114" s="33" t="s">
        <v>1581</v>
      </c>
      <c r="I2114" s="92" t="str">
        <f t="shared" si="1028"/>
        <v>null</v>
      </c>
      <c r="J2114" s="82" t="s">
        <v>0</v>
      </c>
      <c r="K2114" s="82" t="s">
        <v>0</v>
      </c>
      <c r="L2114" s="82" t="s">
        <v>0</v>
      </c>
      <c r="M2114" s="82" t="s">
        <v>0</v>
      </c>
      <c r="N2114" s="80" t="s">
        <v>0</v>
      </c>
      <c r="O2114" s="82" t="s">
        <v>0</v>
      </c>
      <c r="P2114" s="82" t="s">
        <v>0</v>
      </c>
      <c r="Q2114" s="82" t="s">
        <v>0</v>
      </c>
      <c r="R2114" s="84" t="s">
        <v>0</v>
      </c>
      <c r="S2114" s="10" t="s">
        <v>1</v>
      </c>
      <c r="T2114" s="10" t="s">
        <v>10221</v>
      </c>
      <c r="U2114" s="5" t="str">
        <f t="shared" si="1026"/>
        <v>Propriedade destinada a posicionar : é.horizontal</v>
      </c>
      <c r="V2114" s="5" t="str">
        <f t="shared" si="1027"/>
        <v>Dado para posicionar :  horizontal  Deve ser formatado como (rdfs:Literal  or  xsd:string)</v>
      </c>
      <c r="W2114" s="69" t="s">
        <v>6073</v>
      </c>
      <c r="X2114" s="17" t="str">
        <f t="shared" si="993"/>
        <v>d.posic.117</v>
      </c>
      <c r="Y2114" s="17" t="str">
        <f t="shared" si="994"/>
        <v xml:space="preserve">Ação de posicionar </v>
      </c>
      <c r="Z2114" s="62" t="s">
        <v>4606</v>
      </c>
      <c r="AA2114" s="18" t="str">
        <f t="shared" si="995"/>
        <v>null</v>
      </c>
      <c r="AB2114" s="19" t="s">
        <v>0</v>
      </c>
      <c r="AC2114" s="18" t="str">
        <f t="shared" si="996"/>
        <v>null</v>
      </c>
      <c r="AD2114" s="19" t="s">
        <v>0</v>
      </c>
      <c r="AE2114" s="18" t="str">
        <f t="shared" si="1030"/>
        <v>null</v>
      </c>
      <c r="AF2114" s="75" t="s">
        <v>0</v>
      </c>
      <c r="AG2114" s="38" t="s">
        <v>9039</v>
      </c>
    </row>
    <row r="2115" spans="1:33" ht="6" customHeight="1" x14ac:dyDescent="0.4">
      <c r="A2115" s="4">
        <f>ROW()</f>
        <v>2115</v>
      </c>
      <c r="B2115" s="9" t="s">
        <v>27</v>
      </c>
      <c r="C2115" s="44" t="str">
        <f t="shared" si="1018"/>
        <v xml:space="preserve">p.posicionar </v>
      </c>
      <c r="D2115" s="6" t="str">
        <f t="shared" si="991"/>
        <v>é.inclinado</v>
      </c>
      <c r="E2115" s="8" t="s">
        <v>28</v>
      </c>
      <c r="F2115" s="34" t="str">
        <f t="shared" si="1029"/>
        <v xml:space="preserve">d.posicionar </v>
      </c>
      <c r="G2115" s="14" t="s">
        <v>215</v>
      </c>
      <c r="H2115" s="33" t="s">
        <v>1581</v>
      </c>
      <c r="I2115" s="92" t="str">
        <f t="shared" si="1028"/>
        <v>null</v>
      </c>
      <c r="J2115" s="82" t="s">
        <v>0</v>
      </c>
      <c r="K2115" s="82" t="s">
        <v>0</v>
      </c>
      <c r="L2115" s="82" t="s">
        <v>0</v>
      </c>
      <c r="M2115" s="82" t="s">
        <v>0</v>
      </c>
      <c r="N2115" s="80" t="s">
        <v>0</v>
      </c>
      <c r="O2115" s="82" t="s">
        <v>0</v>
      </c>
      <c r="P2115" s="82" t="s">
        <v>0</v>
      </c>
      <c r="Q2115" s="82" t="s">
        <v>0</v>
      </c>
      <c r="R2115" s="84" t="s">
        <v>0</v>
      </c>
      <c r="S2115" s="10" t="s">
        <v>1</v>
      </c>
      <c r="T2115" s="10" t="s">
        <v>10221</v>
      </c>
      <c r="U2115" s="5" t="str">
        <f t="shared" si="1026"/>
        <v>Propriedade destinada a posicionar : é.inclinado</v>
      </c>
      <c r="V2115" s="5" t="str">
        <f t="shared" si="1027"/>
        <v>Dado para posicionar :  inclinado  Deve ser formatado como (rdfs:Literal  or  xsd:string)</v>
      </c>
      <c r="W2115" s="69" t="s">
        <v>6074</v>
      </c>
      <c r="X2115" s="17" t="str">
        <f t="shared" ref="X2115:X2178" si="1031">IF(F2114&lt;&gt;F2115,_xlfn.CONCAT(RIGHT(LEFT(F2115,7),7),".100"),_xlfn.CONCAT(RIGHT(LEFT(F2115,7),7),".",SUM(VALUE(RIGHT(X2114,3)),1)))</f>
        <v>d.posic.118</v>
      </c>
      <c r="Y2115" s="17" t="str">
        <f t="shared" ref="Y2115:Y2178" si="1032">_xlfn.CONCAT("Ação de ", SUBSTITUTE(F2115, "d.",  ""))</f>
        <v xml:space="preserve">Ação de posicionar </v>
      </c>
      <c r="Z2115" s="62" t="s">
        <v>4607</v>
      </c>
      <c r="AA2115" s="18" t="str">
        <f t="shared" si="995"/>
        <v>null</v>
      </c>
      <c r="AB2115" s="19" t="s">
        <v>0</v>
      </c>
      <c r="AC2115" s="18" t="str">
        <f t="shared" si="996"/>
        <v>null</v>
      </c>
      <c r="AD2115" s="19" t="s">
        <v>0</v>
      </c>
      <c r="AE2115" s="18" t="str">
        <f t="shared" si="1030"/>
        <v>null</v>
      </c>
      <c r="AF2115" s="75" t="s">
        <v>0</v>
      </c>
      <c r="AG2115" s="38" t="s">
        <v>9040</v>
      </c>
    </row>
    <row r="2116" spans="1:33" ht="6" customHeight="1" x14ac:dyDescent="0.4">
      <c r="A2116" s="4">
        <f>ROW()</f>
        <v>2116</v>
      </c>
      <c r="B2116" s="9" t="s">
        <v>27</v>
      </c>
      <c r="C2116" s="44" t="str">
        <f t="shared" si="1018"/>
        <v xml:space="preserve">p.posicionar </v>
      </c>
      <c r="D2116" s="6" t="str">
        <f t="shared" si="991"/>
        <v>é.paralelo.a</v>
      </c>
      <c r="E2116" s="8" t="s">
        <v>28</v>
      </c>
      <c r="F2116" s="34" t="str">
        <f t="shared" si="1029"/>
        <v xml:space="preserve">d.posicionar </v>
      </c>
      <c r="G2116" s="14" t="s">
        <v>893</v>
      </c>
      <c r="H2116" s="33" t="s">
        <v>1581</v>
      </c>
      <c r="I2116" s="92" t="str">
        <f t="shared" si="1028"/>
        <v>null</v>
      </c>
      <c r="J2116" s="82" t="s">
        <v>0</v>
      </c>
      <c r="K2116" s="82" t="s">
        <v>0</v>
      </c>
      <c r="L2116" s="82" t="s">
        <v>0</v>
      </c>
      <c r="M2116" s="82" t="s">
        <v>34</v>
      </c>
      <c r="N2116" s="80" t="s">
        <v>0</v>
      </c>
      <c r="O2116" s="82" t="s">
        <v>0</v>
      </c>
      <c r="P2116" s="82" t="s">
        <v>252</v>
      </c>
      <c r="Q2116" s="82" t="s">
        <v>0</v>
      </c>
      <c r="R2116" s="84" t="s">
        <v>0</v>
      </c>
      <c r="S2116" s="10" t="s">
        <v>1</v>
      </c>
      <c r="T2116" s="10" t="s">
        <v>10221</v>
      </c>
      <c r="U2116" s="5" t="str">
        <f t="shared" si="1026"/>
        <v>Propriedade destinada a posicionar : é.paralelo.a</v>
      </c>
      <c r="V2116" s="5" t="str">
        <f t="shared" si="1027"/>
        <v>Dado para posicionar :  paralelo.a  Deve ser formatado como (rdfs:Literal  or  xsd:string)</v>
      </c>
      <c r="W2116" s="69" t="s">
        <v>6075</v>
      </c>
      <c r="X2116" s="17" t="str">
        <f t="shared" si="1031"/>
        <v>d.posic.119</v>
      </c>
      <c r="Y2116" s="17" t="str">
        <f t="shared" si="1032"/>
        <v xml:space="preserve">Ação de posicionar </v>
      </c>
      <c r="Z2116" s="62" t="s">
        <v>4608</v>
      </c>
      <c r="AA2116" s="18" t="str">
        <f t="shared" si="995"/>
        <v>null</v>
      </c>
      <c r="AB2116" s="19" t="s">
        <v>0</v>
      </c>
      <c r="AC2116" s="18" t="str">
        <f t="shared" si="996"/>
        <v>null</v>
      </c>
      <c r="AD2116" s="19" t="s">
        <v>0</v>
      </c>
      <c r="AE2116" s="18" t="str">
        <f t="shared" si="1030"/>
        <v>null</v>
      </c>
      <c r="AF2116" s="75" t="s">
        <v>0</v>
      </c>
      <c r="AG2116" s="38" t="s">
        <v>9041</v>
      </c>
    </row>
    <row r="2117" spans="1:33" ht="6" customHeight="1" x14ac:dyDescent="0.4">
      <c r="A2117" s="4">
        <f>ROW()</f>
        <v>2117</v>
      </c>
      <c r="B2117" s="9" t="s">
        <v>27</v>
      </c>
      <c r="C2117" s="44" t="str">
        <f t="shared" si="1018"/>
        <v xml:space="preserve">p.posicionar </v>
      </c>
      <c r="D2117" s="6" t="str">
        <f t="shared" si="991"/>
        <v>é.abaixo.de</v>
      </c>
      <c r="E2117" s="8" t="s">
        <v>28</v>
      </c>
      <c r="F2117" s="34" t="str">
        <f t="shared" si="1029"/>
        <v xml:space="preserve">d.posicionar </v>
      </c>
      <c r="G2117" s="14" t="s">
        <v>894</v>
      </c>
      <c r="H2117" s="34" t="s">
        <v>1581</v>
      </c>
      <c r="I2117" s="92" t="str">
        <f t="shared" si="1028"/>
        <v>null</v>
      </c>
      <c r="J2117" s="82" t="s">
        <v>0</v>
      </c>
      <c r="K2117" s="82" t="s">
        <v>0</v>
      </c>
      <c r="L2117" s="82" t="s">
        <v>0</v>
      </c>
      <c r="M2117" s="82" t="s">
        <v>0</v>
      </c>
      <c r="N2117" s="82" t="s">
        <v>251</v>
      </c>
      <c r="O2117" s="82" t="s">
        <v>0</v>
      </c>
      <c r="P2117" s="82" t="s">
        <v>252</v>
      </c>
      <c r="Q2117" s="82" t="s">
        <v>1534</v>
      </c>
      <c r="R2117" s="84" t="s">
        <v>0</v>
      </c>
      <c r="S2117" s="10" t="s">
        <v>1</v>
      </c>
      <c r="T2117" s="10" t="s">
        <v>10221</v>
      </c>
      <c r="U2117" s="5" t="str">
        <f t="shared" si="1026"/>
        <v>Propriedade destinada a posicionar : é.abaixo.de</v>
      </c>
      <c r="V2117" s="5" t="str">
        <f t="shared" si="1027"/>
        <v>Dado para posicionar :  abaixo.de  Deve ser formatado como (rdfs:Literal  or  xsd:string)</v>
      </c>
      <c r="W2117" s="69" t="s">
        <v>6076</v>
      </c>
      <c r="X2117" s="17" t="str">
        <f t="shared" si="1031"/>
        <v>d.posic.120</v>
      </c>
      <c r="Y2117" s="17" t="str">
        <f t="shared" si="1032"/>
        <v xml:space="preserve">Ação de posicionar </v>
      </c>
      <c r="Z2117" s="62" t="s">
        <v>4609</v>
      </c>
      <c r="AA2117" s="18" t="str">
        <f t="shared" ref="AA2117:AA2187" si="1033">IF(AB2117="null", "null", "categoria.revit")</f>
        <v>null</v>
      </c>
      <c r="AB2117" s="19" t="s">
        <v>0</v>
      </c>
      <c r="AC2117" s="18" t="str">
        <f t="shared" ref="AC2117:AC2187" si="1034">IF(AD2117="null", "null", "classe.ifc")</f>
        <v>null</v>
      </c>
      <c r="AD2117" s="19" t="s">
        <v>0</v>
      </c>
      <c r="AE2117" s="18" t="str">
        <f t="shared" si="1030"/>
        <v>null</v>
      </c>
      <c r="AF2117" s="75" t="s">
        <v>0</v>
      </c>
      <c r="AG2117" s="38" t="s">
        <v>9042</v>
      </c>
    </row>
    <row r="2118" spans="1:33" ht="6" customHeight="1" x14ac:dyDescent="0.4">
      <c r="A2118" s="4">
        <f>ROW()</f>
        <v>2118</v>
      </c>
      <c r="B2118" s="9" t="s">
        <v>27</v>
      </c>
      <c r="C2118" s="44" t="str">
        <f t="shared" si="1018"/>
        <v xml:space="preserve">p.posicionar </v>
      </c>
      <c r="D2118" s="6" t="str">
        <f t="shared" si="991"/>
        <v>é.acima.de</v>
      </c>
      <c r="E2118" s="8" t="s">
        <v>28</v>
      </c>
      <c r="F2118" s="34" t="str">
        <f t="shared" si="1029"/>
        <v xml:space="preserve">d.posicionar </v>
      </c>
      <c r="G2118" s="14" t="s">
        <v>895</v>
      </c>
      <c r="H2118" s="34" t="s">
        <v>1581</v>
      </c>
      <c r="I2118" s="92" t="str">
        <f t="shared" si="1028"/>
        <v>null</v>
      </c>
      <c r="J2118" s="82" t="s">
        <v>0</v>
      </c>
      <c r="K2118" s="82" t="s">
        <v>0</v>
      </c>
      <c r="L2118" s="82" t="s">
        <v>0</v>
      </c>
      <c r="M2118" s="82" t="s">
        <v>0</v>
      </c>
      <c r="N2118" s="82" t="s">
        <v>251</v>
      </c>
      <c r="O2118" s="82" t="s">
        <v>0</v>
      </c>
      <c r="P2118" s="82" t="s">
        <v>252</v>
      </c>
      <c r="Q2118" s="82" t="s">
        <v>1535</v>
      </c>
      <c r="R2118" s="84" t="s">
        <v>0</v>
      </c>
      <c r="S2118" s="10" t="s">
        <v>1</v>
      </c>
      <c r="T2118" s="10" t="s">
        <v>10221</v>
      </c>
      <c r="U2118" s="5" t="str">
        <f t="shared" si="1026"/>
        <v>Propriedade destinada a posicionar : é.acima.de</v>
      </c>
      <c r="V2118" s="5" t="str">
        <f t="shared" si="1027"/>
        <v>Dado para posicionar :  acima.de  Deve ser formatado como (rdfs:Literal  or  xsd:string)</v>
      </c>
      <c r="W2118" s="69" t="s">
        <v>6077</v>
      </c>
      <c r="X2118" s="17" t="str">
        <f t="shared" si="1031"/>
        <v>d.posic.121</v>
      </c>
      <c r="Y2118" s="17" t="str">
        <f t="shared" si="1032"/>
        <v xml:space="preserve">Ação de posicionar </v>
      </c>
      <c r="Z2118" s="62" t="s">
        <v>4610</v>
      </c>
      <c r="AA2118" s="18" t="str">
        <f t="shared" si="1033"/>
        <v>null</v>
      </c>
      <c r="AB2118" s="19" t="s">
        <v>0</v>
      </c>
      <c r="AC2118" s="18" t="str">
        <f t="shared" si="1034"/>
        <v>null</v>
      </c>
      <c r="AD2118" s="19" t="s">
        <v>0</v>
      </c>
      <c r="AE2118" s="18" t="str">
        <f t="shared" si="1030"/>
        <v>null</v>
      </c>
      <c r="AF2118" s="75" t="s">
        <v>0</v>
      </c>
      <c r="AG2118" s="38" t="s">
        <v>9043</v>
      </c>
    </row>
    <row r="2119" spans="1:33" ht="6" customHeight="1" x14ac:dyDescent="0.4">
      <c r="A2119" s="4">
        <f>ROW()</f>
        <v>2119</v>
      </c>
      <c r="B2119" s="9" t="s">
        <v>27</v>
      </c>
      <c r="C2119" s="44" t="str">
        <f t="shared" si="1018"/>
        <v xml:space="preserve">p.posicionar </v>
      </c>
      <c r="D2119" s="6" t="str">
        <f t="shared" si="991"/>
        <v>é.andar.de</v>
      </c>
      <c r="E2119" s="8" t="s">
        <v>28</v>
      </c>
      <c r="F2119" s="34" t="str">
        <f t="shared" si="1029"/>
        <v xml:space="preserve">d.posicionar </v>
      </c>
      <c r="G2119" s="14" t="s">
        <v>896</v>
      </c>
      <c r="H2119" s="33" t="s">
        <v>1581</v>
      </c>
      <c r="I2119" s="92" t="str">
        <f t="shared" si="1028"/>
        <v>Functional</v>
      </c>
      <c r="J2119" s="82" t="s">
        <v>29</v>
      </c>
      <c r="K2119" s="82" t="s">
        <v>0</v>
      </c>
      <c r="L2119" s="82" t="s">
        <v>0</v>
      </c>
      <c r="M2119" s="82" t="s">
        <v>0</v>
      </c>
      <c r="N2119" s="80" t="s">
        <v>0</v>
      </c>
      <c r="O2119" s="82" t="s">
        <v>0</v>
      </c>
      <c r="P2119" s="82" t="s">
        <v>0</v>
      </c>
      <c r="Q2119" s="82" t="s">
        <v>0</v>
      </c>
      <c r="R2119" s="84" t="s">
        <v>0</v>
      </c>
      <c r="S2119" s="10" t="s">
        <v>1</v>
      </c>
      <c r="T2119" s="10" t="s">
        <v>10221</v>
      </c>
      <c r="U2119" s="5" t="str">
        <f t="shared" si="1026"/>
        <v>Propriedade destinada a posicionar : é.andar.de</v>
      </c>
      <c r="V2119" s="5" t="str">
        <f t="shared" si="1027"/>
        <v>Dado para posicionar :  andar.de  Deve ser formatado como (rdfs:Literal  or  xsd:string)</v>
      </c>
      <c r="W2119" s="69" t="s">
        <v>6078</v>
      </c>
      <c r="X2119" s="17" t="str">
        <f t="shared" si="1031"/>
        <v>d.posic.122</v>
      </c>
      <c r="Y2119" s="17" t="str">
        <f t="shared" si="1032"/>
        <v xml:space="preserve">Ação de posicionar </v>
      </c>
      <c r="Z2119" s="62" t="s">
        <v>4611</v>
      </c>
      <c r="AA2119" s="18" t="str">
        <f t="shared" si="1033"/>
        <v>null</v>
      </c>
      <c r="AB2119" s="19" t="s">
        <v>0</v>
      </c>
      <c r="AC2119" s="18" t="str">
        <f t="shared" si="1034"/>
        <v>null</v>
      </c>
      <c r="AD2119" s="19" t="s">
        <v>0</v>
      </c>
      <c r="AE2119" s="18" t="str">
        <f t="shared" si="1030"/>
        <v>null</v>
      </c>
      <c r="AF2119" s="75" t="s">
        <v>0</v>
      </c>
      <c r="AG2119" s="38" t="s">
        <v>9044</v>
      </c>
    </row>
    <row r="2120" spans="1:33" ht="6" customHeight="1" x14ac:dyDescent="0.4">
      <c r="A2120" s="4">
        <f>ROW()</f>
        <v>2120</v>
      </c>
      <c r="B2120" s="9" t="s">
        <v>27</v>
      </c>
      <c r="C2120" s="44" t="str">
        <f t="shared" si="1018"/>
        <v xml:space="preserve">p.posicionar </v>
      </c>
      <c r="D2120" s="6" t="str">
        <f t="shared" ref="D2120:D2186" si="1035">_xlfn.CONCAT("é.",G2120)</f>
        <v>é.coordenada.absoluta</v>
      </c>
      <c r="E2120" s="8" t="s">
        <v>28</v>
      </c>
      <c r="F2120" s="34" t="str">
        <f t="shared" si="1029"/>
        <v xml:space="preserve">d.posicionar </v>
      </c>
      <c r="G2120" s="14" t="s">
        <v>897</v>
      </c>
      <c r="H2120" s="33" t="s">
        <v>1581</v>
      </c>
      <c r="I2120" s="92" t="str">
        <f t="shared" si="1028"/>
        <v>Functional</v>
      </c>
      <c r="J2120" s="82" t="s">
        <v>29</v>
      </c>
      <c r="K2120" s="82" t="s">
        <v>0</v>
      </c>
      <c r="L2120" s="82" t="s">
        <v>0</v>
      </c>
      <c r="M2120" s="82" t="s">
        <v>0</v>
      </c>
      <c r="N2120" s="80" t="s">
        <v>0</v>
      </c>
      <c r="O2120" s="82" t="s">
        <v>0</v>
      </c>
      <c r="P2120" s="82" t="s">
        <v>0</v>
      </c>
      <c r="Q2120" s="82" t="s">
        <v>0</v>
      </c>
      <c r="R2120" s="84" t="s">
        <v>0</v>
      </c>
      <c r="S2120" s="10" t="s">
        <v>1</v>
      </c>
      <c r="T2120" s="10" t="s">
        <v>10221</v>
      </c>
      <c r="U2120" s="5" t="str">
        <f t="shared" si="1026"/>
        <v>Propriedade destinada a posicionar : é.coordenada.absoluta</v>
      </c>
      <c r="V2120" s="5" t="str">
        <f t="shared" si="1027"/>
        <v>Dado para posicionar :  coordenada.absoluta  Deve ser formatado como (rdfs:Literal  or  xsd:string)</v>
      </c>
      <c r="W2120" s="69" t="s">
        <v>6079</v>
      </c>
      <c r="X2120" s="17" t="str">
        <f t="shared" si="1031"/>
        <v>d.posic.123</v>
      </c>
      <c r="Y2120" s="17" t="str">
        <f t="shared" si="1032"/>
        <v xml:space="preserve">Ação de posicionar </v>
      </c>
      <c r="Z2120" s="62" t="s">
        <v>4805</v>
      </c>
      <c r="AA2120" s="18" t="str">
        <f t="shared" si="1033"/>
        <v>null</v>
      </c>
      <c r="AB2120" s="19" t="s">
        <v>0</v>
      </c>
      <c r="AC2120" s="18" t="str">
        <f t="shared" si="1034"/>
        <v>null</v>
      </c>
      <c r="AD2120" s="19" t="s">
        <v>0</v>
      </c>
      <c r="AE2120" s="18" t="str">
        <f t="shared" si="1030"/>
        <v>null</v>
      </c>
      <c r="AF2120" s="75" t="s">
        <v>0</v>
      </c>
      <c r="AG2120" s="38" t="s">
        <v>9045</v>
      </c>
    </row>
    <row r="2121" spans="1:33" ht="6" customHeight="1" x14ac:dyDescent="0.4">
      <c r="A2121" s="4">
        <f>ROW()</f>
        <v>2121</v>
      </c>
      <c r="B2121" s="9" t="s">
        <v>27</v>
      </c>
      <c r="C2121" s="44" t="str">
        <f t="shared" si="1018"/>
        <v xml:space="preserve">p.posicionar </v>
      </c>
      <c r="D2121" s="6" t="str">
        <f t="shared" si="1035"/>
        <v>é.coordenada.base</v>
      </c>
      <c r="E2121" s="8" t="s">
        <v>28</v>
      </c>
      <c r="F2121" s="34" t="str">
        <f t="shared" si="1029"/>
        <v xml:space="preserve">d.posicionar </v>
      </c>
      <c r="G2121" s="14" t="s">
        <v>898</v>
      </c>
      <c r="H2121" s="33" t="s">
        <v>1581</v>
      </c>
      <c r="I2121" s="92" t="str">
        <f t="shared" si="1028"/>
        <v>null</v>
      </c>
      <c r="J2121" s="82" t="s">
        <v>0</v>
      </c>
      <c r="K2121" s="82" t="s">
        <v>0</v>
      </c>
      <c r="L2121" s="82" t="s">
        <v>0</v>
      </c>
      <c r="M2121" s="82" t="s">
        <v>0</v>
      </c>
      <c r="N2121" s="80" t="s">
        <v>0</v>
      </c>
      <c r="O2121" s="82" t="s">
        <v>0</v>
      </c>
      <c r="P2121" s="82" t="s">
        <v>0</v>
      </c>
      <c r="Q2121" s="82" t="s">
        <v>0</v>
      </c>
      <c r="R2121" s="84" t="s">
        <v>0</v>
      </c>
      <c r="S2121" s="10" t="s">
        <v>1</v>
      </c>
      <c r="T2121" s="10" t="s">
        <v>10221</v>
      </c>
      <c r="U2121" s="5" t="str">
        <f t="shared" si="1026"/>
        <v>Propriedade destinada a posicionar : é.coordenada.base</v>
      </c>
      <c r="V2121" s="5" t="str">
        <f t="shared" si="1027"/>
        <v>Dado para posicionar :  coordenada.base  Deve ser formatado como (rdfs:Literal  or  xsd:string)</v>
      </c>
      <c r="W2121" s="69" t="s">
        <v>6080</v>
      </c>
      <c r="X2121" s="17" t="str">
        <f t="shared" si="1031"/>
        <v>d.posic.124</v>
      </c>
      <c r="Y2121" s="17" t="str">
        <f t="shared" si="1032"/>
        <v xml:space="preserve">Ação de posicionar </v>
      </c>
      <c r="Z2121" s="62" t="s">
        <v>4806</v>
      </c>
      <c r="AA2121" s="18" t="str">
        <f t="shared" si="1033"/>
        <v>null</v>
      </c>
      <c r="AB2121" s="19" t="s">
        <v>0</v>
      </c>
      <c r="AC2121" s="18" t="str">
        <f t="shared" si="1034"/>
        <v>null</v>
      </c>
      <c r="AD2121" s="19" t="s">
        <v>0</v>
      </c>
      <c r="AE2121" s="18" t="str">
        <f t="shared" si="1030"/>
        <v>null</v>
      </c>
      <c r="AF2121" s="75" t="s">
        <v>0</v>
      </c>
      <c r="AG2121" s="38" t="s">
        <v>9046</v>
      </c>
    </row>
    <row r="2122" spans="1:33" ht="6" customHeight="1" x14ac:dyDescent="0.4">
      <c r="A2122" s="4">
        <f>ROW()</f>
        <v>2122</v>
      </c>
      <c r="B2122" s="9" t="s">
        <v>27</v>
      </c>
      <c r="C2122" s="44" t="str">
        <f t="shared" si="1018"/>
        <v xml:space="preserve">p.posicionar </v>
      </c>
      <c r="D2122" s="6" t="str">
        <f t="shared" si="1035"/>
        <v>é.coordenada.topográfica</v>
      </c>
      <c r="E2122" s="8" t="s">
        <v>28</v>
      </c>
      <c r="F2122" s="34" t="str">
        <f t="shared" si="1029"/>
        <v xml:space="preserve">d.posicionar </v>
      </c>
      <c r="G2122" s="14" t="s">
        <v>899</v>
      </c>
      <c r="H2122" s="33" t="s">
        <v>1581</v>
      </c>
      <c r="I2122" s="92" t="str">
        <f t="shared" si="1028"/>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26"/>
        <v>Propriedade destinada a posicionar : é.coordenada.topográfica</v>
      </c>
      <c r="V2122" s="5" t="str">
        <f t="shared" si="1027"/>
        <v>Dado para posicionar :  coordenada.topográfica  Deve ser formatado como (rdfs:Literal  or  xsd:string)</v>
      </c>
      <c r="W2122" s="69" t="s">
        <v>6081</v>
      </c>
      <c r="X2122" s="17" t="str">
        <f t="shared" si="1031"/>
        <v>d.posic.125</v>
      </c>
      <c r="Y2122" s="17" t="str">
        <f t="shared" si="1032"/>
        <v xml:space="preserve">Ação de posicionar </v>
      </c>
      <c r="Z2122" s="62" t="s">
        <v>4807</v>
      </c>
      <c r="AA2122" s="18" t="str">
        <f t="shared" si="1033"/>
        <v>null</v>
      </c>
      <c r="AB2122" s="19" t="s">
        <v>0</v>
      </c>
      <c r="AC2122" s="18" t="str">
        <f t="shared" si="1034"/>
        <v>null</v>
      </c>
      <c r="AD2122" s="19" t="s">
        <v>0</v>
      </c>
      <c r="AE2122" s="18" t="str">
        <f t="shared" si="1030"/>
        <v>null</v>
      </c>
      <c r="AF2122" s="75" t="s">
        <v>0</v>
      </c>
      <c r="AG2122" s="38" t="s">
        <v>9047</v>
      </c>
    </row>
    <row r="2123" spans="1:33" ht="6" customHeight="1" x14ac:dyDescent="0.4">
      <c r="A2123" s="4">
        <f>ROW()</f>
        <v>2123</v>
      </c>
      <c r="B2123" s="9" t="s">
        <v>27</v>
      </c>
      <c r="C2123" s="44" t="str">
        <f t="shared" si="1018"/>
        <v xml:space="preserve">p.posicionar </v>
      </c>
      <c r="D2123" s="6" t="str">
        <f t="shared" si="1035"/>
        <v>é.subterrâneo</v>
      </c>
      <c r="E2123" s="8" t="s">
        <v>28</v>
      </c>
      <c r="F2123" s="34" t="str">
        <f t="shared" si="1029"/>
        <v xml:space="preserve">d.posicionar </v>
      </c>
      <c r="G2123" s="14" t="s">
        <v>1820</v>
      </c>
      <c r="H2123" s="33" t="s">
        <v>1581</v>
      </c>
      <c r="I2123" s="92" t="str">
        <f t="shared" si="1028"/>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26"/>
        <v>Propriedade destinada a posicionar : é.subterrâneo</v>
      </c>
      <c r="V2123" s="5" t="str">
        <f t="shared" si="1027"/>
        <v>Dado para posicionar :  subterrâneo  Deve ser formatado como (rdfs:Literal  or  xsd:string)</v>
      </c>
      <c r="W2123" s="69" t="s">
        <v>4359</v>
      </c>
      <c r="X2123" s="17" t="str">
        <f t="shared" si="1031"/>
        <v>d.posic.126</v>
      </c>
      <c r="Y2123" s="17" t="str">
        <f t="shared" si="1032"/>
        <v xml:space="preserve">Ação de posicionar </v>
      </c>
      <c r="Z2123" s="62" t="s">
        <v>4612</v>
      </c>
      <c r="AA2123" s="18" t="str">
        <f t="shared" si="1033"/>
        <v>null</v>
      </c>
      <c r="AB2123" s="19" t="s">
        <v>0</v>
      </c>
      <c r="AC2123" s="18" t="str">
        <f t="shared" si="1034"/>
        <v>null</v>
      </c>
      <c r="AD2123" s="19" t="s">
        <v>0</v>
      </c>
      <c r="AE2123" s="18" t="str">
        <f t="shared" si="1030"/>
        <v>null</v>
      </c>
      <c r="AF2123" s="75" t="s">
        <v>0</v>
      </c>
      <c r="AG2123" s="38" t="s">
        <v>9048</v>
      </c>
    </row>
    <row r="2124" spans="1:33" ht="6" customHeight="1" x14ac:dyDescent="0.4">
      <c r="A2124" s="4">
        <f>ROW()</f>
        <v>2124</v>
      </c>
      <c r="B2124" s="9" t="s">
        <v>27</v>
      </c>
      <c r="C2124" s="44" t="str">
        <f t="shared" si="1018"/>
        <v xml:space="preserve">p.posicionar </v>
      </c>
      <c r="D2124" s="6" t="str">
        <f t="shared" si="1035"/>
        <v>é.submarino</v>
      </c>
      <c r="E2124" s="8" t="s">
        <v>28</v>
      </c>
      <c r="F2124" s="34" t="str">
        <f t="shared" si="1029"/>
        <v xml:space="preserve">d.posicionar </v>
      </c>
      <c r="G2124" s="14" t="s">
        <v>1821</v>
      </c>
      <c r="H2124" s="33" t="s">
        <v>1581</v>
      </c>
      <c r="I2124" s="92" t="str">
        <f t="shared" si="1028"/>
        <v>null</v>
      </c>
      <c r="J2124" s="82" t="s">
        <v>0</v>
      </c>
      <c r="K2124" s="82" t="s">
        <v>0</v>
      </c>
      <c r="L2124" s="82" t="s">
        <v>0</v>
      </c>
      <c r="M2124" s="82" t="s">
        <v>0</v>
      </c>
      <c r="N2124" s="80" t="s">
        <v>0</v>
      </c>
      <c r="O2124" s="82" t="s">
        <v>0</v>
      </c>
      <c r="P2124" s="82" t="s">
        <v>0</v>
      </c>
      <c r="Q2124" s="82" t="s">
        <v>0</v>
      </c>
      <c r="R2124" s="84" t="s">
        <v>0</v>
      </c>
      <c r="S2124" s="10" t="s">
        <v>1</v>
      </c>
      <c r="T2124" s="10" t="s">
        <v>10221</v>
      </c>
      <c r="U2124" s="5" t="str">
        <f t="shared" si="1026"/>
        <v>Propriedade destinada a posicionar : é.submarino</v>
      </c>
      <c r="V2124" s="5" t="str">
        <f t="shared" si="1027"/>
        <v>Dado para posicionar :  submarino  Deve ser formatado como (rdfs:Literal  or  xsd:string)</v>
      </c>
      <c r="W2124" s="69" t="s">
        <v>4360</v>
      </c>
      <c r="X2124" s="17" t="str">
        <f t="shared" si="1031"/>
        <v>d.posic.127</v>
      </c>
      <c r="Y2124" s="17" t="str">
        <f t="shared" si="1032"/>
        <v xml:space="preserve">Ação de posicionar </v>
      </c>
      <c r="Z2124" s="62" t="s">
        <v>4613</v>
      </c>
      <c r="AA2124" s="18" t="str">
        <f t="shared" si="1033"/>
        <v>null</v>
      </c>
      <c r="AB2124" s="19" t="s">
        <v>0</v>
      </c>
      <c r="AC2124" s="18" t="str">
        <f t="shared" si="1034"/>
        <v>null</v>
      </c>
      <c r="AD2124" s="19" t="s">
        <v>0</v>
      </c>
      <c r="AE2124" s="18" t="str">
        <f t="shared" si="1030"/>
        <v>null</v>
      </c>
      <c r="AF2124" s="75" t="s">
        <v>0</v>
      </c>
      <c r="AG2124" s="38" t="s">
        <v>9049</v>
      </c>
    </row>
    <row r="2125" spans="1:33" ht="6" customHeight="1" x14ac:dyDescent="0.4">
      <c r="A2125" s="4">
        <f>ROW()</f>
        <v>2125</v>
      </c>
      <c r="B2125" s="9" t="s">
        <v>27</v>
      </c>
      <c r="C2125" s="44" t="str">
        <f t="shared" si="1018"/>
        <v xml:space="preserve">p.posicionar </v>
      </c>
      <c r="D2125" s="6" t="str">
        <f t="shared" si="1035"/>
        <v>é.terrestre.aéreo</v>
      </c>
      <c r="E2125" s="8" t="s">
        <v>28</v>
      </c>
      <c r="F2125" s="34" t="str">
        <f t="shared" si="1029"/>
        <v xml:space="preserve">d.posicionar </v>
      </c>
      <c r="G2125" s="14" t="s">
        <v>1822</v>
      </c>
      <c r="H2125" s="33" t="s">
        <v>1581</v>
      </c>
      <c r="I2125" s="92" t="str">
        <f t="shared" si="1028"/>
        <v>null</v>
      </c>
      <c r="J2125" s="82" t="s">
        <v>0</v>
      </c>
      <c r="K2125" s="82" t="s">
        <v>0</v>
      </c>
      <c r="L2125" s="82" t="s">
        <v>0</v>
      </c>
      <c r="M2125" s="82" t="s">
        <v>0</v>
      </c>
      <c r="N2125" s="80" t="s">
        <v>0</v>
      </c>
      <c r="O2125" s="82" t="s">
        <v>0</v>
      </c>
      <c r="P2125" s="82" t="s">
        <v>0</v>
      </c>
      <c r="Q2125" s="82" t="s">
        <v>0</v>
      </c>
      <c r="R2125" s="84" t="s">
        <v>0</v>
      </c>
      <c r="S2125" s="10" t="s">
        <v>1</v>
      </c>
      <c r="T2125" s="10" t="s">
        <v>10221</v>
      </c>
      <c r="U2125" s="5" t="str">
        <f t="shared" si="1026"/>
        <v>Propriedade destinada a posicionar : é.terrestre.aéreo</v>
      </c>
      <c r="V2125" s="5" t="str">
        <f t="shared" si="1027"/>
        <v>Dado para posicionar :  terrestre.aéreo  Deve ser formatado como (rdfs:Literal  or  xsd:string)</v>
      </c>
      <c r="W2125" s="69" t="s">
        <v>4361</v>
      </c>
      <c r="X2125" s="17" t="str">
        <f t="shared" si="1031"/>
        <v>d.posic.128</v>
      </c>
      <c r="Y2125" s="17" t="str">
        <f t="shared" si="1032"/>
        <v xml:space="preserve">Ação de posicionar </v>
      </c>
      <c r="Z2125" s="62" t="s">
        <v>4614</v>
      </c>
      <c r="AA2125" s="18" t="str">
        <f t="shared" si="1033"/>
        <v>null</v>
      </c>
      <c r="AB2125" s="19" t="s">
        <v>0</v>
      </c>
      <c r="AC2125" s="18" t="str">
        <f t="shared" si="1034"/>
        <v>null</v>
      </c>
      <c r="AD2125" s="19" t="s">
        <v>0</v>
      </c>
      <c r="AE2125" s="18" t="str">
        <f t="shared" si="1030"/>
        <v>null</v>
      </c>
      <c r="AF2125" s="75" t="s">
        <v>0</v>
      </c>
      <c r="AG2125" s="38" t="s">
        <v>9050</v>
      </c>
    </row>
    <row r="2126" spans="1:33" ht="6" customHeight="1" x14ac:dyDescent="0.4">
      <c r="A2126" s="4">
        <f>ROW()</f>
        <v>2126</v>
      </c>
      <c r="B2126" s="9" t="s">
        <v>27</v>
      </c>
      <c r="C2126" s="43" t="str">
        <f t="shared" si="1018"/>
        <v xml:space="preserve">p.predimensionar </v>
      </c>
      <c r="D2126" s="6" t="str">
        <f t="shared" si="1035"/>
        <v>é.fator.altura.viga</v>
      </c>
      <c r="E2126" s="8" t="s">
        <v>28</v>
      </c>
      <c r="F2126" s="40" t="s">
        <v>2221</v>
      </c>
      <c r="G2126" s="14" t="s">
        <v>2066</v>
      </c>
      <c r="H2126" s="34" t="s">
        <v>35</v>
      </c>
      <c r="I2126" s="92" t="str">
        <f t="shared" si="1028"/>
        <v>null</v>
      </c>
      <c r="J2126" s="82" t="s">
        <v>0</v>
      </c>
      <c r="K2126" s="82" t="s">
        <v>0</v>
      </c>
      <c r="L2126" s="82" t="s">
        <v>0</v>
      </c>
      <c r="M2126" s="82" t="s">
        <v>0</v>
      </c>
      <c r="N2126" s="80" t="s">
        <v>0</v>
      </c>
      <c r="O2126" s="82" t="s">
        <v>0</v>
      </c>
      <c r="P2126" s="82" t="s">
        <v>0</v>
      </c>
      <c r="Q2126" s="82" t="s">
        <v>0</v>
      </c>
      <c r="R2126" s="84" t="s">
        <v>0</v>
      </c>
      <c r="S2126" s="10" t="s">
        <v>1</v>
      </c>
      <c r="T2126" s="10" t="s">
        <v>10221</v>
      </c>
      <c r="U2126" s="5" t="str">
        <f t="shared" si="1026"/>
        <v>Propriedade destinada a predimensionar : é.fator.altura.viga</v>
      </c>
      <c r="V2126" s="5" t="str">
        <f t="shared" si="1027"/>
        <v>Dado para predimensionar :  fator.altura.viga  Deve ser formatado como (xsd:double)</v>
      </c>
      <c r="W2126" s="69" t="s">
        <v>6082</v>
      </c>
      <c r="X2126" s="17" t="str">
        <f t="shared" si="1031"/>
        <v>d.predi.100</v>
      </c>
      <c r="Y2126" s="17" t="str">
        <f t="shared" si="1032"/>
        <v xml:space="preserve">Ação de predimensionar </v>
      </c>
      <c r="Z2126" s="62" t="s">
        <v>4808</v>
      </c>
      <c r="AA2126" s="18" t="str">
        <f t="shared" si="1033"/>
        <v>null</v>
      </c>
      <c r="AB2126" s="19" t="s">
        <v>0</v>
      </c>
      <c r="AC2126" s="18" t="str">
        <f t="shared" si="1034"/>
        <v>null</v>
      </c>
      <c r="AD2126" s="19" t="s">
        <v>0</v>
      </c>
      <c r="AE2126" s="18" t="str">
        <f t="shared" si="1030"/>
        <v>null</v>
      </c>
      <c r="AF2126" s="75" t="s">
        <v>0</v>
      </c>
      <c r="AG2126" s="38" t="s">
        <v>9051</v>
      </c>
    </row>
    <row r="2127" spans="1:33" ht="6" customHeight="1" x14ac:dyDescent="0.4">
      <c r="A2127" s="4">
        <f>ROW()</f>
        <v>2127</v>
      </c>
      <c r="B2127" s="9" t="s">
        <v>27</v>
      </c>
      <c r="C2127" s="44" t="str">
        <f t="shared" si="1018"/>
        <v xml:space="preserve">p.predimensionar </v>
      </c>
      <c r="D2127" s="6" t="str">
        <f t="shared" si="1035"/>
        <v>é.fator.altura.treliça.metálica</v>
      </c>
      <c r="E2127" s="8" t="s">
        <v>28</v>
      </c>
      <c r="F2127" s="34" t="str">
        <f>F2126</f>
        <v xml:space="preserve">d.predimensionar </v>
      </c>
      <c r="G2127" s="14" t="s">
        <v>2067</v>
      </c>
      <c r="H2127" s="34" t="s">
        <v>35</v>
      </c>
      <c r="I2127" s="92" t="str">
        <f t="shared" si="1028"/>
        <v>null</v>
      </c>
      <c r="J2127" s="82" t="s">
        <v>0</v>
      </c>
      <c r="K2127" s="82" t="s">
        <v>0</v>
      </c>
      <c r="L2127" s="82" t="s">
        <v>0</v>
      </c>
      <c r="M2127" s="82" t="s">
        <v>0</v>
      </c>
      <c r="N2127" s="80" t="s">
        <v>0</v>
      </c>
      <c r="O2127" s="82" t="s">
        <v>0</v>
      </c>
      <c r="P2127" s="82" t="s">
        <v>0</v>
      </c>
      <c r="Q2127" s="82" t="s">
        <v>0</v>
      </c>
      <c r="R2127" s="84" t="s">
        <v>0</v>
      </c>
      <c r="S2127" s="10" t="s">
        <v>1</v>
      </c>
      <c r="T2127" s="10" t="s">
        <v>10221</v>
      </c>
      <c r="U2127" s="5" t="str">
        <f t="shared" si="1026"/>
        <v>Propriedade destinada a predimensionar : é.fator.altura.treliça.metálica</v>
      </c>
      <c r="V2127" s="5" t="str">
        <f t="shared" si="1027"/>
        <v>Dado para predimensionar :  fator.altura.treliça.metálica  Deve ser formatado como (xsd:double)</v>
      </c>
      <c r="W2127" s="69" t="s">
        <v>6083</v>
      </c>
      <c r="X2127" s="17" t="str">
        <f t="shared" si="1031"/>
        <v>d.predi.101</v>
      </c>
      <c r="Y2127" s="17" t="str">
        <f t="shared" si="1032"/>
        <v xml:space="preserve">Ação de predimensionar </v>
      </c>
      <c r="Z2127" s="62" t="s">
        <v>4809</v>
      </c>
      <c r="AA2127" s="18" t="str">
        <f t="shared" si="1033"/>
        <v>null</v>
      </c>
      <c r="AB2127" s="19" t="s">
        <v>0</v>
      </c>
      <c r="AC2127" s="18" t="str">
        <f t="shared" si="1034"/>
        <v>null</v>
      </c>
      <c r="AD2127" s="19" t="s">
        <v>0</v>
      </c>
      <c r="AE2127" s="18" t="str">
        <f t="shared" si="1030"/>
        <v>null</v>
      </c>
      <c r="AF2127" s="75" t="s">
        <v>0</v>
      </c>
      <c r="AG2127" s="38" t="s">
        <v>9052</v>
      </c>
    </row>
    <row r="2128" spans="1:33" ht="6" customHeight="1" x14ac:dyDescent="0.4">
      <c r="A2128" s="4">
        <f>ROW()</f>
        <v>2128</v>
      </c>
      <c r="B2128" s="9" t="s">
        <v>27</v>
      </c>
      <c r="C2128" s="43" t="str">
        <f t="shared" si="1018"/>
        <v xml:space="preserve">p.prever </v>
      </c>
      <c r="D2128" s="6" t="str">
        <f>_xlfn.CONCAT("é.",G2128)</f>
        <v>é.curva.idf</v>
      </c>
      <c r="E2128" s="8" t="s">
        <v>28</v>
      </c>
      <c r="F2128" s="40" t="s">
        <v>2222</v>
      </c>
      <c r="G2128" s="14" t="s">
        <v>909</v>
      </c>
      <c r="H2128" s="34" t="s">
        <v>35</v>
      </c>
      <c r="I2128" s="92" t="str">
        <f t="shared" si="1028"/>
        <v>null</v>
      </c>
      <c r="J2128" s="82" t="s">
        <v>0</v>
      </c>
      <c r="K2128" s="82" t="s">
        <v>0</v>
      </c>
      <c r="L2128" s="82" t="s">
        <v>0</v>
      </c>
      <c r="M2128" s="82" t="s">
        <v>0</v>
      </c>
      <c r="N2128" s="80" t="s">
        <v>0</v>
      </c>
      <c r="O2128" s="82" t="s">
        <v>0</v>
      </c>
      <c r="P2128" s="82" t="s">
        <v>0</v>
      </c>
      <c r="Q2128" s="82" t="s">
        <v>0</v>
      </c>
      <c r="R2128" s="84" t="s">
        <v>0</v>
      </c>
      <c r="S2128" s="10" t="s">
        <v>1</v>
      </c>
      <c r="T2128" s="10" t="s">
        <v>10221</v>
      </c>
      <c r="U2128" s="5" t="str">
        <f>_xlfn.CONCAT("Propriedade destinada a ",MID(C2128,FIND("p.",C2128,1)+2,100),": ",D2128)</f>
        <v>Propriedade destinada a prever : é.curva.idf</v>
      </c>
      <c r="V2128" s="5" t="str">
        <f>_xlfn.CONCAT("Dado para ",MID(F2128,FIND("d.",F2128,1)+2,100),":  ",G2128, "  Deve ser formatado como (",H2128, ")")</f>
        <v>Dado para prever :  curva.idf  Deve ser formatado como (xsd:double)</v>
      </c>
      <c r="W2128" s="69" t="s">
        <v>6100</v>
      </c>
      <c r="X2128" s="17" t="str">
        <f t="shared" si="1031"/>
        <v>d.preve.100</v>
      </c>
      <c r="Y2128" s="17" t="str">
        <f t="shared" si="1032"/>
        <v xml:space="preserve">Ação de prever </v>
      </c>
      <c r="Z2128" s="62" t="s">
        <v>4702</v>
      </c>
      <c r="AA2128" s="18" t="str">
        <f>IF(AB2128="null", "null", "categoria.revit")</f>
        <v>null</v>
      </c>
      <c r="AB2128" s="19" t="s">
        <v>0</v>
      </c>
      <c r="AC2128" s="18" t="str">
        <f>IF(AD2128="null", "null", "classe.ifc")</f>
        <v>null</v>
      </c>
      <c r="AD2128" s="19" t="s">
        <v>0</v>
      </c>
      <c r="AE2128" s="18" t="str">
        <f>IF(AF2128="null", "null", "propriedade")</f>
        <v>null</v>
      </c>
      <c r="AF2128" s="75" t="s">
        <v>0</v>
      </c>
      <c r="AG2128" s="38" t="s">
        <v>9053</v>
      </c>
    </row>
    <row r="2129" spans="1:33" ht="6" customHeight="1" x14ac:dyDescent="0.4">
      <c r="A2129" s="4">
        <f>ROW()</f>
        <v>2129</v>
      </c>
      <c r="B2129" s="9" t="s">
        <v>27</v>
      </c>
      <c r="C2129" s="44" t="str">
        <f>SUBSTITUTE(F2129,"d.","p.")</f>
        <v xml:space="preserve">p.prever </v>
      </c>
      <c r="D2129" s="6" t="str">
        <f t="shared" ref="D2129" si="1036">_xlfn.CONCAT("é.",G2129)</f>
        <v>é.estação.meteorológica</v>
      </c>
      <c r="E2129" s="8" t="s">
        <v>28</v>
      </c>
      <c r="F2129" s="34" t="str">
        <f>F2128</f>
        <v xml:space="preserve">d.prever </v>
      </c>
      <c r="G2129" s="14" t="s">
        <v>900</v>
      </c>
      <c r="H2129" s="33" t="s">
        <v>1581</v>
      </c>
      <c r="I2129" s="92" t="str">
        <f t="shared" si="1028"/>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ref="U2129" si="1037">_xlfn.CONCAT("Propriedade destinada a ",MID(C2129,FIND("p.",C2129,1)+2,100),": ",D2129)</f>
        <v>Propriedade destinada a prever : é.estação.meteorológica</v>
      </c>
      <c r="V2129" s="5" t="str">
        <f t="shared" ref="V2129" si="1038">_xlfn.CONCAT("Dado para ",MID(F2129,FIND("d.",F2129,1)+2,100),":  ",G2129, "  Deve ser formatado como (",H2129, ")")</f>
        <v>Dado para prever :  estação.meteorológica  Deve ser formatado como (rdfs:Literal  or  xsd:string)</v>
      </c>
      <c r="W2129" s="69" t="s">
        <v>6084</v>
      </c>
      <c r="X2129" s="17" t="str">
        <f t="shared" si="1031"/>
        <v>d.preve.101</v>
      </c>
      <c r="Y2129" s="17" t="str">
        <f t="shared" si="1032"/>
        <v xml:space="preserve">Ação de prever </v>
      </c>
      <c r="Z2129" s="62" t="s">
        <v>4615</v>
      </c>
      <c r="AA2129" s="18" t="str">
        <f t="shared" ref="AA2129" si="1039">IF(AB2129="null", "null", "categoria.revit")</f>
        <v>null</v>
      </c>
      <c r="AB2129" s="19" t="s">
        <v>0</v>
      </c>
      <c r="AC2129" s="18" t="str">
        <f t="shared" ref="AC2129" si="1040">IF(AD2129="null", "null", "classe.ifc")</f>
        <v>null</v>
      </c>
      <c r="AD2129" s="19" t="s">
        <v>0</v>
      </c>
      <c r="AE2129" s="18" t="str">
        <f t="shared" ref="AE2129" si="1041">IF(AF2129="null", "null", "propriedade")</f>
        <v>null</v>
      </c>
      <c r="AF2129" s="75" t="s">
        <v>0</v>
      </c>
      <c r="AG2129" s="38" t="s">
        <v>9054</v>
      </c>
    </row>
    <row r="2130" spans="1:33" ht="6" customHeight="1" x14ac:dyDescent="0.4">
      <c r="A2130" s="4">
        <f>ROW()</f>
        <v>2130</v>
      </c>
      <c r="B2130" s="9" t="s">
        <v>27</v>
      </c>
      <c r="C2130" s="44" t="str">
        <f t="shared" ref="C2130:C2150" si="1042">SUBSTITUTE(F2130,"d.","p.")</f>
        <v xml:space="preserve">p.prever </v>
      </c>
      <c r="D2130" s="6" t="str">
        <f t="shared" ref="D2130:D2150" si="1043">_xlfn.CONCAT("é.",G2130)</f>
        <v>é.direção.do.vento</v>
      </c>
      <c r="E2130" s="8" t="s">
        <v>28</v>
      </c>
      <c r="F2130" s="34" t="str">
        <f t="shared" ref="F2130:F2150" si="1044">F2129</f>
        <v xml:space="preserve">d.prever </v>
      </c>
      <c r="G2130" s="14" t="s">
        <v>902</v>
      </c>
      <c r="H2130" s="34" t="s">
        <v>1581</v>
      </c>
      <c r="I2130" s="92" t="str">
        <f t="shared" si="1028"/>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ref="U2130:U2150" si="1045">_xlfn.CONCAT("Propriedade destinada a ",MID(C2130,FIND("p.",C2130,1)+2,100),": ",D2130)</f>
        <v>Propriedade destinada a prever : é.direção.do.vento</v>
      </c>
      <c r="V2130" s="5" t="str">
        <f t="shared" ref="V2130:V2150" si="1046">_xlfn.CONCAT("Dado para ",MID(F2130,FIND("d.",F2130,1)+2,100),":  ",G2130, "  Deve ser formatado como (",H2130, ")")</f>
        <v>Dado para prever :  direção.do.vento  Deve ser formatado como (rdfs:Literal  or  xsd:string)</v>
      </c>
      <c r="W2130" s="69" t="s">
        <v>6088</v>
      </c>
      <c r="X2130" s="17" t="str">
        <f t="shared" si="1031"/>
        <v>d.preve.102</v>
      </c>
      <c r="Y2130" s="17" t="str">
        <f t="shared" si="1032"/>
        <v xml:space="preserve">Ação de prever </v>
      </c>
      <c r="Z2130" s="62" t="s">
        <v>4618</v>
      </c>
      <c r="AA2130" s="18" t="str">
        <f t="shared" ref="AA2130:AA2150" si="1047">IF(AB2130="null", "null", "categoria.revit")</f>
        <v>null</v>
      </c>
      <c r="AB2130" s="19" t="s">
        <v>0</v>
      </c>
      <c r="AC2130" s="18" t="str">
        <f t="shared" ref="AC2130:AC2150" si="1048">IF(AD2130="null", "null", "classe.ifc")</f>
        <v>null</v>
      </c>
      <c r="AD2130" s="19" t="s">
        <v>0</v>
      </c>
      <c r="AE2130" s="18" t="str">
        <f t="shared" ref="AE2130:AE2150" si="1049">IF(AF2130="null", "null", "propriedade")</f>
        <v>null</v>
      </c>
      <c r="AF2130" s="75" t="s">
        <v>0</v>
      </c>
      <c r="AG2130" s="38" t="s">
        <v>9055</v>
      </c>
    </row>
    <row r="2131" spans="1:33" ht="6" customHeight="1" x14ac:dyDescent="0.4">
      <c r="A2131" s="4">
        <f>ROW()</f>
        <v>2131</v>
      </c>
      <c r="B2131" s="9" t="s">
        <v>27</v>
      </c>
      <c r="C2131" s="44" t="str">
        <f t="shared" si="1042"/>
        <v xml:space="preserve">p.prever </v>
      </c>
      <c r="D2131" s="6" t="str">
        <f t="shared" si="1043"/>
        <v>é.hora.utc</v>
      </c>
      <c r="E2131" s="8" t="s">
        <v>28</v>
      </c>
      <c r="F2131" s="34" t="str">
        <f t="shared" si="1044"/>
        <v xml:space="preserve">d.prever </v>
      </c>
      <c r="G2131" s="14" t="s">
        <v>908</v>
      </c>
      <c r="H2131" s="34" t="s">
        <v>32</v>
      </c>
      <c r="I2131" s="92" t="str">
        <f t="shared" si="1028"/>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45"/>
        <v>Propriedade destinada a prever : é.hora.utc</v>
      </c>
      <c r="V2131" s="5" t="str">
        <f t="shared" si="1046"/>
        <v>Dado para prever :  hora.utc  Deve ser formatado como (xsd:integer)</v>
      </c>
      <c r="W2131" s="69" t="s">
        <v>6099</v>
      </c>
      <c r="X2131" s="17" t="str">
        <f t="shared" si="1031"/>
        <v>d.preve.103</v>
      </c>
      <c r="Y2131" s="17" t="str">
        <f t="shared" si="1032"/>
        <v xml:space="preserve">Ação de prever </v>
      </c>
      <c r="Z2131" s="62" t="s">
        <v>4629</v>
      </c>
      <c r="AA2131" s="18" t="str">
        <f t="shared" si="1047"/>
        <v>null</v>
      </c>
      <c r="AB2131" s="19" t="s">
        <v>0</v>
      </c>
      <c r="AC2131" s="18" t="str">
        <f t="shared" si="1048"/>
        <v>null</v>
      </c>
      <c r="AD2131" s="19" t="s">
        <v>0</v>
      </c>
      <c r="AE2131" s="18" t="str">
        <f t="shared" si="1049"/>
        <v>null</v>
      </c>
      <c r="AF2131" s="75" t="s">
        <v>0</v>
      </c>
      <c r="AG2131" s="38" t="s">
        <v>9056</v>
      </c>
    </row>
    <row r="2132" spans="1:33" ht="6" customHeight="1" x14ac:dyDescent="0.4">
      <c r="A2132" s="4">
        <f>ROW()</f>
        <v>2132</v>
      </c>
      <c r="B2132" s="9" t="s">
        <v>27</v>
      </c>
      <c r="C2132" s="44" t="str">
        <f t="shared" si="1042"/>
        <v xml:space="preserve">p.prever </v>
      </c>
      <c r="D2132" s="6" t="str">
        <f t="shared" ref="D2132:D2133" si="1050">_xlfn.CONCAT("é.",G2132)</f>
        <v>é.precipitação.anual.acumulada</v>
      </c>
      <c r="E2132" s="8" t="s">
        <v>28</v>
      </c>
      <c r="F2132" s="34" t="str">
        <f t="shared" ref="F2132:F2133" si="1051">F2130</f>
        <v xml:space="preserve">d.prever </v>
      </c>
      <c r="G2132" s="14" t="s">
        <v>7173</v>
      </c>
      <c r="H2132" s="34" t="s">
        <v>35</v>
      </c>
      <c r="I2132" s="92" t="str">
        <f t="shared" si="1028"/>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ref="U2132:U2133" si="1052">_xlfn.CONCAT("Propriedade destinada a ",MID(C2132,FIND("p.",C2132,1)+2,100),": ",D2132)</f>
        <v>Propriedade destinada a prever : é.precipitação.anual.acumulada</v>
      </c>
      <c r="V2132" s="5" t="str">
        <f t="shared" ref="V2132:V2133" si="1053">_xlfn.CONCAT("Dado para ",MID(F2132,FIND("d.",F2132,1)+2,100),":  ",G2132, "  Deve ser formatado como (",H2132, ")")</f>
        <v>Dado para prever :  precipitação.anual.acumulada  Deve ser formatado como (xsd:double)</v>
      </c>
      <c r="W2132" s="69" t="s">
        <v>7182</v>
      </c>
      <c r="X2132" s="17" t="str">
        <f t="shared" si="1031"/>
        <v>d.preve.104</v>
      </c>
      <c r="Y2132" s="17" t="str">
        <f t="shared" si="1032"/>
        <v xml:space="preserve">Ação de prever </v>
      </c>
      <c r="Z2132" s="62" t="s">
        <v>7183</v>
      </c>
      <c r="AA2132" s="18" t="str">
        <f t="shared" ref="AA2132:AA2133" si="1054">IF(AB2132="null", "null", "categoria.revit")</f>
        <v>null</v>
      </c>
      <c r="AB2132" s="19" t="s">
        <v>0</v>
      </c>
      <c r="AC2132" s="18" t="str">
        <f t="shared" ref="AC2132:AC2133" si="1055">IF(AD2132="null", "null", "classe.ifc")</f>
        <v>null</v>
      </c>
      <c r="AD2132" s="19" t="s">
        <v>0</v>
      </c>
      <c r="AE2132" s="18" t="str">
        <f t="shared" ref="AE2132:AE2133" si="1056">IF(AF2132="null", "null", "propriedade")</f>
        <v>null</v>
      </c>
      <c r="AF2132" s="75" t="s">
        <v>0</v>
      </c>
      <c r="AG2132" s="38" t="s">
        <v>9057</v>
      </c>
    </row>
    <row r="2133" spans="1:33" ht="6" customHeight="1" x14ac:dyDescent="0.4">
      <c r="A2133" s="4">
        <f>ROW()</f>
        <v>2133</v>
      </c>
      <c r="B2133" s="9" t="s">
        <v>27</v>
      </c>
      <c r="C2133" s="44" t="str">
        <f t="shared" si="1042"/>
        <v xml:space="preserve">p.prever </v>
      </c>
      <c r="D2133" s="6" t="str">
        <f t="shared" si="1050"/>
        <v>é.precipitação.anual.estimada</v>
      </c>
      <c r="E2133" s="8" t="s">
        <v>28</v>
      </c>
      <c r="F2133" s="34" t="str">
        <f t="shared" si="1051"/>
        <v xml:space="preserve">d.prever </v>
      </c>
      <c r="G2133" s="14" t="s">
        <v>7158</v>
      </c>
      <c r="H2133" s="34" t="s">
        <v>35</v>
      </c>
      <c r="I2133" s="92" t="str">
        <f t="shared" si="1028"/>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52"/>
        <v>Propriedade destinada a prever : é.precipitação.anual.estimada</v>
      </c>
      <c r="V2133" s="5" t="str">
        <f t="shared" si="1053"/>
        <v>Dado para prever :  precipitação.anual.estimada  Deve ser formatado como (xsd:double)</v>
      </c>
      <c r="W2133" s="69" t="s">
        <v>7177</v>
      </c>
      <c r="X2133" s="17" t="str">
        <f t="shared" si="1031"/>
        <v>d.preve.105</v>
      </c>
      <c r="Y2133" s="17" t="str">
        <f t="shared" si="1032"/>
        <v xml:space="preserve">Ação de prever </v>
      </c>
      <c r="Z2133" s="62" t="s">
        <v>7184</v>
      </c>
      <c r="AA2133" s="18" t="str">
        <f t="shared" si="1054"/>
        <v>null</v>
      </c>
      <c r="AB2133" s="19" t="s">
        <v>0</v>
      </c>
      <c r="AC2133" s="18" t="str">
        <f t="shared" si="1055"/>
        <v>null</v>
      </c>
      <c r="AD2133" s="19" t="s">
        <v>0</v>
      </c>
      <c r="AE2133" s="18" t="str">
        <f t="shared" si="1056"/>
        <v>null</v>
      </c>
      <c r="AF2133" s="75" t="s">
        <v>0</v>
      </c>
      <c r="AG2133" s="38" t="s">
        <v>9058</v>
      </c>
    </row>
    <row r="2134" spans="1:33" ht="6" customHeight="1" x14ac:dyDescent="0.4">
      <c r="A2134" s="4">
        <f>ROW()</f>
        <v>2134</v>
      </c>
      <c r="B2134" s="9" t="s">
        <v>27</v>
      </c>
      <c r="C2134" s="44" t="str">
        <f t="shared" ref="C2134:C2137" si="1057">SUBSTITUTE(F2134,"d.","p.")</f>
        <v xml:space="preserve">p.prever </v>
      </c>
      <c r="D2134" s="6" t="str">
        <f t="shared" ref="D2134:D2135" si="1058">_xlfn.CONCAT("é.",G2134)</f>
        <v>é.precipitação.diária.acumulada</v>
      </c>
      <c r="E2134" s="8" t="s">
        <v>28</v>
      </c>
      <c r="F2134" s="34" t="str">
        <f>F2130</f>
        <v xml:space="preserve">d.prever </v>
      </c>
      <c r="G2134" s="14" t="s">
        <v>7175</v>
      </c>
      <c r="H2134" s="34" t="s">
        <v>35</v>
      </c>
      <c r="I2134" s="92" t="str">
        <f t="shared" si="1028"/>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ref="U2134:U2135" si="1059">_xlfn.CONCAT("Propriedade destinada a ",MID(C2134,FIND("p.",C2134,1)+2,100),": ",D2134)</f>
        <v>Propriedade destinada a prever : é.precipitação.diária.acumulada</v>
      </c>
      <c r="V2134" s="5" t="str">
        <f t="shared" ref="V2134:V2135" si="1060">_xlfn.CONCAT("Dado para ",MID(F2134,FIND("d.",F2134,1)+2,100),":  ",G2134, "  Deve ser formatado como (",H2134, ")")</f>
        <v>Dado para prever :  precipitação.diária.acumulada  Deve ser formatado como (xsd:double)</v>
      </c>
      <c r="W2134" s="69" t="s">
        <v>7181</v>
      </c>
      <c r="X2134" s="17" t="str">
        <f t="shared" si="1031"/>
        <v>d.preve.106</v>
      </c>
      <c r="Y2134" s="17" t="str">
        <f t="shared" si="1032"/>
        <v xml:space="preserve">Ação de prever </v>
      </c>
      <c r="Z2134" s="62" t="s">
        <v>7185</v>
      </c>
      <c r="AA2134" s="18" t="str">
        <f t="shared" ref="AA2134:AA2135" si="1061">IF(AB2134="null", "null", "categoria.revit")</f>
        <v>null</v>
      </c>
      <c r="AB2134" s="19" t="s">
        <v>0</v>
      </c>
      <c r="AC2134" s="18" t="str">
        <f t="shared" ref="AC2134:AC2135" si="1062">IF(AD2134="null", "null", "classe.ifc")</f>
        <v>null</v>
      </c>
      <c r="AD2134" s="19" t="s">
        <v>0</v>
      </c>
      <c r="AE2134" s="18" t="str">
        <f t="shared" ref="AE2134:AE2135" si="1063">IF(AF2134="null", "null", "propriedade")</f>
        <v>null</v>
      </c>
      <c r="AF2134" s="75" t="s">
        <v>0</v>
      </c>
      <c r="AG2134" s="38" t="s">
        <v>9059</v>
      </c>
    </row>
    <row r="2135" spans="1:33" ht="6" customHeight="1" x14ac:dyDescent="0.4">
      <c r="A2135" s="4">
        <f>ROW()</f>
        <v>2135</v>
      </c>
      <c r="B2135" s="9" t="s">
        <v>27</v>
      </c>
      <c r="C2135" s="44" t="str">
        <f t="shared" si="1057"/>
        <v xml:space="preserve">p.prever </v>
      </c>
      <c r="D2135" s="6" t="str">
        <f t="shared" si="1058"/>
        <v>é.precipitação.diária.estimada</v>
      </c>
      <c r="E2135" s="8" t="s">
        <v>28</v>
      </c>
      <c r="F2135" s="34" t="str">
        <f>F2131</f>
        <v xml:space="preserve">d.prever </v>
      </c>
      <c r="G2135" s="14" t="s">
        <v>7176</v>
      </c>
      <c r="H2135" s="34" t="s">
        <v>35</v>
      </c>
      <c r="I2135" s="92" t="str">
        <f t="shared" si="1028"/>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59"/>
        <v>Propriedade destinada a prever : é.precipitação.diária.estimada</v>
      </c>
      <c r="V2135" s="5" t="str">
        <f t="shared" si="1060"/>
        <v>Dado para prever :  precipitação.diária.estimada  Deve ser formatado como (xsd:double)</v>
      </c>
      <c r="W2135" s="69" t="s">
        <v>7178</v>
      </c>
      <c r="X2135" s="17" t="str">
        <f t="shared" si="1031"/>
        <v>d.preve.107</v>
      </c>
      <c r="Y2135" s="17" t="str">
        <f t="shared" si="1032"/>
        <v xml:space="preserve">Ação de prever </v>
      </c>
      <c r="Z2135" s="62" t="s">
        <v>7186</v>
      </c>
      <c r="AA2135" s="18" t="str">
        <f t="shared" si="1061"/>
        <v>null</v>
      </c>
      <c r="AB2135" s="19" t="s">
        <v>0</v>
      </c>
      <c r="AC2135" s="18" t="str">
        <f t="shared" si="1062"/>
        <v>null</v>
      </c>
      <c r="AD2135" s="19" t="s">
        <v>0</v>
      </c>
      <c r="AE2135" s="18" t="str">
        <f t="shared" si="1063"/>
        <v>null</v>
      </c>
      <c r="AF2135" s="75" t="s">
        <v>0</v>
      </c>
      <c r="AG2135" s="38" t="s">
        <v>9060</v>
      </c>
    </row>
    <row r="2136" spans="1:33" ht="6" customHeight="1" x14ac:dyDescent="0.4">
      <c r="A2136" s="4">
        <f>ROW()</f>
        <v>2136</v>
      </c>
      <c r="B2136" s="9" t="s">
        <v>27</v>
      </c>
      <c r="C2136" s="44" t="str">
        <f t="shared" si="1057"/>
        <v xml:space="preserve">p.prever </v>
      </c>
      <c r="D2136" s="6" t="str">
        <f t="shared" si="1043"/>
        <v>é.precipitação.mensal.acumulada</v>
      </c>
      <c r="E2136" s="8" t="s">
        <v>28</v>
      </c>
      <c r="F2136" s="34" t="str">
        <f>F2132</f>
        <v xml:space="preserve">d.prever </v>
      </c>
      <c r="G2136" s="14" t="s">
        <v>7174</v>
      </c>
      <c r="H2136" s="34" t="s">
        <v>35</v>
      </c>
      <c r="I2136" s="92" t="str">
        <f t="shared" si="1028"/>
        <v>null</v>
      </c>
      <c r="J2136" s="82" t="s">
        <v>0</v>
      </c>
      <c r="K2136" s="82" t="s">
        <v>0</v>
      </c>
      <c r="L2136" s="82" t="s">
        <v>0</v>
      </c>
      <c r="M2136" s="82" t="s">
        <v>0</v>
      </c>
      <c r="N2136" s="80" t="s">
        <v>0</v>
      </c>
      <c r="O2136" s="82" t="s">
        <v>0</v>
      </c>
      <c r="P2136" s="82" t="s">
        <v>0</v>
      </c>
      <c r="Q2136" s="82" t="s">
        <v>0</v>
      </c>
      <c r="R2136" s="84" t="s">
        <v>0</v>
      </c>
      <c r="S2136" s="10" t="s">
        <v>1</v>
      </c>
      <c r="T2136" s="10" t="s">
        <v>10221</v>
      </c>
      <c r="U2136" s="5" t="str">
        <f t="shared" si="1045"/>
        <v>Propriedade destinada a prever : é.precipitação.mensal.acumulada</v>
      </c>
      <c r="V2136" s="5" t="str">
        <f t="shared" si="1046"/>
        <v>Dado para prever :  precipitação.mensal.acumulada  Deve ser formatado como (xsd:double)</v>
      </c>
      <c r="W2136" s="69" t="s">
        <v>7180</v>
      </c>
      <c r="X2136" s="17" t="str">
        <f t="shared" si="1031"/>
        <v>d.preve.108</v>
      </c>
      <c r="Y2136" s="17" t="str">
        <f t="shared" si="1032"/>
        <v xml:space="preserve">Ação de prever </v>
      </c>
      <c r="Z2136" s="62" t="s">
        <v>7187</v>
      </c>
      <c r="AA2136" s="18" t="str">
        <f t="shared" si="1047"/>
        <v>null</v>
      </c>
      <c r="AB2136" s="19" t="s">
        <v>0</v>
      </c>
      <c r="AC2136" s="18" t="str">
        <f t="shared" si="1048"/>
        <v>null</v>
      </c>
      <c r="AD2136" s="19" t="s">
        <v>0</v>
      </c>
      <c r="AE2136" s="18" t="str">
        <f t="shared" si="1049"/>
        <v>null</v>
      </c>
      <c r="AF2136" s="75" t="s">
        <v>0</v>
      </c>
      <c r="AG2136" s="38" t="s">
        <v>9061</v>
      </c>
    </row>
    <row r="2137" spans="1:33" ht="6" customHeight="1" x14ac:dyDescent="0.4">
      <c r="A2137" s="4">
        <f>ROW()</f>
        <v>2137</v>
      </c>
      <c r="B2137" s="9" t="s">
        <v>27</v>
      </c>
      <c r="C2137" s="44" t="str">
        <f t="shared" si="1057"/>
        <v xml:space="preserve">p.prever </v>
      </c>
      <c r="D2137" s="6" t="str">
        <f t="shared" ref="D2137" si="1064">_xlfn.CONCAT("é.",G2137)</f>
        <v>é.precipitação.mensal.estimada</v>
      </c>
      <c r="E2137" s="8" t="s">
        <v>28</v>
      </c>
      <c r="F2137" s="34" t="str">
        <f>F2133</f>
        <v xml:space="preserve">d.prever </v>
      </c>
      <c r="G2137" s="14" t="s">
        <v>7159</v>
      </c>
      <c r="H2137" s="34" t="s">
        <v>35</v>
      </c>
      <c r="I2137" s="92" t="str">
        <f t="shared" si="1028"/>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65">_xlfn.CONCAT("Propriedade destinada a ",MID(C2137,FIND("p.",C2137,1)+2,100),": ",D2137)</f>
        <v>Propriedade destinada a prever : é.precipitação.mensal.estimada</v>
      </c>
      <c r="V2137" s="5" t="str">
        <f t="shared" ref="V2137" si="1066">_xlfn.CONCAT("Dado para ",MID(F2137,FIND("d.",F2137,1)+2,100),":  ",G2137, "  Deve ser formatado como (",H2137, ")")</f>
        <v>Dado para prever :  precipitação.mensal.estimada  Deve ser formatado como (xsd:double)</v>
      </c>
      <c r="W2137" s="69" t="s">
        <v>7179</v>
      </c>
      <c r="X2137" s="17" t="str">
        <f t="shared" si="1031"/>
        <v>d.preve.109</v>
      </c>
      <c r="Y2137" s="17" t="str">
        <f t="shared" si="1032"/>
        <v xml:space="preserve">Ação de prever </v>
      </c>
      <c r="Z2137" s="62" t="s">
        <v>7188</v>
      </c>
      <c r="AA2137" s="18" t="str">
        <f t="shared" ref="AA2137" si="1067">IF(AB2137="null", "null", "categoria.revit")</f>
        <v>null</v>
      </c>
      <c r="AB2137" s="19" t="s">
        <v>0</v>
      </c>
      <c r="AC2137" s="18" t="str">
        <f t="shared" ref="AC2137" si="1068">IF(AD2137="null", "null", "classe.ifc")</f>
        <v>null</v>
      </c>
      <c r="AD2137" s="19" t="s">
        <v>0</v>
      </c>
      <c r="AE2137" s="18" t="str">
        <f t="shared" ref="AE2137" si="1069">IF(AF2137="null", "null", "propriedade")</f>
        <v>null</v>
      </c>
      <c r="AF2137" s="75" t="s">
        <v>0</v>
      </c>
      <c r="AG2137" s="38" t="s">
        <v>9062</v>
      </c>
    </row>
    <row r="2138" spans="1:33" ht="6" customHeight="1" x14ac:dyDescent="0.4">
      <c r="A2138" s="4">
        <f>ROW()</f>
        <v>2138</v>
      </c>
      <c r="B2138" s="9" t="s">
        <v>27</v>
      </c>
      <c r="C2138" s="44" t="str">
        <f t="shared" si="1042"/>
        <v xml:space="preserve">p.prever </v>
      </c>
      <c r="D2138" s="6" t="str">
        <f t="shared" si="1043"/>
        <v>é.pressão.atmosférica</v>
      </c>
      <c r="E2138" s="8" t="s">
        <v>28</v>
      </c>
      <c r="F2138" s="34" t="str">
        <f t="shared" ref="F2138" si="1070">F2136</f>
        <v xml:space="preserve">d.prever </v>
      </c>
      <c r="G2138" s="14" t="s">
        <v>904</v>
      </c>
      <c r="H2138" s="34" t="s">
        <v>35</v>
      </c>
      <c r="I2138" s="92" t="str">
        <f t="shared" si="1028"/>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si="1045"/>
        <v>Propriedade destinada a prever : é.pressão.atmosférica</v>
      </c>
      <c r="V2138" s="5" t="str">
        <f t="shared" si="1046"/>
        <v>Dado para prever :  pressão.atmosférica  Deve ser formatado como (xsd:double)</v>
      </c>
      <c r="W2138" s="69" t="s">
        <v>6090</v>
      </c>
      <c r="X2138" s="17" t="str">
        <f t="shared" si="1031"/>
        <v>d.preve.110</v>
      </c>
      <c r="Y2138" s="17" t="str">
        <f t="shared" si="1032"/>
        <v xml:space="preserve">Ação de prever </v>
      </c>
      <c r="Z2138" s="62" t="s">
        <v>4620</v>
      </c>
      <c r="AA2138" s="18" t="str">
        <f t="shared" si="1047"/>
        <v>null</v>
      </c>
      <c r="AB2138" s="19" t="s">
        <v>0</v>
      </c>
      <c r="AC2138" s="18" t="str">
        <f t="shared" si="1048"/>
        <v>null</v>
      </c>
      <c r="AD2138" s="19" t="s">
        <v>0</v>
      </c>
      <c r="AE2138" s="18" t="str">
        <f t="shared" si="1049"/>
        <v>propriedade</v>
      </c>
      <c r="AF2138" s="75" t="s">
        <v>1906</v>
      </c>
      <c r="AG2138" s="38" t="s">
        <v>9063</v>
      </c>
    </row>
    <row r="2139" spans="1:33" ht="6" customHeight="1" x14ac:dyDescent="0.4">
      <c r="A2139" s="4">
        <f>ROW()</f>
        <v>2139</v>
      </c>
      <c r="B2139" s="9" t="s">
        <v>27</v>
      </c>
      <c r="C2139" s="44" t="str">
        <f t="shared" si="1042"/>
        <v xml:space="preserve">p.prever </v>
      </c>
      <c r="D2139" s="6" t="str">
        <f t="shared" si="1043"/>
        <v>é.qualidade.do.ar</v>
      </c>
      <c r="E2139" s="8" t="s">
        <v>28</v>
      </c>
      <c r="F2139" s="34" t="str">
        <f t="shared" si="1044"/>
        <v xml:space="preserve">d.prever </v>
      </c>
      <c r="G2139" s="14" t="s">
        <v>907</v>
      </c>
      <c r="H2139" s="34" t="s">
        <v>35</v>
      </c>
      <c r="I2139" s="92" t="str">
        <f t="shared" si="1028"/>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45"/>
        <v>Propriedade destinada a prever : é.qualidade.do.ar</v>
      </c>
      <c r="V2139" s="5" t="str">
        <f t="shared" si="1046"/>
        <v>Dado para prever :  qualidade.do.ar  Deve ser formatado como (xsd:double)</v>
      </c>
      <c r="W2139" s="69" t="s">
        <v>6098</v>
      </c>
      <c r="X2139" s="17" t="str">
        <f t="shared" si="1031"/>
        <v>d.preve.111</v>
      </c>
      <c r="Y2139" s="17" t="str">
        <f t="shared" si="1032"/>
        <v xml:space="preserve">Ação de prever </v>
      </c>
      <c r="Z2139" s="62" t="s">
        <v>4628</v>
      </c>
      <c r="AA2139" s="18" t="str">
        <f t="shared" si="1047"/>
        <v>null</v>
      </c>
      <c r="AB2139" s="19" t="s">
        <v>0</v>
      </c>
      <c r="AC2139" s="18" t="str">
        <f t="shared" si="1048"/>
        <v>null</v>
      </c>
      <c r="AD2139" s="19" t="s">
        <v>0</v>
      </c>
      <c r="AE2139" s="18" t="str">
        <f t="shared" si="1049"/>
        <v>propriedade</v>
      </c>
      <c r="AF2139" s="75" t="s">
        <v>1905</v>
      </c>
      <c r="AG2139" s="38" t="s">
        <v>9064</v>
      </c>
    </row>
    <row r="2140" spans="1:33" ht="6" customHeight="1" x14ac:dyDescent="0.4">
      <c r="A2140" s="4">
        <f>ROW()</f>
        <v>2140</v>
      </c>
      <c r="B2140" s="9" t="s">
        <v>27</v>
      </c>
      <c r="C2140" s="44" t="str">
        <f t="shared" si="1042"/>
        <v xml:space="preserve">p.prever </v>
      </c>
      <c r="D2140" s="6" t="str">
        <f t="shared" si="1043"/>
        <v>é.radiação.solar</v>
      </c>
      <c r="E2140" s="8" t="s">
        <v>28</v>
      </c>
      <c r="F2140" s="34" t="str">
        <f t="shared" si="1044"/>
        <v xml:space="preserve">d.prever </v>
      </c>
      <c r="G2140" s="14" t="s">
        <v>903</v>
      </c>
      <c r="H2140" s="34" t="s">
        <v>35</v>
      </c>
      <c r="I2140" s="92" t="str">
        <f t="shared" si="1028"/>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si="1045"/>
        <v>Propriedade destinada a prever : é.radiação.solar</v>
      </c>
      <c r="V2140" s="5" t="str">
        <f t="shared" si="1046"/>
        <v>Dado para prever :  radiação.solar  Deve ser formatado como (xsd:double)</v>
      </c>
      <c r="W2140" s="69" t="s">
        <v>6089</v>
      </c>
      <c r="X2140" s="17" t="str">
        <f t="shared" si="1031"/>
        <v>d.preve.112</v>
      </c>
      <c r="Y2140" s="17" t="str">
        <f t="shared" si="1032"/>
        <v xml:space="preserve">Ação de prever </v>
      </c>
      <c r="Z2140" s="62" t="s">
        <v>4619</v>
      </c>
      <c r="AA2140" s="18" t="str">
        <f t="shared" si="1047"/>
        <v>null</v>
      </c>
      <c r="AB2140" s="19" t="s">
        <v>0</v>
      </c>
      <c r="AC2140" s="18" t="str">
        <f t="shared" si="1048"/>
        <v>null</v>
      </c>
      <c r="AD2140" s="19" t="s">
        <v>0</v>
      </c>
      <c r="AE2140" s="18" t="str">
        <f t="shared" si="1049"/>
        <v>propriedade</v>
      </c>
      <c r="AF2140" s="75" t="s">
        <v>1904</v>
      </c>
      <c r="AG2140" s="38" t="s">
        <v>9065</v>
      </c>
    </row>
    <row r="2141" spans="1:33" ht="6" customHeight="1" x14ac:dyDescent="0.4">
      <c r="A2141" s="4">
        <f>ROW()</f>
        <v>2141</v>
      </c>
      <c r="B2141" s="9" t="s">
        <v>27</v>
      </c>
      <c r="C2141" s="44" t="str">
        <f t="shared" si="1042"/>
        <v xml:space="preserve">p.prever </v>
      </c>
      <c r="D2141" s="6" t="str">
        <f t="shared" si="1043"/>
        <v>é.rajada.de.vento</v>
      </c>
      <c r="E2141" s="8" t="s">
        <v>28</v>
      </c>
      <c r="F2141" s="34" t="str">
        <f t="shared" si="1044"/>
        <v xml:space="preserve">d.prever </v>
      </c>
      <c r="G2141" s="14" t="s">
        <v>1476</v>
      </c>
      <c r="H2141" s="34" t="s">
        <v>35</v>
      </c>
      <c r="I2141" s="92" t="str">
        <f t="shared" si="1028"/>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5"/>
        <v>Propriedade destinada a prever : é.rajada.de.vento</v>
      </c>
      <c r="V2141" s="5" t="str">
        <f t="shared" si="1046"/>
        <v>Dado para prever :  rajada.de.vento  Deve ser formatado como (xsd:double)</v>
      </c>
      <c r="W2141" s="69" t="s">
        <v>6086</v>
      </c>
      <c r="X2141" s="17" t="str">
        <f t="shared" si="1031"/>
        <v>d.preve.113</v>
      </c>
      <c r="Y2141" s="17" t="str">
        <f t="shared" si="1032"/>
        <v xml:space="preserve">Ação de prever </v>
      </c>
      <c r="Z2141" s="62" t="s">
        <v>4617</v>
      </c>
      <c r="AA2141" s="18" t="str">
        <f t="shared" si="1047"/>
        <v>null</v>
      </c>
      <c r="AB2141" s="19" t="s">
        <v>0</v>
      </c>
      <c r="AC2141" s="18" t="str">
        <f t="shared" si="1048"/>
        <v>null</v>
      </c>
      <c r="AD2141" s="19" t="s">
        <v>0</v>
      </c>
      <c r="AE2141" s="18" t="str">
        <f t="shared" si="1049"/>
        <v>null</v>
      </c>
      <c r="AF2141" s="75" t="s">
        <v>0</v>
      </c>
      <c r="AG2141" s="38" t="s">
        <v>9066</v>
      </c>
    </row>
    <row r="2142" spans="1:33" ht="6" customHeight="1" x14ac:dyDescent="0.4">
      <c r="A2142" s="4">
        <f>ROW()</f>
        <v>2142</v>
      </c>
      <c r="B2142" s="9" t="s">
        <v>27</v>
      </c>
      <c r="C2142" s="44" t="str">
        <f t="shared" si="1042"/>
        <v xml:space="preserve">p.prever </v>
      </c>
      <c r="D2142" s="6" t="str">
        <f t="shared" si="1043"/>
        <v>é.sensação.térmica</v>
      </c>
      <c r="E2142" s="8" t="s">
        <v>28</v>
      </c>
      <c r="F2142" s="34" t="str">
        <f t="shared" si="1044"/>
        <v xml:space="preserve">d.prever </v>
      </c>
      <c r="G2142" s="14" t="s">
        <v>905</v>
      </c>
      <c r="H2142" s="34" t="s">
        <v>35</v>
      </c>
      <c r="I2142" s="92" t="str">
        <f t="shared" si="1028"/>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si="1045"/>
        <v>Propriedade destinada a prever : é.sensação.térmica</v>
      </c>
      <c r="V2142" s="5" t="str">
        <f t="shared" si="1046"/>
        <v>Dado para prever :  sensação.térmica  Deve ser formatado como (xsd:double)</v>
      </c>
      <c r="W2142" s="69" t="s">
        <v>6096</v>
      </c>
      <c r="X2142" s="17" t="str">
        <f t="shared" si="1031"/>
        <v>d.preve.114</v>
      </c>
      <c r="Y2142" s="17" t="str">
        <f t="shared" si="1032"/>
        <v xml:space="preserve">Ação de prever </v>
      </c>
      <c r="Z2142" s="62" t="s">
        <v>4626</v>
      </c>
      <c r="AA2142" s="18" t="str">
        <f t="shared" si="1047"/>
        <v>null</v>
      </c>
      <c r="AB2142" s="19" t="s">
        <v>0</v>
      </c>
      <c r="AC2142" s="18" t="str">
        <f t="shared" si="1048"/>
        <v>null</v>
      </c>
      <c r="AD2142" s="19" t="s">
        <v>0</v>
      </c>
      <c r="AE2142" s="18" t="str">
        <f t="shared" si="1049"/>
        <v>null</v>
      </c>
      <c r="AF2142" s="75" t="s">
        <v>0</v>
      </c>
      <c r="AG2142" s="38" t="s">
        <v>9067</v>
      </c>
    </row>
    <row r="2143" spans="1:33" ht="6" customHeight="1" x14ac:dyDescent="0.4">
      <c r="A2143" s="4">
        <f>ROW()</f>
        <v>2143</v>
      </c>
      <c r="B2143" s="9" t="s">
        <v>27</v>
      </c>
      <c r="C2143" s="44" t="str">
        <f t="shared" si="1042"/>
        <v xml:space="preserve">p.prever </v>
      </c>
      <c r="D2143" s="6" t="str">
        <f t="shared" si="1043"/>
        <v>é.temperatura</v>
      </c>
      <c r="E2143" s="8" t="s">
        <v>28</v>
      </c>
      <c r="F2143" s="34" t="str">
        <f t="shared" si="1044"/>
        <v xml:space="preserve">d.prever </v>
      </c>
      <c r="G2143" s="14" t="s">
        <v>178</v>
      </c>
      <c r="H2143" s="34" t="s">
        <v>35</v>
      </c>
      <c r="I2143" s="92" t="str">
        <f t="shared" si="1028"/>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45"/>
        <v>Propriedade destinada a prever : é.temperatura</v>
      </c>
      <c r="V2143" s="5" t="str">
        <f t="shared" si="1046"/>
        <v>Dado para prever :  temperatura  Deve ser formatado como (xsd:double)</v>
      </c>
      <c r="W2143" s="69" t="s">
        <v>6091</v>
      </c>
      <c r="X2143" s="17" t="str">
        <f t="shared" si="1031"/>
        <v>d.preve.115</v>
      </c>
      <c r="Y2143" s="17" t="str">
        <f t="shared" si="1032"/>
        <v xml:space="preserve">Ação de prever </v>
      </c>
      <c r="Z2143" s="62" t="s">
        <v>4621</v>
      </c>
      <c r="AA2143" s="18" t="str">
        <f t="shared" si="1047"/>
        <v>null</v>
      </c>
      <c r="AB2143" s="19" t="s">
        <v>0</v>
      </c>
      <c r="AC2143" s="18" t="str">
        <f t="shared" si="1048"/>
        <v>null</v>
      </c>
      <c r="AD2143" s="19" t="s">
        <v>0</v>
      </c>
      <c r="AE2143" s="18" t="str">
        <f t="shared" si="1049"/>
        <v>propriedade</v>
      </c>
      <c r="AF2143" s="75" t="s">
        <v>1907</v>
      </c>
      <c r="AG2143" s="38" t="s">
        <v>9068</v>
      </c>
    </row>
    <row r="2144" spans="1:33" ht="6" customHeight="1" x14ac:dyDescent="0.4">
      <c r="A2144" s="4">
        <f>ROW()</f>
        <v>2144</v>
      </c>
      <c r="B2144" s="9" t="s">
        <v>27</v>
      </c>
      <c r="C2144" s="44" t="str">
        <f t="shared" si="1042"/>
        <v xml:space="preserve">p.prever </v>
      </c>
      <c r="D2144" s="6" t="str">
        <f t="shared" si="1043"/>
        <v>é.temperatura.instantânea</v>
      </c>
      <c r="E2144" s="8" t="s">
        <v>28</v>
      </c>
      <c r="F2144" s="34" t="str">
        <f t="shared" si="1044"/>
        <v xml:space="preserve">d.prever </v>
      </c>
      <c r="G2144" s="14" t="s">
        <v>1491</v>
      </c>
      <c r="H2144" s="34" t="s">
        <v>35</v>
      </c>
      <c r="I2144" s="92" t="str">
        <f t="shared" si="1028"/>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45"/>
        <v>Propriedade destinada a prever : é.temperatura.instantânea</v>
      </c>
      <c r="V2144" s="5" t="str">
        <f t="shared" si="1046"/>
        <v>Dado para prever :  temperatura.instantânea  Deve ser formatado como (xsd:double)</v>
      </c>
      <c r="W2144" s="69" t="s">
        <v>6095</v>
      </c>
      <c r="X2144" s="17" t="str">
        <f t="shared" si="1031"/>
        <v>d.preve.116</v>
      </c>
      <c r="Y2144" s="17" t="str">
        <f t="shared" si="1032"/>
        <v xml:space="preserve">Ação de prever </v>
      </c>
      <c r="Z2144" s="62" t="s">
        <v>4625</v>
      </c>
      <c r="AA2144" s="18" t="str">
        <f t="shared" si="1047"/>
        <v>null</v>
      </c>
      <c r="AB2144" s="19" t="s">
        <v>0</v>
      </c>
      <c r="AC2144" s="18" t="str">
        <f t="shared" si="1048"/>
        <v>null</v>
      </c>
      <c r="AD2144" s="19" t="s">
        <v>0</v>
      </c>
      <c r="AE2144" s="18" t="str">
        <f t="shared" si="1049"/>
        <v>null</v>
      </c>
      <c r="AF2144" s="75" t="s">
        <v>0</v>
      </c>
      <c r="AG2144" s="38" t="s">
        <v>9069</v>
      </c>
    </row>
    <row r="2145" spans="1:33" ht="6" customHeight="1" x14ac:dyDescent="0.4">
      <c r="A2145" s="4">
        <f>ROW()</f>
        <v>2145</v>
      </c>
      <c r="B2145" s="9" t="s">
        <v>27</v>
      </c>
      <c r="C2145" s="44" t="str">
        <f t="shared" si="1042"/>
        <v xml:space="preserve">p.prever </v>
      </c>
      <c r="D2145" s="6" t="str">
        <f t="shared" si="1043"/>
        <v>é.temperatura.máxima</v>
      </c>
      <c r="E2145" s="8" t="s">
        <v>28</v>
      </c>
      <c r="F2145" s="34" t="str">
        <f t="shared" si="1044"/>
        <v xml:space="preserve">d.prever </v>
      </c>
      <c r="G2145" s="14" t="s">
        <v>1490</v>
      </c>
      <c r="H2145" s="34" t="s">
        <v>35</v>
      </c>
      <c r="I2145" s="92" t="str">
        <f t="shared" si="1028"/>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si="1045"/>
        <v>Propriedade destinada a prever : é.temperatura.máxima</v>
      </c>
      <c r="V2145" s="5" t="str">
        <f t="shared" si="1046"/>
        <v>Dado para prever :  temperatura.máxima  Deve ser formatado como (xsd:double)</v>
      </c>
      <c r="W2145" s="69" t="s">
        <v>6092</v>
      </c>
      <c r="X2145" s="17" t="str">
        <f t="shared" si="1031"/>
        <v>d.preve.117</v>
      </c>
      <c r="Y2145" s="17" t="str">
        <f t="shared" si="1032"/>
        <v xml:space="preserve">Ação de prever </v>
      </c>
      <c r="Z2145" s="62" t="s">
        <v>4622</v>
      </c>
      <c r="AA2145" s="18" t="str">
        <f t="shared" si="1047"/>
        <v>null</v>
      </c>
      <c r="AB2145" s="19" t="s">
        <v>0</v>
      </c>
      <c r="AC2145" s="18" t="str">
        <f t="shared" si="1048"/>
        <v>null</v>
      </c>
      <c r="AD2145" s="19" t="s">
        <v>0</v>
      </c>
      <c r="AE2145" s="18" t="str">
        <f t="shared" si="1049"/>
        <v>propriedade</v>
      </c>
      <c r="AF2145" s="75" t="s">
        <v>1903</v>
      </c>
      <c r="AG2145" s="38" t="s">
        <v>9070</v>
      </c>
    </row>
    <row r="2146" spans="1:33" ht="6" customHeight="1" x14ac:dyDescent="0.4">
      <c r="A2146" s="4">
        <f>ROW()</f>
        <v>2146</v>
      </c>
      <c r="B2146" s="9" t="s">
        <v>27</v>
      </c>
      <c r="C2146" s="44" t="str">
        <f t="shared" si="1042"/>
        <v xml:space="preserve">p.prever </v>
      </c>
      <c r="D2146" s="6" t="str">
        <f t="shared" si="1043"/>
        <v>é.temperatura.média</v>
      </c>
      <c r="E2146" s="8" t="s">
        <v>28</v>
      </c>
      <c r="F2146" s="34" t="str">
        <f t="shared" si="1044"/>
        <v xml:space="preserve">d.prever </v>
      </c>
      <c r="G2146" s="14" t="s">
        <v>1493</v>
      </c>
      <c r="H2146" s="34" t="s">
        <v>35</v>
      </c>
      <c r="I2146" s="92" t="str">
        <f t="shared" si="1028"/>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45"/>
        <v>Propriedade destinada a prever : é.temperatura.média</v>
      </c>
      <c r="V2146" s="5" t="str">
        <f t="shared" si="1046"/>
        <v>Dado para prever :  temperatura.média  Deve ser formatado como (xsd:double)</v>
      </c>
      <c r="W2146" s="69" t="s">
        <v>6094</v>
      </c>
      <c r="X2146" s="17" t="str">
        <f t="shared" si="1031"/>
        <v>d.preve.118</v>
      </c>
      <c r="Y2146" s="17" t="str">
        <f t="shared" si="1032"/>
        <v xml:space="preserve">Ação de prever </v>
      </c>
      <c r="Z2146" s="62" t="s">
        <v>4624</v>
      </c>
      <c r="AA2146" s="18" t="str">
        <f t="shared" si="1047"/>
        <v>null</v>
      </c>
      <c r="AB2146" s="19" t="s">
        <v>0</v>
      </c>
      <c r="AC2146" s="18" t="str">
        <f t="shared" si="1048"/>
        <v>null</v>
      </c>
      <c r="AD2146" s="19" t="s">
        <v>0</v>
      </c>
      <c r="AE2146" s="18" t="str">
        <f t="shared" si="1049"/>
        <v>propriedade</v>
      </c>
      <c r="AF2146" s="75" t="s">
        <v>1908</v>
      </c>
      <c r="AG2146" s="38" t="s">
        <v>9071</v>
      </c>
    </row>
    <row r="2147" spans="1:33" ht="6" customHeight="1" x14ac:dyDescent="0.4">
      <c r="A2147" s="4">
        <f>ROW()</f>
        <v>2147</v>
      </c>
      <c r="B2147" s="9" t="s">
        <v>27</v>
      </c>
      <c r="C2147" s="44" t="str">
        <f t="shared" si="1042"/>
        <v xml:space="preserve">p.prever </v>
      </c>
      <c r="D2147" s="6" t="str">
        <f t="shared" si="1043"/>
        <v>é.temperatura.mínima</v>
      </c>
      <c r="E2147" s="8" t="s">
        <v>28</v>
      </c>
      <c r="F2147" s="34" t="str">
        <f t="shared" si="1044"/>
        <v xml:space="preserve">d.prever </v>
      </c>
      <c r="G2147" s="14" t="s">
        <v>1492</v>
      </c>
      <c r="H2147" s="34" t="s">
        <v>35</v>
      </c>
      <c r="I2147" s="92" t="str">
        <f t="shared" si="1028"/>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45"/>
        <v>Propriedade destinada a prever : é.temperatura.mínima</v>
      </c>
      <c r="V2147" s="5" t="str">
        <f t="shared" si="1046"/>
        <v>Dado para prever :  temperatura.mínima  Deve ser formatado como (xsd:double)</v>
      </c>
      <c r="W2147" s="69" t="s">
        <v>6093</v>
      </c>
      <c r="X2147" s="17" t="str">
        <f t="shared" si="1031"/>
        <v>d.preve.119</v>
      </c>
      <c r="Y2147" s="17" t="str">
        <f t="shared" si="1032"/>
        <v xml:space="preserve">Ação de prever </v>
      </c>
      <c r="Z2147" s="62" t="s">
        <v>4623</v>
      </c>
      <c r="AA2147" s="18" t="str">
        <f t="shared" si="1047"/>
        <v>null</v>
      </c>
      <c r="AB2147" s="19" t="s">
        <v>0</v>
      </c>
      <c r="AC2147" s="18" t="str">
        <f t="shared" si="1048"/>
        <v>null</v>
      </c>
      <c r="AD2147" s="19" t="s">
        <v>0</v>
      </c>
      <c r="AE2147" s="18" t="str">
        <f t="shared" si="1049"/>
        <v>propriedade</v>
      </c>
      <c r="AF2147" s="75" t="s">
        <v>1902</v>
      </c>
      <c r="AG2147" s="38" t="s">
        <v>9072</v>
      </c>
    </row>
    <row r="2148" spans="1:33" ht="6" customHeight="1" x14ac:dyDescent="0.4">
      <c r="A2148" s="4">
        <f>ROW()</f>
        <v>2148</v>
      </c>
      <c r="B2148" s="9" t="s">
        <v>27</v>
      </c>
      <c r="C2148" s="44" t="str">
        <f t="shared" si="1042"/>
        <v xml:space="preserve">p.prever </v>
      </c>
      <c r="D2148" s="6" t="str">
        <f t="shared" si="1043"/>
        <v>é.umidade.relativa</v>
      </c>
      <c r="E2148" s="8" t="s">
        <v>28</v>
      </c>
      <c r="F2148" s="34" t="str">
        <f t="shared" si="1044"/>
        <v xml:space="preserve">d.prever </v>
      </c>
      <c r="G2148" s="14" t="s">
        <v>906</v>
      </c>
      <c r="H2148" s="34" t="s">
        <v>35</v>
      </c>
      <c r="I2148" s="92" t="str">
        <f t="shared" si="1028"/>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45"/>
        <v>Propriedade destinada a prever : é.umidade.relativa</v>
      </c>
      <c r="V2148" s="5" t="str">
        <f t="shared" si="1046"/>
        <v>Dado para prever :  umidade.relativa  Deve ser formatado como (xsd:double)</v>
      </c>
      <c r="W2148" s="69" t="s">
        <v>6097</v>
      </c>
      <c r="X2148" s="17" t="str">
        <f t="shared" si="1031"/>
        <v>d.preve.120</v>
      </c>
      <c r="Y2148" s="17" t="str">
        <f t="shared" si="1032"/>
        <v xml:space="preserve">Ação de prever </v>
      </c>
      <c r="Z2148" s="62" t="s">
        <v>4627</v>
      </c>
      <c r="AA2148" s="18" t="str">
        <f t="shared" si="1047"/>
        <v>null</v>
      </c>
      <c r="AB2148" s="19" t="s">
        <v>0</v>
      </c>
      <c r="AC2148" s="18" t="str">
        <f t="shared" si="1048"/>
        <v>null</v>
      </c>
      <c r="AD2148" s="19" t="s">
        <v>0</v>
      </c>
      <c r="AE2148" s="18" t="str">
        <f t="shared" si="1049"/>
        <v>propriedade</v>
      </c>
      <c r="AF2148" s="75" t="s">
        <v>1901</v>
      </c>
      <c r="AG2148" s="38" t="s">
        <v>9073</v>
      </c>
    </row>
    <row r="2149" spans="1:33" ht="6" customHeight="1" x14ac:dyDescent="0.4">
      <c r="A2149" s="4">
        <f>ROW()</f>
        <v>2149</v>
      </c>
      <c r="B2149" s="9" t="s">
        <v>27</v>
      </c>
      <c r="C2149" s="44" t="str">
        <f t="shared" si="1042"/>
        <v xml:space="preserve">p.prever </v>
      </c>
      <c r="D2149" s="6" t="str">
        <f t="shared" si="1043"/>
        <v>é.velocidade.do.vento</v>
      </c>
      <c r="E2149" s="8" t="s">
        <v>28</v>
      </c>
      <c r="F2149" s="34" t="str">
        <f t="shared" si="1044"/>
        <v xml:space="preserve">d.prever </v>
      </c>
      <c r="G2149" s="14" t="s">
        <v>901</v>
      </c>
      <c r="H2149" s="34" t="s">
        <v>35</v>
      </c>
      <c r="I2149" s="92" t="str">
        <f t="shared" si="1028"/>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45"/>
        <v>Propriedade destinada a prever : é.velocidade.do.vento</v>
      </c>
      <c r="V2149" s="5" t="str">
        <f t="shared" si="1046"/>
        <v>Dado para prever :  velocidade.do.vento  Deve ser formatado como (xsd:double)</v>
      </c>
      <c r="W2149" s="69" t="s">
        <v>6085</v>
      </c>
      <c r="X2149" s="17" t="str">
        <f t="shared" si="1031"/>
        <v>d.preve.121</v>
      </c>
      <c r="Y2149" s="17" t="str">
        <f t="shared" si="1032"/>
        <v xml:space="preserve">Ação de prever </v>
      </c>
      <c r="Z2149" s="62" t="s">
        <v>4616</v>
      </c>
      <c r="AA2149" s="18" t="str">
        <f t="shared" si="1047"/>
        <v>null</v>
      </c>
      <c r="AB2149" s="19" t="s">
        <v>0</v>
      </c>
      <c r="AC2149" s="18" t="str">
        <f t="shared" si="1048"/>
        <v>null</v>
      </c>
      <c r="AD2149" s="19" t="s">
        <v>0</v>
      </c>
      <c r="AE2149" s="18" t="str">
        <f t="shared" si="1049"/>
        <v>propriedade</v>
      </c>
      <c r="AF2149" s="75" t="s">
        <v>1900</v>
      </c>
      <c r="AG2149" s="38" t="s">
        <v>9074</v>
      </c>
    </row>
    <row r="2150" spans="1:33" ht="6" customHeight="1" x14ac:dyDescent="0.4">
      <c r="A2150" s="4">
        <f>ROW()</f>
        <v>2150</v>
      </c>
      <c r="B2150" s="9" t="s">
        <v>27</v>
      </c>
      <c r="C2150" s="44" t="str">
        <f t="shared" si="1042"/>
        <v xml:space="preserve">p.prever </v>
      </c>
      <c r="D2150" s="6" t="str">
        <f t="shared" si="1043"/>
        <v>é.vento.sustentado</v>
      </c>
      <c r="E2150" s="8" t="s">
        <v>28</v>
      </c>
      <c r="F2150" s="34" t="str">
        <f t="shared" si="1044"/>
        <v xml:space="preserve">d.prever </v>
      </c>
      <c r="G2150" s="14" t="s">
        <v>1477</v>
      </c>
      <c r="H2150" s="34" t="s">
        <v>35</v>
      </c>
      <c r="I2150" s="92" t="str">
        <f t="shared" si="1028"/>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45"/>
        <v>Propriedade destinada a prever : é.vento.sustentado</v>
      </c>
      <c r="V2150" s="5" t="str">
        <f t="shared" si="1046"/>
        <v>Dado para prever :  vento.sustentado  Deve ser formatado como (xsd:double)</v>
      </c>
      <c r="W2150" s="69" t="s">
        <v>6087</v>
      </c>
      <c r="X2150" s="17" t="str">
        <f t="shared" si="1031"/>
        <v>d.preve.122</v>
      </c>
      <c r="Y2150" s="17" t="str">
        <f t="shared" si="1032"/>
        <v xml:space="preserve">Ação de prever </v>
      </c>
      <c r="Z2150" s="62" t="s">
        <v>4701</v>
      </c>
      <c r="AA2150" s="18" t="str">
        <f t="shared" si="1047"/>
        <v>null</v>
      </c>
      <c r="AB2150" s="19" t="s">
        <v>0</v>
      </c>
      <c r="AC2150" s="18" t="str">
        <f t="shared" si="1048"/>
        <v>null</v>
      </c>
      <c r="AD2150" s="19" t="s">
        <v>0</v>
      </c>
      <c r="AE2150" s="18" t="str">
        <f t="shared" si="1049"/>
        <v>null</v>
      </c>
      <c r="AF2150" s="75" t="s">
        <v>0</v>
      </c>
      <c r="AG2150" s="38" t="s">
        <v>9075</v>
      </c>
    </row>
    <row r="2151" spans="1:33" ht="6" customHeight="1" x14ac:dyDescent="0.4">
      <c r="A2151" s="4">
        <f>ROW()</f>
        <v>2151</v>
      </c>
      <c r="B2151" s="9" t="s">
        <v>27</v>
      </c>
      <c r="C2151" s="43" t="str">
        <f t="shared" ref="C2151:C2188" si="1071">SUBSTITUTE(F2151,"d.","p.")</f>
        <v>p.produzir</v>
      </c>
      <c r="D2151" s="6" t="str">
        <f t="shared" si="1035"/>
        <v>é.produtor</v>
      </c>
      <c r="E2151" s="8" t="s">
        <v>28</v>
      </c>
      <c r="F2151" s="41" t="s">
        <v>2223</v>
      </c>
      <c r="G2151" s="14" t="s">
        <v>234</v>
      </c>
      <c r="H2151" s="33" t="s">
        <v>1581</v>
      </c>
      <c r="I2151" s="92" t="str">
        <f t="shared" si="1028"/>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26"/>
        <v>Propriedade destinada a produzir: é.produtor</v>
      </c>
      <c r="V2151" s="5" t="str">
        <f t="shared" si="1027"/>
        <v>Dado para produzir:  produtor  Deve ser formatado como (rdfs:Literal  or  xsd:string)</v>
      </c>
      <c r="W2151" s="69" t="s">
        <v>6101</v>
      </c>
      <c r="X2151" s="17" t="str">
        <f t="shared" si="1031"/>
        <v>d.produ.100</v>
      </c>
      <c r="Y2151" s="17" t="str">
        <f t="shared" si="1032"/>
        <v>Ação de produzir</v>
      </c>
      <c r="Z2151" s="62" t="s">
        <v>4630</v>
      </c>
      <c r="AA2151" s="18" t="str">
        <f t="shared" si="1033"/>
        <v>null</v>
      </c>
      <c r="AB2151" s="19" t="s">
        <v>0</v>
      </c>
      <c r="AC2151" s="18" t="str">
        <f t="shared" si="1034"/>
        <v>null</v>
      </c>
      <c r="AD2151" s="19" t="s">
        <v>0</v>
      </c>
      <c r="AE2151" s="18" t="str">
        <f t="shared" si="1030"/>
        <v>null</v>
      </c>
      <c r="AF2151" s="75" t="s">
        <v>0</v>
      </c>
      <c r="AG2151" s="38" t="s">
        <v>9076</v>
      </c>
    </row>
    <row r="2152" spans="1:33" ht="6" customHeight="1" x14ac:dyDescent="0.4">
      <c r="A2152" s="4">
        <f>ROW()</f>
        <v>2152</v>
      </c>
      <c r="B2152" s="9" t="s">
        <v>27</v>
      </c>
      <c r="C2152" s="44" t="str">
        <f t="shared" si="1071"/>
        <v>p.produzir</v>
      </c>
      <c r="D2152" s="6" t="str">
        <f t="shared" si="1035"/>
        <v>é.produzido</v>
      </c>
      <c r="E2152" s="8" t="s">
        <v>28</v>
      </c>
      <c r="F2152" s="34" t="str">
        <f>F2151</f>
        <v>d.produzir</v>
      </c>
      <c r="G2152" s="14" t="s">
        <v>233</v>
      </c>
      <c r="H2152" s="33" t="s">
        <v>1581</v>
      </c>
      <c r="I2152" s="92" t="str">
        <f t="shared" si="1028"/>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26"/>
        <v>Propriedade destinada a produzir: é.produzido</v>
      </c>
      <c r="V2152" s="5" t="str">
        <f t="shared" si="1027"/>
        <v>Dado para produzir:  produzido  Deve ser formatado como (rdfs:Literal  or  xsd:string)</v>
      </c>
      <c r="W2152" s="69" t="s">
        <v>6102</v>
      </c>
      <c r="X2152" s="17" t="str">
        <f t="shared" si="1031"/>
        <v>d.produ.101</v>
      </c>
      <c r="Y2152" s="17" t="str">
        <f t="shared" si="1032"/>
        <v>Ação de produzir</v>
      </c>
      <c r="Z2152" s="62" t="s">
        <v>4631</v>
      </c>
      <c r="AA2152" s="18" t="str">
        <f t="shared" si="1033"/>
        <v>null</v>
      </c>
      <c r="AB2152" s="19" t="s">
        <v>0</v>
      </c>
      <c r="AC2152" s="18" t="str">
        <f t="shared" si="1034"/>
        <v>null</v>
      </c>
      <c r="AD2152" s="19" t="s">
        <v>0</v>
      </c>
      <c r="AE2152" s="18" t="str">
        <f t="shared" si="1030"/>
        <v>null</v>
      </c>
      <c r="AF2152" s="75" t="s">
        <v>0</v>
      </c>
      <c r="AG2152" s="38" t="s">
        <v>9077</v>
      </c>
    </row>
    <row r="2153" spans="1:33" ht="6" customHeight="1" x14ac:dyDescent="0.4">
      <c r="A2153" s="4">
        <f>ROW()</f>
        <v>2153</v>
      </c>
      <c r="B2153" s="9" t="s">
        <v>27</v>
      </c>
      <c r="C2153" s="44" t="str">
        <f t="shared" si="1071"/>
        <v>p.produzir</v>
      </c>
      <c r="D2153" s="6" t="str">
        <f t="shared" si="1035"/>
        <v>é.produtividade</v>
      </c>
      <c r="E2153" s="8" t="s">
        <v>28</v>
      </c>
      <c r="F2153" s="34" t="str">
        <f>F2152</f>
        <v>d.produzir</v>
      </c>
      <c r="G2153" s="14" t="s">
        <v>235</v>
      </c>
      <c r="H2153" s="33" t="s">
        <v>1581</v>
      </c>
      <c r="I2153" s="92" t="str">
        <f t="shared" si="1028"/>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26"/>
        <v>Propriedade destinada a produzir: é.produtividade</v>
      </c>
      <c r="V2153" s="5" t="str">
        <f t="shared" si="1027"/>
        <v>Dado para produzir:  produtividade  Deve ser formatado como (rdfs:Literal  or  xsd:string)</v>
      </c>
      <c r="W2153" s="69" t="s">
        <v>6103</v>
      </c>
      <c r="X2153" s="17" t="str">
        <f t="shared" si="1031"/>
        <v>d.produ.102</v>
      </c>
      <c r="Y2153" s="17" t="str">
        <f t="shared" si="1032"/>
        <v>Ação de produzir</v>
      </c>
      <c r="Z2153" s="62" t="s">
        <v>4758</v>
      </c>
      <c r="AA2153" s="18" t="str">
        <f t="shared" si="1033"/>
        <v>null</v>
      </c>
      <c r="AB2153" s="19" t="s">
        <v>0</v>
      </c>
      <c r="AC2153" s="18" t="str">
        <f t="shared" si="1034"/>
        <v>null</v>
      </c>
      <c r="AD2153" s="19" t="s">
        <v>0</v>
      </c>
      <c r="AE2153" s="18" t="str">
        <f t="shared" si="1030"/>
        <v>null</v>
      </c>
      <c r="AF2153" s="75" t="s">
        <v>0</v>
      </c>
      <c r="AG2153" s="38" t="s">
        <v>9078</v>
      </c>
    </row>
    <row r="2154" spans="1:33" ht="6" customHeight="1" x14ac:dyDescent="0.4">
      <c r="A2154" s="4">
        <f>ROW()</f>
        <v>2154</v>
      </c>
      <c r="B2154" s="9" t="s">
        <v>27</v>
      </c>
      <c r="C2154" s="44" t="str">
        <f t="shared" si="1071"/>
        <v>p.produzir</v>
      </c>
      <c r="D2154" s="6" t="str">
        <f t="shared" si="1035"/>
        <v>é.içado</v>
      </c>
      <c r="E2154" s="8" t="s">
        <v>28</v>
      </c>
      <c r="F2154" s="34" t="str">
        <f>F2153</f>
        <v>d.produzir</v>
      </c>
      <c r="G2154" s="14" t="s">
        <v>246</v>
      </c>
      <c r="H2154" s="33" t="s">
        <v>1581</v>
      </c>
      <c r="I2154" s="92" t="str">
        <f t="shared" si="1028"/>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26"/>
        <v>Propriedade destinada a produzir: é.içado</v>
      </c>
      <c r="V2154" s="5" t="str">
        <f t="shared" si="1027"/>
        <v>Dado para produzir:  içado  Deve ser formatado como (rdfs:Literal  or  xsd:string)</v>
      </c>
      <c r="W2154" s="69" t="s">
        <v>6104</v>
      </c>
      <c r="X2154" s="17" t="str">
        <f t="shared" si="1031"/>
        <v>d.produ.103</v>
      </c>
      <c r="Y2154" s="17" t="str">
        <f t="shared" si="1032"/>
        <v>Ação de produzir</v>
      </c>
      <c r="Z2154" s="62" t="s">
        <v>4632</v>
      </c>
      <c r="AA2154" s="18" t="str">
        <f t="shared" si="1033"/>
        <v>null</v>
      </c>
      <c r="AB2154" s="19" t="s">
        <v>0</v>
      </c>
      <c r="AC2154" s="18" t="str">
        <f t="shared" si="1034"/>
        <v>null</v>
      </c>
      <c r="AD2154" s="19" t="s">
        <v>0</v>
      </c>
      <c r="AE2154" s="18" t="str">
        <f t="shared" si="1030"/>
        <v>null</v>
      </c>
      <c r="AF2154" s="75" t="s">
        <v>0</v>
      </c>
      <c r="AG2154" s="38" t="s">
        <v>9079</v>
      </c>
    </row>
    <row r="2155" spans="1:33" ht="6" customHeight="1" x14ac:dyDescent="0.4">
      <c r="A2155" s="4">
        <f>ROW()</f>
        <v>2155</v>
      </c>
      <c r="B2155" s="9" t="s">
        <v>27</v>
      </c>
      <c r="C2155" s="44" t="str">
        <f t="shared" si="1071"/>
        <v>p.produzir</v>
      </c>
      <c r="D2155" s="6" t="str">
        <f t="shared" si="1035"/>
        <v>é.temporário</v>
      </c>
      <c r="E2155" s="8" t="s">
        <v>28</v>
      </c>
      <c r="F2155" s="34" t="str">
        <f>F2153</f>
        <v>d.produzir</v>
      </c>
      <c r="G2155" s="14" t="s">
        <v>247</v>
      </c>
      <c r="H2155" s="33" t="s">
        <v>1581</v>
      </c>
      <c r="I2155" s="92" t="str">
        <f t="shared" si="1028"/>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26"/>
        <v>Propriedade destinada a produzir: é.temporário</v>
      </c>
      <c r="V2155" s="5" t="str">
        <f t="shared" si="1027"/>
        <v>Dado para produzir:  temporário  Deve ser formatado como (rdfs:Literal  or  xsd:string)</v>
      </c>
      <c r="W2155" s="69" t="s">
        <v>6105</v>
      </c>
      <c r="X2155" s="17" t="str">
        <f t="shared" si="1031"/>
        <v>d.produ.104</v>
      </c>
      <c r="Y2155" s="17" t="str">
        <f t="shared" si="1032"/>
        <v>Ação de produzir</v>
      </c>
      <c r="Z2155" s="62" t="s">
        <v>2798</v>
      </c>
      <c r="AA2155" s="18" t="str">
        <f t="shared" si="1033"/>
        <v>null</v>
      </c>
      <c r="AB2155" s="19" t="s">
        <v>0</v>
      </c>
      <c r="AC2155" s="18" t="str">
        <f t="shared" si="1034"/>
        <v>null</v>
      </c>
      <c r="AD2155" s="19" t="s">
        <v>0</v>
      </c>
      <c r="AE2155" s="18" t="str">
        <f t="shared" si="1030"/>
        <v>null</v>
      </c>
      <c r="AF2155" s="75" t="s">
        <v>0</v>
      </c>
      <c r="AG2155" s="38" t="s">
        <v>9080</v>
      </c>
    </row>
    <row r="2156" spans="1:33" ht="6" customHeight="1" x14ac:dyDescent="0.4">
      <c r="A2156" s="4">
        <f>ROW()</f>
        <v>2156</v>
      </c>
      <c r="B2156" s="9" t="s">
        <v>27</v>
      </c>
      <c r="C2156" s="44" t="str">
        <f t="shared" si="1071"/>
        <v>p.produzir</v>
      </c>
      <c r="D2156" s="6" t="str">
        <f t="shared" si="1035"/>
        <v>é.perigoso</v>
      </c>
      <c r="E2156" s="8" t="s">
        <v>28</v>
      </c>
      <c r="F2156" s="34" t="str">
        <f>F2154</f>
        <v>d.produzir</v>
      </c>
      <c r="G2156" s="14" t="s">
        <v>375</v>
      </c>
      <c r="H2156" s="33" t="s">
        <v>1581</v>
      </c>
      <c r="I2156" s="92" t="str">
        <f t="shared" si="1028"/>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26"/>
        <v>Propriedade destinada a produzir: é.perigoso</v>
      </c>
      <c r="V2156" s="5" t="str">
        <f t="shared" si="1027"/>
        <v>Dado para produzir:  perigoso  Deve ser formatado como (rdfs:Literal  or  xsd:string)</v>
      </c>
      <c r="W2156" s="69" t="s">
        <v>6106</v>
      </c>
      <c r="X2156" s="17" t="str">
        <f t="shared" si="1031"/>
        <v>d.produ.105</v>
      </c>
      <c r="Y2156" s="17" t="str">
        <f t="shared" si="1032"/>
        <v>Ação de produzir</v>
      </c>
      <c r="Z2156" s="62" t="s">
        <v>1410</v>
      </c>
      <c r="AA2156" s="18" t="str">
        <f t="shared" si="1033"/>
        <v>null</v>
      </c>
      <c r="AB2156" s="19" t="s">
        <v>0</v>
      </c>
      <c r="AC2156" s="18" t="str">
        <f t="shared" si="1034"/>
        <v>null</v>
      </c>
      <c r="AD2156" s="19" t="s">
        <v>0</v>
      </c>
      <c r="AE2156" s="18" t="str">
        <f t="shared" si="1030"/>
        <v>null</v>
      </c>
      <c r="AF2156" s="75" t="s">
        <v>0</v>
      </c>
      <c r="AG2156" s="38" t="s">
        <v>9081</v>
      </c>
    </row>
    <row r="2157" spans="1:33" ht="6" customHeight="1" x14ac:dyDescent="0.4">
      <c r="A2157" s="4">
        <f>ROW()</f>
        <v>2157</v>
      </c>
      <c r="B2157" s="9" t="s">
        <v>27</v>
      </c>
      <c r="C2157" s="43" t="str">
        <f t="shared" si="1071"/>
        <v>p.projetar</v>
      </c>
      <c r="D2157" s="6" t="str">
        <f t="shared" ref="D2157:D2166" si="1072">_xlfn.CONCAT("é.",G2157)</f>
        <v>é.consultor</v>
      </c>
      <c r="E2157" s="8" t="s">
        <v>28</v>
      </c>
      <c r="F2157" s="41" t="s">
        <v>2224</v>
      </c>
      <c r="G2157" s="14" t="s">
        <v>166</v>
      </c>
      <c r="H2157" s="33" t="s">
        <v>1581</v>
      </c>
      <c r="I2157" s="92" t="str">
        <f t="shared" si="1028"/>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ref="U2157:U2166" si="1073">_xlfn.CONCAT("Propriedade destinada a ",MID(C2157,FIND("p.",C2157,1)+2,100),": ",D2157)</f>
        <v>Propriedade destinada a projetar: é.consultor</v>
      </c>
      <c r="V2157" s="5" t="str">
        <f t="shared" ref="V2157:V2166" si="1074">_xlfn.CONCAT("Dado para ",MID(F2157,FIND("d.",F2157,1)+2,100),":  ",G2157, "  Deve ser formatado como (",H2157, ")")</f>
        <v>Dado para projetar:  consultor  Deve ser formatado como (rdfs:Literal  or  xsd:string)</v>
      </c>
      <c r="W2157" s="69" t="s">
        <v>6112</v>
      </c>
      <c r="X2157" s="17" t="str">
        <f t="shared" si="1031"/>
        <v>d.proje.100</v>
      </c>
      <c r="Y2157" s="17" t="str">
        <f t="shared" si="1032"/>
        <v>Ação de projetar</v>
      </c>
      <c r="Z2157" s="62" t="s">
        <v>4092</v>
      </c>
      <c r="AA2157" s="18" t="str">
        <f t="shared" ref="AA2157:AA2166" si="1075">IF(AB2157="null", "null", "categoria.revit")</f>
        <v>null</v>
      </c>
      <c r="AB2157" s="19" t="s">
        <v>0</v>
      </c>
      <c r="AC2157" s="18" t="str">
        <f t="shared" ref="AC2157:AC2166" si="1076">IF(AD2157="null", "null", "classe.ifc")</f>
        <v>null</v>
      </c>
      <c r="AD2157" s="19" t="s">
        <v>0</v>
      </c>
      <c r="AE2157" s="18" t="str">
        <f t="shared" ref="AE2157:AE2166" si="1077">IF(AF2157="null", "null", "propriedade")</f>
        <v>null</v>
      </c>
      <c r="AF2157" s="75" t="s">
        <v>0</v>
      </c>
      <c r="AG2157" s="38" t="s">
        <v>9087</v>
      </c>
    </row>
    <row r="2158" spans="1:33" ht="6" customHeight="1" x14ac:dyDescent="0.4">
      <c r="A2158" s="4">
        <f>ROW()</f>
        <v>2158</v>
      </c>
      <c r="B2158" s="9" t="s">
        <v>27</v>
      </c>
      <c r="C2158" s="44" t="str">
        <f>SUBSTITUTE(F2158,"d.","p.")</f>
        <v>p.projetar</v>
      </c>
      <c r="D2158" s="6" t="str">
        <f t="shared" si="1072"/>
        <v>é.dona</v>
      </c>
      <c r="E2158" s="8" t="s">
        <v>28</v>
      </c>
      <c r="F2158" s="34" t="str">
        <f t="shared" ref="F2158:F2180" si="1078">F2157</f>
        <v>d.projetar</v>
      </c>
      <c r="G2158" s="14" t="s">
        <v>3847</v>
      </c>
      <c r="H2158" s="33" t="s">
        <v>1581</v>
      </c>
      <c r="I2158" s="92" t="str">
        <f t="shared" ref="I2158:I2221" si="1079">IF(OR(J2158="Functional",K2158="InverseFunctional"),"Functional","null")</f>
        <v>null</v>
      </c>
      <c r="J2158" s="82" t="s">
        <v>0</v>
      </c>
      <c r="K2158" s="82" t="s">
        <v>0</v>
      </c>
      <c r="L2158" s="82" t="s">
        <v>0</v>
      </c>
      <c r="M2158" s="82" t="s">
        <v>0</v>
      </c>
      <c r="N2158" s="80" t="s">
        <v>0</v>
      </c>
      <c r="O2158" s="82" t="s">
        <v>0</v>
      </c>
      <c r="P2158" s="82" t="s">
        <v>0</v>
      </c>
      <c r="Q2158" s="82" t="s">
        <v>0</v>
      </c>
      <c r="R2158" s="84" t="s">
        <v>3848</v>
      </c>
      <c r="S2158" s="10" t="s">
        <v>1</v>
      </c>
      <c r="T2158" s="10" t="s">
        <v>10221</v>
      </c>
      <c r="U2158" s="5" t="str">
        <f t="shared" si="1073"/>
        <v>Propriedade destinada a projetar: é.dona</v>
      </c>
      <c r="V2158" s="5" t="str">
        <f t="shared" si="1074"/>
        <v>Dado para projetar:  dona  Deve ser formatado como (rdfs:Literal  or  xsd:string)</v>
      </c>
      <c r="W2158" s="69" t="s">
        <v>6115</v>
      </c>
      <c r="X2158" s="17" t="str">
        <f t="shared" si="1031"/>
        <v>d.proje.101</v>
      </c>
      <c r="Y2158" s="17" t="str">
        <f t="shared" si="1032"/>
        <v>Ação de projetar</v>
      </c>
      <c r="Z2158" s="62" t="s">
        <v>3971</v>
      </c>
      <c r="AA2158" s="18" t="str">
        <f t="shared" si="1075"/>
        <v>null</v>
      </c>
      <c r="AB2158" s="19" t="s">
        <v>0</v>
      </c>
      <c r="AC2158" s="18" t="str">
        <f t="shared" si="1076"/>
        <v>null</v>
      </c>
      <c r="AD2158" s="19" t="s">
        <v>0</v>
      </c>
      <c r="AE2158" s="18" t="str">
        <f t="shared" si="1077"/>
        <v>null</v>
      </c>
      <c r="AF2158" s="75" t="s">
        <v>0</v>
      </c>
      <c r="AG2158" s="38" t="s">
        <v>9090</v>
      </c>
    </row>
    <row r="2159" spans="1:33" ht="6" customHeight="1" x14ac:dyDescent="0.4">
      <c r="A2159" s="4">
        <f>ROW()</f>
        <v>2159</v>
      </c>
      <c r="B2159" s="9" t="s">
        <v>27</v>
      </c>
      <c r="C2159" s="44" t="str">
        <f t="shared" ref="C2159:C2172" si="1080">SUBSTITUTE(F2159,"d.","p.")</f>
        <v>p.projetar</v>
      </c>
      <c r="D2159" s="6" t="str">
        <f t="shared" si="1072"/>
        <v>é.dono</v>
      </c>
      <c r="E2159" s="8" t="s">
        <v>28</v>
      </c>
      <c r="F2159" s="34" t="str">
        <f t="shared" si="1078"/>
        <v>d.projetar</v>
      </c>
      <c r="G2159" s="14" t="s">
        <v>3846</v>
      </c>
      <c r="H2159" s="33" t="s">
        <v>1581</v>
      </c>
      <c r="I2159" s="92" t="str">
        <f t="shared" si="1079"/>
        <v>null</v>
      </c>
      <c r="J2159" s="82" t="s">
        <v>0</v>
      </c>
      <c r="K2159" s="82" t="s">
        <v>0</v>
      </c>
      <c r="L2159" s="82" t="s">
        <v>0</v>
      </c>
      <c r="M2159" s="82" t="s">
        <v>0</v>
      </c>
      <c r="N2159" s="80" t="s">
        <v>0</v>
      </c>
      <c r="O2159" s="82" t="s">
        <v>0</v>
      </c>
      <c r="P2159" s="82" t="s">
        <v>0</v>
      </c>
      <c r="Q2159" s="82" t="s">
        <v>0</v>
      </c>
      <c r="R2159" s="84" t="s">
        <v>3849</v>
      </c>
      <c r="S2159" s="10" t="s">
        <v>1</v>
      </c>
      <c r="T2159" s="10" t="s">
        <v>10221</v>
      </c>
      <c r="U2159" s="5" t="str">
        <f t="shared" si="1073"/>
        <v>Propriedade destinada a projetar: é.dono</v>
      </c>
      <c r="V2159" s="5" t="str">
        <f t="shared" si="1074"/>
        <v>Dado para projetar:  dono  Deve ser formatado como (rdfs:Literal  or  xsd:string)</v>
      </c>
      <c r="W2159" s="69" t="s">
        <v>6116</v>
      </c>
      <c r="X2159" s="17" t="str">
        <f t="shared" si="1031"/>
        <v>d.proje.102</v>
      </c>
      <c r="Y2159" s="17" t="str">
        <f t="shared" si="1032"/>
        <v>Ação de projetar</v>
      </c>
      <c r="Z2159" s="62" t="s">
        <v>3971</v>
      </c>
      <c r="AA2159" s="18" t="str">
        <f t="shared" si="1075"/>
        <v>null</v>
      </c>
      <c r="AB2159" s="19" t="s">
        <v>0</v>
      </c>
      <c r="AC2159" s="18" t="str">
        <f t="shared" si="1076"/>
        <v>null</v>
      </c>
      <c r="AD2159" s="19" t="s">
        <v>0</v>
      </c>
      <c r="AE2159" s="18" t="str">
        <f t="shared" si="1077"/>
        <v>null</v>
      </c>
      <c r="AF2159" s="75" t="s">
        <v>0</v>
      </c>
      <c r="AG2159" s="38" t="s">
        <v>9091</v>
      </c>
    </row>
    <row r="2160" spans="1:33" ht="6" customHeight="1" x14ac:dyDescent="0.4">
      <c r="A2160" s="4">
        <f>ROW()</f>
        <v>2160</v>
      </c>
      <c r="B2160" s="9" t="s">
        <v>27</v>
      </c>
      <c r="C2160" s="44" t="str">
        <f t="shared" si="1080"/>
        <v>p.projetar</v>
      </c>
      <c r="D2160" s="6" t="str">
        <f t="shared" si="1072"/>
        <v>é.especialista</v>
      </c>
      <c r="E2160" s="8" t="s">
        <v>28</v>
      </c>
      <c r="F2160" s="34" t="str">
        <f t="shared" si="1078"/>
        <v>d.projetar</v>
      </c>
      <c r="G2160" s="14" t="s">
        <v>165</v>
      </c>
      <c r="H2160" s="33" t="s">
        <v>1581</v>
      </c>
      <c r="I2160" s="92" t="str">
        <f t="shared" si="1079"/>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73"/>
        <v>Propriedade destinada a projetar: é.especialista</v>
      </c>
      <c r="V2160" s="5" t="str">
        <f t="shared" si="1074"/>
        <v>Dado para projetar:  especialista  Deve ser formatado como (rdfs:Literal  or  xsd:string)</v>
      </c>
      <c r="W2160" s="69" t="s">
        <v>6117</v>
      </c>
      <c r="X2160" s="17" t="str">
        <f t="shared" si="1031"/>
        <v>d.proje.103</v>
      </c>
      <c r="Y2160" s="17" t="str">
        <f t="shared" si="1032"/>
        <v>Ação de projetar</v>
      </c>
      <c r="Z2160" s="62" t="s">
        <v>4082</v>
      </c>
      <c r="AA2160" s="18" t="str">
        <f t="shared" si="1075"/>
        <v>null</v>
      </c>
      <c r="AB2160" s="19" t="s">
        <v>0</v>
      </c>
      <c r="AC2160" s="18" t="str">
        <f t="shared" si="1076"/>
        <v>null</v>
      </c>
      <c r="AD2160" s="19" t="s">
        <v>0</v>
      </c>
      <c r="AE2160" s="18" t="str">
        <f t="shared" si="1077"/>
        <v>null</v>
      </c>
      <c r="AF2160" s="75" t="s">
        <v>0</v>
      </c>
      <c r="AG2160" s="38" t="s">
        <v>9092</v>
      </c>
    </row>
    <row r="2161" spans="1:33" ht="6" customHeight="1" x14ac:dyDescent="0.4">
      <c r="A2161" s="4">
        <f>ROW()</f>
        <v>2161</v>
      </c>
      <c r="B2161" s="9" t="s">
        <v>27</v>
      </c>
      <c r="C2161" s="44" t="str">
        <f t="shared" si="1080"/>
        <v>p.projetar</v>
      </c>
      <c r="D2161" s="6" t="str">
        <f t="shared" si="1072"/>
        <v>é.patrocinado</v>
      </c>
      <c r="E2161" s="8" t="s">
        <v>28</v>
      </c>
      <c r="F2161" s="34" t="str">
        <f t="shared" si="1078"/>
        <v>d.projetar</v>
      </c>
      <c r="G2161" s="14" t="s">
        <v>3944</v>
      </c>
      <c r="H2161" s="33" t="s">
        <v>36</v>
      </c>
      <c r="I2161" s="92" t="str">
        <f t="shared" si="1079"/>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73"/>
        <v>Propriedade destinada a projetar: é.patrocinado</v>
      </c>
      <c r="V2161" s="5" t="str">
        <f t="shared" si="1074"/>
        <v>Dado para projetar:  patrocinado  Deve ser formatado como (xsd:boolean)</v>
      </c>
      <c r="W2161" s="69" t="s">
        <v>3945</v>
      </c>
      <c r="X2161" s="17" t="str">
        <f t="shared" si="1031"/>
        <v>d.proje.104</v>
      </c>
      <c r="Y2161" s="17" t="str">
        <f t="shared" si="1032"/>
        <v>Ação de projetar</v>
      </c>
      <c r="Z2161" s="62" t="s">
        <v>3972</v>
      </c>
      <c r="AA2161" s="18" t="str">
        <f t="shared" si="1075"/>
        <v>null</v>
      </c>
      <c r="AB2161" s="19" t="s">
        <v>0</v>
      </c>
      <c r="AC2161" s="18" t="str">
        <f t="shared" si="1076"/>
        <v>null</v>
      </c>
      <c r="AD2161" s="19" t="s">
        <v>0</v>
      </c>
      <c r="AE2161" s="18" t="str">
        <f t="shared" si="1077"/>
        <v>null</v>
      </c>
      <c r="AF2161" s="75" t="s">
        <v>0</v>
      </c>
      <c r="AG2161" s="38" t="s">
        <v>9095</v>
      </c>
    </row>
    <row r="2162" spans="1:33" ht="6" customHeight="1" x14ac:dyDescent="0.4">
      <c r="A2162" s="4">
        <f>ROW()</f>
        <v>2162</v>
      </c>
      <c r="B2162" s="9" t="s">
        <v>27</v>
      </c>
      <c r="C2162" s="44" t="str">
        <f t="shared" si="1080"/>
        <v>p.projetar</v>
      </c>
      <c r="D2162" s="6" t="str">
        <f t="shared" si="1072"/>
        <v>é.profissão</v>
      </c>
      <c r="E2162" s="8" t="s">
        <v>28</v>
      </c>
      <c r="F2162" s="34" t="str">
        <f t="shared" si="1078"/>
        <v>d.projetar</v>
      </c>
      <c r="G2162" s="14" t="s">
        <v>224</v>
      </c>
      <c r="H2162" s="33" t="s">
        <v>1581</v>
      </c>
      <c r="I2162" s="92" t="str">
        <f t="shared" si="1079"/>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73"/>
        <v>Propriedade destinada a projetar: é.profissão</v>
      </c>
      <c r="V2162" s="5" t="str">
        <f t="shared" si="1074"/>
        <v>Dado para projetar:  profissão  Deve ser formatado como (rdfs:Literal  or  xsd:string)</v>
      </c>
      <c r="W2162" s="69" t="s">
        <v>6121</v>
      </c>
      <c r="X2162" s="17" t="str">
        <f t="shared" si="1031"/>
        <v>d.proje.105</v>
      </c>
      <c r="Y2162" s="17" t="str">
        <f t="shared" si="1032"/>
        <v>Ação de projetar</v>
      </c>
      <c r="Z2162" s="62" t="s">
        <v>4079</v>
      </c>
      <c r="AA2162" s="18" t="str">
        <f t="shared" si="1075"/>
        <v>null</v>
      </c>
      <c r="AB2162" s="19" t="s">
        <v>0</v>
      </c>
      <c r="AC2162" s="18" t="str">
        <f t="shared" si="1076"/>
        <v>null</v>
      </c>
      <c r="AD2162" s="19" t="s">
        <v>0</v>
      </c>
      <c r="AE2162" s="18" t="str">
        <f t="shared" si="1077"/>
        <v>null</v>
      </c>
      <c r="AF2162" s="75" t="s">
        <v>0</v>
      </c>
      <c r="AG2162" s="38" t="s">
        <v>9097</v>
      </c>
    </row>
    <row r="2163" spans="1:33" ht="6" customHeight="1" x14ac:dyDescent="0.4">
      <c r="A2163" s="4">
        <f>ROW()</f>
        <v>2163</v>
      </c>
      <c r="B2163" s="9" t="s">
        <v>27</v>
      </c>
      <c r="C2163" s="44" t="str">
        <f t="shared" si="1080"/>
        <v>p.projetar</v>
      </c>
      <c r="D2163" s="6" t="str">
        <f t="shared" si="1072"/>
        <v>é.projeto.código</v>
      </c>
      <c r="E2163" s="8" t="s">
        <v>28</v>
      </c>
      <c r="F2163" s="34" t="str">
        <f t="shared" si="1078"/>
        <v>d.projetar</v>
      </c>
      <c r="G2163" s="14" t="s">
        <v>2510</v>
      </c>
      <c r="H2163" s="33" t="s">
        <v>1581</v>
      </c>
      <c r="I2163" s="92" t="str">
        <f t="shared" si="1079"/>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73"/>
        <v>Propriedade destinada a projetar: é.projeto.código</v>
      </c>
      <c r="V2163" s="5" t="str">
        <f t="shared" si="1074"/>
        <v>Dado para projetar:  projeto.código  Deve ser formatado como (rdfs:Literal  or  xsd:string)</v>
      </c>
      <c r="W2163" s="69" t="s">
        <v>6122</v>
      </c>
      <c r="X2163" s="17" t="str">
        <f t="shared" si="1031"/>
        <v>d.proje.106</v>
      </c>
      <c r="Y2163" s="17" t="str">
        <f t="shared" si="1032"/>
        <v>Ação de projetar</v>
      </c>
      <c r="Z2163" s="62" t="s">
        <v>4080</v>
      </c>
      <c r="AA2163" s="18" t="str">
        <f t="shared" si="1075"/>
        <v>null</v>
      </c>
      <c r="AB2163" s="19" t="s">
        <v>0</v>
      </c>
      <c r="AC2163" s="18" t="str">
        <f t="shared" si="1076"/>
        <v>null</v>
      </c>
      <c r="AD2163" s="19" t="s">
        <v>0</v>
      </c>
      <c r="AE2163" s="18" t="str">
        <f t="shared" si="1077"/>
        <v>null</v>
      </c>
      <c r="AF2163" s="75" t="s">
        <v>0</v>
      </c>
      <c r="AG2163" s="38" t="s">
        <v>9098</v>
      </c>
    </row>
    <row r="2164" spans="1:33" ht="6" customHeight="1" x14ac:dyDescent="0.4">
      <c r="A2164" s="4">
        <f>ROW()</f>
        <v>2164</v>
      </c>
      <c r="B2164" s="9" t="s">
        <v>27</v>
      </c>
      <c r="C2164" s="44" t="str">
        <f t="shared" si="1080"/>
        <v>p.projetar</v>
      </c>
      <c r="D2164" s="6" t="str">
        <f t="shared" si="1072"/>
        <v>é.projeto.de</v>
      </c>
      <c r="E2164" s="8" t="s">
        <v>28</v>
      </c>
      <c r="F2164" s="34" t="str">
        <f t="shared" si="1078"/>
        <v>d.projetar</v>
      </c>
      <c r="G2164" s="14" t="s">
        <v>4078</v>
      </c>
      <c r="H2164" s="33" t="s">
        <v>1581</v>
      </c>
      <c r="I2164" s="92" t="str">
        <f t="shared" si="1079"/>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73"/>
        <v>Propriedade destinada a projetar: é.projeto.de</v>
      </c>
      <c r="V2164" s="5" t="str">
        <f t="shared" si="1074"/>
        <v>Dado para projetar:  projeto.de  Deve ser formatado como (rdfs:Literal  or  xsd:string)</v>
      </c>
      <c r="W2164" s="69" t="s">
        <v>6123</v>
      </c>
      <c r="X2164" s="17" t="str">
        <f t="shared" si="1031"/>
        <v>d.proje.107</v>
      </c>
      <c r="Y2164" s="17" t="str">
        <f t="shared" si="1032"/>
        <v>Ação de projetar</v>
      </c>
      <c r="Z2164" s="62" t="s">
        <v>4835</v>
      </c>
      <c r="AA2164" s="18" t="str">
        <f t="shared" si="1075"/>
        <v>null</v>
      </c>
      <c r="AB2164" s="19" t="s">
        <v>0</v>
      </c>
      <c r="AC2164" s="18" t="str">
        <f t="shared" si="1076"/>
        <v>null</v>
      </c>
      <c r="AD2164" s="19" t="s">
        <v>0</v>
      </c>
      <c r="AE2164" s="18" t="str">
        <f t="shared" si="1077"/>
        <v>null</v>
      </c>
      <c r="AF2164" s="75" t="s">
        <v>0</v>
      </c>
      <c r="AG2164" s="38" t="s">
        <v>9099</v>
      </c>
    </row>
    <row r="2165" spans="1:33" ht="6" customHeight="1" x14ac:dyDescent="0.4">
      <c r="A2165" s="4">
        <f>ROW()</f>
        <v>2165</v>
      </c>
      <c r="B2165" s="9" t="s">
        <v>27</v>
      </c>
      <c r="C2165" s="44" t="str">
        <f t="shared" si="1080"/>
        <v>p.projetar</v>
      </c>
      <c r="D2165" s="6" t="str">
        <f t="shared" si="1072"/>
        <v>é.projeto.etapa</v>
      </c>
      <c r="E2165" s="8" t="s">
        <v>28</v>
      </c>
      <c r="F2165" s="34" t="str">
        <f t="shared" si="1078"/>
        <v>d.projetar</v>
      </c>
      <c r="G2165" s="14" t="s">
        <v>2511</v>
      </c>
      <c r="H2165" s="33" t="s">
        <v>1581</v>
      </c>
      <c r="I2165" s="92" t="str">
        <f t="shared" si="1079"/>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si="1073"/>
        <v>Propriedade destinada a projetar: é.projeto.etapa</v>
      </c>
      <c r="V2165" s="5" t="str">
        <f t="shared" si="1074"/>
        <v>Dado para projetar:  projeto.etapa  Deve ser formatado como (rdfs:Literal  or  xsd:string)</v>
      </c>
      <c r="W2165" s="69" t="s">
        <v>6124</v>
      </c>
      <c r="X2165" s="17" t="str">
        <f t="shared" si="1031"/>
        <v>d.proje.108</v>
      </c>
      <c r="Y2165" s="17" t="str">
        <f t="shared" si="1032"/>
        <v>Ação de projetar</v>
      </c>
      <c r="Z2165" s="62" t="s">
        <v>4084</v>
      </c>
      <c r="AA2165" s="18" t="str">
        <f t="shared" si="1075"/>
        <v>null</v>
      </c>
      <c r="AB2165" s="19" t="s">
        <v>0</v>
      </c>
      <c r="AC2165" s="18" t="str">
        <f t="shared" si="1076"/>
        <v>null</v>
      </c>
      <c r="AD2165" s="19" t="s">
        <v>0</v>
      </c>
      <c r="AE2165" s="18" t="str">
        <f t="shared" si="1077"/>
        <v>null</v>
      </c>
      <c r="AF2165" s="75" t="s">
        <v>0</v>
      </c>
      <c r="AG2165" s="38" t="s">
        <v>9100</v>
      </c>
    </row>
    <row r="2166" spans="1:33" ht="6" customHeight="1" x14ac:dyDescent="0.4">
      <c r="A2166" s="4">
        <f>ROW()</f>
        <v>2166</v>
      </c>
      <c r="B2166" s="9" t="s">
        <v>27</v>
      </c>
      <c r="C2166" s="44" t="str">
        <f t="shared" si="1080"/>
        <v>p.projetar</v>
      </c>
      <c r="D2166" s="6" t="str">
        <f t="shared" si="1072"/>
        <v>é.projeto.nome</v>
      </c>
      <c r="E2166" s="8" t="s">
        <v>28</v>
      </c>
      <c r="F2166" s="34" t="str">
        <f t="shared" si="1078"/>
        <v>d.projetar</v>
      </c>
      <c r="G2166" s="14" t="s">
        <v>2509</v>
      </c>
      <c r="H2166" s="33" t="s">
        <v>1581</v>
      </c>
      <c r="I2166" s="92" t="str">
        <f t="shared" si="1079"/>
        <v>null</v>
      </c>
      <c r="J2166" s="82" t="s">
        <v>0</v>
      </c>
      <c r="K2166" s="82" t="s">
        <v>0</v>
      </c>
      <c r="L2166" s="82" t="s">
        <v>0</v>
      </c>
      <c r="M2166" s="82" t="s">
        <v>0</v>
      </c>
      <c r="N2166" s="80" t="s">
        <v>0</v>
      </c>
      <c r="O2166" s="82" t="s">
        <v>0</v>
      </c>
      <c r="P2166" s="82" t="s">
        <v>0</v>
      </c>
      <c r="Q2166" s="82" t="s">
        <v>0</v>
      </c>
      <c r="R2166" s="84" t="s">
        <v>0</v>
      </c>
      <c r="S2166" s="10" t="s">
        <v>1</v>
      </c>
      <c r="T2166" s="10" t="s">
        <v>10221</v>
      </c>
      <c r="U2166" s="5" t="str">
        <f t="shared" si="1073"/>
        <v>Propriedade destinada a projetar: é.projeto.nome</v>
      </c>
      <c r="V2166" s="5" t="str">
        <f t="shared" si="1074"/>
        <v>Dado para projetar:  projeto.nome  Deve ser formatado como (rdfs:Literal  or  xsd:string)</v>
      </c>
      <c r="W2166" s="69" t="s">
        <v>6125</v>
      </c>
      <c r="X2166" s="17" t="str">
        <f t="shared" si="1031"/>
        <v>d.proje.109</v>
      </c>
      <c r="Y2166" s="17" t="str">
        <f t="shared" si="1032"/>
        <v>Ação de projetar</v>
      </c>
      <c r="Z2166" s="62" t="s">
        <v>4085</v>
      </c>
      <c r="AA2166" s="18" t="str">
        <f t="shared" si="1075"/>
        <v>null</v>
      </c>
      <c r="AB2166" s="19" t="s">
        <v>0</v>
      </c>
      <c r="AC2166" s="18" t="str">
        <f t="shared" si="1076"/>
        <v>null</v>
      </c>
      <c r="AD2166" s="19" t="s">
        <v>0</v>
      </c>
      <c r="AE2166" s="18" t="str">
        <f t="shared" si="1077"/>
        <v>null</v>
      </c>
      <c r="AF2166" s="75" t="s">
        <v>0</v>
      </c>
      <c r="AG2166" s="38" t="s">
        <v>9101</v>
      </c>
    </row>
    <row r="2167" spans="1:33" ht="6" customHeight="1" x14ac:dyDescent="0.4">
      <c r="A2167" s="4">
        <f>ROW()</f>
        <v>2167</v>
      </c>
      <c r="B2167" s="9" t="s">
        <v>27</v>
      </c>
      <c r="C2167" s="44" t="str">
        <f t="shared" si="1080"/>
        <v>p.projetar</v>
      </c>
      <c r="D2167" s="6" t="str">
        <f t="shared" ref="D2167" si="1081">_xlfn.CONCAT("é.",G2167)</f>
        <v>é.quem.analisou</v>
      </c>
      <c r="E2167" s="8" t="s">
        <v>28</v>
      </c>
      <c r="F2167" s="34" t="str">
        <f t="shared" si="1078"/>
        <v>d.projetar</v>
      </c>
      <c r="G2167" s="14" t="s">
        <v>9859</v>
      </c>
      <c r="H2167" s="33" t="s">
        <v>1581</v>
      </c>
      <c r="I2167" s="92" t="str">
        <f t="shared" si="1079"/>
        <v>null</v>
      </c>
      <c r="J2167" s="82" t="s">
        <v>0</v>
      </c>
      <c r="K2167" s="82" t="s">
        <v>0</v>
      </c>
      <c r="L2167" s="82" t="s">
        <v>0</v>
      </c>
      <c r="M2167" s="82" t="s">
        <v>0</v>
      </c>
      <c r="N2167" s="80" t="s">
        <v>0</v>
      </c>
      <c r="O2167" s="82" t="s">
        <v>0</v>
      </c>
      <c r="P2167" s="82" t="s">
        <v>0</v>
      </c>
      <c r="Q2167" s="82" t="s">
        <v>0</v>
      </c>
      <c r="R2167" s="84" t="s">
        <v>0</v>
      </c>
      <c r="S2167" s="10" t="s">
        <v>1</v>
      </c>
      <c r="T2167" s="10" t="s">
        <v>10221</v>
      </c>
      <c r="U2167" s="5" t="str">
        <f t="shared" ref="U2167" si="1082">_xlfn.CONCAT("Propriedade destinada a ",MID(C2167,FIND("p.",C2167,1)+2,100),": ",D2167)</f>
        <v>Propriedade destinada a projetar: é.quem.analisou</v>
      </c>
      <c r="V2167" s="5" t="str">
        <f t="shared" ref="V2167" si="1083">_xlfn.CONCAT("Dado para ",MID(F2167,FIND("d.",F2167,1)+2,100),":  ",G2167, "  Deve ser formatado como (",H2167, ")")</f>
        <v>Dado para projetar:  quem.analisou  Deve ser formatado como (rdfs:Literal  or  xsd:string)</v>
      </c>
      <c r="W2167" s="69" t="s">
        <v>6107</v>
      </c>
      <c r="X2167" s="17" t="str">
        <f t="shared" si="1031"/>
        <v>d.proje.110</v>
      </c>
      <c r="Y2167" s="17" t="str">
        <f t="shared" si="1032"/>
        <v>Ação de projetar</v>
      </c>
      <c r="Z2167" s="62" t="s">
        <v>4089</v>
      </c>
      <c r="AA2167" s="18" t="str">
        <f t="shared" ref="AA2167" si="1084">IF(AB2167="null", "null", "categoria.revit")</f>
        <v>null</v>
      </c>
      <c r="AB2167" s="19" t="s">
        <v>0</v>
      </c>
      <c r="AC2167" s="18" t="str">
        <f t="shared" ref="AC2167" si="1085">IF(AD2167="null", "null", "classe.ifc")</f>
        <v>null</v>
      </c>
      <c r="AD2167" s="19" t="s">
        <v>0</v>
      </c>
      <c r="AE2167" s="18" t="str">
        <f t="shared" ref="AE2167" si="1086">IF(AF2167="null", "null", "propriedade")</f>
        <v>null</v>
      </c>
      <c r="AF2167" s="75" t="s">
        <v>0</v>
      </c>
      <c r="AG2167" s="38" t="s">
        <v>9082</v>
      </c>
    </row>
    <row r="2168" spans="1:33" ht="6" customHeight="1" x14ac:dyDescent="0.4">
      <c r="A2168" s="4">
        <f>ROW()</f>
        <v>2168</v>
      </c>
      <c r="B2168" s="9" t="s">
        <v>27</v>
      </c>
      <c r="C2168" s="44" t="str">
        <f t="shared" si="1080"/>
        <v>p.projetar</v>
      </c>
      <c r="D2168" s="6" t="str">
        <f t="shared" ref="D2168:D2180" si="1087">_xlfn.CONCAT("é.",G2168)</f>
        <v>é.quem.calculou</v>
      </c>
      <c r="E2168" s="8" t="s">
        <v>28</v>
      </c>
      <c r="F2168" s="34" t="str">
        <f t="shared" si="1078"/>
        <v>d.projetar</v>
      </c>
      <c r="G2168" s="14" t="s">
        <v>9862</v>
      </c>
      <c r="H2168" s="33" t="s">
        <v>1581</v>
      </c>
      <c r="I2168" s="92" t="str">
        <f t="shared" si="1079"/>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ref="U2168:U2180" si="1088">_xlfn.CONCAT("Propriedade destinada a ",MID(C2168,FIND("p.",C2168,1)+2,100),": ",D2168)</f>
        <v>Propriedade destinada a projetar: é.quem.calculou</v>
      </c>
      <c r="V2168" s="5" t="str">
        <f t="shared" ref="V2168:V2180" si="1089">_xlfn.CONCAT("Dado para ",MID(F2168,FIND("d.",F2168,1)+2,100),":  ",G2168, "  Deve ser formatado como (",H2168, ")")</f>
        <v>Dado para projetar:  quem.calculou  Deve ser formatado como (rdfs:Literal  or  xsd:string)</v>
      </c>
      <c r="W2168" s="69" t="s">
        <v>6110</v>
      </c>
      <c r="X2168" s="17" t="str">
        <f t="shared" si="1031"/>
        <v>d.proje.111</v>
      </c>
      <c r="Y2168" s="17" t="str">
        <f t="shared" si="1032"/>
        <v>Ação de projetar</v>
      </c>
      <c r="Z2168" s="62" t="s">
        <v>4090</v>
      </c>
      <c r="AA2168" s="18" t="str">
        <f t="shared" ref="AA2168:AA2180" si="1090">IF(AB2168="null", "null", "categoria.revit")</f>
        <v>null</v>
      </c>
      <c r="AB2168" s="19" t="s">
        <v>0</v>
      </c>
      <c r="AC2168" s="18" t="str">
        <f t="shared" ref="AC2168:AC2180" si="1091">IF(AD2168="null", "null", "classe.ifc")</f>
        <v>null</v>
      </c>
      <c r="AD2168" s="19" t="s">
        <v>0</v>
      </c>
      <c r="AE2168" s="18" t="str">
        <f t="shared" ref="AE2168:AE2180" si="1092">IF(AF2168="null", "null", "propriedade")</f>
        <v>null</v>
      </c>
      <c r="AF2168" s="75" t="s">
        <v>0</v>
      </c>
      <c r="AG2168" s="38" t="s">
        <v>9085</v>
      </c>
    </row>
    <row r="2169" spans="1:33" ht="6" customHeight="1" x14ac:dyDescent="0.4">
      <c r="A2169" s="4">
        <f>ROW()</f>
        <v>2169</v>
      </c>
      <c r="B2169" s="9" t="s">
        <v>27</v>
      </c>
      <c r="C2169" s="44" t="str">
        <f t="shared" si="1080"/>
        <v>p.projetar</v>
      </c>
      <c r="D2169" s="6" t="str">
        <f t="shared" si="1087"/>
        <v>é.quem.colaborou</v>
      </c>
      <c r="E2169" s="8" t="s">
        <v>28</v>
      </c>
      <c r="F2169" s="34" t="str">
        <f t="shared" si="1078"/>
        <v>d.projetar</v>
      </c>
      <c r="G2169" s="14" t="s">
        <v>9871</v>
      </c>
      <c r="H2169" s="33" t="s">
        <v>1581</v>
      </c>
      <c r="I2169" s="92" t="str">
        <f t="shared" si="1079"/>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88"/>
        <v>Propriedade destinada a projetar: é.quem.colaborou</v>
      </c>
      <c r="V2169" s="5" t="str">
        <f t="shared" si="1089"/>
        <v>Dado para projetar:  quem.colaborou  Deve ser formatado como (rdfs:Literal  or  xsd:string)</v>
      </c>
      <c r="W2169" s="69" t="s">
        <v>6111</v>
      </c>
      <c r="X2169" s="17" t="str">
        <f t="shared" si="1031"/>
        <v>d.proje.112</v>
      </c>
      <c r="Y2169" s="17" t="str">
        <f t="shared" si="1032"/>
        <v>Ação de projetar</v>
      </c>
      <c r="Z2169" s="62" t="s">
        <v>4093</v>
      </c>
      <c r="AA2169" s="18" t="str">
        <f t="shared" si="1090"/>
        <v>null</v>
      </c>
      <c r="AB2169" s="19" t="s">
        <v>0</v>
      </c>
      <c r="AC2169" s="18" t="str">
        <f t="shared" si="1091"/>
        <v>null</v>
      </c>
      <c r="AD2169" s="19" t="s">
        <v>0</v>
      </c>
      <c r="AE2169" s="18" t="str">
        <f t="shared" si="1092"/>
        <v>null</v>
      </c>
      <c r="AF2169" s="75" t="s">
        <v>0</v>
      </c>
      <c r="AG2169" s="38" t="s">
        <v>9086</v>
      </c>
    </row>
    <row r="2170" spans="1:33" ht="6" customHeight="1" x14ac:dyDescent="0.4">
      <c r="A2170" s="4">
        <f>ROW()</f>
        <v>2170</v>
      </c>
      <c r="B2170" s="9" t="s">
        <v>27</v>
      </c>
      <c r="C2170" s="44" t="str">
        <f t="shared" si="1080"/>
        <v>p.projetar</v>
      </c>
      <c r="D2170" s="6" t="str">
        <f t="shared" si="1087"/>
        <v>é.quem.coordenou</v>
      </c>
      <c r="E2170" s="8" t="s">
        <v>28</v>
      </c>
      <c r="F2170" s="34" t="str">
        <f t="shared" si="1078"/>
        <v>d.projetar</v>
      </c>
      <c r="G2170" s="14" t="s">
        <v>9863</v>
      </c>
      <c r="H2170" s="33" t="s">
        <v>1581</v>
      </c>
      <c r="I2170" s="92" t="str">
        <f t="shared" si="1079"/>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88"/>
        <v>Propriedade destinada a projetar: é.quem.coordenou</v>
      </c>
      <c r="V2170" s="5" t="str">
        <f t="shared" si="1089"/>
        <v>Dado para projetar:  quem.coordenou  Deve ser formatado como (rdfs:Literal  or  xsd:string)</v>
      </c>
      <c r="W2170" s="69" t="s">
        <v>6113</v>
      </c>
      <c r="X2170" s="17" t="str">
        <f t="shared" si="1031"/>
        <v>d.proje.113</v>
      </c>
      <c r="Y2170" s="17" t="str">
        <f t="shared" si="1032"/>
        <v>Ação de projetar</v>
      </c>
      <c r="Z2170" s="62" t="s">
        <v>4091</v>
      </c>
      <c r="AA2170" s="18" t="str">
        <f t="shared" si="1090"/>
        <v>null</v>
      </c>
      <c r="AB2170" s="19" t="s">
        <v>0</v>
      </c>
      <c r="AC2170" s="18" t="str">
        <f t="shared" si="1091"/>
        <v>null</v>
      </c>
      <c r="AD2170" s="19" t="s">
        <v>0</v>
      </c>
      <c r="AE2170" s="18" t="str">
        <f t="shared" si="1092"/>
        <v>null</v>
      </c>
      <c r="AF2170" s="75" t="s">
        <v>0</v>
      </c>
      <c r="AG2170" s="38" t="s">
        <v>9088</v>
      </c>
    </row>
    <row r="2171" spans="1:33" ht="6" customHeight="1" x14ac:dyDescent="0.4">
      <c r="A2171" s="4">
        <f>ROW()</f>
        <v>2171</v>
      </c>
      <c r="B2171" s="9" t="s">
        <v>27</v>
      </c>
      <c r="C2171" s="44" t="str">
        <f t="shared" si="1080"/>
        <v>p.projetar</v>
      </c>
      <c r="D2171" s="6" t="str">
        <f t="shared" si="1087"/>
        <v>é.quem.criou</v>
      </c>
      <c r="E2171" s="8" t="s">
        <v>28</v>
      </c>
      <c r="F2171" s="34" t="str">
        <f t="shared" si="1078"/>
        <v>d.projetar</v>
      </c>
      <c r="G2171" s="14" t="s">
        <v>9861</v>
      </c>
      <c r="H2171" s="33" t="s">
        <v>1581</v>
      </c>
      <c r="I2171" s="92" t="str">
        <f t="shared" si="1079"/>
        <v>null</v>
      </c>
      <c r="J2171" s="82" t="s">
        <v>0</v>
      </c>
      <c r="K2171" s="82" t="s">
        <v>0</v>
      </c>
      <c r="L2171" s="82" t="s">
        <v>0</v>
      </c>
      <c r="M2171" s="82" t="s">
        <v>0</v>
      </c>
      <c r="N2171" s="80" t="s">
        <v>0</v>
      </c>
      <c r="O2171" s="82" t="s">
        <v>0</v>
      </c>
      <c r="P2171" s="82" t="s">
        <v>0</v>
      </c>
      <c r="Q2171" s="82" t="s">
        <v>0</v>
      </c>
      <c r="R2171" s="84" t="s">
        <v>9873</v>
      </c>
      <c r="S2171" s="10" t="s">
        <v>1</v>
      </c>
      <c r="T2171" s="10" t="s">
        <v>10221</v>
      </c>
      <c r="U2171" s="5" t="str">
        <f t="shared" si="1088"/>
        <v>Propriedade destinada a projetar: é.quem.criou</v>
      </c>
      <c r="V2171" s="5" t="str">
        <f t="shared" si="1089"/>
        <v>Dado para projetar:  quem.criou  Deve ser formatado como (rdfs:Literal  or  xsd:string)</v>
      </c>
      <c r="W2171" s="69" t="s">
        <v>6109</v>
      </c>
      <c r="X2171" s="17" t="str">
        <f t="shared" si="1031"/>
        <v>d.proje.114</v>
      </c>
      <c r="Y2171" s="17" t="str">
        <f t="shared" si="1032"/>
        <v>Ação de projetar</v>
      </c>
      <c r="Z2171" s="62" t="s">
        <v>4125</v>
      </c>
      <c r="AA2171" s="18" t="str">
        <f t="shared" si="1090"/>
        <v>null</v>
      </c>
      <c r="AB2171" s="19" t="s">
        <v>0</v>
      </c>
      <c r="AC2171" s="18" t="str">
        <f t="shared" si="1091"/>
        <v>null</v>
      </c>
      <c r="AD2171" s="19" t="s">
        <v>0</v>
      </c>
      <c r="AE2171" s="18" t="str">
        <f t="shared" si="1092"/>
        <v>null</v>
      </c>
      <c r="AF2171" s="75" t="s">
        <v>0</v>
      </c>
      <c r="AG2171" s="38" t="s">
        <v>9084</v>
      </c>
    </row>
    <row r="2172" spans="1:33" ht="6" customHeight="1" x14ac:dyDescent="0.4">
      <c r="A2172" s="4">
        <f>ROW()</f>
        <v>2172</v>
      </c>
      <c r="B2172" s="9" t="s">
        <v>27</v>
      </c>
      <c r="C2172" s="44" t="str">
        <f t="shared" si="1080"/>
        <v>p.projetar</v>
      </c>
      <c r="D2172" s="6" t="str">
        <f t="shared" si="1087"/>
        <v>é.quem.desenhou</v>
      </c>
      <c r="E2172" s="8" t="s">
        <v>28</v>
      </c>
      <c r="F2172" s="34" t="str">
        <f t="shared" si="1078"/>
        <v>d.projetar</v>
      </c>
      <c r="G2172" s="14" t="s">
        <v>9864</v>
      </c>
      <c r="H2172" s="33" t="s">
        <v>1581</v>
      </c>
      <c r="I2172" s="92" t="str">
        <f t="shared" si="1079"/>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88"/>
        <v>Propriedade destinada a projetar: é.quem.desenhou</v>
      </c>
      <c r="V2172" s="5" t="str">
        <f t="shared" si="1089"/>
        <v>Dado para projetar:  quem.desenhou  Deve ser formatado como (rdfs:Literal  or  xsd:string)</v>
      </c>
      <c r="W2172" s="69" t="s">
        <v>6114</v>
      </c>
      <c r="X2172" s="17" t="str">
        <f t="shared" si="1031"/>
        <v>d.proje.115</v>
      </c>
      <c r="Y2172" s="17" t="str">
        <f t="shared" si="1032"/>
        <v>Ação de projetar</v>
      </c>
      <c r="Z2172" s="62" t="s">
        <v>4094</v>
      </c>
      <c r="AA2172" s="18" t="str">
        <f t="shared" si="1090"/>
        <v>null</v>
      </c>
      <c r="AB2172" s="19" t="s">
        <v>0</v>
      </c>
      <c r="AC2172" s="18" t="str">
        <f t="shared" si="1091"/>
        <v>null</v>
      </c>
      <c r="AD2172" s="19" t="s">
        <v>0</v>
      </c>
      <c r="AE2172" s="18" t="str">
        <f t="shared" si="1092"/>
        <v>null</v>
      </c>
      <c r="AF2172" s="75" t="s">
        <v>0</v>
      </c>
      <c r="AG2172" s="38" t="s">
        <v>9089</v>
      </c>
    </row>
    <row r="2173" spans="1:33" ht="6" customHeight="1" x14ac:dyDescent="0.4">
      <c r="A2173" s="4">
        <f>ROW()</f>
        <v>2173</v>
      </c>
      <c r="B2173" s="9" t="s">
        <v>27</v>
      </c>
      <c r="C2173" s="44" t="str">
        <f t="shared" ref="C2173:C2180" si="1093">SUBSTITUTE(F2173,"d.","p.")</f>
        <v>p.projetar</v>
      </c>
      <c r="D2173" s="6" t="str">
        <f t="shared" si="1087"/>
        <v>é.quem.inspecionou</v>
      </c>
      <c r="E2173" s="8" t="s">
        <v>28</v>
      </c>
      <c r="F2173" s="34" t="str">
        <f t="shared" si="1078"/>
        <v>d.projetar</v>
      </c>
      <c r="G2173" s="14" t="s">
        <v>9866</v>
      </c>
      <c r="H2173" s="33" t="s">
        <v>1581</v>
      </c>
      <c r="I2173" s="92" t="str">
        <f t="shared" si="1079"/>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88"/>
        <v>Propriedade destinada a projetar: é.quem.inspecionou</v>
      </c>
      <c r="V2173" s="5" t="str">
        <f t="shared" si="1089"/>
        <v>Dado para projetar:  quem.inspecionou  Deve ser formatado como (rdfs:Literal  or  xsd:string)</v>
      </c>
      <c r="W2173" s="69" t="s">
        <v>6118</v>
      </c>
      <c r="X2173" s="17" t="str">
        <f t="shared" si="1031"/>
        <v>d.proje.116</v>
      </c>
      <c r="Y2173" s="17" t="str">
        <f t="shared" si="1032"/>
        <v>Ação de projetar</v>
      </c>
      <c r="Z2173" s="62" t="s">
        <v>4083</v>
      </c>
      <c r="AA2173" s="18" t="str">
        <f t="shared" si="1090"/>
        <v>null</v>
      </c>
      <c r="AB2173" s="19" t="s">
        <v>0</v>
      </c>
      <c r="AC2173" s="18" t="str">
        <f t="shared" si="1091"/>
        <v>null</v>
      </c>
      <c r="AD2173" s="19" t="s">
        <v>0</v>
      </c>
      <c r="AE2173" s="18" t="str">
        <f t="shared" si="1092"/>
        <v>null</v>
      </c>
      <c r="AF2173" s="75" t="s">
        <v>0</v>
      </c>
      <c r="AG2173" s="38" t="s">
        <v>9093</v>
      </c>
    </row>
    <row r="2174" spans="1:33" ht="6" customHeight="1" x14ac:dyDescent="0.4">
      <c r="A2174" s="4">
        <f>ROW()</f>
        <v>2174</v>
      </c>
      <c r="B2174" s="9" t="s">
        <v>27</v>
      </c>
      <c r="C2174" s="44" t="str">
        <f t="shared" si="1093"/>
        <v>p.projetar</v>
      </c>
      <c r="D2174" s="6" t="str">
        <f t="shared" ref="D2174" si="1094">_xlfn.CONCAT("é.",G2174)</f>
        <v>é.quem.modelou</v>
      </c>
      <c r="E2174" s="8" t="s">
        <v>28</v>
      </c>
      <c r="F2174" s="34" t="str">
        <f t="shared" si="1078"/>
        <v>d.projetar</v>
      </c>
      <c r="G2174" s="14" t="s">
        <v>9874</v>
      </c>
      <c r="H2174" s="33" t="s">
        <v>1581</v>
      </c>
      <c r="I2174" s="92" t="str">
        <f t="shared" si="1079"/>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ref="U2174" si="1095">_xlfn.CONCAT("Propriedade destinada a ",MID(C2174,FIND("p.",C2174,1)+2,100),": ",D2174)</f>
        <v>Propriedade destinada a projetar: é.quem.modelou</v>
      </c>
      <c r="V2174" s="5" t="str">
        <f t="shared" ref="V2174" si="1096">_xlfn.CONCAT("Dado para ",MID(F2174,FIND("d.",F2174,1)+2,100),":  ",G2174, "  Deve ser formatado como (",H2174, ")")</f>
        <v>Dado para projetar:  quem.modelou  Deve ser formatado como (rdfs:Literal  or  xsd:string)</v>
      </c>
      <c r="W2174" s="69" t="s">
        <v>9875</v>
      </c>
      <c r="X2174" s="17" t="str">
        <f t="shared" si="1031"/>
        <v>d.proje.117</v>
      </c>
      <c r="Y2174" s="17" t="str">
        <f t="shared" si="1032"/>
        <v>Ação de projetar</v>
      </c>
      <c r="Z2174" s="62" t="s">
        <v>9876</v>
      </c>
      <c r="AA2174" s="18" t="str">
        <f t="shared" si="1090"/>
        <v>null</v>
      </c>
      <c r="AB2174" s="19" t="s">
        <v>0</v>
      </c>
      <c r="AC2174" s="18" t="str">
        <f t="shared" si="1091"/>
        <v>null</v>
      </c>
      <c r="AD2174" s="19" t="s">
        <v>0</v>
      </c>
      <c r="AE2174" s="18" t="str">
        <f t="shared" si="1092"/>
        <v>null</v>
      </c>
      <c r="AF2174" s="75" t="s">
        <v>0</v>
      </c>
      <c r="AG2174" s="38" t="s">
        <v>9877</v>
      </c>
    </row>
    <row r="2175" spans="1:33" ht="6" customHeight="1" x14ac:dyDescent="0.4">
      <c r="A2175" s="4">
        <f>ROW()</f>
        <v>2175</v>
      </c>
      <c r="B2175" s="9" t="s">
        <v>27</v>
      </c>
      <c r="C2175" s="44" t="str">
        <f t="shared" si="1093"/>
        <v>p.projetar</v>
      </c>
      <c r="D2175" s="6" t="str">
        <f t="shared" si="1087"/>
        <v>é.quem.orçou</v>
      </c>
      <c r="E2175" s="8" t="s">
        <v>28</v>
      </c>
      <c r="F2175" s="34" t="str">
        <f t="shared" si="1078"/>
        <v>d.projetar</v>
      </c>
      <c r="G2175" s="14" t="s">
        <v>9867</v>
      </c>
      <c r="H2175" s="33" t="s">
        <v>1581</v>
      </c>
      <c r="I2175" s="92" t="str">
        <f t="shared" si="1079"/>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si="1088"/>
        <v>Propriedade destinada a projetar: é.quem.orçou</v>
      </c>
      <c r="V2175" s="5" t="str">
        <f t="shared" si="1089"/>
        <v>Dado para projetar:  quem.orçou  Deve ser formatado como (rdfs:Literal  or  xsd:string)</v>
      </c>
      <c r="W2175" s="69" t="s">
        <v>6119</v>
      </c>
      <c r="X2175" s="17" t="str">
        <f t="shared" si="1031"/>
        <v>d.proje.118</v>
      </c>
      <c r="Y2175" s="17" t="str">
        <f t="shared" si="1032"/>
        <v>Ação de projetar</v>
      </c>
      <c r="Z2175" s="62" t="s">
        <v>4081</v>
      </c>
      <c r="AA2175" s="18" t="str">
        <f t="shared" si="1090"/>
        <v>null</v>
      </c>
      <c r="AB2175" s="19" t="s">
        <v>0</v>
      </c>
      <c r="AC2175" s="18" t="str">
        <f t="shared" si="1091"/>
        <v>null</v>
      </c>
      <c r="AD2175" s="19" t="s">
        <v>0</v>
      </c>
      <c r="AE2175" s="18" t="str">
        <f t="shared" si="1092"/>
        <v>null</v>
      </c>
      <c r="AF2175" s="75" t="s">
        <v>0</v>
      </c>
      <c r="AG2175" s="38" t="s">
        <v>9094</v>
      </c>
    </row>
    <row r="2176" spans="1:33" ht="6" customHeight="1" x14ac:dyDescent="0.4">
      <c r="A2176" s="4">
        <f>ROW()</f>
        <v>2176</v>
      </c>
      <c r="B2176" s="9" t="s">
        <v>27</v>
      </c>
      <c r="C2176" s="44" t="str">
        <f t="shared" si="1093"/>
        <v>p.projetar</v>
      </c>
      <c r="D2176" s="6" t="str">
        <f t="shared" si="1087"/>
        <v>é.quem.patrocinou</v>
      </c>
      <c r="E2176" s="8" t="s">
        <v>28</v>
      </c>
      <c r="F2176" s="34" t="str">
        <f t="shared" si="1078"/>
        <v>d.projetar</v>
      </c>
      <c r="G2176" s="14" t="s">
        <v>9868</v>
      </c>
      <c r="H2176" s="33" t="s">
        <v>1581</v>
      </c>
      <c r="I2176" s="92" t="str">
        <f t="shared" si="1079"/>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si="1088"/>
        <v>Propriedade destinada a projetar: é.quem.patrocinou</v>
      </c>
      <c r="V2176" s="5" t="str">
        <f t="shared" si="1089"/>
        <v>Dado para projetar:  quem.patrocinou  Deve ser formatado como (rdfs:Literal  or  xsd:string)</v>
      </c>
      <c r="W2176" s="69" t="s">
        <v>6120</v>
      </c>
      <c r="X2176" s="17" t="str">
        <f t="shared" si="1031"/>
        <v>d.proje.119</v>
      </c>
      <c r="Y2176" s="17" t="str">
        <f t="shared" si="1032"/>
        <v>Ação de projetar</v>
      </c>
      <c r="Z2176" s="62" t="s">
        <v>3973</v>
      </c>
      <c r="AA2176" s="18" t="str">
        <f t="shared" si="1090"/>
        <v>null</v>
      </c>
      <c r="AB2176" s="19" t="s">
        <v>0</v>
      </c>
      <c r="AC2176" s="18" t="str">
        <f t="shared" si="1091"/>
        <v>null</v>
      </c>
      <c r="AD2176" s="19" t="s">
        <v>0</v>
      </c>
      <c r="AE2176" s="18" t="str">
        <f t="shared" si="1092"/>
        <v>null</v>
      </c>
      <c r="AF2176" s="75" t="s">
        <v>0</v>
      </c>
      <c r="AG2176" s="38" t="s">
        <v>9096</v>
      </c>
    </row>
    <row r="2177" spans="1:33" ht="6" customHeight="1" x14ac:dyDescent="0.4">
      <c r="A2177" s="4">
        <f>ROW()</f>
        <v>2177</v>
      </c>
      <c r="B2177" s="9" t="s">
        <v>27</v>
      </c>
      <c r="C2177" s="44" t="str">
        <f t="shared" si="1093"/>
        <v>p.projetar</v>
      </c>
      <c r="D2177" s="6" t="str">
        <f t="shared" si="1087"/>
        <v>é.quem.projetou</v>
      </c>
      <c r="E2177" s="8" t="s">
        <v>28</v>
      </c>
      <c r="F2177" s="34" t="str">
        <f t="shared" si="1078"/>
        <v>d.projetar</v>
      </c>
      <c r="G2177" s="14" t="s">
        <v>9860</v>
      </c>
      <c r="H2177" s="33" t="s">
        <v>1581</v>
      </c>
      <c r="I2177" s="92" t="str">
        <f t="shared" si="1079"/>
        <v>null</v>
      </c>
      <c r="J2177" s="82" t="s">
        <v>0</v>
      </c>
      <c r="K2177" s="82" t="s">
        <v>0</v>
      </c>
      <c r="L2177" s="82" t="s">
        <v>0</v>
      </c>
      <c r="M2177" s="82" t="s">
        <v>0</v>
      </c>
      <c r="N2177" s="80" t="s">
        <v>0</v>
      </c>
      <c r="O2177" s="82" t="s">
        <v>0</v>
      </c>
      <c r="P2177" s="82" t="s">
        <v>0</v>
      </c>
      <c r="Q2177" s="82" t="s">
        <v>0</v>
      </c>
      <c r="R2177" s="84" t="s">
        <v>9872</v>
      </c>
      <c r="S2177" s="10" t="s">
        <v>1</v>
      </c>
      <c r="T2177" s="10" t="s">
        <v>10221</v>
      </c>
      <c r="U2177" s="5" t="str">
        <f t="shared" si="1088"/>
        <v>Propriedade destinada a projetar: é.quem.projetou</v>
      </c>
      <c r="V2177" s="5" t="str">
        <f t="shared" si="1089"/>
        <v>Dado para projetar:  quem.projetou  Deve ser formatado como (rdfs:Literal  or  xsd:string)</v>
      </c>
      <c r="W2177" s="69" t="s">
        <v>6108</v>
      </c>
      <c r="X2177" s="17" t="str">
        <f t="shared" si="1031"/>
        <v>d.proje.120</v>
      </c>
      <c r="Y2177" s="17" t="str">
        <f t="shared" si="1032"/>
        <v>Ação de projetar</v>
      </c>
      <c r="Z2177" s="62" t="s">
        <v>4126</v>
      </c>
      <c r="AA2177" s="18" t="str">
        <f t="shared" si="1090"/>
        <v>null</v>
      </c>
      <c r="AB2177" s="19" t="s">
        <v>0</v>
      </c>
      <c r="AC2177" s="18" t="str">
        <f t="shared" si="1091"/>
        <v>null</v>
      </c>
      <c r="AD2177" s="19" t="s">
        <v>0</v>
      </c>
      <c r="AE2177" s="18" t="str">
        <f t="shared" si="1092"/>
        <v>null</v>
      </c>
      <c r="AF2177" s="75" t="s">
        <v>0</v>
      </c>
      <c r="AG2177" s="38" t="s">
        <v>9083</v>
      </c>
    </row>
    <row r="2178" spans="1:33" ht="6" customHeight="1" x14ac:dyDescent="0.4">
      <c r="A2178" s="4">
        <f>ROW()</f>
        <v>2178</v>
      </c>
      <c r="B2178" s="9" t="s">
        <v>27</v>
      </c>
      <c r="C2178" s="44" t="str">
        <f t="shared" si="1093"/>
        <v>p.projetar</v>
      </c>
      <c r="D2178" s="6" t="str">
        <f t="shared" si="1087"/>
        <v>é.quem.representou</v>
      </c>
      <c r="E2178" s="8" t="s">
        <v>28</v>
      </c>
      <c r="F2178" s="34" t="str">
        <f t="shared" si="1078"/>
        <v>d.projetar</v>
      </c>
      <c r="G2178" s="14" t="s">
        <v>9869</v>
      </c>
      <c r="H2178" s="33" t="s">
        <v>1581</v>
      </c>
      <c r="I2178" s="92" t="str">
        <f t="shared" si="1079"/>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88"/>
        <v>Propriedade destinada a projetar: é.quem.representou</v>
      </c>
      <c r="V2178" s="5" t="str">
        <f t="shared" si="1089"/>
        <v>Dado para projetar:  quem.representou  Deve ser formatado como (rdfs:Literal  or  xsd:string)</v>
      </c>
      <c r="W2178" s="69" t="s">
        <v>6126</v>
      </c>
      <c r="X2178" s="17" t="str">
        <f t="shared" si="1031"/>
        <v>d.proje.121</v>
      </c>
      <c r="Y2178" s="17" t="str">
        <f t="shared" si="1032"/>
        <v>Ação de projetar</v>
      </c>
      <c r="Z2178" s="62" t="s">
        <v>4086</v>
      </c>
      <c r="AA2178" s="18" t="str">
        <f t="shared" si="1090"/>
        <v>null</v>
      </c>
      <c r="AB2178" s="19" t="s">
        <v>0</v>
      </c>
      <c r="AC2178" s="18" t="str">
        <f t="shared" si="1091"/>
        <v>null</v>
      </c>
      <c r="AD2178" s="19" t="s">
        <v>0</v>
      </c>
      <c r="AE2178" s="18" t="str">
        <f t="shared" si="1092"/>
        <v>null</v>
      </c>
      <c r="AF2178" s="75" t="s">
        <v>0</v>
      </c>
      <c r="AG2178" s="38" t="s">
        <v>9102</v>
      </c>
    </row>
    <row r="2179" spans="1:33" ht="6" customHeight="1" x14ac:dyDescent="0.4">
      <c r="A2179" s="4">
        <f>ROW()</f>
        <v>2179</v>
      </c>
      <c r="B2179" s="9" t="s">
        <v>27</v>
      </c>
      <c r="C2179" s="44" t="str">
        <f t="shared" si="1093"/>
        <v>p.projetar</v>
      </c>
      <c r="D2179" s="6" t="str">
        <f t="shared" si="1087"/>
        <v>é.quem.revisou</v>
      </c>
      <c r="E2179" s="8" t="s">
        <v>28</v>
      </c>
      <c r="F2179" s="34" t="str">
        <f t="shared" si="1078"/>
        <v>d.projetar</v>
      </c>
      <c r="G2179" s="14" t="s">
        <v>9870</v>
      </c>
      <c r="H2179" s="33" t="s">
        <v>1581</v>
      </c>
      <c r="I2179" s="92" t="str">
        <f t="shared" si="1079"/>
        <v>null</v>
      </c>
      <c r="J2179" s="82" t="s">
        <v>0</v>
      </c>
      <c r="K2179" s="82" t="s">
        <v>0</v>
      </c>
      <c r="L2179" s="82" t="s">
        <v>0</v>
      </c>
      <c r="M2179" s="82" t="s">
        <v>0</v>
      </c>
      <c r="N2179" s="80" t="s">
        <v>0</v>
      </c>
      <c r="O2179" s="82" t="s">
        <v>0</v>
      </c>
      <c r="P2179" s="82" t="s">
        <v>0</v>
      </c>
      <c r="Q2179" s="82" t="s">
        <v>0</v>
      </c>
      <c r="R2179" s="84" t="s">
        <v>0</v>
      </c>
      <c r="S2179" s="10" t="s">
        <v>1</v>
      </c>
      <c r="T2179" s="10" t="s">
        <v>10221</v>
      </c>
      <c r="U2179" s="5" t="str">
        <f t="shared" si="1088"/>
        <v>Propriedade destinada a projetar: é.quem.revisou</v>
      </c>
      <c r="V2179" s="5" t="str">
        <f t="shared" si="1089"/>
        <v>Dado para projetar:  quem.revisou  Deve ser formatado como (rdfs:Literal  or  xsd:string)</v>
      </c>
      <c r="W2179" s="69" t="s">
        <v>6128</v>
      </c>
      <c r="X2179" s="17" t="str">
        <f t="shared" ref="X2179:X2242" si="1097">IF(F2178&lt;&gt;F2179,_xlfn.CONCAT(RIGHT(LEFT(F2179,7),7),".100"),_xlfn.CONCAT(RIGHT(LEFT(F2179,7),7),".",SUM(VALUE(RIGHT(X2178,3)),1)))</f>
        <v>d.proje.122</v>
      </c>
      <c r="Y2179" s="17" t="str">
        <f t="shared" ref="Y2179:Y2242" si="1098">_xlfn.CONCAT("Ação de ", SUBSTITUTE(F2179, "d.",  ""))</f>
        <v>Ação de projetar</v>
      </c>
      <c r="Z2179" s="62" t="s">
        <v>4088</v>
      </c>
      <c r="AA2179" s="18" t="str">
        <f t="shared" si="1090"/>
        <v>null</v>
      </c>
      <c r="AB2179" s="19" t="s">
        <v>0</v>
      </c>
      <c r="AC2179" s="18" t="str">
        <f t="shared" si="1091"/>
        <v>null</v>
      </c>
      <c r="AD2179" s="19" t="s">
        <v>0</v>
      </c>
      <c r="AE2179" s="18" t="str">
        <f t="shared" si="1092"/>
        <v>null</v>
      </c>
      <c r="AF2179" s="75" t="s">
        <v>0</v>
      </c>
      <c r="AG2179" s="38" t="s">
        <v>9104</v>
      </c>
    </row>
    <row r="2180" spans="1:33" ht="6" customHeight="1" x14ac:dyDescent="0.4">
      <c r="A2180" s="4">
        <f>ROW()</f>
        <v>2180</v>
      </c>
      <c r="B2180" s="9" t="s">
        <v>27</v>
      </c>
      <c r="C2180" s="44" t="str">
        <f t="shared" si="1093"/>
        <v>p.projetar</v>
      </c>
      <c r="D2180" s="6" t="str">
        <f t="shared" si="1087"/>
        <v>é.responsável.técnico</v>
      </c>
      <c r="E2180" s="8" t="s">
        <v>28</v>
      </c>
      <c r="F2180" s="34" t="str">
        <f t="shared" si="1078"/>
        <v>d.projetar</v>
      </c>
      <c r="G2180" s="14" t="s">
        <v>910</v>
      </c>
      <c r="H2180" s="33" t="s">
        <v>1581</v>
      </c>
      <c r="I2180" s="92" t="str">
        <f t="shared" si="1079"/>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88"/>
        <v>Propriedade destinada a projetar: é.responsável.técnico</v>
      </c>
      <c r="V2180" s="5" t="str">
        <f t="shared" si="1089"/>
        <v>Dado para projetar:  responsável.técnico  Deve ser formatado como (rdfs:Literal  or  xsd:string)</v>
      </c>
      <c r="W2180" s="69" t="s">
        <v>6127</v>
      </c>
      <c r="X2180" s="17" t="str">
        <f t="shared" si="1097"/>
        <v>d.proje.123</v>
      </c>
      <c r="Y2180" s="17" t="str">
        <f t="shared" si="1098"/>
        <v>Ação de projetar</v>
      </c>
      <c r="Z2180" s="62" t="s">
        <v>4087</v>
      </c>
      <c r="AA2180" s="18" t="str">
        <f t="shared" si="1090"/>
        <v>null</v>
      </c>
      <c r="AB2180" s="19" t="s">
        <v>0</v>
      </c>
      <c r="AC2180" s="18" t="str">
        <f t="shared" si="1091"/>
        <v>null</v>
      </c>
      <c r="AD2180" s="19" t="s">
        <v>0</v>
      </c>
      <c r="AE2180" s="18" t="str">
        <f t="shared" si="1092"/>
        <v>null</v>
      </c>
      <c r="AF2180" s="75" t="s">
        <v>0</v>
      </c>
      <c r="AG2180" s="38" t="s">
        <v>9103</v>
      </c>
    </row>
    <row r="2181" spans="1:33" ht="6" customHeight="1" x14ac:dyDescent="0.4">
      <c r="A2181" s="4">
        <f>ROW()</f>
        <v>2181</v>
      </c>
      <c r="B2181" s="9" t="s">
        <v>27</v>
      </c>
      <c r="C2181" s="43" t="str">
        <f t="shared" si="1071"/>
        <v>p.proteger</v>
      </c>
      <c r="D2181" s="6" t="str">
        <f t="shared" si="1035"/>
        <v>é.guardacorpo</v>
      </c>
      <c r="E2181" s="8" t="s">
        <v>28</v>
      </c>
      <c r="F2181" s="40" t="s">
        <v>2225</v>
      </c>
      <c r="G2181" s="13" t="s">
        <v>2661</v>
      </c>
      <c r="H2181" s="33" t="s">
        <v>1581</v>
      </c>
      <c r="I2181" s="92" t="str">
        <f t="shared" si="1079"/>
        <v>null</v>
      </c>
      <c r="J2181" s="80" t="s">
        <v>0</v>
      </c>
      <c r="K2181" s="80" t="s">
        <v>0</v>
      </c>
      <c r="L2181" s="80" t="s">
        <v>0</v>
      </c>
      <c r="M2181" s="80" t="s">
        <v>0</v>
      </c>
      <c r="N2181" s="80" t="s">
        <v>0</v>
      </c>
      <c r="O2181" s="80" t="s">
        <v>0</v>
      </c>
      <c r="P2181" s="80" t="s">
        <v>0</v>
      </c>
      <c r="Q2181" s="80" t="s">
        <v>0</v>
      </c>
      <c r="R2181" s="84" t="s">
        <v>0</v>
      </c>
      <c r="S2181" s="10" t="s">
        <v>1</v>
      </c>
      <c r="T2181" s="10" t="s">
        <v>10221</v>
      </c>
      <c r="U2181" s="5" t="str">
        <f t="shared" ref="U2181:U2188" si="1099">_xlfn.CONCAT("Propriedade destinada a ",MID(C2181,FIND("p.",C2181,1)+2,100),": ",D2181)</f>
        <v>Propriedade destinada a proteger: é.guardacorpo</v>
      </c>
      <c r="V2181" s="5" t="str">
        <f t="shared" ref="V2181:V2188" si="1100">_xlfn.CONCAT("Dado para ",MID(F2181,FIND("d.",F2181,1)+2,100),":  ",G2181, "  Deve ser formatado como (",H2181, ")")</f>
        <v>Dado para proteger:  guardacorpo  Deve ser formatado como (rdfs:Literal  or  xsd:string)</v>
      </c>
      <c r="W2181" s="69" t="s">
        <v>6129</v>
      </c>
      <c r="X2181" s="17" t="str">
        <f t="shared" si="1097"/>
        <v>d.prote.100</v>
      </c>
      <c r="Y2181" s="17" t="str">
        <f t="shared" si="1098"/>
        <v>Ação de proteger</v>
      </c>
      <c r="Z2181" s="62" t="s">
        <v>2352</v>
      </c>
      <c r="AA2181" s="18" t="str">
        <f t="shared" si="1033"/>
        <v>categoria.revit</v>
      </c>
      <c r="AB2181" s="19" t="s">
        <v>2137</v>
      </c>
      <c r="AC2181" s="18" t="str">
        <f t="shared" si="1034"/>
        <v>classe.ifc</v>
      </c>
      <c r="AD2181" s="19" t="s">
        <v>2089</v>
      </c>
      <c r="AE2181" s="18" t="str">
        <f t="shared" si="1030"/>
        <v>null</v>
      </c>
      <c r="AF2181" s="75" t="s">
        <v>0</v>
      </c>
      <c r="AG2181" s="38" t="s">
        <v>9105</v>
      </c>
    </row>
    <row r="2182" spans="1:33" ht="6" customHeight="1" x14ac:dyDescent="0.4">
      <c r="A2182" s="4">
        <f>ROW()</f>
        <v>2182</v>
      </c>
      <c r="B2182" s="9" t="s">
        <v>27</v>
      </c>
      <c r="C2182" s="44" t="str">
        <f t="shared" si="1071"/>
        <v>p.proteger</v>
      </c>
      <c r="D2182" s="6" t="str">
        <f t="shared" si="1035"/>
        <v>é.guardacorpo.de.escada</v>
      </c>
      <c r="E2182" s="8" t="s">
        <v>28</v>
      </c>
      <c r="F2182" s="34" t="str">
        <f>F2181</f>
        <v>d.proteger</v>
      </c>
      <c r="G2182" s="13" t="s">
        <v>911</v>
      </c>
      <c r="H2182" s="33" t="s">
        <v>1581</v>
      </c>
      <c r="I2182" s="92" t="str">
        <f t="shared" si="1079"/>
        <v>null</v>
      </c>
      <c r="J2182" s="80" t="s">
        <v>0</v>
      </c>
      <c r="K2182" s="80" t="s">
        <v>0</v>
      </c>
      <c r="L2182" s="80" t="s">
        <v>0</v>
      </c>
      <c r="M2182" s="80" t="s">
        <v>0</v>
      </c>
      <c r="N2182" s="80" t="s">
        <v>0</v>
      </c>
      <c r="O2182" s="80" t="s">
        <v>0</v>
      </c>
      <c r="P2182" s="80" t="s">
        <v>0</v>
      </c>
      <c r="Q2182" s="80" t="s">
        <v>0</v>
      </c>
      <c r="R2182" s="84" t="s">
        <v>0</v>
      </c>
      <c r="S2182" s="10" t="s">
        <v>1</v>
      </c>
      <c r="T2182" s="10" t="s">
        <v>10221</v>
      </c>
      <c r="U2182" s="5" t="str">
        <f t="shared" si="1099"/>
        <v>Propriedade destinada a proteger: é.guardacorpo.de.escada</v>
      </c>
      <c r="V2182" s="5" t="str">
        <f t="shared" si="1100"/>
        <v>Dado para proteger:  guardacorpo.de.escada  Deve ser formatado como (rdfs:Literal  or  xsd:string)</v>
      </c>
      <c r="W2182" s="69" t="s">
        <v>6130</v>
      </c>
      <c r="X2182" s="17" t="str">
        <f t="shared" si="1097"/>
        <v>d.prote.101</v>
      </c>
      <c r="Y2182" s="17" t="str">
        <f t="shared" si="1098"/>
        <v>Ação de proteger</v>
      </c>
      <c r="Z2182" s="62" t="s">
        <v>4095</v>
      </c>
      <c r="AA2182" s="18" t="str">
        <f t="shared" si="1033"/>
        <v>categoria.revit</v>
      </c>
      <c r="AB2182" s="19" t="s">
        <v>2137</v>
      </c>
      <c r="AC2182" s="18" t="str">
        <f t="shared" si="1034"/>
        <v>classe.ifc</v>
      </c>
      <c r="AD2182" s="19" t="s">
        <v>2089</v>
      </c>
      <c r="AE2182" s="18" t="str">
        <f t="shared" ref="AE2182:AE2188" si="1101">IF(AF2182="null", "null", "propriedade")</f>
        <v>null</v>
      </c>
      <c r="AF2182" s="75" t="s">
        <v>0</v>
      </c>
      <c r="AG2182" s="38" t="s">
        <v>9106</v>
      </c>
    </row>
    <row r="2183" spans="1:33" ht="6" customHeight="1" x14ac:dyDescent="0.4">
      <c r="A2183" s="4">
        <f>ROW()</f>
        <v>2183</v>
      </c>
      <c r="B2183" s="9" t="s">
        <v>27</v>
      </c>
      <c r="C2183" s="44" t="str">
        <f t="shared" si="1071"/>
        <v>p.proteger</v>
      </c>
      <c r="D2183" s="6" t="str">
        <f t="shared" si="1035"/>
        <v>é.guardacorpo.de.rampa</v>
      </c>
      <c r="E2183" s="8" t="s">
        <v>28</v>
      </c>
      <c r="F2183" s="34" t="str">
        <f>F2182</f>
        <v>d.proteger</v>
      </c>
      <c r="G2183" s="13" t="s">
        <v>912</v>
      </c>
      <c r="H2183" s="33" t="s">
        <v>1581</v>
      </c>
      <c r="I2183" s="92" t="str">
        <f t="shared" si="1079"/>
        <v>null</v>
      </c>
      <c r="J2183" s="80" t="s">
        <v>0</v>
      </c>
      <c r="K2183" s="80" t="s">
        <v>0</v>
      </c>
      <c r="L2183" s="80" t="s">
        <v>0</v>
      </c>
      <c r="M2183" s="80" t="s">
        <v>0</v>
      </c>
      <c r="N2183" s="80" t="s">
        <v>0</v>
      </c>
      <c r="O2183" s="80" t="s">
        <v>0</v>
      </c>
      <c r="P2183" s="80" t="s">
        <v>0</v>
      </c>
      <c r="Q2183" s="80" t="s">
        <v>0</v>
      </c>
      <c r="R2183" s="84" t="s">
        <v>0</v>
      </c>
      <c r="S2183" s="10" t="s">
        <v>1</v>
      </c>
      <c r="T2183" s="10" t="s">
        <v>10221</v>
      </c>
      <c r="U2183" s="5" t="str">
        <f t="shared" si="1099"/>
        <v>Propriedade destinada a proteger: é.guardacorpo.de.rampa</v>
      </c>
      <c r="V2183" s="5" t="str">
        <f t="shared" si="1100"/>
        <v>Dado para proteger:  guardacorpo.de.rampa  Deve ser formatado como (rdfs:Literal  or  xsd:string)</v>
      </c>
      <c r="W2183" s="69" t="s">
        <v>6131</v>
      </c>
      <c r="X2183" s="17" t="str">
        <f t="shared" si="1097"/>
        <v>d.prote.102</v>
      </c>
      <c r="Y2183" s="17" t="str">
        <f t="shared" si="1098"/>
        <v>Ação de proteger</v>
      </c>
      <c r="Z2183" s="62" t="s">
        <v>4096</v>
      </c>
      <c r="AA2183" s="18" t="str">
        <f t="shared" si="1033"/>
        <v>categoria.revit</v>
      </c>
      <c r="AB2183" s="19" t="s">
        <v>2137</v>
      </c>
      <c r="AC2183" s="18" t="str">
        <f t="shared" si="1034"/>
        <v>classe.ifc</v>
      </c>
      <c r="AD2183" s="19" t="s">
        <v>2089</v>
      </c>
      <c r="AE2183" s="18" t="str">
        <f t="shared" si="1101"/>
        <v>null</v>
      </c>
      <c r="AF2183" s="75" t="s">
        <v>0</v>
      </c>
      <c r="AG2183" s="38" t="s">
        <v>9107</v>
      </c>
    </row>
    <row r="2184" spans="1:33" ht="6" customHeight="1" x14ac:dyDescent="0.4">
      <c r="A2184" s="4">
        <f>ROW()</f>
        <v>2184</v>
      </c>
      <c r="B2184" s="9" t="s">
        <v>27</v>
      </c>
      <c r="C2184" s="44" t="str">
        <f t="shared" si="1071"/>
        <v>p.proteger</v>
      </c>
      <c r="D2184" s="6" t="str">
        <f t="shared" si="1035"/>
        <v>é.guardacorpo.de.vazio</v>
      </c>
      <c r="E2184" s="8" t="s">
        <v>28</v>
      </c>
      <c r="F2184" s="34" t="str">
        <f>F2183</f>
        <v>d.proteger</v>
      </c>
      <c r="G2184" s="13" t="s">
        <v>913</v>
      </c>
      <c r="H2184" s="33" t="s">
        <v>1581</v>
      </c>
      <c r="I2184" s="92" t="str">
        <f t="shared" si="1079"/>
        <v>null</v>
      </c>
      <c r="J2184" s="80" t="s">
        <v>0</v>
      </c>
      <c r="K2184" s="80" t="s">
        <v>0</v>
      </c>
      <c r="L2184" s="80" t="s">
        <v>0</v>
      </c>
      <c r="M2184" s="80" t="s">
        <v>0</v>
      </c>
      <c r="N2184" s="80" t="s">
        <v>0</v>
      </c>
      <c r="O2184" s="80" t="s">
        <v>0</v>
      </c>
      <c r="P2184" s="80" t="s">
        <v>0</v>
      </c>
      <c r="Q2184" s="80" t="s">
        <v>0</v>
      </c>
      <c r="R2184" s="84" t="s">
        <v>0</v>
      </c>
      <c r="S2184" s="10" t="s">
        <v>1</v>
      </c>
      <c r="T2184" s="10" t="s">
        <v>10221</v>
      </c>
      <c r="U2184" s="5" t="str">
        <f t="shared" si="1099"/>
        <v>Propriedade destinada a proteger: é.guardacorpo.de.vazio</v>
      </c>
      <c r="V2184" s="5" t="str">
        <f t="shared" si="1100"/>
        <v>Dado para proteger:  guardacorpo.de.vazio  Deve ser formatado como (rdfs:Literal  or  xsd:string)</v>
      </c>
      <c r="W2184" s="69" t="s">
        <v>6132</v>
      </c>
      <c r="X2184" s="17" t="str">
        <f t="shared" si="1097"/>
        <v>d.prote.103</v>
      </c>
      <c r="Y2184" s="17" t="str">
        <f t="shared" si="1098"/>
        <v>Ação de proteger</v>
      </c>
      <c r="Z2184" s="62" t="s">
        <v>4097</v>
      </c>
      <c r="AA2184" s="18" t="str">
        <f t="shared" si="1033"/>
        <v>categoria.revit</v>
      </c>
      <c r="AB2184" s="19" t="s">
        <v>2137</v>
      </c>
      <c r="AC2184" s="18" t="str">
        <f t="shared" si="1034"/>
        <v>classe.ifc</v>
      </c>
      <c r="AD2184" s="19" t="s">
        <v>2089</v>
      </c>
      <c r="AE2184" s="18" t="str">
        <f t="shared" si="1101"/>
        <v>null</v>
      </c>
      <c r="AF2184" s="75" t="s">
        <v>0</v>
      </c>
      <c r="AG2184" s="38" t="s">
        <v>9108</v>
      </c>
    </row>
    <row r="2185" spans="1:33" ht="6" customHeight="1" x14ac:dyDescent="0.4">
      <c r="A2185" s="4">
        <f>ROW()</f>
        <v>2185</v>
      </c>
      <c r="B2185" s="9" t="s">
        <v>27</v>
      </c>
      <c r="C2185" s="44" t="str">
        <f t="shared" si="1071"/>
        <v>p.proteger</v>
      </c>
      <c r="D2185" s="6" t="str">
        <f t="shared" si="1035"/>
        <v>é.disjuntor</v>
      </c>
      <c r="E2185" s="8" t="s">
        <v>28</v>
      </c>
      <c r="F2185" s="34" t="str">
        <f>F2184</f>
        <v>d.proteger</v>
      </c>
      <c r="G2185" s="13" t="s">
        <v>256</v>
      </c>
      <c r="H2185" s="33" t="s">
        <v>1581</v>
      </c>
      <c r="I2185" s="92" t="str">
        <f t="shared" si="1079"/>
        <v>null</v>
      </c>
      <c r="J2185" s="80" t="s">
        <v>0</v>
      </c>
      <c r="K2185" s="80" t="s">
        <v>0</v>
      </c>
      <c r="L2185" s="80" t="s">
        <v>0</v>
      </c>
      <c r="M2185" s="80" t="s">
        <v>0</v>
      </c>
      <c r="N2185" s="80" t="s">
        <v>0</v>
      </c>
      <c r="O2185" s="80" t="s">
        <v>0</v>
      </c>
      <c r="P2185" s="80" t="s">
        <v>0</v>
      </c>
      <c r="Q2185" s="80" t="s">
        <v>0</v>
      </c>
      <c r="R2185" s="84" t="s">
        <v>0</v>
      </c>
      <c r="S2185" s="10" t="s">
        <v>1</v>
      </c>
      <c r="T2185" s="10" t="s">
        <v>10221</v>
      </c>
      <c r="U2185" s="5" t="str">
        <f t="shared" si="1099"/>
        <v>Propriedade destinada a proteger: é.disjuntor</v>
      </c>
      <c r="V2185" s="5" t="str">
        <f t="shared" si="1100"/>
        <v>Dado para proteger:  disjuntor  Deve ser formatado como (rdfs:Literal  or  xsd:string)</v>
      </c>
      <c r="W2185" s="69" t="s">
        <v>6133</v>
      </c>
      <c r="X2185" s="17" t="str">
        <f t="shared" si="1097"/>
        <v>d.prote.104</v>
      </c>
      <c r="Y2185" s="17" t="str">
        <f t="shared" si="1098"/>
        <v>Ação de proteger</v>
      </c>
      <c r="Z2185" s="62" t="s">
        <v>4099</v>
      </c>
      <c r="AA2185" s="18" t="str">
        <f t="shared" si="1033"/>
        <v>categoria.revit</v>
      </c>
      <c r="AB2185" s="19" t="s">
        <v>2138</v>
      </c>
      <c r="AC2185" s="18" t="str">
        <f t="shared" si="1034"/>
        <v>classe.ifc</v>
      </c>
      <c r="AD2185" s="19" t="s">
        <v>2072</v>
      </c>
      <c r="AE2185" s="18" t="str">
        <f t="shared" si="1101"/>
        <v>null</v>
      </c>
      <c r="AF2185" s="75" t="s">
        <v>0</v>
      </c>
      <c r="AG2185" s="38" t="s">
        <v>9109</v>
      </c>
    </row>
    <row r="2186" spans="1:33" ht="6" customHeight="1" x14ac:dyDescent="0.4">
      <c r="A2186" s="4">
        <f>ROW()</f>
        <v>2186</v>
      </c>
      <c r="B2186" s="9" t="s">
        <v>27</v>
      </c>
      <c r="C2186" s="44" t="str">
        <f t="shared" si="1071"/>
        <v>p.proteger</v>
      </c>
      <c r="D2186" s="6" t="str">
        <f t="shared" si="1035"/>
        <v>é.aterramento</v>
      </c>
      <c r="E2186" s="8" t="s">
        <v>28</v>
      </c>
      <c r="F2186" s="34" t="str">
        <f>F2185</f>
        <v>d.proteger</v>
      </c>
      <c r="G2186" s="13" t="s">
        <v>255</v>
      </c>
      <c r="H2186" s="33" t="s">
        <v>1581</v>
      </c>
      <c r="I2186" s="92" t="str">
        <f t="shared" si="1079"/>
        <v>null</v>
      </c>
      <c r="J2186" s="80" t="s">
        <v>0</v>
      </c>
      <c r="K2186" s="80" t="s">
        <v>0</v>
      </c>
      <c r="L2186" s="80" t="s">
        <v>0</v>
      </c>
      <c r="M2186" s="80" t="s">
        <v>0</v>
      </c>
      <c r="N2186" s="80" t="s">
        <v>0</v>
      </c>
      <c r="O2186" s="80" t="s">
        <v>0</v>
      </c>
      <c r="P2186" s="80" t="s">
        <v>0</v>
      </c>
      <c r="Q2186" s="80" t="s">
        <v>0</v>
      </c>
      <c r="R2186" s="84" t="s">
        <v>0</v>
      </c>
      <c r="S2186" s="10" t="s">
        <v>1</v>
      </c>
      <c r="T2186" s="10" t="s">
        <v>10221</v>
      </c>
      <c r="U2186" s="5" t="str">
        <f t="shared" si="1099"/>
        <v>Propriedade destinada a proteger: é.aterramento</v>
      </c>
      <c r="V2186" s="5" t="str">
        <f t="shared" si="1100"/>
        <v>Dado para proteger:  aterramento  Deve ser formatado como (rdfs:Literal  or  xsd:string)</v>
      </c>
      <c r="W2186" s="69" t="s">
        <v>6134</v>
      </c>
      <c r="X2186" s="17" t="str">
        <f t="shared" si="1097"/>
        <v>d.prote.105</v>
      </c>
      <c r="Y2186" s="17" t="str">
        <f t="shared" si="1098"/>
        <v>Ação de proteger</v>
      </c>
      <c r="Z2186" s="62" t="s">
        <v>4098</v>
      </c>
      <c r="AA2186" s="18" t="str">
        <f t="shared" si="1033"/>
        <v>categoria.revit</v>
      </c>
      <c r="AB2186" s="19" t="s">
        <v>2138</v>
      </c>
      <c r="AC2186" s="18" t="str">
        <f t="shared" si="1034"/>
        <v>classe.ifc</v>
      </c>
      <c r="AD2186" s="19" t="s">
        <v>2072</v>
      </c>
      <c r="AE2186" s="18" t="str">
        <f t="shared" si="1101"/>
        <v>null</v>
      </c>
      <c r="AF2186" s="75" t="s">
        <v>0</v>
      </c>
      <c r="AG2186" s="38" t="s">
        <v>9110</v>
      </c>
    </row>
    <row r="2187" spans="1:33" ht="6" customHeight="1" x14ac:dyDescent="0.4">
      <c r="A2187" s="4">
        <f>ROW()</f>
        <v>2187</v>
      </c>
      <c r="B2187" s="9" t="s">
        <v>27</v>
      </c>
      <c r="C2187" s="43" t="str">
        <f t="shared" si="1071"/>
        <v>p.qualificar</v>
      </c>
      <c r="D2187" s="6" t="str">
        <f t="shared" ref="D2187:D2188" si="1102">_xlfn.CONCAT("é.",G2187)</f>
        <v>é.aberto</v>
      </c>
      <c r="E2187" s="8" t="s">
        <v>28</v>
      </c>
      <c r="F2187" s="40" t="s">
        <v>2226</v>
      </c>
      <c r="G2187" s="14" t="s">
        <v>216</v>
      </c>
      <c r="H2187" s="33" t="s">
        <v>36</v>
      </c>
      <c r="I2187" s="92" t="str">
        <f t="shared" si="1079"/>
        <v>null</v>
      </c>
      <c r="J2187" s="82" t="s">
        <v>0</v>
      </c>
      <c r="K2187" s="82" t="s">
        <v>0</v>
      </c>
      <c r="L2187" s="82" t="s">
        <v>0</v>
      </c>
      <c r="M2187" s="82" t="s">
        <v>0</v>
      </c>
      <c r="N2187" s="80" t="s">
        <v>0</v>
      </c>
      <c r="O2187" s="82" t="s">
        <v>0</v>
      </c>
      <c r="P2187" s="82" t="s">
        <v>0</v>
      </c>
      <c r="Q2187" s="82" t="s">
        <v>914</v>
      </c>
      <c r="R2187" s="84" t="s">
        <v>0</v>
      </c>
      <c r="S2187" s="10" t="s">
        <v>1</v>
      </c>
      <c r="T2187" s="10" t="s">
        <v>10221</v>
      </c>
      <c r="U2187" s="5" t="str">
        <f t="shared" si="1099"/>
        <v>Propriedade destinada a qualificar: é.aberto</v>
      </c>
      <c r="V2187" s="5" t="str">
        <f t="shared" si="1100"/>
        <v>Dado para qualificar:  aberto  Deve ser formatado como (xsd:boolean)</v>
      </c>
      <c r="W2187" s="69" t="s">
        <v>6135</v>
      </c>
      <c r="X2187" s="17" t="str">
        <f t="shared" si="1097"/>
        <v>d.quali.100</v>
      </c>
      <c r="Y2187" s="17" t="str">
        <f t="shared" si="1098"/>
        <v>Ação de qualificar</v>
      </c>
      <c r="Z2187" s="62" t="s">
        <v>3449</v>
      </c>
      <c r="AA2187" s="18" t="str">
        <f t="shared" si="1033"/>
        <v>null</v>
      </c>
      <c r="AB2187" s="19" t="s">
        <v>0</v>
      </c>
      <c r="AC2187" s="18" t="str">
        <f t="shared" si="1034"/>
        <v>null</v>
      </c>
      <c r="AD2187" s="19" t="s">
        <v>0</v>
      </c>
      <c r="AE2187" s="18" t="str">
        <f t="shared" si="1101"/>
        <v>null</v>
      </c>
      <c r="AF2187" s="75" t="s">
        <v>0</v>
      </c>
      <c r="AG2187" s="38" t="s">
        <v>9111</v>
      </c>
    </row>
    <row r="2188" spans="1:33" ht="6" customHeight="1" x14ac:dyDescent="0.4">
      <c r="A2188" s="4">
        <f>ROW()</f>
        <v>2188</v>
      </c>
      <c r="B2188" s="9" t="s">
        <v>27</v>
      </c>
      <c r="C2188" s="44" t="str">
        <f t="shared" si="1071"/>
        <v>p.qualificar</v>
      </c>
      <c r="D2188" s="6" t="str">
        <f t="shared" si="1102"/>
        <v>é.abrasivo</v>
      </c>
      <c r="E2188" s="8" t="s">
        <v>28</v>
      </c>
      <c r="F2188" s="34" t="str">
        <f>F2187</f>
        <v>d.qualificar</v>
      </c>
      <c r="G2188" s="13" t="s">
        <v>6559</v>
      </c>
      <c r="H2188" s="34" t="s">
        <v>36</v>
      </c>
      <c r="I2188" s="92" t="str">
        <f t="shared" si="1079"/>
        <v>null</v>
      </c>
      <c r="J2188" s="80" t="s">
        <v>0</v>
      </c>
      <c r="K2188" s="80" t="s">
        <v>0</v>
      </c>
      <c r="L2188" s="80" t="s">
        <v>0</v>
      </c>
      <c r="M2188" s="80" t="s">
        <v>0</v>
      </c>
      <c r="N2188" s="80" t="s">
        <v>0</v>
      </c>
      <c r="O2188" s="80" t="s">
        <v>0</v>
      </c>
      <c r="P2188" s="80" t="s">
        <v>0</v>
      </c>
      <c r="Q2188" s="80" t="s">
        <v>0</v>
      </c>
      <c r="R2188" s="84" t="s">
        <v>0</v>
      </c>
      <c r="S2188" s="10" t="s">
        <v>1</v>
      </c>
      <c r="T2188" s="10" t="s">
        <v>10221</v>
      </c>
      <c r="U2188" s="5" t="str">
        <f t="shared" si="1099"/>
        <v>Propriedade destinada a qualificar: é.abrasivo</v>
      </c>
      <c r="V2188" s="5" t="str">
        <f t="shared" si="1100"/>
        <v>Dado para qualificar:  abrasivo  Deve ser formatado como (xsd:boolean)</v>
      </c>
      <c r="W2188" s="69" t="s">
        <v>6560</v>
      </c>
      <c r="X2188" s="17" t="str">
        <f t="shared" si="1097"/>
        <v>d.quali.101</v>
      </c>
      <c r="Y2188" s="17" t="str">
        <f t="shared" si="1098"/>
        <v>Ação de qualificar</v>
      </c>
      <c r="Z2188" s="62" t="s">
        <v>6561</v>
      </c>
      <c r="AA2188" s="18" t="str">
        <f t="shared" ref="AA2188" si="1103">IF(AB2188="null", "null", "categoria.revit")</f>
        <v>null</v>
      </c>
      <c r="AB2188" s="19" t="s">
        <v>0</v>
      </c>
      <c r="AC2188" s="18" t="str">
        <f t="shared" ref="AC2188" si="1104">IF(AD2188="null", "null", "classe.ifc")</f>
        <v>null</v>
      </c>
      <c r="AD2188" s="19" t="s">
        <v>0</v>
      </c>
      <c r="AE2188" s="18" t="str">
        <f t="shared" si="1101"/>
        <v>null</v>
      </c>
      <c r="AF2188" s="75" t="s">
        <v>0</v>
      </c>
      <c r="AG2188" s="38" t="s">
        <v>9112</v>
      </c>
    </row>
    <row r="2189" spans="1:33" ht="6" customHeight="1" x14ac:dyDescent="0.4">
      <c r="A2189" s="4">
        <f>ROW()</f>
        <v>2189</v>
      </c>
      <c r="B2189" s="9" t="s">
        <v>27</v>
      </c>
      <c r="C2189" s="44" t="str">
        <f t="shared" ref="C2189:C2221" si="1105">SUBSTITUTE(F2189,"d.","p.")</f>
        <v>p.qualificar</v>
      </c>
      <c r="D2189" s="6" t="str">
        <f t="shared" ref="D2189:D2221" si="1106">_xlfn.CONCAT("é.",G2189)</f>
        <v>é.articulado</v>
      </c>
      <c r="E2189" s="8" t="s">
        <v>28</v>
      </c>
      <c r="F2189" s="34" t="str">
        <f t="shared" ref="F2189:F2253" si="1107">F2188</f>
        <v>d.qualificar</v>
      </c>
      <c r="G2189" s="13" t="s">
        <v>351</v>
      </c>
      <c r="H2189" s="34" t="s">
        <v>36</v>
      </c>
      <c r="I2189" s="92" t="str">
        <f t="shared" si="1079"/>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221" si="1108">_xlfn.CONCAT("Propriedade destinada a ",MID(C2189,FIND("p.",C2189,1)+2,100),": ",D2189)</f>
        <v>Propriedade destinada a qualificar: é.articulado</v>
      </c>
      <c r="V2189" s="5" t="str">
        <f t="shared" ref="V2189:V2221" si="1109">_xlfn.CONCAT("Dado para ",MID(F2189,FIND("d.",F2189,1)+2,100),":  ",G2189, "  Deve ser formatado como (",H2189, ")")</f>
        <v>Dado para qualificar:  articulado  Deve ser formatado como (xsd:boolean)</v>
      </c>
      <c r="W2189" s="69" t="s">
        <v>6136</v>
      </c>
      <c r="X2189" s="17" t="str">
        <f t="shared" si="1097"/>
        <v>d.quali.102</v>
      </c>
      <c r="Y2189" s="17" t="str">
        <f t="shared" si="1098"/>
        <v>Ação de qualificar</v>
      </c>
      <c r="Z2189" s="62" t="s">
        <v>3450</v>
      </c>
      <c r="AA2189" s="18" t="str">
        <f t="shared" ref="AA2189:AA2221" si="1110">IF(AB2189="null", "null", "categoria.revit")</f>
        <v>null</v>
      </c>
      <c r="AB2189" s="19" t="s">
        <v>0</v>
      </c>
      <c r="AC2189" s="18" t="str">
        <f t="shared" ref="AC2189:AC2221" si="1111">IF(AD2189="null", "null", "classe.ifc")</f>
        <v>null</v>
      </c>
      <c r="AD2189" s="19" t="s">
        <v>0</v>
      </c>
      <c r="AE2189" s="18" t="str">
        <f t="shared" ref="AE2189:AE2221" si="1112">IF(AF2189="null", "null", "propriedade")</f>
        <v>null</v>
      </c>
      <c r="AF2189" s="75" t="s">
        <v>0</v>
      </c>
      <c r="AG2189" s="38" t="s">
        <v>9113</v>
      </c>
    </row>
    <row r="2190" spans="1:33" ht="6" customHeight="1" x14ac:dyDescent="0.4">
      <c r="A2190" s="4">
        <f>ROW()</f>
        <v>2190</v>
      </c>
      <c r="B2190" s="9" t="s">
        <v>27</v>
      </c>
      <c r="C2190" s="44" t="str">
        <f t="shared" si="1105"/>
        <v>p.qualificar</v>
      </c>
      <c r="D2190" s="6" t="str">
        <f t="shared" si="1106"/>
        <v>é.articulador</v>
      </c>
      <c r="E2190" s="8" t="s">
        <v>28</v>
      </c>
      <c r="F2190" s="34" t="str">
        <f t="shared" si="1107"/>
        <v>d.qualificar</v>
      </c>
      <c r="G2190" s="13" t="s">
        <v>352</v>
      </c>
      <c r="H2190" s="34" t="s">
        <v>36</v>
      </c>
      <c r="I2190" s="92" t="str">
        <f t="shared" si="1079"/>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108"/>
        <v>Propriedade destinada a qualificar: é.articulador</v>
      </c>
      <c r="V2190" s="5" t="str">
        <f t="shared" si="1109"/>
        <v>Dado para qualificar:  articulador  Deve ser formatado como (xsd:boolean)</v>
      </c>
      <c r="W2190" s="69" t="s">
        <v>6137</v>
      </c>
      <c r="X2190" s="17" t="str">
        <f t="shared" si="1097"/>
        <v>d.quali.103</v>
      </c>
      <c r="Y2190" s="17" t="str">
        <f t="shared" si="1098"/>
        <v>Ação de qualificar</v>
      </c>
      <c r="Z2190" s="62" t="s">
        <v>3451</v>
      </c>
      <c r="AA2190" s="18" t="str">
        <f t="shared" si="1110"/>
        <v>null</v>
      </c>
      <c r="AB2190" s="19" t="s">
        <v>0</v>
      </c>
      <c r="AC2190" s="18" t="str">
        <f t="shared" si="1111"/>
        <v>null</v>
      </c>
      <c r="AD2190" s="19" t="s">
        <v>0</v>
      </c>
      <c r="AE2190" s="18" t="str">
        <f t="shared" si="1112"/>
        <v>null</v>
      </c>
      <c r="AF2190" s="75" t="s">
        <v>0</v>
      </c>
      <c r="AG2190" s="38" t="s">
        <v>9114</v>
      </c>
    </row>
    <row r="2191" spans="1:33" ht="6" customHeight="1" x14ac:dyDescent="0.4">
      <c r="A2191" s="4">
        <f>ROW()</f>
        <v>2191</v>
      </c>
      <c r="B2191" s="9" t="s">
        <v>27</v>
      </c>
      <c r="C2191" s="44" t="str">
        <f t="shared" si="1105"/>
        <v>p.qualificar</v>
      </c>
      <c r="D2191" s="6" t="str">
        <f t="shared" si="1106"/>
        <v>é.artificial</v>
      </c>
      <c r="E2191" s="8" t="s">
        <v>28</v>
      </c>
      <c r="F2191" s="34" t="str">
        <f t="shared" si="1107"/>
        <v>d.qualificar</v>
      </c>
      <c r="G2191" s="13" t="s">
        <v>345</v>
      </c>
      <c r="H2191" s="34" t="s">
        <v>36</v>
      </c>
      <c r="I2191" s="92" t="str">
        <f t="shared" si="1079"/>
        <v>null</v>
      </c>
      <c r="J2191" s="80" t="s">
        <v>0</v>
      </c>
      <c r="K2191" s="80" t="s">
        <v>0</v>
      </c>
      <c r="L2191" s="80" t="s">
        <v>0</v>
      </c>
      <c r="M2191" s="80" t="s">
        <v>0</v>
      </c>
      <c r="N2191" s="80" t="s">
        <v>0</v>
      </c>
      <c r="O2191" s="80" t="s">
        <v>0</v>
      </c>
      <c r="P2191" s="80" t="s">
        <v>0</v>
      </c>
      <c r="Q2191" s="80" t="s">
        <v>915</v>
      </c>
      <c r="R2191" s="84" t="s">
        <v>0</v>
      </c>
      <c r="S2191" s="10" t="s">
        <v>1</v>
      </c>
      <c r="T2191" s="10" t="s">
        <v>10221</v>
      </c>
      <c r="U2191" s="5" t="str">
        <f t="shared" si="1108"/>
        <v>Propriedade destinada a qualificar: é.artificial</v>
      </c>
      <c r="V2191" s="5" t="str">
        <f t="shared" si="1109"/>
        <v>Dado para qualificar:  artificial  Deve ser formatado como (xsd:boolean)</v>
      </c>
      <c r="W2191" s="69" t="s">
        <v>6138</v>
      </c>
      <c r="X2191" s="17" t="str">
        <f t="shared" si="1097"/>
        <v>d.quali.104</v>
      </c>
      <c r="Y2191" s="17" t="str">
        <f t="shared" si="1098"/>
        <v>Ação de qualificar</v>
      </c>
      <c r="Z2191" s="62" t="s">
        <v>3452</v>
      </c>
      <c r="AA2191" s="18" t="str">
        <f t="shared" si="1110"/>
        <v>null</v>
      </c>
      <c r="AB2191" s="19" t="s">
        <v>0</v>
      </c>
      <c r="AC2191" s="18" t="str">
        <f t="shared" si="1111"/>
        <v>null</v>
      </c>
      <c r="AD2191" s="19" t="s">
        <v>0</v>
      </c>
      <c r="AE2191" s="18" t="str">
        <f t="shared" si="1112"/>
        <v>null</v>
      </c>
      <c r="AF2191" s="75" t="s">
        <v>0</v>
      </c>
      <c r="AG2191" s="38" t="s">
        <v>9115</v>
      </c>
    </row>
    <row r="2192" spans="1:33" ht="6" customHeight="1" x14ac:dyDescent="0.4">
      <c r="A2192" s="4">
        <f>ROW()</f>
        <v>2192</v>
      </c>
      <c r="B2192" s="9" t="s">
        <v>27</v>
      </c>
      <c r="C2192" s="44" t="str">
        <f t="shared" si="1105"/>
        <v>p.qualificar</v>
      </c>
      <c r="D2192" s="6" t="str">
        <f t="shared" si="1106"/>
        <v>é.atual</v>
      </c>
      <c r="E2192" s="8" t="s">
        <v>28</v>
      </c>
      <c r="F2192" s="34" t="str">
        <f t="shared" si="1107"/>
        <v>d.qualificar</v>
      </c>
      <c r="G2192" s="13" t="s">
        <v>320</v>
      </c>
      <c r="H2192" s="34" t="s">
        <v>36</v>
      </c>
      <c r="I2192" s="92" t="str">
        <f t="shared" si="1079"/>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108"/>
        <v>Propriedade destinada a qualificar: é.atual</v>
      </c>
      <c r="V2192" s="5" t="str">
        <f t="shared" si="1109"/>
        <v>Dado para qualificar:  atual  Deve ser formatado como (xsd:boolean)</v>
      </c>
      <c r="W2192" s="69" t="s">
        <v>6139</v>
      </c>
      <c r="X2192" s="17" t="str">
        <f t="shared" si="1097"/>
        <v>d.quali.105</v>
      </c>
      <c r="Y2192" s="17" t="str">
        <f t="shared" si="1098"/>
        <v>Ação de qualificar</v>
      </c>
      <c r="Z2192" s="62" t="s">
        <v>3453</v>
      </c>
      <c r="AA2192" s="18" t="str">
        <f t="shared" si="1110"/>
        <v>null</v>
      </c>
      <c r="AB2192" s="19" t="s">
        <v>0</v>
      </c>
      <c r="AC2192" s="18" t="str">
        <f t="shared" si="1111"/>
        <v>null</v>
      </c>
      <c r="AD2192" s="19" t="s">
        <v>0</v>
      </c>
      <c r="AE2192" s="18" t="str">
        <f t="shared" si="1112"/>
        <v>null</v>
      </c>
      <c r="AF2192" s="75" t="s">
        <v>0</v>
      </c>
      <c r="AG2192" s="38" t="s">
        <v>9116</v>
      </c>
    </row>
    <row r="2193" spans="1:33" ht="6" customHeight="1" x14ac:dyDescent="0.4">
      <c r="A2193" s="4">
        <f>ROW()</f>
        <v>2193</v>
      </c>
      <c r="B2193" s="9" t="s">
        <v>27</v>
      </c>
      <c r="C2193" s="44" t="str">
        <f t="shared" si="1105"/>
        <v>p.qualificar</v>
      </c>
      <c r="D2193" s="6" t="str">
        <f t="shared" si="1106"/>
        <v>é.atualizado</v>
      </c>
      <c r="E2193" s="8" t="s">
        <v>28</v>
      </c>
      <c r="F2193" s="34" t="str">
        <f t="shared" si="1107"/>
        <v>d.qualificar</v>
      </c>
      <c r="G2193" s="13" t="s">
        <v>323</v>
      </c>
      <c r="H2193" s="34" t="s">
        <v>36</v>
      </c>
      <c r="I2193" s="92" t="str">
        <f t="shared" si="1079"/>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108"/>
        <v>Propriedade destinada a qualificar: é.atualizado</v>
      </c>
      <c r="V2193" s="5" t="str">
        <f t="shared" si="1109"/>
        <v>Dado para qualificar:  atualizado  Deve ser formatado como (xsd:boolean)</v>
      </c>
      <c r="W2193" s="69" t="s">
        <v>6140</v>
      </c>
      <c r="X2193" s="17" t="str">
        <f t="shared" si="1097"/>
        <v>d.quali.106</v>
      </c>
      <c r="Y2193" s="17" t="str">
        <f t="shared" si="1098"/>
        <v>Ação de qualificar</v>
      </c>
      <c r="Z2193" s="62" t="s">
        <v>3454</v>
      </c>
      <c r="AA2193" s="18" t="str">
        <f t="shared" si="1110"/>
        <v>null</v>
      </c>
      <c r="AB2193" s="19" t="s">
        <v>0</v>
      </c>
      <c r="AC2193" s="18" t="str">
        <f t="shared" si="1111"/>
        <v>null</v>
      </c>
      <c r="AD2193" s="19" t="s">
        <v>0</v>
      </c>
      <c r="AE2193" s="18" t="str">
        <f t="shared" si="1112"/>
        <v>null</v>
      </c>
      <c r="AF2193" s="75" t="s">
        <v>0</v>
      </c>
      <c r="AG2193" s="38" t="s">
        <v>9117</v>
      </c>
    </row>
    <row r="2194" spans="1:33" ht="6" customHeight="1" x14ac:dyDescent="0.4">
      <c r="A2194" s="4">
        <f>ROW()</f>
        <v>2194</v>
      </c>
      <c r="B2194" s="9" t="s">
        <v>27</v>
      </c>
      <c r="C2194" s="44" t="str">
        <f t="shared" ref="C2194" si="1113">SUBSTITUTE(F2194,"d.","p.")</f>
        <v>p.qualificar</v>
      </c>
      <c r="D2194" s="6" t="str">
        <f t="shared" ref="D2194" si="1114">_xlfn.CONCAT("é.",G2194)</f>
        <v>é.auditável</v>
      </c>
      <c r="E2194" s="8" t="s">
        <v>28</v>
      </c>
      <c r="F2194" s="34" t="str">
        <f t="shared" si="1107"/>
        <v>d.qualificar</v>
      </c>
      <c r="G2194" s="13" t="s">
        <v>6865</v>
      </c>
      <c r="H2194" s="34" t="s">
        <v>36</v>
      </c>
      <c r="I2194" s="92" t="str">
        <f t="shared" si="1079"/>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ref="U2194" si="1115">_xlfn.CONCAT("Propriedade destinada a ",MID(C2194,FIND("p.",C2194,1)+2,100),": ",D2194)</f>
        <v>Propriedade destinada a qualificar: é.auditável</v>
      </c>
      <c r="V2194" s="5" t="str">
        <f t="shared" ref="V2194" si="1116">_xlfn.CONCAT("Dado para ",MID(F2194,FIND("d.",F2194,1)+2,100),":  ",G2194, "  Deve ser formatado como (",H2194, ")")</f>
        <v>Dado para qualificar:  auditável  Deve ser formatado como (xsd:boolean)</v>
      </c>
      <c r="W2194" s="69" t="s">
        <v>6866</v>
      </c>
      <c r="X2194" s="17" t="str">
        <f t="shared" si="1097"/>
        <v>d.quali.107</v>
      </c>
      <c r="Y2194" s="17" t="str">
        <f t="shared" si="1098"/>
        <v>Ação de qualificar</v>
      </c>
      <c r="Z2194" s="62" t="s">
        <v>6867</v>
      </c>
      <c r="AA2194" s="18" t="str">
        <f t="shared" ref="AA2194" si="1117">IF(AB2194="null", "null", "categoria.revit")</f>
        <v>null</v>
      </c>
      <c r="AB2194" s="19" t="s">
        <v>0</v>
      </c>
      <c r="AC2194" s="18" t="str">
        <f t="shared" ref="AC2194" si="1118">IF(AD2194="null", "null", "classe.ifc")</f>
        <v>null</v>
      </c>
      <c r="AD2194" s="19" t="s">
        <v>0</v>
      </c>
      <c r="AE2194" s="18" t="str">
        <f t="shared" ref="AE2194" si="1119">IF(AF2194="null", "null", "propriedade")</f>
        <v>null</v>
      </c>
      <c r="AF2194" s="75" t="s">
        <v>0</v>
      </c>
      <c r="AG2194" s="38" t="s">
        <v>9118</v>
      </c>
    </row>
    <row r="2195" spans="1:33" ht="6" customHeight="1" x14ac:dyDescent="0.4">
      <c r="A2195" s="4">
        <f>ROW()</f>
        <v>2195</v>
      </c>
      <c r="B2195" s="9" t="s">
        <v>27</v>
      </c>
      <c r="C2195" s="44" t="str">
        <f t="shared" si="1105"/>
        <v>p.qualificar</v>
      </c>
      <c r="D2195" s="6" t="str">
        <f t="shared" si="1106"/>
        <v>é.automático</v>
      </c>
      <c r="E2195" s="8" t="s">
        <v>28</v>
      </c>
      <c r="F2195" s="34" t="str">
        <f t="shared" si="1107"/>
        <v>d.qualificar</v>
      </c>
      <c r="G2195" s="13" t="s">
        <v>367</v>
      </c>
      <c r="H2195" s="34" t="s">
        <v>36</v>
      </c>
      <c r="I2195" s="92" t="str">
        <f t="shared" si="1079"/>
        <v>null</v>
      </c>
      <c r="J2195" s="80" t="s">
        <v>0</v>
      </c>
      <c r="K2195" s="80" t="s">
        <v>0</v>
      </c>
      <c r="L2195" s="80" t="s">
        <v>0</v>
      </c>
      <c r="M2195" s="80" t="s">
        <v>0</v>
      </c>
      <c r="N2195" s="80" t="s">
        <v>0</v>
      </c>
      <c r="O2195" s="80" t="s">
        <v>0</v>
      </c>
      <c r="P2195" s="80" t="s">
        <v>0</v>
      </c>
      <c r="Q2195" s="80" t="s">
        <v>0</v>
      </c>
      <c r="R2195" s="84" t="s">
        <v>0</v>
      </c>
      <c r="S2195" s="10" t="s">
        <v>1</v>
      </c>
      <c r="T2195" s="10" t="s">
        <v>10221</v>
      </c>
      <c r="U2195" s="5" t="str">
        <f t="shared" si="1108"/>
        <v>Propriedade destinada a qualificar: é.automático</v>
      </c>
      <c r="V2195" s="5" t="str">
        <f t="shared" si="1109"/>
        <v>Dado para qualificar:  automático  Deve ser formatado como (xsd:boolean)</v>
      </c>
      <c r="W2195" s="69" t="s">
        <v>6141</v>
      </c>
      <c r="X2195" s="17" t="str">
        <f t="shared" si="1097"/>
        <v>d.quali.108</v>
      </c>
      <c r="Y2195" s="17" t="str">
        <f t="shared" si="1098"/>
        <v>Ação de qualificar</v>
      </c>
      <c r="Z2195" s="62" t="s">
        <v>3455</v>
      </c>
      <c r="AA2195" s="18" t="str">
        <f t="shared" si="1110"/>
        <v>null</v>
      </c>
      <c r="AB2195" s="19" t="s">
        <v>0</v>
      </c>
      <c r="AC2195" s="18" t="str">
        <f t="shared" si="1111"/>
        <v>null</v>
      </c>
      <c r="AD2195" s="19" t="s">
        <v>0</v>
      </c>
      <c r="AE2195" s="18" t="str">
        <f t="shared" si="1112"/>
        <v>null</v>
      </c>
      <c r="AF2195" s="75" t="s">
        <v>0</v>
      </c>
      <c r="AG2195" s="38" t="s">
        <v>9119</v>
      </c>
    </row>
    <row r="2196" spans="1:33" ht="6" customHeight="1" x14ac:dyDescent="0.4">
      <c r="A2196" s="4">
        <f>ROW()</f>
        <v>2196</v>
      </c>
      <c r="B2196" s="9" t="s">
        <v>27</v>
      </c>
      <c r="C2196" s="44" t="str">
        <f t="shared" si="1105"/>
        <v>p.qualificar</v>
      </c>
      <c r="D2196" s="6" t="str">
        <f t="shared" si="1106"/>
        <v>é.automatizado</v>
      </c>
      <c r="E2196" s="8" t="s">
        <v>28</v>
      </c>
      <c r="F2196" s="34" t="str">
        <f t="shared" si="1107"/>
        <v>d.qualificar</v>
      </c>
      <c r="G2196" s="13" t="s">
        <v>353</v>
      </c>
      <c r="H2196" s="34" t="s">
        <v>36</v>
      </c>
      <c r="I2196" s="92" t="str">
        <f t="shared" si="1079"/>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108"/>
        <v>Propriedade destinada a qualificar: é.automatizado</v>
      </c>
      <c r="V2196" s="5" t="str">
        <f t="shared" si="1109"/>
        <v>Dado para qualificar:  automatizado  Deve ser formatado como (xsd:boolean)</v>
      </c>
      <c r="W2196" s="69" t="s">
        <v>6142</v>
      </c>
      <c r="X2196" s="17" t="str">
        <f t="shared" si="1097"/>
        <v>d.quali.109</v>
      </c>
      <c r="Y2196" s="17" t="str">
        <f t="shared" si="1098"/>
        <v>Ação de qualificar</v>
      </c>
      <c r="Z2196" s="62" t="s">
        <v>3456</v>
      </c>
      <c r="AA2196" s="18" t="str">
        <f t="shared" si="1110"/>
        <v>null</v>
      </c>
      <c r="AB2196" s="19" t="s">
        <v>0</v>
      </c>
      <c r="AC2196" s="18" t="str">
        <f t="shared" si="1111"/>
        <v>null</v>
      </c>
      <c r="AD2196" s="19" t="s">
        <v>0</v>
      </c>
      <c r="AE2196" s="18" t="str">
        <f t="shared" si="1112"/>
        <v>null</v>
      </c>
      <c r="AF2196" s="75" t="s">
        <v>0</v>
      </c>
      <c r="AG2196" s="38" t="s">
        <v>9120</v>
      </c>
    </row>
    <row r="2197" spans="1:33" ht="6" customHeight="1" x14ac:dyDescent="0.4">
      <c r="A2197" s="4">
        <f>ROW()</f>
        <v>2197</v>
      </c>
      <c r="B2197" s="9" t="s">
        <v>27</v>
      </c>
      <c r="C2197" s="44" t="str">
        <f t="shared" si="1105"/>
        <v>p.qualificar</v>
      </c>
      <c r="D2197" s="6" t="str">
        <f t="shared" si="1106"/>
        <v>é.blindado</v>
      </c>
      <c r="E2197" s="8" t="s">
        <v>28</v>
      </c>
      <c r="F2197" s="34" t="str">
        <f t="shared" si="1107"/>
        <v>d.qualificar</v>
      </c>
      <c r="G2197" s="13" t="s">
        <v>340</v>
      </c>
      <c r="H2197" s="34" t="s">
        <v>36</v>
      </c>
      <c r="I2197" s="92" t="str">
        <f t="shared" si="1079"/>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si="1108"/>
        <v>Propriedade destinada a qualificar: é.blindado</v>
      </c>
      <c r="V2197" s="5" t="str">
        <f t="shared" si="1109"/>
        <v>Dado para qualificar:  blindado  Deve ser formatado como (xsd:boolean)</v>
      </c>
      <c r="W2197" s="69" t="s">
        <v>6143</v>
      </c>
      <c r="X2197" s="17" t="str">
        <f t="shared" si="1097"/>
        <v>d.quali.110</v>
      </c>
      <c r="Y2197" s="17" t="str">
        <f t="shared" si="1098"/>
        <v>Ação de qualificar</v>
      </c>
      <c r="Z2197" s="62" t="s">
        <v>3457</v>
      </c>
      <c r="AA2197" s="18" t="str">
        <f t="shared" si="1110"/>
        <v>null</v>
      </c>
      <c r="AB2197" s="19" t="s">
        <v>0</v>
      </c>
      <c r="AC2197" s="18" t="str">
        <f t="shared" si="1111"/>
        <v>null</v>
      </c>
      <c r="AD2197" s="19" t="s">
        <v>0</v>
      </c>
      <c r="AE2197" s="18" t="str">
        <f t="shared" si="1112"/>
        <v>null</v>
      </c>
      <c r="AF2197" s="75" t="s">
        <v>0</v>
      </c>
      <c r="AG2197" s="38" t="s">
        <v>9121</v>
      </c>
    </row>
    <row r="2198" spans="1:33" ht="6" customHeight="1" x14ac:dyDescent="0.4">
      <c r="A2198" s="4">
        <f>ROW()</f>
        <v>2198</v>
      </c>
      <c r="B2198" s="9" t="s">
        <v>27</v>
      </c>
      <c r="C2198" s="44" t="str">
        <f t="shared" si="1105"/>
        <v>p.qualificar</v>
      </c>
      <c r="D2198" s="6" t="str">
        <f t="shared" si="1106"/>
        <v>é.bruto</v>
      </c>
      <c r="E2198" s="8" t="s">
        <v>28</v>
      </c>
      <c r="F2198" s="34" t="str">
        <f t="shared" si="1107"/>
        <v>d.qualificar</v>
      </c>
      <c r="G2198" s="13" t="s">
        <v>313</v>
      </c>
      <c r="H2198" s="34" t="s">
        <v>36</v>
      </c>
      <c r="I2198" s="92" t="str">
        <f t="shared" si="1079"/>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108"/>
        <v>Propriedade destinada a qualificar: é.bruto</v>
      </c>
      <c r="V2198" s="5" t="str">
        <f t="shared" si="1109"/>
        <v>Dado para qualificar:  bruto  Deve ser formatado como (xsd:boolean)</v>
      </c>
      <c r="W2198" s="69" t="s">
        <v>6144</v>
      </c>
      <c r="X2198" s="17" t="str">
        <f t="shared" si="1097"/>
        <v>d.quali.111</v>
      </c>
      <c r="Y2198" s="17" t="str">
        <f t="shared" si="1098"/>
        <v>Ação de qualificar</v>
      </c>
      <c r="Z2198" s="62" t="s">
        <v>3458</v>
      </c>
      <c r="AA2198" s="18" t="str">
        <f t="shared" si="1110"/>
        <v>null</v>
      </c>
      <c r="AB2198" s="19" t="s">
        <v>0</v>
      </c>
      <c r="AC2198" s="18" t="str">
        <f t="shared" si="1111"/>
        <v>null</v>
      </c>
      <c r="AD2198" s="19" t="s">
        <v>0</v>
      </c>
      <c r="AE2198" s="18" t="str">
        <f t="shared" si="1112"/>
        <v>null</v>
      </c>
      <c r="AF2198" s="75" t="s">
        <v>0</v>
      </c>
      <c r="AG2198" s="38" t="s">
        <v>9122</v>
      </c>
    </row>
    <row r="2199" spans="1:33" ht="6" customHeight="1" x14ac:dyDescent="0.4">
      <c r="A2199" s="4">
        <f>ROW()</f>
        <v>2199</v>
      </c>
      <c r="B2199" s="9" t="s">
        <v>27</v>
      </c>
      <c r="C2199" s="44" t="str">
        <f t="shared" si="1105"/>
        <v>p.qualificar</v>
      </c>
      <c r="D2199" s="6" t="str">
        <f t="shared" si="1106"/>
        <v>é.defeituoso</v>
      </c>
      <c r="E2199" s="8" t="s">
        <v>28</v>
      </c>
      <c r="F2199" s="34" t="str">
        <f t="shared" si="1107"/>
        <v>d.qualificar</v>
      </c>
      <c r="G2199" s="13" t="s">
        <v>188</v>
      </c>
      <c r="H2199" s="34" t="s">
        <v>36</v>
      </c>
      <c r="I2199" s="92" t="str">
        <f t="shared" si="1079"/>
        <v>null</v>
      </c>
      <c r="J2199" s="80" t="s">
        <v>0</v>
      </c>
      <c r="K2199" s="80" t="s">
        <v>0</v>
      </c>
      <c r="L2199" s="80" t="s">
        <v>0</v>
      </c>
      <c r="M2199" s="80" t="s">
        <v>0</v>
      </c>
      <c r="N2199" s="80" t="s">
        <v>0</v>
      </c>
      <c r="O2199" s="80" t="s">
        <v>0</v>
      </c>
      <c r="P2199" s="80" t="s">
        <v>0</v>
      </c>
      <c r="Q2199" s="80" t="s">
        <v>0</v>
      </c>
      <c r="R2199" s="84" t="s">
        <v>0</v>
      </c>
      <c r="S2199" s="10" t="s">
        <v>1</v>
      </c>
      <c r="T2199" s="10" t="s">
        <v>10221</v>
      </c>
      <c r="U2199" s="5" t="str">
        <f t="shared" si="1108"/>
        <v>Propriedade destinada a qualificar: é.defeituoso</v>
      </c>
      <c r="V2199" s="5" t="str">
        <f t="shared" si="1109"/>
        <v>Dado para qualificar:  defeituoso  Deve ser formatado como (xsd:boolean)</v>
      </c>
      <c r="W2199" s="69" t="s">
        <v>6147</v>
      </c>
      <c r="X2199" s="17" t="str">
        <f t="shared" si="1097"/>
        <v>d.quali.112</v>
      </c>
      <c r="Y2199" s="17" t="str">
        <f t="shared" si="1098"/>
        <v>Ação de qualificar</v>
      </c>
      <c r="Z2199" s="62" t="s">
        <v>3461</v>
      </c>
      <c r="AA2199" s="18" t="str">
        <f t="shared" si="1110"/>
        <v>null</v>
      </c>
      <c r="AB2199" s="19" t="s">
        <v>0</v>
      </c>
      <c r="AC2199" s="18" t="str">
        <f t="shared" si="1111"/>
        <v>null</v>
      </c>
      <c r="AD2199" s="19" t="s">
        <v>0</v>
      </c>
      <c r="AE2199" s="18" t="str">
        <f t="shared" si="1112"/>
        <v>null</v>
      </c>
      <c r="AF2199" s="75" t="s">
        <v>0</v>
      </c>
      <c r="AG2199" s="38" t="s">
        <v>9123</v>
      </c>
    </row>
    <row r="2200" spans="1:33" ht="6" customHeight="1" x14ac:dyDescent="0.4">
      <c r="A2200" s="4">
        <f>ROW()</f>
        <v>2200</v>
      </c>
      <c r="B2200" s="9" t="s">
        <v>27</v>
      </c>
      <c r="C2200" s="44" t="str">
        <f t="shared" si="1105"/>
        <v>p.qualificar</v>
      </c>
      <c r="D2200" s="6" t="str">
        <f t="shared" si="1106"/>
        <v>é.descontinuado</v>
      </c>
      <c r="E2200" s="8" t="s">
        <v>28</v>
      </c>
      <c r="F2200" s="34" t="str">
        <f t="shared" si="1107"/>
        <v>d.qualificar</v>
      </c>
      <c r="G2200" s="14" t="s">
        <v>46</v>
      </c>
      <c r="H2200" s="34" t="s">
        <v>36</v>
      </c>
      <c r="I2200" s="92" t="str">
        <f t="shared" si="1079"/>
        <v>null</v>
      </c>
      <c r="J2200" s="82" t="s">
        <v>0</v>
      </c>
      <c r="K2200" s="82" t="s">
        <v>0</v>
      </c>
      <c r="L2200" s="82" t="s">
        <v>0</v>
      </c>
      <c r="M2200" s="82" t="s">
        <v>0</v>
      </c>
      <c r="N2200" s="80" t="s">
        <v>0</v>
      </c>
      <c r="O2200" s="82" t="s">
        <v>0</v>
      </c>
      <c r="P2200" s="82" t="s">
        <v>0</v>
      </c>
      <c r="Q2200" s="82" t="s">
        <v>0</v>
      </c>
      <c r="R2200" s="84" t="s">
        <v>0</v>
      </c>
      <c r="S2200" s="10" t="s">
        <v>1</v>
      </c>
      <c r="T2200" s="10" t="s">
        <v>10221</v>
      </c>
      <c r="U2200" s="5" t="str">
        <f t="shared" si="1108"/>
        <v>Propriedade destinada a qualificar: é.descontinuado</v>
      </c>
      <c r="V2200" s="5" t="str">
        <f t="shared" si="1109"/>
        <v>Dado para qualificar:  descontinuado  Deve ser formatado como (xsd:boolean)</v>
      </c>
      <c r="W2200" s="69" t="s">
        <v>6148</v>
      </c>
      <c r="X2200" s="17" t="str">
        <f t="shared" si="1097"/>
        <v>d.quali.113</v>
      </c>
      <c r="Y2200" s="17" t="str">
        <f t="shared" si="1098"/>
        <v>Ação de qualificar</v>
      </c>
      <c r="Z2200" s="62" t="s">
        <v>3462</v>
      </c>
      <c r="AA2200" s="18" t="str">
        <f t="shared" si="1110"/>
        <v>null</v>
      </c>
      <c r="AB2200" s="19" t="s">
        <v>0</v>
      </c>
      <c r="AC2200" s="18" t="str">
        <f t="shared" si="1111"/>
        <v>null</v>
      </c>
      <c r="AD2200" s="19" t="s">
        <v>0</v>
      </c>
      <c r="AE2200" s="18" t="str">
        <f t="shared" si="1112"/>
        <v>null</v>
      </c>
      <c r="AF2200" s="75" t="s">
        <v>0</v>
      </c>
      <c r="AG2200" s="38" t="s">
        <v>9124</v>
      </c>
    </row>
    <row r="2201" spans="1:33" ht="6" customHeight="1" x14ac:dyDescent="0.4">
      <c r="A2201" s="4">
        <f>ROW()</f>
        <v>2201</v>
      </c>
      <c r="B2201" s="9" t="s">
        <v>27</v>
      </c>
      <c r="C2201" s="44" t="str">
        <f t="shared" si="1105"/>
        <v>p.qualificar</v>
      </c>
      <c r="D2201" s="6" t="str">
        <f t="shared" si="1106"/>
        <v>é.direto</v>
      </c>
      <c r="E2201" s="8" t="s">
        <v>28</v>
      </c>
      <c r="F2201" s="34" t="str">
        <f t="shared" si="1107"/>
        <v>d.qualificar</v>
      </c>
      <c r="G2201" s="13" t="s">
        <v>341</v>
      </c>
      <c r="H2201" s="34" t="s">
        <v>36</v>
      </c>
      <c r="I2201" s="92" t="str">
        <f t="shared" si="1079"/>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108"/>
        <v>Propriedade destinada a qualificar: é.direto</v>
      </c>
      <c r="V2201" s="5" t="str">
        <f t="shared" si="1109"/>
        <v>Dado para qualificar:  direto  Deve ser formatado como (xsd:boolean)</v>
      </c>
      <c r="W2201" s="69" t="s">
        <v>6149</v>
      </c>
      <c r="X2201" s="17" t="str">
        <f t="shared" si="1097"/>
        <v>d.quali.114</v>
      </c>
      <c r="Y2201" s="17" t="str">
        <f t="shared" si="1098"/>
        <v>Ação de qualificar</v>
      </c>
      <c r="Z2201" s="62" t="s">
        <v>3463</v>
      </c>
      <c r="AA2201" s="18" t="str">
        <f t="shared" si="1110"/>
        <v>null</v>
      </c>
      <c r="AB2201" s="19" t="s">
        <v>0</v>
      </c>
      <c r="AC2201" s="18" t="str">
        <f t="shared" si="1111"/>
        <v>null</v>
      </c>
      <c r="AD2201" s="19" t="s">
        <v>0</v>
      </c>
      <c r="AE2201" s="18" t="str">
        <f t="shared" si="1112"/>
        <v>null</v>
      </c>
      <c r="AF2201" s="75" t="s">
        <v>0</v>
      </c>
      <c r="AG2201" s="38" t="s">
        <v>9125</v>
      </c>
    </row>
    <row r="2202" spans="1:33" ht="6" customHeight="1" x14ac:dyDescent="0.4">
      <c r="A2202" s="4">
        <f>ROW()</f>
        <v>2202</v>
      </c>
      <c r="B2202" s="9" t="s">
        <v>27</v>
      </c>
      <c r="C2202" s="44" t="str">
        <f t="shared" si="1105"/>
        <v>p.qualificar</v>
      </c>
      <c r="D2202" s="6" t="str">
        <f t="shared" si="1106"/>
        <v>é.diurno</v>
      </c>
      <c r="E2202" s="8" t="s">
        <v>28</v>
      </c>
      <c r="F2202" s="34" t="str">
        <f t="shared" si="1107"/>
        <v>d.qualificar</v>
      </c>
      <c r="G2202" s="13" t="s">
        <v>265</v>
      </c>
      <c r="H2202" s="33" t="s">
        <v>36</v>
      </c>
      <c r="I2202" s="92" t="str">
        <f t="shared" si="1079"/>
        <v>null</v>
      </c>
      <c r="J2202" s="80" t="s">
        <v>0</v>
      </c>
      <c r="K2202" s="80" t="s">
        <v>0</v>
      </c>
      <c r="L2202" s="80" t="s">
        <v>0</v>
      </c>
      <c r="M2202" s="80" t="s">
        <v>0</v>
      </c>
      <c r="N2202" s="80" t="s">
        <v>0</v>
      </c>
      <c r="O2202" s="80" t="s">
        <v>0</v>
      </c>
      <c r="P2202" s="80" t="s">
        <v>0</v>
      </c>
      <c r="Q2202" s="80" t="s">
        <v>916</v>
      </c>
      <c r="R2202" s="84" t="s">
        <v>0</v>
      </c>
      <c r="S2202" s="10" t="s">
        <v>1</v>
      </c>
      <c r="T2202" s="10" t="s">
        <v>10221</v>
      </c>
      <c r="U2202" s="5" t="str">
        <f t="shared" si="1108"/>
        <v>Propriedade destinada a qualificar: é.diurno</v>
      </c>
      <c r="V2202" s="5" t="str">
        <f t="shared" si="1109"/>
        <v>Dado para qualificar:  diurno  Deve ser formatado como (xsd:boolean)</v>
      </c>
      <c r="W2202" s="69" t="s">
        <v>6150</v>
      </c>
      <c r="X2202" s="17" t="str">
        <f t="shared" si="1097"/>
        <v>d.quali.115</v>
      </c>
      <c r="Y2202" s="17" t="str">
        <f t="shared" si="1098"/>
        <v>Ação de qualificar</v>
      </c>
      <c r="Z2202" s="62" t="s">
        <v>3464</v>
      </c>
      <c r="AA2202" s="18" t="str">
        <f t="shared" si="1110"/>
        <v>null</v>
      </c>
      <c r="AB2202" s="19" t="s">
        <v>0</v>
      </c>
      <c r="AC2202" s="18" t="str">
        <f t="shared" si="1111"/>
        <v>null</v>
      </c>
      <c r="AD2202" s="19" t="s">
        <v>0</v>
      </c>
      <c r="AE2202" s="18" t="str">
        <f t="shared" si="1112"/>
        <v>null</v>
      </c>
      <c r="AF2202" s="75" t="s">
        <v>0</v>
      </c>
      <c r="AG2202" s="38" t="s">
        <v>9126</v>
      </c>
    </row>
    <row r="2203" spans="1:33" ht="6" customHeight="1" x14ac:dyDescent="0.4">
      <c r="A2203" s="4">
        <f>ROW()</f>
        <v>2203</v>
      </c>
      <c r="B2203" s="9" t="s">
        <v>27</v>
      </c>
      <c r="C2203" s="44" t="str">
        <f t="shared" si="1105"/>
        <v>p.qualificar</v>
      </c>
      <c r="D2203" s="6" t="str">
        <f t="shared" si="1106"/>
        <v>é.divisível</v>
      </c>
      <c r="E2203" s="8" t="s">
        <v>28</v>
      </c>
      <c r="F2203" s="34" t="str">
        <f t="shared" si="1107"/>
        <v>d.qualificar</v>
      </c>
      <c r="G2203" s="13" t="s">
        <v>336</v>
      </c>
      <c r="H2203" s="34" t="s">
        <v>36</v>
      </c>
      <c r="I2203" s="92" t="str">
        <f t="shared" si="1079"/>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108"/>
        <v>Propriedade destinada a qualificar: é.divisível</v>
      </c>
      <c r="V2203" s="5" t="str">
        <f t="shared" si="1109"/>
        <v>Dado para qualificar:  divisível  Deve ser formatado como (xsd:boolean)</v>
      </c>
      <c r="W2203" s="69" t="s">
        <v>6151</v>
      </c>
      <c r="X2203" s="17" t="str">
        <f t="shared" si="1097"/>
        <v>d.quali.116</v>
      </c>
      <c r="Y2203" s="17" t="str">
        <f t="shared" si="1098"/>
        <v>Ação de qualificar</v>
      </c>
      <c r="Z2203" s="62" t="s">
        <v>3465</v>
      </c>
      <c r="AA2203" s="18" t="str">
        <f t="shared" si="1110"/>
        <v>null</v>
      </c>
      <c r="AB2203" s="19" t="s">
        <v>0</v>
      </c>
      <c r="AC2203" s="18" t="str">
        <f t="shared" si="1111"/>
        <v>null</v>
      </c>
      <c r="AD2203" s="19" t="s">
        <v>0</v>
      </c>
      <c r="AE2203" s="18" t="str">
        <f t="shared" si="1112"/>
        <v>null</v>
      </c>
      <c r="AF2203" s="75" t="s">
        <v>0</v>
      </c>
      <c r="AG2203" s="38" t="s">
        <v>9127</v>
      </c>
    </row>
    <row r="2204" spans="1:33" ht="6" customHeight="1" x14ac:dyDescent="0.4">
      <c r="A2204" s="4">
        <f>ROW()</f>
        <v>2204</v>
      </c>
      <c r="B2204" s="9" t="s">
        <v>27</v>
      </c>
      <c r="C2204" s="44" t="str">
        <f t="shared" si="1105"/>
        <v>p.qualificar</v>
      </c>
      <c r="D2204" s="6" t="str">
        <f t="shared" si="1106"/>
        <v>é.estimado</v>
      </c>
      <c r="E2204" s="8" t="s">
        <v>28</v>
      </c>
      <c r="F2204" s="34" t="str">
        <f t="shared" si="1107"/>
        <v>d.qualificar</v>
      </c>
      <c r="G2204" s="13" t="s">
        <v>315</v>
      </c>
      <c r="H2204" s="34" t="s">
        <v>36</v>
      </c>
      <c r="I2204" s="92" t="str">
        <f t="shared" si="1079"/>
        <v>null</v>
      </c>
      <c r="J2204" s="80" t="s">
        <v>0</v>
      </c>
      <c r="K2204" s="80" t="s">
        <v>0</v>
      </c>
      <c r="L2204" s="80" t="s">
        <v>0</v>
      </c>
      <c r="M2204" s="80" t="s">
        <v>0</v>
      </c>
      <c r="N2204" s="80" t="s">
        <v>0</v>
      </c>
      <c r="O2204" s="80" t="s">
        <v>0</v>
      </c>
      <c r="P2204" s="80" t="s">
        <v>0</v>
      </c>
      <c r="Q2204" s="80" t="s">
        <v>0</v>
      </c>
      <c r="R2204" s="84" t="s">
        <v>917</v>
      </c>
      <c r="S2204" s="10" t="s">
        <v>1</v>
      </c>
      <c r="T2204" s="10" t="s">
        <v>10221</v>
      </c>
      <c r="U2204" s="5" t="str">
        <f t="shared" si="1108"/>
        <v>Propriedade destinada a qualificar: é.estimado</v>
      </c>
      <c r="V2204" s="5" t="str">
        <f t="shared" si="1109"/>
        <v>Dado para qualificar:  estimado  Deve ser formatado como (xsd:boolean)</v>
      </c>
      <c r="W2204" s="69" t="s">
        <v>6152</v>
      </c>
      <c r="X2204" s="17" t="str">
        <f t="shared" si="1097"/>
        <v>d.quali.117</v>
      </c>
      <c r="Y2204" s="17" t="str">
        <f t="shared" si="1098"/>
        <v>Ação de qualificar</v>
      </c>
      <c r="Z2204" s="62" t="s">
        <v>3466</v>
      </c>
      <c r="AA2204" s="18" t="str">
        <f t="shared" si="1110"/>
        <v>null</v>
      </c>
      <c r="AB2204" s="19" t="s">
        <v>0</v>
      </c>
      <c r="AC2204" s="18" t="str">
        <f t="shared" si="1111"/>
        <v>null</v>
      </c>
      <c r="AD2204" s="19" t="s">
        <v>0</v>
      </c>
      <c r="AE2204" s="18" t="str">
        <f t="shared" si="1112"/>
        <v>null</v>
      </c>
      <c r="AF2204" s="75" t="s">
        <v>0</v>
      </c>
      <c r="AG2204" s="38" t="s">
        <v>9128</v>
      </c>
    </row>
    <row r="2205" spans="1:33" ht="6" customHeight="1" x14ac:dyDescent="0.4">
      <c r="A2205" s="4">
        <f>ROW()</f>
        <v>2205</v>
      </c>
      <c r="B2205" s="9" t="s">
        <v>27</v>
      </c>
      <c r="C2205" s="44" t="str">
        <f t="shared" si="1105"/>
        <v>p.qualificar</v>
      </c>
      <c r="D2205" s="6" t="str">
        <f t="shared" si="1106"/>
        <v>é.externo</v>
      </c>
      <c r="E2205" s="8" t="s">
        <v>28</v>
      </c>
      <c r="F2205" s="34" t="str">
        <f t="shared" si="1107"/>
        <v>d.qualificar</v>
      </c>
      <c r="G2205" s="13" t="s">
        <v>347</v>
      </c>
      <c r="H2205" s="34" t="s">
        <v>36</v>
      </c>
      <c r="I2205" s="92" t="str">
        <f t="shared" si="1079"/>
        <v>null</v>
      </c>
      <c r="J2205" s="80" t="s">
        <v>0</v>
      </c>
      <c r="K2205" s="80" t="s">
        <v>0</v>
      </c>
      <c r="L2205" s="80" t="s">
        <v>0</v>
      </c>
      <c r="M2205" s="80" t="s">
        <v>0</v>
      </c>
      <c r="N2205" s="80" t="s">
        <v>0</v>
      </c>
      <c r="O2205" s="80" t="s">
        <v>0</v>
      </c>
      <c r="P2205" s="80" t="s">
        <v>0</v>
      </c>
      <c r="Q2205" s="80" t="s">
        <v>918</v>
      </c>
      <c r="R2205" s="84" t="s">
        <v>0</v>
      </c>
      <c r="S2205" s="10" t="s">
        <v>1</v>
      </c>
      <c r="T2205" s="10" t="s">
        <v>10221</v>
      </c>
      <c r="U2205" s="5" t="str">
        <f t="shared" si="1108"/>
        <v>Propriedade destinada a qualificar: é.externo</v>
      </c>
      <c r="V2205" s="5" t="str">
        <f t="shared" si="1109"/>
        <v>Dado para qualificar:  externo  Deve ser formatado como (xsd:boolean)</v>
      </c>
      <c r="W2205" s="69" t="s">
        <v>6153</v>
      </c>
      <c r="X2205" s="17" t="str">
        <f t="shared" si="1097"/>
        <v>d.quali.118</v>
      </c>
      <c r="Y2205" s="17" t="str">
        <f t="shared" si="1098"/>
        <v>Ação de qualificar</v>
      </c>
      <c r="Z2205" s="62" t="s">
        <v>3467</v>
      </c>
      <c r="AA2205" s="18" t="str">
        <f t="shared" si="1110"/>
        <v>null</v>
      </c>
      <c r="AB2205" s="19" t="s">
        <v>0</v>
      </c>
      <c r="AC2205" s="18" t="str">
        <f t="shared" si="1111"/>
        <v>null</v>
      </c>
      <c r="AD2205" s="19" t="s">
        <v>0</v>
      </c>
      <c r="AE2205" s="18" t="str">
        <f t="shared" si="1112"/>
        <v>null</v>
      </c>
      <c r="AF2205" s="75" t="s">
        <v>0</v>
      </c>
      <c r="AG2205" s="38" t="s">
        <v>9129</v>
      </c>
    </row>
    <row r="2206" spans="1:33" ht="6" customHeight="1" x14ac:dyDescent="0.4">
      <c r="A2206" s="4">
        <f>ROW()</f>
        <v>2206</v>
      </c>
      <c r="B2206" s="9" t="s">
        <v>27</v>
      </c>
      <c r="C2206" s="44" t="str">
        <f t="shared" si="1105"/>
        <v>p.qualificar</v>
      </c>
      <c r="D2206" s="6" t="str">
        <f t="shared" si="1106"/>
        <v>é.fechado</v>
      </c>
      <c r="E2206" s="8" t="s">
        <v>28</v>
      </c>
      <c r="F2206" s="34" t="str">
        <f t="shared" si="1107"/>
        <v>d.qualificar</v>
      </c>
      <c r="G2206" s="14" t="s">
        <v>217</v>
      </c>
      <c r="H2206" s="33" t="s">
        <v>36</v>
      </c>
      <c r="I2206" s="92" t="str">
        <f t="shared" si="1079"/>
        <v>null</v>
      </c>
      <c r="J2206" s="82" t="s">
        <v>0</v>
      </c>
      <c r="K2206" s="82" t="s">
        <v>0</v>
      </c>
      <c r="L2206" s="82" t="s">
        <v>0</v>
      </c>
      <c r="M2206" s="82" t="s">
        <v>0</v>
      </c>
      <c r="N2206" s="80" t="s">
        <v>0</v>
      </c>
      <c r="O2206" s="82" t="s">
        <v>0</v>
      </c>
      <c r="P2206" s="82" t="s">
        <v>0</v>
      </c>
      <c r="Q2206" s="82" t="s">
        <v>919</v>
      </c>
      <c r="R2206" s="84" t="s">
        <v>0</v>
      </c>
      <c r="S2206" s="10" t="s">
        <v>1</v>
      </c>
      <c r="T2206" s="10" t="s">
        <v>10221</v>
      </c>
      <c r="U2206" s="5" t="str">
        <f t="shared" si="1108"/>
        <v>Propriedade destinada a qualificar: é.fechado</v>
      </c>
      <c r="V2206" s="5" t="str">
        <f t="shared" si="1109"/>
        <v>Dado para qualificar:  fechado  Deve ser formatado como (xsd:boolean)</v>
      </c>
      <c r="W2206" s="69" t="s">
        <v>6154</v>
      </c>
      <c r="X2206" s="17" t="str">
        <f t="shared" si="1097"/>
        <v>d.quali.119</v>
      </c>
      <c r="Y2206" s="17" t="str">
        <f t="shared" si="1098"/>
        <v>Ação de qualificar</v>
      </c>
      <c r="Z2206" s="62" t="s">
        <v>3468</v>
      </c>
      <c r="AA2206" s="18" t="str">
        <f t="shared" si="1110"/>
        <v>null</v>
      </c>
      <c r="AB2206" s="19" t="s">
        <v>0</v>
      </c>
      <c r="AC2206" s="18" t="str">
        <f t="shared" si="1111"/>
        <v>null</v>
      </c>
      <c r="AD2206" s="19" t="s">
        <v>0</v>
      </c>
      <c r="AE2206" s="18" t="str">
        <f t="shared" si="1112"/>
        <v>null</v>
      </c>
      <c r="AF2206" s="75" t="s">
        <v>0</v>
      </c>
      <c r="AG2206" s="38" t="s">
        <v>9130</v>
      </c>
    </row>
    <row r="2207" spans="1:33" ht="6" customHeight="1" x14ac:dyDescent="0.4">
      <c r="A2207" s="4">
        <f>ROW()</f>
        <v>2207</v>
      </c>
      <c r="B2207" s="9" t="s">
        <v>27</v>
      </c>
      <c r="C2207" s="44" t="str">
        <f t="shared" si="1105"/>
        <v>p.qualificar</v>
      </c>
      <c r="D2207" s="6" t="str">
        <f t="shared" si="1106"/>
        <v>é.feriado</v>
      </c>
      <c r="E2207" s="8" t="s">
        <v>28</v>
      </c>
      <c r="F2207" s="34" t="str">
        <f t="shared" si="1107"/>
        <v>d.qualificar</v>
      </c>
      <c r="G2207" s="13" t="s">
        <v>185</v>
      </c>
      <c r="H2207" s="33" t="s">
        <v>36</v>
      </c>
      <c r="I2207" s="92" t="str">
        <f t="shared" si="1079"/>
        <v>null</v>
      </c>
      <c r="J2207" s="80" t="s">
        <v>0</v>
      </c>
      <c r="K2207" s="80" t="s">
        <v>0</v>
      </c>
      <c r="L2207" s="80" t="s">
        <v>0</v>
      </c>
      <c r="M2207" s="80" t="s">
        <v>0</v>
      </c>
      <c r="N2207" s="80" t="s">
        <v>0</v>
      </c>
      <c r="O2207" s="80" t="s">
        <v>0</v>
      </c>
      <c r="P2207" s="80" t="s">
        <v>0</v>
      </c>
      <c r="Q2207" s="80" t="s">
        <v>920</v>
      </c>
      <c r="R2207" s="84" t="s">
        <v>0</v>
      </c>
      <c r="S2207" s="10" t="s">
        <v>1</v>
      </c>
      <c r="T2207" s="10" t="s">
        <v>10221</v>
      </c>
      <c r="U2207" s="5" t="str">
        <f t="shared" si="1108"/>
        <v>Propriedade destinada a qualificar: é.feriado</v>
      </c>
      <c r="V2207" s="5" t="str">
        <f t="shared" si="1109"/>
        <v>Dado para qualificar:  feriado  Deve ser formatado como (xsd:boolean)</v>
      </c>
      <c r="W2207" s="69" t="s">
        <v>6155</v>
      </c>
      <c r="X2207" s="17" t="str">
        <f t="shared" si="1097"/>
        <v>d.quali.120</v>
      </c>
      <c r="Y2207" s="17" t="str">
        <f t="shared" si="1098"/>
        <v>Ação de qualificar</v>
      </c>
      <c r="Z2207" s="62" t="s">
        <v>3469</v>
      </c>
      <c r="AA2207" s="18" t="str">
        <f t="shared" si="1110"/>
        <v>null</v>
      </c>
      <c r="AB2207" s="19" t="s">
        <v>0</v>
      </c>
      <c r="AC2207" s="18" t="str">
        <f t="shared" si="1111"/>
        <v>null</v>
      </c>
      <c r="AD2207" s="19" t="s">
        <v>0</v>
      </c>
      <c r="AE2207" s="18" t="str">
        <f t="shared" si="1112"/>
        <v>null</v>
      </c>
      <c r="AF2207" s="75" t="s">
        <v>0</v>
      </c>
      <c r="AG2207" s="38" t="s">
        <v>9131</v>
      </c>
    </row>
    <row r="2208" spans="1:33" ht="6" customHeight="1" x14ac:dyDescent="0.4">
      <c r="A2208" s="4">
        <f>ROW()</f>
        <v>2208</v>
      </c>
      <c r="B2208" s="9" t="s">
        <v>27</v>
      </c>
      <c r="C2208" s="44" t="str">
        <f t="shared" si="1105"/>
        <v>p.qualificar</v>
      </c>
      <c r="D2208" s="6" t="str">
        <f t="shared" si="1106"/>
        <v>é.fixa</v>
      </c>
      <c r="E2208" s="8" t="s">
        <v>28</v>
      </c>
      <c r="F2208" s="34" t="str">
        <f t="shared" si="1107"/>
        <v>d.qualificar</v>
      </c>
      <c r="G2208" s="13" t="s">
        <v>291</v>
      </c>
      <c r="H2208" s="34" t="s">
        <v>36</v>
      </c>
      <c r="I2208" s="92" t="str">
        <f t="shared" si="1079"/>
        <v>null</v>
      </c>
      <c r="J2208" s="80" t="s">
        <v>0</v>
      </c>
      <c r="K2208" s="80" t="s">
        <v>0</v>
      </c>
      <c r="L2208" s="80" t="s">
        <v>0</v>
      </c>
      <c r="M2208" s="80" t="s">
        <v>0</v>
      </c>
      <c r="N2208" s="80" t="s">
        <v>0</v>
      </c>
      <c r="O2208" s="80" t="s">
        <v>0</v>
      </c>
      <c r="P2208" s="80" t="s">
        <v>0</v>
      </c>
      <c r="Q2208" s="80" t="s">
        <v>0</v>
      </c>
      <c r="R2208" s="84" t="s">
        <v>3270</v>
      </c>
      <c r="S2208" s="10" t="s">
        <v>1</v>
      </c>
      <c r="T2208" s="10" t="s">
        <v>10221</v>
      </c>
      <c r="U2208" s="5" t="str">
        <f t="shared" si="1108"/>
        <v>Propriedade destinada a qualificar: é.fixa</v>
      </c>
      <c r="V2208" s="5" t="str">
        <f t="shared" si="1109"/>
        <v>Dado para qualificar:  fixa  Deve ser formatado como (xsd:boolean)</v>
      </c>
      <c r="W2208" s="69" t="s">
        <v>6554</v>
      </c>
      <c r="X2208" s="17" t="str">
        <f t="shared" si="1097"/>
        <v>d.quali.121</v>
      </c>
      <c r="Y2208" s="17" t="str">
        <f t="shared" si="1098"/>
        <v>Ação de qualificar</v>
      </c>
      <c r="Z2208" s="62" t="s">
        <v>6558</v>
      </c>
      <c r="AA2208" s="18" t="str">
        <f t="shared" si="1110"/>
        <v>null</v>
      </c>
      <c r="AB2208" s="19" t="s">
        <v>0</v>
      </c>
      <c r="AC2208" s="18" t="str">
        <f t="shared" si="1111"/>
        <v>null</v>
      </c>
      <c r="AD2208" s="19" t="s">
        <v>0</v>
      </c>
      <c r="AE2208" s="18" t="str">
        <f t="shared" si="1112"/>
        <v>null</v>
      </c>
      <c r="AF2208" s="75" t="s">
        <v>0</v>
      </c>
      <c r="AG2208" s="38" t="s">
        <v>9132</v>
      </c>
    </row>
    <row r="2209" spans="1:33" ht="6" customHeight="1" x14ac:dyDescent="0.4">
      <c r="A2209" s="4">
        <f>ROW()</f>
        <v>2209</v>
      </c>
      <c r="B2209" s="9" t="s">
        <v>27</v>
      </c>
      <c r="C2209" s="44" t="str">
        <f t="shared" si="1105"/>
        <v>p.qualificar</v>
      </c>
      <c r="D2209" s="6" t="str">
        <f t="shared" si="1106"/>
        <v>é.fixo</v>
      </c>
      <c r="E2209" s="8" t="s">
        <v>28</v>
      </c>
      <c r="F2209" s="34" t="str">
        <f t="shared" si="1107"/>
        <v>d.qualificar</v>
      </c>
      <c r="G2209" s="13" t="s">
        <v>3268</v>
      </c>
      <c r="H2209" s="34" t="s">
        <v>36</v>
      </c>
      <c r="I2209" s="92" t="str">
        <f t="shared" si="1079"/>
        <v>null</v>
      </c>
      <c r="J2209" s="80" t="s">
        <v>0</v>
      </c>
      <c r="K2209" s="80" t="s">
        <v>0</v>
      </c>
      <c r="L2209" s="80" t="s">
        <v>0</v>
      </c>
      <c r="M2209" s="80" t="s">
        <v>0</v>
      </c>
      <c r="N2209" s="80" t="s">
        <v>0</v>
      </c>
      <c r="O2209" s="80" t="s">
        <v>0</v>
      </c>
      <c r="P2209" s="80" t="s">
        <v>0</v>
      </c>
      <c r="Q2209" s="80" t="s">
        <v>3271</v>
      </c>
      <c r="R2209" s="84" t="s">
        <v>3272</v>
      </c>
      <c r="S2209" s="10" t="s">
        <v>1</v>
      </c>
      <c r="T2209" s="10" t="s">
        <v>10221</v>
      </c>
      <c r="U2209" s="5" t="str">
        <f t="shared" si="1108"/>
        <v>Propriedade destinada a qualificar: é.fixo</v>
      </c>
      <c r="V2209" s="5" t="str">
        <f t="shared" si="1109"/>
        <v>Dado para qualificar:  fixo  Deve ser formatado como (xsd:boolean)</v>
      </c>
      <c r="W2209" s="69" t="s">
        <v>4722</v>
      </c>
      <c r="X2209" s="17" t="str">
        <f t="shared" si="1097"/>
        <v>d.quali.122</v>
      </c>
      <c r="Y2209" s="17" t="str">
        <f t="shared" si="1098"/>
        <v>Ação de qualificar</v>
      </c>
      <c r="Z2209" s="62" t="s">
        <v>6557</v>
      </c>
      <c r="AA2209" s="18" t="str">
        <f t="shared" si="1110"/>
        <v>null</v>
      </c>
      <c r="AB2209" s="19" t="s">
        <v>0</v>
      </c>
      <c r="AC2209" s="18" t="str">
        <f t="shared" si="1111"/>
        <v>null</v>
      </c>
      <c r="AD2209" s="19" t="s">
        <v>0</v>
      </c>
      <c r="AE2209" s="18" t="str">
        <f t="shared" si="1112"/>
        <v>null</v>
      </c>
      <c r="AF2209" s="75" t="s">
        <v>0</v>
      </c>
      <c r="AG2209" s="38" t="s">
        <v>9133</v>
      </c>
    </row>
    <row r="2210" spans="1:33" ht="6" customHeight="1" x14ac:dyDescent="0.4">
      <c r="A2210" s="4">
        <f>ROW()</f>
        <v>2210</v>
      </c>
      <c r="B2210" s="9" t="s">
        <v>27</v>
      </c>
      <c r="C2210" s="44" t="str">
        <f t="shared" si="1105"/>
        <v>p.qualificar</v>
      </c>
      <c r="D2210" s="6" t="str">
        <f t="shared" si="1106"/>
        <v>é.futuro</v>
      </c>
      <c r="E2210" s="8" t="s">
        <v>28</v>
      </c>
      <c r="F2210" s="34" t="str">
        <f t="shared" si="1107"/>
        <v>d.qualificar</v>
      </c>
      <c r="G2210" s="13" t="s">
        <v>318</v>
      </c>
      <c r="H2210" s="34" t="s">
        <v>36</v>
      </c>
      <c r="I2210" s="92" t="str">
        <f t="shared" si="1079"/>
        <v>null</v>
      </c>
      <c r="J2210" s="80" t="s">
        <v>0</v>
      </c>
      <c r="K2210" s="80" t="s">
        <v>0</v>
      </c>
      <c r="L2210" s="80" t="s">
        <v>0</v>
      </c>
      <c r="M2210" s="80" t="s">
        <v>0</v>
      </c>
      <c r="N2210" s="80" t="s">
        <v>0</v>
      </c>
      <c r="O2210" s="80" t="s">
        <v>0</v>
      </c>
      <c r="P2210" s="80" t="s">
        <v>0</v>
      </c>
      <c r="Q2210" s="80" t="s">
        <v>921</v>
      </c>
      <c r="R2210" s="84" t="s">
        <v>0</v>
      </c>
      <c r="S2210" s="10" t="s">
        <v>1</v>
      </c>
      <c r="T2210" s="10" t="s">
        <v>10221</v>
      </c>
      <c r="U2210" s="5" t="str">
        <f t="shared" si="1108"/>
        <v>Propriedade destinada a qualificar: é.futuro</v>
      </c>
      <c r="V2210" s="5" t="str">
        <f t="shared" si="1109"/>
        <v>Dado para qualificar:  futuro  Deve ser formatado como (xsd:boolean)</v>
      </c>
      <c r="W2210" s="69" t="s">
        <v>6156</v>
      </c>
      <c r="X2210" s="17" t="str">
        <f t="shared" si="1097"/>
        <v>d.quali.123</v>
      </c>
      <c r="Y2210" s="17" t="str">
        <f t="shared" si="1098"/>
        <v>Ação de qualificar</v>
      </c>
      <c r="Z2210" s="62" t="s">
        <v>3470</v>
      </c>
      <c r="AA2210" s="18" t="str">
        <f t="shared" si="1110"/>
        <v>null</v>
      </c>
      <c r="AB2210" s="19" t="s">
        <v>0</v>
      </c>
      <c r="AC2210" s="18" t="str">
        <f t="shared" si="1111"/>
        <v>null</v>
      </c>
      <c r="AD2210" s="19" t="s">
        <v>0</v>
      </c>
      <c r="AE2210" s="18" t="str">
        <f t="shared" si="1112"/>
        <v>null</v>
      </c>
      <c r="AF2210" s="75" t="s">
        <v>0</v>
      </c>
      <c r="AG2210" s="38" t="s">
        <v>9134</v>
      </c>
    </row>
    <row r="2211" spans="1:33" ht="6" customHeight="1" x14ac:dyDescent="0.4">
      <c r="A2211" s="4">
        <f>ROW()</f>
        <v>2211</v>
      </c>
      <c r="B2211" s="9" t="s">
        <v>27</v>
      </c>
      <c r="C2211" s="44" t="str">
        <f t="shared" si="1105"/>
        <v>p.qualificar</v>
      </c>
      <c r="D2211" s="6" t="str">
        <f t="shared" si="1106"/>
        <v>é.hipotético</v>
      </c>
      <c r="E2211" s="8" t="s">
        <v>28</v>
      </c>
      <c r="F2211" s="34" t="str">
        <f t="shared" si="1107"/>
        <v>d.qualificar</v>
      </c>
      <c r="G2211" s="13" t="s">
        <v>321</v>
      </c>
      <c r="H2211" s="34" t="s">
        <v>36</v>
      </c>
      <c r="I2211" s="92" t="str">
        <f t="shared" si="1079"/>
        <v>null</v>
      </c>
      <c r="J2211" s="80" t="s">
        <v>0</v>
      </c>
      <c r="K2211" s="80" t="s">
        <v>0</v>
      </c>
      <c r="L2211" s="80" t="s">
        <v>0</v>
      </c>
      <c r="M2211" s="80" t="s">
        <v>0</v>
      </c>
      <c r="N2211" s="80" t="s">
        <v>0</v>
      </c>
      <c r="O2211" s="80" t="s">
        <v>0</v>
      </c>
      <c r="P2211" s="80" t="s">
        <v>0</v>
      </c>
      <c r="Q2211" s="80" t="s">
        <v>0</v>
      </c>
      <c r="R2211" s="84" t="s">
        <v>922</v>
      </c>
      <c r="S2211" s="10" t="s">
        <v>1</v>
      </c>
      <c r="T2211" s="10" t="s">
        <v>10221</v>
      </c>
      <c r="U2211" s="5" t="str">
        <f t="shared" si="1108"/>
        <v>Propriedade destinada a qualificar: é.hipotético</v>
      </c>
      <c r="V2211" s="5" t="str">
        <f t="shared" si="1109"/>
        <v>Dado para qualificar:  hipotético  Deve ser formatado como (xsd:boolean)</v>
      </c>
      <c r="W2211" s="69" t="s">
        <v>6157</v>
      </c>
      <c r="X2211" s="17" t="str">
        <f t="shared" si="1097"/>
        <v>d.quali.124</v>
      </c>
      <c r="Y2211" s="17" t="str">
        <f t="shared" si="1098"/>
        <v>Ação de qualificar</v>
      </c>
      <c r="Z2211" s="62" t="s">
        <v>3471</v>
      </c>
      <c r="AA2211" s="18" t="str">
        <f t="shared" si="1110"/>
        <v>null</v>
      </c>
      <c r="AB2211" s="19" t="s">
        <v>0</v>
      </c>
      <c r="AC2211" s="18" t="str">
        <f t="shared" si="1111"/>
        <v>null</v>
      </c>
      <c r="AD2211" s="19" t="s">
        <v>0</v>
      </c>
      <c r="AE2211" s="18" t="str">
        <f t="shared" si="1112"/>
        <v>null</v>
      </c>
      <c r="AF2211" s="75" t="s">
        <v>0</v>
      </c>
      <c r="AG2211" s="38" t="s">
        <v>9135</v>
      </c>
    </row>
    <row r="2212" spans="1:33" ht="6" customHeight="1" x14ac:dyDescent="0.4">
      <c r="A2212" s="4">
        <f>ROW()</f>
        <v>2212</v>
      </c>
      <c r="B2212" s="9" t="s">
        <v>27</v>
      </c>
      <c r="C2212" s="44" t="str">
        <f t="shared" si="1105"/>
        <v>p.qualificar</v>
      </c>
      <c r="D2212" s="6" t="str">
        <f t="shared" si="1106"/>
        <v>é.ideal</v>
      </c>
      <c r="E2212" s="8" t="s">
        <v>28</v>
      </c>
      <c r="F2212" s="34" t="str">
        <f t="shared" si="1107"/>
        <v>d.qualificar</v>
      </c>
      <c r="G2212" s="13" t="s">
        <v>316</v>
      </c>
      <c r="H2212" s="34" t="s">
        <v>36</v>
      </c>
      <c r="I2212" s="92" t="str">
        <f t="shared" si="1079"/>
        <v>null</v>
      </c>
      <c r="J2212" s="80" t="s">
        <v>0</v>
      </c>
      <c r="K2212" s="80" t="s">
        <v>0</v>
      </c>
      <c r="L2212" s="80" t="s">
        <v>0</v>
      </c>
      <c r="M2212" s="80" t="s">
        <v>0</v>
      </c>
      <c r="N2212" s="80" t="s">
        <v>0</v>
      </c>
      <c r="O2212" s="80" t="s">
        <v>0</v>
      </c>
      <c r="P2212" s="80" t="s">
        <v>0</v>
      </c>
      <c r="Q2212" s="80" t="s">
        <v>0</v>
      </c>
      <c r="R2212" s="84" t="s">
        <v>0</v>
      </c>
      <c r="S2212" s="10" t="s">
        <v>1</v>
      </c>
      <c r="T2212" s="10" t="s">
        <v>10221</v>
      </c>
      <c r="U2212" s="5" t="str">
        <f t="shared" si="1108"/>
        <v>Propriedade destinada a qualificar: é.ideal</v>
      </c>
      <c r="V2212" s="5" t="str">
        <f t="shared" si="1109"/>
        <v>Dado para qualificar:  ideal  Deve ser formatado como (xsd:boolean)</v>
      </c>
      <c r="W2212" s="69" t="s">
        <v>6158</v>
      </c>
      <c r="X2212" s="17" t="str">
        <f t="shared" si="1097"/>
        <v>d.quali.125</v>
      </c>
      <c r="Y2212" s="17" t="str">
        <f t="shared" si="1098"/>
        <v>Ação de qualificar</v>
      </c>
      <c r="Z2212" s="62" t="s">
        <v>3472</v>
      </c>
      <c r="AA2212" s="18" t="str">
        <f t="shared" si="1110"/>
        <v>null</v>
      </c>
      <c r="AB2212" s="19" t="s">
        <v>0</v>
      </c>
      <c r="AC2212" s="18" t="str">
        <f t="shared" si="1111"/>
        <v>null</v>
      </c>
      <c r="AD2212" s="19" t="s">
        <v>0</v>
      </c>
      <c r="AE2212" s="18" t="str">
        <f t="shared" si="1112"/>
        <v>null</v>
      </c>
      <c r="AF2212" s="75" t="s">
        <v>0</v>
      </c>
      <c r="AG2212" s="38" t="s">
        <v>9136</v>
      </c>
    </row>
    <row r="2213" spans="1:33" ht="6" customHeight="1" x14ac:dyDescent="0.4">
      <c r="A2213" s="4">
        <f>ROW()</f>
        <v>2213</v>
      </c>
      <c r="B2213" s="9" t="s">
        <v>27</v>
      </c>
      <c r="C2213" s="44" t="str">
        <f t="shared" si="1105"/>
        <v>p.qualificar</v>
      </c>
      <c r="D2213" s="6" t="str">
        <f t="shared" si="1106"/>
        <v>é.imperfeito</v>
      </c>
      <c r="E2213" s="8" t="s">
        <v>28</v>
      </c>
      <c r="F2213" s="34" t="str">
        <f t="shared" si="1107"/>
        <v>d.qualificar</v>
      </c>
      <c r="G2213" s="13" t="s">
        <v>327</v>
      </c>
      <c r="H2213" s="34" t="s">
        <v>36</v>
      </c>
      <c r="I2213" s="92" t="str">
        <f t="shared" si="1079"/>
        <v>null</v>
      </c>
      <c r="J2213" s="80" t="s">
        <v>0</v>
      </c>
      <c r="K2213" s="80" t="s">
        <v>0</v>
      </c>
      <c r="L2213" s="80" t="s">
        <v>0</v>
      </c>
      <c r="M2213" s="80" t="s">
        <v>0</v>
      </c>
      <c r="N2213" s="80" t="s">
        <v>0</v>
      </c>
      <c r="O2213" s="80" t="s">
        <v>0</v>
      </c>
      <c r="P2213" s="80" t="s">
        <v>0</v>
      </c>
      <c r="Q2213" s="80" t="s">
        <v>0</v>
      </c>
      <c r="R2213" s="84" t="s">
        <v>0</v>
      </c>
      <c r="S2213" s="10" t="s">
        <v>1</v>
      </c>
      <c r="T2213" s="10" t="s">
        <v>10221</v>
      </c>
      <c r="U2213" s="5" t="str">
        <f t="shared" si="1108"/>
        <v>Propriedade destinada a qualificar: é.imperfeito</v>
      </c>
      <c r="V2213" s="5" t="str">
        <f t="shared" si="1109"/>
        <v>Dado para qualificar:  imperfeito  Deve ser formatado como (xsd:boolean)</v>
      </c>
      <c r="W2213" s="69" t="s">
        <v>6159</v>
      </c>
      <c r="X2213" s="17" t="str">
        <f t="shared" si="1097"/>
        <v>d.quali.126</v>
      </c>
      <c r="Y2213" s="17" t="str">
        <f t="shared" si="1098"/>
        <v>Ação de qualificar</v>
      </c>
      <c r="Z2213" s="62" t="s">
        <v>3473</v>
      </c>
      <c r="AA2213" s="18" t="str">
        <f t="shared" si="1110"/>
        <v>null</v>
      </c>
      <c r="AB2213" s="19" t="s">
        <v>0</v>
      </c>
      <c r="AC2213" s="18" t="str">
        <f t="shared" si="1111"/>
        <v>null</v>
      </c>
      <c r="AD2213" s="19" t="s">
        <v>0</v>
      </c>
      <c r="AE2213" s="18" t="str">
        <f t="shared" si="1112"/>
        <v>null</v>
      </c>
      <c r="AF2213" s="75" t="s">
        <v>0</v>
      </c>
      <c r="AG2213" s="38" t="s">
        <v>9137</v>
      </c>
    </row>
    <row r="2214" spans="1:33" ht="6" customHeight="1" x14ac:dyDescent="0.4">
      <c r="A2214" s="4">
        <f>ROW()</f>
        <v>2214</v>
      </c>
      <c r="B2214" s="9" t="s">
        <v>27</v>
      </c>
      <c r="C2214" s="44" t="str">
        <f t="shared" ref="C2214" si="1120">SUBSTITUTE(F2214,"d.","p.")</f>
        <v>p.qualificar</v>
      </c>
      <c r="D2214" s="6" t="str">
        <f t="shared" ref="D2214" si="1121">_xlfn.CONCAT("é.",G2214)</f>
        <v>é.imprimível</v>
      </c>
      <c r="E2214" s="8" t="s">
        <v>28</v>
      </c>
      <c r="F2214" s="34" t="str">
        <f>F2212</f>
        <v>d.qualificar</v>
      </c>
      <c r="G2214" s="13" t="s">
        <v>7093</v>
      </c>
      <c r="H2214" s="34" t="s">
        <v>36</v>
      </c>
      <c r="I2214" s="92" t="str">
        <f t="shared" si="1079"/>
        <v>null</v>
      </c>
      <c r="J2214" s="80" t="s">
        <v>0</v>
      </c>
      <c r="K2214" s="80" t="s">
        <v>0</v>
      </c>
      <c r="L2214" s="80" t="s">
        <v>0</v>
      </c>
      <c r="M2214" s="80" t="s">
        <v>0</v>
      </c>
      <c r="N2214" s="80" t="s">
        <v>0</v>
      </c>
      <c r="O2214" s="80" t="s">
        <v>0</v>
      </c>
      <c r="P2214" s="80" t="s">
        <v>0</v>
      </c>
      <c r="Q2214" s="80" t="s">
        <v>0</v>
      </c>
      <c r="R2214" s="84" t="s">
        <v>0</v>
      </c>
      <c r="S2214" s="10" t="s">
        <v>1</v>
      </c>
      <c r="T2214" s="10" t="s">
        <v>10221</v>
      </c>
      <c r="U2214" s="5" t="str">
        <f t="shared" ref="U2214" si="1122">_xlfn.CONCAT("Propriedade destinada a ",MID(C2214,FIND("p.",C2214,1)+2,100),": ",D2214)</f>
        <v>Propriedade destinada a qualificar: é.imprimível</v>
      </c>
      <c r="V2214" s="5" t="str">
        <f t="shared" ref="V2214" si="1123">_xlfn.CONCAT("Dado para ",MID(F2214,FIND("d.",F2214,1)+2,100),":  ",G2214, "  Deve ser formatado como (",H2214, ")")</f>
        <v>Dado para qualificar:  imprimível  Deve ser formatado como (xsd:boolean)</v>
      </c>
      <c r="W2214" s="69" t="s">
        <v>7094</v>
      </c>
      <c r="X2214" s="17" t="str">
        <f t="shared" si="1097"/>
        <v>d.quali.127</v>
      </c>
      <c r="Y2214" s="17" t="str">
        <f t="shared" si="1098"/>
        <v>Ação de qualificar</v>
      </c>
      <c r="Z2214" s="62" t="s">
        <v>7095</v>
      </c>
      <c r="AA2214" s="18" t="str">
        <f t="shared" ref="AA2214" si="1124">IF(AB2214="null", "null", "categoria.revit")</f>
        <v>null</v>
      </c>
      <c r="AB2214" s="19" t="s">
        <v>0</v>
      </c>
      <c r="AC2214" s="18" t="str">
        <f t="shared" ref="AC2214" si="1125">IF(AD2214="null", "null", "classe.ifc")</f>
        <v>null</v>
      </c>
      <c r="AD2214" s="19" t="s">
        <v>0</v>
      </c>
      <c r="AE2214" s="18" t="str">
        <f t="shared" ref="AE2214" si="1126">IF(AF2214="null", "null", "propriedade")</f>
        <v>null</v>
      </c>
      <c r="AF2214" s="75" t="s">
        <v>0</v>
      </c>
      <c r="AG2214" s="38" t="s">
        <v>9138</v>
      </c>
    </row>
    <row r="2215" spans="1:33" ht="6" customHeight="1" x14ac:dyDescent="0.4">
      <c r="A2215" s="4">
        <f>ROW()</f>
        <v>2215</v>
      </c>
      <c r="B2215" s="9" t="s">
        <v>27</v>
      </c>
      <c r="C2215" s="44" t="str">
        <f t="shared" si="1105"/>
        <v>p.qualificar</v>
      </c>
      <c r="D2215" s="6" t="str">
        <f t="shared" si="1106"/>
        <v>é.improvável</v>
      </c>
      <c r="E2215" s="8" t="s">
        <v>28</v>
      </c>
      <c r="F2215" s="34" t="str">
        <f>F2213</f>
        <v>d.qualificar</v>
      </c>
      <c r="G2215" s="13" t="s">
        <v>324</v>
      </c>
      <c r="H2215" s="34" t="s">
        <v>36</v>
      </c>
      <c r="I2215" s="92" t="str">
        <f t="shared" si="1079"/>
        <v>null</v>
      </c>
      <c r="J2215" s="80" t="s">
        <v>0</v>
      </c>
      <c r="K2215" s="80" t="s">
        <v>0</v>
      </c>
      <c r="L2215" s="80" t="s">
        <v>0</v>
      </c>
      <c r="M2215" s="80" t="s">
        <v>0</v>
      </c>
      <c r="N2215" s="80" t="s">
        <v>0</v>
      </c>
      <c r="O2215" s="80" t="s">
        <v>0</v>
      </c>
      <c r="P2215" s="80" t="s">
        <v>0</v>
      </c>
      <c r="Q2215" s="80" t="s">
        <v>0</v>
      </c>
      <c r="R2215" s="84" t="s">
        <v>0</v>
      </c>
      <c r="S2215" s="10" t="s">
        <v>1</v>
      </c>
      <c r="T2215" s="10" t="s">
        <v>10221</v>
      </c>
      <c r="U2215" s="5" t="str">
        <f t="shared" si="1108"/>
        <v>Propriedade destinada a qualificar: é.improvável</v>
      </c>
      <c r="V2215" s="5" t="str">
        <f t="shared" si="1109"/>
        <v>Dado para qualificar:  improvável  Deve ser formatado como (xsd:boolean)</v>
      </c>
      <c r="W2215" s="69" t="s">
        <v>6160</v>
      </c>
      <c r="X2215" s="17" t="str">
        <f t="shared" si="1097"/>
        <v>d.quali.128</v>
      </c>
      <c r="Y2215" s="17" t="str">
        <f t="shared" si="1098"/>
        <v>Ação de qualificar</v>
      </c>
      <c r="Z2215" s="62" t="s">
        <v>3474</v>
      </c>
      <c r="AA2215" s="18" t="str">
        <f t="shared" si="1110"/>
        <v>null</v>
      </c>
      <c r="AB2215" s="19" t="s">
        <v>0</v>
      </c>
      <c r="AC2215" s="18" t="str">
        <f t="shared" si="1111"/>
        <v>null</v>
      </c>
      <c r="AD2215" s="19" t="s">
        <v>0</v>
      </c>
      <c r="AE2215" s="18" t="str">
        <f t="shared" si="1112"/>
        <v>null</v>
      </c>
      <c r="AF2215" s="75" t="s">
        <v>0</v>
      </c>
      <c r="AG2215" s="38" t="s">
        <v>9139</v>
      </c>
    </row>
    <row r="2216" spans="1:33" ht="6" customHeight="1" x14ac:dyDescent="0.4">
      <c r="A2216" s="4">
        <f>ROW()</f>
        <v>2216</v>
      </c>
      <c r="B2216" s="9" t="s">
        <v>27</v>
      </c>
      <c r="C2216" s="44" t="str">
        <f t="shared" si="1105"/>
        <v>p.qualificar</v>
      </c>
      <c r="D2216" s="6" t="str">
        <f t="shared" si="1106"/>
        <v>é.intermediário</v>
      </c>
      <c r="E2216" s="8" t="s">
        <v>28</v>
      </c>
      <c r="F2216" s="34" t="str">
        <f t="shared" si="1107"/>
        <v>d.qualificar</v>
      </c>
      <c r="G2216" s="13" t="s">
        <v>349</v>
      </c>
      <c r="H2216" s="34" t="s">
        <v>36</v>
      </c>
      <c r="I2216" s="92" t="str">
        <f t="shared" si="1079"/>
        <v>null</v>
      </c>
      <c r="J2216" s="80" t="s">
        <v>0</v>
      </c>
      <c r="K2216" s="80" t="s">
        <v>0</v>
      </c>
      <c r="L2216" s="80" t="s">
        <v>0</v>
      </c>
      <c r="M2216" s="80" t="s">
        <v>0</v>
      </c>
      <c r="N2216" s="80" t="s">
        <v>0</v>
      </c>
      <c r="O2216" s="80" t="s">
        <v>0</v>
      </c>
      <c r="P2216" s="80" t="s">
        <v>0</v>
      </c>
      <c r="Q2216" s="80" t="s">
        <v>0</v>
      </c>
      <c r="R2216" s="84" t="s">
        <v>0</v>
      </c>
      <c r="S2216" s="10" t="s">
        <v>1</v>
      </c>
      <c r="T2216" s="10" t="s">
        <v>10221</v>
      </c>
      <c r="U2216" s="5" t="str">
        <f t="shared" si="1108"/>
        <v>Propriedade destinada a qualificar: é.intermediário</v>
      </c>
      <c r="V2216" s="5" t="str">
        <f t="shared" si="1109"/>
        <v>Dado para qualificar:  intermediário  Deve ser formatado como (xsd:boolean)</v>
      </c>
      <c r="W2216" s="69" t="s">
        <v>6161</v>
      </c>
      <c r="X2216" s="17" t="str">
        <f t="shared" si="1097"/>
        <v>d.quali.129</v>
      </c>
      <c r="Y2216" s="17" t="str">
        <f t="shared" si="1098"/>
        <v>Ação de qualificar</v>
      </c>
      <c r="Z2216" s="62" t="s">
        <v>3509</v>
      </c>
      <c r="AA2216" s="18" t="str">
        <f t="shared" si="1110"/>
        <v>null</v>
      </c>
      <c r="AB2216" s="19" t="s">
        <v>0</v>
      </c>
      <c r="AC2216" s="18" t="str">
        <f t="shared" si="1111"/>
        <v>null</v>
      </c>
      <c r="AD2216" s="19" t="s">
        <v>0</v>
      </c>
      <c r="AE2216" s="18" t="str">
        <f t="shared" si="1112"/>
        <v>null</v>
      </c>
      <c r="AF2216" s="75" t="s">
        <v>0</v>
      </c>
      <c r="AG2216" s="38" t="s">
        <v>9140</v>
      </c>
    </row>
    <row r="2217" spans="1:33" ht="6" customHeight="1" x14ac:dyDescent="0.4">
      <c r="A2217" s="4">
        <f>ROW()</f>
        <v>2217</v>
      </c>
      <c r="B2217" s="9" t="s">
        <v>27</v>
      </c>
      <c r="C2217" s="44" t="str">
        <f t="shared" si="1105"/>
        <v>p.qualificar</v>
      </c>
      <c r="D2217" s="6" t="str">
        <f t="shared" si="1106"/>
        <v>é.interno</v>
      </c>
      <c r="E2217" s="8" t="s">
        <v>28</v>
      </c>
      <c r="F2217" s="34" t="str">
        <f t="shared" si="1107"/>
        <v>d.qualificar</v>
      </c>
      <c r="G2217" s="13" t="s">
        <v>348</v>
      </c>
      <c r="H2217" s="34" t="s">
        <v>36</v>
      </c>
      <c r="I2217" s="92" t="str">
        <f t="shared" si="1079"/>
        <v>null</v>
      </c>
      <c r="J2217" s="80" t="s">
        <v>0</v>
      </c>
      <c r="K2217" s="80" t="s">
        <v>0</v>
      </c>
      <c r="L2217" s="80" t="s">
        <v>0</v>
      </c>
      <c r="M2217" s="80" t="s">
        <v>0</v>
      </c>
      <c r="N2217" s="80" t="s">
        <v>0</v>
      </c>
      <c r="O2217" s="80" t="s">
        <v>0</v>
      </c>
      <c r="P2217" s="80" t="s">
        <v>0</v>
      </c>
      <c r="Q2217" s="80" t="s">
        <v>923</v>
      </c>
      <c r="R2217" s="84" t="s">
        <v>0</v>
      </c>
      <c r="S2217" s="10" t="s">
        <v>1</v>
      </c>
      <c r="T2217" s="10" t="s">
        <v>10221</v>
      </c>
      <c r="U2217" s="5" t="str">
        <f t="shared" si="1108"/>
        <v>Propriedade destinada a qualificar: é.interno</v>
      </c>
      <c r="V2217" s="5" t="str">
        <f t="shared" si="1109"/>
        <v>Dado para qualificar:  interno  Deve ser formatado como (xsd:boolean)</v>
      </c>
      <c r="W2217" s="69" t="s">
        <v>6162</v>
      </c>
      <c r="X2217" s="17" t="str">
        <f t="shared" si="1097"/>
        <v>d.quali.130</v>
      </c>
      <c r="Y2217" s="17" t="str">
        <f t="shared" si="1098"/>
        <v>Ação de qualificar</v>
      </c>
      <c r="Z2217" s="62" t="s">
        <v>3475</v>
      </c>
      <c r="AA2217" s="18" t="str">
        <f t="shared" si="1110"/>
        <v>null</v>
      </c>
      <c r="AB2217" s="19" t="s">
        <v>0</v>
      </c>
      <c r="AC2217" s="18" t="str">
        <f t="shared" si="1111"/>
        <v>null</v>
      </c>
      <c r="AD2217" s="19" t="s">
        <v>0</v>
      </c>
      <c r="AE2217" s="18" t="str">
        <f t="shared" si="1112"/>
        <v>null</v>
      </c>
      <c r="AF2217" s="75" t="s">
        <v>0</v>
      </c>
      <c r="AG2217" s="38" t="s">
        <v>9141</v>
      </c>
    </row>
    <row r="2218" spans="1:33" ht="6" customHeight="1" x14ac:dyDescent="0.4">
      <c r="A2218" s="4">
        <f>ROW()</f>
        <v>2218</v>
      </c>
      <c r="B2218" s="9" t="s">
        <v>27</v>
      </c>
      <c r="C2218" s="44" t="str">
        <f t="shared" si="1105"/>
        <v>p.qualificar</v>
      </c>
      <c r="D2218" s="6" t="str">
        <f t="shared" si="1106"/>
        <v>é.isolado</v>
      </c>
      <c r="E2218" s="8" t="s">
        <v>28</v>
      </c>
      <c r="F2218" s="34" t="str">
        <f t="shared" si="1107"/>
        <v>d.qualificar</v>
      </c>
      <c r="G2218" s="13" t="s">
        <v>343</v>
      </c>
      <c r="H2218" s="34" t="s">
        <v>36</v>
      </c>
      <c r="I2218" s="92" t="str">
        <f t="shared" si="1079"/>
        <v>null</v>
      </c>
      <c r="J2218" s="80" t="s">
        <v>0</v>
      </c>
      <c r="K2218" s="80" t="s">
        <v>0</v>
      </c>
      <c r="L2218" s="80" t="s">
        <v>0</v>
      </c>
      <c r="M2218" s="80" t="s">
        <v>0</v>
      </c>
      <c r="N2218" s="80" t="s">
        <v>0</v>
      </c>
      <c r="O2218" s="80" t="s">
        <v>0</v>
      </c>
      <c r="P2218" s="80" t="s">
        <v>0</v>
      </c>
      <c r="Q2218" s="80" t="s">
        <v>0</v>
      </c>
      <c r="R2218" s="84" t="s">
        <v>0</v>
      </c>
      <c r="S2218" s="10" t="s">
        <v>1</v>
      </c>
      <c r="T2218" s="10" t="s">
        <v>10221</v>
      </c>
      <c r="U2218" s="5" t="str">
        <f t="shared" si="1108"/>
        <v>Propriedade destinada a qualificar: é.isolado</v>
      </c>
      <c r="V2218" s="5" t="str">
        <f t="shared" si="1109"/>
        <v>Dado para qualificar:  isolado  Deve ser formatado como (xsd:boolean)</v>
      </c>
      <c r="W2218" s="69" t="s">
        <v>6163</v>
      </c>
      <c r="X2218" s="17" t="str">
        <f t="shared" si="1097"/>
        <v>d.quali.131</v>
      </c>
      <c r="Y2218" s="17" t="str">
        <f t="shared" si="1098"/>
        <v>Ação de qualificar</v>
      </c>
      <c r="Z2218" s="62" t="s">
        <v>3476</v>
      </c>
      <c r="AA2218" s="18" t="str">
        <f t="shared" si="1110"/>
        <v>null</v>
      </c>
      <c r="AB2218" s="19" t="s">
        <v>0</v>
      </c>
      <c r="AC2218" s="18" t="str">
        <f t="shared" si="1111"/>
        <v>null</v>
      </c>
      <c r="AD2218" s="19" t="s">
        <v>0</v>
      </c>
      <c r="AE2218" s="18" t="str">
        <f t="shared" si="1112"/>
        <v>null</v>
      </c>
      <c r="AF2218" s="75" t="s">
        <v>0</v>
      </c>
      <c r="AG2218" s="38" t="s">
        <v>9142</v>
      </c>
    </row>
    <row r="2219" spans="1:33" ht="6" customHeight="1" x14ac:dyDescent="0.4">
      <c r="A2219" s="4">
        <f>ROW()</f>
        <v>2219</v>
      </c>
      <c r="B2219" s="9" t="s">
        <v>27</v>
      </c>
      <c r="C2219" s="44" t="str">
        <f t="shared" si="1105"/>
        <v>p.qualificar</v>
      </c>
      <c r="D2219" s="6" t="str">
        <f t="shared" si="1106"/>
        <v>é.laboral</v>
      </c>
      <c r="E2219" s="8" t="s">
        <v>28</v>
      </c>
      <c r="F2219" s="34" t="str">
        <f t="shared" si="1107"/>
        <v>d.qualificar</v>
      </c>
      <c r="G2219" s="13" t="s">
        <v>184</v>
      </c>
      <c r="H2219" s="33" t="s">
        <v>36</v>
      </c>
      <c r="I2219" s="92" t="str">
        <f t="shared" si="1079"/>
        <v>null</v>
      </c>
      <c r="J2219" s="80" t="s">
        <v>0</v>
      </c>
      <c r="K2219" s="80" t="s">
        <v>0</v>
      </c>
      <c r="L2219" s="80" t="s">
        <v>0</v>
      </c>
      <c r="M2219" s="80" t="s">
        <v>0</v>
      </c>
      <c r="N2219" s="80" t="s">
        <v>0</v>
      </c>
      <c r="O2219" s="80" t="s">
        <v>0</v>
      </c>
      <c r="P2219" s="80" t="s">
        <v>0</v>
      </c>
      <c r="Q2219" s="80" t="s">
        <v>924</v>
      </c>
      <c r="R2219" s="84" t="s">
        <v>0</v>
      </c>
      <c r="S2219" s="10" t="s">
        <v>1</v>
      </c>
      <c r="T2219" s="10" t="s">
        <v>10221</v>
      </c>
      <c r="U2219" s="5" t="str">
        <f t="shared" si="1108"/>
        <v>Propriedade destinada a qualificar: é.laboral</v>
      </c>
      <c r="V2219" s="5" t="str">
        <f t="shared" si="1109"/>
        <v>Dado para qualificar:  laboral  Deve ser formatado como (xsd:boolean)</v>
      </c>
      <c r="W2219" s="69" t="s">
        <v>6164</v>
      </c>
      <c r="X2219" s="17" t="str">
        <f t="shared" si="1097"/>
        <v>d.quali.132</v>
      </c>
      <c r="Y2219" s="17" t="str">
        <f t="shared" si="1098"/>
        <v>Ação de qualificar</v>
      </c>
      <c r="Z2219" s="62" t="s">
        <v>3477</v>
      </c>
      <c r="AA2219" s="18" t="str">
        <f t="shared" si="1110"/>
        <v>null</v>
      </c>
      <c r="AB2219" s="19" t="s">
        <v>0</v>
      </c>
      <c r="AC2219" s="18" t="str">
        <f t="shared" si="1111"/>
        <v>null</v>
      </c>
      <c r="AD2219" s="19" t="s">
        <v>0</v>
      </c>
      <c r="AE2219" s="18" t="str">
        <f t="shared" si="1112"/>
        <v>null</v>
      </c>
      <c r="AF2219" s="75" t="s">
        <v>0</v>
      </c>
      <c r="AG2219" s="38" t="s">
        <v>9143</v>
      </c>
    </row>
    <row r="2220" spans="1:33" ht="6" customHeight="1" x14ac:dyDescent="0.4">
      <c r="A2220" s="4">
        <f>ROW()</f>
        <v>2220</v>
      </c>
      <c r="B2220" s="9" t="s">
        <v>27</v>
      </c>
      <c r="C2220" s="44" t="str">
        <f t="shared" si="1105"/>
        <v>p.qualificar</v>
      </c>
      <c r="D2220" s="6" t="str">
        <f t="shared" si="1106"/>
        <v>é.líquido</v>
      </c>
      <c r="E2220" s="8" t="s">
        <v>28</v>
      </c>
      <c r="F2220" s="34" t="str">
        <f t="shared" si="1107"/>
        <v>d.qualificar</v>
      </c>
      <c r="G2220" s="13" t="s">
        <v>314</v>
      </c>
      <c r="H2220" s="34" t="s">
        <v>36</v>
      </c>
      <c r="I2220" s="92" t="str">
        <f t="shared" si="1079"/>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108"/>
        <v>Propriedade destinada a qualificar: é.líquido</v>
      </c>
      <c r="V2220" s="5" t="str">
        <f t="shared" si="1109"/>
        <v>Dado para qualificar:  líquido  Deve ser formatado como (xsd:boolean)</v>
      </c>
      <c r="W2220" s="69" t="s">
        <v>6165</v>
      </c>
      <c r="X2220" s="17" t="str">
        <f t="shared" si="1097"/>
        <v>d.quali.133</v>
      </c>
      <c r="Y2220" s="17" t="str">
        <f t="shared" si="1098"/>
        <v>Ação de qualificar</v>
      </c>
      <c r="Z2220" s="62" t="s">
        <v>3478</v>
      </c>
      <c r="AA2220" s="18" t="str">
        <f t="shared" si="1110"/>
        <v>null</v>
      </c>
      <c r="AB2220" s="19" t="s">
        <v>0</v>
      </c>
      <c r="AC2220" s="18" t="str">
        <f t="shared" si="1111"/>
        <v>null</v>
      </c>
      <c r="AD2220" s="19" t="s">
        <v>0</v>
      </c>
      <c r="AE2220" s="18" t="str">
        <f t="shared" si="1112"/>
        <v>null</v>
      </c>
      <c r="AF2220" s="75" t="s">
        <v>0</v>
      </c>
      <c r="AG2220" s="38" t="s">
        <v>9144</v>
      </c>
    </row>
    <row r="2221" spans="1:33" ht="6" customHeight="1" x14ac:dyDescent="0.4">
      <c r="A2221" s="4">
        <f>ROW()</f>
        <v>2221</v>
      </c>
      <c r="B2221" s="9" t="s">
        <v>27</v>
      </c>
      <c r="C2221" s="44" t="str">
        <f t="shared" si="1105"/>
        <v>p.qualificar</v>
      </c>
      <c r="D2221" s="6" t="str">
        <f t="shared" si="1106"/>
        <v>é.lisa</v>
      </c>
      <c r="E2221" s="8" t="s">
        <v>28</v>
      </c>
      <c r="F2221" s="34" t="str">
        <f t="shared" si="1107"/>
        <v>d.qualificar</v>
      </c>
      <c r="G2221" s="13" t="s">
        <v>6562</v>
      </c>
      <c r="H2221" s="34" t="s">
        <v>36</v>
      </c>
      <c r="I2221" s="92" t="str">
        <f t="shared" si="1079"/>
        <v>null</v>
      </c>
      <c r="J2221" s="80" t="s">
        <v>0</v>
      </c>
      <c r="K2221" s="80" t="s">
        <v>0</v>
      </c>
      <c r="L2221" s="80" t="s">
        <v>0</v>
      </c>
      <c r="M2221" s="80" t="s">
        <v>0</v>
      </c>
      <c r="N2221" s="80" t="s">
        <v>0</v>
      </c>
      <c r="O2221" s="80" t="s">
        <v>0</v>
      </c>
      <c r="P2221" s="80" t="s">
        <v>0</v>
      </c>
      <c r="Q2221" s="80" t="s">
        <v>0</v>
      </c>
      <c r="R2221" s="84" t="s">
        <v>6563</v>
      </c>
      <c r="S2221" s="10" t="s">
        <v>1</v>
      </c>
      <c r="T2221" s="10" t="s">
        <v>10221</v>
      </c>
      <c r="U2221" s="5" t="str">
        <f t="shared" si="1108"/>
        <v>Propriedade destinada a qualificar: é.lisa</v>
      </c>
      <c r="V2221" s="5" t="str">
        <f t="shared" si="1109"/>
        <v>Dado para qualificar:  lisa  Deve ser formatado como (xsd:boolean)</v>
      </c>
      <c r="W2221" s="69" t="s">
        <v>6565</v>
      </c>
      <c r="X2221" s="17" t="str">
        <f t="shared" si="1097"/>
        <v>d.quali.134</v>
      </c>
      <c r="Y2221" s="17" t="str">
        <f t="shared" si="1098"/>
        <v>Ação de qualificar</v>
      </c>
      <c r="Z2221" s="62" t="s">
        <v>6567</v>
      </c>
      <c r="AA2221" s="18" t="str">
        <f t="shared" si="1110"/>
        <v>null</v>
      </c>
      <c r="AB2221" s="19" t="s">
        <v>0</v>
      </c>
      <c r="AC2221" s="18" t="str">
        <f t="shared" si="1111"/>
        <v>null</v>
      </c>
      <c r="AD2221" s="19" t="s">
        <v>0</v>
      </c>
      <c r="AE2221" s="18" t="str">
        <f t="shared" si="1112"/>
        <v>null</v>
      </c>
      <c r="AF2221" s="75" t="s">
        <v>0</v>
      </c>
      <c r="AG2221" s="38" t="s">
        <v>9145</v>
      </c>
    </row>
    <row r="2222" spans="1:33" ht="6" customHeight="1" x14ac:dyDescent="0.4">
      <c r="A2222" s="4">
        <f>ROW()</f>
        <v>2222</v>
      </c>
      <c r="B2222" s="9" t="s">
        <v>27</v>
      </c>
      <c r="C2222" s="44" t="str">
        <f t="shared" ref="C2222:C2253" si="1127">SUBSTITUTE(F2222,"d.","p.")</f>
        <v>p.qualificar</v>
      </c>
      <c r="D2222" s="6" t="str">
        <f t="shared" ref="D2222:D2253" si="1128">_xlfn.CONCAT("é.",G2222)</f>
        <v>é.liso</v>
      </c>
      <c r="E2222" s="8" t="s">
        <v>28</v>
      </c>
      <c r="F2222" s="34" t="str">
        <f t="shared" si="1107"/>
        <v>d.qualificar</v>
      </c>
      <c r="G2222" s="13" t="s">
        <v>332</v>
      </c>
      <c r="H2222" s="34" t="s">
        <v>36</v>
      </c>
      <c r="I2222" s="92" t="str">
        <f t="shared" ref="I2222:I2285" si="1129">IF(OR(J2222="Functional",K2222="InverseFunctional"),"Functional","null")</f>
        <v>null</v>
      </c>
      <c r="J2222" s="80" t="s">
        <v>0</v>
      </c>
      <c r="K2222" s="80" t="s">
        <v>0</v>
      </c>
      <c r="L2222" s="80" t="s">
        <v>0</v>
      </c>
      <c r="M2222" s="80" t="s">
        <v>0</v>
      </c>
      <c r="N2222" s="80" t="s">
        <v>0</v>
      </c>
      <c r="O2222" s="80" t="s">
        <v>0</v>
      </c>
      <c r="P2222" s="80" t="s">
        <v>0</v>
      </c>
      <c r="Q2222" s="80" t="s">
        <v>0</v>
      </c>
      <c r="R2222" s="84" t="s">
        <v>6564</v>
      </c>
      <c r="S2222" s="10" t="s">
        <v>1</v>
      </c>
      <c r="T2222" s="10" t="s">
        <v>10221</v>
      </c>
      <c r="U2222" s="5" t="str">
        <f t="shared" ref="U2222:U2253" si="1130">_xlfn.CONCAT("Propriedade destinada a ",MID(C2222,FIND("p.",C2222,1)+2,100),": ",D2222)</f>
        <v>Propriedade destinada a qualificar: é.liso</v>
      </c>
      <c r="V2222" s="5" t="str">
        <f t="shared" ref="V2222:V2253" si="1131">_xlfn.CONCAT("Dado para ",MID(F2222,FIND("d.",F2222,1)+2,100),":  ",G2222, "  Deve ser formatado como (",H2222, ")")</f>
        <v>Dado para qualificar:  liso  Deve ser formatado como (xsd:boolean)</v>
      </c>
      <c r="W2222" s="69" t="s">
        <v>6166</v>
      </c>
      <c r="X2222" s="17" t="str">
        <f t="shared" si="1097"/>
        <v>d.quali.135</v>
      </c>
      <c r="Y2222" s="17" t="str">
        <f t="shared" si="1098"/>
        <v>Ação de qualificar</v>
      </c>
      <c r="Z2222" s="62" t="s">
        <v>6566</v>
      </c>
      <c r="AA2222" s="18" t="str">
        <f t="shared" ref="AA2222:AA2253" si="1132">IF(AB2222="null", "null", "categoria.revit")</f>
        <v>null</v>
      </c>
      <c r="AB2222" s="19" t="s">
        <v>0</v>
      </c>
      <c r="AC2222" s="18" t="str">
        <f t="shared" ref="AC2222:AC2253" si="1133">IF(AD2222="null", "null", "classe.ifc")</f>
        <v>null</v>
      </c>
      <c r="AD2222" s="19" t="s">
        <v>0</v>
      </c>
      <c r="AE2222" s="18" t="str">
        <f t="shared" ref="AE2222:AE2253" si="1134">IF(AF2222="null", "null", "propriedade")</f>
        <v>null</v>
      </c>
      <c r="AF2222" s="75" t="s">
        <v>0</v>
      </c>
      <c r="AG2222" s="38" t="s">
        <v>9145</v>
      </c>
    </row>
    <row r="2223" spans="1:33" ht="6" customHeight="1" x14ac:dyDescent="0.4">
      <c r="A2223" s="4">
        <f>ROW()</f>
        <v>2223</v>
      </c>
      <c r="B2223" s="9" t="s">
        <v>27</v>
      </c>
      <c r="C2223" s="44" t="str">
        <f t="shared" si="1127"/>
        <v>p.qualificar</v>
      </c>
      <c r="D2223" s="6" t="str">
        <f t="shared" si="1128"/>
        <v>é.manual</v>
      </c>
      <c r="E2223" s="8" t="s">
        <v>28</v>
      </c>
      <c r="F2223" s="34" t="str">
        <f t="shared" si="1107"/>
        <v>d.qualificar</v>
      </c>
      <c r="G2223" s="13" t="s">
        <v>354</v>
      </c>
      <c r="H2223" s="34" t="s">
        <v>36</v>
      </c>
      <c r="I2223" s="92" t="str">
        <f t="shared" si="1129"/>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130"/>
        <v>Propriedade destinada a qualificar: é.manual</v>
      </c>
      <c r="V2223" s="5" t="str">
        <f t="shared" si="1131"/>
        <v>Dado para qualificar:  manual  Deve ser formatado como (xsd:boolean)</v>
      </c>
      <c r="W2223" s="69" t="s">
        <v>6167</v>
      </c>
      <c r="X2223" s="17" t="str">
        <f t="shared" si="1097"/>
        <v>d.quali.136</v>
      </c>
      <c r="Y2223" s="17" t="str">
        <f t="shared" si="1098"/>
        <v>Ação de qualificar</v>
      </c>
      <c r="Z2223" s="62" t="s">
        <v>3479</v>
      </c>
      <c r="AA2223" s="18" t="str">
        <f t="shared" si="1132"/>
        <v>null</v>
      </c>
      <c r="AB2223" s="19" t="s">
        <v>0</v>
      </c>
      <c r="AC2223" s="18" t="str">
        <f t="shared" si="1133"/>
        <v>null</v>
      </c>
      <c r="AD2223" s="19" t="s">
        <v>0</v>
      </c>
      <c r="AE2223" s="18" t="str">
        <f t="shared" si="1134"/>
        <v>null</v>
      </c>
      <c r="AF2223" s="75" t="s">
        <v>0</v>
      </c>
      <c r="AG2223" s="38" t="s">
        <v>9146</v>
      </c>
    </row>
    <row r="2224" spans="1:33" ht="6" customHeight="1" x14ac:dyDescent="0.4">
      <c r="A2224" s="4">
        <f>ROW()</f>
        <v>2224</v>
      </c>
      <c r="B2224" s="9" t="s">
        <v>27</v>
      </c>
      <c r="C2224" s="44" t="str">
        <f t="shared" si="1127"/>
        <v>p.qualificar</v>
      </c>
      <c r="D2224" s="6" t="str">
        <f t="shared" si="1128"/>
        <v>é.material.comburente</v>
      </c>
      <c r="E2224" s="8" t="s">
        <v>28</v>
      </c>
      <c r="F2224" s="34" t="str">
        <f t="shared" si="1107"/>
        <v>d.qualificar</v>
      </c>
      <c r="G2224" s="13" t="s">
        <v>2822</v>
      </c>
      <c r="H2224" s="34" t="s">
        <v>36</v>
      </c>
      <c r="I2224" s="92" t="str">
        <f t="shared" si="1129"/>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130"/>
        <v>Propriedade destinada a qualificar: é.material.comburente</v>
      </c>
      <c r="V2224" s="5" t="str">
        <f t="shared" si="1131"/>
        <v>Dado para qualificar:  material.comburente  Deve ser formatado como (xsd:boolean)</v>
      </c>
      <c r="W2224" s="69" t="s">
        <v>6146</v>
      </c>
      <c r="X2224" s="17" t="str">
        <f t="shared" si="1097"/>
        <v>d.quali.137</v>
      </c>
      <c r="Y2224" s="17" t="str">
        <f t="shared" si="1098"/>
        <v>Ação de qualificar</v>
      </c>
      <c r="Z2224" s="62" t="s">
        <v>3460</v>
      </c>
      <c r="AA2224" s="18" t="str">
        <f t="shared" si="1132"/>
        <v>null</v>
      </c>
      <c r="AB2224" s="19" t="s">
        <v>0</v>
      </c>
      <c r="AC2224" s="18" t="str">
        <f t="shared" si="1133"/>
        <v>null</v>
      </c>
      <c r="AD2224" s="19" t="s">
        <v>0</v>
      </c>
      <c r="AE2224" s="18" t="str">
        <f t="shared" si="1134"/>
        <v>null</v>
      </c>
      <c r="AF2224" s="75" t="s">
        <v>0</v>
      </c>
      <c r="AG2224" s="38" t="s">
        <v>9147</v>
      </c>
    </row>
    <row r="2225" spans="1:33" ht="6" customHeight="1" x14ac:dyDescent="0.4">
      <c r="A2225" s="4">
        <f>ROW()</f>
        <v>2225</v>
      </c>
      <c r="B2225" s="9" t="s">
        <v>27</v>
      </c>
      <c r="C2225" s="44" t="str">
        <f t="shared" si="1127"/>
        <v>p.qualificar</v>
      </c>
      <c r="D2225" s="6" t="str">
        <f t="shared" si="1128"/>
        <v>é.material.combustível</v>
      </c>
      <c r="E2225" s="8" t="s">
        <v>28</v>
      </c>
      <c r="F2225" s="34" t="str">
        <f t="shared" si="1107"/>
        <v>d.qualificar</v>
      </c>
      <c r="G2225" s="13" t="s">
        <v>1473</v>
      </c>
      <c r="H2225" s="34" t="s">
        <v>36</v>
      </c>
      <c r="I2225" s="92" t="str">
        <f t="shared" si="1129"/>
        <v>null</v>
      </c>
      <c r="J2225" s="80" t="s">
        <v>0</v>
      </c>
      <c r="K2225" s="80" t="s">
        <v>0</v>
      </c>
      <c r="L2225" s="80" t="s">
        <v>0</v>
      </c>
      <c r="M2225" s="80" t="s">
        <v>0</v>
      </c>
      <c r="N2225" s="80" t="s">
        <v>0</v>
      </c>
      <c r="O2225" s="80" t="s">
        <v>0</v>
      </c>
      <c r="P2225" s="80" t="s">
        <v>0</v>
      </c>
      <c r="Q2225" s="80" t="s">
        <v>0</v>
      </c>
      <c r="R2225" s="84" t="s">
        <v>0</v>
      </c>
      <c r="S2225" s="10" t="s">
        <v>1</v>
      </c>
      <c r="T2225" s="10" t="s">
        <v>10221</v>
      </c>
      <c r="U2225" s="5" t="str">
        <f t="shared" si="1130"/>
        <v>Propriedade destinada a qualificar: é.material.combustível</v>
      </c>
      <c r="V2225" s="5" t="str">
        <f t="shared" si="1131"/>
        <v>Dado para qualificar:  material.combustível  Deve ser formatado como (xsd:boolean)</v>
      </c>
      <c r="W2225" s="69" t="s">
        <v>6145</v>
      </c>
      <c r="X2225" s="17" t="str">
        <f t="shared" si="1097"/>
        <v>d.quali.138</v>
      </c>
      <c r="Y2225" s="17" t="str">
        <f t="shared" si="1098"/>
        <v>Ação de qualificar</v>
      </c>
      <c r="Z2225" s="62" t="s">
        <v>3459</v>
      </c>
      <c r="AA2225" s="18" t="str">
        <f t="shared" si="1132"/>
        <v>null</v>
      </c>
      <c r="AB2225" s="19" t="s">
        <v>0</v>
      </c>
      <c r="AC2225" s="18" t="str">
        <f t="shared" si="1133"/>
        <v>null</v>
      </c>
      <c r="AD2225" s="19" t="s">
        <v>0</v>
      </c>
      <c r="AE2225" s="18" t="str">
        <f t="shared" si="1134"/>
        <v>null</v>
      </c>
      <c r="AF2225" s="75" t="s">
        <v>0</v>
      </c>
      <c r="AG2225" s="38" t="s">
        <v>9148</v>
      </c>
    </row>
    <row r="2226" spans="1:33" ht="6" customHeight="1" x14ac:dyDescent="0.4">
      <c r="A2226" s="4">
        <f>ROW()</f>
        <v>2226</v>
      </c>
      <c r="B2226" s="9" t="s">
        <v>27</v>
      </c>
      <c r="C2226" s="44" t="str">
        <f t="shared" si="1127"/>
        <v>p.qualificar</v>
      </c>
      <c r="D2226" s="6" t="str">
        <f t="shared" si="1128"/>
        <v>é.matutino</v>
      </c>
      <c r="E2226" s="8" t="s">
        <v>28</v>
      </c>
      <c r="F2226" s="34" t="str">
        <f t="shared" si="1107"/>
        <v>d.qualificar</v>
      </c>
      <c r="G2226" s="13" t="s">
        <v>267</v>
      </c>
      <c r="H2226" s="33" t="s">
        <v>36</v>
      </c>
      <c r="I2226" s="92" t="str">
        <f t="shared" si="1129"/>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130"/>
        <v>Propriedade destinada a qualificar: é.matutino</v>
      </c>
      <c r="V2226" s="5" t="str">
        <f t="shared" si="1131"/>
        <v>Dado para qualificar:  matutino  Deve ser formatado como (xsd:boolean)</v>
      </c>
      <c r="W2226" s="69" t="s">
        <v>6168</v>
      </c>
      <c r="X2226" s="17" t="str">
        <f t="shared" si="1097"/>
        <v>d.quali.139</v>
      </c>
      <c r="Y2226" s="17" t="str">
        <f t="shared" si="1098"/>
        <v>Ação de qualificar</v>
      </c>
      <c r="Z2226" s="62" t="s">
        <v>3480</v>
      </c>
      <c r="AA2226" s="18" t="str">
        <f t="shared" si="1132"/>
        <v>null</v>
      </c>
      <c r="AB2226" s="19" t="s">
        <v>0</v>
      </c>
      <c r="AC2226" s="18" t="str">
        <f t="shared" si="1133"/>
        <v>null</v>
      </c>
      <c r="AD2226" s="19" t="s">
        <v>0</v>
      </c>
      <c r="AE2226" s="18" t="str">
        <f t="shared" si="1134"/>
        <v>null</v>
      </c>
      <c r="AF2226" s="75" t="s">
        <v>0</v>
      </c>
      <c r="AG2226" s="38" t="s">
        <v>9149</v>
      </c>
    </row>
    <row r="2227" spans="1:33" ht="6" customHeight="1" x14ac:dyDescent="0.4">
      <c r="A2227" s="4">
        <f>ROW()</f>
        <v>2227</v>
      </c>
      <c r="B2227" s="9" t="s">
        <v>27</v>
      </c>
      <c r="C2227" s="44" t="str">
        <f t="shared" si="1127"/>
        <v>p.qualificar</v>
      </c>
      <c r="D2227" s="6" t="str">
        <f t="shared" si="1128"/>
        <v>é.móvel</v>
      </c>
      <c r="E2227" s="8" t="s">
        <v>28</v>
      </c>
      <c r="F2227" s="34" t="str">
        <f t="shared" si="1107"/>
        <v>d.qualificar</v>
      </c>
      <c r="G2227" s="13" t="s">
        <v>258</v>
      </c>
      <c r="H2227" s="34" t="s">
        <v>36</v>
      </c>
      <c r="I2227" s="92" t="str">
        <f t="shared" si="1129"/>
        <v>null</v>
      </c>
      <c r="J2227" s="80" t="s">
        <v>0</v>
      </c>
      <c r="K2227" s="80" t="s">
        <v>0</v>
      </c>
      <c r="L2227" s="80" t="s">
        <v>0</v>
      </c>
      <c r="M2227" s="80" t="s">
        <v>0</v>
      </c>
      <c r="N2227" s="80" t="s">
        <v>0</v>
      </c>
      <c r="O2227" s="80" t="s">
        <v>0</v>
      </c>
      <c r="P2227" s="80" t="s">
        <v>0</v>
      </c>
      <c r="Q2227" s="80" t="s">
        <v>0</v>
      </c>
      <c r="R2227" s="84" t="s">
        <v>0</v>
      </c>
      <c r="S2227" s="10" t="s">
        <v>1</v>
      </c>
      <c r="T2227" s="10" t="s">
        <v>10221</v>
      </c>
      <c r="U2227" s="5" t="str">
        <f t="shared" si="1130"/>
        <v>Propriedade destinada a qualificar: é.móvel</v>
      </c>
      <c r="V2227" s="5" t="str">
        <f t="shared" si="1131"/>
        <v>Dado para qualificar:  móvel  Deve ser formatado como (xsd:boolean)</v>
      </c>
      <c r="W2227" s="69" t="s">
        <v>6555</v>
      </c>
      <c r="X2227" s="17" t="str">
        <f t="shared" si="1097"/>
        <v>d.quali.140</v>
      </c>
      <c r="Y2227" s="17" t="str">
        <f t="shared" si="1098"/>
        <v>Ação de qualificar</v>
      </c>
      <c r="Z2227" s="62" t="s">
        <v>6556</v>
      </c>
      <c r="AA2227" s="18" t="str">
        <f t="shared" si="1132"/>
        <v>null</v>
      </c>
      <c r="AB2227" s="19" t="s">
        <v>0</v>
      </c>
      <c r="AC2227" s="18" t="str">
        <f t="shared" si="1133"/>
        <v>null</v>
      </c>
      <c r="AD2227" s="19" t="s">
        <v>0</v>
      </c>
      <c r="AE2227" s="18" t="str">
        <f t="shared" si="1134"/>
        <v>null</v>
      </c>
      <c r="AF2227" s="75" t="s">
        <v>0</v>
      </c>
      <c r="AG2227" s="38" t="s">
        <v>9150</v>
      </c>
    </row>
    <row r="2228" spans="1:33" ht="6" customHeight="1" x14ac:dyDescent="0.4">
      <c r="A2228" s="4">
        <f>ROW()</f>
        <v>2228</v>
      </c>
      <c r="B2228" s="9" t="s">
        <v>27</v>
      </c>
      <c r="C2228" s="44" t="str">
        <f t="shared" si="1127"/>
        <v>p.qualificar</v>
      </c>
      <c r="D2228" s="6" t="str">
        <f t="shared" si="1128"/>
        <v>é.natural</v>
      </c>
      <c r="E2228" s="8" t="s">
        <v>28</v>
      </c>
      <c r="F2228" s="34" t="str">
        <f t="shared" si="1107"/>
        <v>d.qualificar</v>
      </c>
      <c r="G2228" s="13" t="s">
        <v>344</v>
      </c>
      <c r="H2228" s="34" t="s">
        <v>36</v>
      </c>
      <c r="I2228" s="92" t="str">
        <f t="shared" si="1129"/>
        <v>null</v>
      </c>
      <c r="J2228" s="80" t="s">
        <v>0</v>
      </c>
      <c r="K2228" s="80" t="s">
        <v>0</v>
      </c>
      <c r="L2228" s="80" t="s">
        <v>0</v>
      </c>
      <c r="M2228" s="80" t="s">
        <v>0</v>
      </c>
      <c r="N2228" s="80" t="s">
        <v>0</v>
      </c>
      <c r="O2228" s="80" t="s">
        <v>0</v>
      </c>
      <c r="P2228" s="80" t="s">
        <v>0</v>
      </c>
      <c r="Q2228" s="80" t="s">
        <v>925</v>
      </c>
      <c r="R2228" s="84" t="s">
        <v>0</v>
      </c>
      <c r="S2228" s="10" t="s">
        <v>1</v>
      </c>
      <c r="T2228" s="10" t="s">
        <v>10221</v>
      </c>
      <c r="U2228" s="5" t="str">
        <f t="shared" si="1130"/>
        <v>Propriedade destinada a qualificar: é.natural</v>
      </c>
      <c r="V2228" s="5" t="str">
        <f t="shared" si="1131"/>
        <v>Dado para qualificar:  natural  Deve ser formatado como (xsd:boolean)</v>
      </c>
      <c r="W2228" s="69" t="s">
        <v>6169</v>
      </c>
      <c r="X2228" s="17" t="str">
        <f t="shared" si="1097"/>
        <v>d.quali.141</v>
      </c>
      <c r="Y2228" s="17" t="str">
        <f t="shared" si="1098"/>
        <v>Ação de qualificar</v>
      </c>
      <c r="Z2228" s="62" t="s">
        <v>3481</v>
      </c>
      <c r="AA2228" s="18" t="str">
        <f t="shared" si="1132"/>
        <v>null</v>
      </c>
      <c r="AB2228" s="19" t="s">
        <v>0</v>
      </c>
      <c r="AC2228" s="18" t="str">
        <f t="shared" si="1133"/>
        <v>null</v>
      </c>
      <c r="AD2228" s="19" t="s">
        <v>0</v>
      </c>
      <c r="AE2228" s="18" t="str">
        <f t="shared" si="1134"/>
        <v>null</v>
      </c>
      <c r="AF2228" s="75" t="s">
        <v>0</v>
      </c>
      <c r="AG2228" s="38" t="s">
        <v>9151</v>
      </c>
    </row>
    <row r="2229" spans="1:33" ht="6" customHeight="1" x14ac:dyDescent="0.4">
      <c r="A2229" s="4">
        <f>ROW()</f>
        <v>2229</v>
      </c>
      <c r="B2229" s="9" t="s">
        <v>27</v>
      </c>
      <c r="C2229" s="44" t="str">
        <f t="shared" si="1127"/>
        <v>p.qualificar</v>
      </c>
      <c r="D2229" s="6" t="str">
        <f t="shared" si="1128"/>
        <v>é.necessário</v>
      </c>
      <c r="E2229" s="8" t="s">
        <v>28</v>
      </c>
      <c r="F2229" s="34" t="str">
        <f t="shared" si="1107"/>
        <v>d.qualificar</v>
      </c>
      <c r="G2229" s="13" t="s">
        <v>325</v>
      </c>
      <c r="H2229" s="34" t="s">
        <v>36</v>
      </c>
      <c r="I2229" s="92" t="str">
        <f t="shared" si="1129"/>
        <v>null</v>
      </c>
      <c r="J2229" s="80" t="s">
        <v>0</v>
      </c>
      <c r="K2229" s="80" t="s">
        <v>0</v>
      </c>
      <c r="L2229" s="80" t="s">
        <v>0</v>
      </c>
      <c r="M2229" s="80" t="s">
        <v>0</v>
      </c>
      <c r="N2229" s="80" t="s">
        <v>0</v>
      </c>
      <c r="O2229" s="80" t="s">
        <v>0</v>
      </c>
      <c r="P2229" s="80" t="s">
        <v>0</v>
      </c>
      <c r="Q2229" s="80" t="s">
        <v>0</v>
      </c>
      <c r="R2229" s="84" t="s">
        <v>0</v>
      </c>
      <c r="S2229" s="10" t="s">
        <v>1</v>
      </c>
      <c r="T2229" s="10" t="s">
        <v>10221</v>
      </c>
      <c r="U2229" s="5" t="str">
        <f t="shared" si="1130"/>
        <v>Propriedade destinada a qualificar: é.necessário</v>
      </c>
      <c r="V2229" s="5" t="str">
        <f t="shared" si="1131"/>
        <v>Dado para qualificar:  necessário  Deve ser formatado como (xsd:boolean)</v>
      </c>
      <c r="W2229" s="69" t="s">
        <v>6170</v>
      </c>
      <c r="X2229" s="17" t="str">
        <f t="shared" si="1097"/>
        <v>d.quali.142</v>
      </c>
      <c r="Y2229" s="17" t="str">
        <f t="shared" si="1098"/>
        <v>Ação de qualificar</v>
      </c>
      <c r="Z2229" s="62" t="s">
        <v>3482</v>
      </c>
      <c r="AA2229" s="18" t="str">
        <f t="shared" si="1132"/>
        <v>null</v>
      </c>
      <c r="AB2229" s="19" t="s">
        <v>0</v>
      </c>
      <c r="AC2229" s="18" t="str">
        <f t="shared" si="1133"/>
        <v>null</v>
      </c>
      <c r="AD2229" s="19" t="s">
        <v>0</v>
      </c>
      <c r="AE2229" s="18" t="str">
        <f t="shared" si="1134"/>
        <v>null</v>
      </c>
      <c r="AF2229" s="75" t="s">
        <v>0</v>
      </c>
      <c r="AG2229" s="38" t="s">
        <v>9152</v>
      </c>
    </row>
    <row r="2230" spans="1:33" ht="6" customHeight="1" x14ac:dyDescent="0.4">
      <c r="A2230" s="4">
        <f>ROW()</f>
        <v>2230</v>
      </c>
      <c r="B2230" s="9" t="s">
        <v>27</v>
      </c>
      <c r="C2230" s="44" t="str">
        <f t="shared" si="1127"/>
        <v>p.qualificar</v>
      </c>
      <c r="D2230" s="6" t="str">
        <f t="shared" si="1128"/>
        <v>é.negativa</v>
      </c>
      <c r="E2230" s="8" t="s">
        <v>28</v>
      </c>
      <c r="F2230" s="34" t="str">
        <f t="shared" si="1107"/>
        <v>d.qualificar</v>
      </c>
      <c r="G2230" s="13" t="s">
        <v>356</v>
      </c>
      <c r="H2230" s="34" t="s">
        <v>36</v>
      </c>
      <c r="I2230" s="92" t="str">
        <f t="shared" si="1129"/>
        <v>null</v>
      </c>
      <c r="J2230" s="80" t="s">
        <v>0</v>
      </c>
      <c r="K2230" s="80" t="s">
        <v>0</v>
      </c>
      <c r="L2230" s="80" t="s">
        <v>0</v>
      </c>
      <c r="M2230" s="80" t="s">
        <v>0</v>
      </c>
      <c r="N2230" s="80" t="s">
        <v>0</v>
      </c>
      <c r="O2230" s="80" t="s">
        <v>0</v>
      </c>
      <c r="P2230" s="80" t="s">
        <v>0</v>
      </c>
      <c r="Q2230" s="80" t="s">
        <v>3274</v>
      </c>
      <c r="R2230" s="84" t="s">
        <v>0</v>
      </c>
      <c r="S2230" s="10" t="s">
        <v>1</v>
      </c>
      <c r="T2230" s="10" t="s">
        <v>10221</v>
      </c>
      <c r="U2230" s="5" t="str">
        <f t="shared" si="1130"/>
        <v>Propriedade destinada a qualificar: é.negativa</v>
      </c>
      <c r="V2230" s="5" t="str">
        <f t="shared" si="1131"/>
        <v>Dado para qualificar:  negativa  Deve ser formatado como (xsd:boolean)</v>
      </c>
      <c r="W2230" s="69" t="s">
        <v>6171</v>
      </c>
      <c r="X2230" s="17" t="str">
        <f t="shared" si="1097"/>
        <v>d.quali.143</v>
      </c>
      <c r="Y2230" s="17" t="str">
        <f t="shared" si="1098"/>
        <v>Ação de qualificar</v>
      </c>
      <c r="Z2230" s="62" t="s">
        <v>3483</v>
      </c>
      <c r="AA2230" s="18" t="str">
        <f t="shared" si="1132"/>
        <v>null</v>
      </c>
      <c r="AB2230" s="19" t="s">
        <v>0</v>
      </c>
      <c r="AC2230" s="18" t="str">
        <f t="shared" si="1133"/>
        <v>null</v>
      </c>
      <c r="AD2230" s="19" t="s">
        <v>0</v>
      </c>
      <c r="AE2230" s="18" t="str">
        <f t="shared" si="1134"/>
        <v>null</v>
      </c>
      <c r="AF2230" s="75" t="s">
        <v>0</v>
      </c>
      <c r="AG2230" s="38" t="s">
        <v>9153</v>
      </c>
    </row>
    <row r="2231" spans="1:33" ht="6" customHeight="1" x14ac:dyDescent="0.4">
      <c r="A2231" s="4">
        <f>ROW()</f>
        <v>2231</v>
      </c>
      <c r="B2231" s="9" t="s">
        <v>27</v>
      </c>
      <c r="C2231" s="44" t="str">
        <f t="shared" si="1127"/>
        <v>p.qualificar</v>
      </c>
      <c r="D2231" s="6" t="str">
        <f t="shared" si="1128"/>
        <v>é.negativo</v>
      </c>
      <c r="E2231" s="8" t="s">
        <v>28</v>
      </c>
      <c r="F2231" s="34" t="str">
        <f t="shared" si="1107"/>
        <v>d.qualificar</v>
      </c>
      <c r="G2231" s="13" t="s">
        <v>219</v>
      </c>
      <c r="H2231" s="34" t="s">
        <v>36</v>
      </c>
      <c r="I2231" s="92" t="str">
        <f t="shared" si="1129"/>
        <v>null</v>
      </c>
      <c r="J2231" s="80" t="s">
        <v>0</v>
      </c>
      <c r="K2231" s="80" t="s">
        <v>0</v>
      </c>
      <c r="L2231" s="80" t="s">
        <v>0</v>
      </c>
      <c r="M2231" s="80" t="s">
        <v>0</v>
      </c>
      <c r="N2231" s="80" t="s">
        <v>0</v>
      </c>
      <c r="O2231" s="80" t="s">
        <v>0</v>
      </c>
      <c r="P2231" s="80" t="s">
        <v>0</v>
      </c>
      <c r="Q2231" s="80" t="s">
        <v>486</v>
      </c>
      <c r="R2231" s="84" t="s">
        <v>0</v>
      </c>
      <c r="S2231" s="10" t="s">
        <v>1</v>
      </c>
      <c r="T2231" s="10" t="s">
        <v>10221</v>
      </c>
      <c r="U2231" s="5" t="str">
        <f t="shared" si="1130"/>
        <v>Propriedade destinada a qualificar: é.negativo</v>
      </c>
      <c r="V2231" s="5" t="str">
        <f t="shared" si="1131"/>
        <v>Dado para qualificar:  negativo  Deve ser formatado como (xsd:boolean)</v>
      </c>
      <c r="W2231" s="69" t="s">
        <v>6172</v>
      </c>
      <c r="X2231" s="17" t="str">
        <f t="shared" si="1097"/>
        <v>d.quali.144</v>
      </c>
      <c r="Y2231" s="17" t="str">
        <f t="shared" si="1098"/>
        <v>Ação de qualificar</v>
      </c>
      <c r="Z2231" s="62" t="s">
        <v>3484</v>
      </c>
      <c r="AA2231" s="18" t="str">
        <f t="shared" si="1132"/>
        <v>null</v>
      </c>
      <c r="AB2231" s="19" t="s">
        <v>0</v>
      </c>
      <c r="AC2231" s="18" t="str">
        <f t="shared" si="1133"/>
        <v>null</v>
      </c>
      <c r="AD2231" s="19" t="s">
        <v>0</v>
      </c>
      <c r="AE2231" s="18" t="str">
        <f t="shared" si="1134"/>
        <v>null</v>
      </c>
      <c r="AF2231" s="75" t="s">
        <v>0</v>
      </c>
      <c r="AG2231" s="38" t="s">
        <v>9153</v>
      </c>
    </row>
    <row r="2232" spans="1:33" ht="6" customHeight="1" x14ac:dyDescent="0.4">
      <c r="A2232" s="4">
        <f>ROW()</f>
        <v>2232</v>
      </c>
      <c r="B2232" s="9" t="s">
        <v>27</v>
      </c>
      <c r="C2232" s="44" t="str">
        <f t="shared" si="1127"/>
        <v>p.qualificar</v>
      </c>
      <c r="D2232" s="6" t="str">
        <f t="shared" si="1128"/>
        <v>é.noturno</v>
      </c>
      <c r="E2232" s="8" t="s">
        <v>28</v>
      </c>
      <c r="F2232" s="34" t="str">
        <f t="shared" si="1107"/>
        <v>d.qualificar</v>
      </c>
      <c r="G2232" s="13" t="s">
        <v>266</v>
      </c>
      <c r="H2232" s="33" t="s">
        <v>36</v>
      </c>
      <c r="I2232" s="92" t="str">
        <f t="shared" si="1129"/>
        <v>null</v>
      </c>
      <c r="J2232" s="80" t="s">
        <v>0</v>
      </c>
      <c r="K2232" s="80" t="s">
        <v>0</v>
      </c>
      <c r="L2232" s="80" t="s">
        <v>0</v>
      </c>
      <c r="M2232" s="80" t="s">
        <v>0</v>
      </c>
      <c r="N2232" s="80" t="s">
        <v>0</v>
      </c>
      <c r="O2232" s="80" t="s">
        <v>0</v>
      </c>
      <c r="P2232" s="80" t="s">
        <v>0</v>
      </c>
      <c r="Q2232" s="80" t="s">
        <v>926</v>
      </c>
      <c r="R2232" s="84" t="s">
        <v>0</v>
      </c>
      <c r="S2232" s="10" t="s">
        <v>1</v>
      </c>
      <c r="T2232" s="10" t="s">
        <v>10221</v>
      </c>
      <c r="U2232" s="5" t="str">
        <f t="shared" si="1130"/>
        <v>Propriedade destinada a qualificar: é.noturno</v>
      </c>
      <c r="V2232" s="5" t="str">
        <f t="shared" si="1131"/>
        <v>Dado para qualificar:  noturno  Deve ser formatado como (xsd:boolean)</v>
      </c>
      <c r="W2232" s="69" t="s">
        <v>6173</v>
      </c>
      <c r="X2232" s="17" t="str">
        <f t="shared" si="1097"/>
        <v>d.quali.145</v>
      </c>
      <c r="Y2232" s="17" t="str">
        <f t="shared" si="1098"/>
        <v>Ação de qualificar</v>
      </c>
      <c r="Z2232" s="62" t="s">
        <v>3485</v>
      </c>
      <c r="AA2232" s="18" t="str">
        <f t="shared" si="1132"/>
        <v>null</v>
      </c>
      <c r="AB2232" s="19" t="s">
        <v>0</v>
      </c>
      <c r="AC2232" s="18" t="str">
        <f t="shared" si="1133"/>
        <v>null</v>
      </c>
      <c r="AD2232" s="19" t="s">
        <v>0</v>
      </c>
      <c r="AE2232" s="18" t="str">
        <f t="shared" si="1134"/>
        <v>null</v>
      </c>
      <c r="AF2232" s="75" t="s">
        <v>0</v>
      </c>
      <c r="AG2232" s="38" t="s">
        <v>9154</v>
      </c>
    </row>
    <row r="2233" spans="1:33" ht="6" customHeight="1" x14ac:dyDescent="0.4">
      <c r="A2233" s="4">
        <f>ROW()</f>
        <v>2233</v>
      </c>
      <c r="B2233" s="9" t="s">
        <v>27</v>
      </c>
      <c r="C2233" s="44" t="str">
        <f t="shared" si="1127"/>
        <v>p.qualificar</v>
      </c>
      <c r="D2233" s="6" t="str">
        <f t="shared" si="1128"/>
        <v>é.obrigatório</v>
      </c>
      <c r="E2233" s="8" t="s">
        <v>28</v>
      </c>
      <c r="F2233" s="34" t="str">
        <f t="shared" si="1107"/>
        <v>d.qualificar</v>
      </c>
      <c r="G2233" s="13" t="s">
        <v>297</v>
      </c>
      <c r="H2233" s="34" t="s">
        <v>36</v>
      </c>
      <c r="I2233" s="92" t="str">
        <f t="shared" si="1129"/>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30"/>
        <v>Propriedade destinada a qualificar: é.obrigatório</v>
      </c>
      <c r="V2233" s="5" t="str">
        <f t="shared" si="1131"/>
        <v>Dado para qualificar:  obrigatório  Deve ser formatado como (xsd:boolean)</v>
      </c>
      <c r="W2233" s="69" t="s">
        <v>6174</v>
      </c>
      <c r="X2233" s="17" t="str">
        <f t="shared" si="1097"/>
        <v>d.quali.146</v>
      </c>
      <c r="Y2233" s="17" t="str">
        <f t="shared" si="1098"/>
        <v>Ação de qualificar</v>
      </c>
      <c r="Z2233" s="62" t="s">
        <v>3486</v>
      </c>
      <c r="AA2233" s="18" t="str">
        <f t="shared" si="1132"/>
        <v>null</v>
      </c>
      <c r="AB2233" s="19" t="s">
        <v>0</v>
      </c>
      <c r="AC2233" s="18" t="str">
        <f t="shared" si="1133"/>
        <v>null</v>
      </c>
      <c r="AD2233" s="19" t="s">
        <v>0</v>
      </c>
      <c r="AE2233" s="18" t="str">
        <f t="shared" si="1134"/>
        <v>null</v>
      </c>
      <c r="AF2233" s="75" t="s">
        <v>0</v>
      </c>
      <c r="AG2233" s="38" t="s">
        <v>9155</v>
      </c>
    </row>
    <row r="2234" spans="1:33" ht="6" customHeight="1" x14ac:dyDescent="0.4">
      <c r="A2234" s="4">
        <f>ROW()</f>
        <v>2234</v>
      </c>
      <c r="B2234" s="9" t="s">
        <v>27</v>
      </c>
      <c r="C2234" s="44" t="str">
        <f t="shared" si="1127"/>
        <v>p.qualificar</v>
      </c>
      <c r="D2234" s="6" t="str">
        <f t="shared" si="1128"/>
        <v>é.padrão</v>
      </c>
      <c r="E2234" s="8" t="s">
        <v>28</v>
      </c>
      <c r="F2234" s="34" t="str">
        <f t="shared" si="1107"/>
        <v>d.qualificar</v>
      </c>
      <c r="G2234" s="13" t="s">
        <v>328</v>
      </c>
      <c r="H2234" s="34" t="s">
        <v>36</v>
      </c>
      <c r="I2234" s="92" t="str">
        <f t="shared" si="1129"/>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30"/>
        <v>Propriedade destinada a qualificar: é.padrão</v>
      </c>
      <c r="V2234" s="5" t="str">
        <f t="shared" si="1131"/>
        <v>Dado para qualificar:  padrão  Deve ser formatado como (xsd:boolean)</v>
      </c>
      <c r="W2234" s="69" t="s">
        <v>6175</v>
      </c>
      <c r="X2234" s="17" t="str">
        <f t="shared" si="1097"/>
        <v>d.quali.147</v>
      </c>
      <c r="Y2234" s="17" t="str">
        <f t="shared" si="1098"/>
        <v>Ação de qualificar</v>
      </c>
      <c r="Z2234" s="62" t="s">
        <v>3487</v>
      </c>
      <c r="AA2234" s="18" t="str">
        <f t="shared" si="1132"/>
        <v>null</v>
      </c>
      <c r="AB2234" s="19" t="s">
        <v>0</v>
      </c>
      <c r="AC2234" s="18" t="str">
        <f t="shared" si="1133"/>
        <v>null</v>
      </c>
      <c r="AD2234" s="19" t="s">
        <v>0</v>
      </c>
      <c r="AE2234" s="18" t="str">
        <f t="shared" si="1134"/>
        <v>null</v>
      </c>
      <c r="AF2234" s="75" t="s">
        <v>0</v>
      </c>
      <c r="AG2234" s="38" t="s">
        <v>9156</v>
      </c>
    </row>
    <row r="2235" spans="1:33" ht="6" customHeight="1" x14ac:dyDescent="0.4">
      <c r="A2235" s="4">
        <f>ROW()</f>
        <v>2235</v>
      </c>
      <c r="B2235" s="9" t="s">
        <v>27</v>
      </c>
      <c r="C2235" s="44" t="str">
        <f t="shared" si="1127"/>
        <v>p.qualificar</v>
      </c>
      <c r="D2235" s="6" t="str">
        <f t="shared" si="1128"/>
        <v>é.passado</v>
      </c>
      <c r="E2235" s="8" t="s">
        <v>28</v>
      </c>
      <c r="F2235" s="34" t="str">
        <f t="shared" si="1107"/>
        <v>d.qualificar</v>
      </c>
      <c r="G2235" s="13" t="s">
        <v>319</v>
      </c>
      <c r="H2235" s="34" t="s">
        <v>36</v>
      </c>
      <c r="I2235" s="92" t="str">
        <f t="shared" si="1129"/>
        <v>null</v>
      </c>
      <c r="J2235" s="80" t="s">
        <v>0</v>
      </c>
      <c r="K2235" s="80" t="s">
        <v>0</v>
      </c>
      <c r="L2235" s="80" t="s">
        <v>0</v>
      </c>
      <c r="M2235" s="80" t="s">
        <v>0</v>
      </c>
      <c r="N2235" s="80" t="s">
        <v>0</v>
      </c>
      <c r="O2235" s="80" t="s">
        <v>0</v>
      </c>
      <c r="P2235" s="80" t="s">
        <v>0</v>
      </c>
      <c r="Q2235" s="80" t="s">
        <v>927</v>
      </c>
      <c r="R2235" s="84" t="s">
        <v>0</v>
      </c>
      <c r="S2235" s="10" t="s">
        <v>1</v>
      </c>
      <c r="T2235" s="10" t="s">
        <v>10221</v>
      </c>
      <c r="U2235" s="5" t="str">
        <f t="shared" si="1130"/>
        <v>Propriedade destinada a qualificar: é.passado</v>
      </c>
      <c r="V2235" s="5" t="str">
        <f t="shared" si="1131"/>
        <v>Dado para qualificar:  passado  Deve ser formatado como (xsd:boolean)</v>
      </c>
      <c r="W2235" s="69" t="s">
        <v>6176</v>
      </c>
      <c r="X2235" s="17" t="str">
        <f t="shared" si="1097"/>
        <v>d.quali.148</v>
      </c>
      <c r="Y2235" s="17" t="str">
        <f t="shared" si="1098"/>
        <v>Ação de qualificar</v>
      </c>
      <c r="Z2235" s="62" t="s">
        <v>3488</v>
      </c>
      <c r="AA2235" s="18" t="str">
        <f t="shared" si="1132"/>
        <v>null</v>
      </c>
      <c r="AB2235" s="19" t="s">
        <v>0</v>
      </c>
      <c r="AC2235" s="18" t="str">
        <f t="shared" si="1133"/>
        <v>null</v>
      </c>
      <c r="AD2235" s="19" t="s">
        <v>0</v>
      </c>
      <c r="AE2235" s="18" t="str">
        <f t="shared" si="1134"/>
        <v>null</v>
      </c>
      <c r="AF2235" s="75" t="s">
        <v>0</v>
      </c>
      <c r="AG2235" s="38" t="s">
        <v>9157</v>
      </c>
    </row>
    <row r="2236" spans="1:33" ht="6" customHeight="1" x14ac:dyDescent="0.4">
      <c r="A2236" s="4">
        <f>ROW()</f>
        <v>2236</v>
      </c>
      <c r="B2236" s="9" t="s">
        <v>27</v>
      </c>
      <c r="C2236" s="44" t="str">
        <f t="shared" si="1127"/>
        <v>p.qualificar</v>
      </c>
      <c r="D2236" s="6" t="str">
        <f t="shared" si="1128"/>
        <v>é.perfeito</v>
      </c>
      <c r="E2236" s="8" t="s">
        <v>28</v>
      </c>
      <c r="F2236" s="34" t="str">
        <f t="shared" si="1107"/>
        <v>d.qualificar</v>
      </c>
      <c r="G2236" s="13" t="s">
        <v>326</v>
      </c>
      <c r="H2236" s="34" t="s">
        <v>36</v>
      </c>
      <c r="I2236" s="92" t="str">
        <f t="shared" si="1129"/>
        <v>null</v>
      </c>
      <c r="J2236" s="80" t="s">
        <v>0</v>
      </c>
      <c r="K2236" s="80" t="s">
        <v>0</v>
      </c>
      <c r="L2236" s="80" t="s">
        <v>0</v>
      </c>
      <c r="M2236" s="80" t="s">
        <v>0</v>
      </c>
      <c r="N2236" s="80" t="s">
        <v>0</v>
      </c>
      <c r="O2236" s="80" t="s">
        <v>0</v>
      </c>
      <c r="P2236" s="80" t="s">
        <v>0</v>
      </c>
      <c r="Q2236" s="80" t="s">
        <v>0</v>
      </c>
      <c r="R2236" s="84" t="s">
        <v>0</v>
      </c>
      <c r="S2236" s="10" t="s">
        <v>1</v>
      </c>
      <c r="T2236" s="10" t="s">
        <v>10221</v>
      </c>
      <c r="U2236" s="5" t="str">
        <f t="shared" si="1130"/>
        <v>Propriedade destinada a qualificar: é.perfeito</v>
      </c>
      <c r="V2236" s="5" t="str">
        <f t="shared" si="1131"/>
        <v>Dado para qualificar:  perfeito  Deve ser formatado como (xsd:boolean)</v>
      </c>
      <c r="W2236" s="69" t="s">
        <v>6177</v>
      </c>
      <c r="X2236" s="17" t="str">
        <f t="shared" si="1097"/>
        <v>d.quali.149</v>
      </c>
      <c r="Y2236" s="17" t="str">
        <f t="shared" si="1098"/>
        <v>Ação de qualificar</v>
      </c>
      <c r="Z2236" s="62" t="s">
        <v>3489</v>
      </c>
      <c r="AA2236" s="18" t="str">
        <f t="shared" si="1132"/>
        <v>null</v>
      </c>
      <c r="AB2236" s="19" t="s">
        <v>0</v>
      </c>
      <c r="AC2236" s="18" t="str">
        <f t="shared" si="1133"/>
        <v>null</v>
      </c>
      <c r="AD2236" s="19" t="s">
        <v>0</v>
      </c>
      <c r="AE2236" s="18" t="str">
        <f t="shared" si="1134"/>
        <v>null</v>
      </c>
      <c r="AF2236" s="75" t="s">
        <v>0</v>
      </c>
      <c r="AG2236" s="38" t="s">
        <v>9158</v>
      </c>
    </row>
    <row r="2237" spans="1:33" ht="6" customHeight="1" x14ac:dyDescent="0.4">
      <c r="A2237" s="4">
        <f>ROW()</f>
        <v>2237</v>
      </c>
      <c r="B2237" s="9" t="s">
        <v>27</v>
      </c>
      <c r="C2237" s="44" t="str">
        <f t="shared" si="1127"/>
        <v>p.qualificar</v>
      </c>
      <c r="D2237" s="6" t="str">
        <f t="shared" si="1128"/>
        <v>é.perpétuo</v>
      </c>
      <c r="E2237" s="8" t="s">
        <v>28</v>
      </c>
      <c r="F2237" s="34" t="str">
        <f t="shared" si="1107"/>
        <v>d.qualificar</v>
      </c>
      <c r="G2237" s="13" t="s">
        <v>2829</v>
      </c>
      <c r="H2237" s="34" t="s">
        <v>36</v>
      </c>
      <c r="I2237" s="92" t="str">
        <f t="shared" si="1129"/>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30"/>
        <v>Propriedade destinada a qualificar: é.perpétuo</v>
      </c>
      <c r="V2237" s="5" t="str">
        <f t="shared" si="1131"/>
        <v>Dado para qualificar:  perpétuo  Deve ser formatado como (xsd:boolean)</v>
      </c>
      <c r="W2237" s="69" t="s">
        <v>6178</v>
      </c>
      <c r="X2237" s="17" t="str">
        <f t="shared" si="1097"/>
        <v>d.quali.150</v>
      </c>
      <c r="Y2237" s="17" t="str">
        <f t="shared" si="1098"/>
        <v>Ação de qualificar</v>
      </c>
      <c r="Z2237" s="62" t="s">
        <v>4810</v>
      </c>
      <c r="AA2237" s="18" t="str">
        <f t="shared" si="1132"/>
        <v>null</v>
      </c>
      <c r="AB2237" s="19" t="s">
        <v>0</v>
      </c>
      <c r="AC2237" s="18" t="str">
        <f t="shared" si="1133"/>
        <v>null</v>
      </c>
      <c r="AD2237" s="19" t="s">
        <v>0</v>
      </c>
      <c r="AE2237" s="18" t="str">
        <f t="shared" si="1134"/>
        <v>null</v>
      </c>
      <c r="AF2237" s="75" t="s">
        <v>0</v>
      </c>
      <c r="AG2237" s="38" t="s">
        <v>9159</v>
      </c>
    </row>
    <row r="2238" spans="1:33" ht="6" customHeight="1" x14ac:dyDescent="0.4">
      <c r="A2238" s="4">
        <f>ROW()</f>
        <v>2238</v>
      </c>
      <c r="B2238" s="9" t="s">
        <v>27</v>
      </c>
      <c r="C2238" s="44" t="str">
        <f t="shared" si="1127"/>
        <v>p.qualificar</v>
      </c>
      <c r="D2238" s="6" t="str">
        <f t="shared" si="1128"/>
        <v>é.portátil</v>
      </c>
      <c r="E2238" s="8" t="s">
        <v>28</v>
      </c>
      <c r="F2238" s="34" t="str">
        <f t="shared" si="1107"/>
        <v>d.qualificar</v>
      </c>
      <c r="G2238" s="13" t="s">
        <v>3269</v>
      </c>
      <c r="H2238" s="34" t="s">
        <v>36</v>
      </c>
      <c r="I2238" s="92" t="str">
        <f t="shared" si="1129"/>
        <v>null</v>
      </c>
      <c r="J2238" s="80" t="s">
        <v>0</v>
      </c>
      <c r="K2238" s="80" t="s">
        <v>0</v>
      </c>
      <c r="L2238" s="80" t="s">
        <v>0</v>
      </c>
      <c r="M2238" s="80" t="s">
        <v>0</v>
      </c>
      <c r="N2238" s="80" t="s">
        <v>0</v>
      </c>
      <c r="O2238" s="80" t="s">
        <v>0</v>
      </c>
      <c r="P2238" s="80" t="s">
        <v>0</v>
      </c>
      <c r="Q2238" s="80" t="s">
        <v>3270</v>
      </c>
      <c r="R2238" s="84" t="s">
        <v>0</v>
      </c>
      <c r="S2238" s="10" t="s">
        <v>1</v>
      </c>
      <c r="T2238" s="10" t="s">
        <v>10221</v>
      </c>
      <c r="U2238" s="5" t="str">
        <f t="shared" si="1130"/>
        <v>Propriedade destinada a qualificar: é.portátil</v>
      </c>
      <c r="V2238" s="5" t="str">
        <f t="shared" si="1131"/>
        <v>Dado para qualificar:  portátil  Deve ser formatado como (xsd:boolean)</v>
      </c>
      <c r="W2238" s="69" t="s">
        <v>4723</v>
      </c>
      <c r="X2238" s="17" t="str">
        <f t="shared" si="1097"/>
        <v>d.quali.151</v>
      </c>
      <c r="Y2238" s="17" t="str">
        <f t="shared" si="1098"/>
        <v>Ação de qualificar</v>
      </c>
      <c r="Z2238" s="62" t="s">
        <v>3490</v>
      </c>
      <c r="AA2238" s="18" t="str">
        <f t="shared" si="1132"/>
        <v>null</v>
      </c>
      <c r="AB2238" s="19" t="s">
        <v>0</v>
      </c>
      <c r="AC2238" s="18" t="str">
        <f t="shared" si="1133"/>
        <v>null</v>
      </c>
      <c r="AD2238" s="19" t="s">
        <v>0</v>
      </c>
      <c r="AE2238" s="18" t="str">
        <f t="shared" si="1134"/>
        <v>null</v>
      </c>
      <c r="AF2238" s="75" t="s">
        <v>0</v>
      </c>
      <c r="AG2238" s="38" t="s">
        <v>9160</v>
      </c>
    </row>
    <row r="2239" spans="1:33" ht="6" customHeight="1" x14ac:dyDescent="0.4">
      <c r="A2239" s="4">
        <f>ROW()</f>
        <v>2239</v>
      </c>
      <c r="B2239" s="9" t="s">
        <v>27</v>
      </c>
      <c r="C2239" s="44" t="str">
        <f t="shared" si="1127"/>
        <v>p.qualificar</v>
      </c>
      <c r="D2239" s="6" t="str">
        <f t="shared" si="1128"/>
        <v>é.positiva</v>
      </c>
      <c r="E2239" s="8" t="s">
        <v>28</v>
      </c>
      <c r="F2239" s="34" t="str">
        <f t="shared" si="1107"/>
        <v>d.qualificar</v>
      </c>
      <c r="G2239" s="13" t="s">
        <v>357</v>
      </c>
      <c r="H2239" s="34" t="s">
        <v>36</v>
      </c>
      <c r="I2239" s="92" t="str">
        <f t="shared" si="1129"/>
        <v>null</v>
      </c>
      <c r="J2239" s="80" t="s">
        <v>0</v>
      </c>
      <c r="K2239" s="80" t="s">
        <v>0</v>
      </c>
      <c r="L2239" s="80" t="s">
        <v>0</v>
      </c>
      <c r="M2239" s="80" t="s">
        <v>0</v>
      </c>
      <c r="N2239" s="80" t="s">
        <v>0</v>
      </c>
      <c r="O2239" s="80" t="s">
        <v>0</v>
      </c>
      <c r="P2239" s="80" t="s">
        <v>0</v>
      </c>
      <c r="Q2239" s="80" t="s">
        <v>3273</v>
      </c>
      <c r="R2239" s="84" t="s">
        <v>0</v>
      </c>
      <c r="S2239" s="10" t="s">
        <v>1</v>
      </c>
      <c r="T2239" s="10" t="s">
        <v>10221</v>
      </c>
      <c r="U2239" s="5" t="str">
        <f t="shared" si="1130"/>
        <v>Propriedade destinada a qualificar: é.positiva</v>
      </c>
      <c r="V2239" s="5" t="str">
        <f t="shared" si="1131"/>
        <v>Dado para qualificar:  positiva  Deve ser formatado como (xsd:boolean)</v>
      </c>
      <c r="W2239" s="69" t="s">
        <v>4362</v>
      </c>
      <c r="X2239" s="17" t="str">
        <f t="shared" si="1097"/>
        <v>d.quali.152</v>
      </c>
      <c r="Y2239" s="17" t="str">
        <f t="shared" si="1098"/>
        <v>Ação de qualificar</v>
      </c>
      <c r="Z2239" s="62" t="s">
        <v>3491</v>
      </c>
      <c r="AA2239" s="18" t="str">
        <f t="shared" si="1132"/>
        <v>null</v>
      </c>
      <c r="AB2239" s="19" t="s">
        <v>0</v>
      </c>
      <c r="AC2239" s="18" t="str">
        <f t="shared" si="1133"/>
        <v>null</v>
      </c>
      <c r="AD2239" s="19" t="s">
        <v>0</v>
      </c>
      <c r="AE2239" s="18" t="str">
        <f t="shared" si="1134"/>
        <v>null</v>
      </c>
      <c r="AF2239" s="75" t="s">
        <v>0</v>
      </c>
      <c r="AG2239" s="38" t="s">
        <v>9161</v>
      </c>
    </row>
    <row r="2240" spans="1:33" ht="6" customHeight="1" x14ac:dyDescent="0.4">
      <c r="A2240" s="4">
        <f>ROW()</f>
        <v>2240</v>
      </c>
      <c r="B2240" s="9" t="s">
        <v>27</v>
      </c>
      <c r="C2240" s="44" t="str">
        <f t="shared" si="1127"/>
        <v>p.qualificar</v>
      </c>
      <c r="D2240" s="6" t="str">
        <f t="shared" si="1128"/>
        <v>é.positivo</v>
      </c>
      <c r="E2240" s="8" t="s">
        <v>28</v>
      </c>
      <c r="F2240" s="34" t="str">
        <f t="shared" si="1107"/>
        <v>d.qualificar</v>
      </c>
      <c r="G2240" s="14" t="s">
        <v>218</v>
      </c>
      <c r="H2240" s="34" t="s">
        <v>36</v>
      </c>
      <c r="I2240" s="92" t="str">
        <f t="shared" si="1129"/>
        <v>null</v>
      </c>
      <c r="J2240" s="82" t="s">
        <v>0</v>
      </c>
      <c r="K2240" s="82" t="s">
        <v>0</v>
      </c>
      <c r="L2240" s="82" t="s">
        <v>0</v>
      </c>
      <c r="M2240" s="82" t="s">
        <v>0</v>
      </c>
      <c r="N2240" s="80" t="s">
        <v>0</v>
      </c>
      <c r="O2240" s="82" t="s">
        <v>0</v>
      </c>
      <c r="P2240" s="82" t="s">
        <v>0</v>
      </c>
      <c r="Q2240" s="80" t="s">
        <v>485</v>
      </c>
      <c r="R2240" s="84" t="s">
        <v>0</v>
      </c>
      <c r="S2240" s="10" t="s">
        <v>1</v>
      </c>
      <c r="T2240" s="10" t="s">
        <v>10221</v>
      </c>
      <c r="U2240" s="5" t="str">
        <f t="shared" si="1130"/>
        <v>Propriedade destinada a qualificar: é.positivo</v>
      </c>
      <c r="V2240" s="5" t="str">
        <f t="shared" si="1131"/>
        <v>Dado para qualificar:  positivo  Deve ser formatado como (xsd:boolean)</v>
      </c>
      <c r="W2240" s="69" t="s">
        <v>4363</v>
      </c>
      <c r="X2240" s="17" t="str">
        <f t="shared" si="1097"/>
        <v>d.quali.153</v>
      </c>
      <c r="Y2240" s="17" t="str">
        <f t="shared" si="1098"/>
        <v>Ação de qualificar</v>
      </c>
      <c r="Z2240" s="62" t="s">
        <v>3491</v>
      </c>
      <c r="AA2240" s="18" t="str">
        <f t="shared" si="1132"/>
        <v>null</v>
      </c>
      <c r="AB2240" s="19" t="s">
        <v>0</v>
      </c>
      <c r="AC2240" s="18" t="str">
        <f t="shared" si="1133"/>
        <v>null</v>
      </c>
      <c r="AD2240" s="19" t="s">
        <v>0</v>
      </c>
      <c r="AE2240" s="18" t="str">
        <f t="shared" si="1134"/>
        <v>null</v>
      </c>
      <c r="AF2240" s="75" t="s">
        <v>0</v>
      </c>
      <c r="AG2240" s="38" t="s">
        <v>9161</v>
      </c>
    </row>
    <row r="2241" spans="1:33" ht="6" customHeight="1" x14ac:dyDescent="0.4">
      <c r="A2241" s="4">
        <f>ROW()</f>
        <v>2241</v>
      </c>
      <c r="B2241" s="9" t="s">
        <v>27</v>
      </c>
      <c r="C2241" s="44" t="str">
        <f t="shared" si="1127"/>
        <v>p.qualificar</v>
      </c>
      <c r="D2241" s="6" t="str">
        <f t="shared" si="1128"/>
        <v>é.potencial</v>
      </c>
      <c r="E2241" s="8" t="s">
        <v>28</v>
      </c>
      <c r="F2241" s="34" t="str">
        <f t="shared" si="1107"/>
        <v>d.qualificar</v>
      </c>
      <c r="G2241" s="13" t="s">
        <v>337</v>
      </c>
      <c r="H2241" s="34" t="s">
        <v>36</v>
      </c>
      <c r="I2241" s="92" t="str">
        <f t="shared" si="1129"/>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30"/>
        <v>Propriedade destinada a qualificar: é.potencial</v>
      </c>
      <c r="V2241" s="5" t="str">
        <f t="shared" si="1131"/>
        <v>Dado para qualificar:  potencial  Deve ser formatado como (xsd:boolean)</v>
      </c>
      <c r="W2241" s="69" t="s">
        <v>6179</v>
      </c>
      <c r="X2241" s="17" t="str">
        <f t="shared" si="1097"/>
        <v>d.quali.154</v>
      </c>
      <c r="Y2241" s="17" t="str">
        <f t="shared" si="1098"/>
        <v>Ação de qualificar</v>
      </c>
      <c r="Z2241" s="62" t="s">
        <v>3492</v>
      </c>
      <c r="AA2241" s="18" t="str">
        <f t="shared" si="1132"/>
        <v>null</v>
      </c>
      <c r="AB2241" s="19" t="s">
        <v>0</v>
      </c>
      <c r="AC2241" s="18" t="str">
        <f t="shared" si="1133"/>
        <v>null</v>
      </c>
      <c r="AD2241" s="19" t="s">
        <v>0</v>
      </c>
      <c r="AE2241" s="18" t="str">
        <f t="shared" si="1134"/>
        <v>null</v>
      </c>
      <c r="AF2241" s="75" t="s">
        <v>0</v>
      </c>
      <c r="AG2241" s="38" t="s">
        <v>9162</v>
      </c>
    </row>
    <row r="2242" spans="1:33" ht="6" customHeight="1" x14ac:dyDescent="0.4">
      <c r="A2242" s="4">
        <f>ROW()</f>
        <v>2242</v>
      </c>
      <c r="B2242" s="9" t="s">
        <v>27</v>
      </c>
      <c r="C2242" s="44" t="str">
        <f t="shared" si="1127"/>
        <v>p.qualificar</v>
      </c>
      <c r="D2242" s="6" t="str">
        <f t="shared" si="1128"/>
        <v>é.pressurizado</v>
      </c>
      <c r="E2242" s="8" t="s">
        <v>28</v>
      </c>
      <c r="F2242" s="34" t="str">
        <f t="shared" si="1107"/>
        <v>d.qualificar</v>
      </c>
      <c r="G2242" s="13" t="s">
        <v>355</v>
      </c>
      <c r="H2242" s="34" t="s">
        <v>36</v>
      </c>
      <c r="I2242" s="92" t="str">
        <f t="shared" si="1129"/>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30"/>
        <v>Propriedade destinada a qualificar: é.pressurizado</v>
      </c>
      <c r="V2242" s="5" t="str">
        <f t="shared" si="1131"/>
        <v>Dado para qualificar:  pressurizado  Deve ser formatado como (xsd:boolean)</v>
      </c>
      <c r="W2242" s="69" t="s">
        <v>6180</v>
      </c>
      <c r="X2242" s="17" t="str">
        <f t="shared" si="1097"/>
        <v>d.quali.155</v>
      </c>
      <c r="Y2242" s="17" t="str">
        <f t="shared" si="1098"/>
        <v>Ação de qualificar</v>
      </c>
      <c r="Z2242" s="62" t="s">
        <v>3493</v>
      </c>
      <c r="AA2242" s="18" t="str">
        <f t="shared" si="1132"/>
        <v>null</v>
      </c>
      <c r="AB2242" s="19" t="s">
        <v>0</v>
      </c>
      <c r="AC2242" s="18" t="str">
        <f t="shared" si="1133"/>
        <v>null</v>
      </c>
      <c r="AD2242" s="19" t="s">
        <v>0</v>
      </c>
      <c r="AE2242" s="18" t="str">
        <f t="shared" si="1134"/>
        <v>null</v>
      </c>
      <c r="AF2242" s="75" t="s">
        <v>0</v>
      </c>
      <c r="AG2242" s="38" t="s">
        <v>9163</v>
      </c>
    </row>
    <row r="2243" spans="1:33" ht="6" customHeight="1" x14ac:dyDescent="0.4">
      <c r="A2243" s="4">
        <f>ROW()</f>
        <v>2243</v>
      </c>
      <c r="B2243" s="9" t="s">
        <v>27</v>
      </c>
      <c r="C2243" s="44" t="str">
        <f t="shared" si="1127"/>
        <v>p.qualificar</v>
      </c>
      <c r="D2243" s="6" t="str">
        <f t="shared" si="1128"/>
        <v>é.problemático</v>
      </c>
      <c r="E2243" s="8" t="s">
        <v>28</v>
      </c>
      <c r="F2243" s="34" t="str">
        <f t="shared" si="1107"/>
        <v>d.qualificar</v>
      </c>
      <c r="G2243" s="13" t="s">
        <v>331</v>
      </c>
      <c r="H2243" s="34" t="s">
        <v>36</v>
      </c>
      <c r="I2243" s="92" t="str">
        <f t="shared" si="1129"/>
        <v>null</v>
      </c>
      <c r="J2243" s="80" t="s">
        <v>0</v>
      </c>
      <c r="K2243" s="80" t="s">
        <v>0</v>
      </c>
      <c r="L2243" s="80" t="s">
        <v>0</v>
      </c>
      <c r="M2243" s="80" t="s">
        <v>0</v>
      </c>
      <c r="N2243" s="80" t="s">
        <v>0</v>
      </c>
      <c r="O2243" s="80" t="s">
        <v>0</v>
      </c>
      <c r="P2243" s="80" t="s">
        <v>0</v>
      </c>
      <c r="Q2243" s="80" t="s">
        <v>0</v>
      </c>
      <c r="R2243" s="84" t="s">
        <v>0</v>
      </c>
      <c r="S2243" s="10" t="s">
        <v>1</v>
      </c>
      <c r="T2243" s="10" t="s">
        <v>10221</v>
      </c>
      <c r="U2243" s="5" t="str">
        <f t="shared" si="1130"/>
        <v>Propriedade destinada a qualificar: é.problemático</v>
      </c>
      <c r="V2243" s="5" t="str">
        <f t="shared" si="1131"/>
        <v>Dado para qualificar:  problemático  Deve ser formatado como (xsd:boolean)</v>
      </c>
      <c r="W2243" s="69" t="s">
        <v>6181</v>
      </c>
      <c r="X2243" s="17" t="str">
        <f t="shared" ref="X2243:X2306" si="1135">IF(F2242&lt;&gt;F2243,_xlfn.CONCAT(RIGHT(LEFT(F2243,7),7),".100"),_xlfn.CONCAT(RIGHT(LEFT(F2243,7),7),".",SUM(VALUE(RIGHT(X2242,3)),1)))</f>
        <v>d.quali.156</v>
      </c>
      <c r="Y2243" s="17" t="str">
        <f t="shared" ref="Y2243:Y2306" si="1136">_xlfn.CONCAT("Ação de ", SUBSTITUTE(F2243, "d.",  ""))</f>
        <v>Ação de qualificar</v>
      </c>
      <c r="Z2243" s="62" t="s">
        <v>3494</v>
      </c>
      <c r="AA2243" s="18" t="str">
        <f t="shared" si="1132"/>
        <v>null</v>
      </c>
      <c r="AB2243" s="19" t="s">
        <v>0</v>
      </c>
      <c r="AC2243" s="18" t="str">
        <f t="shared" si="1133"/>
        <v>null</v>
      </c>
      <c r="AD2243" s="19" t="s">
        <v>0</v>
      </c>
      <c r="AE2243" s="18" t="str">
        <f t="shared" si="1134"/>
        <v>null</v>
      </c>
      <c r="AF2243" s="75" t="s">
        <v>0</v>
      </c>
      <c r="AG2243" s="38" t="s">
        <v>9164</v>
      </c>
    </row>
    <row r="2244" spans="1:33" ht="6" customHeight="1" x14ac:dyDescent="0.4">
      <c r="A2244" s="4">
        <f>ROW()</f>
        <v>2244</v>
      </c>
      <c r="B2244" s="9" t="s">
        <v>27</v>
      </c>
      <c r="C2244" s="44" t="str">
        <f t="shared" si="1127"/>
        <v>p.qualificar</v>
      </c>
      <c r="D2244" s="6" t="str">
        <f t="shared" si="1128"/>
        <v>é.protegido</v>
      </c>
      <c r="E2244" s="8" t="s">
        <v>28</v>
      </c>
      <c r="F2244" s="34" t="str">
        <f t="shared" si="1107"/>
        <v>d.qualificar</v>
      </c>
      <c r="G2244" s="13" t="s">
        <v>346</v>
      </c>
      <c r="H2244" s="34" t="s">
        <v>36</v>
      </c>
      <c r="I2244" s="92" t="str">
        <f t="shared" si="1129"/>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30"/>
        <v>Propriedade destinada a qualificar: é.protegido</v>
      </c>
      <c r="V2244" s="5" t="str">
        <f t="shared" si="1131"/>
        <v>Dado para qualificar:  protegido  Deve ser formatado como (xsd:boolean)</v>
      </c>
      <c r="W2244" s="69" t="s">
        <v>6182</v>
      </c>
      <c r="X2244" s="17" t="str">
        <f t="shared" si="1135"/>
        <v>d.quali.157</v>
      </c>
      <c r="Y2244" s="17" t="str">
        <f t="shared" si="1136"/>
        <v>Ação de qualificar</v>
      </c>
      <c r="Z2244" s="62" t="s">
        <v>3495</v>
      </c>
      <c r="AA2244" s="18" t="str">
        <f t="shared" si="1132"/>
        <v>null</v>
      </c>
      <c r="AB2244" s="19" t="s">
        <v>0</v>
      </c>
      <c r="AC2244" s="18" t="str">
        <f t="shared" si="1133"/>
        <v>null</v>
      </c>
      <c r="AD2244" s="19" t="s">
        <v>0</v>
      </c>
      <c r="AE2244" s="18" t="str">
        <f t="shared" si="1134"/>
        <v>null</v>
      </c>
      <c r="AF2244" s="75" t="s">
        <v>0</v>
      </c>
      <c r="AG2244" s="38" t="s">
        <v>9165</v>
      </c>
    </row>
    <row r="2245" spans="1:33" ht="6" customHeight="1" x14ac:dyDescent="0.4">
      <c r="A2245" s="4">
        <f>ROW()</f>
        <v>2245</v>
      </c>
      <c r="B2245" s="9" t="s">
        <v>27</v>
      </c>
      <c r="C2245" s="44" t="str">
        <f t="shared" si="1127"/>
        <v>p.qualificar</v>
      </c>
      <c r="D2245" s="6" t="str">
        <f t="shared" si="1128"/>
        <v>é.real</v>
      </c>
      <c r="E2245" s="8" t="s">
        <v>28</v>
      </c>
      <c r="F2245" s="34" t="str">
        <f t="shared" si="1107"/>
        <v>d.qualificar</v>
      </c>
      <c r="G2245" s="13" t="s">
        <v>317</v>
      </c>
      <c r="H2245" s="34" t="s">
        <v>36</v>
      </c>
      <c r="I2245" s="92" t="str">
        <f t="shared" si="1129"/>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30"/>
        <v>Propriedade destinada a qualificar: é.real</v>
      </c>
      <c r="V2245" s="5" t="str">
        <f t="shared" si="1131"/>
        <v>Dado para qualificar:  real  Deve ser formatado como (xsd:boolean)</v>
      </c>
      <c r="W2245" s="69" t="s">
        <v>6183</v>
      </c>
      <c r="X2245" s="17" t="str">
        <f t="shared" si="1135"/>
        <v>d.quali.158</v>
      </c>
      <c r="Y2245" s="17" t="str">
        <f t="shared" si="1136"/>
        <v>Ação de qualificar</v>
      </c>
      <c r="Z2245" s="62" t="s">
        <v>3496</v>
      </c>
      <c r="AA2245" s="18" t="str">
        <f t="shared" si="1132"/>
        <v>null</v>
      </c>
      <c r="AB2245" s="19" t="s">
        <v>0</v>
      </c>
      <c r="AC2245" s="18" t="str">
        <f t="shared" si="1133"/>
        <v>null</v>
      </c>
      <c r="AD2245" s="19" t="s">
        <v>0</v>
      </c>
      <c r="AE2245" s="18" t="str">
        <f t="shared" si="1134"/>
        <v>null</v>
      </c>
      <c r="AF2245" s="75" t="s">
        <v>0</v>
      </c>
      <c r="AG2245" s="38" t="s">
        <v>9166</v>
      </c>
    </row>
    <row r="2246" spans="1:33" ht="6" customHeight="1" x14ac:dyDescent="0.4">
      <c r="A2246" s="4">
        <f>ROW()</f>
        <v>2246</v>
      </c>
      <c r="B2246" s="9" t="s">
        <v>27</v>
      </c>
      <c r="C2246" s="44" t="str">
        <f t="shared" si="1127"/>
        <v>p.qualificar</v>
      </c>
      <c r="D2246" s="6" t="str">
        <f t="shared" si="1128"/>
        <v>é.refrigerado</v>
      </c>
      <c r="E2246" s="8" t="s">
        <v>28</v>
      </c>
      <c r="F2246" s="34" t="str">
        <f t="shared" si="1107"/>
        <v>d.qualificar</v>
      </c>
      <c r="G2246" s="13" t="s">
        <v>350</v>
      </c>
      <c r="H2246" s="34" t="s">
        <v>36</v>
      </c>
      <c r="I2246" s="92" t="str">
        <f t="shared" si="1129"/>
        <v>null</v>
      </c>
      <c r="J2246" s="80" t="s">
        <v>0</v>
      </c>
      <c r="K2246" s="80" t="s">
        <v>0</v>
      </c>
      <c r="L2246" s="80" t="s">
        <v>0</v>
      </c>
      <c r="M2246" s="80" t="s">
        <v>0</v>
      </c>
      <c r="N2246" s="80" t="s">
        <v>0</v>
      </c>
      <c r="O2246" s="80" t="s">
        <v>0</v>
      </c>
      <c r="P2246" s="80" t="s">
        <v>0</v>
      </c>
      <c r="Q2246" s="80" t="s">
        <v>0</v>
      </c>
      <c r="R2246" s="84" t="s">
        <v>0</v>
      </c>
      <c r="S2246" s="10" t="s">
        <v>1</v>
      </c>
      <c r="T2246" s="10" t="s">
        <v>10221</v>
      </c>
      <c r="U2246" s="5" t="str">
        <f t="shared" si="1130"/>
        <v>Propriedade destinada a qualificar: é.refrigerado</v>
      </c>
      <c r="V2246" s="5" t="str">
        <f t="shared" si="1131"/>
        <v>Dado para qualificar:  refrigerado  Deve ser formatado como (xsd:boolean)</v>
      </c>
      <c r="W2246" s="69" t="s">
        <v>6184</v>
      </c>
      <c r="X2246" s="17" t="str">
        <f t="shared" si="1135"/>
        <v>d.quali.159</v>
      </c>
      <c r="Y2246" s="17" t="str">
        <f t="shared" si="1136"/>
        <v>Ação de qualificar</v>
      </c>
      <c r="Z2246" s="62" t="s">
        <v>3497</v>
      </c>
      <c r="AA2246" s="18" t="str">
        <f t="shared" si="1132"/>
        <v>null</v>
      </c>
      <c r="AB2246" s="19" t="s">
        <v>0</v>
      </c>
      <c r="AC2246" s="18" t="str">
        <f t="shared" si="1133"/>
        <v>null</v>
      </c>
      <c r="AD2246" s="19" t="s">
        <v>0</v>
      </c>
      <c r="AE2246" s="18" t="str">
        <f t="shared" si="1134"/>
        <v>null</v>
      </c>
      <c r="AF2246" s="75" t="s">
        <v>0</v>
      </c>
      <c r="AG2246" s="38" t="s">
        <v>9167</v>
      </c>
    </row>
    <row r="2247" spans="1:33" ht="6" customHeight="1" x14ac:dyDescent="0.4">
      <c r="A2247" s="4">
        <f>ROW()</f>
        <v>2247</v>
      </c>
      <c r="B2247" s="9" t="s">
        <v>27</v>
      </c>
      <c r="C2247" s="44" t="str">
        <f t="shared" si="1127"/>
        <v>p.qualificar</v>
      </c>
      <c r="D2247" s="6" t="str">
        <f t="shared" si="1128"/>
        <v>é.residual</v>
      </c>
      <c r="E2247" s="8" t="s">
        <v>28</v>
      </c>
      <c r="F2247" s="34" t="str">
        <f t="shared" si="1107"/>
        <v>d.qualificar</v>
      </c>
      <c r="G2247" s="13" t="s">
        <v>335</v>
      </c>
      <c r="H2247" s="34" t="s">
        <v>36</v>
      </c>
      <c r="I2247" s="92" t="str">
        <f t="shared" si="1129"/>
        <v>null</v>
      </c>
      <c r="J2247" s="80" t="s">
        <v>0</v>
      </c>
      <c r="K2247" s="80" t="s">
        <v>0</v>
      </c>
      <c r="L2247" s="80" t="s">
        <v>0</v>
      </c>
      <c r="M2247" s="80" t="s">
        <v>0</v>
      </c>
      <c r="N2247" s="80" t="s">
        <v>0</v>
      </c>
      <c r="O2247" s="80" t="s">
        <v>0</v>
      </c>
      <c r="P2247" s="80" t="s">
        <v>0</v>
      </c>
      <c r="Q2247" s="80" t="s">
        <v>0</v>
      </c>
      <c r="R2247" s="84" t="s">
        <v>0</v>
      </c>
      <c r="S2247" s="10" t="s">
        <v>1</v>
      </c>
      <c r="T2247" s="10" t="s">
        <v>10221</v>
      </c>
      <c r="U2247" s="5" t="str">
        <f t="shared" si="1130"/>
        <v>Propriedade destinada a qualificar: é.residual</v>
      </c>
      <c r="V2247" s="5" t="str">
        <f t="shared" si="1131"/>
        <v>Dado para qualificar:  residual  Deve ser formatado como (xsd:boolean)</v>
      </c>
      <c r="W2247" s="69" t="s">
        <v>6185</v>
      </c>
      <c r="X2247" s="17" t="str">
        <f t="shared" si="1135"/>
        <v>d.quali.160</v>
      </c>
      <c r="Y2247" s="17" t="str">
        <f t="shared" si="1136"/>
        <v>Ação de qualificar</v>
      </c>
      <c r="Z2247" s="62" t="s">
        <v>3498</v>
      </c>
      <c r="AA2247" s="18" t="str">
        <f t="shared" si="1132"/>
        <v>null</v>
      </c>
      <c r="AB2247" s="19" t="s">
        <v>0</v>
      </c>
      <c r="AC2247" s="18" t="str">
        <f t="shared" si="1133"/>
        <v>null</v>
      </c>
      <c r="AD2247" s="19" t="s">
        <v>0</v>
      </c>
      <c r="AE2247" s="18" t="str">
        <f t="shared" si="1134"/>
        <v>null</v>
      </c>
      <c r="AF2247" s="75" t="s">
        <v>0</v>
      </c>
      <c r="AG2247" s="38" t="s">
        <v>9168</v>
      </c>
    </row>
    <row r="2248" spans="1:33" ht="6" customHeight="1" x14ac:dyDescent="0.4">
      <c r="A2248" s="4">
        <f>ROW()</f>
        <v>2248</v>
      </c>
      <c r="B2248" s="9" t="s">
        <v>27</v>
      </c>
      <c r="C2248" s="44" t="str">
        <f t="shared" si="1127"/>
        <v>p.qualificar</v>
      </c>
      <c r="D2248" s="6" t="str">
        <f t="shared" si="1128"/>
        <v>é.ressonante</v>
      </c>
      <c r="E2248" s="8" t="s">
        <v>28</v>
      </c>
      <c r="F2248" s="34" t="str">
        <f t="shared" si="1107"/>
        <v>d.qualificar</v>
      </c>
      <c r="G2248" s="13" t="s">
        <v>3049</v>
      </c>
      <c r="H2248" s="34" t="s">
        <v>36</v>
      </c>
      <c r="I2248" s="92" t="str">
        <f t="shared" si="1129"/>
        <v>null</v>
      </c>
      <c r="J2248" s="80" t="s">
        <v>0</v>
      </c>
      <c r="K2248" s="80" t="s">
        <v>0</v>
      </c>
      <c r="L2248" s="80" t="s">
        <v>0</v>
      </c>
      <c r="M2248" s="80" t="s">
        <v>0</v>
      </c>
      <c r="N2248" s="80" t="s">
        <v>0</v>
      </c>
      <c r="O2248" s="80" t="s">
        <v>0</v>
      </c>
      <c r="P2248" s="80" t="s">
        <v>0</v>
      </c>
      <c r="Q2248" s="80" t="s">
        <v>0</v>
      </c>
      <c r="R2248" s="84" t="s">
        <v>0</v>
      </c>
      <c r="S2248" s="10" t="s">
        <v>1</v>
      </c>
      <c r="T2248" s="10" t="s">
        <v>10221</v>
      </c>
      <c r="U2248" s="5" t="str">
        <f t="shared" si="1130"/>
        <v>Propriedade destinada a qualificar: é.ressonante</v>
      </c>
      <c r="V2248" s="5" t="str">
        <f t="shared" si="1131"/>
        <v>Dado para qualificar:  ressonante  Deve ser formatado como (xsd:boolean)</v>
      </c>
      <c r="W2248" s="69" t="s">
        <v>6186</v>
      </c>
      <c r="X2248" s="17" t="str">
        <f t="shared" si="1135"/>
        <v>d.quali.161</v>
      </c>
      <c r="Y2248" s="17" t="str">
        <f t="shared" si="1136"/>
        <v>Ação de qualificar</v>
      </c>
      <c r="Z2248" s="62" t="s">
        <v>3499</v>
      </c>
      <c r="AA2248" s="18" t="str">
        <f t="shared" si="1132"/>
        <v>null</v>
      </c>
      <c r="AB2248" s="19" t="s">
        <v>0</v>
      </c>
      <c r="AC2248" s="18" t="str">
        <f t="shared" si="1133"/>
        <v>null</v>
      </c>
      <c r="AD2248" s="19" t="s">
        <v>0</v>
      </c>
      <c r="AE2248" s="18" t="str">
        <f t="shared" si="1134"/>
        <v>null</v>
      </c>
      <c r="AF2248" s="75" t="s">
        <v>0</v>
      </c>
      <c r="AG2248" s="38" t="s">
        <v>9169</v>
      </c>
    </row>
    <row r="2249" spans="1:33" ht="6" customHeight="1" x14ac:dyDescent="0.4">
      <c r="A2249" s="4">
        <f>ROW()</f>
        <v>2249</v>
      </c>
      <c r="B2249" s="9" t="s">
        <v>27</v>
      </c>
      <c r="C2249" s="44" t="str">
        <f t="shared" si="1127"/>
        <v>p.qualificar</v>
      </c>
      <c r="D2249" s="6" t="str">
        <f t="shared" si="1128"/>
        <v>é.ruidoso</v>
      </c>
      <c r="E2249" s="8" t="s">
        <v>28</v>
      </c>
      <c r="F2249" s="34" t="str">
        <f t="shared" si="1107"/>
        <v>d.qualificar</v>
      </c>
      <c r="G2249" s="13" t="s">
        <v>330</v>
      </c>
      <c r="H2249" s="34" t="s">
        <v>36</v>
      </c>
      <c r="I2249" s="92" t="str">
        <f t="shared" si="1129"/>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30"/>
        <v>Propriedade destinada a qualificar: é.ruidoso</v>
      </c>
      <c r="V2249" s="5" t="str">
        <f t="shared" si="1131"/>
        <v>Dado para qualificar:  ruidoso  Deve ser formatado como (xsd:boolean)</v>
      </c>
      <c r="W2249" s="69" t="s">
        <v>6187</v>
      </c>
      <c r="X2249" s="17" t="str">
        <f t="shared" si="1135"/>
        <v>d.quali.162</v>
      </c>
      <c r="Y2249" s="17" t="str">
        <f t="shared" si="1136"/>
        <v>Ação de qualificar</v>
      </c>
      <c r="Z2249" s="62" t="s">
        <v>3500</v>
      </c>
      <c r="AA2249" s="18" t="str">
        <f t="shared" si="1132"/>
        <v>null</v>
      </c>
      <c r="AB2249" s="19" t="s">
        <v>0</v>
      </c>
      <c r="AC2249" s="18" t="str">
        <f t="shared" si="1133"/>
        <v>null</v>
      </c>
      <c r="AD2249" s="19" t="s">
        <v>0</v>
      </c>
      <c r="AE2249" s="18" t="str">
        <f t="shared" si="1134"/>
        <v>null</v>
      </c>
      <c r="AF2249" s="75" t="s">
        <v>0</v>
      </c>
      <c r="AG2249" s="38" t="s">
        <v>9170</v>
      </c>
    </row>
    <row r="2250" spans="1:33" ht="6" customHeight="1" x14ac:dyDescent="0.4">
      <c r="A2250" s="4">
        <f>ROW()</f>
        <v>2250</v>
      </c>
      <c r="B2250" s="9" t="s">
        <v>27</v>
      </c>
      <c r="C2250" s="44" t="str">
        <f t="shared" si="1127"/>
        <v>p.qualificar</v>
      </c>
      <c r="D2250" s="6" t="str">
        <f t="shared" si="1128"/>
        <v>é.seco</v>
      </c>
      <c r="E2250" s="8" t="s">
        <v>28</v>
      </c>
      <c r="F2250" s="34" t="str">
        <f t="shared" si="1107"/>
        <v>d.qualificar</v>
      </c>
      <c r="G2250" s="13" t="s">
        <v>333</v>
      </c>
      <c r="H2250" s="34" t="s">
        <v>36</v>
      </c>
      <c r="I2250" s="92" t="str">
        <f t="shared" si="1129"/>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30"/>
        <v>Propriedade destinada a qualificar: é.seco</v>
      </c>
      <c r="V2250" s="5" t="str">
        <f t="shared" si="1131"/>
        <v>Dado para qualificar:  seco  Deve ser formatado como (xsd:boolean)</v>
      </c>
      <c r="W2250" s="69" t="s">
        <v>6188</v>
      </c>
      <c r="X2250" s="17" t="str">
        <f t="shared" si="1135"/>
        <v>d.quali.163</v>
      </c>
      <c r="Y2250" s="17" t="str">
        <f t="shared" si="1136"/>
        <v>Ação de qualificar</v>
      </c>
      <c r="Z2250" s="62" t="s">
        <v>3501</v>
      </c>
      <c r="AA2250" s="18" t="str">
        <f t="shared" si="1132"/>
        <v>null</v>
      </c>
      <c r="AB2250" s="19" t="s">
        <v>0</v>
      </c>
      <c r="AC2250" s="18" t="str">
        <f t="shared" si="1133"/>
        <v>null</v>
      </c>
      <c r="AD2250" s="19" t="s">
        <v>0</v>
      </c>
      <c r="AE2250" s="18" t="str">
        <f t="shared" si="1134"/>
        <v>null</v>
      </c>
      <c r="AF2250" s="75" t="s">
        <v>0</v>
      </c>
      <c r="AG2250" s="38" t="s">
        <v>9171</v>
      </c>
    </row>
    <row r="2251" spans="1:33" ht="6" customHeight="1" x14ac:dyDescent="0.4">
      <c r="A2251" s="4">
        <f>ROW()</f>
        <v>2251</v>
      </c>
      <c r="B2251" s="9" t="s">
        <v>27</v>
      </c>
      <c r="C2251" s="44" t="str">
        <f t="shared" si="1127"/>
        <v>p.qualificar</v>
      </c>
      <c r="D2251" s="6" t="str">
        <f t="shared" si="1128"/>
        <v>é.semiautomático</v>
      </c>
      <c r="E2251" s="8" t="s">
        <v>28</v>
      </c>
      <c r="F2251" s="34" t="str">
        <f t="shared" si="1107"/>
        <v>d.qualificar</v>
      </c>
      <c r="G2251" s="13" t="s">
        <v>366</v>
      </c>
      <c r="H2251" s="34" t="s">
        <v>36</v>
      </c>
      <c r="I2251" s="92" t="str">
        <f t="shared" si="1129"/>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30"/>
        <v>Propriedade destinada a qualificar: é.semiautomático</v>
      </c>
      <c r="V2251" s="5" t="str">
        <f t="shared" si="1131"/>
        <v>Dado para qualificar:  semiautomático  Deve ser formatado como (xsd:boolean)</v>
      </c>
      <c r="W2251" s="69" t="s">
        <v>6189</v>
      </c>
      <c r="X2251" s="17" t="str">
        <f t="shared" si="1135"/>
        <v>d.quali.164</v>
      </c>
      <c r="Y2251" s="17" t="str">
        <f t="shared" si="1136"/>
        <v>Ação de qualificar</v>
      </c>
      <c r="Z2251" s="62" t="s">
        <v>3502</v>
      </c>
      <c r="AA2251" s="18" t="str">
        <f t="shared" si="1132"/>
        <v>null</v>
      </c>
      <c r="AB2251" s="19" t="s">
        <v>0</v>
      </c>
      <c r="AC2251" s="18" t="str">
        <f t="shared" si="1133"/>
        <v>null</v>
      </c>
      <c r="AD2251" s="19" t="s">
        <v>0</v>
      </c>
      <c r="AE2251" s="18" t="str">
        <f t="shared" si="1134"/>
        <v>null</v>
      </c>
      <c r="AF2251" s="75" t="s">
        <v>0</v>
      </c>
      <c r="AG2251" s="38" t="s">
        <v>9172</v>
      </c>
    </row>
    <row r="2252" spans="1:33" ht="6" customHeight="1" x14ac:dyDescent="0.4">
      <c r="A2252" s="4">
        <f>ROW()</f>
        <v>2252</v>
      </c>
      <c r="B2252" s="9" t="s">
        <v>27</v>
      </c>
      <c r="C2252" s="44" t="str">
        <f t="shared" si="1127"/>
        <v>p.qualificar</v>
      </c>
      <c r="D2252" s="6" t="str">
        <f t="shared" si="1128"/>
        <v>é.silencioso</v>
      </c>
      <c r="E2252" s="8" t="s">
        <v>28</v>
      </c>
      <c r="F2252" s="34" t="str">
        <f t="shared" si="1107"/>
        <v>d.qualificar</v>
      </c>
      <c r="G2252" s="13" t="s">
        <v>329</v>
      </c>
      <c r="H2252" s="34" t="s">
        <v>36</v>
      </c>
      <c r="I2252" s="92" t="str">
        <f t="shared" si="1129"/>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30"/>
        <v>Propriedade destinada a qualificar: é.silencioso</v>
      </c>
      <c r="V2252" s="5" t="str">
        <f t="shared" si="1131"/>
        <v>Dado para qualificar:  silencioso  Deve ser formatado como (xsd:boolean)</v>
      </c>
      <c r="W2252" s="69" t="s">
        <v>6190</v>
      </c>
      <c r="X2252" s="17" t="str">
        <f t="shared" si="1135"/>
        <v>d.quali.165</v>
      </c>
      <c r="Y2252" s="17" t="str">
        <f t="shared" si="1136"/>
        <v>Ação de qualificar</v>
      </c>
      <c r="Z2252" s="62" t="s">
        <v>3503</v>
      </c>
      <c r="AA2252" s="18" t="str">
        <f t="shared" si="1132"/>
        <v>null</v>
      </c>
      <c r="AB2252" s="19" t="s">
        <v>0</v>
      </c>
      <c r="AC2252" s="18" t="str">
        <f t="shared" si="1133"/>
        <v>null</v>
      </c>
      <c r="AD2252" s="19" t="s">
        <v>0</v>
      </c>
      <c r="AE2252" s="18" t="str">
        <f t="shared" si="1134"/>
        <v>null</v>
      </c>
      <c r="AF2252" s="75" t="s">
        <v>0</v>
      </c>
      <c r="AG2252" s="38" t="s">
        <v>9173</v>
      </c>
    </row>
    <row r="2253" spans="1:33" ht="6" customHeight="1" x14ac:dyDescent="0.4">
      <c r="A2253" s="4">
        <f>ROW()</f>
        <v>2253</v>
      </c>
      <c r="B2253" s="9" t="s">
        <v>27</v>
      </c>
      <c r="C2253" s="44" t="str">
        <f t="shared" si="1127"/>
        <v>p.qualificar</v>
      </c>
      <c r="D2253" s="6" t="str">
        <f t="shared" si="1128"/>
        <v>é.situação</v>
      </c>
      <c r="E2253" s="8" t="s">
        <v>28</v>
      </c>
      <c r="F2253" s="34" t="str">
        <f t="shared" si="1107"/>
        <v>d.qualificar</v>
      </c>
      <c r="G2253" s="13" t="s">
        <v>1496</v>
      </c>
      <c r="H2253" s="33" t="s">
        <v>1581</v>
      </c>
      <c r="I2253" s="92" t="str">
        <f t="shared" si="1129"/>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30"/>
        <v>Propriedade destinada a qualificar: é.situação</v>
      </c>
      <c r="V2253" s="5" t="str">
        <f t="shared" si="1131"/>
        <v>Dado para qualificar:  situação  Deve ser formatado como (rdfs:Literal  or  xsd:string)</v>
      </c>
      <c r="W2253" s="69" t="s">
        <v>6196</v>
      </c>
      <c r="X2253" s="17" t="str">
        <f t="shared" si="1135"/>
        <v>d.quali.166</v>
      </c>
      <c r="Y2253" s="17" t="str">
        <f t="shared" si="1136"/>
        <v>Ação de qualificar</v>
      </c>
      <c r="Z2253" s="62" t="s">
        <v>1497</v>
      </c>
      <c r="AA2253" s="18" t="str">
        <f t="shared" si="1132"/>
        <v>null</v>
      </c>
      <c r="AB2253" s="19" t="s">
        <v>0</v>
      </c>
      <c r="AC2253" s="18" t="str">
        <f t="shared" si="1133"/>
        <v>null</v>
      </c>
      <c r="AD2253" s="19" t="s">
        <v>0</v>
      </c>
      <c r="AE2253" s="18" t="str">
        <f t="shared" si="1134"/>
        <v>null</v>
      </c>
      <c r="AF2253" s="75" t="s">
        <v>0</v>
      </c>
      <c r="AG2253" s="38" t="s">
        <v>9174</v>
      </c>
    </row>
    <row r="2254" spans="1:33" ht="6" customHeight="1" x14ac:dyDescent="0.4">
      <c r="A2254" s="4">
        <f>ROW()</f>
        <v>2254</v>
      </c>
      <c r="B2254" s="9" t="s">
        <v>27</v>
      </c>
      <c r="C2254" s="44" t="str">
        <f t="shared" ref="C2254:C2263" si="1137">SUBSTITUTE(F2254,"d.","p.")</f>
        <v>p.qualificar</v>
      </c>
      <c r="D2254" s="6" t="str">
        <f t="shared" ref="D2254:D2263" si="1138">_xlfn.CONCAT("é.",G2254)</f>
        <v>é.substituível</v>
      </c>
      <c r="E2254" s="8" t="s">
        <v>28</v>
      </c>
      <c r="F2254" s="34" t="str">
        <f t="shared" ref="F2254:F2263" si="1139">F2253</f>
        <v>d.qualificar</v>
      </c>
      <c r="G2254" s="13" t="s">
        <v>339</v>
      </c>
      <c r="H2254" s="34" t="s">
        <v>36</v>
      </c>
      <c r="I2254" s="92" t="str">
        <f t="shared" si="1129"/>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ref="U2254:U2263" si="1140">_xlfn.CONCAT("Propriedade destinada a ",MID(C2254,FIND("p.",C2254,1)+2,100),": ",D2254)</f>
        <v>Propriedade destinada a qualificar: é.substituível</v>
      </c>
      <c r="V2254" s="5" t="str">
        <f t="shared" ref="V2254:V2263" si="1141">_xlfn.CONCAT("Dado para ",MID(F2254,FIND("d.",F2254,1)+2,100),":  ",G2254, "  Deve ser formatado como (",H2254, ")")</f>
        <v>Dado para qualificar:  substituível  Deve ser formatado como (xsd:boolean)</v>
      </c>
      <c r="W2254" s="69" t="s">
        <v>6191</v>
      </c>
      <c r="X2254" s="17" t="str">
        <f t="shared" si="1135"/>
        <v>d.quali.167</v>
      </c>
      <c r="Y2254" s="17" t="str">
        <f t="shared" si="1136"/>
        <v>Ação de qualificar</v>
      </c>
      <c r="Z2254" s="62" t="s">
        <v>3504</v>
      </c>
      <c r="AA2254" s="18" t="str">
        <f t="shared" ref="AA2254:AA2263" si="1142">IF(AB2254="null", "null", "categoria.revit")</f>
        <v>null</v>
      </c>
      <c r="AB2254" s="19" t="s">
        <v>0</v>
      </c>
      <c r="AC2254" s="18" t="str">
        <f t="shared" ref="AC2254:AC2263" si="1143">IF(AD2254="null", "null", "classe.ifc")</f>
        <v>null</v>
      </c>
      <c r="AD2254" s="19" t="s">
        <v>0</v>
      </c>
      <c r="AE2254" s="18" t="str">
        <f t="shared" ref="AE2254:AE2263" si="1144">IF(AF2254="null", "null", "propriedade")</f>
        <v>null</v>
      </c>
      <c r="AF2254" s="75" t="s">
        <v>0</v>
      </c>
      <c r="AG2254" s="38" t="s">
        <v>9175</v>
      </c>
    </row>
    <row r="2255" spans="1:33" ht="6" customHeight="1" x14ac:dyDescent="0.4">
      <c r="A2255" s="4">
        <f>ROW()</f>
        <v>2255</v>
      </c>
      <c r="B2255" s="9" t="s">
        <v>27</v>
      </c>
      <c r="C2255" s="44" t="str">
        <f t="shared" si="1137"/>
        <v>p.qualificar</v>
      </c>
      <c r="D2255" s="6" t="str">
        <f t="shared" si="1138"/>
        <v>é.úmido</v>
      </c>
      <c r="E2255" s="8" t="s">
        <v>28</v>
      </c>
      <c r="F2255" s="34" t="str">
        <f t="shared" si="1139"/>
        <v>d.qualificar</v>
      </c>
      <c r="G2255" s="13" t="s">
        <v>334</v>
      </c>
      <c r="H2255" s="34" t="s">
        <v>36</v>
      </c>
      <c r="I2255" s="92" t="str">
        <f t="shared" si="1129"/>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40"/>
        <v>Propriedade destinada a qualificar: é.úmido</v>
      </c>
      <c r="V2255" s="5" t="str">
        <f t="shared" si="1141"/>
        <v>Dado para qualificar:  úmido  Deve ser formatado como (xsd:boolean)</v>
      </c>
      <c r="W2255" s="69" t="s">
        <v>6192</v>
      </c>
      <c r="X2255" s="17" t="str">
        <f t="shared" si="1135"/>
        <v>d.quali.168</v>
      </c>
      <c r="Y2255" s="17" t="str">
        <f t="shared" si="1136"/>
        <v>Ação de qualificar</v>
      </c>
      <c r="Z2255" s="62" t="s">
        <v>3505</v>
      </c>
      <c r="AA2255" s="18" t="str">
        <f t="shared" si="1142"/>
        <v>null</v>
      </c>
      <c r="AB2255" s="19" t="s">
        <v>0</v>
      </c>
      <c r="AC2255" s="18" t="str">
        <f t="shared" si="1143"/>
        <v>null</v>
      </c>
      <c r="AD2255" s="19" t="s">
        <v>0</v>
      </c>
      <c r="AE2255" s="18" t="str">
        <f t="shared" si="1144"/>
        <v>null</v>
      </c>
      <c r="AF2255" s="75" t="s">
        <v>0</v>
      </c>
      <c r="AG2255" s="38" t="s">
        <v>9176</v>
      </c>
    </row>
    <row r="2256" spans="1:33" ht="6" customHeight="1" x14ac:dyDescent="0.4">
      <c r="A2256" s="4">
        <f>ROW()</f>
        <v>2256</v>
      </c>
      <c r="B2256" s="9" t="s">
        <v>27</v>
      </c>
      <c r="C2256" s="44" t="str">
        <f t="shared" si="1137"/>
        <v>p.qualificar</v>
      </c>
      <c r="D2256" s="6" t="str">
        <f t="shared" si="1138"/>
        <v>é.único</v>
      </c>
      <c r="E2256" s="8" t="s">
        <v>28</v>
      </c>
      <c r="F2256" s="34" t="str">
        <f t="shared" si="1139"/>
        <v>d.qualificar</v>
      </c>
      <c r="G2256" s="13" t="s">
        <v>338</v>
      </c>
      <c r="H2256" s="34" t="s">
        <v>36</v>
      </c>
      <c r="I2256" s="92" t="str">
        <f t="shared" si="1129"/>
        <v>Functional</v>
      </c>
      <c r="J2256" s="80" t="s">
        <v>29</v>
      </c>
      <c r="K2256" s="80" t="s">
        <v>0</v>
      </c>
      <c r="L2256" s="80" t="s">
        <v>0</v>
      </c>
      <c r="M2256" s="80" t="s">
        <v>0</v>
      </c>
      <c r="N2256" s="80" t="s">
        <v>0</v>
      </c>
      <c r="O2256" s="80" t="s">
        <v>0</v>
      </c>
      <c r="P2256" s="80" t="s">
        <v>0</v>
      </c>
      <c r="Q2256" s="80" t="s">
        <v>0</v>
      </c>
      <c r="R2256" s="84" t="s">
        <v>0</v>
      </c>
      <c r="S2256" s="10" t="s">
        <v>1</v>
      </c>
      <c r="T2256" s="10" t="s">
        <v>10221</v>
      </c>
      <c r="U2256" s="5" t="str">
        <f t="shared" si="1140"/>
        <v>Propriedade destinada a qualificar: é.único</v>
      </c>
      <c r="V2256" s="5" t="str">
        <f t="shared" si="1141"/>
        <v>Dado para qualificar:  único  Deve ser formatado como (xsd:boolean)</v>
      </c>
      <c r="W2256" s="69" t="s">
        <v>6193</v>
      </c>
      <c r="X2256" s="17" t="str">
        <f t="shared" si="1135"/>
        <v>d.quali.169</v>
      </c>
      <c r="Y2256" s="17" t="str">
        <f t="shared" si="1136"/>
        <v>Ação de qualificar</v>
      </c>
      <c r="Z2256" s="62" t="s">
        <v>3506</v>
      </c>
      <c r="AA2256" s="18" t="str">
        <f t="shared" si="1142"/>
        <v>null</v>
      </c>
      <c r="AB2256" s="19" t="s">
        <v>0</v>
      </c>
      <c r="AC2256" s="18" t="str">
        <f t="shared" si="1143"/>
        <v>null</v>
      </c>
      <c r="AD2256" s="19" t="s">
        <v>0</v>
      </c>
      <c r="AE2256" s="18" t="str">
        <f t="shared" si="1144"/>
        <v>null</v>
      </c>
      <c r="AF2256" s="75" t="s">
        <v>0</v>
      </c>
      <c r="AG2256" s="38" t="s">
        <v>9177</v>
      </c>
    </row>
    <row r="2257" spans="1:33" ht="6" customHeight="1" x14ac:dyDescent="0.4">
      <c r="A2257" s="4">
        <f>ROW()</f>
        <v>2257</v>
      </c>
      <c r="B2257" s="9" t="s">
        <v>27</v>
      </c>
      <c r="C2257" s="44" t="str">
        <f t="shared" si="1137"/>
        <v>p.qualificar</v>
      </c>
      <c r="D2257" s="6" t="str">
        <f t="shared" si="1138"/>
        <v>é.ventilado</v>
      </c>
      <c r="E2257" s="8" t="s">
        <v>28</v>
      </c>
      <c r="F2257" s="34" t="str">
        <f t="shared" si="1139"/>
        <v>d.qualificar</v>
      </c>
      <c r="G2257" s="13" t="s">
        <v>253</v>
      </c>
      <c r="H2257" s="34" t="s">
        <v>36</v>
      </c>
      <c r="I2257" s="92" t="str">
        <f t="shared" si="1129"/>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40"/>
        <v>Propriedade destinada a qualificar: é.ventilado</v>
      </c>
      <c r="V2257" s="5" t="str">
        <f t="shared" si="1141"/>
        <v>Dado para qualificar:  ventilado  Deve ser formatado como (xsd:boolean)</v>
      </c>
      <c r="W2257" s="69" t="s">
        <v>6194</v>
      </c>
      <c r="X2257" s="17" t="str">
        <f t="shared" si="1135"/>
        <v>d.quali.170</v>
      </c>
      <c r="Y2257" s="17" t="str">
        <f t="shared" si="1136"/>
        <v>Ação de qualificar</v>
      </c>
      <c r="Z2257" s="62" t="s">
        <v>3507</v>
      </c>
      <c r="AA2257" s="18" t="str">
        <f t="shared" si="1142"/>
        <v>null</v>
      </c>
      <c r="AB2257" s="19" t="s">
        <v>0</v>
      </c>
      <c r="AC2257" s="18" t="str">
        <f t="shared" si="1143"/>
        <v>null</v>
      </c>
      <c r="AD2257" s="19" t="s">
        <v>0</v>
      </c>
      <c r="AE2257" s="18" t="str">
        <f t="shared" si="1144"/>
        <v>null</v>
      </c>
      <c r="AF2257" s="75" t="s">
        <v>0</v>
      </c>
      <c r="AG2257" s="38" t="s">
        <v>9178</v>
      </c>
    </row>
    <row r="2258" spans="1:33" ht="6" customHeight="1" x14ac:dyDescent="0.4">
      <c r="A2258" s="4">
        <f>ROW()</f>
        <v>2258</v>
      </c>
      <c r="B2258" s="9" t="s">
        <v>27</v>
      </c>
      <c r="C2258" s="44" t="str">
        <f t="shared" si="1137"/>
        <v>p.qualificar</v>
      </c>
      <c r="D2258" s="6" t="str">
        <f t="shared" si="1138"/>
        <v>é.verificado</v>
      </c>
      <c r="E2258" s="8" t="s">
        <v>28</v>
      </c>
      <c r="F2258" s="34" t="str">
        <f t="shared" si="1139"/>
        <v>d.qualificar</v>
      </c>
      <c r="G2258" s="13" t="s">
        <v>322</v>
      </c>
      <c r="H2258" s="34" t="s">
        <v>36</v>
      </c>
      <c r="I2258" s="92" t="str">
        <f t="shared" si="1129"/>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40"/>
        <v>Propriedade destinada a qualificar: é.verificado</v>
      </c>
      <c r="V2258" s="5" t="str">
        <f t="shared" si="1141"/>
        <v>Dado para qualificar:  verificado  Deve ser formatado como (xsd:boolean)</v>
      </c>
      <c r="W2258" s="69" t="s">
        <v>6195</v>
      </c>
      <c r="X2258" s="17" t="str">
        <f t="shared" si="1135"/>
        <v>d.quali.171</v>
      </c>
      <c r="Y2258" s="17" t="str">
        <f t="shared" si="1136"/>
        <v>Ação de qualificar</v>
      </c>
      <c r="Z2258" s="62" t="s">
        <v>3508</v>
      </c>
      <c r="AA2258" s="18" t="str">
        <f t="shared" si="1142"/>
        <v>null</v>
      </c>
      <c r="AB2258" s="19" t="s">
        <v>0</v>
      </c>
      <c r="AC2258" s="18" t="str">
        <f t="shared" si="1143"/>
        <v>null</v>
      </c>
      <c r="AD2258" s="19" t="s">
        <v>0</v>
      </c>
      <c r="AE2258" s="18" t="str">
        <f t="shared" si="1144"/>
        <v>null</v>
      </c>
      <c r="AF2258" s="75" t="s">
        <v>0</v>
      </c>
      <c r="AG2258" s="38" t="s">
        <v>9179</v>
      </c>
    </row>
    <row r="2259" spans="1:33" ht="6" customHeight="1" x14ac:dyDescent="0.4">
      <c r="A2259" s="4">
        <f>ROW()</f>
        <v>2259</v>
      </c>
      <c r="B2259" s="9" t="s">
        <v>27</v>
      </c>
      <c r="C2259" s="44" t="str">
        <f t="shared" si="1137"/>
        <v>p.qualificar</v>
      </c>
      <c r="D2259" s="6" t="str">
        <f t="shared" si="1138"/>
        <v>é.vespertino</v>
      </c>
      <c r="E2259" s="8" t="s">
        <v>28</v>
      </c>
      <c r="F2259" s="34" t="str">
        <f t="shared" si="1139"/>
        <v>d.qualificar</v>
      </c>
      <c r="G2259" s="13" t="s">
        <v>268</v>
      </c>
      <c r="H2259" s="33" t="s">
        <v>36</v>
      </c>
      <c r="I2259" s="92" t="str">
        <f t="shared" si="1129"/>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40"/>
        <v>Propriedade destinada a qualificar: é.vespertino</v>
      </c>
      <c r="V2259" s="5" t="str">
        <f t="shared" si="1141"/>
        <v>Dado para qualificar:  vespertino  Deve ser formatado como (xsd:boolean)</v>
      </c>
      <c r="W2259" s="69" t="s">
        <v>6197</v>
      </c>
      <c r="X2259" s="17" t="str">
        <f t="shared" si="1135"/>
        <v>d.quali.172</v>
      </c>
      <c r="Y2259" s="17" t="str">
        <f t="shared" si="1136"/>
        <v>Ação de qualificar</v>
      </c>
      <c r="Z2259" s="62" t="s">
        <v>3448</v>
      </c>
      <c r="AA2259" s="18" t="str">
        <f t="shared" si="1142"/>
        <v>null</v>
      </c>
      <c r="AB2259" s="19" t="s">
        <v>0</v>
      </c>
      <c r="AC2259" s="18" t="str">
        <f t="shared" si="1143"/>
        <v>null</v>
      </c>
      <c r="AD2259" s="19" t="s">
        <v>0</v>
      </c>
      <c r="AE2259" s="18" t="str">
        <f t="shared" si="1144"/>
        <v>null</v>
      </c>
      <c r="AF2259" s="75" t="s">
        <v>0</v>
      </c>
      <c r="AG2259" s="38" t="s">
        <v>9180</v>
      </c>
    </row>
    <row r="2260" spans="1:33" ht="6" customHeight="1" x14ac:dyDescent="0.4">
      <c r="A2260" s="4">
        <f>ROW()</f>
        <v>2260</v>
      </c>
      <c r="B2260" s="9" t="s">
        <v>27</v>
      </c>
      <c r="C2260" s="44" t="str">
        <f t="shared" ref="C2260" si="1145">SUBSTITUTE(F2260,"d.","p.")</f>
        <v>p.qualificar</v>
      </c>
      <c r="D2260" s="6" t="str">
        <f t="shared" ref="D2260" si="1146">_xlfn.CONCAT("é.",G2260)</f>
        <v>é.contaminada</v>
      </c>
      <c r="E2260" s="8" t="s">
        <v>28</v>
      </c>
      <c r="F2260" s="34" t="str">
        <f t="shared" si="1139"/>
        <v>d.qualificar</v>
      </c>
      <c r="G2260" s="14" t="s">
        <v>6809</v>
      </c>
      <c r="H2260" s="33" t="s">
        <v>36</v>
      </c>
      <c r="I2260" s="92" t="str">
        <f t="shared" si="1129"/>
        <v>null</v>
      </c>
      <c r="J2260" s="82" t="s">
        <v>0</v>
      </c>
      <c r="K2260" s="82" t="s">
        <v>0</v>
      </c>
      <c r="L2260" s="82" t="s">
        <v>0</v>
      </c>
      <c r="M2260" s="82" t="s">
        <v>0</v>
      </c>
      <c r="N2260" s="80" t="s">
        <v>0</v>
      </c>
      <c r="O2260" s="82" t="s">
        <v>0</v>
      </c>
      <c r="P2260" s="82" t="s">
        <v>0</v>
      </c>
      <c r="Q2260" s="80" t="s">
        <v>6814</v>
      </c>
      <c r="R2260" s="84" t="s">
        <v>6811</v>
      </c>
      <c r="S2260" s="10" t="s">
        <v>1</v>
      </c>
      <c r="T2260" s="10" t="s">
        <v>10221</v>
      </c>
      <c r="U2260" s="5" t="str">
        <f t="shared" ref="U2260" si="1147">_xlfn.CONCAT("Propriedade destinada a ",MID(C2260,FIND("p.",C2260,1)+2,100),": ",D2260)</f>
        <v>Propriedade destinada a qualificar: é.contaminada</v>
      </c>
      <c r="V2260" s="5" t="str">
        <f t="shared" ref="V2260" si="1148">_xlfn.CONCAT("Dado para ",MID(F2260,FIND("d.",F2260,1)+2,100),":  ",G2260, "  Deve ser formatado como (",H2260, ")")</f>
        <v>Dado para qualificar:  contaminada  Deve ser formatado como (xsd:boolean)</v>
      </c>
      <c r="W2260" s="69" t="s">
        <v>5425</v>
      </c>
      <c r="X2260" s="17" t="str">
        <f t="shared" si="1135"/>
        <v>d.quali.173</v>
      </c>
      <c r="Y2260" s="17" t="str">
        <f t="shared" si="1136"/>
        <v>Ação de qualificar</v>
      </c>
      <c r="Z2260" s="62" t="s">
        <v>4158</v>
      </c>
      <c r="AA2260" s="18" t="str">
        <f t="shared" ref="AA2260" si="1149">IF(AB2260="null", "null", "categoria.revit")</f>
        <v>null</v>
      </c>
      <c r="AB2260" s="19" t="s">
        <v>0</v>
      </c>
      <c r="AC2260" s="18" t="str">
        <f t="shared" ref="AC2260" si="1150">IF(AD2260="null", "null", "classe.ifc")</f>
        <v>null</v>
      </c>
      <c r="AD2260" s="19" t="s">
        <v>0</v>
      </c>
      <c r="AE2260" s="18" t="str">
        <f t="shared" ref="AE2260" si="1151">IF(AF2260="null", "null", "propriedade")</f>
        <v>null</v>
      </c>
      <c r="AF2260" s="75" t="s">
        <v>0</v>
      </c>
      <c r="AG2260" s="38" t="s">
        <v>9181</v>
      </c>
    </row>
    <row r="2261" spans="1:33" ht="6" customHeight="1" x14ac:dyDescent="0.4">
      <c r="A2261" s="4">
        <f>ROW()</f>
        <v>2261</v>
      </c>
      <c r="B2261" s="9" t="s">
        <v>27</v>
      </c>
      <c r="C2261" s="44" t="str">
        <f t="shared" si="1137"/>
        <v>p.qualificar</v>
      </c>
      <c r="D2261" s="6" t="str">
        <f t="shared" si="1138"/>
        <v>é.contaminado</v>
      </c>
      <c r="E2261" s="8" t="s">
        <v>28</v>
      </c>
      <c r="F2261" s="34" t="str">
        <f t="shared" si="1139"/>
        <v>d.qualificar</v>
      </c>
      <c r="G2261" s="14" t="s">
        <v>1699</v>
      </c>
      <c r="H2261" s="33" t="s">
        <v>36</v>
      </c>
      <c r="I2261" s="92" t="str">
        <f t="shared" si="1129"/>
        <v>null</v>
      </c>
      <c r="J2261" s="82" t="s">
        <v>0</v>
      </c>
      <c r="K2261" s="82" t="s">
        <v>0</v>
      </c>
      <c r="L2261" s="82" t="s">
        <v>0</v>
      </c>
      <c r="M2261" s="82" t="s">
        <v>0</v>
      </c>
      <c r="N2261" s="80" t="s">
        <v>0</v>
      </c>
      <c r="O2261" s="82" t="s">
        <v>0</v>
      </c>
      <c r="P2261" s="82" t="s">
        <v>0</v>
      </c>
      <c r="Q2261" s="80" t="s">
        <v>6813</v>
      </c>
      <c r="R2261" s="84" t="s">
        <v>6812</v>
      </c>
      <c r="S2261" s="10" t="s">
        <v>1</v>
      </c>
      <c r="T2261" s="10" t="s">
        <v>10221</v>
      </c>
      <c r="U2261" s="5" t="str">
        <f t="shared" si="1140"/>
        <v>Propriedade destinada a qualificar: é.contaminado</v>
      </c>
      <c r="V2261" s="5" t="str">
        <f t="shared" si="1141"/>
        <v>Dado para qualificar:  contaminado  Deve ser formatado como (xsd:boolean)</v>
      </c>
      <c r="W2261" s="69" t="s">
        <v>5425</v>
      </c>
      <c r="X2261" s="17" t="str">
        <f t="shared" si="1135"/>
        <v>d.quali.174</v>
      </c>
      <c r="Y2261" s="17" t="str">
        <f t="shared" si="1136"/>
        <v>Ação de qualificar</v>
      </c>
      <c r="Z2261" s="62" t="s">
        <v>4158</v>
      </c>
      <c r="AA2261" s="18" t="str">
        <f t="shared" si="1142"/>
        <v>null</v>
      </c>
      <c r="AB2261" s="19" t="s">
        <v>0</v>
      </c>
      <c r="AC2261" s="18" t="str">
        <f t="shared" si="1143"/>
        <v>null</v>
      </c>
      <c r="AD2261" s="19" t="s">
        <v>0</v>
      </c>
      <c r="AE2261" s="18" t="str">
        <f t="shared" si="1144"/>
        <v>null</v>
      </c>
      <c r="AF2261" s="75" t="s">
        <v>0</v>
      </c>
      <c r="AG2261" s="38" t="s">
        <v>9181</v>
      </c>
    </row>
    <row r="2262" spans="1:33" ht="6" customHeight="1" x14ac:dyDescent="0.4">
      <c r="A2262" s="4">
        <f>ROW()</f>
        <v>2262</v>
      </c>
      <c r="B2262" s="9" t="s">
        <v>27</v>
      </c>
      <c r="C2262" s="44" t="str">
        <f t="shared" ref="C2262" si="1152">SUBSTITUTE(F2262,"d.","p.")</f>
        <v>p.qualificar</v>
      </c>
      <c r="D2262" s="6" t="str">
        <f t="shared" ref="D2262" si="1153">_xlfn.CONCAT("é.",G2262)</f>
        <v>é.limpa</v>
      </c>
      <c r="E2262" s="8" t="s">
        <v>28</v>
      </c>
      <c r="F2262" s="34" t="str">
        <f t="shared" si="1139"/>
        <v>d.qualificar</v>
      </c>
      <c r="G2262" s="14" t="s">
        <v>6810</v>
      </c>
      <c r="H2262" s="33" t="s">
        <v>36</v>
      </c>
      <c r="I2262" s="92" t="str">
        <f t="shared" si="1129"/>
        <v>null</v>
      </c>
      <c r="J2262" s="82" t="s">
        <v>0</v>
      </c>
      <c r="K2262" s="82" t="s">
        <v>0</v>
      </c>
      <c r="L2262" s="82" t="s">
        <v>0</v>
      </c>
      <c r="M2262" s="82" t="s">
        <v>0</v>
      </c>
      <c r="N2262" s="80" t="s">
        <v>0</v>
      </c>
      <c r="O2262" s="82" t="s">
        <v>0</v>
      </c>
      <c r="P2262" s="82" t="s">
        <v>0</v>
      </c>
      <c r="Q2262" s="80" t="s">
        <v>6812</v>
      </c>
      <c r="R2262" s="84" t="s">
        <v>6813</v>
      </c>
      <c r="S2262" s="10" t="s">
        <v>1</v>
      </c>
      <c r="T2262" s="10" t="s">
        <v>10221</v>
      </c>
      <c r="U2262" s="5" t="str">
        <f t="shared" ref="U2262" si="1154">_xlfn.CONCAT("Propriedade destinada a ",MID(C2262,FIND("p.",C2262,1)+2,100),": ",D2262)</f>
        <v>Propriedade destinada a qualificar: é.limpa</v>
      </c>
      <c r="V2262" s="5" t="str">
        <f t="shared" ref="V2262" si="1155">_xlfn.CONCAT("Dado para ",MID(F2262,FIND("d.",F2262,1)+2,100),":  ",G2262, "  Deve ser formatado como (",H2262, ")")</f>
        <v>Dado para qualificar:  limpa  Deve ser formatado como (xsd:boolean)</v>
      </c>
      <c r="W2262" s="69" t="s">
        <v>5426</v>
      </c>
      <c r="X2262" s="17" t="str">
        <f t="shared" si="1135"/>
        <v>d.quali.175</v>
      </c>
      <c r="Y2262" s="17" t="str">
        <f t="shared" si="1136"/>
        <v>Ação de qualificar</v>
      </c>
      <c r="Z2262" s="62" t="s">
        <v>4140</v>
      </c>
      <c r="AA2262" s="18" t="str">
        <f t="shared" ref="AA2262" si="1156">IF(AB2262="null", "null", "categoria.revit")</f>
        <v>null</v>
      </c>
      <c r="AB2262" s="19" t="s">
        <v>0</v>
      </c>
      <c r="AC2262" s="18" t="str">
        <f t="shared" ref="AC2262" si="1157">IF(AD2262="null", "null", "classe.ifc")</f>
        <v>null</v>
      </c>
      <c r="AD2262" s="19" t="s">
        <v>0</v>
      </c>
      <c r="AE2262" s="18" t="str">
        <f t="shared" ref="AE2262" si="1158">IF(AF2262="null", "null", "propriedade")</f>
        <v>null</v>
      </c>
      <c r="AF2262" s="75" t="s">
        <v>0</v>
      </c>
      <c r="AG2262" s="38" t="s">
        <v>9182</v>
      </c>
    </row>
    <row r="2263" spans="1:33" ht="6" customHeight="1" x14ac:dyDescent="0.4">
      <c r="A2263" s="4">
        <f>ROW()</f>
        <v>2263</v>
      </c>
      <c r="B2263" s="9" t="s">
        <v>27</v>
      </c>
      <c r="C2263" s="44" t="str">
        <f t="shared" si="1137"/>
        <v>p.qualificar</v>
      </c>
      <c r="D2263" s="6" t="str">
        <f t="shared" si="1138"/>
        <v>é.limpo</v>
      </c>
      <c r="E2263" s="8" t="s">
        <v>28</v>
      </c>
      <c r="F2263" s="34" t="str">
        <f t="shared" si="1139"/>
        <v>d.qualificar</v>
      </c>
      <c r="G2263" s="14" t="s">
        <v>1700</v>
      </c>
      <c r="H2263" s="33" t="s">
        <v>36</v>
      </c>
      <c r="I2263" s="92" t="str">
        <f t="shared" si="1129"/>
        <v>null</v>
      </c>
      <c r="J2263" s="82" t="s">
        <v>0</v>
      </c>
      <c r="K2263" s="82" t="s">
        <v>0</v>
      </c>
      <c r="L2263" s="82" t="s">
        <v>0</v>
      </c>
      <c r="M2263" s="82" t="s">
        <v>0</v>
      </c>
      <c r="N2263" s="80" t="s">
        <v>0</v>
      </c>
      <c r="O2263" s="82" t="s">
        <v>0</v>
      </c>
      <c r="P2263" s="82" t="s">
        <v>0</v>
      </c>
      <c r="Q2263" s="80" t="s">
        <v>6811</v>
      </c>
      <c r="R2263" s="84" t="s">
        <v>6814</v>
      </c>
      <c r="S2263" s="10" t="s">
        <v>1</v>
      </c>
      <c r="T2263" s="10" t="s">
        <v>10221</v>
      </c>
      <c r="U2263" s="5" t="str">
        <f t="shared" si="1140"/>
        <v>Propriedade destinada a qualificar: é.limpo</v>
      </c>
      <c r="V2263" s="5" t="str">
        <f t="shared" si="1141"/>
        <v>Dado para qualificar:  limpo  Deve ser formatado como (xsd:boolean)</v>
      </c>
      <c r="W2263" s="69" t="s">
        <v>5426</v>
      </c>
      <c r="X2263" s="17" t="str">
        <f t="shared" si="1135"/>
        <v>d.quali.176</v>
      </c>
      <c r="Y2263" s="17" t="str">
        <f t="shared" si="1136"/>
        <v>Ação de qualificar</v>
      </c>
      <c r="Z2263" s="62" t="s">
        <v>4140</v>
      </c>
      <c r="AA2263" s="18" t="str">
        <f t="shared" si="1142"/>
        <v>null</v>
      </c>
      <c r="AB2263" s="19" t="s">
        <v>0</v>
      </c>
      <c r="AC2263" s="18" t="str">
        <f t="shared" si="1143"/>
        <v>null</v>
      </c>
      <c r="AD2263" s="19" t="s">
        <v>0</v>
      </c>
      <c r="AE2263" s="18" t="str">
        <f t="shared" si="1144"/>
        <v>null</v>
      </c>
      <c r="AF2263" s="75" t="s">
        <v>0</v>
      </c>
      <c r="AG2263" s="38" t="s">
        <v>9182</v>
      </c>
    </row>
    <row r="2264" spans="1:33" ht="6" customHeight="1" x14ac:dyDescent="0.4">
      <c r="A2264" s="4">
        <f>ROW()</f>
        <v>2264</v>
      </c>
      <c r="B2264" s="9" t="s">
        <v>27</v>
      </c>
      <c r="C2264" s="43" t="str">
        <f t="shared" ref="C2264:C2362" si="1159">SUBSTITUTE(F2264,"d.","p.")</f>
        <v>p.quantificar</v>
      </c>
      <c r="D2264" s="6" t="str">
        <f t="shared" ref="D2264:D2382" si="1160">_xlfn.CONCAT("é.",G2264)</f>
        <v>é.quantidade</v>
      </c>
      <c r="E2264" s="8" t="s">
        <v>28</v>
      </c>
      <c r="F2264" s="40" t="s">
        <v>2227</v>
      </c>
      <c r="G2264" s="13" t="s">
        <v>151</v>
      </c>
      <c r="H2264" s="34" t="s">
        <v>32</v>
      </c>
      <c r="I2264" s="92" t="str">
        <f t="shared" si="1129"/>
        <v>null</v>
      </c>
      <c r="J2264" s="80" t="s">
        <v>0</v>
      </c>
      <c r="K2264" s="80" t="s">
        <v>0</v>
      </c>
      <c r="L2264" s="80" t="s">
        <v>0</v>
      </c>
      <c r="M2264" s="80" t="s">
        <v>0</v>
      </c>
      <c r="N2264" s="80" t="s">
        <v>0</v>
      </c>
      <c r="O2264" s="80" t="s">
        <v>0</v>
      </c>
      <c r="P2264" s="80" t="s">
        <v>0</v>
      </c>
      <c r="Q2264" s="80" t="s">
        <v>0</v>
      </c>
      <c r="R2264" s="84" t="s">
        <v>0</v>
      </c>
      <c r="S2264" s="10" t="s">
        <v>1</v>
      </c>
      <c r="T2264" s="10" t="s">
        <v>10221</v>
      </c>
      <c r="U2264" s="5" t="str">
        <f t="shared" ref="U2264:U2342" si="1161">_xlfn.CONCAT("Propriedade destinada a ",MID(C2264,FIND("p.",C2264,1)+2,100),": ",D2264)</f>
        <v>Propriedade destinada a quantificar: é.quantidade</v>
      </c>
      <c r="V2264" s="5" t="str">
        <f t="shared" ref="V2264:V2342" si="1162">_xlfn.CONCAT("Dado para ",MID(F2264,FIND("d.",F2264,1)+2,100),":  ",G2264, "  Deve ser formatado como (",H2264, ")")</f>
        <v>Dado para quantificar:  quantidade  Deve ser formatado como (xsd:integer)</v>
      </c>
      <c r="W2264" s="69" t="s">
        <v>6198</v>
      </c>
      <c r="X2264" s="17" t="str">
        <f t="shared" si="1135"/>
        <v>d.quant.100</v>
      </c>
      <c r="Y2264" s="17" t="str">
        <f t="shared" si="1136"/>
        <v>Ação de quantificar</v>
      </c>
      <c r="Z2264" s="62" t="s">
        <v>3447</v>
      </c>
      <c r="AA2264" s="18" t="str">
        <f t="shared" ref="AA2264:AA2267" si="1163">IF(AB2264="null", "null", "categoria.revit")</f>
        <v>null</v>
      </c>
      <c r="AB2264" s="19" t="s">
        <v>0</v>
      </c>
      <c r="AC2264" s="18" t="str">
        <f t="shared" ref="AC2264:AC2267" si="1164">IF(AD2264="null", "null", "classe.ifc")</f>
        <v>null</v>
      </c>
      <c r="AD2264" s="19" t="s">
        <v>0</v>
      </c>
      <c r="AE2264" s="18" t="str">
        <f t="shared" ref="AE2264:AE2385" si="1165">IF(AF2264="null", "null", "propriedade")</f>
        <v>null</v>
      </c>
      <c r="AF2264" s="75" t="s">
        <v>0</v>
      </c>
      <c r="AG2264" s="38" t="s">
        <v>9183</v>
      </c>
    </row>
    <row r="2265" spans="1:33" ht="6" customHeight="1" x14ac:dyDescent="0.4">
      <c r="A2265" s="4">
        <f>ROW()</f>
        <v>2265</v>
      </c>
      <c r="B2265" s="9" t="s">
        <v>27</v>
      </c>
      <c r="C2265" s="44" t="str">
        <f t="shared" si="1159"/>
        <v>p.quantificar</v>
      </c>
      <c r="D2265" s="6" t="str">
        <f t="shared" si="1160"/>
        <v>é.parcial</v>
      </c>
      <c r="E2265" s="8" t="s">
        <v>28</v>
      </c>
      <c r="F2265" s="34" t="str">
        <f>F2264</f>
        <v>d.quantificar</v>
      </c>
      <c r="G2265" s="13" t="s">
        <v>311</v>
      </c>
      <c r="H2265" s="34" t="s">
        <v>32</v>
      </c>
      <c r="I2265" s="92" t="str">
        <f t="shared" si="1129"/>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61"/>
        <v>Propriedade destinada a quantificar: é.parcial</v>
      </c>
      <c r="V2265" s="5" t="str">
        <f t="shared" si="1162"/>
        <v>Dado para quantificar:  parcial  Deve ser formatado como (xsd:integer)</v>
      </c>
      <c r="W2265" s="69" t="s">
        <v>6199</v>
      </c>
      <c r="X2265" s="17" t="str">
        <f t="shared" si="1135"/>
        <v>d.quant.101</v>
      </c>
      <c r="Y2265" s="17" t="str">
        <f t="shared" si="1136"/>
        <v>Ação de quantificar</v>
      </c>
      <c r="Z2265" s="62" t="s">
        <v>3446</v>
      </c>
      <c r="AA2265" s="18" t="str">
        <f t="shared" si="1163"/>
        <v>null</v>
      </c>
      <c r="AB2265" s="19" t="s">
        <v>0</v>
      </c>
      <c r="AC2265" s="18" t="str">
        <f t="shared" si="1164"/>
        <v>null</v>
      </c>
      <c r="AD2265" s="19" t="s">
        <v>0</v>
      </c>
      <c r="AE2265" s="18" t="str">
        <f t="shared" si="1165"/>
        <v>null</v>
      </c>
      <c r="AF2265" s="75" t="s">
        <v>0</v>
      </c>
      <c r="AG2265" s="38" t="s">
        <v>9184</v>
      </c>
    </row>
    <row r="2266" spans="1:33" ht="6" customHeight="1" x14ac:dyDescent="0.4">
      <c r="A2266" s="4">
        <f>ROW()</f>
        <v>2266</v>
      </c>
      <c r="B2266" s="9" t="s">
        <v>27</v>
      </c>
      <c r="C2266" s="44" t="str">
        <f t="shared" si="1159"/>
        <v>p.quantificar</v>
      </c>
      <c r="D2266" s="6" t="str">
        <f t="shared" si="1160"/>
        <v>é.subtotal</v>
      </c>
      <c r="E2266" s="8" t="s">
        <v>28</v>
      </c>
      <c r="F2266" s="34" t="str">
        <f>F2265</f>
        <v>d.quantificar</v>
      </c>
      <c r="G2266" s="13" t="s">
        <v>312</v>
      </c>
      <c r="H2266" s="34" t="s">
        <v>32</v>
      </c>
      <c r="I2266" s="92" t="str">
        <f t="shared" si="1129"/>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61"/>
        <v>Propriedade destinada a quantificar: é.subtotal</v>
      </c>
      <c r="V2266" s="5" t="str">
        <f t="shared" si="1162"/>
        <v>Dado para quantificar:  subtotal  Deve ser formatado como (xsd:integer)</v>
      </c>
      <c r="W2266" s="69" t="s">
        <v>6200</v>
      </c>
      <c r="X2266" s="17" t="str">
        <f t="shared" si="1135"/>
        <v>d.quant.102</v>
      </c>
      <c r="Y2266" s="17" t="str">
        <f t="shared" si="1136"/>
        <v>Ação de quantificar</v>
      </c>
      <c r="Z2266" s="62" t="s">
        <v>3445</v>
      </c>
      <c r="AA2266" s="18" t="str">
        <f t="shared" si="1163"/>
        <v>null</v>
      </c>
      <c r="AB2266" s="19" t="s">
        <v>0</v>
      </c>
      <c r="AC2266" s="18" t="str">
        <f t="shared" si="1164"/>
        <v>null</v>
      </c>
      <c r="AD2266" s="19" t="s">
        <v>0</v>
      </c>
      <c r="AE2266" s="18" t="str">
        <f t="shared" si="1165"/>
        <v>null</v>
      </c>
      <c r="AF2266" s="75" t="s">
        <v>0</v>
      </c>
      <c r="AG2266" s="38" t="s">
        <v>9185</v>
      </c>
    </row>
    <row r="2267" spans="1:33" ht="6" customHeight="1" x14ac:dyDescent="0.4">
      <c r="A2267" s="4">
        <f>ROW()</f>
        <v>2267</v>
      </c>
      <c r="B2267" s="9" t="s">
        <v>27</v>
      </c>
      <c r="C2267" s="44" t="str">
        <f t="shared" si="1159"/>
        <v>p.quantificar</v>
      </c>
      <c r="D2267" s="6" t="str">
        <f t="shared" si="1160"/>
        <v>é.total</v>
      </c>
      <c r="E2267" s="8" t="s">
        <v>28</v>
      </c>
      <c r="F2267" s="34" t="str">
        <f>F2266</f>
        <v>d.quantificar</v>
      </c>
      <c r="G2267" s="13" t="s">
        <v>310</v>
      </c>
      <c r="H2267" s="34" t="s">
        <v>32</v>
      </c>
      <c r="I2267" s="92" t="str">
        <f t="shared" si="1129"/>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61"/>
        <v>Propriedade destinada a quantificar: é.total</v>
      </c>
      <c r="V2267" s="5" t="str">
        <f t="shared" si="1162"/>
        <v>Dado para quantificar:  total  Deve ser formatado como (xsd:integer)</v>
      </c>
      <c r="W2267" s="69" t="s">
        <v>6201</v>
      </c>
      <c r="X2267" s="17" t="str">
        <f t="shared" si="1135"/>
        <v>d.quant.103</v>
      </c>
      <c r="Y2267" s="17" t="str">
        <f t="shared" si="1136"/>
        <v>Ação de quantificar</v>
      </c>
      <c r="Z2267" s="62" t="s">
        <v>3444</v>
      </c>
      <c r="AA2267" s="18" t="str">
        <f t="shared" si="1163"/>
        <v>null</v>
      </c>
      <c r="AB2267" s="19" t="s">
        <v>0</v>
      </c>
      <c r="AC2267" s="18" t="str">
        <f t="shared" si="1164"/>
        <v>null</v>
      </c>
      <c r="AD2267" s="19" t="s">
        <v>0</v>
      </c>
      <c r="AE2267" s="18" t="str">
        <f t="shared" si="1165"/>
        <v>null</v>
      </c>
      <c r="AF2267" s="75" t="s">
        <v>0</v>
      </c>
      <c r="AG2267" s="38" t="s">
        <v>9186</v>
      </c>
    </row>
    <row r="2268" spans="1:33" ht="6" customHeight="1" x14ac:dyDescent="0.4">
      <c r="A2268" s="4">
        <f>ROW()</f>
        <v>2268</v>
      </c>
      <c r="B2268" s="9" t="s">
        <v>27</v>
      </c>
      <c r="C2268" s="43" t="str">
        <f t="shared" ref="C2268" si="1166">SUBSTITUTE(F2268,"d.","p.")</f>
        <v>p.rebaixar</v>
      </c>
      <c r="D2268" s="6" t="str">
        <f t="shared" si="1160"/>
        <v>é.altura.do.forro</v>
      </c>
      <c r="E2268" s="8" t="s">
        <v>28</v>
      </c>
      <c r="F2268" s="41" t="s">
        <v>3529</v>
      </c>
      <c r="G2268" s="14" t="s">
        <v>3530</v>
      </c>
      <c r="H2268" s="33" t="s">
        <v>35</v>
      </c>
      <c r="I2268" s="92" t="str">
        <f t="shared" si="1129"/>
        <v>null</v>
      </c>
      <c r="J2268" s="82" t="s">
        <v>0</v>
      </c>
      <c r="K2268" s="82" t="s">
        <v>0</v>
      </c>
      <c r="L2268" s="82" t="s">
        <v>0</v>
      </c>
      <c r="M2268" s="82" t="s">
        <v>0</v>
      </c>
      <c r="N2268" s="80" t="s">
        <v>0</v>
      </c>
      <c r="O2268" s="82" t="s">
        <v>0</v>
      </c>
      <c r="P2268" s="82" t="s">
        <v>0</v>
      </c>
      <c r="Q2268" s="82" t="s">
        <v>0</v>
      </c>
      <c r="R2268" s="84" t="s">
        <v>3537</v>
      </c>
      <c r="S2268" s="10" t="s">
        <v>1</v>
      </c>
      <c r="T2268" s="10" t="s">
        <v>10221</v>
      </c>
      <c r="U2268" s="5" t="str">
        <f t="shared" si="1161"/>
        <v>Propriedade destinada a rebaixar: é.altura.do.forro</v>
      </c>
      <c r="V2268" s="5" t="str">
        <f t="shared" si="1162"/>
        <v>Dado para rebaixar:  altura.do.forro  Deve ser formatado como (xsd:double)</v>
      </c>
      <c r="W2268" s="69" t="s">
        <v>3531</v>
      </c>
      <c r="X2268" s="17" t="str">
        <f t="shared" si="1135"/>
        <v>d.rebai.100</v>
      </c>
      <c r="Y2268" s="17" t="str">
        <f t="shared" si="1136"/>
        <v>Ação de rebaixar</v>
      </c>
      <c r="Z2268" s="62" t="s">
        <v>3532</v>
      </c>
      <c r="AA2268" s="18" t="str">
        <f t="shared" ref="AA2268" si="1167">IF(AB2268="null", "null", "categoria.revit")</f>
        <v>categoria.revit</v>
      </c>
      <c r="AB2268" s="19" t="s">
        <v>3525</v>
      </c>
      <c r="AC2268" s="18" t="str">
        <f t="shared" ref="AC2268" si="1168">IF(AD2268="null", "null", "classe.ifc")</f>
        <v>classe.ifc</v>
      </c>
      <c r="AD2268" s="19" t="s">
        <v>3526</v>
      </c>
      <c r="AE2268" s="18" t="str">
        <f t="shared" ref="AE2268" si="1169">IF(AF2268="null", "null", "propriedade")</f>
        <v>null</v>
      </c>
      <c r="AF2268" s="75" t="s">
        <v>0</v>
      </c>
      <c r="AG2268" s="38" t="s">
        <v>9187</v>
      </c>
    </row>
    <row r="2269" spans="1:33" ht="6" customHeight="1" x14ac:dyDescent="0.4">
      <c r="A2269" s="4">
        <f>ROW()</f>
        <v>2269</v>
      </c>
      <c r="B2269" s="9" t="s">
        <v>27</v>
      </c>
      <c r="C2269" s="44" t="str">
        <f t="shared" si="1159"/>
        <v>p.rebaixar</v>
      </c>
      <c r="D2269" s="6" t="str">
        <f t="shared" si="1160"/>
        <v>é.forro.de.gesso</v>
      </c>
      <c r="E2269" s="8" t="s">
        <v>28</v>
      </c>
      <c r="F2269" s="34" t="str">
        <f>F2268</f>
        <v>d.rebaixar</v>
      </c>
      <c r="G2269" s="14" t="s">
        <v>3523</v>
      </c>
      <c r="H2269" s="33" t="s">
        <v>1581</v>
      </c>
      <c r="I2269" s="92" t="str">
        <f t="shared" si="1129"/>
        <v>null</v>
      </c>
      <c r="J2269" s="82" t="s">
        <v>0</v>
      </c>
      <c r="K2269" s="82" t="s">
        <v>0</v>
      </c>
      <c r="L2269" s="82" t="s">
        <v>0</v>
      </c>
      <c r="M2269" s="82" t="s">
        <v>0</v>
      </c>
      <c r="N2269" s="80" t="s">
        <v>0</v>
      </c>
      <c r="O2269" s="82" t="s">
        <v>0</v>
      </c>
      <c r="P2269" s="82" t="s">
        <v>0</v>
      </c>
      <c r="Q2269" s="82" t="s">
        <v>0</v>
      </c>
      <c r="R2269" s="84" t="s">
        <v>0</v>
      </c>
      <c r="S2269" s="10" t="s">
        <v>1</v>
      </c>
      <c r="T2269" s="10" t="s">
        <v>10221</v>
      </c>
      <c r="U2269" s="5" t="str">
        <f t="shared" si="1161"/>
        <v>Propriedade destinada a rebaixar: é.forro.de.gesso</v>
      </c>
      <c r="V2269" s="5" t="str">
        <f t="shared" si="1162"/>
        <v>Dado para rebaixar:  forro.de.gesso  Deve ser formatado como (rdfs:Literal  or  xsd:string)</v>
      </c>
      <c r="W2269" s="69" t="s">
        <v>4724</v>
      </c>
      <c r="X2269" s="17" t="str">
        <f t="shared" si="1135"/>
        <v>d.rebai.101</v>
      </c>
      <c r="Y2269" s="17" t="str">
        <f t="shared" si="1136"/>
        <v>Ação de rebaixar</v>
      </c>
      <c r="Z2269" s="62" t="s">
        <v>3533</v>
      </c>
      <c r="AA2269" s="18" t="str">
        <f t="shared" ref="AA2269:AA2271" si="1170">IF(AB2269="null", "null", "categoria.revit")</f>
        <v>categoria.revit</v>
      </c>
      <c r="AB2269" s="19" t="s">
        <v>3525</v>
      </c>
      <c r="AC2269" s="18" t="str">
        <f t="shared" ref="AC2269:AC2271" si="1171">IF(AD2269="null", "null", "classe.ifc")</f>
        <v>classe.ifc</v>
      </c>
      <c r="AD2269" s="19" t="s">
        <v>3526</v>
      </c>
      <c r="AE2269" s="18" t="str">
        <f t="shared" si="1165"/>
        <v>null</v>
      </c>
      <c r="AF2269" s="75" t="s">
        <v>0</v>
      </c>
      <c r="AG2269" s="38" t="s">
        <v>9188</v>
      </c>
    </row>
    <row r="2270" spans="1:33" ht="6" customHeight="1" x14ac:dyDescent="0.4">
      <c r="A2270" s="4">
        <f>ROW()</f>
        <v>2270</v>
      </c>
      <c r="B2270" s="9" t="s">
        <v>27</v>
      </c>
      <c r="C2270" s="44" t="str">
        <f t="shared" si="1159"/>
        <v>p.rebaixar</v>
      </c>
      <c r="D2270" s="6" t="str">
        <f t="shared" si="1160"/>
        <v>é.forro.montado</v>
      </c>
      <c r="E2270" s="8" t="s">
        <v>28</v>
      </c>
      <c r="F2270" s="34" t="str">
        <f>F2269</f>
        <v>d.rebaixar</v>
      </c>
      <c r="G2270" s="14" t="s">
        <v>3521</v>
      </c>
      <c r="H2270" s="33" t="s">
        <v>1581</v>
      </c>
      <c r="I2270" s="92" t="str">
        <f t="shared" si="1129"/>
        <v>null</v>
      </c>
      <c r="J2270" s="82" t="s">
        <v>0</v>
      </c>
      <c r="K2270" s="82" t="s">
        <v>0</v>
      </c>
      <c r="L2270" s="82" t="s">
        <v>0</v>
      </c>
      <c r="M2270" s="82" t="s">
        <v>0</v>
      </c>
      <c r="N2270" s="80" t="s">
        <v>0</v>
      </c>
      <c r="O2270" s="82" t="s">
        <v>0</v>
      </c>
      <c r="P2270" s="82" t="s">
        <v>0</v>
      </c>
      <c r="Q2270" s="82" t="s">
        <v>0</v>
      </c>
      <c r="R2270" s="84" t="s">
        <v>0</v>
      </c>
      <c r="S2270" s="10" t="s">
        <v>1</v>
      </c>
      <c r="T2270" s="10" t="s">
        <v>10221</v>
      </c>
      <c r="U2270" s="5" t="str">
        <f t="shared" si="1161"/>
        <v>Propriedade destinada a rebaixar: é.forro.montado</v>
      </c>
      <c r="V2270" s="5" t="str">
        <f t="shared" si="1162"/>
        <v>Dado para rebaixar:  forro.montado  Deve ser formatado como (rdfs:Literal  or  xsd:string)</v>
      </c>
      <c r="W2270" s="69" t="s">
        <v>3524</v>
      </c>
      <c r="X2270" s="17" t="str">
        <f t="shared" si="1135"/>
        <v>d.rebai.102</v>
      </c>
      <c r="Y2270" s="17" t="str">
        <f t="shared" si="1136"/>
        <v>Ação de rebaixar</v>
      </c>
      <c r="Z2270" s="62" t="s">
        <v>3534</v>
      </c>
      <c r="AA2270" s="18" t="str">
        <f t="shared" si="1170"/>
        <v>categoria.revit</v>
      </c>
      <c r="AB2270" s="19" t="s">
        <v>3525</v>
      </c>
      <c r="AC2270" s="18" t="str">
        <f t="shared" si="1171"/>
        <v>classe.ifc</v>
      </c>
      <c r="AD2270" s="19" t="s">
        <v>3526</v>
      </c>
      <c r="AE2270" s="18" t="str">
        <f t="shared" si="1165"/>
        <v>null</v>
      </c>
      <c r="AF2270" s="75" t="s">
        <v>0</v>
      </c>
      <c r="AG2270" s="38" t="s">
        <v>9189</v>
      </c>
    </row>
    <row r="2271" spans="1:33" ht="6" customHeight="1" x14ac:dyDescent="0.4">
      <c r="A2271" s="4">
        <f>ROW()</f>
        <v>2271</v>
      </c>
      <c r="B2271" s="9" t="s">
        <v>27</v>
      </c>
      <c r="C2271" s="44" t="str">
        <f t="shared" si="1159"/>
        <v>p.rebaixar</v>
      </c>
      <c r="D2271" s="6" t="str">
        <f t="shared" si="1160"/>
        <v>é.forro.rebaixado</v>
      </c>
      <c r="E2271" s="8" t="s">
        <v>28</v>
      </c>
      <c r="F2271" s="34" t="str">
        <f t="shared" ref="F2271" si="1172">F2270</f>
        <v>d.rebaixar</v>
      </c>
      <c r="G2271" s="14" t="s">
        <v>3522</v>
      </c>
      <c r="H2271" s="33" t="s">
        <v>1581</v>
      </c>
      <c r="I2271" s="92" t="str">
        <f t="shared" si="1129"/>
        <v>null</v>
      </c>
      <c r="J2271" s="82" t="s">
        <v>0</v>
      </c>
      <c r="K2271" s="82" t="s">
        <v>0</v>
      </c>
      <c r="L2271" s="82" t="s">
        <v>0</v>
      </c>
      <c r="M2271" s="82" t="s">
        <v>0</v>
      </c>
      <c r="N2271" s="80" t="s">
        <v>0</v>
      </c>
      <c r="O2271" s="82" t="s">
        <v>0</v>
      </c>
      <c r="P2271" s="82" t="s">
        <v>0</v>
      </c>
      <c r="Q2271" s="82" t="s">
        <v>0</v>
      </c>
      <c r="R2271" s="84" t="s">
        <v>0</v>
      </c>
      <c r="S2271" s="10" t="s">
        <v>1</v>
      </c>
      <c r="T2271" s="10" t="s">
        <v>10221</v>
      </c>
      <c r="U2271" s="5" t="str">
        <f t="shared" si="1161"/>
        <v>Propriedade destinada a rebaixar: é.forro.rebaixado</v>
      </c>
      <c r="V2271" s="5" t="str">
        <f t="shared" si="1162"/>
        <v>Dado para rebaixar:  forro.rebaixado  Deve ser formatado como (rdfs:Literal  or  xsd:string)</v>
      </c>
      <c r="W2271" s="69" t="s">
        <v>4725</v>
      </c>
      <c r="X2271" s="17" t="str">
        <f t="shared" si="1135"/>
        <v>d.rebai.103</v>
      </c>
      <c r="Y2271" s="17" t="str">
        <f t="shared" si="1136"/>
        <v>Ação de rebaixar</v>
      </c>
      <c r="Z2271" s="62" t="s">
        <v>3535</v>
      </c>
      <c r="AA2271" s="18" t="str">
        <f t="shared" si="1170"/>
        <v>categoria.revit</v>
      </c>
      <c r="AB2271" s="19" t="s">
        <v>3525</v>
      </c>
      <c r="AC2271" s="18" t="str">
        <f t="shared" si="1171"/>
        <v>classe.ifc</v>
      </c>
      <c r="AD2271" s="19" t="s">
        <v>3526</v>
      </c>
      <c r="AE2271" s="18" t="str">
        <f t="shared" si="1165"/>
        <v>null</v>
      </c>
      <c r="AF2271" s="75" t="s">
        <v>0</v>
      </c>
      <c r="AG2271" s="38" t="s">
        <v>9190</v>
      </c>
    </row>
    <row r="2272" spans="1:33" ht="6" customHeight="1" x14ac:dyDescent="0.4">
      <c r="A2272" s="4">
        <f>ROW()</f>
        <v>2272</v>
      </c>
      <c r="B2272" s="9" t="s">
        <v>27</v>
      </c>
      <c r="C2272" s="43" t="str">
        <f t="shared" si="1159"/>
        <v>p.rebocar</v>
      </c>
      <c r="D2272" s="6" t="str">
        <f t="shared" ref="D2272:D2281" si="1173">_xlfn.CONCAT("é.",G2272)</f>
        <v>é.acabamento.salpicado</v>
      </c>
      <c r="E2272" s="8" t="s">
        <v>28</v>
      </c>
      <c r="F2272" s="40" t="s">
        <v>4278</v>
      </c>
      <c r="G2272" s="13" t="s">
        <v>1511</v>
      </c>
      <c r="H2272" s="33" t="s">
        <v>1581</v>
      </c>
      <c r="I2272" s="92" t="str">
        <f t="shared" si="1129"/>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281" si="1174">_xlfn.CONCAT("Propriedade destinada a ",MID(C2272,FIND("p.",C2272,1)+2,100),": ",D2272)</f>
        <v>Propriedade destinada a rebocar: é.acabamento.salpicado</v>
      </c>
      <c r="V2272" s="5" t="str">
        <f t="shared" ref="V2272:V2281" si="1175">_xlfn.CONCAT("Dado para ",MID(F2272,FIND("d.",F2272,1)+2,100),":  ",G2272, "  Deve ser formatado como (",H2272, ")")</f>
        <v>Dado para rebocar:  acabamento.salpicado  Deve ser formatado como (rdfs:Literal  or  xsd:string)</v>
      </c>
      <c r="W2272" s="69" t="s">
        <v>6206</v>
      </c>
      <c r="X2272" s="17" t="str">
        <f t="shared" si="1135"/>
        <v>d.reboc.100</v>
      </c>
      <c r="Y2272" s="17" t="str">
        <f t="shared" si="1136"/>
        <v>Ação de rebocar</v>
      </c>
      <c r="Z2272" s="62" t="s">
        <v>2890</v>
      </c>
      <c r="AA2272" s="18" t="str">
        <f t="shared" ref="AA2272:AA2281" si="1176">IF(AB2272="null", "null", "categoria.revit")</f>
        <v>null</v>
      </c>
      <c r="AB2272" s="19" t="s">
        <v>0</v>
      </c>
      <c r="AC2272" s="18" t="str">
        <f t="shared" ref="AC2272:AC2281" si="1177">IF(AD2272="null", "null", "classe.ifc")</f>
        <v>null</v>
      </c>
      <c r="AD2272" s="19" t="s">
        <v>0</v>
      </c>
      <c r="AE2272" s="18" t="str">
        <f t="shared" ref="AE2272:AE2281" si="1178">IF(AF2272="null", "null", "propriedade")</f>
        <v>propriedade</v>
      </c>
      <c r="AF2272" s="75" t="s">
        <v>1897</v>
      </c>
      <c r="AG2272" s="38" t="s">
        <v>9191</v>
      </c>
    </row>
    <row r="2273" spans="1:33" ht="6" customHeight="1" x14ac:dyDescent="0.4">
      <c r="A2273" s="4">
        <f>ROW()</f>
        <v>2273</v>
      </c>
      <c r="B2273" s="9" t="s">
        <v>27</v>
      </c>
      <c r="C2273" s="44" t="str">
        <f t="shared" ref="C2273:C2281" si="1179">SUBSTITUTE(F2273,"d.","p.")</f>
        <v>p.rebocar</v>
      </c>
      <c r="D2273" s="6" t="str">
        <f t="shared" si="1173"/>
        <v>é.argamassa.tixotrópica</v>
      </c>
      <c r="E2273" s="8" t="s">
        <v>28</v>
      </c>
      <c r="F2273" s="34" t="str">
        <f>F2272</f>
        <v>d.rebocar</v>
      </c>
      <c r="G2273" s="13" t="s">
        <v>7104</v>
      </c>
      <c r="H2273" s="33" t="s">
        <v>36</v>
      </c>
      <c r="I2273" s="92" t="str">
        <f t="shared" si="1129"/>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74"/>
        <v>Propriedade destinada a rebocar: é.argamassa.tixotrópica</v>
      </c>
      <c r="V2273" s="5" t="str">
        <f t="shared" si="1175"/>
        <v>Dado para rebocar:  argamassa.tixotrópica  Deve ser formatado como (xsd:boolean)</v>
      </c>
      <c r="W2273" s="69" t="s">
        <v>7099</v>
      </c>
      <c r="X2273" s="17" t="str">
        <f t="shared" si="1135"/>
        <v>d.reboc.101</v>
      </c>
      <c r="Y2273" s="17" t="str">
        <f t="shared" si="1136"/>
        <v>Ação de rebocar</v>
      </c>
      <c r="Z2273" s="62" t="s">
        <v>7103</v>
      </c>
      <c r="AA2273" s="18" t="str">
        <f t="shared" si="1176"/>
        <v>null</v>
      </c>
      <c r="AB2273" s="19" t="s">
        <v>0</v>
      </c>
      <c r="AC2273" s="18" t="str">
        <f t="shared" si="1177"/>
        <v>null</v>
      </c>
      <c r="AD2273" s="19" t="s">
        <v>0</v>
      </c>
      <c r="AE2273" s="18" t="str">
        <f t="shared" si="1178"/>
        <v>propriedade</v>
      </c>
      <c r="AF2273" s="75" t="s">
        <v>1897</v>
      </c>
      <c r="AG2273" s="38" t="s">
        <v>9192</v>
      </c>
    </row>
    <row r="2274" spans="1:33" ht="6" customHeight="1" x14ac:dyDescent="0.4">
      <c r="A2274" s="4">
        <f>ROW()</f>
        <v>2274</v>
      </c>
      <c r="B2274" s="9" t="s">
        <v>27</v>
      </c>
      <c r="C2274" s="44" t="str">
        <f t="shared" si="1179"/>
        <v>p.rebocar</v>
      </c>
      <c r="D2274" s="6" t="str">
        <f t="shared" si="1173"/>
        <v>é.chapiscada.com</v>
      </c>
      <c r="E2274" s="8" t="s">
        <v>28</v>
      </c>
      <c r="F2274" s="34" t="str">
        <f t="shared" ref="F2274:F2281" si="1180">F2273</f>
        <v>d.rebocar</v>
      </c>
      <c r="G2274" s="13" t="s">
        <v>1503</v>
      </c>
      <c r="H2274" s="33" t="s">
        <v>1581</v>
      </c>
      <c r="I2274" s="92" t="str">
        <f t="shared" si="1129"/>
        <v>null</v>
      </c>
      <c r="J2274" s="80" t="s">
        <v>0</v>
      </c>
      <c r="K2274" s="80" t="s">
        <v>0</v>
      </c>
      <c r="L2274" s="80" t="s">
        <v>0</v>
      </c>
      <c r="M2274" s="80" t="s">
        <v>0</v>
      </c>
      <c r="N2274" s="80" t="s">
        <v>0</v>
      </c>
      <c r="O2274" s="80" t="s">
        <v>0</v>
      </c>
      <c r="P2274" s="80" t="s">
        <v>0</v>
      </c>
      <c r="Q2274" s="80" t="s">
        <v>0</v>
      </c>
      <c r="R2274" s="84" t="s">
        <v>2529</v>
      </c>
      <c r="S2274" s="10" t="s">
        <v>1</v>
      </c>
      <c r="T2274" s="10" t="s">
        <v>10221</v>
      </c>
      <c r="U2274" s="5" t="str">
        <f t="shared" si="1174"/>
        <v>Propriedade destinada a rebocar: é.chapiscada.com</v>
      </c>
      <c r="V2274" s="5" t="str">
        <f t="shared" si="1175"/>
        <v>Dado para rebocar:  chapiscada.com  Deve ser formatado como (rdfs:Literal  or  xsd:string)</v>
      </c>
      <c r="W2274" s="69" t="s">
        <v>6202</v>
      </c>
      <c r="X2274" s="17" t="str">
        <f t="shared" si="1135"/>
        <v>d.reboc.102</v>
      </c>
      <c r="Y2274" s="17" t="str">
        <f t="shared" si="1136"/>
        <v>Ação de rebocar</v>
      </c>
      <c r="Z2274" s="62" t="s">
        <v>4282</v>
      </c>
      <c r="AA2274" s="18" t="str">
        <f t="shared" si="1176"/>
        <v>null</v>
      </c>
      <c r="AB2274" s="19" t="s">
        <v>0</v>
      </c>
      <c r="AC2274" s="18" t="str">
        <f t="shared" si="1177"/>
        <v>null</v>
      </c>
      <c r="AD2274" s="19" t="s">
        <v>0</v>
      </c>
      <c r="AE2274" s="18" t="str">
        <f t="shared" si="1178"/>
        <v>propriedade</v>
      </c>
      <c r="AF2274" s="75" t="s">
        <v>1897</v>
      </c>
      <c r="AG2274" s="38" t="s">
        <v>9193</v>
      </c>
    </row>
    <row r="2275" spans="1:33" ht="6" customHeight="1" x14ac:dyDescent="0.4">
      <c r="A2275" s="4">
        <f>ROW()</f>
        <v>2275</v>
      </c>
      <c r="B2275" s="9" t="s">
        <v>27</v>
      </c>
      <c r="C2275" s="44" t="str">
        <f t="shared" si="1179"/>
        <v>p.rebocar</v>
      </c>
      <c r="D2275" s="6" t="str">
        <f t="shared" si="1173"/>
        <v>é.chapiscado.com</v>
      </c>
      <c r="E2275" s="8" t="s">
        <v>28</v>
      </c>
      <c r="F2275" s="34" t="str">
        <f t="shared" si="1180"/>
        <v>d.rebocar</v>
      </c>
      <c r="G2275" s="13" t="s">
        <v>1449</v>
      </c>
      <c r="H2275" s="33" t="s">
        <v>1581</v>
      </c>
      <c r="I2275" s="92" t="str">
        <f t="shared" si="1129"/>
        <v>null</v>
      </c>
      <c r="J2275" s="80" t="s">
        <v>0</v>
      </c>
      <c r="K2275" s="80" t="s">
        <v>0</v>
      </c>
      <c r="L2275" s="80" t="s">
        <v>0</v>
      </c>
      <c r="M2275" s="80" t="s">
        <v>0</v>
      </c>
      <c r="N2275" s="80" t="s">
        <v>0</v>
      </c>
      <c r="O2275" s="80" t="s">
        <v>0</v>
      </c>
      <c r="P2275" s="80" t="s">
        <v>0</v>
      </c>
      <c r="Q2275" s="80" t="s">
        <v>0</v>
      </c>
      <c r="R2275" s="84" t="s">
        <v>2528</v>
      </c>
      <c r="S2275" s="10" t="s">
        <v>1</v>
      </c>
      <c r="T2275" s="10" t="s">
        <v>10221</v>
      </c>
      <c r="U2275" s="5" t="str">
        <f t="shared" si="1174"/>
        <v>Propriedade destinada a rebocar: é.chapiscado.com</v>
      </c>
      <c r="V2275" s="5" t="str">
        <f t="shared" si="1175"/>
        <v>Dado para rebocar:  chapiscado.com  Deve ser formatado como (rdfs:Literal  or  xsd:string)</v>
      </c>
      <c r="W2275" s="69" t="s">
        <v>6203</v>
      </c>
      <c r="X2275" s="17" t="str">
        <f t="shared" si="1135"/>
        <v>d.reboc.103</v>
      </c>
      <c r="Y2275" s="17" t="str">
        <f t="shared" si="1136"/>
        <v>Ação de rebocar</v>
      </c>
      <c r="Z2275" s="62" t="s">
        <v>4283</v>
      </c>
      <c r="AA2275" s="18" t="str">
        <f t="shared" si="1176"/>
        <v>null</v>
      </c>
      <c r="AB2275" s="19" t="s">
        <v>0</v>
      </c>
      <c r="AC2275" s="18" t="str">
        <f t="shared" si="1177"/>
        <v>null</v>
      </c>
      <c r="AD2275" s="19" t="s">
        <v>0</v>
      </c>
      <c r="AE2275" s="18" t="str">
        <f t="shared" si="1178"/>
        <v>null</v>
      </c>
      <c r="AF2275" s="75" t="s">
        <v>0</v>
      </c>
      <c r="AG2275" s="38" t="s">
        <v>9194</v>
      </c>
    </row>
    <row r="2276" spans="1:33" ht="6" customHeight="1" x14ac:dyDescent="0.4">
      <c r="A2276" s="4">
        <f>ROW()</f>
        <v>2276</v>
      </c>
      <c r="B2276" s="9" t="s">
        <v>27</v>
      </c>
      <c r="C2276" s="44" t="str">
        <f t="shared" si="1179"/>
        <v>p.rebocar</v>
      </c>
      <c r="D2276" s="6" t="str">
        <f t="shared" si="1173"/>
        <v>é.emboçada.com</v>
      </c>
      <c r="E2276" s="8" t="s">
        <v>28</v>
      </c>
      <c r="F2276" s="34" t="str">
        <f t="shared" si="1180"/>
        <v>d.rebocar</v>
      </c>
      <c r="G2276" s="13" t="s">
        <v>1504</v>
      </c>
      <c r="H2276" s="33" t="s">
        <v>1581</v>
      </c>
      <c r="I2276" s="92" t="str">
        <f t="shared" si="1129"/>
        <v>null</v>
      </c>
      <c r="J2276" s="80" t="s">
        <v>0</v>
      </c>
      <c r="K2276" s="80" t="s">
        <v>0</v>
      </c>
      <c r="L2276" s="80" t="s">
        <v>0</v>
      </c>
      <c r="M2276" s="80" t="s">
        <v>0</v>
      </c>
      <c r="N2276" s="80" t="s">
        <v>0</v>
      </c>
      <c r="O2276" s="80" t="s">
        <v>0</v>
      </c>
      <c r="P2276" s="80" t="s">
        <v>0</v>
      </c>
      <c r="Q2276" s="80" t="s">
        <v>0</v>
      </c>
      <c r="R2276" s="84" t="s">
        <v>2530</v>
      </c>
      <c r="S2276" s="10" t="s">
        <v>1</v>
      </c>
      <c r="T2276" s="10" t="s">
        <v>10221</v>
      </c>
      <c r="U2276" s="5" t="str">
        <f t="shared" si="1174"/>
        <v>Propriedade destinada a rebocar: é.emboçada.com</v>
      </c>
      <c r="V2276" s="5" t="str">
        <f t="shared" si="1175"/>
        <v>Dado para rebocar:  emboçada.com  Deve ser formatado como (rdfs:Literal  or  xsd:string)</v>
      </c>
      <c r="W2276" s="69" t="s">
        <v>4726</v>
      </c>
      <c r="X2276" s="17" t="str">
        <f t="shared" si="1135"/>
        <v>d.reboc.104</v>
      </c>
      <c r="Y2276" s="17" t="str">
        <f t="shared" si="1136"/>
        <v>Ação de rebocar</v>
      </c>
      <c r="Z2276" s="62" t="s">
        <v>4281</v>
      </c>
      <c r="AA2276" s="18" t="str">
        <f t="shared" si="1176"/>
        <v>null</v>
      </c>
      <c r="AB2276" s="19" t="s">
        <v>0</v>
      </c>
      <c r="AC2276" s="18" t="str">
        <f t="shared" si="1177"/>
        <v>null</v>
      </c>
      <c r="AD2276" s="19" t="s">
        <v>0</v>
      </c>
      <c r="AE2276" s="18" t="str">
        <f t="shared" si="1178"/>
        <v>null</v>
      </c>
      <c r="AF2276" s="75" t="s">
        <v>0</v>
      </c>
      <c r="AG2276" s="38" t="s">
        <v>9195</v>
      </c>
    </row>
    <row r="2277" spans="1:33" ht="6" customHeight="1" x14ac:dyDescent="0.4">
      <c r="A2277" s="4">
        <f>ROW()</f>
        <v>2277</v>
      </c>
      <c r="B2277" s="9" t="s">
        <v>27</v>
      </c>
      <c r="C2277" s="44" t="str">
        <f t="shared" si="1179"/>
        <v>p.rebocar</v>
      </c>
      <c r="D2277" s="6" t="str">
        <f t="shared" si="1173"/>
        <v>é.emboçado.com</v>
      </c>
      <c r="E2277" s="8" t="s">
        <v>28</v>
      </c>
      <c r="F2277" s="34" t="str">
        <f t="shared" si="1180"/>
        <v>d.rebocar</v>
      </c>
      <c r="G2277" s="13" t="s">
        <v>1450</v>
      </c>
      <c r="H2277" s="33" t="s">
        <v>1581</v>
      </c>
      <c r="I2277" s="92" t="str">
        <f t="shared" si="1129"/>
        <v>null</v>
      </c>
      <c r="J2277" s="80" t="s">
        <v>0</v>
      </c>
      <c r="K2277" s="80" t="s">
        <v>0</v>
      </c>
      <c r="L2277" s="80" t="s">
        <v>0</v>
      </c>
      <c r="M2277" s="80" t="s">
        <v>0</v>
      </c>
      <c r="N2277" s="80" t="s">
        <v>0</v>
      </c>
      <c r="O2277" s="80" t="s">
        <v>0</v>
      </c>
      <c r="P2277" s="80" t="s">
        <v>0</v>
      </c>
      <c r="Q2277" s="80" t="s">
        <v>0</v>
      </c>
      <c r="R2277" s="84" t="s">
        <v>3014</v>
      </c>
      <c r="S2277" s="10" t="s">
        <v>1</v>
      </c>
      <c r="T2277" s="10" t="s">
        <v>10221</v>
      </c>
      <c r="U2277" s="5" t="str">
        <f t="shared" si="1174"/>
        <v>Propriedade destinada a rebocar: é.emboçado.com</v>
      </c>
      <c r="V2277" s="5" t="str">
        <f t="shared" si="1175"/>
        <v>Dado para rebocar:  emboçado.com  Deve ser formatado como (rdfs:Literal  or  xsd:string)</v>
      </c>
      <c r="W2277" s="69" t="s">
        <v>4279</v>
      </c>
      <c r="X2277" s="17" t="str">
        <f t="shared" si="1135"/>
        <v>d.reboc.105</v>
      </c>
      <c r="Y2277" s="17" t="str">
        <f t="shared" si="1136"/>
        <v>Ação de rebocar</v>
      </c>
      <c r="Z2277" s="62" t="s">
        <v>4280</v>
      </c>
      <c r="AA2277" s="18" t="str">
        <f t="shared" si="1176"/>
        <v>null</v>
      </c>
      <c r="AB2277" s="19" t="s">
        <v>0</v>
      </c>
      <c r="AC2277" s="18" t="str">
        <f t="shared" si="1177"/>
        <v>null</v>
      </c>
      <c r="AD2277" s="19" t="s">
        <v>0</v>
      </c>
      <c r="AE2277" s="18" t="str">
        <f t="shared" si="1178"/>
        <v>null</v>
      </c>
      <c r="AF2277" s="75" t="s">
        <v>0</v>
      </c>
      <c r="AG2277" s="38" t="s">
        <v>9196</v>
      </c>
    </row>
    <row r="2278" spans="1:33" ht="6" customHeight="1" x14ac:dyDescent="0.4">
      <c r="A2278" s="4">
        <f>ROW()</f>
        <v>2278</v>
      </c>
      <c r="B2278" s="9" t="s">
        <v>27</v>
      </c>
      <c r="C2278" s="44" t="str">
        <f t="shared" si="1179"/>
        <v>p.rebocar</v>
      </c>
      <c r="D2278" s="6" t="str">
        <f t="shared" si="1173"/>
        <v>é.espessura.máxima.de.aplicação</v>
      </c>
      <c r="E2278" s="8" t="s">
        <v>28</v>
      </c>
      <c r="F2278" s="34" t="str">
        <f t="shared" si="1180"/>
        <v>d.rebocar</v>
      </c>
      <c r="G2278" s="13" t="s">
        <v>7097</v>
      </c>
      <c r="H2278" s="33" t="s">
        <v>35</v>
      </c>
      <c r="I2278" s="92" t="str">
        <f t="shared" si="1129"/>
        <v>null</v>
      </c>
      <c r="J2278" s="80" t="s">
        <v>0</v>
      </c>
      <c r="K2278" s="80" t="s">
        <v>0</v>
      </c>
      <c r="L2278" s="80" t="s">
        <v>0</v>
      </c>
      <c r="M2278" s="80" t="s">
        <v>0</v>
      </c>
      <c r="N2278" s="80" t="s">
        <v>0</v>
      </c>
      <c r="O2278" s="80" t="s">
        <v>0</v>
      </c>
      <c r="P2278" s="80" t="s">
        <v>0</v>
      </c>
      <c r="Q2278" s="80" t="s">
        <v>0</v>
      </c>
      <c r="R2278" s="84" t="s">
        <v>0</v>
      </c>
      <c r="S2278" s="10" t="s">
        <v>1</v>
      </c>
      <c r="T2278" s="10" t="s">
        <v>10221</v>
      </c>
      <c r="U2278" s="5" t="str">
        <f t="shared" si="1174"/>
        <v>Propriedade destinada a rebocar: é.espessura.máxima.de.aplicação</v>
      </c>
      <c r="V2278" s="5" t="str">
        <f t="shared" si="1175"/>
        <v>Dado para rebocar:  espessura.máxima.de.aplicação  Deve ser formatado como (xsd:double)</v>
      </c>
      <c r="W2278" s="69" t="s">
        <v>7098</v>
      </c>
      <c r="X2278" s="17" t="str">
        <f t="shared" si="1135"/>
        <v>d.reboc.106</v>
      </c>
      <c r="Y2278" s="17" t="str">
        <f t="shared" si="1136"/>
        <v>Ação de rebocar</v>
      </c>
      <c r="Z2278" s="62" t="s">
        <v>7102</v>
      </c>
      <c r="AA2278" s="18" t="str">
        <f t="shared" si="1176"/>
        <v>null</v>
      </c>
      <c r="AB2278" s="19" t="s">
        <v>0</v>
      </c>
      <c r="AC2278" s="18" t="str">
        <f t="shared" si="1177"/>
        <v>null</v>
      </c>
      <c r="AD2278" s="19" t="s">
        <v>0</v>
      </c>
      <c r="AE2278" s="18" t="str">
        <f t="shared" si="1178"/>
        <v>propriedade</v>
      </c>
      <c r="AF2278" s="75" t="s">
        <v>1897</v>
      </c>
      <c r="AG2278" s="38" t="s">
        <v>9197</v>
      </c>
    </row>
    <row r="2279" spans="1:33" ht="6" customHeight="1" x14ac:dyDescent="0.4">
      <c r="A2279" s="4">
        <f>ROW()</f>
        <v>2279</v>
      </c>
      <c r="B2279" s="9" t="s">
        <v>27</v>
      </c>
      <c r="C2279" s="44" t="str">
        <f t="shared" si="1179"/>
        <v>p.rebocar</v>
      </c>
      <c r="D2279" s="6" t="str">
        <f t="shared" si="1173"/>
        <v>é.fluidez</v>
      </c>
      <c r="E2279" s="8" t="s">
        <v>28</v>
      </c>
      <c r="F2279" s="34" t="str">
        <f t="shared" si="1180"/>
        <v>d.rebocar</v>
      </c>
      <c r="G2279" s="13" t="s">
        <v>7096</v>
      </c>
      <c r="H2279" s="33" t="s">
        <v>35</v>
      </c>
      <c r="I2279" s="92" t="str">
        <f t="shared" si="1129"/>
        <v>null</v>
      </c>
      <c r="J2279" s="80" t="s">
        <v>0</v>
      </c>
      <c r="K2279" s="80" t="s">
        <v>0</v>
      </c>
      <c r="L2279" s="80" t="s">
        <v>0</v>
      </c>
      <c r="M2279" s="80" t="s">
        <v>0</v>
      </c>
      <c r="N2279" s="80" t="s">
        <v>0</v>
      </c>
      <c r="O2279" s="80" t="s">
        <v>0</v>
      </c>
      <c r="P2279" s="80" t="s">
        <v>0</v>
      </c>
      <c r="Q2279" s="80" t="s">
        <v>0</v>
      </c>
      <c r="R2279" s="84" t="s">
        <v>0</v>
      </c>
      <c r="S2279" s="10" t="s">
        <v>1</v>
      </c>
      <c r="T2279" s="10" t="s">
        <v>10221</v>
      </c>
      <c r="U2279" s="5" t="str">
        <f t="shared" si="1174"/>
        <v>Propriedade destinada a rebocar: é.fluidez</v>
      </c>
      <c r="V2279" s="5" t="str">
        <f t="shared" si="1175"/>
        <v>Dado para rebocar:  fluidez  Deve ser formatado como (xsd:double)</v>
      </c>
      <c r="W2279" s="69" t="s">
        <v>7100</v>
      </c>
      <c r="X2279" s="17" t="str">
        <f t="shared" si="1135"/>
        <v>d.reboc.107</v>
      </c>
      <c r="Y2279" s="17" t="str">
        <f t="shared" si="1136"/>
        <v>Ação de rebocar</v>
      </c>
      <c r="Z2279" s="62" t="s">
        <v>7101</v>
      </c>
      <c r="AA2279" s="18" t="str">
        <f t="shared" si="1176"/>
        <v>null</v>
      </c>
      <c r="AB2279" s="19" t="s">
        <v>0</v>
      </c>
      <c r="AC2279" s="18" t="str">
        <f t="shared" si="1177"/>
        <v>null</v>
      </c>
      <c r="AD2279" s="19" t="s">
        <v>0</v>
      </c>
      <c r="AE2279" s="18" t="str">
        <f t="shared" si="1178"/>
        <v>propriedade</v>
      </c>
      <c r="AF2279" s="75" t="s">
        <v>1897</v>
      </c>
      <c r="AG2279" s="38" t="s">
        <v>9198</v>
      </c>
    </row>
    <row r="2280" spans="1:33" ht="6" customHeight="1" x14ac:dyDescent="0.4">
      <c r="A2280" s="4">
        <f>ROW()</f>
        <v>2280</v>
      </c>
      <c r="B2280" s="9" t="s">
        <v>27</v>
      </c>
      <c r="C2280" s="44" t="str">
        <f t="shared" si="1179"/>
        <v>p.rebocar</v>
      </c>
      <c r="D2280" s="6" t="str">
        <f t="shared" si="1173"/>
        <v>é.rebocada.com</v>
      </c>
      <c r="E2280" s="8" t="s">
        <v>28</v>
      </c>
      <c r="F2280" s="34" t="str">
        <f t="shared" si="1180"/>
        <v>d.rebocar</v>
      </c>
      <c r="G2280" s="13" t="s">
        <v>1505</v>
      </c>
      <c r="H2280" s="33" t="s">
        <v>1581</v>
      </c>
      <c r="I2280" s="92" t="str">
        <f t="shared" si="1129"/>
        <v>null</v>
      </c>
      <c r="J2280" s="80" t="s">
        <v>0</v>
      </c>
      <c r="K2280" s="80" t="s">
        <v>0</v>
      </c>
      <c r="L2280" s="80" t="s">
        <v>0</v>
      </c>
      <c r="M2280" s="80" t="s">
        <v>0</v>
      </c>
      <c r="N2280" s="80" t="s">
        <v>0</v>
      </c>
      <c r="O2280" s="80" t="s">
        <v>0</v>
      </c>
      <c r="P2280" s="80" t="s">
        <v>0</v>
      </c>
      <c r="Q2280" s="80" t="s">
        <v>0</v>
      </c>
      <c r="R2280" s="84" t="s">
        <v>2524</v>
      </c>
      <c r="S2280" s="10" t="s">
        <v>1</v>
      </c>
      <c r="T2280" s="10" t="s">
        <v>10221</v>
      </c>
      <c r="U2280" s="5" t="str">
        <f t="shared" si="1174"/>
        <v>Propriedade destinada a rebocar: é.rebocada.com</v>
      </c>
      <c r="V2280" s="5" t="str">
        <f t="shared" si="1175"/>
        <v>Dado para rebocar:  rebocada.com  Deve ser formatado como (rdfs:Literal  or  xsd:string)</v>
      </c>
      <c r="W2280" s="69" t="s">
        <v>6204</v>
      </c>
      <c r="X2280" s="17" t="str">
        <f t="shared" si="1135"/>
        <v>d.reboc.108</v>
      </c>
      <c r="Y2280" s="17" t="str">
        <f t="shared" si="1136"/>
        <v>Ação de rebocar</v>
      </c>
      <c r="Z2280" s="62" t="s">
        <v>4288</v>
      </c>
      <c r="AA2280" s="18" t="str">
        <f t="shared" si="1176"/>
        <v>null</v>
      </c>
      <c r="AB2280" s="19" t="s">
        <v>0</v>
      </c>
      <c r="AC2280" s="18" t="str">
        <f t="shared" si="1177"/>
        <v>null</v>
      </c>
      <c r="AD2280" s="19" t="s">
        <v>0</v>
      </c>
      <c r="AE2280" s="18" t="str">
        <f t="shared" si="1178"/>
        <v>null</v>
      </c>
      <c r="AF2280" s="75" t="s">
        <v>0</v>
      </c>
      <c r="AG2280" s="38" t="s">
        <v>9193</v>
      </c>
    </row>
    <row r="2281" spans="1:33" ht="6" customHeight="1" x14ac:dyDescent="0.4">
      <c r="A2281" s="4">
        <f>ROW()</f>
        <v>2281</v>
      </c>
      <c r="B2281" s="9" t="s">
        <v>27</v>
      </c>
      <c r="C2281" s="44" t="str">
        <f t="shared" si="1179"/>
        <v>p.rebocar</v>
      </c>
      <c r="D2281" s="6" t="str">
        <f t="shared" si="1173"/>
        <v>é.rebocado.com</v>
      </c>
      <c r="E2281" s="8" t="s">
        <v>28</v>
      </c>
      <c r="F2281" s="34" t="str">
        <f t="shared" si="1180"/>
        <v>d.rebocar</v>
      </c>
      <c r="G2281" s="13" t="s">
        <v>1451</v>
      </c>
      <c r="H2281" s="33" t="s">
        <v>1581</v>
      </c>
      <c r="I2281" s="92" t="str">
        <f t="shared" si="1129"/>
        <v>null</v>
      </c>
      <c r="J2281" s="80" t="s">
        <v>0</v>
      </c>
      <c r="K2281" s="80" t="s">
        <v>0</v>
      </c>
      <c r="L2281" s="80" t="s">
        <v>0</v>
      </c>
      <c r="M2281" s="80" t="s">
        <v>0</v>
      </c>
      <c r="N2281" s="80" t="s">
        <v>0</v>
      </c>
      <c r="O2281" s="80" t="s">
        <v>0</v>
      </c>
      <c r="P2281" s="80" t="s">
        <v>0</v>
      </c>
      <c r="Q2281" s="80" t="s">
        <v>0</v>
      </c>
      <c r="R2281" s="84" t="s">
        <v>2525</v>
      </c>
      <c r="S2281" s="10" t="s">
        <v>1</v>
      </c>
      <c r="T2281" s="10" t="s">
        <v>10221</v>
      </c>
      <c r="U2281" s="5" t="str">
        <f t="shared" si="1174"/>
        <v>Propriedade destinada a rebocar: é.rebocado.com</v>
      </c>
      <c r="V2281" s="5" t="str">
        <f t="shared" si="1175"/>
        <v>Dado para rebocar:  rebocado.com  Deve ser formatado como (rdfs:Literal  or  xsd:string)</v>
      </c>
      <c r="W2281" s="69" t="s">
        <v>6205</v>
      </c>
      <c r="X2281" s="17" t="str">
        <f t="shared" si="1135"/>
        <v>d.reboc.109</v>
      </c>
      <c r="Y2281" s="17" t="str">
        <f t="shared" si="1136"/>
        <v>Ação de rebocar</v>
      </c>
      <c r="Z2281" s="62" t="s">
        <v>4289</v>
      </c>
      <c r="AA2281" s="18" t="str">
        <f t="shared" si="1176"/>
        <v>null</v>
      </c>
      <c r="AB2281" s="19" t="s">
        <v>0</v>
      </c>
      <c r="AC2281" s="18" t="str">
        <f t="shared" si="1177"/>
        <v>null</v>
      </c>
      <c r="AD2281" s="19" t="s">
        <v>0</v>
      </c>
      <c r="AE2281" s="18" t="str">
        <f t="shared" si="1178"/>
        <v>null</v>
      </c>
      <c r="AF2281" s="75" t="s">
        <v>0</v>
      </c>
      <c r="AG2281" s="38" t="s">
        <v>9194</v>
      </c>
    </row>
    <row r="2282" spans="1:33" ht="6" customHeight="1" x14ac:dyDescent="0.4">
      <c r="A2282" s="4">
        <f>ROW()</f>
        <v>2282</v>
      </c>
      <c r="B2282" s="9" t="s">
        <v>27</v>
      </c>
      <c r="C2282" s="43" t="str">
        <f t="shared" si="1159"/>
        <v>p.reforçar</v>
      </c>
      <c r="D2282" s="6" t="str">
        <f t="shared" ref="D2282:D2290" si="1181">_xlfn.CONCAT("é.",G2282)</f>
        <v>é.armadura.de.pele</v>
      </c>
      <c r="E2282" s="8" t="s">
        <v>28</v>
      </c>
      <c r="F2282" s="40" t="s">
        <v>6833</v>
      </c>
      <c r="G2282" s="13" t="s">
        <v>6858</v>
      </c>
      <c r="H2282" s="33" t="s">
        <v>1581</v>
      </c>
      <c r="I2282" s="92" t="str">
        <f t="shared" si="1129"/>
        <v>null</v>
      </c>
      <c r="J2282" s="80" t="s">
        <v>0</v>
      </c>
      <c r="K2282" s="80" t="s">
        <v>0</v>
      </c>
      <c r="L2282" s="80" t="s">
        <v>0</v>
      </c>
      <c r="M2282" s="80" t="s">
        <v>0</v>
      </c>
      <c r="N2282" s="80" t="s">
        <v>0</v>
      </c>
      <c r="O2282" s="80" t="s">
        <v>0</v>
      </c>
      <c r="P2282" s="80" t="s">
        <v>0</v>
      </c>
      <c r="Q2282" s="80" t="s">
        <v>0</v>
      </c>
      <c r="R2282" s="84" t="s">
        <v>0</v>
      </c>
      <c r="S2282" s="10" t="s">
        <v>1</v>
      </c>
      <c r="T2282" s="10" t="s">
        <v>10221</v>
      </c>
      <c r="U2282" s="5" t="str">
        <f t="shared" ref="U2282:U2290" si="1182">_xlfn.CONCAT("Propriedade destinada a ",MID(C2282,FIND("p.",C2282,1)+2,100),": ",D2282)</f>
        <v>Propriedade destinada a reforçar: é.armadura.de.pele</v>
      </c>
      <c r="V2282" s="5" t="str">
        <f t="shared" ref="V2282:V2290" si="1183">_xlfn.CONCAT("Dado para ",MID(F2282,FIND("d.",F2282,1)+2,100),":  ",G2282, "  Deve ser formatado como (",H2282, ")")</f>
        <v>Dado para reforçar:  armadura.de.pele  Deve ser formatado como (rdfs:Literal  or  xsd:string)</v>
      </c>
      <c r="W2282" s="38" t="s">
        <v>6862</v>
      </c>
      <c r="X2282" s="17" t="str">
        <f t="shared" si="1135"/>
        <v>d.refor.100</v>
      </c>
      <c r="Y2282" s="17" t="str">
        <f t="shared" si="1136"/>
        <v>Ação de reforçar</v>
      </c>
      <c r="Z2282" s="62" t="s">
        <v>6881</v>
      </c>
      <c r="AA2282" s="18" t="str">
        <f t="shared" ref="AA2282:AA2290" si="1184">IF(AB2282="null", "null", "categoria.revit")</f>
        <v>categoria.revit</v>
      </c>
      <c r="AB2282" s="19" t="s">
        <v>2142</v>
      </c>
      <c r="AC2282" s="18" t="str">
        <f t="shared" ref="AC2282:AC2290" si="1185">IF(AD2282="null", "null", "classe.ifc")</f>
        <v>classe.ifc</v>
      </c>
      <c r="AD2282" s="19" t="s">
        <v>2093</v>
      </c>
      <c r="AE2282" s="18" t="str">
        <f t="shared" ref="AE2282:AE2290" si="1186">IF(AF2282="null", "null", "propriedade")</f>
        <v>propriedade</v>
      </c>
      <c r="AF2282" s="75" t="s">
        <v>6854</v>
      </c>
      <c r="AG2282" s="38" t="s">
        <v>9199</v>
      </c>
    </row>
    <row r="2283" spans="1:33" ht="6" customHeight="1" x14ac:dyDescent="0.4">
      <c r="A2283" s="4">
        <f>ROW()</f>
        <v>2283</v>
      </c>
      <c r="B2283" s="9" t="s">
        <v>27</v>
      </c>
      <c r="C2283" s="44" t="str">
        <f t="shared" ref="C2283:C2296" si="1187">SUBSTITUTE(F2283,"d.","p.")</f>
        <v>p.reforçar</v>
      </c>
      <c r="D2283" s="6" t="str">
        <f t="shared" si="1181"/>
        <v>é.armadura.de.suspensão</v>
      </c>
      <c r="E2283" s="8" t="s">
        <v>28</v>
      </c>
      <c r="F2283" s="34" t="str">
        <f t="shared" ref="F2283:F2296" si="1188">F2282</f>
        <v>d.reforçar</v>
      </c>
      <c r="G2283" s="13" t="s">
        <v>6859</v>
      </c>
      <c r="H2283" s="33" t="s">
        <v>1581</v>
      </c>
      <c r="I2283" s="92" t="str">
        <f t="shared" si="1129"/>
        <v>null</v>
      </c>
      <c r="J2283" s="80" t="s">
        <v>0</v>
      </c>
      <c r="K2283" s="80" t="s">
        <v>0</v>
      </c>
      <c r="L2283" s="80" t="s">
        <v>0</v>
      </c>
      <c r="M2283" s="80" t="s">
        <v>0</v>
      </c>
      <c r="N2283" s="80" t="s">
        <v>0</v>
      </c>
      <c r="O2283" s="80" t="s">
        <v>0</v>
      </c>
      <c r="P2283" s="80" t="s">
        <v>0</v>
      </c>
      <c r="Q2283" s="80" t="s">
        <v>0</v>
      </c>
      <c r="R2283" s="84" t="s">
        <v>0</v>
      </c>
      <c r="S2283" s="10" t="s">
        <v>1</v>
      </c>
      <c r="T2283" s="10" t="s">
        <v>10221</v>
      </c>
      <c r="U2283" s="5" t="str">
        <f t="shared" si="1182"/>
        <v>Propriedade destinada a reforçar: é.armadura.de.suspensão</v>
      </c>
      <c r="V2283" s="5" t="str">
        <f t="shared" si="1183"/>
        <v>Dado para reforçar:  armadura.de.suspensão  Deve ser formatado como (rdfs:Literal  or  xsd:string)</v>
      </c>
      <c r="W2283" s="38" t="s">
        <v>6857</v>
      </c>
      <c r="X2283" s="17" t="str">
        <f t="shared" si="1135"/>
        <v>d.refor.101</v>
      </c>
      <c r="Y2283" s="17" t="str">
        <f t="shared" si="1136"/>
        <v>Ação de reforçar</v>
      </c>
      <c r="Z2283" s="62" t="s">
        <v>6882</v>
      </c>
      <c r="AA2283" s="18" t="str">
        <f t="shared" si="1184"/>
        <v>categoria.revit</v>
      </c>
      <c r="AB2283" s="19" t="s">
        <v>2142</v>
      </c>
      <c r="AC2283" s="18" t="str">
        <f t="shared" si="1185"/>
        <v>classe.ifc</v>
      </c>
      <c r="AD2283" s="19" t="s">
        <v>2093</v>
      </c>
      <c r="AE2283" s="18" t="str">
        <f t="shared" si="1186"/>
        <v>propriedade</v>
      </c>
      <c r="AF2283" s="75" t="s">
        <v>6854</v>
      </c>
      <c r="AG2283" s="38" t="s">
        <v>9200</v>
      </c>
    </row>
    <row r="2284" spans="1:33" ht="6" customHeight="1" x14ac:dyDescent="0.4">
      <c r="A2284" s="4">
        <f>ROW()</f>
        <v>2284</v>
      </c>
      <c r="B2284" s="9" t="s">
        <v>27</v>
      </c>
      <c r="C2284" s="44" t="str">
        <f t="shared" si="1187"/>
        <v>p.reforçar</v>
      </c>
      <c r="D2284" s="6" t="str">
        <f t="shared" si="1181"/>
        <v>é.armadura.negativa</v>
      </c>
      <c r="E2284" s="8" t="s">
        <v>28</v>
      </c>
      <c r="F2284" s="34" t="str">
        <f t="shared" si="1188"/>
        <v>d.reforçar</v>
      </c>
      <c r="G2284" s="13" t="s">
        <v>3510</v>
      </c>
      <c r="H2284" s="33" t="s">
        <v>1581</v>
      </c>
      <c r="I2284" s="92" t="str">
        <f t="shared" si="1129"/>
        <v>null</v>
      </c>
      <c r="J2284" s="80" t="s">
        <v>0</v>
      </c>
      <c r="K2284" s="80" t="s">
        <v>0</v>
      </c>
      <c r="L2284" s="80" t="s">
        <v>0</v>
      </c>
      <c r="M2284" s="80" t="s">
        <v>0</v>
      </c>
      <c r="N2284" s="80" t="s">
        <v>0</v>
      </c>
      <c r="O2284" s="80" t="s">
        <v>0</v>
      </c>
      <c r="P2284" s="80" t="s">
        <v>0</v>
      </c>
      <c r="Q2284" s="80" t="s">
        <v>0</v>
      </c>
      <c r="R2284" s="84" t="s">
        <v>0</v>
      </c>
      <c r="S2284" s="10" t="s">
        <v>1</v>
      </c>
      <c r="T2284" s="10" t="s">
        <v>10221</v>
      </c>
      <c r="U2284" s="5" t="str">
        <f t="shared" si="1182"/>
        <v>Propriedade destinada a reforçar: é.armadura.negativa</v>
      </c>
      <c r="V2284" s="5" t="str">
        <f t="shared" si="1183"/>
        <v>Dado para reforçar:  armadura.negativa  Deve ser formatado como (rdfs:Literal  or  xsd:string)</v>
      </c>
      <c r="W2284" s="38" t="s">
        <v>6855</v>
      </c>
      <c r="X2284" s="17" t="str">
        <f t="shared" si="1135"/>
        <v>d.refor.102</v>
      </c>
      <c r="Y2284" s="17" t="str">
        <f t="shared" si="1136"/>
        <v>Ação de reforçar</v>
      </c>
      <c r="Z2284" s="62" t="s">
        <v>6883</v>
      </c>
      <c r="AA2284" s="18" t="str">
        <f t="shared" si="1184"/>
        <v>categoria.revit</v>
      </c>
      <c r="AB2284" s="19" t="s">
        <v>2142</v>
      </c>
      <c r="AC2284" s="18" t="str">
        <f t="shared" si="1185"/>
        <v>classe.ifc</v>
      </c>
      <c r="AD2284" s="19" t="s">
        <v>2093</v>
      </c>
      <c r="AE2284" s="18" t="str">
        <f t="shared" si="1186"/>
        <v>propriedade</v>
      </c>
      <c r="AF2284" s="75" t="s">
        <v>6854</v>
      </c>
      <c r="AG2284" s="38" t="s">
        <v>9201</v>
      </c>
    </row>
    <row r="2285" spans="1:33" ht="6" customHeight="1" x14ac:dyDescent="0.4">
      <c r="A2285" s="4">
        <f>ROW()</f>
        <v>2285</v>
      </c>
      <c r="B2285" s="9" t="s">
        <v>27</v>
      </c>
      <c r="C2285" s="44" t="str">
        <f t="shared" si="1187"/>
        <v>p.reforçar</v>
      </c>
      <c r="D2285" s="6" t="str">
        <f t="shared" si="1181"/>
        <v>é.armadura.positiva</v>
      </c>
      <c r="E2285" s="8" t="s">
        <v>28</v>
      </c>
      <c r="F2285" s="34" t="str">
        <f t="shared" si="1188"/>
        <v>d.reforçar</v>
      </c>
      <c r="G2285" s="13" t="s">
        <v>3511</v>
      </c>
      <c r="H2285" s="33" t="s">
        <v>1581</v>
      </c>
      <c r="I2285" s="92" t="str">
        <f t="shared" si="1129"/>
        <v>null</v>
      </c>
      <c r="J2285" s="80" t="s">
        <v>0</v>
      </c>
      <c r="K2285" s="80" t="s">
        <v>0</v>
      </c>
      <c r="L2285" s="80" t="s">
        <v>0</v>
      </c>
      <c r="M2285" s="80" t="s">
        <v>0</v>
      </c>
      <c r="N2285" s="80" t="s">
        <v>0</v>
      </c>
      <c r="O2285" s="80" t="s">
        <v>0</v>
      </c>
      <c r="P2285" s="80" t="s">
        <v>0</v>
      </c>
      <c r="Q2285" s="80" t="s">
        <v>0</v>
      </c>
      <c r="R2285" s="84" t="s">
        <v>0</v>
      </c>
      <c r="S2285" s="10" t="s">
        <v>1</v>
      </c>
      <c r="T2285" s="10" t="s">
        <v>10221</v>
      </c>
      <c r="U2285" s="5" t="str">
        <f t="shared" si="1182"/>
        <v>Propriedade destinada a reforçar: é.armadura.positiva</v>
      </c>
      <c r="V2285" s="5" t="str">
        <f t="shared" si="1183"/>
        <v>Dado para reforçar:  armadura.positiva  Deve ser formatado como (rdfs:Literal  or  xsd:string)</v>
      </c>
      <c r="W2285" s="38" t="s">
        <v>6856</v>
      </c>
      <c r="X2285" s="17" t="str">
        <f t="shared" si="1135"/>
        <v>d.refor.103</v>
      </c>
      <c r="Y2285" s="17" t="str">
        <f t="shared" si="1136"/>
        <v>Ação de reforçar</v>
      </c>
      <c r="Z2285" s="62" t="s">
        <v>6884</v>
      </c>
      <c r="AA2285" s="18" t="str">
        <f t="shared" si="1184"/>
        <v>categoria.revit</v>
      </c>
      <c r="AB2285" s="19" t="s">
        <v>2142</v>
      </c>
      <c r="AC2285" s="18" t="str">
        <f t="shared" si="1185"/>
        <v>classe.ifc</v>
      </c>
      <c r="AD2285" s="19" t="s">
        <v>2093</v>
      </c>
      <c r="AE2285" s="18" t="str">
        <f t="shared" si="1186"/>
        <v>propriedade</v>
      </c>
      <c r="AF2285" s="75" t="s">
        <v>6854</v>
      </c>
      <c r="AG2285" s="38" t="s">
        <v>9202</v>
      </c>
    </row>
    <row r="2286" spans="1:33" ht="6" customHeight="1" x14ac:dyDescent="0.4">
      <c r="A2286" s="4">
        <f>ROW()</f>
        <v>2286</v>
      </c>
      <c r="B2286" s="9" t="s">
        <v>27</v>
      </c>
      <c r="C2286" s="44" t="str">
        <f t="shared" si="1187"/>
        <v>p.reforçar</v>
      </c>
      <c r="D2286" s="6" t="str">
        <f t="shared" si="1181"/>
        <v>é.barra.de.arranque</v>
      </c>
      <c r="E2286" s="8" t="s">
        <v>28</v>
      </c>
      <c r="F2286" s="34" t="str">
        <f t="shared" si="1188"/>
        <v>d.reforçar</v>
      </c>
      <c r="G2286" s="13" t="s">
        <v>6860</v>
      </c>
      <c r="H2286" s="33" t="s">
        <v>1581</v>
      </c>
      <c r="I2286" s="92" t="str">
        <f t="shared" ref="I2286:I2350" si="1189">IF(OR(J2286="Functional",K2286="InverseFunctional"),"Functional","null")</f>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82"/>
        <v>Propriedade destinada a reforçar: é.barra.de.arranque</v>
      </c>
      <c r="V2286" s="5" t="str">
        <f t="shared" si="1183"/>
        <v>Dado para reforçar:  barra.de.arranque  Deve ser formatado como (rdfs:Literal  or  xsd:string)</v>
      </c>
      <c r="W2286" s="38" t="s">
        <v>6844</v>
      </c>
      <c r="X2286" s="17" t="str">
        <f t="shared" si="1135"/>
        <v>d.refor.104</v>
      </c>
      <c r="Y2286" s="17" t="str">
        <f t="shared" si="1136"/>
        <v>Ação de reforçar</v>
      </c>
      <c r="Z2286" s="62" t="s">
        <v>6885</v>
      </c>
      <c r="AA2286" s="18" t="str">
        <f t="shared" si="1184"/>
        <v>categoria.revit</v>
      </c>
      <c r="AB2286" s="19" t="s">
        <v>2142</v>
      </c>
      <c r="AC2286" s="18" t="str">
        <f t="shared" si="1185"/>
        <v>classe.ifc</v>
      </c>
      <c r="AD2286" s="19" t="s">
        <v>2093</v>
      </c>
      <c r="AE2286" s="18" t="str">
        <f t="shared" si="1186"/>
        <v>propriedade</v>
      </c>
      <c r="AF2286" s="75" t="s">
        <v>6854</v>
      </c>
      <c r="AG2286" s="38" t="s">
        <v>9203</v>
      </c>
    </row>
    <row r="2287" spans="1:33" ht="6" customHeight="1" x14ac:dyDescent="0.4">
      <c r="A2287" s="4">
        <f>ROW()</f>
        <v>2287</v>
      </c>
      <c r="B2287" s="9" t="s">
        <v>27</v>
      </c>
      <c r="C2287" s="44" t="str">
        <f t="shared" si="1187"/>
        <v>p.reforçar</v>
      </c>
      <c r="D2287" s="6" t="str">
        <f t="shared" si="1181"/>
        <v>é.barra.dobrada</v>
      </c>
      <c r="E2287" s="8" t="s">
        <v>28</v>
      </c>
      <c r="F2287" s="34" t="str">
        <f t="shared" si="1188"/>
        <v>d.reforçar</v>
      </c>
      <c r="G2287" s="13" t="s">
        <v>6846</v>
      </c>
      <c r="H2287" s="33" t="s">
        <v>1581</v>
      </c>
      <c r="I2287" s="92" t="str">
        <f t="shared" si="1189"/>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82"/>
        <v>Propriedade destinada a reforçar: é.barra.dobrada</v>
      </c>
      <c r="V2287" s="5" t="str">
        <f t="shared" si="1183"/>
        <v>Dado para reforçar:  barra.dobrada  Deve ser formatado como (rdfs:Literal  or  xsd:string)</v>
      </c>
      <c r="W2287" s="38" t="s">
        <v>6835</v>
      </c>
      <c r="X2287" s="17" t="str">
        <f t="shared" si="1135"/>
        <v>d.refor.105</v>
      </c>
      <c r="Y2287" s="17" t="str">
        <f t="shared" si="1136"/>
        <v>Ação de reforçar</v>
      </c>
      <c r="Z2287" s="62" t="s">
        <v>6886</v>
      </c>
      <c r="AA2287" s="18" t="str">
        <f t="shared" si="1184"/>
        <v>categoria.revit</v>
      </c>
      <c r="AB2287" s="19" t="s">
        <v>2142</v>
      </c>
      <c r="AC2287" s="18" t="str">
        <f t="shared" si="1185"/>
        <v>classe.ifc</v>
      </c>
      <c r="AD2287" s="19" t="s">
        <v>2093</v>
      </c>
      <c r="AE2287" s="18" t="str">
        <f t="shared" si="1186"/>
        <v>propriedade</v>
      </c>
      <c r="AF2287" s="75" t="s">
        <v>6854</v>
      </c>
      <c r="AG2287" s="38" t="s">
        <v>9204</v>
      </c>
    </row>
    <row r="2288" spans="1:33" ht="6" customHeight="1" x14ac:dyDescent="0.4">
      <c r="A2288" s="4">
        <f>ROW()</f>
        <v>2288</v>
      </c>
      <c r="B2288" s="9" t="s">
        <v>27</v>
      </c>
      <c r="C2288" s="44" t="str">
        <f t="shared" si="1187"/>
        <v>p.reforçar</v>
      </c>
      <c r="D2288" s="6" t="str">
        <f t="shared" si="1181"/>
        <v>é.barra.gancho.135</v>
      </c>
      <c r="E2288" s="8" t="s">
        <v>28</v>
      </c>
      <c r="F2288" s="34" t="str">
        <f t="shared" si="1188"/>
        <v>d.reforçar</v>
      </c>
      <c r="G2288" s="13" t="s">
        <v>6847</v>
      </c>
      <c r="H2288" s="33" t="s">
        <v>1581</v>
      </c>
      <c r="I2288" s="92" t="str">
        <f t="shared" si="1189"/>
        <v>null</v>
      </c>
      <c r="J2288" s="80" t="s">
        <v>0</v>
      </c>
      <c r="K2288" s="80" t="s">
        <v>0</v>
      </c>
      <c r="L2288" s="80" t="s">
        <v>0</v>
      </c>
      <c r="M2288" s="80" t="s">
        <v>0</v>
      </c>
      <c r="N2288" s="80" t="s">
        <v>0</v>
      </c>
      <c r="O2288" s="80" t="s">
        <v>0</v>
      </c>
      <c r="P2288" s="80" t="s">
        <v>0</v>
      </c>
      <c r="Q2288" s="80" t="s">
        <v>0</v>
      </c>
      <c r="R2288" s="84" t="s">
        <v>0</v>
      </c>
      <c r="S2288" s="10" t="s">
        <v>1</v>
      </c>
      <c r="T2288" s="10" t="s">
        <v>10221</v>
      </c>
      <c r="U2288" s="5" t="str">
        <f t="shared" si="1182"/>
        <v>Propriedade destinada a reforçar: é.barra.gancho.135</v>
      </c>
      <c r="V2288" s="5" t="str">
        <f t="shared" si="1183"/>
        <v>Dado para reforçar:  barra.gancho.135  Deve ser formatado como (rdfs:Literal  or  xsd:string)</v>
      </c>
      <c r="W2288" s="38" t="s">
        <v>6837</v>
      </c>
      <c r="X2288" s="17" t="str">
        <f t="shared" si="1135"/>
        <v>d.refor.106</v>
      </c>
      <c r="Y2288" s="17" t="str">
        <f t="shared" si="1136"/>
        <v>Ação de reforçar</v>
      </c>
      <c r="Z2288" s="62" t="s">
        <v>6887</v>
      </c>
      <c r="AA2288" s="18" t="str">
        <f t="shared" si="1184"/>
        <v>categoria.revit</v>
      </c>
      <c r="AB2288" s="19" t="s">
        <v>2142</v>
      </c>
      <c r="AC2288" s="18" t="str">
        <f t="shared" si="1185"/>
        <v>classe.ifc</v>
      </c>
      <c r="AD2288" s="19" t="s">
        <v>2093</v>
      </c>
      <c r="AE2288" s="18" t="str">
        <f t="shared" si="1186"/>
        <v>propriedade</v>
      </c>
      <c r="AF2288" s="75" t="s">
        <v>6854</v>
      </c>
      <c r="AG2288" s="38" t="s">
        <v>9205</v>
      </c>
    </row>
    <row r="2289" spans="1:33" ht="6" customHeight="1" x14ac:dyDescent="0.4">
      <c r="A2289" s="4">
        <f>ROW()</f>
        <v>2289</v>
      </c>
      <c r="B2289" s="9" t="s">
        <v>27</v>
      </c>
      <c r="C2289" s="44" t="str">
        <f t="shared" si="1187"/>
        <v>p.reforçar</v>
      </c>
      <c r="D2289" s="6" t="str">
        <f t="shared" si="1181"/>
        <v>é.barra.gancho.180</v>
      </c>
      <c r="E2289" s="8" t="s">
        <v>28</v>
      </c>
      <c r="F2289" s="34" t="str">
        <f t="shared" si="1188"/>
        <v>d.reforçar</v>
      </c>
      <c r="G2289" s="13" t="s">
        <v>6848</v>
      </c>
      <c r="H2289" s="33" t="s">
        <v>1581</v>
      </c>
      <c r="I2289" s="92" t="str">
        <f t="shared" si="1189"/>
        <v>null</v>
      </c>
      <c r="J2289" s="80" t="s">
        <v>0</v>
      </c>
      <c r="K2289" s="80" t="s">
        <v>0</v>
      </c>
      <c r="L2289" s="80" t="s">
        <v>0</v>
      </c>
      <c r="M2289" s="80" t="s">
        <v>0</v>
      </c>
      <c r="N2289" s="80" t="s">
        <v>0</v>
      </c>
      <c r="O2289" s="80" t="s">
        <v>0</v>
      </c>
      <c r="P2289" s="80" t="s">
        <v>0</v>
      </c>
      <c r="Q2289" s="80" t="s">
        <v>0</v>
      </c>
      <c r="R2289" s="84" t="s">
        <v>0</v>
      </c>
      <c r="S2289" s="10" t="s">
        <v>1</v>
      </c>
      <c r="T2289" s="10" t="s">
        <v>10221</v>
      </c>
      <c r="U2289" s="5" t="str">
        <f t="shared" si="1182"/>
        <v>Propriedade destinada a reforçar: é.barra.gancho.180</v>
      </c>
      <c r="V2289" s="5" t="str">
        <f t="shared" si="1183"/>
        <v>Dado para reforçar:  barra.gancho.180  Deve ser formatado como (rdfs:Literal  or  xsd:string)</v>
      </c>
      <c r="W2289" s="38" t="s">
        <v>6838</v>
      </c>
      <c r="X2289" s="17" t="str">
        <f t="shared" si="1135"/>
        <v>d.refor.107</v>
      </c>
      <c r="Y2289" s="17" t="str">
        <f t="shared" si="1136"/>
        <v>Ação de reforçar</v>
      </c>
      <c r="Z2289" s="62" t="s">
        <v>6888</v>
      </c>
      <c r="AA2289" s="18" t="str">
        <f t="shared" si="1184"/>
        <v>categoria.revit</v>
      </c>
      <c r="AB2289" s="19" t="s">
        <v>2142</v>
      </c>
      <c r="AC2289" s="18" t="str">
        <f t="shared" si="1185"/>
        <v>classe.ifc</v>
      </c>
      <c r="AD2289" s="19" t="s">
        <v>2093</v>
      </c>
      <c r="AE2289" s="18" t="str">
        <f t="shared" si="1186"/>
        <v>propriedade</v>
      </c>
      <c r="AF2289" s="75" t="s">
        <v>6854</v>
      </c>
      <c r="AG2289" s="38" t="s">
        <v>9206</v>
      </c>
    </row>
    <row r="2290" spans="1:33" ht="6" customHeight="1" x14ac:dyDescent="0.4">
      <c r="A2290" s="4">
        <f>ROW()</f>
        <v>2290</v>
      </c>
      <c r="B2290" s="9" t="s">
        <v>27</v>
      </c>
      <c r="C2290" s="44" t="str">
        <f t="shared" si="1187"/>
        <v>p.reforçar</v>
      </c>
      <c r="D2290" s="6" t="str">
        <f t="shared" si="1181"/>
        <v>é.barra.gancho.090</v>
      </c>
      <c r="E2290" s="8" t="s">
        <v>28</v>
      </c>
      <c r="F2290" s="34" t="str">
        <f t="shared" si="1188"/>
        <v>d.reforçar</v>
      </c>
      <c r="G2290" s="13" t="s">
        <v>6861</v>
      </c>
      <c r="H2290" s="33" t="s">
        <v>1581</v>
      </c>
      <c r="I2290" s="92" t="str">
        <f t="shared" si="1189"/>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si="1182"/>
        <v>Propriedade destinada a reforçar: é.barra.gancho.090</v>
      </c>
      <c r="V2290" s="5" t="str">
        <f t="shared" si="1183"/>
        <v>Dado para reforçar:  barra.gancho.090  Deve ser formatado como (rdfs:Literal  or  xsd:string)</v>
      </c>
      <c r="W2290" s="38" t="s">
        <v>6836</v>
      </c>
      <c r="X2290" s="17" t="str">
        <f t="shared" si="1135"/>
        <v>d.refor.108</v>
      </c>
      <c r="Y2290" s="17" t="str">
        <f t="shared" si="1136"/>
        <v>Ação de reforçar</v>
      </c>
      <c r="Z2290" s="62" t="s">
        <v>6889</v>
      </c>
      <c r="AA2290" s="18" t="str">
        <f t="shared" si="1184"/>
        <v>categoria.revit</v>
      </c>
      <c r="AB2290" s="19" t="s">
        <v>2142</v>
      </c>
      <c r="AC2290" s="18" t="str">
        <f t="shared" si="1185"/>
        <v>classe.ifc</v>
      </c>
      <c r="AD2290" s="19" t="s">
        <v>2093</v>
      </c>
      <c r="AE2290" s="18" t="str">
        <f t="shared" si="1186"/>
        <v>propriedade</v>
      </c>
      <c r="AF2290" s="75" t="s">
        <v>6854</v>
      </c>
      <c r="AG2290" s="38" t="s">
        <v>9207</v>
      </c>
    </row>
    <row r="2291" spans="1:33" ht="6" customHeight="1" x14ac:dyDescent="0.4">
      <c r="A2291" s="4">
        <f>ROW()</f>
        <v>2291</v>
      </c>
      <c r="B2291" s="9" t="s">
        <v>27</v>
      </c>
      <c r="C2291" s="44" t="str">
        <f t="shared" si="1187"/>
        <v>p.reforçar</v>
      </c>
      <c r="D2291" s="6" t="str">
        <f t="shared" ref="D2291" si="1190">_xlfn.CONCAT("é.",G2291)</f>
        <v>é.barra.reta</v>
      </c>
      <c r="E2291" s="8" t="s">
        <v>28</v>
      </c>
      <c r="F2291" s="34" t="str">
        <f t="shared" si="1188"/>
        <v>d.reforçar</v>
      </c>
      <c r="G2291" s="13" t="s">
        <v>6845</v>
      </c>
      <c r="H2291" s="33" t="s">
        <v>1581</v>
      </c>
      <c r="I2291" s="92" t="str">
        <f t="shared" si="1189"/>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ref="U2291" si="1191">_xlfn.CONCAT("Propriedade destinada a ",MID(C2291,FIND("p.",C2291,1)+2,100),": ",D2291)</f>
        <v>Propriedade destinada a reforçar: é.barra.reta</v>
      </c>
      <c r="V2291" s="5" t="str">
        <f t="shared" ref="V2291" si="1192">_xlfn.CONCAT("Dado para ",MID(F2291,FIND("d.",F2291,1)+2,100),":  ",G2291, "  Deve ser formatado como (",H2291, ")")</f>
        <v>Dado para reforçar:  barra.reta  Deve ser formatado como (rdfs:Literal  or  xsd:string)</v>
      </c>
      <c r="W2291" s="38" t="s">
        <v>6834</v>
      </c>
      <c r="X2291" s="17" t="str">
        <f t="shared" si="1135"/>
        <v>d.refor.109</v>
      </c>
      <c r="Y2291" s="17" t="str">
        <f t="shared" si="1136"/>
        <v>Ação de reforçar</v>
      </c>
      <c r="Z2291" s="62" t="s">
        <v>6890</v>
      </c>
      <c r="AA2291" s="18" t="str">
        <f t="shared" ref="AA2291" si="1193">IF(AB2291="null", "null", "categoria.revit")</f>
        <v>categoria.revit</v>
      </c>
      <c r="AB2291" s="19" t="s">
        <v>2142</v>
      </c>
      <c r="AC2291" s="18" t="str">
        <f t="shared" ref="AC2291" si="1194">IF(AD2291="null", "null", "classe.ifc")</f>
        <v>classe.ifc</v>
      </c>
      <c r="AD2291" s="19" t="s">
        <v>2093</v>
      </c>
      <c r="AE2291" s="18" t="str">
        <f t="shared" ref="AE2291" si="1195">IF(AF2291="null", "null", "propriedade")</f>
        <v>propriedade</v>
      </c>
      <c r="AF2291" s="75" t="s">
        <v>6854</v>
      </c>
      <c r="AG2291" s="38" t="s">
        <v>9208</v>
      </c>
    </row>
    <row r="2292" spans="1:33" ht="6" customHeight="1" x14ac:dyDescent="0.4">
      <c r="A2292" s="4">
        <f>ROW()</f>
        <v>2292</v>
      </c>
      <c r="B2292" s="9" t="s">
        <v>27</v>
      </c>
      <c r="C2292" s="44" t="str">
        <f t="shared" si="1187"/>
        <v>p.reforçar</v>
      </c>
      <c r="D2292" s="6" t="str">
        <f>_xlfn.CONCAT("é.",G2292)</f>
        <v>é.estribo.circular</v>
      </c>
      <c r="E2292" s="8" t="s">
        <v>28</v>
      </c>
      <c r="F2292" s="34" t="str">
        <f t="shared" si="1188"/>
        <v>d.reforçar</v>
      </c>
      <c r="G2292" s="13" t="s">
        <v>6852</v>
      </c>
      <c r="H2292" s="33" t="s">
        <v>1581</v>
      </c>
      <c r="I2292" s="92" t="str">
        <f t="shared" si="1189"/>
        <v>null</v>
      </c>
      <c r="J2292" s="80" t="s">
        <v>0</v>
      </c>
      <c r="K2292" s="80" t="s">
        <v>0</v>
      </c>
      <c r="L2292" s="80" t="s">
        <v>0</v>
      </c>
      <c r="M2292" s="80" t="s">
        <v>0</v>
      </c>
      <c r="N2292" s="80" t="s">
        <v>0</v>
      </c>
      <c r="O2292" s="80" t="s">
        <v>0</v>
      </c>
      <c r="P2292" s="80" t="s">
        <v>0</v>
      </c>
      <c r="Q2292" s="80" t="s">
        <v>0</v>
      </c>
      <c r="R2292" s="84" t="s">
        <v>0</v>
      </c>
      <c r="S2292" s="10" t="s">
        <v>1</v>
      </c>
      <c r="T2292" s="10" t="s">
        <v>10221</v>
      </c>
      <c r="U2292" s="5" t="str">
        <f>_xlfn.CONCAT("Propriedade destinada a ",MID(C2292,FIND("p.",C2292,1)+2,100),": ",D2292)</f>
        <v>Propriedade destinada a reforçar: é.estribo.circular</v>
      </c>
      <c r="V2292" s="5" t="str">
        <f>_xlfn.CONCAT("Dado para ",MID(F2292,FIND("d.",F2292,1)+2,100),":  ",G2292, "  Deve ser formatado como (",H2292, ")")</f>
        <v>Dado para reforçar:  estribo.circular  Deve ser formatado como (rdfs:Literal  or  xsd:string)</v>
      </c>
      <c r="W2292" s="38" t="s">
        <v>6842</v>
      </c>
      <c r="X2292" s="17" t="str">
        <f t="shared" si="1135"/>
        <v>d.refor.110</v>
      </c>
      <c r="Y2292" s="17" t="str">
        <f t="shared" si="1136"/>
        <v>Ação de reforçar</v>
      </c>
      <c r="Z2292" s="62" t="s">
        <v>6891</v>
      </c>
      <c r="AA2292" s="18" t="str">
        <f t="shared" ref="AA2292:AA2300" si="1196">IF(AB2292="null", "null", "categoria.revit")</f>
        <v>categoria.revit</v>
      </c>
      <c r="AB2292" s="19" t="s">
        <v>2142</v>
      </c>
      <c r="AC2292" s="18" t="str">
        <f t="shared" ref="AC2292:AC2300" si="1197">IF(AD2292="null", "null", "classe.ifc")</f>
        <v>classe.ifc</v>
      </c>
      <c r="AD2292" s="19" t="s">
        <v>2093</v>
      </c>
      <c r="AE2292" s="18" t="str">
        <f>IF(AF2292="null", "null", "propriedade")</f>
        <v>propriedade</v>
      </c>
      <c r="AF2292" s="75" t="s">
        <v>6854</v>
      </c>
      <c r="AG2292" s="38" t="s">
        <v>9209</v>
      </c>
    </row>
    <row r="2293" spans="1:33" ht="6" customHeight="1" x14ac:dyDescent="0.4">
      <c r="A2293" s="4">
        <f>ROW()</f>
        <v>2293</v>
      </c>
      <c r="B2293" s="9" t="s">
        <v>27</v>
      </c>
      <c r="C2293" s="44" t="str">
        <f t="shared" si="1187"/>
        <v>p.reforçar</v>
      </c>
      <c r="D2293" s="6" t="str">
        <f>_xlfn.CONCAT("é.",G2293)</f>
        <v>é.estribo.quadrado</v>
      </c>
      <c r="E2293" s="8" t="s">
        <v>28</v>
      </c>
      <c r="F2293" s="34" t="str">
        <f t="shared" si="1188"/>
        <v>d.reforçar</v>
      </c>
      <c r="G2293" s="13" t="s">
        <v>6851</v>
      </c>
      <c r="H2293" s="33" t="s">
        <v>1581</v>
      </c>
      <c r="I2293" s="92" t="str">
        <f t="shared" si="1189"/>
        <v>null</v>
      </c>
      <c r="J2293" s="80" t="s">
        <v>0</v>
      </c>
      <c r="K2293" s="80" t="s">
        <v>0</v>
      </c>
      <c r="L2293" s="80" t="s">
        <v>0</v>
      </c>
      <c r="M2293" s="80" t="s">
        <v>0</v>
      </c>
      <c r="N2293" s="80" t="s">
        <v>0</v>
      </c>
      <c r="O2293" s="80" t="s">
        <v>0</v>
      </c>
      <c r="P2293" s="80" t="s">
        <v>0</v>
      </c>
      <c r="Q2293" s="80" t="s">
        <v>0</v>
      </c>
      <c r="R2293" s="84" t="s">
        <v>0</v>
      </c>
      <c r="S2293" s="10" t="s">
        <v>1</v>
      </c>
      <c r="T2293" s="10" t="s">
        <v>10221</v>
      </c>
      <c r="U2293" s="5" t="str">
        <f>_xlfn.CONCAT("Propriedade destinada a ",MID(C2293,FIND("p.",C2293,1)+2,100),": ",D2293)</f>
        <v>Propriedade destinada a reforçar: é.estribo.quadrado</v>
      </c>
      <c r="V2293" s="5" t="str">
        <f>_xlfn.CONCAT("Dado para ",MID(F2293,FIND("d.",F2293,1)+2,100),":  ",G2293, "  Deve ser formatado como (",H2293, ")")</f>
        <v>Dado para reforçar:  estribo.quadrado  Deve ser formatado como (rdfs:Literal  or  xsd:string)</v>
      </c>
      <c r="W2293" s="38" t="s">
        <v>6841</v>
      </c>
      <c r="X2293" s="17" t="str">
        <f t="shared" si="1135"/>
        <v>d.refor.111</v>
      </c>
      <c r="Y2293" s="17" t="str">
        <f t="shared" si="1136"/>
        <v>Ação de reforçar</v>
      </c>
      <c r="Z2293" s="62" t="s">
        <v>6892</v>
      </c>
      <c r="AA2293" s="18" t="str">
        <f t="shared" si="1196"/>
        <v>categoria.revit</v>
      </c>
      <c r="AB2293" s="19" t="s">
        <v>2142</v>
      </c>
      <c r="AC2293" s="18" t="str">
        <f t="shared" si="1197"/>
        <v>classe.ifc</v>
      </c>
      <c r="AD2293" s="19" t="s">
        <v>2093</v>
      </c>
      <c r="AE2293" s="18" t="str">
        <f>IF(AF2293="null", "null", "propriedade")</f>
        <v>propriedade</v>
      </c>
      <c r="AF2293" s="75" t="s">
        <v>6854</v>
      </c>
      <c r="AG2293" s="38" t="s">
        <v>9210</v>
      </c>
    </row>
    <row r="2294" spans="1:33" ht="6" customHeight="1" x14ac:dyDescent="0.4">
      <c r="A2294" s="4">
        <f>ROW()</f>
        <v>2294</v>
      </c>
      <c r="B2294" s="9" t="s">
        <v>27</v>
      </c>
      <c r="C2294" s="44" t="str">
        <f t="shared" si="1187"/>
        <v>p.reforçar</v>
      </c>
      <c r="D2294" s="6" t="str">
        <f>_xlfn.CONCAT("é.",G2294)</f>
        <v>é.estribo.retangular.135</v>
      </c>
      <c r="E2294" s="8" t="s">
        <v>28</v>
      </c>
      <c r="F2294" s="34" t="str">
        <f t="shared" si="1188"/>
        <v>d.reforçar</v>
      </c>
      <c r="G2294" s="13" t="s">
        <v>6849</v>
      </c>
      <c r="H2294" s="33" t="s">
        <v>1581</v>
      </c>
      <c r="I2294" s="92" t="str">
        <f t="shared" si="1189"/>
        <v>null</v>
      </c>
      <c r="J2294" s="80" t="s">
        <v>0</v>
      </c>
      <c r="K2294" s="80" t="s">
        <v>0</v>
      </c>
      <c r="L2294" s="80" t="s">
        <v>0</v>
      </c>
      <c r="M2294" s="80" t="s">
        <v>0</v>
      </c>
      <c r="N2294" s="80" t="s">
        <v>0</v>
      </c>
      <c r="O2294" s="80" t="s">
        <v>0</v>
      </c>
      <c r="P2294" s="80" t="s">
        <v>0</v>
      </c>
      <c r="Q2294" s="80" t="s">
        <v>0</v>
      </c>
      <c r="R2294" s="84" t="s">
        <v>0</v>
      </c>
      <c r="S2294" s="10" t="s">
        <v>1</v>
      </c>
      <c r="T2294" s="10" t="s">
        <v>10221</v>
      </c>
      <c r="U2294" s="5" t="str">
        <f>_xlfn.CONCAT("Propriedade destinada a ",MID(C2294,FIND("p.",C2294,1)+2,100),": ",D2294)</f>
        <v>Propriedade destinada a reforçar: é.estribo.retangular.135</v>
      </c>
      <c r="V2294" s="5" t="str">
        <f>_xlfn.CONCAT("Dado para ",MID(F2294,FIND("d.",F2294,1)+2,100),":  ",G2294, "  Deve ser formatado como (",H2294, ")")</f>
        <v>Dado para reforçar:  estribo.retangular.135  Deve ser formatado como (rdfs:Literal  or  xsd:string)</v>
      </c>
      <c r="W2294" s="38" t="s">
        <v>6839</v>
      </c>
      <c r="X2294" s="17" t="str">
        <f t="shared" si="1135"/>
        <v>d.refor.112</v>
      </c>
      <c r="Y2294" s="17" t="str">
        <f t="shared" si="1136"/>
        <v>Ação de reforçar</v>
      </c>
      <c r="Z2294" s="62" t="s">
        <v>6893</v>
      </c>
      <c r="AA2294" s="18" t="str">
        <f t="shared" si="1196"/>
        <v>categoria.revit</v>
      </c>
      <c r="AB2294" s="19" t="s">
        <v>2142</v>
      </c>
      <c r="AC2294" s="18" t="str">
        <f t="shared" si="1197"/>
        <v>classe.ifc</v>
      </c>
      <c r="AD2294" s="19" t="s">
        <v>2093</v>
      </c>
      <c r="AE2294" s="18" t="str">
        <f>IF(AF2294="null", "null", "propriedade")</f>
        <v>propriedade</v>
      </c>
      <c r="AF2294" s="75" t="s">
        <v>6854</v>
      </c>
      <c r="AG2294" s="38" t="s">
        <v>9211</v>
      </c>
    </row>
    <row r="2295" spans="1:33" ht="6" customHeight="1" x14ac:dyDescent="0.4">
      <c r="A2295" s="4">
        <f>ROW()</f>
        <v>2295</v>
      </c>
      <c r="B2295" s="9" t="s">
        <v>27</v>
      </c>
      <c r="C2295" s="44" t="str">
        <f t="shared" si="1187"/>
        <v>p.reforçar</v>
      </c>
      <c r="D2295" s="6" t="str">
        <f>_xlfn.CONCAT("é.",G2295)</f>
        <v>é.estribo.retangular.180</v>
      </c>
      <c r="E2295" s="8" t="s">
        <v>28</v>
      </c>
      <c r="F2295" s="34" t="str">
        <f t="shared" si="1188"/>
        <v>d.reforçar</v>
      </c>
      <c r="G2295" s="13" t="s">
        <v>6850</v>
      </c>
      <c r="H2295" s="33" t="s">
        <v>1581</v>
      </c>
      <c r="I2295" s="92" t="str">
        <f t="shared" si="1189"/>
        <v>null</v>
      </c>
      <c r="J2295" s="80" t="s">
        <v>0</v>
      </c>
      <c r="K2295" s="80" t="s">
        <v>0</v>
      </c>
      <c r="L2295" s="80" t="s">
        <v>0</v>
      </c>
      <c r="M2295" s="80" t="s">
        <v>0</v>
      </c>
      <c r="N2295" s="80" t="s">
        <v>0</v>
      </c>
      <c r="O2295" s="80" t="s">
        <v>0</v>
      </c>
      <c r="P2295" s="80" t="s">
        <v>0</v>
      </c>
      <c r="Q2295" s="80" t="s">
        <v>0</v>
      </c>
      <c r="R2295" s="84" t="s">
        <v>0</v>
      </c>
      <c r="S2295" s="10" t="s">
        <v>1</v>
      </c>
      <c r="T2295" s="10" t="s">
        <v>10221</v>
      </c>
      <c r="U2295" s="5" t="str">
        <f>_xlfn.CONCAT("Propriedade destinada a ",MID(C2295,FIND("p.",C2295,1)+2,100),": ",D2295)</f>
        <v>Propriedade destinada a reforçar: é.estribo.retangular.180</v>
      </c>
      <c r="V2295" s="5" t="str">
        <f>_xlfn.CONCAT("Dado para ",MID(F2295,FIND("d.",F2295,1)+2,100),":  ",G2295, "  Deve ser formatado como (",H2295, ")")</f>
        <v>Dado para reforçar:  estribo.retangular.180  Deve ser formatado como (rdfs:Literal  or  xsd:string)</v>
      </c>
      <c r="W2295" s="38" t="s">
        <v>6840</v>
      </c>
      <c r="X2295" s="17" t="str">
        <f t="shared" si="1135"/>
        <v>d.refor.113</v>
      </c>
      <c r="Y2295" s="17" t="str">
        <f t="shared" si="1136"/>
        <v>Ação de reforçar</v>
      </c>
      <c r="Z2295" s="62" t="s">
        <v>6894</v>
      </c>
      <c r="AA2295" s="18" t="str">
        <f t="shared" si="1196"/>
        <v>categoria.revit</v>
      </c>
      <c r="AB2295" s="19" t="s">
        <v>2142</v>
      </c>
      <c r="AC2295" s="18" t="str">
        <f t="shared" si="1197"/>
        <v>classe.ifc</v>
      </c>
      <c r="AD2295" s="19" t="s">
        <v>2093</v>
      </c>
      <c r="AE2295" s="18" t="str">
        <f>IF(AF2295="null", "null", "propriedade")</f>
        <v>propriedade</v>
      </c>
      <c r="AF2295" s="75" t="s">
        <v>6854</v>
      </c>
      <c r="AG2295" s="38" t="s">
        <v>9212</v>
      </c>
    </row>
    <row r="2296" spans="1:33" ht="6" customHeight="1" x14ac:dyDescent="0.4">
      <c r="A2296" s="4">
        <f>ROW()</f>
        <v>2296</v>
      </c>
      <c r="B2296" s="9" t="s">
        <v>27</v>
      </c>
      <c r="C2296" s="44" t="str">
        <f t="shared" si="1187"/>
        <v>p.reforçar</v>
      </c>
      <c r="D2296" s="6" t="str">
        <f>_xlfn.CONCAT("é.",G2296)</f>
        <v>é.estribo.u.ganchos.135</v>
      </c>
      <c r="E2296" s="8" t="s">
        <v>28</v>
      </c>
      <c r="F2296" s="34" t="str">
        <f t="shared" si="1188"/>
        <v>d.reforçar</v>
      </c>
      <c r="G2296" s="13" t="s">
        <v>6853</v>
      </c>
      <c r="H2296" s="33" t="s">
        <v>1581</v>
      </c>
      <c r="I2296" s="92" t="str">
        <f t="shared" si="1189"/>
        <v>null</v>
      </c>
      <c r="J2296" s="80" t="s">
        <v>0</v>
      </c>
      <c r="K2296" s="80" t="s">
        <v>0</v>
      </c>
      <c r="L2296" s="80" t="s">
        <v>0</v>
      </c>
      <c r="M2296" s="80" t="s">
        <v>0</v>
      </c>
      <c r="N2296" s="80" t="s">
        <v>0</v>
      </c>
      <c r="O2296" s="80" t="s">
        <v>0</v>
      </c>
      <c r="P2296" s="80" t="s">
        <v>0</v>
      </c>
      <c r="Q2296" s="80" t="s">
        <v>0</v>
      </c>
      <c r="R2296" s="84" t="s">
        <v>0</v>
      </c>
      <c r="S2296" s="10" t="s">
        <v>1</v>
      </c>
      <c r="T2296" s="10" t="s">
        <v>10221</v>
      </c>
      <c r="U2296" s="5" t="str">
        <f>_xlfn.CONCAT("Propriedade destinada a ",MID(C2296,FIND("p.",C2296,1)+2,100),": ",D2296)</f>
        <v>Propriedade destinada a reforçar: é.estribo.u.ganchos.135</v>
      </c>
      <c r="V2296" s="5" t="str">
        <f>_xlfn.CONCAT("Dado para ",MID(F2296,FIND("d.",F2296,1)+2,100),":  ",G2296, "  Deve ser formatado como (",H2296, ")")</f>
        <v>Dado para reforçar:  estribo.u.ganchos.135  Deve ser formatado como (rdfs:Literal  or  xsd:string)</v>
      </c>
      <c r="W2296" s="38" t="s">
        <v>6843</v>
      </c>
      <c r="X2296" s="17" t="str">
        <f t="shared" si="1135"/>
        <v>d.refor.114</v>
      </c>
      <c r="Y2296" s="17" t="str">
        <f t="shared" si="1136"/>
        <v>Ação de reforçar</v>
      </c>
      <c r="Z2296" s="62" t="s">
        <v>6895</v>
      </c>
      <c r="AA2296" s="18" t="str">
        <f t="shared" si="1196"/>
        <v>categoria.revit</v>
      </c>
      <c r="AB2296" s="19" t="s">
        <v>2142</v>
      </c>
      <c r="AC2296" s="18" t="str">
        <f t="shared" si="1197"/>
        <v>classe.ifc</v>
      </c>
      <c r="AD2296" s="19" t="s">
        <v>2093</v>
      </c>
      <c r="AE2296" s="18" t="str">
        <f>IF(AF2296="null", "null", "propriedade")</f>
        <v>propriedade</v>
      </c>
      <c r="AF2296" s="75" t="s">
        <v>6854</v>
      </c>
      <c r="AG2296" s="38" t="s">
        <v>9213</v>
      </c>
    </row>
    <row r="2297" spans="1:33" ht="6" customHeight="1" x14ac:dyDescent="0.4">
      <c r="A2297" s="4">
        <f>ROW()</f>
        <v>2297</v>
      </c>
      <c r="B2297" s="9" t="s">
        <v>27</v>
      </c>
      <c r="C2297" s="43" t="str">
        <f t="shared" si="1159"/>
        <v>p.relacionar</v>
      </c>
      <c r="D2297" s="6" t="str">
        <f t="shared" si="1160"/>
        <v>é.aplicada.para</v>
      </c>
      <c r="E2297" s="8" t="s">
        <v>28</v>
      </c>
      <c r="F2297" s="41" t="s">
        <v>2228</v>
      </c>
      <c r="G2297" s="14" t="s">
        <v>2580</v>
      </c>
      <c r="H2297" s="33" t="s">
        <v>1581</v>
      </c>
      <c r="I2297" s="92" t="str">
        <f t="shared" si="1189"/>
        <v>null</v>
      </c>
      <c r="J2297" s="82" t="s">
        <v>0</v>
      </c>
      <c r="K2297" s="82" t="s">
        <v>0</v>
      </c>
      <c r="L2297" s="82" t="s">
        <v>0</v>
      </c>
      <c r="M2297" s="82" t="s">
        <v>0</v>
      </c>
      <c r="N2297" s="80" t="s">
        <v>0</v>
      </c>
      <c r="O2297" s="82" t="s">
        <v>0</v>
      </c>
      <c r="P2297" s="82" t="s">
        <v>0</v>
      </c>
      <c r="Q2297" s="80" t="s">
        <v>0</v>
      </c>
      <c r="R2297" s="88" t="s">
        <v>2582</v>
      </c>
      <c r="S2297" s="10" t="s">
        <v>1</v>
      </c>
      <c r="T2297" s="10" t="s">
        <v>10221</v>
      </c>
      <c r="U2297" s="5" t="str">
        <f t="shared" si="1161"/>
        <v>Propriedade destinada a relacionar: é.aplicada.para</v>
      </c>
      <c r="V2297" s="5" t="str">
        <f t="shared" si="1162"/>
        <v>Dado para relacionar:  aplicada.para  Deve ser formatado como (rdfs:Literal  or  xsd:string)</v>
      </c>
      <c r="W2297" s="69" t="s">
        <v>6207</v>
      </c>
      <c r="X2297" s="17" t="str">
        <f t="shared" si="1135"/>
        <v>d.relac.100</v>
      </c>
      <c r="Y2297" s="17" t="str">
        <f t="shared" si="1136"/>
        <v>Ação de relacionar</v>
      </c>
      <c r="Z2297" s="62" t="s">
        <v>3443</v>
      </c>
      <c r="AA2297" s="18" t="str">
        <f t="shared" si="1196"/>
        <v>null</v>
      </c>
      <c r="AB2297" s="19" t="s">
        <v>0</v>
      </c>
      <c r="AC2297" s="18" t="str">
        <f t="shared" si="1197"/>
        <v>null</v>
      </c>
      <c r="AD2297" s="19" t="s">
        <v>0</v>
      </c>
      <c r="AE2297" s="18" t="str">
        <f t="shared" si="1165"/>
        <v>null</v>
      </c>
      <c r="AF2297" s="75" t="s">
        <v>0</v>
      </c>
      <c r="AG2297" s="38" t="s">
        <v>9214</v>
      </c>
    </row>
    <row r="2298" spans="1:33" ht="6" customHeight="1" x14ac:dyDescent="0.4">
      <c r="A2298" s="4">
        <f>ROW()</f>
        <v>2298</v>
      </c>
      <c r="B2298" s="9" t="s">
        <v>27</v>
      </c>
      <c r="C2298" s="44" t="str">
        <f>SUBSTITUTE(F2298,"d.","p.")</f>
        <v>p.relacionar</v>
      </c>
      <c r="D2298" s="6" t="str">
        <f t="shared" si="1160"/>
        <v>é.aplicado.para</v>
      </c>
      <c r="E2298" s="8" t="s">
        <v>28</v>
      </c>
      <c r="F2298" s="34" t="str">
        <f>F2297</f>
        <v>d.relacionar</v>
      </c>
      <c r="G2298" s="14" t="s">
        <v>936</v>
      </c>
      <c r="H2298" s="33" t="s">
        <v>1581</v>
      </c>
      <c r="I2298" s="92" t="str">
        <f t="shared" si="1189"/>
        <v>null</v>
      </c>
      <c r="J2298" s="82" t="s">
        <v>0</v>
      </c>
      <c r="K2298" s="82" t="s">
        <v>0</v>
      </c>
      <c r="L2298" s="82" t="s">
        <v>0</v>
      </c>
      <c r="M2298" s="82" t="s">
        <v>0</v>
      </c>
      <c r="N2298" s="80" t="s">
        <v>0</v>
      </c>
      <c r="O2298" s="82" t="s">
        <v>0</v>
      </c>
      <c r="P2298" s="82" t="s">
        <v>0</v>
      </c>
      <c r="Q2298" s="80" t="s">
        <v>0</v>
      </c>
      <c r="R2298" s="88" t="s">
        <v>2581</v>
      </c>
      <c r="S2298" s="10" t="s">
        <v>1</v>
      </c>
      <c r="T2298" s="10" t="s">
        <v>10221</v>
      </c>
      <c r="U2298" s="5" t="str">
        <f t="shared" si="1161"/>
        <v>Propriedade destinada a relacionar: é.aplicado.para</v>
      </c>
      <c r="V2298" s="5" t="str">
        <f t="shared" si="1162"/>
        <v>Dado para relacionar:  aplicado.para  Deve ser formatado como (rdfs:Literal  or  xsd:string)</v>
      </c>
      <c r="W2298" s="69" t="s">
        <v>6207</v>
      </c>
      <c r="X2298" s="17" t="str">
        <f t="shared" si="1135"/>
        <v>d.relac.101</v>
      </c>
      <c r="Y2298" s="17" t="str">
        <f t="shared" si="1136"/>
        <v>Ação de relacionar</v>
      </c>
      <c r="Z2298" s="62" t="s">
        <v>3443</v>
      </c>
      <c r="AA2298" s="18" t="str">
        <f t="shared" si="1196"/>
        <v>null</v>
      </c>
      <c r="AB2298" s="19" t="s">
        <v>0</v>
      </c>
      <c r="AC2298" s="18" t="str">
        <f t="shared" si="1197"/>
        <v>null</v>
      </c>
      <c r="AD2298" s="19" t="s">
        <v>0</v>
      </c>
      <c r="AE2298" s="18" t="str">
        <f t="shared" si="1165"/>
        <v>null</v>
      </c>
      <c r="AF2298" s="75" t="s">
        <v>0</v>
      </c>
      <c r="AG2298" s="38" t="s">
        <v>9214</v>
      </c>
    </row>
    <row r="2299" spans="1:33" ht="6" customHeight="1" x14ac:dyDescent="0.4">
      <c r="A2299" s="4">
        <f>ROW()</f>
        <v>2299</v>
      </c>
      <c r="B2299" s="9" t="s">
        <v>27</v>
      </c>
      <c r="C2299" s="44" t="str">
        <f>SUBSTITUTE(F2299,"d.","p.")</f>
        <v>p.relacionar</v>
      </c>
      <c r="D2299" s="6" t="str">
        <f t="shared" si="1160"/>
        <v>é.articulada.com</v>
      </c>
      <c r="E2299" s="8" t="s">
        <v>28</v>
      </c>
      <c r="F2299" s="34" t="str">
        <f t="shared" ref="F2299:F2303" si="1198">F2298</f>
        <v>d.relacionar</v>
      </c>
      <c r="G2299" s="14" t="s">
        <v>2583</v>
      </c>
      <c r="H2299" s="33" t="s">
        <v>1581</v>
      </c>
      <c r="I2299" s="92" t="str">
        <f t="shared" si="1189"/>
        <v>null</v>
      </c>
      <c r="J2299" s="82" t="s">
        <v>0</v>
      </c>
      <c r="K2299" s="82" t="s">
        <v>0</v>
      </c>
      <c r="L2299" s="82" t="s">
        <v>0</v>
      </c>
      <c r="M2299" s="82" t="s">
        <v>0</v>
      </c>
      <c r="N2299" s="80" t="s">
        <v>0</v>
      </c>
      <c r="O2299" s="82" t="s">
        <v>0</v>
      </c>
      <c r="P2299" s="82" t="s">
        <v>0</v>
      </c>
      <c r="Q2299" s="82" t="s">
        <v>0</v>
      </c>
      <c r="R2299" s="84" t="s">
        <v>2589</v>
      </c>
      <c r="S2299" s="10" t="s">
        <v>1</v>
      </c>
      <c r="T2299" s="10" t="s">
        <v>10221</v>
      </c>
      <c r="U2299" s="5" t="str">
        <f t="shared" si="1161"/>
        <v>Propriedade destinada a relacionar: é.articulada.com</v>
      </c>
      <c r="V2299" s="5" t="str">
        <f t="shared" si="1162"/>
        <v>Dado para relacionar:  articulada.com  Deve ser formatado como (rdfs:Literal  or  xsd:string)</v>
      </c>
      <c r="W2299" s="69" t="s">
        <v>6208</v>
      </c>
      <c r="X2299" s="17" t="str">
        <f t="shared" si="1135"/>
        <v>d.relac.102</v>
      </c>
      <c r="Y2299" s="17" t="str">
        <f t="shared" si="1136"/>
        <v>Ação de relacionar</v>
      </c>
      <c r="Z2299" s="62" t="s">
        <v>3442</v>
      </c>
      <c r="AA2299" s="18" t="str">
        <f t="shared" si="1196"/>
        <v>null</v>
      </c>
      <c r="AB2299" s="19" t="s">
        <v>0</v>
      </c>
      <c r="AC2299" s="18" t="str">
        <f t="shared" si="1197"/>
        <v>null</v>
      </c>
      <c r="AD2299" s="19" t="s">
        <v>0</v>
      </c>
      <c r="AE2299" s="18" t="str">
        <f t="shared" si="1165"/>
        <v>null</v>
      </c>
      <c r="AF2299" s="75" t="s">
        <v>0</v>
      </c>
      <c r="AG2299" s="38" t="s">
        <v>9215</v>
      </c>
    </row>
    <row r="2300" spans="1:33" ht="6" customHeight="1" x14ac:dyDescent="0.4">
      <c r="A2300" s="4">
        <f>ROW()</f>
        <v>2300</v>
      </c>
      <c r="B2300" s="9" t="s">
        <v>27</v>
      </c>
      <c r="C2300" s="44" t="str">
        <f>SUBSTITUTE(F2300,"d.","p.")</f>
        <v>p.relacionar</v>
      </c>
      <c r="D2300" s="6" t="str">
        <f t="shared" si="1160"/>
        <v>é.articulado.com</v>
      </c>
      <c r="E2300" s="8" t="s">
        <v>28</v>
      </c>
      <c r="F2300" s="34" t="str">
        <f t="shared" ref="F2300" si="1199">F2299</f>
        <v>d.relacionar</v>
      </c>
      <c r="G2300" s="14" t="s">
        <v>938</v>
      </c>
      <c r="H2300" s="33" t="s">
        <v>1581</v>
      </c>
      <c r="I2300" s="92" t="str">
        <f t="shared" si="1189"/>
        <v>null</v>
      </c>
      <c r="J2300" s="82" t="s">
        <v>0</v>
      </c>
      <c r="K2300" s="82" t="s">
        <v>0</v>
      </c>
      <c r="L2300" s="82" t="s">
        <v>0</v>
      </c>
      <c r="M2300" s="82" t="s">
        <v>0</v>
      </c>
      <c r="N2300" s="80" t="s">
        <v>0</v>
      </c>
      <c r="O2300" s="82" t="s">
        <v>0</v>
      </c>
      <c r="P2300" s="82" t="s">
        <v>0</v>
      </c>
      <c r="Q2300" s="82" t="s">
        <v>0</v>
      </c>
      <c r="R2300" s="84" t="s">
        <v>2588</v>
      </c>
      <c r="S2300" s="10" t="s">
        <v>1</v>
      </c>
      <c r="T2300" s="10" t="s">
        <v>10221</v>
      </c>
      <c r="U2300" s="5" t="str">
        <f t="shared" si="1161"/>
        <v>Propriedade destinada a relacionar: é.articulado.com</v>
      </c>
      <c r="V2300" s="5" t="str">
        <f t="shared" si="1162"/>
        <v>Dado para relacionar:  articulado.com  Deve ser formatado como (rdfs:Literal  or  xsd:string)</v>
      </c>
      <c r="W2300" s="69" t="s">
        <v>6208</v>
      </c>
      <c r="X2300" s="17" t="str">
        <f t="shared" si="1135"/>
        <v>d.relac.103</v>
      </c>
      <c r="Y2300" s="17" t="str">
        <f t="shared" si="1136"/>
        <v>Ação de relacionar</v>
      </c>
      <c r="Z2300" s="62" t="s">
        <v>3442</v>
      </c>
      <c r="AA2300" s="18" t="str">
        <f t="shared" si="1196"/>
        <v>null</v>
      </c>
      <c r="AB2300" s="19" t="s">
        <v>0</v>
      </c>
      <c r="AC2300" s="18" t="str">
        <f t="shared" si="1197"/>
        <v>null</v>
      </c>
      <c r="AD2300" s="19" t="s">
        <v>0</v>
      </c>
      <c r="AE2300" s="18" t="str">
        <f t="shared" si="1165"/>
        <v>null</v>
      </c>
      <c r="AF2300" s="75" t="s">
        <v>0</v>
      </c>
      <c r="AG2300" s="38" t="s">
        <v>9215</v>
      </c>
    </row>
    <row r="2301" spans="1:33" ht="6" customHeight="1" x14ac:dyDescent="0.4">
      <c r="A2301" s="4">
        <f>ROW()</f>
        <v>2301</v>
      </c>
      <c r="B2301" s="9" t="s">
        <v>27</v>
      </c>
      <c r="C2301" s="44" t="str">
        <f t="shared" ref="C2301" si="1200">SUBSTITUTE(F2301,"d.","p.")</f>
        <v>p.relacionar</v>
      </c>
      <c r="D2301" s="6" t="str">
        <f t="shared" si="1160"/>
        <v>é.conectada.a</v>
      </c>
      <c r="E2301" s="8" t="s">
        <v>28</v>
      </c>
      <c r="F2301" s="34" t="str">
        <f>F2298</f>
        <v>d.relacionar</v>
      </c>
      <c r="G2301" s="14" t="s">
        <v>2584</v>
      </c>
      <c r="H2301" s="33" t="s">
        <v>1581</v>
      </c>
      <c r="I2301" s="92" t="str">
        <f t="shared" si="1189"/>
        <v>null</v>
      </c>
      <c r="J2301" s="82" t="s">
        <v>0</v>
      </c>
      <c r="K2301" s="82" t="s">
        <v>0</v>
      </c>
      <c r="L2301" s="82" t="s">
        <v>0</v>
      </c>
      <c r="M2301" s="82" t="s">
        <v>0</v>
      </c>
      <c r="N2301" s="80" t="s">
        <v>0</v>
      </c>
      <c r="O2301" s="82" t="s">
        <v>0</v>
      </c>
      <c r="P2301" s="82" t="s">
        <v>0</v>
      </c>
      <c r="Q2301" s="82" t="s">
        <v>0</v>
      </c>
      <c r="R2301" s="84" t="s">
        <v>2587</v>
      </c>
      <c r="S2301" s="10" t="s">
        <v>1</v>
      </c>
      <c r="T2301" s="10" t="s">
        <v>10221</v>
      </c>
      <c r="U2301" s="5" t="str">
        <f t="shared" si="1161"/>
        <v>Propriedade destinada a relacionar: é.conectada.a</v>
      </c>
      <c r="V2301" s="5" t="str">
        <f t="shared" si="1162"/>
        <v>Dado para relacionar:  conectada.a  Deve ser formatado como (rdfs:Literal  or  xsd:string)</v>
      </c>
      <c r="W2301" s="69" t="s">
        <v>6209</v>
      </c>
      <c r="X2301" s="17" t="str">
        <f t="shared" si="1135"/>
        <v>d.relac.104</v>
      </c>
      <c r="Y2301" s="17" t="str">
        <f t="shared" si="1136"/>
        <v>Ação de relacionar</v>
      </c>
      <c r="Z2301" s="62" t="s">
        <v>3441</v>
      </c>
      <c r="AA2301" s="18" t="str">
        <f t="shared" ref="AA2301" si="1201">IF(AB2301="null", "null", "categoria.revit")</f>
        <v>null</v>
      </c>
      <c r="AB2301" s="19" t="s">
        <v>0</v>
      </c>
      <c r="AC2301" s="18" t="str">
        <f t="shared" ref="AC2301" si="1202">IF(AD2301="null", "null", "classe.ifc")</f>
        <v>null</v>
      </c>
      <c r="AD2301" s="19" t="s">
        <v>0</v>
      </c>
      <c r="AE2301" s="18" t="str">
        <f t="shared" si="1165"/>
        <v>null</v>
      </c>
      <c r="AF2301" s="75" t="s">
        <v>0</v>
      </c>
      <c r="AG2301" s="38" t="s">
        <v>9216</v>
      </c>
    </row>
    <row r="2302" spans="1:33" ht="6" customHeight="1" x14ac:dyDescent="0.4">
      <c r="A2302" s="4">
        <f>ROW()</f>
        <v>2302</v>
      </c>
      <c r="B2302" s="9" t="s">
        <v>27</v>
      </c>
      <c r="C2302" s="44" t="str">
        <f t="shared" ref="C2302:C2303" si="1203">SUBSTITUTE(F2302,"d.","p.")</f>
        <v>p.relacionar</v>
      </c>
      <c r="D2302" s="6" t="str">
        <f t="shared" si="1160"/>
        <v>é.conectado.a</v>
      </c>
      <c r="E2302" s="8" t="s">
        <v>28</v>
      </c>
      <c r="F2302" s="34" t="str">
        <f>F2299</f>
        <v>d.relacionar</v>
      </c>
      <c r="G2302" s="14" t="s">
        <v>928</v>
      </c>
      <c r="H2302" s="33" t="s">
        <v>1581</v>
      </c>
      <c r="I2302" s="92" t="str">
        <f t="shared" si="1189"/>
        <v>null</v>
      </c>
      <c r="J2302" s="82" t="s">
        <v>0</v>
      </c>
      <c r="K2302" s="82" t="s">
        <v>0</v>
      </c>
      <c r="L2302" s="82" t="s">
        <v>0</v>
      </c>
      <c r="M2302" s="82" t="s">
        <v>0</v>
      </c>
      <c r="N2302" s="80" t="s">
        <v>0</v>
      </c>
      <c r="O2302" s="82" t="s">
        <v>0</v>
      </c>
      <c r="P2302" s="82" t="s">
        <v>0</v>
      </c>
      <c r="Q2302" s="82" t="s">
        <v>0</v>
      </c>
      <c r="R2302" s="84" t="s">
        <v>2586</v>
      </c>
      <c r="S2302" s="10" t="s">
        <v>1</v>
      </c>
      <c r="T2302" s="10" t="s">
        <v>10221</v>
      </c>
      <c r="U2302" s="5" t="str">
        <f t="shared" si="1161"/>
        <v>Propriedade destinada a relacionar: é.conectado.a</v>
      </c>
      <c r="V2302" s="5" t="str">
        <f t="shared" si="1162"/>
        <v>Dado para relacionar:  conectado.a  Deve ser formatado como (rdfs:Literal  or  xsd:string)</v>
      </c>
      <c r="W2302" s="69" t="s">
        <v>6209</v>
      </c>
      <c r="X2302" s="17" t="str">
        <f t="shared" si="1135"/>
        <v>d.relac.105</v>
      </c>
      <c r="Y2302" s="17" t="str">
        <f t="shared" si="1136"/>
        <v>Ação de relacionar</v>
      </c>
      <c r="Z2302" s="62" t="s">
        <v>3441</v>
      </c>
      <c r="AA2302" s="18" t="str">
        <f t="shared" ref="AA2302" si="1204">IF(AB2302="null", "null", "categoria.revit")</f>
        <v>null</v>
      </c>
      <c r="AB2302" s="19" t="s">
        <v>0</v>
      </c>
      <c r="AC2302" s="18" t="str">
        <f t="shared" ref="AC2302" si="1205">IF(AD2302="null", "null", "classe.ifc")</f>
        <v>null</v>
      </c>
      <c r="AD2302" s="19" t="s">
        <v>0</v>
      </c>
      <c r="AE2302" s="18" t="str">
        <f t="shared" si="1165"/>
        <v>null</v>
      </c>
      <c r="AF2302" s="75" t="s">
        <v>0</v>
      </c>
      <c r="AG2302" s="38" t="s">
        <v>9216</v>
      </c>
    </row>
    <row r="2303" spans="1:33" ht="6" customHeight="1" x14ac:dyDescent="0.4">
      <c r="A2303" s="4">
        <f>ROW()</f>
        <v>2303</v>
      </c>
      <c r="B2303" s="9" t="s">
        <v>27</v>
      </c>
      <c r="C2303" s="44" t="str">
        <f t="shared" si="1203"/>
        <v>p.relacionar</v>
      </c>
      <c r="D2303" s="6" t="str">
        <f t="shared" si="1160"/>
        <v>é.destino.de</v>
      </c>
      <c r="E2303" s="8" t="s">
        <v>28</v>
      </c>
      <c r="F2303" s="34" t="str">
        <f t="shared" si="1198"/>
        <v>d.relacionar</v>
      </c>
      <c r="G2303" s="14" t="s">
        <v>939</v>
      </c>
      <c r="H2303" s="33" t="s">
        <v>1581</v>
      </c>
      <c r="I2303" s="92" t="str">
        <f t="shared" si="1189"/>
        <v>null</v>
      </c>
      <c r="J2303" s="82" t="s">
        <v>0</v>
      </c>
      <c r="K2303" s="82" t="s">
        <v>0</v>
      </c>
      <c r="L2303" s="82" t="s">
        <v>0</v>
      </c>
      <c r="M2303" s="82" t="s">
        <v>0</v>
      </c>
      <c r="N2303" s="80" t="s">
        <v>0</v>
      </c>
      <c r="O2303" s="82" t="s">
        <v>0</v>
      </c>
      <c r="P2303" s="82" t="s">
        <v>0</v>
      </c>
      <c r="Q2303" s="82" t="s">
        <v>0</v>
      </c>
      <c r="R2303" s="84" t="s">
        <v>0</v>
      </c>
      <c r="S2303" s="10" t="s">
        <v>1</v>
      </c>
      <c r="T2303" s="10" t="s">
        <v>10221</v>
      </c>
      <c r="U2303" s="5" t="str">
        <f t="shared" si="1161"/>
        <v>Propriedade destinada a relacionar: é.destino.de</v>
      </c>
      <c r="V2303" s="5" t="str">
        <f t="shared" si="1162"/>
        <v>Dado para relacionar:  destino.de  Deve ser formatado como (rdfs:Literal  or  xsd:string)</v>
      </c>
      <c r="W2303" s="69" t="s">
        <v>6210</v>
      </c>
      <c r="X2303" s="17" t="str">
        <f t="shared" si="1135"/>
        <v>d.relac.106</v>
      </c>
      <c r="Y2303" s="17" t="str">
        <f t="shared" si="1136"/>
        <v>Ação de relacionar</v>
      </c>
      <c r="Z2303" s="62" t="s">
        <v>3440</v>
      </c>
      <c r="AA2303" s="18" t="str">
        <f t="shared" ref="AA2303:AA2312" si="1206">IF(AB2303="null", "null", "categoria.revit")</f>
        <v>null</v>
      </c>
      <c r="AB2303" s="19" t="s">
        <v>0</v>
      </c>
      <c r="AC2303" s="18" t="str">
        <f t="shared" ref="AC2303:AC2312" si="1207">IF(AD2303="null", "null", "classe.ifc")</f>
        <v>null</v>
      </c>
      <c r="AD2303" s="19" t="s">
        <v>0</v>
      </c>
      <c r="AE2303" s="18" t="str">
        <f t="shared" si="1165"/>
        <v>null</v>
      </c>
      <c r="AF2303" s="75" t="s">
        <v>0</v>
      </c>
      <c r="AG2303" s="38" t="s">
        <v>9217</v>
      </c>
    </row>
    <row r="2304" spans="1:33" ht="6" customHeight="1" x14ac:dyDescent="0.4">
      <c r="A2304" s="4">
        <f>ROW()</f>
        <v>2304</v>
      </c>
      <c r="B2304" s="9" t="s">
        <v>27</v>
      </c>
      <c r="C2304" s="44" t="str">
        <f t="shared" ref="C2304:C2312" si="1208">SUBSTITUTE(F2304,"d.","p.")</f>
        <v>p.relacionar</v>
      </c>
      <c r="D2304" s="6" t="str">
        <f t="shared" si="1160"/>
        <v>é.incluída.em</v>
      </c>
      <c r="E2304" s="8" t="s">
        <v>28</v>
      </c>
      <c r="F2304" s="34" t="str">
        <f>F2302</f>
        <v>d.relacionar</v>
      </c>
      <c r="G2304" s="14" t="s">
        <v>2585</v>
      </c>
      <c r="H2304" s="33" t="s">
        <v>1581</v>
      </c>
      <c r="I2304" s="92" t="str">
        <f t="shared" si="1189"/>
        <v>null</v>
      </c>
      <c r="J2304" s="82" t="s">
        <v>0</v>
      </c>
      <c r="K2304" s="82" t="s">
        <v>0</v>
      </c>
      <c r="L2304" s="82" t="s">
        <v>0</v>
      </c>
      <c r="M2304" s="82" t="s">
        <v>0</v>
      </c>
      <c r="N2304" s="80" t="s">
        <v>0</v>
      </c>
      <c r="O2304" s="82" t="s">
        <v>0</v>
      </c>
      <c r="P2304" s="82" t="s">
        <v>0</v>
      </c>
      <c r="Q2304" s="82" t="s">
        <v>0</v>
      </c>
      <c r="R2304" s="84" t="s">
        <v>2591</v>
      </c>
      <c r="S2304" s="10" t="s">
        <v>1</v>
      </c>
      <c r="T2304" s="10" t="s">
        <v>10221</v>
      </c>
      <c r="U2304" s="5" t="str">
        <f t="shared" si="1161"/>
        <v>Propriedade destinada a relacionar: é.incluída.em</v>
      </c>
      <c r="V2304" s="5" t="str">
        <f t="shared" si="1162"/>
        <v>Dado para relacionar:  incluída.em  Deve ser formatado como (rdfs:Literal  or  xsd:string)</v>
      </c>
      <c r="W2304" s="69" t="s">
        <v>6211</v>
      </c>
      <c r="X2304" s="17" t="str">
        <f t="shared" si="1135"/>
        <v>d.relac.107</v>
      </c>
      <c r="Y2304" s="17" t="str">
        <f t="shared" si="1136"/>
        <v>Ação de relacionar</v>
      </c>
      <c r="Z2304" s="62" t="s">
        <v>3439</v>
      </c>
      <c r="AA2304" s="18" t="str">
        <f t="shared" si="1206"/>
        <v>null</v>
      </c>
      <c r="AB2304" s="19" t="s">
        <v>0</v>
      </c>
      <c r="AC2304" s="18" t="str">
        <f t="shared" si="1207"/>
        <v>null</v>
      </c>
      <c r="AD2304" s="19" t="s">
        <v>0</v>
      </c>
      <c r="AE2304" s="18" t="str">
        <f t="shared" si="1165"/>
        <v>null</v>
      </c>
      <c r="AF2304" s="75" t="s">
        <v>0</v>
      </c>
      <c r="AG2304" s="38" t="s">
        <v>9218</v>
      </c>
    </row>
    <row r="2305" spans="1:33" ht="6" customHeight="1" x14ac:dyDescent="0.4">
      <c r="A2305" s="4">
        <f>ROW()</f>
        <v>2305</v>
      </c>
      <c r="B2305" s="9" t="s">
        <v>27</v>
      </c>
      <c r="C2305" s="44" t="str">
        <f t="shared" si="1208"/>
        <v>p.relacionar</v>
      </c>
      <c r="D2305" s="6" t="str">
        <f t="shared" si="1160"/>
        <v>é.incluído.em</v>
      </c>
      <c r="E2305" s="8" t="s">
        <v>28</v>
      </c>
      <c r="F2305" s="34" t="str">
        <f>F2303</f>
        <v>d.relacionar</v>
      </c>
      <c r="G2305" s="14" t="s">
        <v>933</v>
      </c>
      <c r="H2305" s="33" t="s">
        <v>1581</v>
      </c>
      <c r="I2305" s="92" t="str">
        <f t="shared" si="1189"/>
        <v>null</v>
      </c>
      <c r="J2305" s="82" t="s">
        <v>0</v>
      </c>
      <c r="K2305" s="82" t="s">
        <v>0</v>
      </c>
      <c r="L2305" s="82" t="s">
        <v>0</v>
      </c>
      <c r="M2305" s="82" t="s">
        <v>0</v>
      </c>
      <c r="N2305" s="80" t="s">
        <v>0</v>
      </c>
      <c r="O2305" s="82" t="s">
        <v>0</v>
      </c>
      <c r="P2305" s="82" t="s">
        <v>0</v>
      </c>
      <c r="Q2305" s="82" t="s">
        <v>0</v>
      </c>
      <c r="R2305" s="84" t="s">
        <v>2590</v>
      </c>
      <c r="S2305" s="10" t="s">
        <v>1</v>
      </c>
      <c r="T2305" s="10" t="s">
        <v>10221</v>
      </c>
      <c r="U2305" s="5" t="str">
        <f t="shared" si="1161"/>
        <v>Propriedade destinada a relacionar: é.incluído.em</v>
      </c>
      <c r="V2305" s="5" t="str">
        <f t="shared" si="1162"/>
        <v>Dado para relacionar:  incluído.em  Deve ser formatado como (rdfs:Literal  or  xsd:string)</v>
      </c>
      <c r="W2305" s="69" t="s">
        <v>6212</v>
      </c>
      <c r="X2305" s="17" t="str">
        <f t="shared" si="1135"/>
        <v>d.relac.108</v>
      </c>
      <c r="Y2305" s="17" t="str">
        <f t="shared" si="1136"/>
        <v>Ação de relacionar</v>
      </c>
      <c r="Z2305" s="62" t="s">
        <v>3439</v>
      </c>
      <c r="AA2305" s="18" t="str">
        <f t="shared" si="1206"/>
        <v>null</v>
      </c>
      <c r="AB2305" s="19" t="s">
        <v>0</v>
      </c>
      <c r="AC2305" s="18" t="str">
        <f t="shared" si="1207"/>
        <v>null</v>
      </c>
      <c r="AD2305" s="19" t="s">
        <v>0</v>
      </c>
      <c r="AE2305" s="18" t="str">
        <f t="shared" si="1165"/>
        <v>null</v>
      </c>
      <c r="AF2305" s="75" t="s">
        <v>0</v>
      </c>
      <c r="AG2305" s="38" t="s">
        <v>9218</v>
      </c>
    </row>
    <row r="2306" spans="1:33" ht="6" customHeight="1" x14ac:dyDescent="0.4">
      <c r="A2306" s="4">
        <f>ROW()</f>
        <v>2306</v>
      </c>
      <c r="B2306" s="9" t="s">
        <v>27</v>
      </c>
      <c r="C2306" s="44" t="str">
        <f t="shared" si="1208"/>
        <v>p.relacionar</v>
      </c>
      <c r="D2306" s="6" t="str">
        <f t="shared" si="1160"/>
        <v>é.indivíduo.de</v>
      </c>
      <c r="E2306" s="8" t="s">
        <v>28</v>
      </c>
      <c r="F2306" s="34" t="str">
        <f t="shared" ref="F2306:F2309" si="1209">F2304</f>
        <v>d.relacionar</v>
      </c>
      <c r="G2306" s="13" t="s">
        <v>10230</v>
      </c>
      <c r="H2306" s="34" t="s">
        <v>1581</v>
      </c>
      <c r="I2306" s="92" t="str">
        <f t="shared" si="1189"/>
        <v>null</v>
      </c>
      <c r="J2306" s="80" t="s">
        <v>0</v>
      </c>
      <c r="K2306" s="80" t="s">
        <v>0</v>
      </c>
      <c r="L2306" s="80" t="s">
        <v>0</v>
      </c>
      <c r="M2306" s="80" t="s">
        <v>0</v>
      </c>
      <c r="N2306" s="80" t="s">
        <v>0</v>
      </c>
      <c r="O2306" s="80" t="s">
        <v>0</v>
      </c>
      <c r="P2306" s="80" t="s">
        <v>0</v>
      </c>
      <c r="Q2306" s="80" t="s">
        <v>0</v>
      </c>
      <c r="R2306" s="84" t="s">
        <v>0</v>
      </c>
      <c r="S2306" s="10" t="s">
        <v>1</v>
      </c>
      <c r="T2306" s="10" t="s">
        <v>10221</v>
      </c>
      <c r="U2306" s="5" t="str">
        <f t="shared" si="1161"/>
        <v>Propriedade destinada a relacionar: é.indivíduo.de</v>
      </c>
      <c r="V2306" s="5" t="str">
        <f t="shared" si="1162"/>
        <v>Dado para relacionar:  indivíduo.de  Deve ser formatado como (rdfs:Literal  or  xsd:string)</v>
      </c>
      <c r="W2306" s="69" t="s">
        <v>10228</v>
      </c>
      <c r="X2306" s="17" t="str">
        <f t="shared" si="1135"/>
        <v>d.relac.109</v>
      </c>
      <c r="Y2306" s="17" t="str">
        <f t="shared" si="1136"/>
        <v>Ação de relacionar</v>
      </c>
      <c r="Z2306" s="62" t="str">
        <f>_xlfn.TRANSLATE(W2306,"pt","es")</f>
        <v>Declara el tipo de instancia. Puede ser un objeto, un entorno, una pared, un tejado. La propiedad está diseñada para relacionar instancias.</v>
      </c>
      <c r="AA2306" s="18" t="str">
        <f t="shared" si="1206"/>
        <v>categoria.revit</v>
      </c>
      <c r="AB2306" s="19" t="s">
        <v>2109</v>
      </c>
      <c r="AC2306" s="18" t="str">
        <f t="shared" si="1207"/>
        <v>classe.ifc</v>
      </c>
      <c r="AD2306" s="19" t="s">
        <v>2072</v>
      </c>
      <c r="AE2306" s="18" t="str">
        <f t="shared" si="1165"/>
        <v>null</v>
      </c>
      <c r="AF2306" s="75" t="s">
        <v>0</v>
      </c>
      <c r="AG2306" s="62" t="s">
        <v>10229</v>
      </c>
    </row>
    <row r="2307" spans="1:33" ht="6" customHeight="1" x14ac:dyDescent="0.4">
      <c r="A2307" s="4">
        <f>ROW()</f>
        <v>2307</v>
      </c>
      <c r="B2307" s="9" t="s">
        <v>27</v>
      </c>
      <c r="C2307" s="44" t="str">
        <f t="shared" si="1208"/>
        <v>p.relacionar</v>
      </c>
      <c r="D2307" s="6" t="str">
        <f t="shared" si="1160"/>
        <v>é.pertencente.a</v>
      </c>
      <c r="E2307" s="8" t="s">
        <v>28</v>
      </c>
      <c r="F2307" s="34" t="str">
        <f t="shared" si="1209"/>
        <v>d.relacionar</v>
      </c>
      <c r="G2307" s="14" t="s">
        <v>934</v>
      </c>
      <c r="H2307" s="33" t="s">
        <v>1581</v>
      </c>
      <c r="I2307" s="92" t="str">
        <f t="shared" si="1189"/>
        <v>null</v>
      </c>
      <c r="J2307" s="82" t="s">
        <v>0</v>
      </c>
      <c r="K2307" s="82" t="s">
        <v>0</v>
      </c>
      <c r="L2307" s="82" t="s">
        <v>0</v>
      </c>
      <c r="M2307" s="82" t="s">
        <v>0</v>
      </c>
      <c r="N2307" s="80" t="s">
        <v>0</v>
      </c>
      <c r="O2307" s="82" t="s">
        <v>0</v>
      </c>
      <c r="P2307" s="82" t="s">
        <v>0</v>
      </c>
      <c r="Q2307" s="82" t="s">
        <v>0</v>
      </c>
      <c r="R2307" s="84" t="s">
        <v>0</v>
      </c>
      <c r="S2307" s="10" t="s">
        <v>1</v>
      </c>
      <c r="T2307" s="10" t="s">
        <v>10221</v>
      </c>
      <c r="U2307" s="5" t="str">
        <f t="shared" si="1161"/>
        <v>Propriedade destinada a relacionar: é.pertencente.a</v>
      </c>
      <c r="V2307" s="5" t="str">
        <f t="shared" si="1162"/>
        <v>Dado para relacionar:  pertencente.a  Deve ser formatado como (rdfs:Literal  or  xsd:string)</v>
      </c>
      <c r="W2307" s="69" t="s">
        <v>6213</v>
      </c>
      <c r="X2307" s="17" t="str">
        <f t="shared" ref="X2307:X2370" si="1210">IF(F2306&lt;&gt;F2307,_xlfn.CONCAT(RIGHT(LEFT(F2307,7),7),".100"),_xlfn.CONCAT(RIGHT(LEFT(F2307,7),7),".",SUM(VALUE(RIGHT(X2306,3)),1)))</f>
        <v>d.relac.110</v>
      </c>
      <c r="Y2307" s="17" t="str">
        <f t="shared" ref="Y2307:Y2370" si="1211">_xlfn.CONCAT("Ação de ", SUBSTITUTE(F2307, "d.",  ""))</f>
        <v>Ação de relacionar</v>
      </c>
      <c r="Z2307" s="62" t="s">
        <v>3438</v>
      </c>
      <c r="AA2307" s="18" t="str">
        <f t="shared" si="1206"/>
        <v>null</v>
      </c>
      <c r="AB2307" s="19" t="s">
        <v>0</v>
      </c>
      <c r="AC2307" s="18" t="str">
        <f t="shared" si="1207"/>
        <v>null</v>
      </c>
      <c r="AD2307" s="19" t="s">
        <v>0</v>
      </c>
      <c r="AE2307" s="18" t="str">
        <f t="shared" si="1165"/>
        <v>null</v>
      </c>
      <c r="AF2307" s="75" t="s">
        <v>0</v>
      </c>
      <c r="AG2307" s="38" t="s">
        <v>9219</v>
      </c>
    </row>
    <row r="2308" spans="1:33" ht="6" customHeight="1" x14ac:dyDescent="0.4">
      <c r="A2308" s="4">
        <f>ROW()</f>
        <v>2308</v>
      </c>
      <c r="B2308" s="9" t="s">
        <v>27</v>
      </c>
      <c r="C2308" s="44" t="str">
        <f t="shared" si="1208"/>
        <v>p.relacionar</v>
      </c>
      <c r="D2308" s="6" t="str">
        <f t="shared" si="1160"/>
        <v>é.precisa.de</v>
      </c>
      <c r="E2308" s="8" t="s">
        <v>28</v>
      </c>
      <c r="F2308" s="34" t="str">
        <f t="shared" si="1209"/>
        <v>d.relacionar</v>
      </c>
      <c r="G2308" s="14" t="s">
        <v>937</v>
      </c>
      <c r="H2308" s="33" t="s">
        <v>1581</v>
      </c>
      <c r="I2308" s="92" t="str">
        <f t="shared" si="1189"/>
        <v>null</v>
      </c>
      <c r="J2308" s="82" t="s">
        <v>0</v>
      </c>
      <c r="K2308" s="82" t="s">
        <v>0</v>
      </c>
      <c r="L2308" s="82" t="s">
        <v>0</v>
      </c>
      <c r="M2308" s="82" t="s">
        <v>0</v>
      </c>
      <c r="N2308" s="80" t="s">
        <v>0</v>
      </c>
      <c r="O2308" s="82" t="s">
        <v>0</v>
      </c>
      <c r="P2308" s="82" t="s">
        <v>0</v>
      </c>
      <c r="Q2308" s="82" t="s">
        <v>0</v>
      </c>
      <c r="R2308" s="84" t="s">
        <v>0</v>
      </c>
      <c r="S2308" s="10" t="s">
        <v>1</v>
      </c>
      <c r="T2308" s="10" t="s">
        <v>10221</v>
      </c>
      <c r="U2308" s="5" t="str">
        <f t="shared" si="1161"/>
        <v>Propriedade destinada a relacionar: é.precisa.de</v>
      </c>
      <c r="V2308" s="5" t="str">
        <f t="shared" si="1162"/>
        <v>Dado para relacionar:  precisa.de  Deve ser formatado como (rdfs:Literal  or  xsd:string)</v>
      </c>
      <c r="W2308" s="69" t="s">
        <v>6214</v>
      </c>
      <c r="X2308" s="17" t="str">
        <f t="shared" si="1210"/>
        <v>d.relac.111</v>
      </c>
      <c r="Y2308" s="17" t="str">
        <f t="shared" si="1211"/>
        <v>Ação de relacionar</v>
      </c>
      <c r="Z2308" s="62" t="s">
        <v>2799</v>
      </c>
      <c r="AA2308" s="18" t="str">
        <f t="shared" si="1206"/>
        <v>null</v>
      </c>
      <c r="AB2308" s="19" t="s">
        <v>0</v>
      </c>
      <c r="AC2308" s="18" t="str">
        <f t="shared" si="1207"/>
        <v>null</v>
      </c>
      <c r="AD2308" s="19" t="s">
        <v>0</v>
      </c>
      <c r="AE2308" s="18" t="str">
        <f t="shared" si="1165"/>
        <v>null</v>
      </c>
      <c r="AF2308" s="75" t="s">
        <v>0</v>
      </c>
      <c r="AG2308" s="38" t="s">
        <v>9220</v>
      </c>
    </row>
    <row r="2309" spans="1:33" ht="6" customHeight="1" x14ac:dyDescent="0.4">
      <c r="A2309" s="4">
        <f>ROW()</f>
        <v>2309</v>
      </c>
      <c r="B2309" s="9" t="s">
        <v>27</v>
      </c>
      <c r="C2309" s="44" t="str">
        <f t="shared" si="1208"/>
        <v>p.relacionar</v>
      </c>
      <c r="D2309" s="6" t="str">
        <f t="shared" si="1160"/>
        <v>é.usada.em</v>
      </c>
      <c r="E2309" s="8" t="s">
        <v>28</v>
      </c>
      <c r="F2309" s="34" t="str">
        <f t="shared" si="1209"/>
        <v>d.relacionar</v>
      </c>
      <c r="G2309" s="14" t="s">
        <v>2592</v>
      </c>
      <c r="H2309" s="33" t="s">
        <v>1581</v>
      </c>
      <c r="I2309" s="92" t="str">
        <f t="shared" si="1189"/>
        <v>null</v>
      </c>
      <c r="J2309" s="82" t="s">
        <v>0</v>
      </c>
      <c r="K2309" s="82" t="s">
        <v>0</v>
      </c>
      <c r="L2309" s="82" t="s">
        <v>0</v>
      </c>
      <c r="M2309" s="82" t="s">
        <v>0</v>
      </c>
      <c r="N2309" s="80" t="s">
        <v>0</v>
      </c>
      <c r="O2309" s="82" t="s">
        <v>0</v>
      </c>
      <c r="P2309" s="82" t="s">
        <v>0</v>
      </c>
      <c r="Q2309" s="82" t="s">
        <v>0</v>
      </c>
      <c r="R2309" s="84" t="s">
        <v>2594</v>
      </c>
      <c r="S2309" s="10" t="s">
        <v>1</v>
      </c>
      <c r="T2309" s="10" t="s">
        <v>10221</v>
      </c>
      <c r="U2309" s="5" t="str">
        <f t="shared" si="1161"/>
        <v>Propriedade destinada a relacionar: é.usada.em</v>
      </c>
      <c r="V2309" s="5" t="str">
        <f t="shared" si="1162"/>
        <v>Dado para relacionar:  usada.em  Deve ser formatado como (rdfs:Literal  or  xsd:string)</v>
      </c>
      <c r="W2309" s="69" t="s">
        <v>6215</v>
      </c>
      <c r="X2309" s="17" t="str">
        <f t="shared" si="1210"/>
        <v>d.relac.112</v>
      </c>
      <c r="Y2309" s="17" t="str">
        <f t="shared" si="1211"/>
        <v>Ação de relacionar</v>
      </c>
      <c r="Z2309" s="62" t="s">
        <v>3098</v>
      </c>
      <c r="AA2309" s="18" t="str">
        <f t="shared" si="1206"/>
        <v>null</v>
      </c>
      <c r="AB2309" s="19" t="s">
        <v>0</v>
      </c>
      <c r="AC2309" s="18" t="str">
        <f t="shared" si="1207"/>
        <v>null</v>
      </c>
      <c r="AD2309" s="19" t="s">
        <v>0</v>
      </c>
      <c r="AE2309" s="18" t="str">
        <f t="shared" si="1165"/>
        <v>null</v>
      </c>
      <c r="AF2309" s="75" t="s">
        <v>0</v>
      </c>
      <c r="AG2309" s="38" t="s">
        <v>9221</v>
      </c>
    </row>
    <row r="2310" spans="1:33" ht="6" customHeight="1" x14ac:dyDescent="0.4">
      <c r="A2310" s="4">
        <f>ROW()</f>
        <v>2310</v>
      </c>
      <c r="B2310" s="9" t="s">
        <v>27</v>
      </c>
      <c r="C2310" s="44" t="str">
        <f t="shared" si="1208"/>
        <v>p.relacionar</v>
      </c>
      <c r="D2310" s="6" t="str">
        <f t="shared" si="1160"/>
        <v>é.usado.em</v>
      </c>
      <c r="E2310" s="8" t="s">
        <v>28</v>
      </c>
      <c r="F2310" s="34" t="str">
        <f>F2308</f>
        <v>d.relacionar</v>
      </c>
      <c r="G2310" s="14" t="s">
        <v>1587</v>
      </c>
      <c r="H2310" s="33" t="s">
        <v>1581</v>
      </c>
      <c r="I2310" s="92" t="str">
        <f t="shared" si="1189"/>
        <v>null</v>
      </c>
      <c r="J2310" s="82" t="s">
        <v>0</v>
      </c>
      <c r="K2310" s="82" t="s">
        <v>0</v>
      </c>
      <c r="L2310" s="82" t="s">
        <v>0</v>
      </c>
      <c r="M2310" s="82" t="s">
        <v>0</v>
      </c>
      <c r="N2310" s="80" t="s">
        <v>0</v>
      </c>
      <c r="O2310" s="82" t="s">
        <v>0</v>
      </c>
      <c r="P2310" s="82" t="s">
        <v>0</v>
      </c>
      <c r="Q2310" s="82" t="s">
        <v>0</v>
      </c>
      <c r="R2310" s="84" t="s">
        <v>2593</v>
      </c>
      <c r="S2310" s="10" t="s">
        <v>1</v>
      </c>
      <c r="T2310" s="10" t="s">
        <v>10221</v>
      </c>
      <c r="U2310" s="5" t="str">
        <f t="shared" si="1161"/>
        <v>Propriedade destinada a relacionar: é.usado.em</v>
      </c>
      <c r="V2310" s="5" t="str">
        <f t="shared" si="1162"/>
        <v>Dado para relacionar:  usado.em  Deve ser formatado como (rdfs:Literal  or  xsd:string)</v>
      </c>
      <c r="W2310" s="69" t="s">
        <v>6215</v>
      </c>
      <c r="X2310" s="17" t="str">
        <f t="shared" si="1210"/>
        <v>d.relac.113</v>
      </c>
      <c r="Y2310" s="17" t="str">
        <f t="shared" si="1211"/>
        <v>Ação de relacionar</v>
      </c>
      <c r="Z2310" s="62" t="s">
        <v>3098</v>
      </c>
      <c r="AA2310" s="18" t="str">
        <f t="shared" si="1206"/>
        <v>null</v>
      </c>
      <c r="AB2310" s="19" t="s">
        <v>0</v>
      </c>
      <c r="AC2310" s="18" t="str">
        <f t="shared" si="1207"/>
        <v>null</v>
      </c>
      <c r="AD2310" s="19" t="s">
        <v>0</v>
      </c>
      <c r="AE2310" s="18" t="str">
        <f t="shared" si="1165"/>
        <v>null</v>
      </c>
      <c r="AF2310" s="75" t="s">
        <v>0</v>
      </c>
      <c r="AG2310" s="38" t="s">
        <v>9221</v>
      </c>
    </row>
    <row r="2311" spans="1:33" ht="6" customHeight="1" x14ac:dyDescent="0.4">
      <c r="A2311" s="4">
        <f>ROW()</f>
        <v>2311</v>
      </c>
      <c r="B2311" s="9" t="s">
        <v>27</v>
      </c>
      <c r="C2311" s="44" t="str">
        <f t="shared" si="1208"/>
        <v>p.relacionar</v>
      </c>
      <c r="D2311" s="6" t="str">
        <f t="shared" si="1160"/>
        <v>é.usada.por</v>
      </c>
      <c r="E2311" s="8" t="s">
        <v>28</v>
      </c>
      <c r="F2311" s="34" t="str">
        <f>F2309</f>
        <v>d.relacionar</v>
      </c>
      <c r="G2311" s="14" t="s">
        <v>1932</v>
      </c>
      <c r="H2311" s="33" t="s">
        <v>1581</v>
      </c>
      <c r="I2311" s="92" t="str">
        <f t="shared" si="1189"/>
        <v>null</v>
      </c>
      <c r="J2311" s="82" t="s">
        <v>0</v>
      </c>
      <c r="K2311" s="82" t="s">
        <v>0</v>
      </c>
      <c r="L2311" s="82" t="s">
        <v>0</v>
      </c>
      <c r="M2311" s="82" t="s">
        <v>0</v>
      </c>
      <c r="N2311" s="80" t="s">
        <v>0</v>
      </c>
      <c r="O2311" s="82" t="s">
        <v>0</v>
      </c>
      <c r="P2311" s="82" t="s">
        <v>0</v>
      </c>
      <c r="Q2311" s="82" t="s">
        <v>0</v>
      </c>
      <c r="R2311" s="84" t="s">
        <v>2596</v>
      </c>
      <c r="S2311" s="10" t="s">
        <v>1</v>
      </c>
      <c r="T2311" s="10" t="s">
        <v>10221</v>
      </c>
      <c r="U2311" s="5" t="str">
        <f t="shared" si="1161"/>
        <v>Propriedade destinada a relacionar: é.usada.por</v>
      </c>
      <c r="V2311" s="5" t="str">
        <f t="shared" si="1162"/>
        <v>Dado para relacionar:  usada.por  Deve ser formatado como (rdfs:Literal  or  xsd:string)</v>
      </c>
      <c r="W2311" s="69" t="s">
        <v>6216</v>
      </c>
      <c r="X2311" s="17" t="str">
        <f t="shared" si="1210"/>
        <v>d.relac.114</v>
      </c>
      <c r="Y2311" s="17" t="str">
        <f t="shared" si="1211"/>
        <v>Ação de relacionar</v>
      </c>
      <c r="Z2311" s="62" t="s">
        <v>3099</v>
      </c>
      <c r="AA2311" s="18" t="str">
        <f t="shared" si="1206"/>
        <v>null</v>
      </c>
      <c r="AB2311" s="19" t="s">
        <v>0</v>
      </c>
      <c r="AC2311" s="18" t="str">
        <f t="shared" si="1207"/>
        <v>null</v>
      </c>
      <c r="AD2311" s="19" t="s">
        <v>0</v>
      </c>
      <c r="AE2311" s="18" t="str">
        <f t="shared" si="1165"/>
        <v>null</v>
      </c>
      <c r="AF2311" s="75" t="s">
        <v>0</v>
      </c>
      <c r="AG2311" s="38" t="s">
        <v>9222</v>
      </c>
    </row>
    <row r="2312" spans="1:33" ht="6" customHeight="1" x14ac:dyDescent="0.4">
      <c r="A2312" s="4">
        <f>ROW()</f>
        <v>2312</v>
      </c>
      <c r="B2312" s="9" t="s">
        <v>27</v>
      </c>
      <c r="C2312" s="44" t="str">
        <f t="shared" si="1208"/>
        <v>p.relacionar</v>
      </c>
      <c r="D2312" s="6" t="str">
        <f t="shared" si="1160"/>
        <v>é.usado.por</v>
      </c>
      <c r="E2312" s="8" t="s">
        <v>28</v>
      </c>
      <c r="F2312" s="34" t="str">
        <f>F2310</f>
        <v>d.relacionar</v>
      </c>
      <c r="G2312" s="14" t="s">
        <v>935</v>
      </c>
      <c r="H2312" s="33" t="s">
        <v>1581</v>
      </c>
      <c r="I2312" s="92" t="str">
        <f t="shared" si="1189"/>
        <v>null</v>
      </c>
      <c r="J2312" s="82" t="s">
        <v>0</v>
      </c>
      <c r="K2312" s="82" t="s">
        <v>0</v>
      </c>
      <c r="L2312" s="82" t="s">
        <v>0</v>
      </c>
      <c r="M2312" s="82" t="s">
        <v>0</v>
      </c>
      <c r="N2312" s="80" t="s">
        <v>0</v>
      </c>
      <c r="O2312" s="82" t="s">
        <v>0</v>
      </c>
      <c r="P2312" s="82" t="s">
        <v>0</v>
      </c>
      <c r="Q2312" s="82" t="s">
        <v>0</v>
      </c>
      <c r="R2312" s="84" t="s">
        <v>2595</v>
      </c>
      <c r="S2312" s="10" t="s">
        <v>1</v>
      </c>
      <c r="T2312" s="10" t="s">
        <v>10221</v>
      </c>
      <c r="U2312" s="5" t="str">
        <f t="shared" si="1161"/>
        <v>Propriedade destinada a relacionar: é.usado.por</v>
      </c>
      <c r="V2312" s="5" t="str">
        <f t="shared" si="1162"/>
        <v>Dado para relacionar:  usado.por  Deve ser formatado como (rdfs:Literal  or  xsd:string)</v>
      </c>
      <c r="W2312" s="69" t="s">
        <v>6216</v>
      </c>
      <c r="X2312" s="17" t="str">
        <f t="shared" si="1210"/>
        <v>d.relac.115</v>
      </c>
      <c r="Y2312" s="17" t="str">
        <f t="shared" si="1211"/>
        <v>Ação de relacionar</v>
      </c>
      <c r="Z2312" s="62" t="s">
        <v>3099</v>
      </c>
      <c r="AA2312" s="18" t="str">
        <f t="shared" si="1206"/>
        <v>null</v>
      </c>
      <c r="AB2312" s="19" t="s">
        <v>0</v>
      </c>
      <c r="AC2312" s="18" t="str">
        <f t="shared" si="1207"/>
        <v>null</v>
      </c>
      <c r="AD2312" s="19" t="s">
        <v>0</v>
      </c>
      <c r="AE2312" s="18" t="str">
        <f t="shared" si="1165"/>
        <v>null</v>
      </c>
      <c r="AF2312" s="75" t="s">
        <v>0</v>
      </c>
      <c r="AG2312" s="38" t="s">
        <v>9222</v>
      </c>
    </row>
    <row r="2313" spans="1:33" ht="6" customHeight="1" x14ac:dyDescent="0.4">
      <c r="A2313" s="4">
        <f>ROW()</f>
        <v>2313</v>
      </c>
      <c r="B2313" s="9" t="s">
        <v>27</v>
      </c>
      <c r="C2313" s="43" t="str">
        <f t="shared" ref="C2313:C2336" si="1212">SUBSTITUTE(F2313,"d.","p.")</f>
        <v>p.representar</v>
      </c>
      <c r="D2313" s="6" t="str">
        <f t="shared" ref="D2313:D2336" si="1213">_xlfn.CONCAT("é.",G2313)</f>
        <v>é.axonometria</v>
      </c>
      <c r="E2313" s="8" t="s">
        <v>28</v>
      </c>
      <c r="F2313" s="41" t="s">
        <v>9878</v>
      </c>
      <c r="G2313" s="13" t="s">
        <v>300</v>
      </c>
      <c r="H2313" s="34" t="s">
        <v>1581</v>
      </c>
      <c r="I2313" s="92" t="str">
        <f t="shared" si="1189"/>
        <v>null</v>
      </c>
      <c r="J2313" s="80" t="s">
        <v>0</v>
      </c>
      <c r="K2313" s="80" t="s">
        <v>0</v>
      </c>
      <c r="L2313" s="80" t="s">
        <v>0</v>
      </c>
      <c r="M2313" s="80" t="s">
        <v>0</v>
      </c>
      <c r="N2313" s="80" t="s">
        <v>0</v>
      </c>
      <c r="O2313" s="80" t="s">
        <v>0</v>
      </c>
      <c r="P2313" s="80" t="s">
        <v>0</v>
      </c>
      <c r="Q2313" s="80" t="s">
        <v>0</v>
      </c>
      <c r="R2313" s="84" t="s">
        <v>0</v>
      </c>
      <c r="S2313" s="10" t="s">
        <v>1</v>
      </c>
      <c r="T2313" s="10" t="s">
        <v>10221</v>
      </c>
      <c r="U2313" s="5" t="str">
        <f t="shared" ref="U2313:U2336" si="1214">_xlfn.CONCAT("Propriedade destinada a ",MID(C2313,FIND("p.",C2313,1)+2,100),": ",D2313)</f>
        <v>Propriedade destinada a representar: é.axonometria</v>
      </c>
      <c r="V2313" s="5" t="str">
        <f t="shared" ref="V2313:V2336" si="1215">_xlfn.CONCAT("Dado para ",MID(F2313,FIND("d.",F2313,1)+2,100),":  ",G2313, "  Deve ser formatado como (",H2313, ")")</f>
        <v>Dado para representar:  axonometria  Deve ser formatado como (rdfs:Literal  or  xsd:string)</v>
      </c>
      <c r="W2313" s="69" t="s">
        <v>9881</v>
      </c>
      <c r="X2313" s="17" t="str">
        <f t="shared" si="1210"/>
        <v>d.repre.100</v>
      </c>
      <c r="Y2313" s="17" t="str">
        <f t="shared" si="1211"/>
        <v>Ação de representar</v>
      </c>
      <c r="Z2313" s="62" t="s">
        <v>9947</v>
      </c>
      <c r="AA2313" s="18" t="str">
        <f t="shared" ref="AA2313:AA2336" si="1216">IF(AB2313="null", "null", "categoria.revit")</f>
        <v>categoria.revit</v>
      </c>
      <c r="AB2313" s="19" t="s">
        <v>2125</v>
      </c>
      <c r="AC2313" s="18" t="str">
        <f t="shared" ref="AC2313:AC2336" si="1217">IF(AD2313="null", "null", "classe.ifc")</f>
        <v>null</v>
      </c>
      <c r="AD2313" s="19" t="s">
        <v>0</v>
      </c>
      <c r="AE2313" s="18" t="str">
        <f t="shared" ref="AE2313:AE2336" si="1218">IF(AF2313="null", "null", "propriedade")</f>
        <v>propriedade</v>
      </c>
      <c r="AF2313" s="75" t="s">
        <v>9913</v>
      </c>
      <c r="AG2313" s="38" t="s">
        <v>9961</v>
      </c>
    </row>
    <row r="2314" spans="1:33" ht="6" customHeight="1" x14ac:dyDescent="0.4">
      <c r="A2314" s="4">
        <f>ROW()</f>
        <v>2314</v>
      </c>
      <c r="B2314" s="9" t="s">
        <v>27</v>
      </c>
      <c r="C2314" s="44" t="str">
        <f t="shared" si="1212"/>
        <v>p.representar</v>
      </c>
      <c r="D2314" s="6" t="str">
        <f t="shared" si="1213"/>
        <v>é.axonometria.di</v>
      </c>
      <c r="E2314" s="8" t="s">
        <v>28</v>
      </c>
      <c r="F2314" s="34" t="str">
        <f>F2313</f>
        <v>d.representar</v>
      </c>
      <c r="G2314" s="14" t="s">
        <v>9892</v>
      </c>
      <c r="H2314" s="33" t="s">
        <v>1581</v>
      </c>
      <c r="I2314" s="92" t="str">
        <f t="shared" si="1189"/>
        <v>null</v>
      </c>
      <c r="J2314" s="82" t="s">
        <v>0</v>
      </c>
      <c r="K2314" s="82" t="s">
        <v>0</v>
      </c>
      <c r="L2314" s="82" t="s">
        <v>0</v>
      </c>
      <c r="M2314" s="82" t="s">
        <v>0</v>
      </c>
      <c r="N2314" s="80" t="s">
        <v>0</v>
      </c>
      <c r="O2314" s="82" t="s">
        <v>0</v>
      </c>
      <c r="P2314" s="82" t="s">
        <v>0</v>
      </c>
      <c r="Q2314" s="82" t="s">
        <v>0</v>
      </c>
      <c r="R2314" s="84" t="s">
        <v>0</v>
      </c>
      <c r="S2314" s="10" t="s">
        <v>1</v>
      </c>
      <c r="T2314" s="10" t="s">
        <v>10221</v>
      </c>
      <c r="U2314" s="5" t="str">
        <f t="shared" si="1214"/>
        <v>Propriedade destinada a representar: é.axonometria.di</v>
      </c>
      <c r="V2314" s="5" t="str">
        <f t="shared" si="1215"/>
        <v>Dado para representar:  axonometria.di  Deve ser formatado como (rdfs:Literal  or  xsd:string)</v>
      </c>
      <c r="W2314" s="69" t="s">
        <v>9886</v>
      </c>
      <c r="X2314" s="17" t="str">
        <f t="shared" si="1210"/>
        <v>d.repre.101</v>
      </c>
      <c r="Y2314" s="17" t="str">
        <f t="shared" si="1211"/>
        <v>Ação de representar</v>
      </c>
      <c r="Z2314" s="62" t="s">
        <v>9948</v>
      </c>
      <c r="AA2314" s="18" t="str">
        <f t="shared" si="1216"/>
        <v>categoria.revit</v>
      </c>
      <c r="AB2314" s="19" t="s">
        <v>2125</v>
      </c>
      <c r="AC2314" s="18" t="str">
        <f t="shared" si="1217"/>
        <v>null</v>
      </c>
      <c r="AD2314" s="19" t="s">
        <v>0</v>
      </c>
      <c r="AE2314" s="18" t="str">
        <f t="shared" si="1218"/>
        <v>propriedade</v>
      </c>
      <c r="AF2314" s="75" t="s">
        <v>9913</v>
      </c>
      <c r="AG2314" s="38" t="s">
        <v>9962</v>
      </c>
    </row>
    <row r="2315" spans="1:33" ht="6" customHeight="1" x14ac:dyDescent="0.4">
      <c r="A2315" s="4">
        <f>ROW()</f>
        <v>2315</v>
      </c>
      <c r="B2315" s="9" t="s">
        <v>27</v>
      </c>
      <c r="C2315" s="44" t="str">
        <f t="shared" si="1212"/>
        <v>p.representar</v>
      </c>
      <c r="D2315" s="6" t="str">
        <f t="shared" si="1213"/>
        <v>é.axonometria.iso</v>
      </c>
      <c r="E2315" s="8" t="s">
        <v>28</v>
      </c>
      <c r="F2315" s="34" t="str">
        <f t="shared" ref="F2315:F2336" si="1219">F2314</f>
        <v>d.representar</v>
      </c>
      <c r="G2315" s="14" t="s">
        <v>9890</v>
      </c>
      <c r="H2315" s="33" t="s">
        <v>1581</v>
      </c>
      <c r="I2315" s="92" t="str">
        <f t="shared" si="1189"/>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214"/>
        <v>Propriedade destinada a representar: é.axonometria.iso</v>
      </c>
      <c r="V2315" s="5" t="str">
        <f t="shared" si="1215"/>
        <v>Dado para representar:  axonometria.iso  Deve ser formatado como (rdfs:Literal  or  xsd:string)</v>
      </c>
      <c r="W2315" s="69" t="s">
        <v>9888</v>
      </c>
      <c r="X2315" s="17" t="str">
        <f t="shared" si="1210"/>
        <v>d.repre.102</v>
      </c>
      <c r="Y2315" s="17" t="str">
        <f t="shared" si="1211"/>
        <v>Ação de representar</v>
      </c>
      <c r="Z2315" s="62" t="s">
        <v>9949</v>
      </c>
      <c r="AA2315" s="18" t="str">
        <f t="shared" si="1216"/>
        <v>categoria.revit</v>
      </c>
      <c r="AB2315" s="19" t="s">
        <v>2125</v>
      </c>
      <c r="AC2315" s="18" t="str">
        <f t="shared" si="1217"/>
        <v>null</v>
      </c>
      <c r="AD2315" s="19" t="s">
        <v>0</v>
      </c>
      <c r="AE2315" s="18" t="str">
        <f t="shared" si="1218"/>
        <v>propriedade</v>
      </c>
      <c r="AF2315" s="75" t="s">
        <v>9913</v>
      </c>
      <c r="AG2315" s="38" t="s">
        <v>9963</v>
      </c>
    </row>
    <row r="2316" spans="1:33" ht="6" customHeight="1" x14ac:dyDescent="0.4">
      <c r="A2316" s="4">
        <f>ROW()</f>
        <v>2316</v>
      </c>
      <c r="B2316" s="9" t="s">
        <v>27</v>
      </c>
      <c r="C2316" s="44" t="str">
        <f t="shared" si="1212"/>
        <v>p.representar</v>
      </c>
      <c r="D2316" s="6" t="str">
        <f t="shared" si="1213"/>
        <v>é.axonometria.tri</v>
      </c>
      <c r="E2316" s="8" t="s">
        <v>28</v>
      </c>
      <c r="F2316" s="34" t="str">
        <f t="shared" si="1219"/>
        <v>d.representar</v>
      </c>
      <c r="G2316" s="14" t="s">
        <v>9891</v>
      </c>
      <c r="H2316" s="33" t="s">
        <v>1581</v>
      </c>
      <c r="I2316" s="92" t="str">
        <f t="shared" si="1189"/>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214"/>
        <v>Propriedade destinada a representar: é.axonometria.tri</v>
      </c>
      <c r="V2316" s="5" t="str">
        <f t="shared" si="1215"/>
        <v>Dado para representar:  axonometria.tri  Deve ser formatado como (rdfs:Literal  or  xsd:string)</v>
      </c>
      <c r="W2316" s="69" t="s">
        <v>9887</v>
      </c>
      <c r="X2316" s="17" t="str">
        <f t="shared" si="1210"/>
        <v>d.repre.103</v>
      </c>
      <c r="Y2316" s="17" t="str">
        <f t="shared" si="1211"/>
        <v>Ação de representar</v>
      </c>
      <c r="Z2316" s="62" t="s">
        <v>9950</v>
      </c>
      <c r="AA2316" s="18" t="str">
        <f t="shared" si="1216"/>
        <v>categoria.revit</v>
      </c>
      <c r="AB2316" s="19" t="s">
        <v>2125</v>
      </c>
      <c r="AC2316" s="18" t="str">
        <f t="shared" si="1217"/>
        <v>null</v>
      </c>
      <c r="AD2316" s="19" t="s">
        <v>0</v>
      </c>
      <c r="AE2316" s="18" t="str">
        <f t="shared" si="1218"/>
        <v>propriedade</v>
      </c>
      <c r="AF2316" s="75" t="s">
        <v>9913</v>
      </c>
      <c r="AG2316" s="38" t="s">
        <v>9964</v>
      </c>
    </row>
    <row r="2317" spans="1:33" ht="6" customHeight="1" x14ac:dyDescent="0.4">
      <c r="A2317" s="4">
        <f>ROW()</f>
        <v>2317</v>
      </c>
      <c r="B2317" s="9" t="s">
        <v>27</v>
      </c>
      <c r="C2317" s="44" t="str">
        <f t="shared" si="1212"/>
        <v>p.representar</v>
      </c>
      <c r="D2317" s="6" t="str">
        <f t="shared" si="1213"/>
        <v>é.corte</v>
      </c>
      <c r="E2317" s="8" t="s">
        <v>28</v>
      </c>
      <c r="F2317" s="34" t="str">
        <f t="shared" si="1219"/>
        <v>d.representar</v>
      </c>
      <c r="G2317" s="13" t="s">
        <v>108</v>
      </c>
      <c r="H2317" s="34" t="s">
        <v>1581</v>
      </c>
      <c r="I2317" s="92" t="str">
        <f t="shared" si="1189"/>
        <v>null</v>
      </c>
      <c r="J2317" s="80" t="s">
        <v>0</v>
      </c>
      <c r="K2317" s="80" t="s">
        <v>0</v>
      </c>
      <c r="L2317" s="80" t="s">
        <v>0</v>
      </c>
      <c r="M2317" s="80" t="s">
        <v>0</v>
      </c>
      <c r="N2317" s="80" t="s">
        <v>0</v>
      </c>
      <c r="O2317" s="80" t="s">
        <v>0</v>
      </c>
      <c r="P2317" s="80" t="s">
        <v>0</v>
      </c>
      <c r="Q2317" s="80" t="s">
        <v>0</v>
      </c>
      <c r="R2317" s="84" t="s">
        <v>9899</v>
      </c>
      <c r="S2317" s="10" t="s">
        <v>1</v>
      </c>
      <c r="T2317" s="10" t="s">
        <v>10221</v>
      </c>
      <c r="U2317" s="5" t="str">
        <f t="shared" si="1214"/>
        <v>Propriedade destinada a representar: é.corte</v>
      </c>
      <c r="V2317" s="5" t="str">
        <f t="shared" si="1215"/>
        <v>Dado para representar:  corte  Deve ser formatado como (rdfs:Literal  or  xsd:string)</v>
      </c>
      <c r="W2317" s="69" t="s">
        <v>9930</v>
      </c>
      <c r="X2317" s="17" t="str">
        <f t="shared" si="1210"/>
        <v>d.repre.104</v>
      </c>
      <c r="Y2317" s="17" t="str">
        <f t="shared" si="1211"/>
        <v>Ação de representar</v>
      </c>
      <c r="Z2317" s="62" t="s">
        <v>9952</v>
      </c>
      <c r="AA2317" s="18" t="str">
        <f t="shared" si="1216"/>
        <v>categoria.revit</v>
      </c>
      <c r="AB2317" s="19" t="s">
        <v>2125</v>
      </c>
      <c r="AC2317" s="18" t="str">
        <f t="shared" si="1217"/>
        <v>null</v>
      </c>
      <c r="AD2317" s="19" t="s">
        <v>0</v>
      </c>
      <c r="AE2317" s="18" t="str">
        <f t="shared" si="1218"/>
        <v>propriedade</v>
      </c>
      <c r="AF2317" s="75" t="s">
        <v>9912</v>
      </c>
      <c r="AG2317" s="38" t="s">
        <v>9965</v>
      </c>
    </row>
    <row r="2318" spans="1:33" ht="6" customHeight="1" x14ac:dyDescent="0.4">
      <c r="A2318" s="4">
        <f>ROW()</f>
        <v>2318</v>
      </c>
      <c r="B2318" s="9" t="s">
        <v>27</v>
      </c>
      <c r="C2318" s="44" t="str">
        <f t="shared" si="1212"/>
        <v>p.representar</v>
      </c>
      <c r="D2318" s="6" t="str">
        <f t="shared" si="1213"/>
        <v>é.desenho.de.fabricação</v>
      </c>
      <c r="E2318" s="8" t="s">
        <v>28</v>
      </c>
      <c r="F2318" s="34" t="str">
        <f t="shared" si="1219"/>
        <v>d.representar</v>
      </c>
      <c r="G2318" s="14" t="s">
        <v>9905</v>
      </c>
      <c r="H2318" s="33" t="s">
        <v>1581</v>
      </c>
      <c r="I2318" s="92" t="str">
        <f t="shared" si="1189"/>
        <v>null</v>
      </c>
      <c r="J2318" s="82" t="s">
        <v>0</v>
      </c>
      <c r="K2318" s="82" t="s">
        <v>0</v>
      </c>
      <c r="L2318" s="82" t="s">
        <v>0</v>
      </c>
      <c r="M2318" s="82" t="s">
        <v>0</v>
      </c>
      <c r="N2318" s="80" t="s">
        <v>0</v>
      </c>
      <c r="O2318" s="82" t="s">
        <v>0</v>
      </c>
      <c r="P2318" s="82" t="s">
        <v>0</v>
      </c>
      <c r="Q2318" s="82" t="s">
        <v>0</v>
      </c>
      <c r="R2318" s="84" t="s">
        <v>0</v>
      </c>
      <c r="S2318" s="10" t="s">
        <v>1</v>
      </c>
      <c r="T2318" s="10" t="s">
        <v>10221</v>
      </c>
      <c r="U2318" s="5" t="str">
        <f t="shared" si="1214"/>
        <v>Propriedade destinada a representar: é.desenho.de.fabricação</v>
      </c>
      <c r="V2318" s="5" t="str">
        <f t="shared" si="1215"/>
        <v>Dado para representar:  desenho.de.fabricação  Deve ser formatado como (rdfs:Literal  or  xsd:string)</v>
      </c>
      <c r="W2318" s="69" t="s">
        <v>9906</v>
      </c>
      <c r="X2318" s="17" t="str">
        <f t="shared" si="1210"/>
        <v>d.repre.105</v>
      </c>
      <c r="Y2318" s="17" t="str">
        <f t="shared" si="1211"/>
        <v>Ação de representar</v>
      </c>
      <c r="Z2318" s="62" t="s">
        <v>9953</v>
      </c>
      <c r="AA2318" s="18" t="str">
        <f t="shared" si="1216"/>
        <v>categoria.revit</v>
      </c>
      <c r="AB2318" s="19" t="s">
        <v>2125</v>
      </c>
      <c r="AC2318" s="18" t="str">
        <f t="shared" si="1217"/>
        <v>null</v>
      </c>
      <c r="AD2318" s="19" t="s">
        <v>0</v>
      </c>
      <c r="AE2318" s="18" t="str">
        <f t="shared" si="1218"/>
        <v>propriedade</v>
      </c>
      <c r="AF2318" s="75" t="s">
        <v>9909</v>
      </c>
      <c r="AG2318" s="38" t="s">
        <v>9966</v>
      </c>
    </row>
    <row r="2319" spans="1:33" ht="6" customHeight="1" x14ac:dyDescent="0.4">
      <c r="A2319" s="4">
        <f>ROW()</f>
        <v>2319</v>
      </c>
      <c r="B2319" s="9" t="s">
        <v>27</v>
      </c>
      <c r="C2319" s="44" t="str">
        <f t="shared" si="1212"/>
        <v>p.representar</v>
      </c>
      <c r="D2319" s="6" t="str">
        <f t="shared" si="1213"/>
        <v>é.desenho.de.ligação</v>
      </c>
      <c r="E2319" s="8" t="s">
        <v>28</v>
      </c>
      <c r="F2319" s="34" t="str">
        <f t="shared" si="1219"/>
        <v>d.representar</v>
      </c>
      <c r="G2319" s="14" t="s">
        <v>9904</v>
      </c>
      <c r="H2319" s="33" t="s">
        <v>1581</v>
      </c>
      <c r="I2319" s="92" t="str">
        <f t="shared" si="1189"/>
        <v>null</v>
      </c>
      <c r="J2319" s="82" t="s">
        <v>0</v>
      </c>
      <c r="K2319" s="82" t="s">
        <v>0</v>
      </c>
      <c r="L2319" s="82" t="s">
        <v>0</v>
      </c>
      <c r="M2319" s="82" t="s">
        <v>0</v>
      </c>
      <c r="N2319" s="80" t="s">
        <v>0</v>
      </c>
      <c r="O2319" s="82" t="s">
        <v>0</v>
      </c>
      <c r="P2319" s="82" t="s">
        <v>0</v>
      </c>
      <c r="Q2319" s="82" t="s">
        <v>0</v>
      </c>
      <c r="R2319" s="84" t="s">
        <v>0</v>
      </c>
      <c r="S2319" s="10" t="s">
        <v>1</v>
      </c>
      <c r="T2319" s="10" t="s">
        <v>10221</v>
      </c>
      <c r="U2319" s="5" t="str">
        <f t="shared" si="1214"/>
        <v>Propriedade destinada a representar: é.desenho.de.ligação</v>
      </c>
      <c r="V2319" s="5" t="str">
        <f t="shared" si="1215"/>
        <v>Dado para representar:  desenho.de.ligação  Deve ser formatado como (rdfs:Literal  or  xsd:string)</v>
      </c>
      <c r="W2319" s="69" t="s">
        <v>9907</v>
      </c>
      <c r="X2319" s="17" t="str">
        <f t="shared" si="1210"/>
        <v>d.repre.106</v>
      </c>
      <c r="Y2319" s="17" t="str">
        <f t="shared" si="1211"/>
        <v>Ação de representar</v>
      </c>
      <c r="Z2319" s="62" t="s">
        <v>9954</v>
      </c>
      <c r="AA2319" s="18" t="str">
        <f t="shared" si="1216"/>
        <v>categoria.revit</v>
      </c>
      <c r="AB2319" s="19" t="s">
        <v>2125</v>
      </c>
      <c r="AC2319" s="18" t="str">
        <f t="shared" si="1217"/>
        <v>null</v>
      </c>
      <c r="AD2319" s="19" t="s">
        <v>0</v>
      </c>
      <c r="AE2319" s="18" t="str">
        <f t="shared" si="1218"/>
        <v>propriedade</v>
      </c>
      <c r="AF2319" s="75" t="s">
        <v>9909</v>
      </c>
      <c r="AG2319" s="38" t="s">
        <v>9967</v>
      </c>
    </row>
    <row r="2320" spans="1:33" ht="6" customHeight="1" x14ac:dyDescent="0.4">
      <c r="A2320" s="4">
        <f>ROW()</f>
        <v>2320</v>
      </c>
      <c r="B2320" s="9" t="s">
        <v>27</v>
      </c>
      <c r="C2320" s="44" t="str">
        <f t="shared" si="1212"/>
        <v>p.representar</v>
      </c>
      <c r="D2320" s="6" t="str">
        <f t="shared" si="1213"/>
        <v>é.desenho.de.montagem</v>
      </c>
      <c r="E2320" s="8" t="s">
        <v>28</v>
      </c>
      <c r="F2320" s="34" t="str">
        <f t="shared" si="1219"/>
        <v>d.representar</v>
      </c>
      <c r="G2320" s="14" t="s">
        <v>9903</v>
      </c>
      <c r="H2320" s="33" t="s">
        <v>1581</v>
      </c>
      <c r="I2320" s="92" t="str">
        <f t="shared" si="1189"/>
        <v>null</v>
      </c>
      <c r="J2320" s="82" t="s">
        <v>0</v>
      </c>
      <c r="K2320" s="82" t="s">
        <v>0</v>
      </c>
      <c r="L2320" s="82" t="s">
        <v>0</v>
      </c>
      <c r="M2320" s="82" t="s">
        <v>0</v>
      </c>
      <c r="N2320" s="80" t="s">
        <v>0</v>
      </c>
      <c r="O2320" s="82" t="s">
        <v>0</v>
      </c>
      <c r="P2320" s="82" t="s">
        <v>0</v>
      </c>
      <c r="Q2320" s="82" t="s">
        <v>0</v>
      </c>
      <c r="R2320" s="84" t="s">
        <v>0</v>
      </c>
      <c r="S2320" s="10" t="s">
        <v>1</v>
      </c>
      <c r="T2320" s="10" t="s">
        <v>10221</v>
      </c>
      <c r="U2320" s="5" t="str">
        <f t="shared" si="1214"/>
        <v>Propriedade destinada a representar: é.desenho.de.montagem</v>
      </c>
      <c r="V2320" s="5" t="str">
        <f t="shared" si="1215"/>
        <v>Dado para representar:  desenho.de.montagem  Deve ser formatado como (rdfs:Literal  or  xsd:string)</v>
      </c>
      <c r="W2320" s="69" t="s">
        <v>9908</v>
      </c>
      <c r="X2320" s="17" t="str">
        <f t="shared" si="1210"/>
        <v>d.repre.107</v>
      </c>
      <c r="Y2320" s="17" t="str">
        <f t="shared" si="1211"/>
        <v>Ação de representar</v>
      </c>
      <c r="Z2320" s="62" t="s">
        <v>9955</v>
      </c>
      <c r="AA2320" s="18" t="str">
        <f t="shared" si="1216"/>
        <v>categoria.revit</v>
      </c>
      <c r="AB2320" s="19" t="s">
        <v>2125</v>
      </c>
      <c r="AC2320" s="18" t="str">
        <f t="shared" si="1217"/>
        <v>null</v>
      </c>
      <c r="AD2320" s="19" t="s">
        <v>0</v>
      </c>
      <c r="AE2320" s="18" t="str">
        <f t="shared" si="1218"/>
        <v>propriedade</v>
      </c>
      <c r="AF2320" s="75" t="s">
        <v>9909</v>
      </c>
      <c r="AG2320" s="38" t="s">
        <v>9968</v>
      </c>
    </row>
    <row r="2321" spans="1:33" ht="6" customHeight="1" x14ac:dyDescent="0.4">
      <c r="A2321" s="4">
        <f>ROW()</f>
        <v>2321</v>
      </c>
      <c r="B2321" s="9" t="s">
        <v>27</v>
      </c>
      <c r="C2321" s="44" t="str">
        <f t="shared" si="1212"/>
        <v>p.representar</v>
      </c>
      <c r="D2321" s="6" t="str">
        <f t="shared" si="1213"/>
        <v>é.detalhe</v>
      </c>
      <c r="E2321" s="8" t="s">
        <v>28</v>
      </c>
      <c r="F2321" s="34" t="str">
        <f t="shared" si="1219"/>
        <v>d.representar</v>
      </c>
      <c r="G2321" s="13" t="s">
        <v>107</v>
      </c>
      <c r="H2321" s="34" t="s">
        <v>1581</v>
      </c>
      <c r="I2321" s="92" t="str">
        <f t="shared" si="1189"/>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si="1214"/>
        <v>Propriedade destinada a representar: é.detalhe</v>
      </c>
      <c r="V2321" s="5" t="str">
        <f t="shared" si="1215"/>
        <v>Dado para representar:  detalhe  Deve ser formatado como (rdfs:Literal  or  xsd:string)</v>
      </c>
      <c r="W2321" s="69" t="s">
        <v>9882</v>
      </c>
      <c r="X2321" s="17" t="str">
        <f t="shared" si="1210"/>
        <v>d.repre.108</v>
      </c>
      <c r="Y2321" s="17" t="str">
        <f t="shared" si="1211"/>
        <v>Ação de representar</v>
      </c>
      <c r="Z2321" s="62" t="s">
        <v>9940</v>
      </c>
      <c r="AA2321" s="18" t="str">
        <f t="shared" si="1216"/>
        <v>categoria.revit</v>
      </c>
      <c r="AB2321" s="19" t="s">
        <v>2125</v>
      </c>
      <c r="AC2321" s="18" t="str">
        <f t="shared" si="1217"/>
        <v>null</v>
      </c>
      <c r="AD2321" s="19" t="s">
        <v>0</v>
      </c>
      <c r="AE2321" s="18" t="str">
        <f t="shared" si="1218"/>
        <v>propriedade</v>
      </c>
      <c r="AF2321" s="75" t="s">
        <v>9917</v>
      </c>
      <c r="AG2321" s="38" t="s">
        <v>9974</v>
      </c>
    </row>
    <row r="2322" spans="1:33" ht="6" customHeight="1" x14ac:dyDescent="0.4">
      <c r="A2322" s="4">
        <f>ROW()</f>
        <v>2322</v>
      </c>
      <c r="B2322" s="9" t="s">
        <v>27</v>
      </c>
      <c r="C2322" s="44" t="str">
        <f t="shared" si="1212"/>
        <v>p.representar</v>
      </c>
      <c r="D2322" s="6" t="str">
        <f t="shared" si="1213"/>
        <v>é.detalhe.em.corte</v>
      </c>
      <c r="E2322" s="8" t="s">
        <v>28</v>
      </c>
      <c r="F2322" s="34" t="str">
        <f t="shared" si="1219"/>
        <v>d.representar</v>
      </c>
      <c r="G2322" s="13" t="s">
        <v>9889</v>
      </c>
      <c r="H2322" s="34" t="s">
        <v>1581</v>
      </c>
      <c r="I2322" s="92" t="str">
        <f t="shared" si="1189"/>
        <v>null</v>
      </c>
      <c r="J2322" s="80" t="s">
        <v>0</v>
      </c>
      <c r="K2322" s="80" t="s">
        <v>0</v>
      </c>
      <c r="L2322" s="80" t="s">
        <v>0</v>
      </c>
      <c r="M2322" s="80" t="s">
        <v>0</v>
      </c>
      <c r="N2322" s="80" t="s">
        <v>0</v>
      </c>
      <c r="O2322" s="80" t="s">
        <v>0</v>
      </c>
      <c r="P2322" s="80" t="s">
        <v>0</v>
      </c>
      <c r="Q2322" s="80" t="s">
        <v>0</v>
      </c>
      <c r="R2322" s="84" t="s">
        <v>0</v>
      </c>
      <c r="S2322" s="10" t="s">
        <v>1</v>
      </c>
      <c r="T2322" s="10" t="s">
        <v>10221</v>
      </c>
      <c r="U2322" s="5" t="str">
        <f t="shared" si="1214"/>
        <v>Propriedade destinada a representar: é.detalhe.em.corte</v>
      </c>
      <c r="V2322" s="5" t="str">
        <f t="shared" si="1215"/>
        <v>Dado para representar:  detalhe.em.corte  Deve ser formatado como (rdfs:Literal  or  xsd:string)</v>
      </c>
      <c r="W2322" s="69" t="s">
        <v>9883</v>
      </c>
      <c r="X2322" s="17" t="str">
        <f t="shared" si="1210"/>
        <v>d.repre.109</v>
      </c>
      <c r="Y2322" s="17" t="str">
        <f t="shared" si="1211"/>
        <v>Ação de representar</v>
      </c>
      <c r="Z2322" s="62" t="s">
        <v>9941</v>
      </c>
      <c r="AA2322" s="18" t="str">
        <f t="shared" si="1216"/>
        <v>categoria.revit</v>
      </c>
      <c r="AB2322" s="19" t="s">
        <v>2125</v>
      </c>
      <c r="AC2322" s="18" t="str">
        <f t="shared" si="1217"/>
        <v>null</v>
      </c>
      <c r="AD2322" s="19" t="s">
        <v>0</v>
      </c>
      <c r="AE2322" s="18" t="str">
        <f t="shared" si="1218"/>
        <v>propriedade</v>
      </c>
      <c r="AF2322" s="75" t="s">
        <v>9916</v>
      </c>
      <c r="AG2322" s="38" t="s">
        <v>9975</v>
      </c>
    </row>
    <row r="2323" spans="1:33" ht="6" customHeight="1" x14ac:dyDescent="0.4">
      <c r="A2323" s="4">
        <f>ROW()</f>
        <v>2323</v>
      </c>
      <c r="B2323" s="9" t="s">
        <v>27</v>
      </c>
      <c r="C2323" s="44" t="str">
        <f t="shared" si="1212"/>
        <v>p.representar</v>
      </c>
      <c r="D2323" s="6" t="str">
        <f t="shared" si="1213"/>
        <v>é.elevação</v>
      </c>
      <c r="E2323" s="8" t="s">
        <v>28</v>
      </c>
      <c r="F2323" s="34" t="str">
        <f t="shared" si="1219"/>
        <v>d.representar</v>
      </c>
      <c r="G2323" s="14" t="s">
        <v>9879</v>
      </c>
      <c r="H2323" s="33" t="s">
        <v>1581</v>
      </c>
      <c r="I2323" s="92" t="str">
        <f t="shared" si="1189"/>
        <v>null</v>
      </c>
      <c r="J2323" s="82" t="s">
        <v>0</v>
      </c>
      <c r="K2323" s="82" t="s">
        <v>0</v>
      </c>
      <c r="L2323" s="82" t="s">
        <v>0</v>
      </c>
      <c r="M2323" s="82" t="s">
        <v>0</v>
      </c>
      <c r="N2323" s="80" t="s">
        <v>0</v>
      </c>
      <c r="O2323" s="82" t="s">
        <v>0</v>
      </c>
      <c r="P2323" s="82" t="s">
        <v>0</v>
      </c>
      <c r="Q2323" s="82" t="s">
        <v>0</v>
      </c>
      <c r="R2323" s="84" t="s">
        <v>9896</v>
      </c>
      <c r="S2323" s="10" t="s">
        <v>1</v>
      </c>
      <c r="T2323" s="10" t="s">
        <v>10221</v>
      </c>
      <c r="U2323" s="5" t="str">
        <f t="shared" si="1214"/>
        <v>Propriedade destinada a representar: é.elevação</v>
      </c>
      <c r="V2323" s="5" t="str">
        <f t="shared" si="1215"/>
        <v>Dado para representar:  elevação  Deve ser formatado como (rdfs:Literal  or  xsd:string)</v>
      </c>
      <c r="W2323" s="69" t="s">
        <v>9900</v>
      </c>
      <c r="X2323" s="17" t="str">
        <f t="shared" si="1210"/>
        <v>d.repre.110</v>
      </c>
      <c r="Y2323" s="17" t="str">
        <f t="shared" si="1211"/>
        <v>Ação de representar</v>
      </c>
      <c r="Z2323" s="62" t="s">
        <v>9942</v>
      </c>
      <c r="AA2323" s="18" t="str">
        <f t="shared" si="1216"/>
        <v>categoria.revit</v>
      </c>
      <c r="AB2323" s="19" t="s">
        <v>2125</v>
      </c>
      <c r="AC2323" s="18" t="str">
        <f t="shared" si="1217"/>
        <v>null</v>
      </c>
      <c r="AD2323" s="19" t="s">
        <v>0</v>
      </c>
      <c r="AE2323" s="18" t="str">
        <f t="shared" si="1218"/>
        <v>propriedade</v>
      </c>
      <c r="AF2323" s="75" t="s">
        <v>9909</v>
      </c>
      <c r="AG2323" s="38" t="s">
        <v>9976</v>
      </c>
    </row>
    <row r="2324" spans="1:33" ht="6" customHeight="1" x14ac:dyDescent="0.4">
      <c r="A2324" s="4">
        <f>ROW()</f>
        <v>2324</v>
      </c>
      <c r="B2324" s="9" t="s">
        <v>27</v>
      </c>
      <c r="C2324" s="44" t="str">
        <f t="shared" si="1212"/>
        <v>p.representar</v>
      </c>
      <c r="D2324" s="6" t="str">
        <f t="shared" si="1213"/>
        <v>é.esboço</v>
      </c>
      <c r="E2324" s="8" t="s">
        <v>28</v>
      </c>
      <c r="F2324" s="34" t="str">
        <f t="shared" si="1219"/>
        <v>d.representar</v>
      </c>
      <c r="G2324" s="13" t="s">
        <v>298</v>
      </c>
      <c r="H2324" s="34" t="s">
        <v>1581</v>
      </c>
      <c r="I2324" s="92" t="str">
        <f t="shared" si="1189"/>
        <v>null</v>
      </c>
      <c r="J2324" s="80" t="s">
        <v>0</v>
      </c>
      <c r="K2324" s="80" t="s">
        <v>0</v>
      </c>
      <c r="L2324" s="80" t="s">
        <v>0</v>
      </c>
      <c r="M2324" s="80" t="s">
        <v>0</v>
      </c>
      <c r="N2324" s="80" t="s">
        <v>0</v>
      </c>
      <c r="O2324" s="80" t="s">
        <v>0</v>
      </c>
      <c r="P2324" s="80" t="s">
        <v>0</v>
      </c>
      <c r="Q2324" s="80" t="s">
        <v>0</v>
      </c>
      <c r="R2324" s="84" t="s">
        <v>0</v>
      </c>
      <c r="S2324" s="10" t="s">
        <v>1</v>
      </c>
      <c r="T2324" s="10" t="s">
        <v>10221</v>
      </c>
      <c r="U2324" s="5" t="str">
        <f t="shared" si="1214"/>
        <v>Propriedade destinada a representar: é.esboço</v>
      </c>
      <c r="V2324" s="5" t="str">
        <f t="shared" si="1215"/>
        <v>Dado para representar:  esboço  Deve ser formatado como (rdfs:Literal  or  xsd:string)</v>
      </c>
      <c r="W2324" s="69" t="s">
        <v>9932</v>
      </c>
      <c r="X2324" s="17" t="str">
        <f t="shared" si="1210"/>
        <v>d.repre.111</v>
      </c>
      <c r="Y2324" s="17" t="str">
        <f t="shared" si="1211"/>
        <v>Ação de representar</v>
      </c>
      <c r="Z2324" s="62" t="s">
        <v>9933</v>
      </c>
      <c r="AA2324" s="18" t="str">
        <f t="shared" si="1216"/>
        <v>categoria.revit</v>
      </c>
      <c r="AB2324" s="19" t="s">
        <v>2125</v>
      </c>
      <c r="AC2324" s="18" t="str">
        <f t="shared" si="1217"/>
        <v>null</v>
      </c>
      <c r="AD2324" s="19" t="s">
        <v>0</v>
      </c>
      <c r="AE2324" s="18" t="str">
        <f t="shared" si="1218"/>
        <v>propriedade</v>
      </c>
      <c r="AF2324" s="75" t="s">
        <v>9960</v>
      </c>
      <c r="AG2324" s="38" t="s">
        <v>8058</v>
      </c>
    </row>
    <row r="2325" spans="1:33" ht="6" customHeight="1" x14ac:dyDescent="0.4">
      <c r="A2325" s="4">
        <f>ROW()</f>
        <v>2325</v>
      </c>
      <c r="B2325" s="9" t="s">
        <v>27</v>
      </c>
      <c r="C2325" s="44" t="str">
        <f t="shared" si="1212"/>
        <v>p.representar</v>
      </c>
      <c r="D2325" s="6" t="str">
        <f t="shared" si="1213"/>
        <v>é.passeio.virtual</v>
      </c>
      <c r="E2325" s="8" t="s">
        <v>28</v>
      </c>
      <c r="F2325" s="34" t="str">
        <f t="shared" si="1219"/>
        <v>d.representar</v>
      </c>
      <c r="G2325" s="14" t="s">
        <v>9880</v>
      </c>
      <c r="H2325" s="33" t="s">
        <v>1581</v>
      </c>
      <c r="I2325" s="92" t="str">
        <f t="shared" si="1189"/>
        <v>null</v>
      </c>
      <c r="J2325" s="82" t="s">
        <v>0</v>
      </c>
      <c r="K2325" s="82" t="s">
        <v>0</v>
      </c>
      <c r="L2325" s="82" t="s">
        <v>0</v>
      </c>
      <c r="M2325" s="82" t="s">
        <v>0</v>
      </c>
      <c r="N2325" s="80" t="s">
        <v>0</v>
      </c>
      <c r="O2325" s="82" t="s">
        <v>0</v>
      </c>
      <c r="P2325" s="82" t="s">
        <v>0</v>
      </c>
      <c r="Q2325" s="82" t="s">
        <v>0</v>
      </c>
      <c r="R2325" s="84" t="s">
        <v>9919</v>
      </c>
      <c r="S2325" s="10" t="s">
        <v>1</v>
      </c>
      <c r="T2325" s="10" t="s">
        <v>10221</v>
      </c>
      <c r="U2325" s="5" t="str">
        <f t="shared" si="1214"/>
        <v>Propriedade destinada a representar: é.passeio.virtual</v>
      </c>
      <c r="V2325" s="5" t="str">
        <f t="shared" si="1215"/>
        <v>Dado para representar:  passeio.virtual  Deve ser formatado como (rdfs:Literal  or  xsd:string)</v>
      </c>
      <c r="W2325" s="69" t="s">
        <v>9885</v>
      </c>
      <c r="X2325" s="17" t="str">
        <f t="shared" si="1210"/>
        <v>d.repre.112</v>
      </c>
      <c r="Y2325" s="17" t="str">
        <f t="shared" si="1211"/>
        <v>Ação de representar</v>
      </c>
      <c r="Z2325" s="62" t="s">
        <v>9951</v>
      </c>
      <c r="AA2325" s="18" t="str">
        <f t="shared" si="1216"/>
        <v>categoria.revit</v>
      </c>
      <c r="AB2325" s="19" t="s">
        <v>2125</v>
      </c>
      <c r="AC2325" s="18" t="str">
        <f t="shared" si="1217"/>
        <v>null</v>
      </c>
      <c r="AD2325" s="19" t="s">
        <v>0</v>
      </c>
      <c r="AE2325" s="18" t="str">
        <f t="shared" si="1218"/>
        <v>propriedade</v>
      </c>
      <c r="AF2325" s="75" t="s">
        <v>9915</v>
      </c>
      <c r="AG2325" s="38" t="s">
        <v>9969</v>
      </c>
    </row>
    <row r="2326" spans="1:33" ht="6" customHeight="1" x14ac:dyDescent="0.4">
      <c r="A2326" s="4">
        <f>ROW()</f>
        <v>2326</v>
      </c>
      <c r="B2326" s="9" t="s">
        <v>27</v>
      </c>
      <c r="C2326" s="44" t="str">
        <f t="shared" si="1212"/>
        <v>p.representar</v>
      </c>
      <c r="D2326" s="6" t="str">
        <f t="shared" si="1213"/>
        <v>é.perspectiva</v>
      </c>
      <c r="E2326" s="8" t="s">
        <v>28</v>
      </c>
      <c r="F2326" s="34" t="str">
        <f t="shared" si="1219"/>
        <v>d.representar</v>
      </c>
      <c r="G2326" s="13" t="s">
        <v>299</v>
      </c>
      <c r="H2326" s="34" t="s">
        <v>1581</v>
      </c>
      <c r="I2326" s="92" t="str">
        <f t="shared" si="1189"/>
        <v>null</v>
      </c>
      <c r="J2326" s="80" t="s">
        <v>0</v>
      </c>
      <c r="K2326" s="80" t="s">
        <v>0</v>
      </c>
      <c r="L2326" s="80" t="s">
        <v>0</v>
      </c>
      <c r="M2326" s="80" t="s">
        <v>0</v>
      </c>
      <c r="N2326" s="80" t="s">
        <v>0</v>
      </c>
      <c r="O2326" s="80" t="s">
        <v>0</v>
      </c>
      <c r="P2326" s="80" t="s">
        <v>0</v>
      </c>
      <c r="Q2326" s="80" t="s">
        <v>0</v>
      </c>
      <c r="R2326" s="84" t="s">
        <v>0</v>
      </c>
      <c r="S2326" s="10" t="s">
        <v>1</v>
      </c>
      <c r="T2326" s="10" t="s">
        <v>10221</v>
      </c>
      <c r="U2326" s="5" t="str">
        <f t="shared" si="1214"/>
        <v>Propriedade destinada a representar: é.perspectiva</v>
      </c>
      <c r="V2326" s="5" t="str">
        <f t="shared" si="1215"/>
        <v>Dado para representar:  perspectiva  Deve ser formatado como (rdfs:Literal  or  xsd:string)</v>
      </c>
      <c r="W2326" s="69" t="s">
        <v>9884</v>
      </c>
      <c r="X2326" s="17" t="str">
        <f t="shared" si="1210"/>
        <v>d.repre.113</v>
      </c>
      <c r="Y2326" s="17" t="str">
        <f t="shared" si="1211"/>
        <v>Ação de representar</v>
      </c>
      <c r="Z2326" s="62" t="s">
        <v>9943</v>
      </c>
      <c r="AA2326" s="18" t="str">
        <f t="shared" si="1216"/>
        <v>categoria.revit</v>
      </c>
      <c r="AB2326" s="19" t="s">
        <v>2125</v>
      </c>
      <c r="AC2326" s="18" t="str">
        <f t="shared" si="1217"/>
        <v>null</v>
      </c>
      <c r="AD2326" s="19" t="s">
        <v>0</v>
      </c>
      <c r="AE2326" s="18" t="str">
        <f t="shared" si="1218"/>
        <v>propriedade</v>
      </c>
      <c r="AF2326" s="75" t="s">
        <v>9914</v>
      </c>
      <c r="AG2326" s="38" t="s">
        <v>9980</v>
      </c>
    </row>
    <row r="2327" spans="1:33" ht="6" customHeight="1" x14ac:dyDescent="0.4">
      <c r="A2327" s="4">
        <f>ROW()</f>
        <v>2327</v>
      </c>
      <c r="B2327" s="9" t="s">
        <v>27</v>
      </c>
      <c r="C2327" s="44" t="str">
        <f t="shared" si="1212"/>
        <v>p.representar</v>
      </c>
      <c r="D2327" s="6" t="str">
        <f t="shared" si="1213"/>
        <v>é.planta.baixa</v>
      </c>
      <c r="E2327" s="8" t="s">
        <v>28</v>
      </c>
      <c r="F2327" s="34" t="str">
        <f>F2325</f>
        <v>d.representar</v>
      </c>
      <c r="G2327" s="14" t="s">
        <v>614</v>
      </c>
      <c r="H2327" s="33" t="s">
        <v>1581</v>
      </c>
      <c r="I2327" s="92" t="str">
        <f t="shared" si="1189"/>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14"/>
        <v>Propriedade destinada a representar: é.planta.baixa</v>
      </c>
      <c r="V2327" s="5" t="str">
        <f t="shared" si="1215"/>
        <v>Dado para representar:  planta.baixa  Deve ser formatado como (rdfs:Literal  or  xsd:string)</v>
      </c>
      <c r="W2327" s="69" t="s">
        <v>9923</v>
      </c>
      <c r="X2327" s="17" t="str">
        <f t="shared" si="1210"/>
        <v>d.repre.114</v>
      </c>
      <c r="Y2327" s="17" t="str">
        <f t="shared" si="1211"/>
        <v>Ação de representar</v>
      </c>
      <c r="Z2327" s="62" t="s">
        <v>9956</v>
      </c>
      <c r="AA2327" s="18" t="str">
        <f t="shared" si="1216"/>
        <v>categoria.revit</v>
      </c>
      <c r="AB2327" s="19" t="s">
        <v>2125</v>
      </c>
      <c r="AC2327" s="18" t="str">
        <f t="shared" si="1217"/>
        <v>null</v>
      </c>
      <c r="AD2327" s="19" t="s">
        <v>0</v>
      </c>
      <c r="AE2327" s="18" t="str">
        <f t="shared" si="1218"/>
        <v>propriedade</v>
      </c>
      <c r="AF2327" s="75" t="s">
        <v>9911</v>
      </c>
      <c r="AG2327" s="38" t="s">
        <v>9970</v>
      </c>
    </row>
    <row r="2328" spans="1:33" ht="6" customHeight="1" x14ac:dyDescent="0.4">
      <c r="A2328" s="4">
        <f>ROW()</f>
        <v>2328</v>
      </c>
      <c r="B2328" s="9" t="s">
        <v>27</v>
      </c>
      <c r="C2328" s="44" t="str">
        <f t="shared" si="1212"/>
        <v>p.representar</v>
      </c>
      <c r="D2328" s="6" t="str">
        <f t="shared" si="1213"/>
        <v>é.planta.de.mobiliário</v>
      </c>
      <c r="E2328" s="8" t="s">
        <v>28</v>
      </c>
      <c r="F2328" s="34" t="str">
        <f>F2326</f>
        <v>d.representar</v>
      </c>
      <c r="G2328" s="14" t="s">
        <v>9921</v>
      </c>
      <c r="H2328" s="33" t="s">
        <v>1581</v>
      </c>
      <c r="I2328" s="92" t="str">
        <f t="shared" si="1189"/>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14"/>
        <v>Propriedade destinada a representar: é.planta.de.mobiliário</v>
      </c>
      <c r="V2328" s="5" t="str">
        <f t="shared" si="1215"/>
        <v>Dado para representar:  planta.de.mobiliário  Deve ser formatado como (rdfs:Literal  or  xsd:string)</v>
      </c>
      <c r="W2328" s="69" t="s">
        <v>9922</v>
      </c>
      <c r="X2328" s="17" t="str">
        <f t="shared" si="1210"/>
        <v>d.repre.115</v>
      </c>
      <c r="Y2328" s="17" t="str">
        <f t="shared" si="1211"/>
        <v>Ação de representar</v>
      </c>
      <c r="Z2328" s="62" t="s">
        <v>9957</v>
      </c>
      <c r="AA2328" s="18" t="str">
        <f t="shared" si="1216"/>
        <v>categoria.revit</v>
      </c>
      <c r="AB2328" s="19" t="s">
        <v>2125</v>
      </c>
      <c r="AC2328" s="18" t="str">
        <f t="shared" si="1217"/>
        <v>null</v>
      </c>
      <c r="AD2328" s="19" t="s">
        <v>0</v>
      </c>
      <c r="AE2328" s="18" t="str">
        <f t="shared" si="1218"/>
        <v>propriedade</v>
      </c>
      <c r="AF2328" s="75" t="s">
        <v>9911</v>
      </c>
      <c r="AG2328" s="38" t="s">
        <v>9971</v>
      </c>
    </row>
    <row r="2329" spans="1:33" ht="6" customHeight="1" x14ac:dyDescent="0.4">
      <c r="A2329" s="4">
        <f>ROW()</f>
        <v>2329</v>
      </c>
      <c r="B2329" s="9" t="s">
        <v>27</v>
      </c>
      <c r="C2329" s="44" t="str">
        <f t="shared" si="1212"/>
        <v>p.representar</v>
      </c>
      <c r="D2329" s="6" t="str">
        <f t="shared" si="1213"/>
        <v>é.planta.de.arquitetura</v>
      </c>
      <c r="E2329" s="8" t="s">
        <v>28</v>
      </c>
      <c r="F2329" s="34" t="str">
        <f t="shared" si="1219"/>
        <v>d.representar</v>
      </c>
      <c r="G2329" s="14" t="s">
        <v>9893</v>
      </c>
      <c r="H2329" s="33" t="s">
        <v>1581</v>
      </c>
      <c r="I2329" s="92" t="str">
        <f t="shared" si="1189"/>
        <v>null</v>
      </c>
      <c r="J2329" s="82" t="s">
        <v>0</v>
      </c>
      <c r="K2329" s="82" t="s">
        <v>0</v>
      </c>
      <c r="L2329" s="82" t="s">
        <v>0</v>
      </c>
      <c r="M2329" s="82" t="s">
        <v>0</v>
      </c>
      <c r="N2329" s="80" t="s">
        <v>0</v>
      </c>
      <c r="O2329" s="82" t="s">
        <v>0</v>
      </c>
      <c r="P2329" s="82" t="s">
        <v>0</v>
      </c>
      <c r="Q2329" s="82" t="s">
        <v>0</v>
      </c>
      <c r="R2329" s="84" t="s">
        <v>0</v>
      </c>
      <c r="S2329" s="10" t="s">
        <v>1</v>
      </c>
      <c r="T2329" s="10" t="s">
        <v>10221</v>
      </c>
      <c r="U2329" s="5" t="str">
        <f t="shared" si="1214"/>
        <v>Propriedade destinada a representar: é.planta.de.arquitetura</v>
      </c>
      <c r="V2329" s="5" t="str">
        <f t="shared" si="1215"/>
        <v>Dado para representar:  planta.de.arquitetura  Deve ser formatado como (rdfs:Literal  or  xsd:string)</v>
      </c>
      <c r="W2329" s="69" t="s">
        <v>9923</v>
      </c>
      <c r="X2329" s="17" t="str">
        <f t="shared" si="1210"/>
        <v>d.repre.116</v>
      </c>
      <c r="Y2329" s="17" t="str">
        <f t="shared" si="1211"/>
        <v>Ação de representar</v>
      </c>
      <c r="Z2329" s="62" t="s">
        <v>9956</v>
      </c>
      <c r="AA2329" s="18" t="str">
        <f t="shared" si="1216"/>
        <v>categoria.revit</v>
      </c>
      <c r="AB2329" s="19" t="s">
        <v>2125</v>
      </c>
      <c r="AC2329" s="18" t="str">
        <f t="shared" si="1217"/>
        <v>null</v>
      </c>
      <c r="AD2329" s="19" t="s">
        <v>0</v>
      </c>
      <c r="AE2329" s="18" t="str">
        <f t="shared" si="1218"/>
        <v>propriedade</v>
      </c>
      <c r="AF2329" s="75" t="s">
        <v>9911</v>
      </c>
      <c r="AG2329" s="38" t="s">
        <v>9970</v>
      </c>
    </row>
    <row r="2330" spans="1:33" ht="6" customHeight="1" x14ac:dyDescent="0.4">
      <c r="A2330" s="4">
        <f>ROW()</f>
        <v>2330</v>
      </c>
      <c r="B2330" s="9" t="s">
        <v>27</v>
      </c>
      <c r="C2330" s="44" t="str">
        <f t="shared" si="1212"/>
        <v>p.representar</v>
      </c>
      <c r="D2330" s="6" t="str">
        <f t="shared" si="1213"/>
        <v>é.planta.de.estrutura</v>
      </c>
      <c r="E2330" s="8" t="s">
        <v>28</v>
      </c>
      <c r="F2330" s="34" t="str">
        <f t="shared" si="1219"/>
        <v>d.representar</v>
      </c>
      <c r="G2330" s="14" t="s">
        <v>9894</v>
      </c>
      <c r="H2330" s="33" t="s">
        <v>1581</v>
      </c>
      <c r="I2330" s="92" t="str">
        <f t="shared" si="1189"/>
        <v>null</v>
      </c>
      <c r="J2330" s="82" t="s">
        <v>0</v>
      </c>
      <c r="K2330" s="82" t="s">
        <v>0</v>
      </c>
      <c r="L2330" s="82" t="s">
        <v>0</v>
      </c>
      <c r="M2330" s="82" t="s">
        <v>0</v>
      </c>
      <c r="N2330" s="80" t="s">
        <v>0</v>
      </c>
      <c r="O2330" s="82" t="s">
        <v>0</v>
      </c>
      <c r="P2330" s="82" t="s">
        <v>0</v>
      </c>
      <c r="Q2330" s="82" t="s">
        <v>0</v>
      </c>
      <c r="R2330" s="84" t="s">
        <v>0</v>
      </c>
      <c r="S2330" s="10" t="s">
        <v>1</v>
      </c>
      <c r="T2330" s="10" t="s">
        <v>10221</v>
      </c>
      <c r="U2330" s="5" t="str">
        <f t="shared" si="1214"/>
        <v>Propriedade destinada a representar: é.planta.de.estrutura</v>
      </c>
      <c r="V2330" s="5" t="str">
        <f t="shared" si="1215"/>
        <v>Dado para representar:  planta.de.estrutura  Deve ser formatado como (rdfs:Literal  or  xsd:string)</v>
      </c>
      <c r="W2330" s="69" t="s">
        <v>9924</v>
      </c>
      <c r="X2330" s="17" t="str">
        <f t="shared" si="1210"/>
        <v>d.repre.117</v>
      </c>
      <c r="Y2330" s="17" t="str">
        <f t="shared" si="1211"/>
        <v>Ação de representar</v>
      </c>
      <c r="Z2330" s="62" t="s">
        <v>9944</v>
      </c>
      <c r="AA2330" s="18" t="str">
        <f t="shared" si="1216"/>
        <v>categoria.revit</v>
      </c>
      <c r="AB2330" s="19" t="s">
        <v>2125</v>
      </c>
      <c r="AC2330" s="18" t="str">
        <f t="shared" si="1217"/>
        <v>null</v>
      </c>
      <c r="AD2330" s="19" t="s">
        <v>0</v>
      </c>
      <c r="AE2330" s="18" t="str">
        <f t="shared" si="1218"/>
        <v>propriedade</v>
      </c>
      <c r="AF2330" s="75" t="s">
        <v>9911</v>
      </c>
      <c r="AG2330" s="38" t="s">
        <v>9977</v>
      </c>
    </row>
    <row r="2331" spans="1:33" ht="6" customHeight="1" x14ac:dyDescent="0.4">
      <c r="A2331" s="4">
        <f>ROW()</f>
        <v>2331</v>
      </c>
      <c r="B2331" s="9" t="s">
        <v>27</v>
      </c>
      <c r="C2331" s="44" t="str">
        <f t="shared" si="1212"/>
        <v>p.representar</v>
      </c>
      <c r="D2331" s="6" t="str">
        <f t="shared" si="1213"/>
        <v>é.planta.de.forro</v>
      </c>
      <c r="E2331" s="8" t="s">
        <v>28</v>
      </c>
      <c r="F2331" s="34" t="str">
        <f t="shared" si="1219"/>
        <v>d.representar</v>
      </c>
      <c r="G2331" s="14" t="s">
        <v>9895</v>
      </c>
      <c r="H2331" s="33" t="s">
        <v>1581</v>
      </c>
      <c r="I2331" s="92" t="str">
        <f t="shared" si="1189"/>
        <v>null</v>
      </c>
      <c r="J2331" s="82" t="s">
        <v>0</v>
      </c>
      <c r="K2331" s="82" t="s">
        <v>0</v>
      </c>
      <c r="L2331" s="82" t="s">
        <v>0</v>
      </c>
      <c r="M2331" s="82" t="s">
        <v>0</v>
      </c>
      <c r="N2331" s="80" t="s">
        <v>0</v>
      </c>
      <c r="O2331" s="82" t="s">
        <v>0</v>
      </c>
      <c r="P2331" s="82" t="s">
        <v>0</v>
      </c>
      <c r="Q2331" s="82" t="s">
        <v>0</v>
      </c>
      <c r="R2331" s="84" t="s">
        <v>0</v>
      </c>
      <c r="S2331" s="10" t="s">
        <v>1</v>
      </c>
      <c r="T2331" s="10" t="s">
        <v>10221</v>
      </c>
      <c r="U2331" s="5" t="str">
        <f t="shared" si="1214"/>
        <v>Propriedade destinada a representar: é.planta.de.forro</v>
      </c>
      <c r="V2331" s="5" t="str">
        <f t="shared" si="1215"/>
        <v>Dado para representar:  planta.de.forro  Deve ser formatado como (rdfs:Literal  or  xsd:string)</v>
      </c>
      <c r="W2331" s="69" t="s">
        <v>9925</v>
      </c>
      <c r="X2331" s="17" t="str">
        <f t="shared" si="1210"/>
        <v>d.repre.118</v>
      </c>
      <c r="Y2331" s="17" t="str">
        <f t="shared" si="1211"/>
        <v>Ação de representar</v>
      </c>
      <c r="Z2331" s="62" t="s">
        <v>9958</v>
      </c>
      <c r="AA2331" s="18" t="str">
        <f t="shared" si="1216"/>
        <v>categoria.revit</v>
      </c>
      <c r="AB2331" s="19" t="s">
        <v>2125</v>
      </c>
      <c r="AC2331" s="18" t="str">
        <f t="shared" si="1217"/>
        <v>null</v>
      </c>
      <c r="AD2331" s="19" t="s">
        <v>0</v>
      </c>
      <c r="AE2331" s="18" t="str">
        <f t="shared" si="1218"/>
        <v>propriedade</v>
      </c>
      <c r="AF2331" s="75" t="s">
        <v>9909</v>
      </c>
      <c r="AG2331" s="38" t="s">
        <v>9972</v>
      </c>
    </row>
    <row r="2332" spans="1:33" ht="6" customHeight="1" x14ac:dyDescent="0.4">
      <c r="A2332" s="4">
        <f>ROW()</f>
        <v>2332</v>
      </c>
      <c r="B2332" s="9" t="s">
        <v>27</v>
      </c>
      <c r="C2332" s="44" t="str">
        <f t="shared" si="1212"/>
        <v>p.representar</v>
      </c>
      <c r="D2332" s="6" t="str">
        <f t="shared" si="1213"/>
        <v>é.planta.de.situação</v>
      </c>
      <c r="E2332" s="8" t="s">
        <v>28</v>
      </c>
      <c r="F2332" s="34" t="str">
        <f t="shared" si="1219"/>
        <v>d.representar</v>
      </c>
      <c r="G2332" s="14" t="s">
        <v>9901</v>
      </c>
      <c r="H2332" s="33" t="s">
        <v>1581</v>
      </c>
      <c r="I2332" s="92" t="str">
        <f t="shared" si="1189"/>
        <v>null</v>
      </c>
      <c r="J2332" s="82" t="s">
        <v>0</v>
      </c>
      <c r="K2332" s="82" t="s">
        <v>0</v>
      </c>
      <c r="L2332" s="82" t="s">
        <v>0</v>
      </c>
      <c r="M2332" s="82" t="s">
        <v>0</v>
      </c>
      <c r="N2332" s="80" t="s">
        <v>0</v>
      </c>
      <c r="O2332" s="82" t="s">
        <v>0</v>
      </c>
      <c r="P2332" s="82" t="s">
        <v>0</v>
      </c>
      <c r="Q2332" s="82" t="s">
        <v>0</v>
      </c>
      <c r="R2332" s="84" t="s">
        <v>0</v>
      </c>
      <c r="S2332" s="10" t="s">
        <v>1</v>
      </c>
      <c r="T2332" s="10" t="s">
        <v>10221</v>
      </c>
      <c r="U2332" s="5" t="str">
        <f t="shared" si="1214"/>
        <v>Propriedade destinada a representar: é.planta.de.situação</v>
      </c>
      <c r="V2332" s="5" t="str">
        <f t="shared" si="1215"/>
        <v>Dado para representar:  planta.de.situação  Deve ser formatado como (rdfs:Literal  or  xsd:string)</v>
      </c>
      <c r="W2332" s="69" t="s">
        <v>9926</v>
      </c>
      <c r="X2332" s="17" t="str">
        <f t="shared" si="1210"/>
        <v>d.repre.119</v>
      </c>
      <c r="Y2332" s="17" t="str">
        <f t="shared" si="1211"/>
        <v>Ação de representar</v>
      </c>
      <c r="Z2332" s="62" t="s">
        <v>9945</v>
      </c>
      <c r="AA2332" s="18" t="str">
        <f t="shared" si="1216"/>
        <v>categoria.revit</v>
      </c>
      <c r="AB2332" s="19" t="s">
        <v>2125</v>
      </c>
      <c r="AC2332" s="18" t="str">
        <f t="shared" si="1217"/>
        <v>null</v>
      </c>
      <c r="AD2332" s="19" t="s">
        <v>0</v>
      </c>
      <c r="AE2332" s="18" t="str">
        <f t="shared" si="1218"/>
        <v>propriedade</v>
      </c>
      <c r="AF2332" s="75" t="s">
        <v>9910</v>
      </c>
      <c r="AG2332" s="38" t="s">
        <v>9978</v>
      </c>
    </row>
    <row r="2333" spans="1:33" ht="6" customHeight="1" x14ac:dyDescent="0.4">
      <c r="A2333" s="4">
        <f>ROW()</f>
        <v>2333</v>
      </c>
      <c r="B2333" s="9" t="s">
        <v>27</v>
      </c>
      <c r="C2333" s="44" t="str">
        <f t="shared" si="1212"/>
        <v>p.representar</v>
      </c>
      <c r="D2333" s="6" t="str">
        <f t="shared" si="1213"/>
        <v>é.planta.de.telhado</v>
      </c>
      <c r="E2333" s="8" t="s">
        <v>28</v>
      </c>
      <c r="F2333" s="34" t="str">
        <f t="shared" si="1219"/>
        <v>d.representar</v>
      </c>
      <c r="G2333" s="14" t="s">
        <v>9902</v>
      </c>
      <c r="H2333" s="33" t="s">
        <v>1581</v>
      </c>
      <c r="I2333" s="92" t="str">
        <f t="shared" si="1189"/>
        <v>null</v>
      </c>
      <c r="J2333" s="82" t="s">
        <v>0</v>
      </c>
      <c r="K2333" s="82" t="s">
        <v>0</v>
      </c>
      <c r="L2333" s="82" t="s">
        <v>0</v>
      </c>
      <c r="M2333" s="82" t="s">
        <v>0</v>
      </c>
      <c r="N2333" s="80" t="s">
        <v>0</v>
      </c>
      <c r="O2333" s="82" t="s">
        <v>0</v>
      </c>
      <c r="P2333" s="82" t="s">
        <v>0</v>
      </c>
      <c r="Q2333" s="82" t="s">
        <v>0</v>
      </c>
      <c r="R2333" s="84" t="s">
        <v>0</v>
      </c>
      <c r="S2333" s="10" t="s">
        <v>1</v>
      </c>
      <c r="T2333" s="10" t="s">
        <v>10221</v>
      </c>
      <c r="U2333" s="5" t="str">
        <f t="shared" si="1214"/>
        <v>Propriedade destinada a representar: é.planta.de.telhado</v>
      </c>
      <c r="V2333" s="5" t="str">
        <f t="shared" si="1215"/>
        <v>Dado para representar:  planta.de.telhado  Deve ser formatado como (rdfs:Literal  or  xsd:string)</v>
      </c>
      <c r="W2333" s="69" t="s">
        <v>9927</v>
      </c>
      <c r="X2333" s="17" t="str">
        <f t="shared" si="1210"/>
        <v>d.repre.120</v>
      </c>
      <c r="Y2333" s="17" t="str">
        <f t="shared" si="1211"/>
        <v>Ação de representar</v>
      </c>
      <c r="Z2333" s="62" t="s">
        <v>9959</v>
      </c>
      <c r="AA2333" s="18" t="str">
        <f t="shared" si="1216"/>
        <v>categoria.revit</v>
      </c>
      <c r="AB2333" s="19" t="s">
        <v>2125</v>
      </c>
      <c r="AC2333" s="18" t="str">
        <f t="shared" si="1217"/>
        <v>null</v>
      </c>
      <c r="AD2333" s="19" t="s">
        <v>0</v>
      </c>
      <c r="AE2333" s="18" t="str">
        <f t="shared" si="1218"/>
        <v>propriedade</v>
      </c>
      <c r="AF2333" s="75" t="s">
        <v>9909</v>
      </c>
      <c r="AG2333" s="38" t="s">
        <v>9973</v>
      </c>
    </row>
    <row r="2334" spans="1:33" ht="6" customHeight="1" x14ac:dyDescent="0.4">
      <c r="A2334" s="4">
        <f>ROW()</f>
        <v>2334</v>
      </c>
      <c r="B2334" s="9" t="s">
        <v>27</v>
      </c>
      <c r="C2334" s="44" t="str">
        <f t="shared" si="1212"/>
        <v>p.representar</v>
      </c>
      <c r="D2334" s="6" t="str">
        <f t="shared" si="1213"/>
        <v>é.seção</v>
      </c>
      <c r="E2334" s="8" t="s">
        <v>28</v>
      </c>
      <c r="F2334" s="34" t="str">
        <f t="shared" si="1219"/>
        <v>d.representar</v>
      </c>
      <c r="G2334" s="14" t="s">
        <v>1751</v>
      </c>
      <c r="H2334" s="33" t="s">
        <v>1581</v>
      </c>
      <c r="I2334" s="92" t="str">
        <f t="shared" si="1189"/>
        <v>null</v>
      </c>
      <c r="J2334" s="82" t="s">
        <v>0</v>
      </c>
      <c r="K2334" s="82" t="s">
        <v>0</v>
      </c>
      <c r="L2334" s="82" t="s">
        <v>0</v>
      </c>
      <c r="M2334" s="82" t="s">
        <v>0</v>
      </c>
      <c r="N2334" s="80" t="s">
        <v>0</v>
      </c>
      <c r="O2334" s="82" t="s">
        <v>0</v>
      </c>
      <c r="P2334" s="82" t="s">
        <v>0</v>
      </c>
      <c r="Q2334" s="82" t="s">
        <v>0</v>
      </c>
      <c r="R2334" s="84" t="s">
        <v>9898</v>
      </c>
      <c r="S2334" s="10" t="s">
        <v>1</v>
      </c>
      <c r="T2334" s="10" t="s">
        <v>10221</v>
      </c>
      <c r="U2334" s="5" t="str">
        <f t="shared" si="1214"/>
        <v>Propriedade destinada a representar: é.seção</v>
      </c>
      <c r="V2334" s="5" t="str">
        <f t="shared" si="1215"/>
        <v>Dado para representar:  seção  Deve ser formatado como (rdfs:Literal  or  xsd:string)</v>
      </c>
      <c r="W2334" s="69" t="s">
        <v>9928</v>
      </c>
      <c r="X2334" s="17" t="str">
        <f t="shared" si="1210"/>
        <v>d.repre.121</v>
      </c>
      <c r="Y2334" s="17" t="str">
        <f t="shared" si="1211"/>
        <v>Ação de representar</v>
      </c>
      <c r="Z2334" s="62" t="s">
        <v>9952</v>
      </c>
      <c r="AA2334" s="18" t="str">
        <f t="shared" si="1216"/>
        <v>categoria.revit</v>
      </c>
      <c r="AB2334" s="19" t="s">
        <v>2125</v>
      </c>
      <c r="AC2334" s="18" t="str">
        <f t="shared" si="1217"/>
        <v>null</v>
      </c>
      <c r="AD2334" s="19" t="s">
        <v>0</v>
      </c>
      <c r="AE2334" s="18" t="str">
        <f t="shared" si="1218"/>
        <v>propriedade</v>
      </c>
      <c r="AF2334" s="75" t="s">
        <v>9912</v>
      </c>
      <c r="AG2334" s="38" t="s">
        <v>9965</v>
      </c>
    </row>
    <row r="2335" spans="1:33" ht="6" customHeight="1" x14ac:dyDescent="0.4">
      <c r="A2335" s="4">
        <f>ROW()</f>
        <v>2335</v>
      </c>
      <c r="B2335" s="9" t="s">
        <v>27</v>
      </c>
      <c r="C2335" s="44" t="str">
        <f t="shared" si="1212"/>
        <v>p.representar</v>
      </c>
      <c r="D2335" s="6" t="str">
        <f t="shared" si="1213"/>
        <v>é.vista</v>
      </c>
      <c r="E2335" s="8" t="s">
        <v>28</v>
      </c>
      <c r="F2335" s="34" t="str">
        <f t="shared" si="1219"/>
        <v>d.representar</v>
      </c>
      <c r="G2335" s="13" t="s">
        <v>109</v>
      </c>
      <c r="H2335" s="34" t="s">
        <v>1581</v>
      </c>
      <c r="I2335" s="92" t="str">
        <f t="shared" si="1189"/>
        <v>null</v>
      </c>
      <c r="J2335" s="80" t="s">
        <v>0</v>
      </c>
      <c r="K2335" s="80" t="s">
        <v>0</v>
      </c>
      <c r="L2335" s="80" t="s">
        <v>0</v>
      </c>
      <c r="M2335" s="80" t="s">
        <v>0</v>
      </c>
      <c r="N2335" s="80" t="s">
        <v>0</v>
      </c>
      <c r="O2335" s="80" t="s">
        <v>0</v>
      </c>
      <c r="P2335" s="80" t="s">
        <v>0</v>
      </c>
      <c r="Q2335" s="80" t="s">
        <v>0</v>
      </c>
      <c r="R2335" s="84" t="s">
        <v>9897</v>
      </c>
      <c r="S2335" s="10" t="s">
        <v>1</v>
      </c>
      <c r="T2335" s="10" t="s">
        <v>10221</v>
      </c>
      <c r="U2335" s="5" t="str">
        <f t="shared" si="1214"/>
        <v>Propriedade destinada a representar: é.vista</v>
      </c>
      <c r="V2335" s="5" t="str">
        <f t="shared" si="1215"/>
        <v>Dado para representar:  vista  Deve ser formatado como (rdfs:Literal  or  xsd:string)</v>
      </c>
      <c r="W2335" s="69" t="s">
        <v>9929</v>
      </c>
      <c r="X2335" s="17" t="str">
        <f t="shared" si="1210"/>
        <v>d.repre.122</v>
      </c>
      <c r="Y2335" s="17" t="str">
        <f t="shared" si="1211"/>
        <v>Ação de representar</v>
      </c>
      <c r="Z2335" s="62" t="s">
        <v>9946</v>
      </c>
      <c r="AA2335" s="18" t="str">
        <f t="shared" si="1216"/>
        <v>categoria.revit</v>
      </c>
      <c r="AB2335" s="19" t="s">
        <v>2125</v>
      </c>
      <c r="AC2335" s="18" t="str">
        <f t="shared" si="1217"/>
        <v>null</v>
      </c>
      <c r="AD2335" s="19" t="s">
        <v>0</v>
      </c>
      <c r="AE2335" s="18" t="str">
        <f t="shared" si="1218"/>
        <v>propriedade</v>
      </c>
      <c r="AF2335" s="75" t="s">
        <v>9909</v>
      </c>
      <c r="AG2335" s="38" t="s">
        <v>9979</v>
      </c>
    </row>
    <row r="2336" spans="1:33" ht="6" customHeight="1" x14ac:dyDescent="0.4">
      <c r="A2336" s="4">
        <f>ROW()</f>
        <v>2336</v>
      </c>
      <c r="B2336" s="9" t="s">
        <v>27</v>
      </c>
      <c r="C2336" s="44" t="str">
        <f t="shared" si="1212"/>
        <v>p.representar</v>
      </c>
      <c r="D2336" s="6" t="str">
        <f t="shared" si="1213"/>
        <v>é.walkthrough</v>
      </c>
      <c r="E2336" s="8" t="s">
        <v>28</v>
      </c>
      <c r="F2336" s="34" t="str">
        <f t="shared" si="1219"/>
        <v>d.representar</v>
      </c>
      <c r="G2336" s="14" t="s">
        <v>9918</v>
      </c>
      <c r="H2336" s="33" t="s">
        <v>1581</v>
      </c>
      <c r="I2336" s="92" t="str">
        <f t="shared" si="1189"/>
        <v>null</v>
      </c>
      <c r="J2336" s="82" t="s">
        <v>0</v>
      </c>
      <c r="K2336" s="82" t="s">
        <v>0</v>
      </c>
      <c r="L2336" s="82" t="s">
        <v>0</v>
      </c>
      <c r="M2336" s="82" t="s">
        <v>0</v>
      </c>
      <c r="N2336" s="80" t="s">
        <v>0</v>
      </c>
      <c r="O2336" s="82" t="s">
        <v>0</v>
      </c>
      <c r="P2336" s="82" t="s">
        <v>0</v>
      </c>
      <c r="Q2336" s="82" t="s">
        <v>0</v>
      </c>
      <c r="R2336" s="84" t="s">
        <v>9920</v>
      </c>
      <c r="S2336" s="10" t="s">
        <v>1</v>
      </c>
      <c r="T2336" s="10" t="s">
        <v>10221</v>
      </c>
      <c r="U2336" s="5" t="str">
        <f t="shared" si="1214"/>
        <v>Propriedade destinada a representar: é.walkthrough</v>
      </c>
      <c r="V2336" s="5" t="str">
        <f t="shared" si="1215"/>
        <v>Dado para representar:  walkthrough  Deve ser formatado como (rdfs:Literal  or  xsd:string)</v>
      </c>
      <c r="W2336" s="69" t="s">
        <v>9885</v>
      </c>
      <c r="X2336" s="17" t="str">
        <f t="shared" si="1210"/>
        <v>d.repre.123</v>
      </c>
      <c r="Y2336" s="17" t="str">
        <f t="shared" si="1211"/>
        <v>Ação de representar</v>
      </c>
      <c r="Z2336" s="62" t="s">
        <v>9951</v>
      </c>
      <c r="AA2336" s="18" t="str">
        <f t="shared" si="1216"/>
        <v>categoria.revit</v>
      </c>
      <c r="AB2336" s="19" t="s">
        <v>2125</v>
      </c>
      <c r="AC2336" s="18" t="str">
        <f t="shared" si="1217"/>
        <v>null</v>
      </c>
      <c r="AD2336" s="19" t="s">
        <v>0</v>
      </c>
      <c r="AE2336" s="18" t="str">
        <f t="shared" si="1218"/>
        <v>propriedade</v>
      </c>
      <c r="AF2336" s="75" t="s">
        <v>9915</v>
      </c>
      <c r="AG2336" s="38" t="s">
        <v>9969</v>
      </c>
    </row>
    <row r="2337" spans="1:33" ht="6" customHeight="1" x14ac:dyDescent="0.4">
      <c r="A2337" s="4">
        <f>ROW()</f>
        <v>2337</v>
      </c>
      <c r="B2337" s="9" t="s">
        <v>27</v>
      </c>
      <c r="C2337" s="43" t="str">
        <f t="shared" si="1159"/>
        <v>p.reproduzir</v>
      </c>
      <c r="D2337" s="6" t="str">
        <f t="shared" si="1160"/>
        <v>é.mídia</v>
      </c>
      <c r="E2337" s="8" t="s">
        <v>28</v>
      </c>
      <c r="F2337" s="41" t="s">
        <v>2229</v>
      </c>
      <c r="G2337" s="14" t="s">
        <v>429</v>
      </c>
      <c r="H2337" s="33" t="s">
        <v>1581</v>
      </c>
      <c r="I2337" s="92" t="str">
        <f t="shared" si="1189"/>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161"/>
        <v>Propriedade destinada a reproduzir: é.mídia</v>
      </c>
      <c r="V2337" s="5" t="str">
        <f t="shared" si="1162"/>
        <v>Dado para reproduzir:  mídia  Deve ser formatado como (rdfs:Literal  or  xsd:string)</v>
      </c>
      <c r="W2337" s="69" t="s">
        <v>6217</v>
      </c>
      <c r="X2337" s="17" t="str">
        <f t="shared" si="1210"/>
        <v>d.repro.100</v>
      </c>
      <c r="Y2337" s="17" t="str">
        <f t="shared" si="1211"/>
        <v>Ação de reproduzir</v>
      </c>
      <c r="Z2337" s="62" t="s">
        <v>1411</v>
      </c>
      <c r="AA2337" s="18" t="str">
        <f t="shared" ref="AA2337:AA2412" si="1220">IF(AB2337="null", "null", "categoria.revit")</f>
        <v>null</v>
      </c>
      <c r="AB2337" s="19" t="s">
        <v>0</v>
      </c>
      <c r="AC2337" s="18" t="str">
        <f t="shared" ref="AC2337:AC2412" si="1221">IF(AD2337="null", "null", "classe.ifc")</f>
        <v>null</v>
      </c>
      <c r="AD2337" s="19" t="s">
        <v>0</v>
      </c>
      <c r="AE2337" s="18" t="str">
        <f t="shared" si="1165"/>
        <v>null</v>
      </c>
      <c r="AF2337" s="75" t="s">
        <v>0</v>
      </c>
      <c r="AG2337" s="38" t="s">
        <v>9223</v>
      </c>
    </row>
    <row r="2338" spans="1:33" ht="6" customHeight="1" x14ac:dyDescent="0.4">
      <c r="A2338" s="4">
        <f>ROW()</f>
        <v>2338</v>
      </c>
      <c r="B2338" s="9" t="s">
        <v>27</v>
      </c>
      <c r="C2338" s="44" t="str">
        <f t="shared" si="1159"/>
        <v>p.reproduzir</v>
      </c>
      <c r="D2338" s="6" t="str">
        <f t="shared" si="1160"/>
        <v>é.midi</v>
      </c>
      <c r="E2338" s="8" t="s">
        <v>28</v>
      </c>
      <c r="F2338" s="34" t="str">
        <f>F2337</f>
        <v>d.reproduzir</v>
      </c>
      <c r="G2338" s="14" t="s">
        <v>430</v>
      </c>
      <c r="H2338" s="33" t="s">
        <v>1581</v>
      </c>
      <c r="I2338" s="92" t="str">
        <f t="shared" si="1189"/>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161"/>
        <v>Propriedade destinada a reproduzir: é.midi</v>
      </c>
      <c r="V2338" s="5" t="str">
        <f t="shared" si="1162"/>
        <v>Dado para reproduzir:  midi  Deve ser formatado como (rdfs:Literal  or  xsd:string)</v>
      </c>
      <c r="W2338" s="69" t="s">
        <v>6218</v>
      </c>
      <c r="X2338" s="17" t="str">
        <f t="shared" si="1210"/>
        <v>d.repro.101</v>
      </c>
      <c r="Y2338" s="17" t="str">
        <f t="shared" si="1211"/>
        <v>Ação de reproduzir</v>
      </c>
      <c r="Z2338" s="62" t="s">
        <v>1412</v>
      </c>
      <c r="AA2338" s="18" t="str">
        <f t="shared" si="1220"/>
        <v>null</v>
      </c>
      <c r="AB2338" s="19" t="s">
        <v>0</v>
      </c>
      <c r="AC2338" s="18" t="str">
        <f t="shared" si="1221"/>
        <v>null</v>
      </c>
      <c r="AD2338" s="19" t="s">
        <v>0</v>
      </c>
      <c r="AE2338" s="18" t="str">
        <f t="shared" si="1165"/>
        <v>null</v>
      </c>
      <c r="AF2338" s="75" t="s">
        <v>0</v>
      </c>
      <c r="AG2338" s="38" t="s">
        <v>9224</v>
      </c>
    </row>
    <row r="2339" spans="1:33" ht="6" customHeight="1" x14ac:dyDescent="0.4">
      <c r="A2339" s="4">
        <f>ROW()</f>
        <v>2339</v>
      </c>
      <c r="B2339" s="9" t="s">
        <v>27</v>
      </c>
      <c r="C2339" s="44" t="str">
        <f t="shared" si="1159"/>
        <v>p.reproduzir</v>
      </c>
      <c r="D2339" s="6" t="str">
        <f t="shared" si="1160"/>
        <v>é.música</v>
      </c>
      <c r="E2339" s="8" t="s">
        <v>28</v>
      </c>
      <c r="F2339" s="34" t="str">
        <f>F2338</f>
        <v>d.reproduzir</v>
      </c>
      <c r="G2339" s="14" t="s">
        <v>433</v>
      </c>
      <c r="H2339" s="33" t="s">
        <v>1581</v>
      </c>
      <c r="I2339" s="92" t="str">
        <f t="shared" si="1189"/>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161"/>
        <v>Propriedade destinada a reproduzir: é.música</v>
      </c>
      <c r="V2339" s="5" t="str">
        <f t="shared" si="1162"/>
        <v>Dado para reproduzir:  música  Deve ser formatado como (rdfs:Literal  or  xsd:string)</v>
      </c>
      <c r="W2339" s="69" t="s">
        <v>6219</v>
      </c>
      <c r="X2339" s="17" t="str">
        <f t="shared" si="1210"/>
        <v>d.repro.102</v>
      </c>
      <c r="Y2339" s="17" t="str">
        <f t="shared" si="1211"/>
        <v>Ação de reproduzir</v>
      </c>
      <c r="Z2339" s="62" t="s">
        <v>1413</v>
      </c>
      <c r="AA2339" s="18" t="str">
        <f t="shared" si="1220"/>
        <v>null</v>
      </c>
      <c r="AB2339" s="19" t="s">
        <v>0</v>
      </c>
      <c r="AC2339" s="18" t="str">
        <f t="shared" si="1221"/>
        <v>null</v>
      </c>
      <c r="AD2339" s="19" t="s">
        <v>0</v>
      </c>
      <c r="AE2339" s="18" t="str">
        <f t="shared" si="1165"/>
        <v>null</v>
      </c>
      <c r="AF2339" s="75" t="s">
        <v>0</v>
      </c>
      <c r="AG2339" s="38" t="s">
        <v>9225</v>
      </c>
    </row>
    <row r="2340" spans="1:33" ht="6" customHeight="1" x14ac:dyDescent="0.4">
      <c r="A2340" s="4">
        <f>ROW()</f>
        <v>2340</v>
      </c>
      <c r="B2340" s="9" t="s">
        <v>27</v>
      </c>
      <c r="C2340" s="44" t="str">
        <f t="shared" si="1159"/>
        <v>p.reproduzir</v>
      </c>
      <c r="D2340" s="6" t="str">
        <f t="shared" si="1160"/>
        <v>é.podcast</v>
      </c>
      <c r="E2340" s="8" t="s">
        <v>28</v>
      </c>
      <c r="F2340" s="34" t="str">
        <f>F2339</f>
        <v>d.reproduzir</v>
      </c>
      <c r="G2340" s="14" t="s">
        <v>432</v>
      </c>
      <c r="H2340" s="33" t="s">
        <v>1581</v>
      </c>
      <c r="I2340" s="92" t="str">
        <f t="shared" si="1189"/>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161"/>
        <v>Propriedade destinada a reproduzir: é.podcast</v>
      </c>
      <c r="V2340" s="5" t="str">
        <f t="shared" si="1162"/>
        <v>Dado para reproduzir:  podcast  Deve ser formatado como (rdfs:Literal  or  xsd:string)</v>
      </c>
      <c r="W2340" s="69" t="s">
        <v>6220</v>
      </c>
      <c r="X2340" s="17" t="str">
        <f t="shared" si="1210"/>
        <v>d.repro.103</v>
      </c>
      <c r="Y2340" s="17" t="str">
        <f t="shared" si="1211"/>
        <v>Ação de reproduzir</v>
      </c>
      <c r="Z2340" s="62" t="s">
        <v>1414</v>
      </c>
      <c r="AA2340" s="18" t="str">
        <f t="shared" si="1220"/>
        <v>null</v>
      </c>
      <c r="AB2340" s="19" t="s">
        <v>0</v>
      </c>
      <c r="AC2340" s="18" t="str">
        <f t="shared" si="1221"/>
        <v>null</v>
      </c>
      <c r="AD2340" s="19" t="s">
        <v>0</v>
      </c>
      <c r="AE2340" s="18" t="str">
        <f t="shared" si="1165"/>
        <v>null</v>
      </c>
      <c r="AF2340" s="75" t="s">
        <v>0</v>
      </c>
      <c r="AG2340" s="38" t="s">
        <v>9226</v>
      </c>
    </row>
    <row r="2341" spans="1:33" ht="6" customHeight="1" x14ac:dyDescent="0.4">
      <c r="A2341" s="4">
        <f>ROW()</f>
        <v>2341</v>
      </c>
      <c r="B2341" s="9" t="s">
        <v>27</v>
      </c>
      <c r="C2341" s="44" t="str">
        <f t="shared" si="1159"/>
        <v>p.reproduzir</v>
      </c>
      <c r="D2341" s="6" t="str">
        <f t="shared" si="1160"/>
        <v>é.vídeo</v>
      </c>
      <c r="E2341" s="8" t="s">
        <v>28</v>
      </c>
      <c r="F2341" s="34" t="str">
        <f>F2340</f>
        <v>d.reproduzir</v>
      </c>
      <c r="G2341" s="14" t="s">
        <v>431</v>
      </c>
      <c r="H2341" s="33" t="s">
        <v>1581</v>
      </c>
      <c r="I2341" s="92" t="str">
        <f t="shared" si="1189"/>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161"/>
        <v>Propriedade destinada a reproduzir: é.vídeo</v>
      </c>
      <c r="V2341" s="5" t="str">
        <f t="shared" si="1162"/>
        <v>Dado para reproduzir:  vídeo  Deve ser formatado como (rdfs:Literal  or  xsd:string)</v>
      </c>
      <c r="W2341" s="69" t="s">
        <v>6221</v>
      </c>
      <c r="X2341" s="17" t="str">
        <f t="shared" si="1210"/>
        <v>d.repro.104</v>
      </c>
      <c r="Y2341" s="17" t="str">
        <f t="shared" si="1211"/>
        <v>Ação de reproduzir</v>
      </c>
      <c r="Z2341" s="62" t="s">
        <v>1415</v>
      </c>
      <c r="AA2341" s="18" t="str">
        <f t="shared" si="1220"/>
        <v>null</v>
      </c>
      <c r="AB2341" s="19" t="s">
        <v>0</v>
      </c>
      <c r="AC2341" s="18" t="str">
        <f t="shared" si="1221"/>
        <v>null</v>
      </c>
      <c r="AD2341" s="19" t="s">
        <v>0</v>
      </c>
      <c r="AE2341" s="18" t="str">
        <f t="shared" si="1165"/>
        <v>null</v>
      </c>
      <c r="AF2341" s="75" t="s">
        <v>0</v>
      </c>
      <c r="AG2341" s="38" t="s">
        <v>9227</v>
      </c>
    </row>
    <row r="2342" spans="1:33" ht="6" customHeight="1" x14ac:dyDescent="0.4">
      <c r="A2342" s="4">
        <f>ROW()</f>
        <v>2342</v>
      </c>
      <c r="B2342" s="9" t="s">
        <v>27</v>
      </c>
      <c r="C2342" s="43" t="str">
        <f t="shared" si="1159"/>
        <v>p.requisitar</v>
      </c>
      <c r="D2342" s="6" t="str">
        <f t="shared" si="1160"/>
        <v>é.aim</v>
      </c>
      <c r="E2342" s="8" t="s">
        <v>28</v>
      </c>
      <c r="F2342" s="40" t="s">
        <v>2230</v>
      </c>
      <c r="G2342" s="13" t="s">
        <v>984</v>
      </c>
      <c r="H2342" s="34" t="s">
        <v>1581</v>
      </c>
      <c r="I2342" s="92" t="str">
        <f t="shared" si="1189"/>
        <v>null</v>
      </c>
      <c r="J2342" s="80" t="s">
        <v>0</v>
      </c>
      <c r="K2342" s="80" t="s">
        <v>0</v>
      </c>
      <c r="L2342" s="80" t="s">
        <v>0</v>
      </c>
      <c r="M2342" s="80" t="s">
        <v>0</v>
      </c>
      <c r="N2342" s="80" t="s">
        <v>0</v>
      </c>
      <c r="O2342" s="80" t="s">
        <v>0</v>
      </c>
      <c r="P2342" s="80" t="s">
        <v>0</v>
      </c>
      <c r="Q2342" s="80" t="s">
        <v>0</v>
      </c>
      <c r="R2342" s="84" t="s">
        <v>11203</v>
      </c>
      <c r="S2342" s="10" t="s">
        <v>1</v>
      </c>
      <c r="T2342" s="10" t="s">
        <v>10221</v>
      </c>
      <c r="U2342" s="5" t="str">
        <f t="shared" si="1161"/>
        <v>Propriedade destinada a requisitar: é.aim</v>
      </c>
      <c r="V2342" s="5" t="str">
        <f t="shared" si="1162"/>
        <v>Dado para requisitar:  aim  Deve ser formatado como (rdfs:Literal  or  xsd:string)</v>
      </c>
      <c r="W2342" s="69" t="s">
        <v>6222</v>
      </c>
      <c r="X2342" s="17" t="str">
        <f t="shared" si="1210"/>
        <v>d.requi.100</v>
      </c>
      <c r="Y2342" s="17" t="str">
        <f t="shared" si="1211"/>
        <v>Ação de requisitar</v>
      </c>
      <c r="Z2342" s="62" t="s">
        <v>3085</v>
      </c>
      <c r="AA2342" s="18" t="str">
        <f t="shared" si="1220"/>
        <v>null</v>
      </c>
      <c r="AB2342" s="19" t="s">
        <v>0</v>
      </c>
      <c r="AC2342" s="18" t="str">
        <f t="shared" si="1221"/>
        <v>null</v>
      </c>
      <c r="AD2342" s="19" t="s">
        <v>0</v>
      </c>
      <c r="AE2342" s="18" t="str">
        <f t="shared" si="1165"/>
        <v>null</v>
      </c>
      <c r="AF2342" s="75" t="s">
        <v>0</v>
      </c>
      <c r="AG2342" s="38" t="s">
        <v>9228</v>
      </c>
    </row>
    <row r="2343" spans="1:33" ht="6" customHeight="1" x14ac:dyDescent="0.4">
      <c r="A2343" s="4">
        <f>ROW()</f>
        <v>2343</v>
      </c>
      <c r="B2343" s="9" t="s">
        <v>27</v>
      </c>
      <c r="C2343" s="44" t="str">
        <f>SUBSTITUTE(F2343,"d.","p.")</f>
        <v>p.requisitar</v>
      </c>
      <c r="D2343" s="6" t="str">
        <f t="shared" si="1160"/>
        <v>é.air</v>
      </c>
      <c r="E2343" s="8" t="s">
        <v>28</v>
      </c>
      <c r="F2343" s="34" t="str">
        <f>F2342</f>
        <v>d.requisitar</v>
      </c>
      <c r="G2343" s="13" t="s">
        <v>995</v>
      </c>
      <c r="H2343" s="34" t="s">
        <v>1581</v>
      </c>
      <c r="I2343" s="92" t="str">
        <f t="shared" si="1189"/>
        <v>null</v>
      </c>
      <c r="J2343" s="80" t="s">
        <v>0</v>
      </c>
      <c r="K2343" s="80" t="s">
        <v>0</v>
      </c>
      <c r="L2343" s="80" t="s">
        <v>0</v>
      </c>
      <c r="M2343" s="80" t="s">
        <v>0</v>
      </c>
      <c r="N2343" s="80" t="s">
        <v>0</v>
      </c>
      <c r="O2343" s="80" t="s">
        <v>0</v>
      </c>
      <c r="P2343" s="80" t="s">
        <v>0</v>
      </c>
      <c r="Q2343" s="80" t="s">
        <v>0</v>
      </c>
      <c r="R2343" s="84" t="s">
        <v>11203</v>
      </c>
      <c r="S2343" s="10" t="s">
        <v>1</v>
      </c>
      <c r="T2343" s="10" t="s">
        <v>10221</v>
      </c>
      <c r="U2343" s="5" t="str">
        <f t="shared" ref="U2343:U2361" si="1222">_xlfn.CONCAT("Propriedade destinada a ",MID(C2343,FIND("p.",C2343,1)+2,100),": ",D2343)</f>
        <v>Propriedade destinada a requisitar: é.air</v>
      </c>
      <c r="V2343" s="5" t="str">
        <f t="shared" ref="V2343:V2361" si="1223">_xlfn.CONCAT("Dado para ",MID(F2343,FIND("d.",F2343,1)+2,100),":  ",G2343, "  Deve ser formatado como (",H2343, ")")</f>
        <v>Dado para requisitar:  air  Deve ser formatado como (rdfs:Literal  or  xsd:string)</v>
      </c>
      <c r="W2343" s="69" t="s">
        <v>6223</v>
      </c>
      <c r="X2343" s="17" t="str">
        <f t="shared" si="1210"/>
        <v>d.requi.101</v>
      </c>
      <c r="Y2343" s="17" t="str">
        <f t="shared" si="1211"/>
        <v>Ação de requisitar</v>
      </c>
      <c r="Z2343" s="62" t="s">
        <v>3086</v>
      </c>
      <c r="AA2343" s="18" t="str">
        <f t="shared" si="1220"/>
        <v>null</v>
      </c>
      <c r="AB2343" s="19" t="s">
        <v>0</v>
      </c>
      <c r="AC2343" s="18" t="str">
        <f t="shared" si="1221"/>
        <v>null</v>
      </c>
      <c r="AD2343" s="19" t="s">
        <v>0</v>
      </c>
      <c r="AE2343" s="18" t="str">
        <f t="shared" si="1165"/>
        <v>null</v>
      </c>
      <c r="AF2343" s="75" t="s">
        <v>0</v>
      </c>
      <c r="AG2343" s="38" t="s">
        <v>9229</v>
      </c>
    </row>
    <row r="2344" spans="1:33" ht="6" customHeight="1" x14ac:dyDescent="0.4">
      <c r="A2344" s="4">
        <f>ROW()</f>
        <v>2344</v>
      </c>
      <c r="B2344" s="9" t="s">
        <v>27</v>
      </c>
      <c r="C2344" s="44" t="str">
        <f t="shared" ref="C2344:C2361" si="1224">SUBSTITUTE(F2344,"d.","p.")</f>
        <v>p.requisitar</v>
      </c>
      <c r="D2344" s="6" t="str">
        <f t="shared" si="1160"/>
        <v>é.eir</v>
      </c>
      <c r="E2344" s="8" t="s">
        <v>28</v>
      </c>
      <c r="F2344" s="34" t="str">
        <f t="shared" ref="F2344:F2359" si="1225">F2343</f>
        <v>d.requisitar</v>
      </c>
      <c r="G2344" s="13" t="s">
        <v>985</v>
      </c>
      <c r="H2344" s="34" t="s">
        <v>1581</v>
      </c>
      <c r="I2344" s="92" t="str">
        <f t="shared" si="1189"/>
        <v>null</v>
      </c>
      <c r="J2344" s="80" t="s">
        <v>0</v>
      </c>
      <c r="K2344" s="80" t="s">
        <v>0</v>
      </c>
      <c r="L2344" s="80" t="s">
        <v>0</v>
      </c>
      <c r="M2344" s="80" t="s">
        <v>0</v>
      </c>
      <c r="N2344" s="80" t="s">
        <v>0</v>
      </c>
      <c r="O2344" s="80" t="s">
        <v>0</v>
      </c>
      <c r="P2344" s="80" t="s">
        <v>0</v>
      </c>
      <c r="Q2344" s="80" t="s">
        <v>0</v>
      </c>
      <c r="R2344" s="84" t="s">
        <v>11203</v>
      </c>
      <c r="S2344" s="10" t="s">
        <v>1</v>
      </c>
      <c r="T2344" s="10" t="s">
        <v>10221</v>
      </c>
      <c r="U2344" s="5" t="str">
        <f t="shared" si="1222"/>
        <v>Propriedade destinada a requisitar: é.eir</v>
      </c>
      <c r="V2344" s="5" t="str">
        <f t="shared" si="1223"/>
        <v>Dado para requisitar:  eir  Deve ser formatado como (rdfs:Literal  or  xsd:string)</v>
      </c>
      <c r="W2344" s="69" t="s">
        <v>6224</v>
      </c>
      <c r="X2344" s="17" t="str">
        <f t="shared" si="1210"/>
        <v>d.requi.102</v>
      </c>
      <c r="Y2344" s="17" t="str">
        <f t="shared" si="1211"/>
        <v>Ação de requisitar</v>
      </c>
      <c r="Z2344" s="62" t="s">
        <v>3087</v>
      </c>
      <c r="AA2344" s="18" t="str">
        <f t="shared" si="1220"/>
        <v>null</v>
      </c>
      <c r="AB2344" s="19" t="s">
        <v>0</v>
      </c>
      <c r="AC2344" s="18" t="str">
        <f t="shared" si="1221"/>
        <v>null</v>
      </c>
      <c r="AD2344" s="19" t="s">
        <v>0</v>
      </c>
      <c r="AE2344" s="18" t="str">
        <f t="shared" si="1165"/>
        <v>null</v>
      </c>
      <c r="AF2344" s="75" t="s">
        <v>0</v>
      </c>
      <c r="AG2344" s="38" t="s">
        <v>9230</v>
      </c>
    </row>
    <row r="2345" spans="1:33" ht="6" customHeight="1" x14ac:dyDescent="0.4">
      <c r="A2345" s="4">
        <f>ROW()</f>
        <v>2345</v>
      </c>
      <c r="B2345" s="9" t="s">
        <v>27</v>
      </c>
      <c r="C2345" s="44" t="str">
        <f t="shared" si="1224"/>
        <v>p.requisitar</v>
      </c>
      <c r="D2345" s="6" t="str">
        <f t="shared" si="1160"/>
        <v>é.informação</v>
      </c>
      <c r="E2345" s="8" t="s">
        <v>28</v>
      </c>
      <c r="F2345" s="34" t="str">
        <f t="shared" si="1225"/>
        <v>d.requisitar</v>
      </c>
      <c r="G2345" s="13" t="s">
        <v>1000</v>
      </c>
      <c r="H2345" s="34" t="s">
        <v>1581</v>
      </c>
      <c r="I2345" s="92" t="str">
        <f t="shared" si="1189"/>
        <v>null</v>
      </c>
      <c r="J2345" s="80" t="s">
        <v>0</v>
      </c>
      <c r="K2345" s="80" t="s">
        <v>0</v>
      </c>
      <c r="L2345" s="80" t="s">
        <v>0</v>
      </c>
      <c r="M2345" s="80" t="s">
        <v>0</v>
      </c>
      <c r="N2345" s="80" t="s">
        <v>0</v>
      </c>
      <c r="O2345" s="80" t="s">
        <v>0</v>
      </c>
      <c r="P2345" s="80" t="s">
        <v>0</v>
      </c>
      <c r="Q2345" s="80" t="s">
        <v>0</v>
      </c>
      <c r="R2345" s="84" t="s">
        <v>0</v>
      </c>
      <c r="S2345" s="10" t="s">
        <v>1</v>
      </c>
      <c r="T2345" s="10" t="s">
        <v>10221</v>
      </c>
      <c r="U2345" s="5" t="str">
        <f t="shared" si="1222"/>
        <v>Propriedade destinada a requisitar: é.informação</v>
      </c>
      <c r="V2345" s="5" t="str">
        <f t="shared" si="1223"/>
        <v>Dado para requisitar:  informação  Deve ser formatado como (rdfs:Literal  or  xsd:string)</v>
      </c>
      <c r="W2345" s="69" t="s">
        <v>6225</v>
      </c>
      <c r="X2345" s="17" t="str">
        <f t="shared" si="1210"/>
        <v>d.requi.103</v>
      </c>
      <c r="Y2345" s="17" t="str">
        <f t="shared" si="1211"/>
        <v>Ação de requisitar</v>
      </c>
      <c r="Z2345" s="62" t="s">
        <v>3088</v>
      </c>
      <c r="AA2345" s="18" t="str">
        <f t="shared" si="1220"/>
        <v>null</v>
      </c>
      <c r="AB2345" s="19" t="s">
        <v>0</v>
      </c>
      <c r="AC2345" s="18" t="str">
        <f t="shared" si="1221"/>
        <v>null</v>
      </c>
      <c r="AD2345" s="19" t="s">
        <v>0</v>
      </c>
      <c r="AE2345" s="18" t="str">
        <f t="shared" si="1165"/>
        <v>null</v>
      </c>
      <c r="AF2345" s="75" t="s">
        <v>0</v>
      </c>
      <c r="AG2345" s="38" t="s">
        <v>9231</v>
      </c>
    </row>
    <row r="2346" spans="1:33" ht="6" customHeight="1" x14ac:dyDescent="0.4">
      <c r="A2346" s="4">
        <f>ROW()</f>
        <v>2346</v>
      </c>
      <c r="B2346" s="9" t="s">
        <v>27</v>
      </c>
      <c r="C2346" s="44" t="str">
        <f t="shared" si="1224"/>
        <v>p.requisitar</v>
      </c>
      <c r="D2346" s="6" t="str">
        <f t="shared" si="1160"/>
        <v>é.informação.do.projeto</v>
      </c>
      <c r="E2346" s="8" t="s">
        <v>28</v>
      </c>
      <c r="F2346" s="34" t="str">
        <f t="shared" si="1225"/>
        <v>d.requisitar</v>
      </c>
      <c r="G2346" s="13" t="s">
        <v>990</v>
      </c>
      <c r="H2346" s="34" t="s">
        <v>1581</v>
      </c>
      <c r="I2346" s="92" t="str">
        <f t="shared" si="1189"/>
        <v>null</v>
      </c>
      <c r="J2346" s="80" t="s">
        <v>0</v>
      </c>
      <c r="K2346" s="80" t="s">
        <v>0</v>
      </c>
      <c r="L2346" s="80" t="s">
        <v>0</v>
      </c>
      <c r="M2346" s="80" t="s">
        <v>0</v>
      </c>
      <c r="N2346" s="80" t="s">
        <v>0</v>
      </c>
      <c r="O2346" s="80" t="s">
        <v>0</v>
      </c>
      <c r="P2346" s="80" t="s">
        <v>0</v>
      </c>
      <c r="Q2346" s="80" t="s">
        <v>0</v>
      </c>
      <c r="R2346" s="84" t="s">
        <v>0</v>
      </c>
      <c r="S2346" s="10" t="s">
        <v>1</v>
      </c>
      <c r="T2346" s="10" t="s">
        <v>10221</v>
      </c>
      <c r="U2346" s="5" t="str">
        <f t="shared" si="1222"/>
        <v>Propriedade destinada a requisitar: é.informação.do.projeto</v>
      </c>
      <c r="V2346" s="5" t="str">
        <f t="shared" si="1223"/>
        <v>Dado para requisitar:  informação.do.projeto  Deve ser formatado como (rdfs:Literal  or  xsd:string)</v>
      </c>
      <c r="W2346" s="69" t="s">
        <v>6226</v>
      </c>
      <c r="X2346" s="17" t="str">
        <f t="shared" si="1210"/>
        <v>d.requi.104</v>
      </c>
      <c r="Y2346" s="17" t="str">
        <f t="shared" si="1211"/>
        <v>Ação de requisitar</v>
      </c>
      <c r="Z2346" s="62" t="s">
        <v>3089</v>
      </c>
      <c r="AA2346" s="18" t="str">
        <f t="shared" si="1220"/>
        <v>null</v>
      </c>
      <c r="AB2346" s="19" t="s">
        <v>0</v>
      </c>
      <c r="AC2346" s="18" t="str">
        <f t="shared" si="1221"/>
        <v>null</v>
      </c>
      <c r="AD2346" s="19" t="s">
        <v>0</v>
      </c>
      <c r="AE2346" s="18" t="str">
        <f t="shared" si="1165"/>
        <v>null</v>
      </c>
      <c r="AF2346" s="75" t="s">
        <v>0</v>
      </c>
      <c r="AG2346" s="38" t="s">
        <v>9232</v>
      </c>
    </row>
    <row r="2347" spans="1:33" ht="6" customHeight="1" x14ac:dyDescent="0.4">
      <c r="A2347" s="4">
        <f>ROW()</f>
        <v>2347</v>
      </c>
      <c r="B2347" s="9" t="s">
        <v>27</v>
      </c>
      <c r="C2347" s="44" t="str">
        <f t="shared" si="1224"/>
        <v>p.requisitar</v>
      </c>
      <c r="D2347" s="6" t="str">
        <f t="shared" si="1160"/>
        <v>é.modelo.de.informação</v>
      </c>
      <c r="E2347" s="8" t="s">
        <v>28</v>
      </c>
      <c r="F2347" s="34" t="str">
        <f t="shared" si="1225"/>
        <v>d.requisitar</v>
      </c>
      <c r="G2347" s="13" t="s">
        <v>999</v>
      </c>
      <c r="H2347" s="34" t="s">
        <v>1581</v>
      </c>
      <c r="I2347" s="92" t="str">
        <f t="shared" si="1189"/>
        <v>null</v>
      </c>
      <c r="J2347" s="80" t="s">
        <v>0</v>
      </c>
      <c r="K2347" s="80" t="s">
        <v>0</v>
      </c>
      <c r="L2347" s="80" t="s">
        <v>0</v>
      </c>
      <c r="M2347" s="80" t="s">
        <v>0</v>
      </c>
      <c r="N2347" s="80" t="s">
        <v>0</v>
      </c>
      <c r="O2347" s="80" t="s">
        <v>0</v>
      </c>
      <c r="P2347" s="80" t="s">
        <v>0</v>
      </c>
      <c r="Q2347" s="80" t="s">
        <v>0</v>
      </c>
      <c r="R2347" s="84" t="s">
        <v>0</v>
      </c>
      <c r="S2347" s="10" t="s">
        <v>1</v>
      </c>
      <c r="T2347" s="10" t="s">
        <v>10221</v>
      </c>
      <c r="U2347" s="5" t="str">
        <f t="shared" si="1222"/>
        <v>Propriedade destinada a requisitar: é.modelo.de.informação</v>
      </c>
      <c r="V2347" s="5" t="str">
        <f t="shared" si="1223"/>
        <v>Dado para requisitar:  modelo.de.informação  Deve ser formatado como (rdfs:Literal  or  xsd:string)</v>
      </c>
      <c r="W2347" s="69" t="s">
        <v>6227</v>
      </c>
      <c r="X2347" s="17" t="str">
        <f t="shared" si="1210"/>
        <v>d.requi.105</v>
      </c>
      <c r="Y2347" s="17" t="str">
        <f t="shared" si="1211"/>
        <v>Ação de requisitar</v>
      </c>
      <c r="Z2347" s="62" t="s">
        <v>3090</v>
      </c>
      <c r="AA2347" s="18" t="str">
        <f t="shared" si="1220"/>
        <v>null</v>
      </c>
      <c r="AB2347" s="19" t="s">
        <v>0</v>
      </c>
      <c r="AC2347" s="18" t="str">
        <f t="shared" si="1221"/>
        <v>null</v>
      </c>
      <c r="AD2347" s="19" t="s">
        <v>0</v>
      </c>
      <c r="AE2347" s="18" t="str">
        <f t="shared" si="1165"/>
        <v>null</v>
      </c>
      <c r="AF2347" s="75" t="s">
        <v>0</v>
      </c>
      <c r="AG2347" s="38" t="s">
        <v>9233</v>
      </c>
    </row>
    <row r="2348" spans="1:33" ht="6" customHeight="1" x14ac:dyDescent="0.4">
      <c r="A2348" s="4">
        <f>ROW()</f>
        <v>2348</v>
      </c>
      <c r="B2348" s="9" t="s">
        <v>27</v>
      </c>
      <c r="C2348" s="44" t="str">
        <f t="shared" si="1224"/>
        <v>p.requisitar</v>
      </c>
      <c r="D2348" s="6" t="str">
        <f t="shared" si="1160"/>
        <v>é.nndi</v>
      </c>
      <c r="E2348" s="8" t="s">
        <v>28</v>
      </c>
      <c r="F2348" s="34" t="str">
        <f t="shared" si="1225"/>
        <v>d.requisitar</v>
      </c>
      <c r="G2348" s="13" t="s">
        <v>1057</v>
      </c>
      <c r="H2348" s="34" t="s">
        <v>1581</v>
      </c>
      <c r="I2348" s="92" t="str">
        <f t="shared" si="1189"/>
        <v>null</v>
      </c>
      <c r="J2348" s="80" t="s">
        <v>0</v>
      </c>
      <c r="K2348" s="80" t="s">
        <v>0</v>
      </c>
      <c r="L2348" s="80" t="s">
        <v>0</v>
      </c>
      <c r="M2348" s="80" t="s">
        <v>0</v>
      </c>
      <c r="N2348" s="80" t="s">
        <v>0</v>
      </c>
      <c r="O2348" s="80" t="s">
        <v>0</v>
      </c>
      <c r="P2348" s="80" t="s">
        <v>0</v>
      </c>
      <c r="Q2348" s="80" t="s">
        <v>0</v>
      </c>
      <c r="R2348" s="84" t="s">
        <v>0</v>
      </c>
      <c r="S2348" s="10" t="s">
        <v>1</v>
      </c>
      <c r="T2348" s="10" t="s">
        <v>10221</v>
      </c>
      <c r="U2348" s="5" t="str">
        <f t="shared" si="1222"/>
        <v>Propriedade destinada a requisitar: é.nndi</v>
      </c>
      <c r="V2348" s="5" t="str">
        <f t="shared" si="1223"/>
        <v>Dado para requisitar:  nndi  Deve ser formatado como (rdfs:Literal  or  xsd:string)</v>
      </c>
      <c r="W2348" s="69" t="s">
        <v>6228</v>
      </c>
      <c r="X2348" s="17" t="str">
        <f t="shared" si="1210"/>
        <v>d.requi.106</v>
      </c>
      <c r="Y2348" s="17" t="str">
        <f t="shared" si="1211"/>
        <v>Ação de requisitar</v>
      </c>
      <c r="Z2348" s="62" t="s">
        <v>3091</v>
      </c>
      <c r="AA2348" s="18" t="str">
        <f t="shared" si="1220"/>
        <v>null</v>
      </c>
      <c r="AB2348" s="19" t="s">
        <v>0</v>
      </c>
      <c r="AC2348" s="18" t="str">
        <f t="shared" si="1221"/>
        <v>null</v>
      </c>
      <c r="AD2348" s="19" t="s">
        <v>0</v>
      </c>
      <c r="AE2348" s="18" t="str">
        <f t="shared" si="1165"/>
        <v>null</v>
      </c>
      <c r="AF2348" s="75" t="s">
        <v>0</v>
      </c>
      <c r="AG2348" s="38" t="s">
        <v>9234</v>
      </c>
    </row>
    <row r="2349" spans="1:33" ht="6" customHeight="1" x14ac:dyDescent="0.4">
      <c r="A2349" s="4">
        <f>ROW()</f>
        <v>2349</v>
      </c>
      <c r="B2349" s="9" t="s">
        <v>27</v>
      </c>
      <c r="C2349" s="44" t="str">
        <f t="shared" si="1224"/>
        <v>p.requisitar</v>
      </c>
      <c r="D2349" s="6" t="str">
        <f t="shared" si="1160"/>
        <v>é.oir</v>
      </c>
      <c r="E2349" s="8" t="s">
        <v>28</v>
      </c>
      <c r="F2349" s="34" t="str">
        <f t="shared" si="1225"/>
        <v>d.requisitar</v>
      </c>
      <c r="G2349" s="13" t="s">
        <v>996</v>
      </c>
      <c r="H2349" s="34" t="s">
        <v>1581</v>
      </c>
      <c r="I2349" s="92" t="str">
        <f t="shared" si="1189"/>
        <v>null</v>
      </c>
      <c r="J2349" s="80" t="s">
        <v>0</v>
      </c>
      <c r="K2349" s="80" t="s">
        <v>0</v>
      </c>
      <c r="L2349" s="80" t="s">
        <v>0</v>
      </c>
      <c r="M2349" s="80" t="s">
        <v>0</v>
      </c>
      <c r="N2349" s="80" t="s">
        <v>0</v>
      </c>
      <c r="O2349" s="80" t="s">
        <v>0</v>
      </c>
      <c r="P2349" s="80" t="s">
        <v>0</v>
      </c>
      <c r="Q2349" s="80" t="s">
        <v>0</v>
      </c>
      <c r="R2349" s="84" t="s">
        <v>11203</v>
      </c>
      <c r="S2349" s="10" t="s">
        <v>1</v>
      </c>
      <c r="T2349" s="10" t="s">
        <v>10221</v>
      </c>
      <c r="U2349" s="5" t="str">
        <f t="shared" si="1222"/>
        <v>Propriedade destinada a requisitar: é.oir</v>
      </c>
      <c r="V2349" s="5" t="str">
        <f t="shared" si="1223"/>
        <v>Dado para requisitar:  oir  Deve ser formatado como (rdfs:Literal  or  xsd:string)</v>
      </c>
      <c r="W2349" s="69" t="s">
        <v>6229</v>
      </c>
      <c r="X2349" s="17" t="str">
        <f t="shared" si="1210"/>
        <v>d.requi.107</v>
      </c>
      <c r="Y2349" s="17" t="str">
        <f t="shared" si="1211"/>
        <v>Ação de requisitar</v>
      </c>
      <c r="Z2349" s="62" t="s">
        <v>3092</v>
      </c>
      <c r="AA2349" s="18" t="str">
        <f t="shared" si="1220"/>
        <v>null</v>
      </c>
      <c r="AB2349" s="19" t="s">
        <v>0</v>
      </c>
      <c r="AC2349" s="18" t="str">
        <f t="shared" si="1221"/>
        <v>null</v>
      </c>
      <c r="AD2349" s="19" t="s">
        <v>0</v>
      </c>
      <c r="AE2349" s="18" t="str">
        <f t="shared" si="1165"/>
        <v>null</v>
      </c>
      <c r="AF2349" s="75" t="s">
        <v>0</v>
      </c>
      <c r="AG2349" s="38" t="s">
        <v>9235</v>
      </c>
    </row>
    <row r="2350" spans="1:33" ht="6" customHeight="1" x14ac:dyDescent="0.4">
      <c r="A2350" s="4">
        <f>ROW()</f>
        <v>2350</v>
      </c>
      <c r="B2350" s="9" t="s">
        <v>27</v>
      </c>
      <c r="C2350" s="44" t="str">
        <f t="shared" si="1224"/>
        <v>p.requisitar</v>
      </c>
      <c r="D2350" s="6" t="str">
        <f t="shared" si="1160"/>
        <v>é.pim</v>
      </c>
      <c r="E2350" s="8" t="s">
        <v>28</v>
      </c>
      <c r="F2350" s="34" t="str">
        <f t="shared" si="1225"/>
        <v>d.requisitar</v>
      </c>
      <c r="G2350" s="13" t="s">
        <v>986</v>
      </c>
      <c r="H2350" s="34" t="s">
        <v>1581</v>
      </c>
      <c r="I2350" s="92" t="str">
        <f t="shared" si="1189"/>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222"/>
        <v>Propriedade destinada a requisitar: é.pim</v>
      </c>
      <c r="V2350" s="5" t="str">
        <f t="shared" si="1223"/>
        <v>Dado para requisitar:  pim  Deve ser formatado como (rdfs:Literal  or  xsd:string)</v>
      </c>
      <c r="W2350" s="69" t="s">
        <v>6230</v>
      </c>
      <c r="X2350" s="17" t="str">
        <f t="shared" si="1210"/>
        <v>d.requi.108</v>
      </c>
      <c r="Y2350" s="17" t="str">
        <f t="shared" si="1211"/>
        <v>Ação de requisitar</v>
      </c>
      <c r="Z2350" s="62" t="s">
        <v>3093</v>
      </c>
      <c r="AA2350" s="18" t="str">
        <f t="shared" si="1220"/>
        <v>null</v>
      </c>
      <c r="AB2350" s="19" t="s">
        <v>0</v>
      </c>
      <c r="AC2350" s="18" t="str">
        <f t="shared" si="1221"/>
        <v>null</v>
      </c>
      <c r="AD2350" s="19" t="s">
        <v>0</v>
      </c>
      <c r="AE2350" s="18" t="str">
        <f t="shared" si="1165"/>
        <v>null</v>
      </c>
      <c r="AF2350" s="75" t="s">
        <v>0</v>
      </c>
      <c r="AG2350" s="38" t="s">
        <v>9236</v>
      </c>
    </row>
    <row r="2351" spans="1:33" ht="6" customHeight="1" x14ac:dyDescent="0.4">
      <c r="A2351" s="4">
        <f>ROW()</f>
        <v>2351</v>
      </c>
      <c r="B2351" s="9" t="s">
        <v>27</v>
      </c>
      <c r="C2351" s="44" t="str">
        <f t="shared" si="1224"/>
        <v>p.requisitar</v>
      </c>
      <c r="D2351" s="6" t="str">
        <f t="shared" si="1160"/>
        <v>é.pir</v>
      </c>
      <c r="E2351" s="8" t="s">
        <v>28</v>
      </c>
      <c r="F2351" s="34" t="str">
        <f t="shared" si="1225"/>
        <v>d.requisitar</v>
      </c>
      <c r="G2351" s="13" t="s">
        <v>987</v>
      </c>
      <c r="H2351" s="34" t="s">
        <v>1581</v>
      </c>
      <c r="I2351" s="92" t="str">
        <f t="shared" ref="I2351:I2414" si="1226">IF(OR(J2351="Functional",K2351="InverseFunctional"),"Functional","null")</f>
        <v>null</v>
      </c>
      <c r="J2351" s="80" t="s">
        <v>0</v>
      </c>
      <c r="K2351" s="80" t="s">
        <v>0</v>
      </c>
      <c r="L2351" s="80" t="s">
        <v>0</v>
      </c>
      <c r="M2351" s="80" t="s">
        <v>0</v>
      </c>
      <c r="N2351" s="80" t="s">
        <v>0</v>
      </c>
      <c r="O2351" s="80" t="s">
        <v>0</v>
      </c>
      <c r="P2351" s="80" t="s">
        <v>0</v>
      </c>
      <c r="Q2351" s="80" t="s">
        <v>0</v>
      </c>
      <c r="R2351" s="84" t="s">
        <v>1019</v>
      </c>
      <c r="S2351" s="10" t="s">
        <v>1</v>
      </c>
      <c r="T2351" s="10" t="s">
        <v>10221</v>
      </c>
      <c r="U2351" s="5" t="str">
        <f t="shared" si="1222"/>
        <v>Propriedade destinada a requisitar: é.pir</v>
      </c>
      <c r="V2351" s="5" t="str">
        <f t="shared" si="1223"/>
        <v>Dado para requisitar:  pir  Deve ser formatado como (rdfs:Literal  or  xsd:string)</v>
      </c>
      <c r="W2351" s="69" t="s">
        <v>6231</v>
      </c>
      <c r="X2351" s="17" t="str">
        <f t="shared" si="1210"/>
        <v>d.requi.109</v>
      </c>
      <c r="Y2351" s="17" t="str">
        <f t="shared" si="1211"/>
        <v>Ação de requisitar</v>
      </c>
      <c r="Z2351" s="62" t="s">
        <v>3094</v>
      </c>
      <c r="AA2351" s="18" t="str">
        <f t="shared" si="1220"/>
        <v>null</v>
      </c>
      <c r="AB2351" s="19" t="s">
        <v>0</v>
      </c>
      <c r="AC2351" s="18" t="str">
        <f t="shared" si="1221"/>
        <v>null</v>
      </c>
      <c r="AD2351" s="19" t="s">
        <v>0</v>
      </c>
      <c r="AE2351" s="18" t="str">
        <f t="shared" si="1165"/>
        <v>null</v>
      </c>
      <c r="AF2351" s="75" t="s">
        <v>0</v>
      </c>
      <c r="AG2351" s="38" t="s">
        <v>9237</v>
      </c>
    </row>
    <row r="2352" spans="1:33" ht="6" customHeight="1" x14ac:dyDescent="0.4">
      <c r="A2352" s="4">
        <f>ROW()</f>
        <v>2352</v>
      </c>
      <c r="B2352" s="9" t="s">
        <v>27</v>
      </c>
      <c r="C2352" s="44" t="str">
        <f t="shared" si="1224"/>
        <v>p.requisitar</v>
      </c>
      <c r="D2352" s="6" t="str">
        <f t="shared" si="1160"/>
        <v>é.requisito.de.informação</v>
      </c>
      <c r="E2352" s="8" t="s">
        <v>28</v>
      </c>
      <c r="F2352" s="34" t="str">
        <f t="shared" si="1225"/>
        <v>d.requisitar</v>
      </c>
      <c r="G2352" s="13" t="s">
        <v>1001</v>
      </c>
      <c r="H2352" s="34" t="s">
        <v>1581</v>
      </c>
      <c r="I2352" s="92" t="str">
        <f t="shared" si="1226"/>
        <v>null</v>
      </c>
      <c r="J2352" s="80" t="s">
        <v>0</v>
      </c>
      <c r="K2352" s="80" t="s">
        <v>0</v>
      </c>
      <c r="L2352" s="80" t="s">
        <v>0</v>
      </c>
      <c r="M2352" s="80" t="s">
        <v>0</v>
      </c>
      <c r="N2352" s="80" t="s">
        <v>0</v>
      </c>
      <c r="O2352" s="80" t="s">
        <v>0</v>
      </c>
      <c r="P2352" s="80" t="s">
        <v>0</v>
      </c>
      <c r="Q2352" s="80" t="s">
        <v>0</v>
      </c>
      <c r="R2352" s="84" t="s">
        <v>0</v>
      </c>
      <c r="S2352" s="10" t="s">
        <v>1</v>
      </c>
      <c r="T2352" s="10" t="s">
        <v>10221</v>
      </c>
      <c r="U2352" s="5" t="str">
        <f t="shared" si="1222"/>
        <v>Propriedade destinada a requisitar: é.requisito.de.informação</v>
      </c>
      <c r="V2352" s="5" t="str">
        <f t="shared" si="1223"/>
        <v>Dado para requisitar:  requisito.de.informação  Deve ser formatado como (rdfs:Literal  or  xsd:string)</v>
      </c>
      <c r="W2352" s="69" t="s">
        <v>6232</v>
      </c>
      <c r="X2352" s="17" t="str">
        <f t="shared" si="1210"/>
        <v>d.requi.110</v>
      </c>
      <c r="Y2352" s="17" t="str">
        <f t="shared" si="1211"/>
        <v>Ação de requisitar</v>
      </c>
      <c r="Z2352" s="62" t="s">
        <v>3095</v>
      </c>
      <c r="AA2352" s="18" t="str">
        <f t="shared" si="1220"/>
        <v>null</v>
      </c>
      <c r="AB2352" s="19" t="s">
        <v>0</v>
      </c>
      <c r="AC2352" s="18" t="str">
        <f t="shared" si="1221"/>
        <v>null</v>
      </c>
      <c r="AD2352" s="19" t="s">
        <v>0</v>
      </c>
      <c r="AE2352" s="18" t="str">
        <f t="shared" si="1165"/>
        <v>null</v>
      </c>
      <c r="AF2352" s="75" t="s">
        <v>0</v>
      </c>
      <c r="AG2352" s="38" t="s">
        <v>9238</v>
      </c>
    </row>
    <row r="2353" spans="1:33" ht="6" customHeight="1" x14ac:dyDescent="0.4">
      <c r="A2353" s="4">
        <f>ROW()</f>
        <v>2353</v>
      </c>
      <c r="B2353" s="9" t="s">
        <v>27</v>
      </c>
      <c r="C2353" s="44" t="str">
        <f t="shared" si="1224"/>
        <v>p.requisitar</v>
      </c>
      <c r="D2353" s="6" t="str">
        <f t="shared" si="1160"/>
        <v>é.programa.de.necessidade</v>
      </c>
      <c r="E2353" s="8" t="s">
        <v>28</v>
      </c>
      <c r="F2353" s="34" t="str">
        <f t="shared" si="1225"/>
        <v>d.requisitar</v>
      </c>
      <c r="G2353" s="13" t="s">
        <v>1015</v>
      </c>
      <c r="H2353" s="34" t="s">
        <v>1581</v>
      </c>
      <c r="I2353" s="92" t="str">
        <f t="shared" si="1226"/>
        <v>null</v>
      </c>
      <c r="J2353" s="80" t="s">
        <v>0</v>
      </c>
      <c r="K2353" s="80" t="s">
        <v>0</v>
      </c>
      <c r="L2353" s="80" t="s">
        <v>0</v>
      </c>
      <c r="M2353" s="80" t="s">
        <v>0</v>
      </c>
      <c r="N2353" s="80" t="s">
        <v>0</v>
      </c>
      <c r="O2353" s="80" t="s">
        <v>0</v>
      </c>
      <c r="P2353" s="80" t="s">
        <v>0</v>
      </c>
      <c r="Q2353" s="80" t="s">
        <v>0</v>
      </c>
      <c r="R2353" s="84" t="s">
        <v>1020</v>
      </c>
      <c r="S2353" s="10" t="s">
        <v>1</v>
      </c>
      <c r="T2353" s="10" t="s">
        <v>10221</v>
      </c>
      <c r="U2353" s="5" t="str">
        <f t="shared" si="1222"/>
        <v>Propriedade destinada a requisitar: é.programa.de.necessidade</v>
      </c>
      <c r="V2353" s="5" t="str">
        <f t="shared" si="1223"/>
        <v>Dado para requisitar:  programa.de.necessidade  Deve ser formatado como (rdfs:Literal  or  xsd:string)</v>
      </c>
      <c r="W2353" s="69" t="s">
        <v>6233</v>
      </c>
      <c r="X2353" s="17" t="str">
        <f t="shared" si="1210"/>
        <v>d.requi.111</v>
      </c>
      <c r="Y2353" s="17" t="str">
        <f t="shared" si="1211"/>
        <v>Ação de requisitar</v>
      </c>
      <c r="Z2353" s="62" t="s">
        <v>3097</v>
      </c>
      <c r="AA2353" s="18" t="str">
        <f t="shared" si="1220"/>
        <v>null</v>
      </c>
      <c r="AB2353" s="19" t="s">
        <v>0</v>
      </c>
      <c r="AC2353" s="18" t="str">
        <f t="shared" si="1221"/>
        <v>null</v>
      </c>
      <c r="AD2353" s="19" t="s">
        <v>0</v>
      </c>
      <c r="AE2353" s="18" t="str">
        <f t="shared" si="1165"/>
        <v>null</v>
      </c>
      <c r="AF2353" s="75" t="s">
        <v>0</v>
      </c>
      <c r="AG2353" s="38" t="s">
        <v>9239</v>
      </c>
    </row>
    <row r="2354" spans="1:33" ht="6" customHeight="1" x14ac:dyDescent="0.4">
      <c r="A2354" s="4">
        <f>ROW()</f>
        <v>2354</v>
      </c>
      <c r="B2354" s="9" t="s">
        <v>27</v>
      </c>
      <c r="C2354" s="44" t="str">
        <f t="shared" si="1224"/>
        <v>p.requisitar</v>
      </c>
      <c r="D2354" s="6" t="str">
        <f t="shared" si="1160"/>
        <v>é.requisito.de.cobertura</v>
      </c>
      <c r="E2354" s="8" t="s">
        <v>28</v>
      </c>
      <c r="F2354" s="34" t="str">
        <f t="shared" si="1225"/>
        <v>d.requisitar</v>
      </c>
      <c r="G2354" s="13" t="s">
        <v>4843</v>
      </c>
      <c r="H2354" s="34" t="s">
        <v>1581</v>
      </c>
      <c r="I2354" s="92" t="str">
        <f t="shared" si="1226"/>
        <v>null</v>
      </c>
      <c r="J2354" s="80" t="s">
        <v>0</v>
      </c>
      <c r="K2354" s="80" t="s">
        <v>0</v>
      </c>
      <c r="L2354" s="80" t="s">
        <v>0</v>
      </c>
      <c r="M2354" s="80" t="s">
        <v>0</v>
      </c>
      <c r="N2354" s="80" t="s">
        <v>0</v>
      </c>
      <c r="O2354" s="80" t="s">
        <v>0</v>
      </c>
      <c r="P2354" s="80" t="s">
        <v>0</v>
      </c>
      <c r="Q2354" s="80" t="s">
        <v>0</v>
      </c>
      <c r="R2354" s="84" t="s">
        <v>11203</v>
      </c>
      <c r="S2354" s="10" t="s">
        <v>1</v>
      </c>
      <c r="T2354" s="10" t="s">
        <v>10221</v>
      </c>
      <c r="U2354" s="5" t="str">
        <f t="shared" si="1222"/>
        <v>Propriedade destinada a requisitar: é.requisito.de.cobertura</v>
      </c>
      <c r="V2354" s="5" t="str">
        <f t="shared" si="1223"/>
        <v>Dado para requisitar:  requisito.de.cobertura  Deve ser formatado como (rdfs:Literal  or  xsd:string)</v>
      </c>
      <c r="W2354" s="69" t="s">
        <v>4847</v>
      </c>
      <c r="X2354" s="17" t="str">
        <f t="shared" si="1210"/>
        <v>d.requi.112</v>
      </c>
      <c r="Y2354" s="17" t="str">
        <f t="shared" si="1211"/>
        <v>Ação de requisitar</v>
      </c>
      <c r="Z2354" s="62" t="s">
        <v>6749</v>
      </c>
      <c r="AA2354" s="18" t="str">
        <f t="shared" si="1220"/>
        <v>null</v>
      </c>
      <c r="AB2354" s="19" t="s">
        <v>0</v>
      </c>
      <c r="AC2354" s="18" t="str">
        <f t="shared" si="1221"/>
        <v>null</v>
      </c>
      <c r="AD2354" s="19" t="s">
        <v>0</v>
      </c>
      <c r="AE2354" s="18" t="str">
        <f t="shared" si="1165"/>
        <v>null</v>
      </c>
      <c r="AF2354" s="75" t="s">
        <v>0</v>
      </c>
      <c r="AG2354" s="38" t="s">
        <v>9240</v>
      </c>
    </row>
    <row r="2355" spans="1:33" ht="6" customHeight="1" x14ac:dyDescent="0.4">
      <c r="A2355" s="4">
        <f>ROW()</f>
        <v>2355</v>
      </c>
      <c r="B2355" s="9" t="s">
        <v>27</v>
      </c>
      <c r="C2355" s="44" t="str">
        <f t="shared" si="1224"/>
        <v>p.requisitar</v>
      </c>
      <c r="D2355" s="6" t="str">
        <f t="shared" si="1160"/>
        <v>é.requisito.de.estrutura</v>
      </c>
      <c r="E2355" s="8" t="s">
        <v>28</v>
      </c>
      <c r="F2355" s="34" t="str">
        <f t="shared" si="1225"/>
        <v>d.requisitar</v>
      </c>
      <c r="G2355" s="13" t="s">
        <v>4844</v>
      </c>
      <c r="H2355" s="34" t="s">
        <v>1581</v>
      </c>
      <c r="I2355" s="92" t="str">
        <f t="shared" si="1226"/>
        <v>null</v>
      </c>
      <c r="J2355" s="80" t="s">
        <v>0</v>
      </c>
      <c r="K2355" s="80" t="s">
        <v>0</v>
      </c>
      <c r="L2355" s="80" t="s">
        <v>0</v>
      </c>
      <c r="M2355" s="80" t="s">
        <v>0</v>
      </c>
      <c r="N2355" s="80" t="s">
        <v>0</v>
      </c>
      <c r="O2355" s="80" t="s">
        <v>0</v>
      </c>
      <c r="P2355" s="80" t="s">
        <v>0</v>
      </c>
      <c r="Q2355" s="80" t="s">
        <v>0</v>
      </c>
      <c r="R2355" s="84" t="s">
        <v>11203</v>
      </c>
      <c r="S2355" s="10" t="s">
        <v>1</v>
      </c>
      <c r="T2355" s="10" t="s">
        <v>10221</v>
      </c>
      <c r="U2355" s="5" t="str">
        <f t="shared" si="1222"/>
        <v>Propriedade destinada a requisitar: é.requisito.de.estrutura</v>
      </c>
      <c r="V2355" s="5" t="str">
        <f t="shared" si="1223"/>
        <v>Dado para requisitar:  requisito.de.estrutura  Deve ser formatado como (rdfs:Literal  or  xsd:string)</v>
      </c>
      <c r="W2355" s="69" t="s">
        <v>4848</v>
      </c>
      <c r="X2355" s="17" t="str">
        <f t="shared" si="1210"/>
        <v>d.requi.113</v>
      </c>
      <c r="Y2355" s="17" t="str">
        <f t="shared" si="1211"/>
        <v>Ação de requisitar</v>
      </c>
      <c r="Z2355" s="62" t="s">
        <v>6750</v>
      </c>
      <c r="AA2355" s="18" t="str">
        <f t="shared" si="1220"/>
        <v>null</v>
      </c>
      <c r="AB2355" s="19" t="s">
        <v>0</v>
      </c>
      <c r="AC2355" s="18" t="str">
        <f t="shared" si="1221"/>
        <v>null</v>
      </c>
      <c r="AD2355" s="19" t="s">
        <v>0</v>
      </c>
      <c r="AE2355" s="18" t="str">
        <f t="shared" si="1165"/>
        <v>null</v>
      </c>
      <c r="AF2355" s="75" t="s">
        <v>0</v>
      </c>
      <c r="AG2355" s="38" t="s">
        <v>9241</v>
      </c>
    </row>
    <row r="2356" spans="1:33" ht="6" customHeight="1" x14ac:dyDescent="0.4">
      <c r="A2356" s="4">
        <f>ROW()</f>
        <v>2356</v>
      </c>
      <c r="B2356" s="9" t="s">
        <v>27</v>
      </c>
      <c r="C2356" s="44" t="str">
        <f t="shared" si="1224"/>
        <v>p.requisitar</v>
      </c>
      <c r="D2356" s="6" t="str">
        <f t="shared" si="1160"/>
        <v>é.requisito.de.piso</v>
      </c>
      <c r="E2356" s="8" t="s">
        <v>28</v>
      </c>
      <c r="F2356" s="34" t="str">
        <f t="shared" si="1225"/>
        <v>d.requisitar</v>
      </c>
      <c r="G2356" s="13" t="s">
        <v>4845</v>
      </c>
      <c r="H2356" s="34" t="s">
        <v>1581</v>
      </c>
      <c r="I2356" s="92" t="str">
        <f t="shared" si="1226"/>
        <v>null</v>
      </c>
      <c r="J2356" s="80" t="s">
        <v>0</v>
      </c>
      <c r="K2356" s="80" t="s">
        <v>0</v>
      </c>
      <c r="L2356" s="80" t="s">
        <v>0</v>
      </c>
      <c r="M2356" s="80" t="s">
        <v>0</v>
      </c>
      <c r="N2356" s="80" t="s">
        <v>0</v>
      </c>
      <c r="O2356" s="80" t="s">
        <v>0</v>
      </c>
      <c r="P2356" s="80" t="s">
        <v>0</v>
      </c>
      <c r="Q2356" s="80" t="s">
        <v>0</v>
      </c>
      <c r="R2356" s="84" t="s">
        <v>11203</v>
      </c>
      <c r="S2356" s="10" t="s">
        <v>1</v>
      </c>
      <c r="T2356" s="10" t="s">
        <v>10221</v>
      </c>
      <c r="U2356" s="5" t="str">
        <f t="shared" si="1222"/>
        <v>Propriedade destinada a requisitar: é.requisito.de.piso</v>
      </c>
      <c r="V2356" s="5" t="str">
        <f t="shared" si="1223"/>
        <v>Dado para requisitar:  requisito.de.piso  Deve ser formatado como (rdfs:Literal  or  xsd:string)</v>
      </c>
      <c r="W2356" s="69" t="s">
        <v>4849</v>
      </c>
      <c r="X2356" s="17" t="str">
        <f t="shared" si="1210"/>
        <v>d.requi.114</v>
      </c>
      <c r="Y2356" s="17" t="str">
        <f t="shared" si="1211"/>
        <v>Ação de requisitar</v>
      </c>
      <c r="Z2356" s="62" t="s">
        <v>6751</v>
      </c>
      <c r="AA2356" s="18" t="str">
        <f t="shared" si="1220"/>
        <v>null</v>
      </c>
      <c r="AB2356" s="19" t="s">
        <v>0</v>
      </c>
      <c r="AC2356" s="18" t="str">
        <f t="shared" si="1221"/>
        <v>null</v>
      </c>
      <c r="AD2356" s="19" t="s">
        <v>0</v>
      </c>
      <c r="AE2356" s="18" t="str">
        <f t="shared" si="1165"/>
        <v>null</v>
      </c>
      <c r="AF2356" s="75" t="s">
        <v>0</v>
      </c>
      <c r="AG2356" s="38" t="s">
        <v>9242</v>
      </c>
    </row>
    <row r="2357" spans="1:33" ht="6" customHeight="1" x14ac:dyDescent="0.4">
      <c r="A2357" s="4">
        <f>ROW()</f>
        <v>2357</v>
      </c>
      <c r="B2357" s="9" t="s">
        <v>27</v>
      </c>
      <c r="C2357" s="44" t="str">
        <f t="shared" si="1224"/>
        <v>p.requisitar</v>
      </c>
      <c r="D2357" s="6" t="str">
        <f t="shared" si="1160"/>
        <v>é.requisito.de.vedação</v>
      </c>
      <c r="E2357" s="8" t="s">
        <v>28</v>
      </c>
      <c r="F2357" s="34" t="str">
        <f t="shared" si="1225"/>
        <v>d.requisitar</v>
      </c>
      <c r="G2357" s="13" t="s">
        <v>4846</v>
      </c>
      <c r="H2357" s="34" t="s">
        <v>1581</v>
      </c>
      <c r="I2357" s="92" t="str">
        <f t="shared" si="1226"/>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22"/>
        <v>Propriedade destinada a requisitar: é.requisito.de.vedação</v>
      </c>
      <c r="V2357" s="5" t="str">
        <f t="shared" si="1223"/>
        <v>Dado para requisitar:  requisito.de.vedação  Deve ser formatado como (rdfs:Literal  or  xsd:string)</v>
      </c>
      <c r="W2357" s="69" t="s">
        <v>4850</v>
      </c>
      <c r="X2357" s="17" t="str">
        <f t="shared" si="1210"/>
        <v>d.requi.115</v>
      </c>
      <c r="Y2357" s="17" t="str">
        <f t="shared" si="1211"/>
        <v>Ação de requisitar</v>
      </c>
      <c r="Z2357" s="62" t="s">
        <v>6752</v>
      </c>
      <c r="AA2357" s="18" t="str">
        <f t="shared" si="1220"/>
        <v>null</v>
      </c>
      <c r="AB2357" s="19" t="s">
        <v>0</v>
      </c>
      <c r="AC2357" s="18" t="str">
        <f t="shared" si="1221"/>
        <v>null</v>
      </c>
      <c r="AD2357" s="19" t="s">
        <v>0</v>
      </c>
      <c r="AE2357" s="18" t="str">
        <f t="shared" si="1165"/>
        <v>null</v>
      </c>
      <c r="AF2357" s="75" t="s">
        <v>0</v>
      </c>
      <c r="AG2357" s="38" t="s">
        <v>9243</v>
      </c>
    </row>
    <row r="2358" spans="1:33" ht="6" customHeight="1" x14ac:dyDescent="0.4">
      <c r="A2358" s="4">
        <f>ROW()</f>
        <v>2358</v>
      </c>
      <c r="B2358" s="9" t="s">
        <v>27</v>
      </c>
      <c r="C2358" s="44" t="str">
        <f t="shared" si="1224"/>
        <v>p.requisitar</v>
      </c>
      <c r="D2358" s="6" t="str">
        <f t="shared" si="1160"/>
        <v>é.requisito.geral</v>
      </c>
      <c r="E2358" s="8" t="s">
        <v>28</v>
      </c>
      <c r="F2358" s="34" t="str">
        <f t="shared" si="1225"/>
        <v>d.requisitar</v>
      </c>
      <c r="G2358" s="13" t="s">
        <v>4841</v>
      </c>
      <c r="H2358" s="34" t="s">
        <v>1581</v>
      </c>
      <c r="I2358" s="92" t="str">
        <f t="shared" si="1226"/>
        <v>null</v>
      </c>
      <c r="J2358" s="80" t="s">
        <v>0</v>
      </c>
      <c r="K2358" s="80" t="s">
        <v>0</v>
      </c>
      <c r="L2358" s="80" t="s">
        <v>0</v>
      </c>
      <c r="M2358" s="80" t="s">
        <v>0</v>
      </c>
      <c r="N2358" s="80" t="s">
        <v>0</v>
      </c>
      <c r="O2358" s="80" t="s">
        <v>0</v>
      </c>
      <c r="P2358" s="80" t="s">
        <v>0</v>
      </c>
      <c r="Q2358" s="80" t="s">
        <v>0</v>
      </c>
      <c r="R2358" s="84" t="s">
        <v>1019</v>
      </c>
      <c r="S2358" s="10" t="s">
        <v>1</v>
      </c>
      <c r="T2358" s="10" t="s">
        <v>10221</v>
      </c>
      <c r="U2358" s="5" t="str">
        <f t="shared" si="1222"/>
        <v>Propriedade destinada a requisitar: é.requisito.geral</v>
      </c>
      <c r="V2358" s="5" t="str">
        <f t="shared" si="1223"/>
        <v>Dado para requisitar:  requisito.geral  Deve ser formatado como (rdfs:Literal  or  xsd:string)</v>
      </c>
      <c r="W2358" s="69" t="s">
        <v>4851</v>
      </c>
      <c r="X2358" s="17" t="str">
        <f t="shared" si="1210"/>
        <v>d.requi.116</v>
      </c>
      <c r="Y2358" s="17" t="str">
        <f t="shared" si="1211"/>
        <v>Ação de requisitar</v>
      </c>
      <c r="Z2358" s="62" t="s">
        <v>6753</v>
      </c>
      <c r="AA2358" s="18" t="str">
        <f t="shared" si="1220"/>
        <v>null</v>
      </c>
      <c r="AB2358" s="19" t="s">
        <v>0</v>
      </c>
      <c r="AC2358" s="18" t="str">
        <f t="shared" si="1221"/>
        <v>null</v>
      </c>
      <c r="AD2358" s="19" t="s">
        <v>0</v>
      </c>
      <c r="AE2358" s="18" t="str">
        <f t="shared" si="1165"/>
        <v>null</v>
      </c>
      <c r="AF2358" s="75" t="s">
        <v>0</v>
      </c>
      <c r="AG2358" s="38" t="s">
        <v>9244</v>
      </c>
    </row>
    <row r="2359" spans="1:33" ht="6" customHeight="1" x14ac:dyDescent="0.4">
      <c r="A2359" s="4">
        <f>ROW()</f>
        <v>2359</v>
      </c>
      <c r="B2359" s="9" t="s">
        <v>27</v>
      </c>
      <c r="C2359" s="44" t="str">
        <f t="shared" si="1224"/>
        <v>p.requisitar</v>
      </c>
      <c r="D2359" s="6" t="str">
        <f t="shared" si="1160"/>
        <v>é.requisito.hidrossanitário</v>
      </c>
      <c r="E2359" s="8" t="s">
        <v>28</v>
      </c>
      <c r="F2359" s="34" t="str">
        <f t="shared" si="1225"/>
        <v>d.requisitar</v>
      </c>
      <c r="G2359" s="13" t="s">
        <v>4842</v>
      </c>
      <c r="H2359" s="34" t="s">
        <v>1581</v>
      </c>
      <c r="I2359" s="92" t="str">
        <f t="shared" si="1226"/>
        <v>null</v>
      </c>
      <c r="J2359" s="80" t="s">
        <v>0</v>
      </c>
      <c r="K2359" s="80" t="s">
        <v>0</v>
      </c>
      <c r="L2359" s="80" t="s">
        <v>0</v>
      </c>
      <c r="M2359" s="80" t="s">
        <v>0</v>
      </c>
      <c r="N2359" s="80" t="s">
        <v>0</v>
      </c>
      <c r="O2359" s="80" t="s">
        <v>0</v>
      </c>
      <c r="P2359" s="80" t="s">
        <v>0</v>
      </c>
      <c r="Q2359" s="80" t="s">
        <v>0</v>
      </c>
      <c r="R2359" s="84" t="s">
        <v>11203</v>
      </c>
      <c r="S2359" s="10" t="s">
        <v>1</v>
      </c>
      <c r="T2359" s="10" t="s">
        <v>10221</v>
      </c>
      <c r="U2359" s="5" t="str">
        <f t="shared" si="1222"/>
        <v>Propriedade destinada a requisitar: é.requisito.hidrossanitário</v>
      </c>
      <c r="V2359" s="5" t="str">
        <f t="shared" si="1223"/>
        <v>Dado para requisitar:  requisito.hidrossanitário  Deve ser formatado como (rdfs:Literal  or  xsd:string)</v>
      </c>
      <c r="W2359" s="69" t="s">
        <v>4852</v>
      </c>
      <c r="X2359" s="17" t="str">
        <f t="shared" si="1210"/>
        <v>d.requi.117</v>
      </c>
      <c r="Y2359" s="17" t="str">
        <f t="shared" si="1211"/>
        <v>Ação de requisitar</v>
      </c>
      <c r="Z2359" s="62" t="s">
        <v>6754</v>
      </c>
      <c r="AA2359" s="18" t="str">
        <f t="shared" si="1220"/>
        <v>null</v>
      </c>
      <c r="AB2359" s="19" t="s">
        <v>0</v>
      </c>
      <c r="AC2359" s="18" t="str">
        <f t="shared" si="1221"/>
        <v>null</v>
      </c>
      <c r="AD2359" s="19" t="s">
        <v>0</v>
      </c>
      <c r="AE2359" s="18" t="str">
        <f t="shared" si="1165"/>
        <v>null</v>
      </c>
      <c r="AF2359" s="75" t="s">
        <v>0</v>
      </c>
      <c r="AG2359" s="38" t="s">
        <v>9245</v>
      </c>
    </row>
    <row r="2360" spans="1:33" ht="6" customHeight="1" x14ac:dyDescent="0.4">
      <c r="A2360" s="4">
        <f>ROW()</f>
        <v>2360</v>
      </c>
      <c r="B2360" s="9" t="s">
        <v>27</v>
      </c>
      <c r="C2360" s="44" t="str">
        <f t="shared" ref="C2360" si="1227">SUBSTITUTE(F2360,"d.","p.")</f>
        <v>p.requisitar</v>
      </c>
      <c r="D2360" s="6" t="str">
        <f t="shared" ref="D2360" si="1228">_xlfn.CONCAT("é.",G2360)</f>
        <v>é.troca.de.informação</v>
      </c>
      <c r="E2360" s="8" t="s">
        <v>28</v>
      </c>
      <c r="F2360" s="34" t="str">
        <f>F2358</f>
        <v>d.requisitar</v>
      </c>
      <c r="G2360" s="13" t="s">
        <v>997</v>
      </c>
      <c r="H2360" s="34" t="s">
        <v>1581</v>
      </c>
      <c r="I2360" s="92" t="str">
        <f t="shared" si="1226"/>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ref="U2360" si="1229">_xlfn.CONCAT("Propriedade destinada a ",MID(C2360,FIND("p.",C2360,1)+2,100),": ",D2360)</f>
        <v>Propriedade destinada a requisitar: é.troca.de.informação</v>
      </c>
      <c r="V2360" s="5" t="str">
        <f t="shared" ref="V2360" si="1230">_xlfn.CONCAT("Dado para ",MID(F2360,FIND("d.",F2360,1)+2,100),":  ",G2360, "  Deve ser formatado como (",H2360, ")")</f>
        <v>Dado para requisitar:  troca.de.informação  Deve ser formatado como (rdfs:Literal  or  xsd:string)</v>
      </c>
      <c r="W2360" s="69" t="s">
        <v>6234</v>
      </c>
      <c r="X2360" s="17" t="str">
        <f t="shared" si="1210"/>
        <v>d.requi.118</v>
      </c>
      <c r="Y2360" s="17" t="str">
        <f t="shared" si="1211"/>
        <v>Ação de requisitar</v>
      </c>
      <c r="Z2360" s="62" t="s">
        <v>3096</v>
      </c>
      <c r="AA2360" s="18" t="str">
        <f t="shared" ref="AA2360" si="1231">IF(AB2360="null", "null", "categoria.revit")</f>
        <v>null</v>
      </c>
      <c r="AB2360" s="19" t="s">
        <v>0</v>
      </c>
      <c r="AC2360" s="18" t="str">
        <f t="shared" ref="AC2360" si="1232">IF(AD2360="null", "null", "classe.ifc")</f>
        <v>null</v>
      </c>
      <c r="AD2360" s="19" t="s">
        <v>0</v>
      </c>
      <c r="AE2360" s="18" t="str">
        <f t="shared" ref="AE2360" si="1233">IF(AF2360="null", "null", "propriedade")</f>
        <v>null</v>
      </c>
      <c r="AF2360" s="75" t="s">
        <v>0</v>
      </c>
      <c r="AG2360" s="38" t="s">
        <v>9246</v>
      </c>
    </row>
    <row r="2361" spans="1:33" ht="6" customHeight="1" x14ac:dyDescent="0.4">
      <c r="A2361" s="4">
        <f>ROW()</f>
        <v>2361</v>
      </c>
      <c r="B2361" s="9" t="s">
        <v>27</v>
      </c>
      <c r="C2361" s="44" t="str">
        <f t="shared" si="1224"/>
        <v>p.requisitar</v>
      </c>
      <c r="D2361" s="6" t="str">
        <f t="shared" si="1160"/>
        <v>é.quem.requisitou</v>
      </c>
      <c r="E2361" s="8" t="s">
        <v>28</v>
      </c>
      <c r="F2361" s="34" t="str">
        <f>F2359</f>
        <v>d.requisitar</v>
      </c>
      <c r="G2361" s="13" t="s">
        <v>9855</v>
      </c>
      <c r="H2361" s="34" t="s">
        <v>1581</v>
      </c>
      <c r="I2361" s="92" t="str">
        <f t="shared" si="1226"/>
        <v>null</v>
      </c>
      <c r="J2361" s="80" t="s">
        <v>0</v>
      </c>
      <c r="K2361" s="80" t="s">
        <v>0</v>
      </c>
      <c r="L2361" s="80" t="s">
        <v>0</v>
      </c>
      <c r="M2361" s="80" t="s">
        <v>0</v>
      </c>
      <c r="N2361" s="80" t="s">
        <v>0</v>
      </c>
      <c r="O2361" s="80" t="s">
        <v>0</v>
      </c>
      <c r="P2361" s="80" t="s">
        <v>0</v>
      </c>
      <c r="Q2361" s="80" t="s">
        <v>0</v>
      </c>
      <c r="R2361" s="84" t="s">
        <v>0</v>
      </c>
      <c r="S2361" s="10" t="s">
        <v>1</v>
      </c>
      <c r="T2361" s="10" t="s">
        <v>10221</v>
      </c>
      <c r="U2361" s="5" t="str">
        <f t="shared" si="1222"/>
        <v>Propriedade destinada a requisitar: é.quem.requisitou</v>
      </c>
      <c r="V2361" s="5" t="str">
        <f t="shared" si="1223"/>
        <v>Dado para requisitar:  quem.requisitou  Deve ser formatado como (rdfs:Literal  or  xsd:string)</v>
      </c>
      <c r="W2361" s="69" t="s">
        <v>9856</v>
      </c>
      <c r="X2361" s="17" t="str">
        <f t="shared" si="1210"/>
        <v>d.requi.119</v>
      </c>
      <c r="Y2361" s="17" t="str">
        <f t="shared" si="1211"/>
        <v>Ação de requisitar</v>
      </c>
      <c r="Z2361" s="62" t="s">
        <v>9857</v>
      </c>
      <c r="AA2361" s="18" t="str">
        <f t="shared" si="1220"/>
        <v>null</v>
      </c>
      <c r="AB2361" s="19" t="s">
        <v>0</v>
      </c>
      <c r="AC2361" s="18" t="str">
        <f t="shared" si="1221"/>
        <v>null</v>
      </c>
      <c r="AD2361" s="19" t="s">
        <v>0</v>
      </c>
      <c r="AE2361" s="18" t="str">
        <f t="shared" si="1165"/>
        <v>null</v>
      </c>
      <c r="AF2361" s="75" t="s">
        <v>0</v>
      </c>
      <c r="AG2361" s="38" t="s">
        <v>9858</v>
      </c>
    </row>
    <row r="2362" spans="1:33" ht="6" customHeight="1" x14ac:dyDescent="0.4">
      <c r="A2362" s="4">
        <f>ROW()</f>
        <v>2362</v>
      </c>
      <c r="B2362" s="9" t="s">
        <v>27</v>
      </c>
      <c r="C2362" s="43" t="str">
        <f t="shared" si="1159"/>
        <v>p.resistir</v>
      </c>
      <c r="D2362" s="6" t="str">
        <f t="shared" si="1160"/>
        <v>é.alongamento.após.ruptura</v>
      </c>
      <c r="E2362" s="8" t="s">
        <v>28</v>
      </c>
      <c r="F2362" s="41" t="s">
        <v>2231</v>
      </c>
      <c r="G2362" s="14" t="s">
        <v>948</v>
      </c>
      <c r="H2362" s="33" t="s">
        <v>35</v>
      </c>
      <c r="I2362" s="92" t="str">
        <f t="shared" si="1226"/>
        <v>null</v>
      </c>
      <c r="J2362" s="82" t="s">
        <v>0</v>
      </c>
      <c r="K2362" s="82" t="s">
        <v>0</v>
      </c>
      <c r="L2362" s="82" t="s">
        <v>0</v>
      </c>
      <c r="M2362" s="82" t="s">
        <v>0</v>
      </c>
      <c r="N2362" s="80" t="s">
        <v>0</v>
      </c>
      <c r="O2362" s="82" t="s">
        <v>0</v>
      </c>
      <c r="P2362" s="82" t="s">
        <v>0</v>
      </c>
      <c r="Q2362" s="82" t="s">
        <v>0</v>
      </c>
      <c r="R2362" s="84" t="s">
        <v>0</v>
      </c>
      <c r="S2362" s="10" t="s">
        <v>1</v>
      </c>
      <c r="T2362" s="10" t="s">
        <v>10221</v>
      </c>
      <c r="U2362" s="5" t="str">
        <f t="shared" ref="U2362:U2417" si="1234">_xlfn.CONCAT("Propriedade destinada a ",MID(C2362,FIND("p.",C2362,1)+2,100),": ",D2362)</f>
        <v>Propriedade destinada a resistir: é.alongamento.após.ruptura</v>
      </c>
      <c r="V2362" s="5" t="str">
        <f t="shared" ref="V2362:V2417" si="1235">_xlfn.CONCAT("Dado para ",MID(F2362,FIND("d.",F2362,1)+2,100),":  ",G2362, "  Deve ser formatado como (",H2362, ")")</f>
        <v>Dado para resistir:  alongamento.após.ruptura  Deve ser formatado como (xsd:double)</v>
      </c>
      <c r="W2362" s="69" t="s">
        <v>6235</v>
      </c>
      <c r="X2362" s="17" t="str">
        <f t="shared" si="1210"/>
        <v>d.resis.100</v>
      </c>
      <c r="Y2362" s="17" t="str">
        <f t="shared" si="1211"/>
        <v>Ação de resistir</v>
      </c>
      <c r="Z2362" s="62" t="s">
        <v>1417</v>
      </c>
      <c r="AA2362" s="18" t="str">
        <f t="shared" ref="AA2362:AA2396" si="1236">IF(AB2362="null", "null", "categoria.revit")</f>
        <v>null</v>
      </c>
      <c r="AB2362" s="19" t="s">
        <v>0</v>
      </c>
      <c r="AC2362" s="18" t="str">
        <f t="shared" ref="AC2362:AC2396" si="1237">IF(AD2362="null", "null", "classe.ifc")</f>
        <v>null</v>
      </c>
      <c r="AD2362" s="19" t="s">
        <v>0</v>
      </c>
      <c r="AE2362" s="18" t="str">
        <f t="shared" si="1165"/>
        <v>null</v>
      </c>
      <c r="AF2362" s="75" t="s">
        <v>0</v>
      </c>
      <c r="AG2362" s="38" t="s">
        <v>9247</v>
      </c>
    </row>
    <row r="2363" spans="1:33" ht="6" customHeight="1" x14ac:dyDescent="0.4">
      <c r="A2363" s="4">
        <f>ROW()</f>
        <v>2363</v>
      </c>
      <c r="B2363" s="9" t="s">
        <v>27</v>
      </c>
      <c r="C2363" s="44" t="str">
        <f t="shared" ref="C2363:C2396" si="1238">SUBSTITUTE(F2363,"d.","p.")</f>
        <v>p.resistir</v>
      </c>
      <c r="D2363" s="6" t="str">
        <f t="shared" si="1160"/>
        <v>é.aparafusada</v>
      </c>
      <c r="E2363" s="8" t="s">
        <v>28</v>
      </c>
      <c r="F2363" s="34" t="str">
        <f>F2362</f>
        <v>d.resistir</v>
      </c>
      <c r="G2363" s="13" t="s">
        <v>419</v>
      </c>
      <c r="H2363" s="34" t="s">
        <v>36</v>
      </c>
      <c r="I2363" s="92" t="str">
        <f t="shared" si="1226"/>
        <v>null</v>
      </c>
      <c r="J2363" s="80" t="s">
        <v>0</v>
      </c>
      <c r="K2363" s="80" t="s">
        <v>0</v>
      </c>
      <c r="L2363" s="80" t="s">
        <v>0</v>
      </c>
      <c r="M2363" s="80" t="s">
        <v>0</v>
      </c>
      <c r="N2363" s="80" t="s">
        <v>0</v>
      </c>
      <c r="O2363" s="80" t="s">
        <v>0</v>
      </c>
      <c r="P2363" s="80" t="s">
        <v>0</v>
      </c>
      <c r="Q2363" s="80" t="s">
        <v>0</v>
      </c>
      <c r="R2363" s="84" t="s">
        <v>1089</v>
      </c>
      <c r="S2363" s="10" t="s">
        <v>1</v>
      </c>
      <c r="T2363" s="10" t="s">
        <v>10221</v>
      </c>
      <c r="U2363" s="5" t="str">
        <f t="shared" si="1234"/>
        <v>Propriedade destinada a resistir: é.aparafusada</v>
      </c>
      <c r="V2363" s="5" t="str">
        <f t="shared" si="1235"/>
        <v>Dado para resistir:  aparafusada  Deve ser formatado como (xsd:boolean)</v>
      </c>
      <c r="W2363" s="69" t="s">
        <v>6236</v>
      </c>
      <c r="X2363" s="17" t="str">
        <f t="shared" si="1210"/>
        <v>d.resis.101</v>
      </c>
      <c r="Y2363" s="17" t="str">
        <f t="shared" si="1211"/>
        <v>Ação de resistir</v>
      </c>
      <c r="Z2363" s="62" t="s">
        <v>3084</v>
      </c>
      <c r="AA2363" s="18" t="str">
        <f t="shared" si="1236"/>
        <v>null</v>
      </c>
      <c r="AB2363" s="19" t="s">
        <v>0</v>
      </c>
      <c r="AC2363" s="18" t="str">
        <f t="shared" si="1237"/>
        <v>null</v>
      </c>
      <c r="AD2363" s="19" t="s">
        <v>0</v>
      </c>
      <c r="AE2363" s="18" t="str">
        <f t="shared" si="1165"/>
        <v>null</v>
      </c>
      <c r="AF2363" s="75" t="s">
        <v>0</v>
      </c>
      <c r="AG2363" s="38" t="s">
        <v>9248</v>
      </c>
    </row>
    <row r="2364" spans="1:33" ht="6" customHeight="1" x14ac:dyDescent="0.4">
      <c r="A2364" s="4">
        <f>ROW()</f>
        <v>2364</v>
      </c>
      <c r="B2364" s="9" t="s">
        <v>27</v>
      </c>
      <c r="C2364" s="44" t="str">
        <f t="shared" si="1238"/>
        <v>p.resistir</v>
      </c>
      <c r="D2364" s="6" t="str">
        <f t="shared" si="1160"/>
        <v>é.aparafusado</v>
      </c>
      <c r="E2364" s="8" t="s">
        <v>28</v>
      </c>
      <c r="F2364" s="34" t="str">
        <f t="shared" ref="F2364:F2375" si="1239">F2363</f>
        <v>d.resistir</v>
      </c>
      <c r="G2364" s="14" t="s">
        <v>282</v>
      </c>
      <c r="H2364" s="33" t="s">
        <v>36</v>
      </c>
      <c r="I2364" s="92" t="str">
        <f t="shared" si="1226"/>
        <v>null</v>
      </c>
      <c r="J2364" s="82" t="s">
        <v>0</v>
      </c>
      <c r="K2364" s="82" t="s">
        <v>0</v>
      </c>
      <c r="L2364" s="82" t="s">
        <v>0</v>
      </c>
      <c r="M2364" s="82" t="s">
        <v>0</v>
      </c>
      <c r="N2364" s="80" t="s">
        <v>0</v>
      </c>
      <c r="O2364" s="82" t="s">
        <v>0</v>
      </c>
      <c r="P2364" s="82" t="s">
        <v>0</v>
      </c>
      <c r="Q2364" s="82" t="s">
        <v>0</v>
      </c>
      <c r="R2364" s="84" t="s">
        <v>1090</v>
      </c>
      <c r="S2364" s="10" t="s">
        <v>1</v>
      </c>
      <c r="T2364" s="10" t="s">
        <v>10221</v>
      </c>
      <c r="U2364" s="5" t="str">
        <f t="shared" si="1234"/>
        <v>Propriedade destinada a resistir: é.aparafusado</v>
      </c>
      <c r="V2364" s="5" t="str">
        <f t="shared" si="1235"/>
        <v>Dado para resistir:  aparafusado  Deve ser formatado como (xsd:boolean)</v>
      </c>
      <c r="W2364" s="69" t="s">
        <v>6237</v>
      </c>
      <c r="X2364" s="17" t="str">
        <f t="shared" si="1210"/>
        <v>d.resis.102</v>
      </c>
      <c r="Y2364" s="17" t="str">
        <f t="shared" si="1211"/>
        <v>Ação de resistir</v>
      </c>
      <c r="Z2364" s="62" t="s">
        <v>3078</v>
      </c>
      <c r="AA2364" s="18" t="str">
        <f t="shared" si="1236"/>
        <v>null</v>
      </c>
      <c r="AB2364" s="19" t="s">
        <v>0</v>
      </c>
      <c r="AC2364" s="18" t="str">
        <f t="shared" si="1237"/>
        <v>null</v>
      </c>
      <c r="AD2364" s="19" t="s">
        <v>0</v>
      </c>
      <c r="AE2364" s="18" t="str">
        <f t="shared" si="1165"/>
        <v>null</v>
      </c>
      <c r="AF2364" s="75" t="s">
        <v>0</v>
      </c>
      <c r="AG2364" s="38" t="s">
        <v>9249</v>
      </c>
    </row>
    <row r="2365" spans="1:33" ht="6" customHeight="1" x14ac:dyDescent="0.4">
      <c r="A2365" s="4">
        <f>ROW()</f>
        <v>2365</v>
      </c>
      <c r="B2365" s="9" t="s">
        <v>27</v>
      </c>
      <c r="C2365" s="44" t="str">
        <f t="shared" si="1238"/>
        <v>p.resistir</v>
      </c>
      <c r="D2365" s="6" t="str">
        <f t="shared" si="1160"/>
        <v>é.atrito</v>
      </c>
      <c r="E2365" s="8" t="s">
        <v>28</v>
      </c>
      <c r="F2365" s="34" t="str">
        <f t="shared" si="1239"/>
        <v>d.resistir</v>
      </c>
      <c r="G2365" s="14" t="s">
        <v>3357</v>
      </c>
      <c r="H2365" s="33" t="s">
        <v>35</v>
      </c>
      <c r="I2365" s="92" t="str">
        <f t="shared" si="1226"/>
        <v>null</v>
      </c>
      <c r="J2365" s="82" t="s">
        <v>0</v>
      </c>
      <c r="K2365" s="82" t="s">
        <v>0</v>
      </c>
      <c r="L2365" s="82" t="s">
        <v>0</v>
      </c>
      <c r="M2365" s="82" t="s">
        <v>0</v>
      </c>
      <c r="N2365" s="80" t="s">
        <v>0</v>
      </c>
      <c r="O2365" s="82" t="s">
        <v>0</v>
      </c>
      <c r="P2365" s="82" t="s">
        <v>0</v>
      </c>
      <c r="Q2365" s="82" t="s">
        <v>3361</v>
      </c>
      <c r="R2365" s="84" t="s">
        <v>0</v>
      </c>
      <c r="S2365" s="10" t="s">
        <v>1</v>
      </c>
      <c r="T2365" s="10" t="s">
        <v>10221</v>
      </c>
      <c r="U2365" s="5" t="str">
        <f t="shared" si="1234"/>
        <v>Propriedade destinada a resistir: é.atrito</v>
      </c>
      <c r="V2365" s="5" t="str">
        <f t="shared" si="1235"/>
        <v>Dado para resistir:  atrito  Deve ser formatado como (xsd:double)</v>
      </c>
      <c r="W2365" s="69" t="s">
        <v>4727</v>
      </c>
      <c r="X2365" s="17" t="str">
        <f t="shared" si="1210"/>
        <v>d.resis.103</v>
      </c>
      <c r="Y2365" s="17" t="str">
        <f t="shared" si="1211"/>
        <v>Ação de resistir</v>
      </c>
      <c r="Z2365" s="62" t="s">
        <v>3359</v>
      </c>
      <c r="AA2365" s="18" t="str">
        <f t="shared" si="1236"/>
        <v>null</v>
      </c>
      <c r="AB2365" s="19" t="s">
        <v>0</v>
      </c>
      <c r="AC2365" s="18" t="str">
        <f t="shared" si="1237"/>
        <v>null</v>
      </c>
      <c r="AD2365" s="19" t="s">
        <v>0</v>
      </c>
      <c r="AE2365" s="18" t="str">
        <f t="shared" si="1165"/>
        <v>null</v>
      </c>
      <c r="AF2365" s="75" t="s">
        <v>0</v>
      </c>
      <c r="AG2365" s="38" t="s">
        <v>9250</v>
      </c>
    </row>
    <row r="2366" spans="1:33" ht="6" customHeight="1" x14ac:dyDescent="0.4">
      <c r="A2366" s="4">
        <f>ROW()</f>
        <v>2366</v>
      </c>
      <c r="B2366" s="9" t="s">
        <v>27</v>
      </c>
      <c r="C2366" s="44" t="str">
        <f t="shared" ref="C2366" si="1240">SUBSTITUTE(F2366,"d.","p.")</f>
        <v>p.resistir</v>
      </c>
      <c r="D2366" s="6" t="str">
        <f t="shared" si="1160"/>
        <v>é.atrito.negativo</v>
      </c>
      <c r="E2366" s="8" t="s">
        <v>28</v>
      </c>
      <c r="F2366" s="34" t="str">
        <f t="shared" si="1239"/>
        <v>d.resistir</v>
      </c>
      <c r="G2366" s="14" t="s">
        <v>3356</v>
      </c>
      <c r="H2366" s="33" t="s">
        <v>35</v>
      </c>
      <c r="I2366" s="92" t="str">
        <f t="shared" si="1226"/>
        <v>null</v>
      </c>
      <c r="J2366" s="82" t="s">
        <v>0</v>
      </c>
      <c r="K2366" s="82" t="s">
        <v>0</v>
      </c>
      <c r="L2366" s="82" t="s">
        <v>0</v>
      </c>
      <c r="M2366" s="82" t="s">
        <v>0</v>
      </c>
      <c r="N2366" s="80" t="s">
        <v>0</v>
      </c>
      <c r="O2366" s="82" t="s">
        <v>0</v>
      </c>
      <c r="P2366" s="82" t="s">
        <v>0</v>
      </c>
      <c r="Q2366" s="82" t="s">
        <v>3362</v>
      </c>
      <c r="R2366" s="84" t="s">
        <v>0</v>
      </c>
      <c r="S2366" s="10" t="s">
        <v>1</v>
      </c>
      <c r="T2366" s="10" t="s">
        <v>10221</v>
      </c>
      <c r="U2366" s="5" t="str">
        <f t="shared" si="1234"/>
        <v>Propriedade destinada a resistir: é.atrito.negativo</v>
      </c>
      <c r="V2366" s="5" t="str">
        <f t="shared" si="1235"/>
        <v>Dado para resistir:  atrito.negativo  Deve ser formatado como (xsd:double)</v>
      </c>
      <c r="W2366" s="69" t="s">
        <v>3358</v>
      </c>
      <c r="X2366" s="17" t="str">
        <f t="shared" si="1210"/>
        <v>d.resis.104</v>
      </c>
      <c r="Y2366" s="17" t="str">
        <f t="shared" si="1211"/>
        <v>Ação de resistir</v>
      </c>
      <c r="Z2366" s="62" t="s">
        <v>3360</v>
      </c>
      <c r="AA2366" s="18" t="str">
        <f t="shared" ref="AA2366" si="1241">IF(AB2366="null", "null", "categoria.revit")</f>
        <v>null</v>
      </c>
      <c r="AB2366" s="19" t="s">
        <v>0</v>
      </c>
      <c r="AC2366" s="18" t="str">
        <f t="shared" ref="AC2366" si="1242">IF(AD2366="null", "null", "classe.ifc")</f>
        <v>null</v>
      </c>
      <c r="AD2366" s="19" t="s">
        <v>0</v>
      </c>
      <c r="AE2366" s="18" t="str">
        <f t="shared" ref="AE2366" si="1243">IF(AF2366="null", "null", "propriedade")</f>
        <v>null</v>
      </c>
      <c r="AF2366" s="75" t="s">
        <v>0</v>
      </c>
      <c r="AG2366" s="38" t="s">
        <v>9251</v>
      </c>
    </row>
    <row r="2367" spans="1:33" ht="6" customHeight="1" x14ac:dyDescent="0.4">
      <c r="A2367" s="4">
        <f>ROW()</f>
        <v>2367</v>
      </c>
      <c r="B2367" s="9" t="s">
        <v>27</v>
      </c>
      <c r="C2367" s="44" t="str">
        <f t="shared" si="1238"/>
        <v>p.resistir</v>
      </c>
      <c r="D2367" s="6" t="str">
        <f t="shared" si="1160"/>
        <v>é.característica.de.escoamento</v>
      </c>
      <c r="E2367" s="8" t="s">
        <v>28</v>
      </c>
      <c r="F2367" s="34" t="str">
        <f t="shared" si="1239"/>
        <v>d.resistir</v>
      </c>
      <c r="G2367" s="14" t="s">
        <v>946</v>
      </c>
      <c r="H2367" s="33" t="s">
        <v>35</v>
      </c>
      <c r="I2367" s="92" t="str">
        <f t="shared" si="1226"/>
        <v>null</v>
      </c>
      <c r="J2367" s="82" t="s">
        <v>0</v>
      </c>
      <c r="K2367" s="82" t="s">
        <v>0</v>
      </c>
      <c r="L2367" s="82" t="s">
        <v>0</v>
      </c>
      <c r="M2367" s="82" t="s">
        <v>0</v>
      </c>
      <c r="N2367" s="80" t="s">
        <v>0</v>
      </c>
      <c r="O2367" s="82" t="s">
        <v>0</v>
      </c>
      <c r="P2367" s="82" t="s">
        <v>0</v>
      </c>
      <c r="Q2367" s="82" t="s">
        <v>0</v>
      </c>
      <c r="R2367" s="84" t="s">
        <v>0</v>
      </c>
      <c r="S2367" s="10" t="s">
        <v>1</v>
      </c>
      <c r="T2367" s="10" t="s">
        <v>10221</v>
      </c>
      <c r="U2367" s="5" t="str">
        <f t="shared" si="1234"/>
        <v>Propriedade destinada a resistir: é.característica.de.escoamento</v>
      </c>
      <c r="V2367" s="5" t="str">
        <f t="shared" si="1235"/>
        <v>Dado para resistir:  característica.de.escoamento  Deve ser formatado como (xsd:double)</v>
      </c>
      <c r="W2367" s="69" t="s">
        <v>6238</v>
      </c>
      <c r="X2367" s="17" t="str">
        <f t="shared" si="1210"/>
        <v>d.resis.105</v>
      </c>
      <c r="Y2367" s="17" t="str">
        <f t="shared" si="1211"/>
        <v>Ação de resistir</v>
      </c>
      <c r="Z2367" s="62" t="s">
        <v>3079</v>
      </c>
      <c r="AA2367" s="18" t="str">
        <f t="shared" si="1236"/>
        <v>null</v>
      </c>
      <c r="AB2367" s="19" t="s">
        <v>0</v>
      </c>
      <c r="AC2367" s="18" t="str">
        <f t="shared" si="1237"/>
        <v>null</v>
      </c>
      <c r="AD2367" s="19" t="s">
        <v>0</v>
      </c>
      <c r="AE2367" s="18" t="str">
        <f t="shared" si="1165"/>
        <v>null</v>
      </c>
      <c r="AF2367" s="75" t="s">
        <v>0</v>
      </c>
      <c r="AG2367" s="38" t="s">
        <v>9252</v>
      </c>
    </row>
    <row r="2368" spans="1:33" ht="6" customHeight="1" x14ac:dyDescent="0.4">
      <c r="A2368" s="4">
        <f>ROW()</f>
        <v>2368</v>
      </c>
      <c r="B2368" s="9" t="s">
        <v>27</v>
      </c>
      <c r="C2368" s="44" t="str">
        <f t="shared" ref="C2368" si="1244">SUBSTITUTE(F2368,"d.","p.")</f>
        <v>p.resistir</v>
      </c>
      <c r="D2368" s="6" t="str">
        <f t="shared" ref="D2368" si="1245">_xlfn.CONCAT("é.",G2368)</f>
        <v>é.chumbada</v>
      </c>
      <c r="E2368" s="8" t="s">
        <v>28</v>
      </c>
      <c r="F2368" s="34" t="str">
        <f t="shared" si="1239"/>
        <v>d.resistir</v>
      </c>
      <c r="G2368" s="14" t="s">
        <v>418</v>
      </c>
      <c r="H2368" s="33" t="s">
        <v>36</v>
      </c>
      <c r="I2368" s="92" t="str">
        <f t="shared" si="1226"/>
        <v>null</v>
      </c>
      <c r="J2368" s="82" t="s">
        <v>0</v>
      </c>
      <c r="K2368" s="82" t="s">
        <v>0</v>
      </c>
      <c r="L2368" s="82" t="s">
        <v>0</v>
      </c>
      <c r="M2368" s="82" t="s">
        <v>0</v>
      </c>
      <c r="N2368" s="80" t="s">
        <v>0</v>
      </c>
      <c r="O2368" s="82" t="s">
        <v>0</v>
      </c>
      <c r="P2368" s="82" t="s">
        <v>0</v>
      </c>
      <c r="Q2368" s="82" t="s">
        <v>0</v>
      </c>
      <c r="R2368" s="84" t="s">
        <v>9848</v>
      </c>
      <c r="S2368" s="10" t="s">
        <v>1</v>
      </c>
      <c r="T2368" s="10" t="s">
        <v>10221</v>
      </c>
      <c r="U2368" s="5" t="str">
        <f t="shared" ref="U2368" si="1246">_xlfn.CONCAT("Propriedade destinada a ",MID(C2368,FIND("p.",C2368,1)+2,100),": ",D2368)</f>
        <v>Propriedade destinada a resistir: é.chumbada</v>
      </c>
      <c r="V2368" s="5" t="str">
        <f t="shared" ref="V2368" si="1247">_xlfn.CONCAT("Dado para ",MID(F2368,FIND("d.",F2368,1)+2,100),":  ",G2368, "  Deve ser formatado como (",H2368, ")")</f>
        <v>Dado para resistir:  chumbada  Deve ser formatado como (xsd:boolean)</v>
      </c>
      <c r="W2368" s="69" t="s">
        <v>9851</v>
      </c>
      <c r="X2368" s="17" t="str">
        <f t="shared" si="1210"/>
        <v>d.resis.106</v>
      </c>
      <c r="Y2368" s="17" t="str">
        <f t="shared" si="1211"/>
        <v>Ação de resistir</v>
      </c>
      <c r="Z2368" s="62" t="s">
        <v>9852</v>
      </c>
      <c r="AA2368" s="18" t="str">
        <f t="shared" ref="AA2368" si="1248">IF(AB2368="null", "null", "categoria.revit")</f>
        <v>null</v>
      </c>
      <c r="AB2368" s="19" t="s">
        <v>0</v>
      </c>
      <c r="AC2368" s="18" t="str">
        <f t="shared" ref="AC2368" si="1249">IF(AD2368="null", "null", "classe.ifc")</f>
        <v>null</v>
      </c>
      <c r="AD2368" s="19" t="s">
        <v>0</v>
      </c>
      <c r="AE2368" s="18" t="str">
        <f t="shared" ref="AE2368" si="1250">IF(AF2368="null", "null", "propriedade")</f>
        <v>null</v>
      </c>
      <c r="AF2368" s="75" t="s">
        <v>0</v>
      </c>
      <c r="AG2368" s="38" t="s">
        <v>9854</v>
      </c>
    </row>
    <row r="2369" spans="1:33" ht="6" customHeight="1" x14ac:dyDescent="0.4">
      <c r="A2369" s="4">
        <f>ROW()</f>
        <v>2369</v>
      </c>
      <c r="B2369" s="9" t="s">
        <v>27</v>
      </c>
      <c r="C2369" s="44" t="str">
        <f t="shared" si="1238"/>
        <v>p.resistir</v>
      </c>
      <c r="D2369" s="6" t="str">
        <f t="shared" si="1160"/>
        <v>é.chumbado</v>
      </c>
      <c r="E2369" s="8" t="s">
        <v>28</v>
      </c>
      <c r="F2369" s="34" t="str">
        <f t="shared" si="1239"/>
        <v>d.resistir</v>
      </c>
      <c r="G2369" s="14" t="s">
        <v>9847</v>
      </c>
      <c r="H2369" s="33" t="s">
        <v>36</v>
      </c>
      <c r="I2369" s="92" t="str">
        <f t="shared" si="1226"/>
        <v>null</v>
      </c>
      <c r="J2369" s="82" t="s">
        <v>0</v>
      </c>
      <c r="K2369" s="82" t="s">
        <v>0</v>
      </c>
      <c r="L2369" s="82" t="s">
        <v>0</v>
      </c>
      <c r="M2369" s="82" t="s">
        <v>0</v>
      </c>
      <c r="N2369" s="80" t="s">
        <v>0</v>
      </c>
      <c r="O2369" s="82" t="s">
        <v>0</v>
      </c>
      <c r="P2369" s="82" t="s">
        <v>0</v>
      </c>
      <c r="Q2369" s="82" t="s">
        <v>0</v>
      </c>
      <c r="R2369" s="84" t="s">
        <v>9849</v>
      </c>
      <c r="S2369" s="10" t="s">
        <v>1</v>
      </c>
      <c r="T2369" s="10" t="s">
        <v>10221</v>
      </c>
      <c r="U2369" s="5" t="str">
        <f t="shared" si="1234"/>
        <v>Propriedade destinada a resistir: é.chumbado</v>
      </c>
      <c r="V2369" s="5" t="str">
        <f t="shared" si="1235"/>
        <v>Dado para resistir:  chumbado  Deve ser formatado como (xsd:boolean)</v>
      </c>
      <c r="W2369" s="69" t="s">
        <v>9850</v>
      </c>
      <c r="X2369" s="17" t="str">
        <f t="shared" si="1210"/>
        <v>d.resis.107</v>
      </c>
      <c r="Y2369" s="17" t="str">
        <f t="shared" si="1211"/>
        <v>Ação de resistir</v>
      </c>
      <c r="Z2369" s="62" t="s">
        <v>9853</v>
      </c>
      <c r="AA2369" s="18" t="str">
        <f t="shared" si="1236"/>
        <v>null</v>
      </c>
      <c r="AB2369" s="19" t="s">
        <v>0</v>
      </c>
      <c r="AC2369" s="18" t="str">
        <f t="shared" si="1237"/>
        <v>null</v>
      </c>
      <c r="AD2369" s="19" t="s">
        <v>0</v>
      </c>
      <c r="AE2369" s="18" t="str">
        <f t="shared" si="1165"/>
        <v>null</v>
      </c>
      <c r="AF2369" s="75" t="s">
        <v>0</v>
      </c>
      <c r="AG2369" s="38" t="s">
        <v>9854</v>
      </c>
    </row>
    <row r="2370" spans="1:33" ht="6" customHeight="1" x14ac:dyDescent="0.4">
      <c r="A2370" s="4">
        <f>ROW()</f>
        <v>2370</v>
      </c>
      <c r="B2370" s="9" t="s">
        <v>27</v>
      </c>
      <c r="C2370" s="44" t="str">
        <f t="shared" ref="C2370" si="1251">SUBSTITUTE(F2370,"d.","p.")</f>
        <v>p.resistir</v>
      </c>
      <c r="D2370" s="6" t="str">
        <f t="shared" si="1160"/>
        <v>é.classe.de.aço</v>
      </c>
      <c r="E2370" s="8" t="s">
        <v>28</v>
      </c>
      <c r="F2370" s="34" t="str">
        <f t="shared" si="1239"/>
        <v>d.resistir</v>
      </c>
      <c r="G2370" s="14" t="s">
        <v>944</v>
      </c>
      <c r="H2370" s="34" t="s">
        <v>1581</v>
      </c>
      <c r="I2370" s="92" t="str">
        <f t="shared" si="1226"/>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si="1234"/>
        <v>Propriedade destinada a resistir: é.classe.de.aço</v>
      </c>
      <c r="V2370" s="5" t="str">
        <f t="shared" si="1235"/>
        <v>Dado para resistir:  classe.de.aço  Deve ser formatado como (rdfs:Literal  or  xsd:string)</v>
      </c>
      <c r="W2370" s="69" t="s">
        <v>6239</v>
      </c>
      <c r="X2370" s="17" t="str">
        <f t="shared" si="1210"/>
        <v>d.resis.108</v>
      </c>
      <c r="Y2370" s="17" t="str">
        <f t="shared" si="1211"/>
        <v>Ação de resistir</v>
      </c>
      <c r="Z2370" s="62" t="s">
        <v>3080</v>
      </c>
      <c r="AA2370" s="18" t="str">
        <f t="shared" ref="AA2370" si="1252">IF(AB2370="null", "null", "categoria.revit")</f>
        <v>null</v>
      </c>
      <c r="AB2370" s="19" t="s">
        <v>0</v>
      </c>
      <c r="AC2370" s="18" t="str">
        <f t="shared" ref="AC2370" si="1253">IF(AD2370="null", "null", "classe.ifc")</f>
        <v>null</v>
      </c>
      <c r="AD2370" s="19" t="s">
        <v>0</v>
      </c>
      <c r="AE2370" s="18" t="str">
        <f t="shared" ref="AE2370" si="1254">IF(AF2370="null", "null", "propriedade")</f>
        <v>null</v>
      </c>
      <c r="AF2370" s="75" t="s">
        <v>0</v>
      </c>
      <c r="AG2370" s="38" t="s">
        <v>9253</v>
      </c>
    </row>
    <row r="2371" spans="1:33" ht="6" customHeight="1" x14ac:dyDescent="0.4">
      <c r="A2371" s="4">
        <f>ROW()</f>
        <v>2371</v>
      </c>
      <c r="B2371" s="9" t="s">
        <v>27</v>
      </c>
      <c r="C2371" s="44" t="str">
        <f t="shared" si="1238"/>
        <v>p.resistir</v>
      </c>
      <c r="D2371" s="6" t="str">
        <f t="shared" si="1160"/>
        <v>é.contraflecha</v>
      </c>
      <c r="E2371" s="8" t="s">
        <v>28</v>
      </c>
      <c r="F2371" s="34" t="str">
        <f t="shared" si="1239"/>
        <v>d.resistir</v>
      </c>
      <c r="G2371" s="14" t="s">
        <v>3328</v>
      </c>
      <c r="H2371" s="33" t="s">
        <v>35</v>
      </c>
      <c r="I2371" s="92" t="str">
        <f t="shared" si="1226"/>
        <v>null</v>
      </c>
      <c r="J2371" s="82" t="s">
        <v>0</v>
      </c>
      <c r="K2371" s="82" t="s">
        <v>0</v>
      </c>
      <c r="L2371" s="82" t="s">
        <v>0</v>
      </c>
      <c r="M2371" s="82" t="s">
        <v>0</v>
      </c>
      <c r="N2371" s="80" t="s">
        <v>0</v>
      </c>
      <c r="O2371" s="82" t="s">
        <v>0</v>
      </c>
      <c r="P2371" s="82" t="s">
        <v>0</v>
      </c>
      <c r="Q2371" s="82" t="s">
        <v>0</v>
      </c>
      <c r="R2371" s="84" t="s">
        <v>0</v>
      </c>
      <c r="S2371" s="10" t="s">
        <v>1</v>
      </c>
      <c r="T2371" s="10" t="s">
        <v>10221</v>
      </c>
      <c r="U2371" s="5" t="str">
        <f t="shared" si="1234"/>
        <v>Propriedade destinada a resistir: é.contraflecha</v>
      </c>
      <c r="V2371" s="5" t="str">
        <f t="shared" si="1235"/>
        <v>Dado para resistir:  contraflecha  Deve ser formatado como (xsd:double)</v>
      </c>
      <c r="W2371" s="69" t="s">
        <v>6240</v>
      </c>
      <c r="X2371" s="17" t="str">
        <f t="shared" ref="X2371:X2434" si="1255">IF(F2370&lt;&gt;F2371,_xlfn.CONCAT(RIGHT(LEFT(F2371,7),7),".100"),_xlfn.CONCAT(RIGHT(LEFT(F2371,7),7),".",SUM(VALUE(RIGHT(X2370,3)),1)))</f>
        <v>d.resis.109</v>
      </c>
      <c r="Y2371" s="17" t="str">
        <f t="shared" ref="Y2371:Y2434" si="1256">_xlfn.CONCAT("Ação de ", SUBSTITUTE(F2371, "d.",  ""))</f>
        <v>Ação de resistir</v>
      </c>
      <c r="Z2371" s="62" t="s">
        <v>4759</v>
      </c>
      <c r="AA2371" s="18" t="str">
        <f t="shared" si="1236"/>
        <v>null</v>
      </c>
      <c r="AB2371" s="19" t="s">
        <v>0</v>
      </c>
      <c r="AC2371" s="18" t="str">
        <f t="shared" si="1237"/>
        <v>null</v>
      </c>
      <c r="AD2371" s="19" t="s">
        <v>0</v>
      </c>
      <c r="AE2371" s="18" t="str">
        <f t="shared" si="1165"/>
        <v>null</v>
      </c>
      <c r="AF2371" s="75" t="s">
        <v>0</v>
      </c>
      <c r="AG2371" s="38" t="s">
        <v>9254</v>
      </c>
    </row>
    <row r="2372" spans="1:33" ht="6" customHeight="1" x14ac:dyDescent="0.4">
      <c r="A2372" s="4">
        <f>ROW()</f>
        <v>2372</v>
      </c>
      <c r="B2372" s="9" t="s">
        <v>27</v>
      </c>
      <c r="C2372" s="44" t="str">
        <f t="shared" si="1238"/>
        <v>p.resistir</v>
      </c>
      <c r="D2372" s="6" t="str">
        <f t="shared" si="1160"/>
        <v>é.engastado</v>
      </c>
      <c r="E2372" s="8" t="s">
        <v>28</v>
      </c>
      <c r="F2372" s="34" t="str">
        <f t="shared" si="1239"/>
        <v>d.resistir</v>
      </c>
      <c r="G2372" s="14" t="s">
        <v>415</v>
      </c>
      <c r="H2372" s="33" t="s">
        <v>36</v>
      </c>
      <c r="I2372" s="92" t="str">
        <f t="shared" si="1226"/>
        <v>null</v>
      </c>
      <c r="J2372" s="82" t="s">
        <v>0</v>
      </c>
      <c r="K2372" s="82" t="s">
        <v>0</v>
      </c>
      <c r="L2372" s="82" t="s">
        <v>0</v>
      </c>
      <c r="M2372" s="82" t="s">
        <v>0</v>
      </c>
      <c r="N2372" s="80" t="s">
        <v>0</v>
      </c>
      <c r="O2372" s="82" t="s">
        <v>0</v>
      </c>
      <c r="P2372" s="82" t="s">
        <v>0</v>
      </c>
      <c r="Q2372" s="82" t="s">
        <v>0</v>
      </c>
      <c r="R2372" s="84" t="s">
        <v>0</v>
      </c>
      <c r="S2372" s="10" t="s">
        <v>1</v>
      </c>
      <c r="T2372" s="10" t="s">
        <v>10221</v>
      </c>
      <c r="U2372" s="5" t="str">
        <f t="shared" si="1234"/>
        <v>Propriedade destinada a resistir: é.engastado</v>
      </c>
      <c r="V2372" s="5" t="str">
        <f t="shared" si="1235"/>
        <v>Dado para resistir:  engastado  Deve ser formatado como (xsd:boolean)</v>
      </c>
      <c r="W2372" s="69" t="s">
        <v>6241</v>
      </c>
      <c r="X2372" s="17" t="str">
        <f t="shared" si="1255"/>
        <v>d.resis.110</v>
      </c>
      <c r="Y2372" s="17" t="str">
        <f t="shared" si="1256"/>
        <v>Ação de resistir</v>
      </c>
      <c r="Z2372" s="62" t="s">
        <v>3081</v>
      </c>
      <c r="AA2372" s="18" t="str">
        <f t="shared" si="1236"/>
        <v>null</v>
      </c>
      <c r="AB2372" s="19" t="s">
        <v>0</v>
      </c>
      <c r="AC2372" s="18" t="str">
        <f t="shared" si="1237"/>
        <v>null</v>
      </c>
      <c r="AD2372" s="19" t="s">
        <v>0</v>
      </c>
      <c r="AE2372" s="18" t="str">
        <f t="shared" si="1165"/>
        <v>null</v>
      </c>
      <c r="AF2372" s="75" t="s">
        <v>0</v>
      </c>
      <c r="AG2372" s="38" t="s">
        <v>9255</v>
      </c>
    </row>
    <row r="2373" spans="1:33" ht="6" customHeight="1" x14ac:dyDescent="0.4">
      <c r="A2373" s="4">
        <f>ROW()</f>
        <v>2373</v>
      </c>
      <c r="B2373" s="9" t="s">
        <v>27</v>
      </c>
      <c r="C2373" s="44" t="str">
        <f t="shared" si="1238"/>
        <v>p.resistir</v>
      </c>
      <c r="D2373" s="6" t="str">
        <f t="shared" si="1160"/>
        <v>é.força.de.cisalhamento</v>
      </c>
      <c r="E2373" s="8" t="s">
        <v>28</v>
      </c>
      <c r="F2373" s="34" t="str">
        <f t="shared" si="1239"/>
        <v>d.resistir</v>
      </c>
      <c r="G2373" s="14" t="s">
        <v>2446</v>
      </c>
      <c r="H2373" s="33" t="s">
        <v>35</v>
      </c>
      <c r="I2373" s="92" t="str">
        <f t="shared" si="1226"/>
        <v>null</v>
      </c>
      <c r="J2373" s="82" t="s">
        <v>0</v>
      </c>
      <c r="K2373" s="82" t="s">
        <v>0</v>
      </c>
      <c r="L2373" s="82" t="s">
        <v>0</v>
      </c>
      <c r="M2373" s="82" t="s">
        <v>0</v>
      </c>
      <c r="N2373" s="80" t="s">
        <v>0</v>
      </c>
      <c r="O2373" s="82" t="s">
        <v>0</v>
      </c>
      <c r="P2373" s="82" t="s">
        <v>0</v>
      </c>
      <c r="Q2373" s="82" t="s">
        <v>0</v>
      </c>
      <c r="R2373" s="84" t="s">
        <v>0</v>
      </c>
      <c r="S2373" s="10" t="s">
        <v>1</v>
      </c>
      <c r="T2373" s="10" t="s">
        <v>10221</v>
      </c>
      <c r="U2373" s="5" t="str">
        <f t="shared" si="1234"/>
        <v>Propriedade destinada a resistir: é.força.de.cisalhamento</v>
      </c>
      <c r="V2373" s="5" t="str">
        <f t="shared" si="1235"/>
        <v>Dado para resistir:  força.de.cisalhamento  Deve ser formatado como (xsd:double)</v>
      </c>
      <c r="W2373" s="69" t="s">
        <v>6242</v>
      </c>
      <c r="X2373" s="17" t="str">
        <f t="shared" si="1255"/>
        <v>d.resis.111</v>
      </c>
      <c r="Y2373" s="17" t="str">
        <f t="shared" si="1256"/>
        <v>Ação de resistir</v>
      </c>
      <c r="Z2373" s="62" t="s">
        <v>4760</v>
      </c>
      <c r="AA2373" s="18" t="str">
        <f t="shared" si="1236"/>
        <v>null</v>
      </c>
      <c r="AB2373" s="19" t="s">
        <v>0</v>
      </c>
      <c r="AC2373" s="18" t="str">
        <f t="shared" si="1237"/>
        <v>null</v>
      </c>
      <c r="AD2373" s="19" t="s">
        <v>0</v>
      </c>
      <c r="AE2373" s="18" t="str">
        <f t="shared" si="1165"/>
        <v>null</v>
      </c>
      <c r="AF2373" s="75" t="s">
        <v>0</v>
      </c>
      <c r="AG2373" s="38" t="s">
        <v>9256</v>
      </c>
    </row>
    <row r="2374" spans="1:33" ht="6" customHeight="1" x14ac:dyDescent="0.4">
      <c r="A2374" s="4">
        <f>ROW()</f>
        <v>2374</v>
      </c>
      <c r="B2374" s="9" t="s">
        <v>27</v>
      </c>
      <c r="C2374" s="44" t="str">
        <f t="shared" si="1238"/>
        <v>p.resistir</v>
      </c>
      <c r="D2374" s="6" t="str">
        <f t="shared" si="1160"/>
        <v>é.força.de.compressão</v>
      </c>
      <c r="E2374" s="8" t="s">
        <v>28</v>
      </c>
      <c r="F2374" s="34" t="str">
        <f t="shared" si="1239"/>
        <v>d.resistir</v>
      </c>
      <c r="G2374" s="14" t="s">
        <v>2448</v>
      </c>
      <c r="H2374" s="33" t="s">
        <v>35</v>
      </c>
      <c r="I2374" s="92" t="str">
        <f t="shared" si="1226"/>
        <v>null</v>
      </c>
      <c r="J2374" s="82" t="s">
        <v>0</v>
      </c>
      <c r="K2374" s="82" t="s">
        <v>0</v>
      </c>
      <c r="L2374" s="82" t="s">
        <v>0</v>
      </c>
      <c r="M2374" s="82" t="s">
        <v>0</v>
      </c>
      <c r="N2374" s="80" t="s">
        <v>0</v>
      </c>
      <c r="O2374" s="82" t="s">
        <v>0</v>
      </c>
      <c r="P2374" s="82" t="s">
        <v>0</v>
      </c>
      <c r="Q2374" s="82" t="s">
        <v>0</v>
      </c>
      <c r="R2374" s="84" t="s">
        <v>0</v>
      </c>
      <c r="S2374" s="10" t="s">
        <v>1</v>
      </c>
      <c r="T2374" s="10" t="s">
        <v>10221</v>
      </c>
      <c r="U2374" s="5" t="str">
        <f t="shared" si="1234"/>
        <v>Propriedade destinada a resistir: é.força.de.compressão</v>
      </c>
      <c r="V2374" s="5" t="str">
        <f t="shared" si="1235"/>
        <v>Dado para resistir:  força.de.compressão  Deve ser formatado como (xsd:double)</v>
      </c>
      <c r="W2374" s="69" t="s">
        <v>6243</v>
      </c>
      <c r="X2374" s="17" t="str">
        <f t="shared" si="1255"/>
        <v>d.resis.112</v>
      </c>
      <c r="Y2374" s="17" t="str">
        <f t="shared" si="1256"/>
        <v>Ação de resistir</v>
      </c>
      <c r="Z2374" s="62" t="s">
        <v>4761</v>
      </c>
      <c r="AA2374" s="18" t="str">
        <f t="shared" si="1236"/>
        <v>null</v>
      </c>
      <c r="AB2374" s="19" t="s">
        <v>0</v>
      </c>
      <c r="AC2374" s="18" t="str">
        <f t="shared" si="1237"/>
        <v>null</v>
      </c>
      <c r="AD2374" s="19" t="s">
        <v>0</v>
      </c>
      <c r="AE2374" s="18" t="str">
        <f t="shared" si="1165"/>
        <v>null</v>
      </c>
      <c r="AF2374" s="75" t="s">
        <v>0</v>
      </c>
      <c r="AG2374" s="38" t="s">
        <v>9257</v>
      </c>
    </row>
    <row r="2375" spans="1:33" ht="6" customHeight="1" x14ac:dyDescent="0.4">
      <c r="A2375" s="4">
        <f>ROW()</f>
        <v>2375</v>
      </c>
      <c r="B2375" s="9" t="s">
        <v>27</v>
      </c>
      <c r="C2375" s="44" t="str">
        <f t="shared" si="1238"/>
        <v>p.resistir</v>
      </c>
      <c r="D2375" s="6" t="str">
        <f t="shared" si="1160"/>
        <v>é.força.de.momento.fletor</v>
      </c>
      <c r="E2375" s="8" t="s">
        <v>28</v>
      </c>
      <c r="F2375" s="34" t="str">
        <f t="shared" si="1239"/>
        <v>d.resistir</v>
      </c>
      <c r="G2375" s="14" t="s">
        <v>2447</v>
      </c>
      <c r="H2375" s="33" t="s">
        <v>35</v>
      </c>
      <c r="I2375" s="92" t="str">
        <f t="shared" si="1226"/>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34"/>
        <v>Propriedade destinada a resistir: é.força.de.momento.fletor</v>
      </c>
      <c r="V2375" s="5" t="str">
        <f t="shared" si="1235"/>
        <v>Dado para resistir:  força.de.momento.fletor  Deve ser formatado como (xsd:double)</v>
      </c>
      <c r="W2375" s="69" t="s">
        <v>6244</v>
      </c>
      <c r="X2375" s="17" t="str">
        <f t="shared" si="1255"/>
        <v>d.resis.113</v>
      </c>
      <c r="Y2375" s="17" t="str">
        <f t="shared" si="1256"/>
        <v>Ação de resistir</v>
      </c>
      <c r="Z2375" s="62" t="s">
        <v>4762</v>
      </c>
      <c r="AA2375" s="18" t="str">
        <f t="shared" si="1236"/>
        <v>null</v>
      </c>
      <c r="AB2375" s="19" t="s">
        <v>0</v>
      </c>
      <c r="AC2375" s="18" t="str">
        <f t="shared" si="1237"/>
        <v>null</v>
      </c>
      <c r="AD2375" s="19" t="s">
        <v>0</v>
      </c>
      <c r="AE2375" s="18" t="str">
        <f t="shared" si="1165"/>
        <v>null</v>
      </c>
      <c r="AF2375" s="75" t="s">
        <v>0</v>
      </c>
      <c r="AG2375" s="38" t="s">
        <v>9258</v>
      </c>
    </row>
    <row r="2376" spans="1:33" ht="6" customHeight="1" x14ac:dyDescent="0.4">
      <c r="A2376" s="4">
        <f>ROW()</f>
        <v>2376</v>
      </c>
      <c r="B2376" s="9" t="s">
        <v>27</v>
      </c>
      <c r="C2376" s="44" t="str">
        <f t="shared" ref="C2376" si="1257">SUBSTITUTE(F2376,"d.","p.")</f>
        <v>p.resistir</v>
      </c>
      <c r="D2376" s="6" t="str">
        <f t="shared" si="1160"/>
        <v>é.força.de.subpressão</v>
      </c>
      <c r="E2376" s="8" t="s">
        <v>28</v>
      </c>
      <c r="F2376" s="34" t="str">
        <f>F2374</f>
        <v>d.resistir</v>
      </c>
      <c r="G2376" s="14" t="s">
        <v>3355</v>
      </c>
      <c r="H2376" s="33" t="s">
        <v>35</v>
      </c>
      <c r="I2376" s="92" t="str">
        <f t="shared" si="1226"/>
        <v>null</v>
      </c>
      <c r="J2376" s="82" t="s">
        <v>0</v>
      </c>
      <c r="K2376" s="82" t="s">
        <v>0</v>
      </c>
      <c r="L2376" s="82" t="s">
        <v>0</v>
      </c>
      <c r="M2376" s="82" t="s">
        <v>0</v>
      </c>
      <c r="N2376" s="80" t="s">
        <v>0</v>
      </c>
      <c r="O2376" s="82" t="s">
        <v>0</v>
      </c>
      <c r="P2376" s="82" t="s">
        <v>0</v>
      </c>
      <c r="Q2376" s="82" t="s">
        <v>0</v>
      </c>
      <c r="R2376" s="84" t="s">
        <v>0</v>
      </c>
      <c r="S2376" s="10" t="s">
        <v>1</v>
      </c>
      <c r="T2376" s="10" t="s">
        <v>10221</v>
      </c>
      <c r="U2376" s="5" t="str">
        <f t="shared" si="1234"/>
        <v>Propriedade destinada a resistir: é.força.de.subpressão</v>
      </c>
      <c r="V2376" s="5" t="str">
        <f t="shared" si="1235"/>
        <v>Dado para resistir:  força.de.subpressão  Deve ser formatado como (xsd:double)</v>
      </c>
      <c r="W2376" s="69" t="s">
        <v>4731</v>
      </c>
      <c r="X2376" s="17" t="str">
        <f t="shared" si="1255"/>
        <v>d.resis.114</v>
      </c>
      <c r="Y2376" s="17" t="str">
        <f t="shared" si="1256"/>
        <v>Ação de resistir</v>
      </c>
      <c r="Z2376" s="62" t="s">
        <v>4763</v>
      </c>
      <c r="AA2376" s="18" t="str">
        <f t="shared" ref="AA2376" si="1258">IF(AB2376="null", "null", "categoria.revit")</f>
        <v>null</v>
      </c>
      <c r="AB2376" s="19" t="s">
        <v>0</v>
      </c>
      <c r="AC2376" s="18" t="str">
        <f t="shared" ref="AC2376" si="1259">IF(AD2376="null", "null", "classe.ifc")</f>
        <v>null</v>
      </c>
      <c r="AD2376" s="19" t="s">
        <v>0</v>
      </c>
      <c r="AE2376" s="18" t="str">
        <f t="shared" ref="AE2376" si="1260">IF(AF2376="null", "null", "propriedade")</f>
        <v>null</v>
      </c>
      <c r="AF2376" s="75" t="s">
        <v>0</v>
      </c>
      <c r="AG2376" s="38" t="s">
        <v>9259</v>
      </c>
    </row>
    <row r="2377" spans="1:33" ht="6" customHeight="1" x14ac:dyDescent="0.4">
      <c r="A2377" s="4">
        <f>ROW()</f>
        <v>2377</v>
      </c>
      <c r="B2377" s="9" t="s">
        <v>27</v>
      </c>
      <c r="C2377" s="44" t="str">
        <f t="shared" si="1238"/>
        <v>p.resistir</v>
      </c>
      <c r="D2377" s="6" t="str">
        <f t="shared" si="1160"/>
        <v>é.força.de.tensão</v>
      </c>
      <c r="E2377" s="8" t="s">
        <v>28</v>
      </c>
      <c r="F2377" s="34" t="str">
        <f>F2375</f>
        <v>d.resistir</v>
      </c>
      <c r="G2377" s="14" t="s">
        <v>2449</v>
      </c>
      <c r="H2377" s="33" t="s">
        <v>35</v>
      </c>
      <c r="I2377" s="92" t="str">
        <f t="shared" si="1226"/>
        <v>null</v>
      </c>
      <c r="J2377" s="82" t="s">
        <v>0</v>
      </c>
      <c r="K2377" s="82" t="s">
        <v>0</v>
      </c>
      <c r="L2377" s="82" t="s">
        <v>0</v>
      </c>
      <c r="M2377" s="82" t="s">
        <v>0</v>
      </c>
      <c r="N2377" s="80" t="s">
        <v>0</v>
      </c>
      <c r="O2377" s="82" t="s">
        <v>0</v>
      </c>
      <c r="P2377" s="82" t="s">
        <v>0</v>
      </c>
      <c r="Q2377" s="82" t="s">
        <v>0</v>
      </c>
      <c r="R2377" s="84" t="s">
        <v>0</v>
      </c>
      <c r="S2377" s="10" t="s">
        <v>1</v>
      </c>
      <c r="T2377" s="10" t="s">
        <v>10221</v>
      </c>
      <c r="U2377" s="5" t="str">
        <f t="shared" si="1234"/>
        <v>Propriedade destinada a resistir: é.força.de.tensão</v>
      </c>
      <c r="V2377" s="5" t="str">
        <f t="shared" si="1235"/>
        <v>Dado para resistir:  força.de.tensão  Deve ser formatado como (xsd:double)</v>
      </c>
      <c r="W2377" s="69" t="s">
        <v>6245</v>
      </c>
      <c r="X2377" s="17" t="str">
        <f t="shared" si="1255"/>
        <v>d.resis.115</v>
      </c>
      <c r="Y2377" s="17" t="str">
        <f t="shared" si="1256"/>
        <v>Ação de resistir</v>
      </c>
      <c r="Z2377" s="62" t="s">
        <v>4764</v>
      </c>
      <c r="AA2377" s="18" t="str">
        <f t="shared" si="1236"/>
        <v>null</v>
      </c>
      <c r="AB2377" s="19" t="s">
        <v>0</v>
      </c>
      <c r="AC2377" s="18" t="str">
        <f t="shared" si="1237"/>
        <v>null</v>
      </c>
      <c r="AD2377" s="19" t="s">
        <v>0</v>
      </c>
      <c r="AE2377" s="18" t="str">
        <f t="shared" si="1165"/>
        <v>null</v>
      </c>
      <c r="AF2377" s="75" t="s">
        <v>0</v>
      </c>
      <c r="AG2377" s="38" t="s">
        <v>9260</v>
      </c>
    </row>
    <row r="2378" spans="1:33" ht="6" customHeight="1" x14ac:dyDescent="0.4">
      <c r="A2378" s="4">
        <f>ROW()</f>
        <v>2378</v>
      </c>
      <c r="B2378" s="9" t="s">
        <v>27</v>
      </c>
      <c r="C2378" s="44" t="str">
        <f t="shared" si="1238"/>
        <v>p.resistir</v>
      </c>
      <c r="D2378" s="6" t="str">
        <f t="shared" si="1160"/>
        <v>é.força.de.torque</v>
      </c>
      <c r="E2378" s="8" t="s">
        <v>28</v>
      </c>
      <c r="F2378" s="34" t="str">
        <f t="shared" ref="F2378:F2396" si="1261">F2377</f>
        <v>d.resistir</v>
      </c>
      <c r="G2378" s="14" t="s">
        <v>2450</v>
      </c>
      <c r="H2378" s="33" t="s">
        <v>35</v>
      </c>
      <c r="I2378" s="92" t="str">
        <f t="shared" si="1226"/>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34"/>
        <v>Propriedade destinada a resistir: é.força.de.torque</v>
      </c>
      <c r="V2378" s="5" t="str">
        <f t="shared" si="1235"/>
        <v>Dado para resistir:  força.de.torque  Deve ser formatado como (xsd:double)</v>
      </c>
      <c r="W2378" s="69" t="s">
        <v>6246</v>
      </c>
      <c r="X2378" s="17" t="str">
        <f t="shared" si="1255"/>
        <v>d.resis.116</v>
      </c>
      <c r="Y2378" s="17" t="str">
        <f t="shared" si="1256"/>
        <v>Ação de resistir</v>
      </c>
      <c r="Z2378" s="62" t="s">
        <v>4765</v>
      </c>
      <c r="AA2378" s="18" t="str">
        <f t="shared" si="1236"/>
        <v>null</v>
      </c>
      <c r="AB2378" s="19" t="s">
        <v>0</v>
      </c>
      <c r="AC2378" s="18" t="str">
        <f t="shared" si="1237"/>
        <v>null</v>
      </c>
      <c r="AD2378" s="19" t="s">
        <v>0</v>
      </c>
      <c r="AE2378" s="18" t="str">
        <f t="shared" si="1165"/>
        <v>null</v>
      </c>
      <c r="AF2378" s="75" t="s">
        <v>0</v>
      </c>
      <c r="AG2378" s="38" t="s">
        <v>9261</v>
      </c>
    </row>
    <row r="2379" spans="1:33" ht="6" customHeight="1" x14ac:dyDescent="0.4">
      <c r="A2379" s="4">
        <f>ROW()</f>
        <v>2379</v>
      </c>
      <c r="B2379" s="9" t="s">
        <v>27</v>
      </c>
      <c r="C2379" s="44" t="str">
        <f t="shared" si="1238"/>
        <v>p.resistir</v>
      </c>
      <c r="D2379" s="6" t="str">
        <f t="shared" si="1160"/>
        <v>é.força.de.torsão</v>
      </c>
      <c r="E2379" s="8" t="s">
        <v>28</v>
      </c>
      <c r="F2379" s="34" t="str">
        <f t="shared" si="1261"/>
        <v>d.resistir</v>
      </c>
      <c r="G2379" s="14" t="s">
        <v>2457</v>
      </c>
      <c r="H2379" s="33" t="s">
        <v>35</v>
      </c>
      <c r="I2379" s="92" t="str">
        <f t="shared" si="1226"/>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34"/>
        <v>Propriedade destinada a resistir: é.força.de.torsão</v>
      </c>
      <c r="V2379" s="5" t="str">
        <f t="shared" si="1235"/>
        <v>Dado para resistir:  força.de.torsão  Deve ser formatado como (xsd:double)</v>
      </c>
      <c r="W2379" s="69" t="s">
        <v>6247</v>
      </c>
      <c r="X2379" s="17" t="str">
        <f t="shared" si="1255"/>
        <v>d.resis.117</v>
      </c>
      <c r="Y2379" s="17" t="str">
        <f t="shared" si="1256"/>
        <v>Ação de resistir</v>
      </c>
      <c r="Z2379" s="62" t="s">
        <v>4766</v>
      </c>
      <c r="AA2379" s="18" t="str">
        <f t="shared" si="1236"/>
        <v>null</v>
      </c>
      <c r="AB2379" s="19" t="s">
        <v>0</v>
      </c>
      <c r="AC2379" s="18" t="str">
        <f t="shared" si="1237"/>
        <v>null</v>
      </c>
      <c r="AD2379" s="19" t="s">
        <v>0</v>
      </c>
      <c r="AE2379" s="18" t="str">
        <f t="shared" si="1165"/>
        <v>null</v>
      </c>
      <c r="AF2379" s="75" t="s">
        <v>0</v>
      </c>
      <c r="AG2379" s="38" t="s">
        <v>9262</v>
      </c>
    </row>
    <row r="2380" spans="1:33" ht="6" customHeight="1" x14ac:dyDescent="0.4">
      <c r="A2380" s="4">
        <f>ROW()</f>
        <v>2380</v>
      </c>
      <c r="B2380" s="9" t="s">
        <v>27</v>
      </c>
      <c r="C2380" s="44" t="str">
        <f t="shared" si="1238"/>
        <v>p.resistir</v>
      </c>
      <c r="D2380" s="6" t="str">
        <f t="shared" si="1160"/>
        <v>é.limite.de.escoamento</v>
      </c>
      <c r="E2380" s="8" t="s">
        <v>28</v>
      </c>
      <c r="F2380" s="34" t="str">
        <f t="shared" si="1261"/>
        <v>d.resistir</v>
      </c>
      <c r="G2380" s="14" t="s">
        <v>1586</v>
      </c>
      <c r="H2380" s="33" t="s">
        <v>35</v>
      </c>
      <c r="I2380" s="92" t="str">
        <f t="shared" si="1226"/>
        <v>null</v>
      </c>
      <c r="J2380" s="82" t="s">
        <v>0</v>
      </c>
      <c r="K2380" s="82" t="s">
        <v>0</v>
      </c>
      <c r="L2380" s="82" t="s">
        <v>0</v>
      </c>
      <c r="M2380" s="82" t="s">
        <v>0</v>
      </c>
      <c r="N2380" s="80" t="s">
        <v>0</v>
      </c>
      <c r="O2380" s="82" t="s">
        <v>0</v>
      </c>
      <c r="P2380" s="82" t="s">
        <v>0</v>
      </c>
      <c r="Q2380" s="82" t="s">
        <v>0</v>
      </c>
      <c r="R2380" s="84" t="s">
        <v>1590</v>
      </c>
      <c r="S2380" s="10" t="s">
        <v>1</v>
      </c>
      <c r="T2380" s="10" t="s">
        <v>10221</v>
      </c>
      <c r="U2380" s="5" t="str">
        <f t="shared" si="1234"/>
        <v>Propriedade destinada a resistir: é.limite.de.escoamento</v>
      </c>
      <c r="V2380" s="5" t="str">
        <f t="shared" si="1235"/>
        <v>Dado para resistir:  limite.de.escoamento  Deve ser formatado como (xsd:double)</v>
      </c>
      <c r="W2380" s="69" t="s">
        <v>6248</v>
      </c>
      <c r="X2380" s="17" t="str">
        <f t="shared" si="1255"/>
        <v>d.resis.118</v>
      </c>
      <c r="Y2380" s="17" t="str">
        <f t="shared" si="1256"/>
        <v>Ação de resistir</v>
      </c>
      <c r="Z2380" s="62" t="s">
        <v>3082</v>
      </c>
      <c r="AA2380" s="18" t="str">
        <f t="shared" si="1236"/>
        <v>null</v>
      </c>
      <c r="AB2380" s="19" t="s">
        <v>0</v>
      </c>
      <c r="AC2380" s="18" t="str">
        <f t="shared" si="1237"/>
        <v>null</v>
      </c>
      <c r="AD2380" s="19" t="s">
        <v>0</v>
      </c>
      <c r="AE2380" s="18" t="str">
        <f t="shared" si="1165"/>
        <v>null</v>
      </c>
      <c r="AF2380" s="75" t="s">
        <v>0</v>
      </c>
      <c r="AG2380" s="38" t="s">
        <v>9263</v>
      </c>
    </row>
    <row r="2381" spans="1:33" ht="6" customHeight="1" x14ac:dyDescent="0.4">
      <c r="A2381" s="4">
        <f>ROW()</f>
        <v>2381</v>
      </c>
      <c r="B2381" s="9" t="s">
        <v>27</v>
      </c>
      <c r="C2381" s="44" t="str">
        <f t="shared" si="1238"/>
        <v>p.resistir</v>
      </c>
      <c r="D2381" s="6" t="str">
        <f t="shared" si="1160"/>
        <v>é.limite.de.resistência</v>
      </c>
      <c r="E2381" s="8" t="s">
        <v>28</v>
      </c>
      <c r="F2381" s="34" t="str">
        <f t="shared" si="1261"/>
        <v>d.resistir</v>
      </c>
      <c r="G2381" s="14" t="s">
        <v>947</v>
      </c>
      <c r="H2381" s="33" t="s">
        <v>35</v>
      </c>
      <c r="I2381" s="92" t="str">
        <f t="shared" si="1226"/>
        <v>null</v>
      </c>
      <c r="J2381" s="82" t="s">
        <v>0</v>
      </c>
      <c r="K2381" s="82" t="s">
        <v>0</v>
      </c>
      <c r="L2381" s="82" t="s">
        <v>0</v>
      </c>
      <c r="M2381" s="82" t="s">
        <v>0</v>
      </c>
      <c r="N2381" s="80" t="s">
        <v>0</v>
      </c>
      <c r="O2381" s="82" t="s">
        <v>0</v>
      </c>
      <c r="P2381" s="82" t="s">
        <v>0</v>
      </c>
      <c r="Q2381" s="82" t="s">
        <v>0</v>
      </c>
      <c r="R2381" s="84" t="s">
        <v>1592</v>
      </c>
      <c r="S2381" s="10" t="s">
        <v>1</v>
      </c>
      <c r="T2381" s="10" t="s">
        <v>10221</v>
      </c>
      <c r="U2381" s="5" t="str">
        <f t="shared" si="1234"/>
        <v>Propriedade destinada a resistir: é.limite.de.resistência</v>
      </c>
      <c r="V2381" s="5" t="str">
        <f t="shared" si="1235"/>
        <v>Dado para resistir:  limite.de.resistência  Deve ser formatado como (xsd:double)</v>
      </c>
      <c r="W2381" s="69" t="s">
        <v>6249</v>
      </c>
      <c r="X2381" s="17" t="str">
        <f t="shared" si="1255"/>
        <v>d.resis.119</v>
      </c>
      <c r="Y2381" s="17" t="str">
        <f t="shared" si="1256"/>
        <v>Ação de resistir</v>
      </c>
      <c r="Z2381" s="62" t="s">
        <v>1416</v>
      </c>
      <c r="AA2381" s="18" t="str">
        <f t="shared" si="1236"/>
        <v>null</v>
      </c>
      <c r="AB2381" s="19" t="s">
        <v>0</v>
      </c>
      <c r="AC2381" s="18" t="str">
        <f t="shared" si="1237"/>
        <v>null</v>
      </c>
      <c r="AD2381" s="19" t="s">
        <v>0</v>
      </c>
      <c r="AE2381" s="18" t="str">
        <f t="shared" si="1165"/>
        <v>null</v>
      </c>
      <c r="AF2381" s="75" t="s">
        <v>0</v>
      </c>
      <c r="AG2381" s="38" t="s">
        <v>9264</v>
      </c>
    </row>
    <row r="2382" spans="1:33" ht="6" customHeight="1" x14ac:dyDescent="0.4">
      <c r="A2382" s="4">
        <f>ROW()</f>
        <v>2382</v>
      </c>
      <c r="B2382" s="9" t="s">
        <v>27</v>
      </c>
      <c r="C2382" s="44" t="str">
        <f t="shared" si="1238"/>
        <v>p.resistir</v>
      </c>
      <c r="D2382" s="6" t="str">
        <f t="shared" si="1160"/>
        <v>é.limite.elástico</v>
      </c>
      <c r="E2382" s="8" t="s">
        <v>28</v>
      </c>
      <c r="F2382" s="34" t="str">
        <f t="shared" si="1261"/>
        <v>d.resistir</v>
      </c>
      <c r="G2382" s="14" t="s">
        <v>1588</v>
      </c>
      <c r="H2382" s="33" t="s">
        <v>35</v>
      </c>
      <c r="I2382" s="92" t="str">
        <f t="shared" si="1226"/>
        <v>null</v>
      </c>
      <c r="J2382" s="82" t="s">
        <v>0</v>
      </c>
      <c r="K2382" s="82" t="s">
        <v>0</v>
      </c>
      <c r="L2382" s="82" t="s">
        <v>0</v>
      </c>
      <c r="M2382" s="82" t="s">
        <v>0</v>
      </c>
      <c r="N2382" s="80" t="s">
        <v>0</v>
      </c>
      <c r="O2382" s="82" t="s">
        <v>0</v>
      </c>
      <c r="P2382" s="82" t="s">
        <v>0</v>
      </c>
      <c r="Q2382" s="82" t="s">
        <v>0</v>
      </c>
      <c r="R2382" s="84" t="s">
        <v>1589</v>
      </c>
      <c r="S2382" s="10" t="s">
        <v>1</v>
      </c>
      <c r="T2382" s="10" t="s">
        <v>10221</v>
      </c>
      <c r="U2382" s="5" t="str">
        <f t="shared" si="1234"/>
        <v>Propriedade destinada a resistir: é.limite.elástico</v>
      </c>
      <c r="V2382" s="5" t="str">
        <f t="shared" si="1235"/>
        <v>Dado para resistir:  limite.elástico  Deve ser formatado como (xsd:double)</v>
      </c>
      <c r="W2382" s="69" t="s">
        <v>6248</v>
      </c>
      <c r="X2382" s="17" t="str">
        <f t="shared" si="1255"/>
        <v>d.resis.120</v>
      </c>
      <c r="Y2382" s="17" t="str">
        <f t="shared" si="1256"/>
        <v>Ação de resistir</v>
      </c>
      <c r="Z2382" s="62" t="s">
        <v>3082</v>
      </c>
      <c r="AA2382" s="18" t="str">
        <f t="shared" si="1236"/>
        <v>null</v>
      </c>
      <c r="AB2382" s="19" t="s">
        <v>0</v>
      </c>
      <c r="AC2382" s="18" t="str">
        <f t="shared" si="1237"/>
        <v>null</v>
      </c>
      <c r="AD2382" s="19" t="s">
        <v>0</v>
      </c>
      <c r="AE2382" s="18" t="str">
        <f t="shared" si="1165"/>
        <v>null</v>
      </c>
      <c r="AF2382" s="75" t="s">
        <v>0</v>
      </c>
      <c r="AG2382" s="38" t="s">
        <v>9263</v>
      </c>
    </row>
    <row r="2383" spans="1:33" ht="6" customHeight="1" x14ac:dyDescent="0.4">
      <c r="A2383" s="4">
        <f>ROW()</f>
        <v>2383</v>
      </c>
      <c r="B2383" s="9" t="s">
        <v>27</v>
      </c>
      <c r="C2383" s="44" t="str">
        <f t="shared" si="1238"/>
        <v>p.resistir</v>
      </c>
      <c r="D2383" s="6" t="str">
        <f t="shared" ref="D2383:D2447" si="1262">_xlfn.CONCAT("é.",G2383)</f>
        <v>é.massa.nominal</v>
      </c>
      <c r="E2383" s="8" t="s">
        <v>28</v>
      </c>
      <c r="F2383" s="34" t="str">
        <f t="shared" si="1261"/>
        <v>d.resistir</v>
      </c>
      <c r="G2383" s="14" t="s">
        <v>945</v>
      </c>
      <c r="H2383" s="33" t="s">
        <v>35</v>
      </c>
      <c r="I2383" s="92" t="str">
        <f t="shared" si="1226"/>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34"/>
        <v>Propriedade destinada a resistir: é.massa.nominal</v>
      </c>
      <c r="V2383" s="5" t="str">
        <f t="shared" si="1235"/>
        <v>Dado para resistir:  massa.nominal  Deve ser formatado como (xsd:double)</v>
      </c>
      <c r="W2383" s="69" t="s">
        <v>6250</v>
      </c>
      <c r="X2383" s="17" t="str">
        <f t="shared" si="1255"/>
        <v>d.resis.121</v>
      </c>
      <c r="Y2383" s="17" t="str">
        <f t="shared" si="1256"/>
        <v>Ação de resistir</v>
      </c>
      <c r="Z2383" s="62" t="s">
        <v>3083</v>
      </c>
      <c r="AA2383" s="18" t="str">
        <f t="shared" si="1236"/>
        <v>null</v>
      </c>
      <c r="AB2383" s="19" t="s">
        <v>0</v>
      </c>
      <c r="AC2383" s="18" t="str">
        <f t="shared" si="1237"/>
        <v>null</v>
      </c>
      <c r="AD2383" s="19" t="s">
        <v>0</v>
      </c>
      <c r="AE2383" s="18" t="str">
        <f t="shared" si="1165"/>
        <v>null</v>
      </c>
      <c r="AF2383" s="75" t="s">
        <v>0</v>
      </c>
      <c r="AG2383" s="38" t="s">
        <v>9265</v>
      </c>
    </row>
    <row r="2384" spans="1:33" ht="6" customHeight="1" x14ac:dyDescent="0.4">
      <c r="A2384" s="4">
        <f>ROW()</f>
        <v>2384</v>
      </c>
      <c r="B2384" s="9" t="s">
        <v>27</v>
      </c>
      <c r="C2384" s="44" t="str">
        <f t="shared" si="1238"/>
        <v>p.resistir</v>
      </c>
      <c r="D2384" s="6" t="str">
        <f t="shared" si="1262"/>
        <v>é.membro.cisalhado</v>
      </c>
      <c r="E2384" s="8" t="s">
        <v>28</v>
      </c>
      <c r="F2384" s="34" t="str">
        <f t="shared" si="1261"/>
        <v>d.resistir</v>
      </c>
      <c r="G2384" s="14" t="s">
        <v>942</v>
      </c>
      <c r="H2384" s="33" t="s">
        <v>36</v>
      </c>
      <c r="I2384" s="92" t="str">
        <f t="shared" si="1226"/>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34"/>
        <v>Propriedade destinada a resistir: é.membro.cisalhado</v>
      </c>
      <c r="V2384" s="5" t="str">
        <f t="shared" si="1235"/>
        <v>Dado para resistir:  membro.cisalhado  Deve ser formatado como (xsd:boolean)</v>
      </c>
      <c r="W2384" s="69" t="s">
        <v>6251</v>
      </c>
      <c r="X2384" s="17" t="str">
        <f t="shared" si="1255"/>
        <v>d.resis.122</v>
      </c>
      <c r="Y2384" s="17" t="str">
        <f t="shared" si="1256"/>
        <v>Ação de resistir</v>
      </c>
      <c r="Z2384" s="62" t="s">
        <v>2451</v>
      </c>
      <c r="AA2384" s="18" t="str">
        <f t="shared" si="1236"/>
        <v>null</v>
      </c>
      <c r="AB2384" s="19" t="s">
        <v>0</v>
      </c>
      <c r="AC2384" s="18" t="str">
        <f t="shared" si="1237"/>
        <v>null</v>
      </c>
      <c r="AD2384" s="19" t="s">
        <v>0</v>
      </c>
      <c r="AE2384" s="18" t="str">
        <f t="shared" si="1165"/>
        <v>null</v>
      </c>
      <c r="AF2384" s="75" t="s">
        <v>0</v>
      </c>
      <c r="AG2384" s="38" t="s">
        <v>9266</v>
      </c>
    </row>
    <row r="2385" spans="1:33" ht="6" customHeight="1" x14ac:dyDescent="0.4">
      <c r="A2385" s="4">
        <f>ROW()</f>
        <v>2385</v>
      </c>
      <c r="B2385" s="9" t="s">
        <v>27</v>
      </c>
      <c r="C2385" s="44" t="str">
        <f t="shared" si="1238"/>
        <v>p.resistir</v>
      </c>
      <c r="D2385" s="6" t="str">
        <f t="shared" si="1262"/>
        <v>é.membro.comprimido</v>
      </c>
      <c r="E2385" s="8" t="s">
        <v>28</v>
      </c>
      <c r="F2385" s="34" t="str">
        <f>F2384</f>
        <v>d.resistir</v>
      </c>
      <c r="G2385" s="14" t="s">
        <v>940</v>
      </c>
      <c r="H2385" s="33" t="s">
        <v>36</v>
      </c>
      <c r="I2385" s="92" t="str">
        <f t="shared" si="1226"/>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34"/>
        <v>Propriedade destinada a resistir: é.membro.comprimido</v>
      </c>
      <c r="V2385" s="5" t="str">
        <f t="shared" si="1235"/>
        <v>Dado para resistir:  membro.comprimido  Deve ser formatado como (xsd:boolean)</v>
      </c>
      <c r="W2385" s="69" t="s">
        <v>6252</v>
      </c>
      <c r="X2385" s="17" t="str">
        <f t="shared" si="1255"/>
        <v>d.resis.123</v>
      </c>
      <c r="Y2385" s="17" t="str">
        <f t="shared" si="1256"/>
        <v>Ação de resistir</v>
      </c>
      <c r="Z2385" s="62" t="s">
        <v>2452</v>
      </c>
      <c r="AA2385" s="18" t="str">
        <f t="shared" si="1236"/>
        <v>null</v>
      </c>
      <c r="AB2385" s="19" t="s">
        <v>0</v>
      </c>
      <c r="AC2385" s="18" t="str">
        <f t="shared" si="1237"/>
        <v>null</v>
      </c>
      <c r="AD2385" s="19" t="s">
        <v>0</v>
      </c>
      <c r="AE2385" s="18" t="str">
        <f t="shared" si="1165"/>
        <v>null</v>
      </c>
      <c r="AF2385" s="75" t="s">
        <v>0</v>
      </c>
      <c r="AG2385" s="38" t="s">
        <v>9267</v>
      </c>
    </row>
    <row r="2386" spans="1:33" ht="6" customHeight="1" x14ac:dyDescent="0.4">
      <c r="A2386" s="4">
        <f>ROW()</f>
        <v>2386</v>
      </c>
      <c r="B2386" s="9" t="s">
        <v>27</v>
      </c>
      <c r="C2386" s="44" t="str">
        <f t="shared" si="1238"/>
        <v>p.resistir</v>
      </c>
      <c r="D2386" s="6" t="str">
        <f t="shared" si="1262"/>
        <v>é.membro.flexionado</v>
      </c>
      <c r="E2386" s="8" t="s">
        <v>28</v>
      </c>
      <c r="F2386" s="34" t="str">
        <f t="shared" si="1261"/>
        <v>d.resistir</v>
      </c>
      <c r="G2386" s="14" t="s">
        <v>943</v>
      </c>
      <c r="H2386" s="33" t="s">
        <v>36</v>
      </c>
      <c r="I2386" s="92" t="str">
        <f t="shared" si="1226"/>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34"/>
        <v>Propriedade destinada a resistir: é.membro.flexionado</v>
      </c>
      <c r="V2386" s="5" t="str">
        <f t="shared" si="1235"/>
        <v>Dado para resistir:  membro.flexionado  Deve ser formatado como (xsd:boolean)</v>
      </c>
      <c r="W2386" s="69" t="s">
        <v>6253</v>
      </c>
      <c r="X2386" s="17" t="str">
        <f t="shared" si="1255"/>
        <v>d.resis.124</v>
      </c>
      <c r="Y2386" s="17" t="str">
        <f t="shared" si="1256"/>
        <v>Ação de resistir</v>
      </c>
      <c r="Z2386" s="62" t="s">
        <v>2453</v>
      </c>
      <c r="AA2386" s="18" t="str">
        <f t="shared" si="1236"/>
        <v>null</v>
      </c>
      <c r="AB2386" s="19" t="s">
        <v>0</v>
      </c>
      <c r="AC2386" s="18" t="str">
        <f t="shared" si="1237"/>
        <v>null</v>
      </c>
      <c r="AD2386" s="19" t="s">
        <v>0</v>
      </c>
      <c r="AE2386" s="18" t="str">
        <f t="shared" ref="AE2386:AE2450" si="1263">IF(AF2386="null", "null", "propriedade")</f>
        <v>null</v>
      </c>
      <c r="AF2386" s="75" t="s">
        <v>0</v>
      </c>
      <c r="AG2386" s="38" t="s">
        <v>9268</v>
      </c>
    </row>
    <row r="2387" spans="1:33" ht="6" customHeight="1" x14ac:dyDescent="0.4">
      <c r="A2387" s="4">
        <f>ROW()</f>
        <v>2387</v>
      </c>
      <c r="B2387" s="9" t="s">
        <v>27</v>
      </c>
      <c r="C2387" s="44" t="str">
        <f t="shared" si="1238"/>
        <v>p.resistir</v>
      </c>
      <c r="D2387" s="6" t="str">
        <f t="shared" si="1262"/>
        <v>é.membro.tensionado</v>
      </c>
      <c r="E2387" s="8" t="s">
        <v>28</v>
      </c>
      <c r="F2387" s="34" t="str">
        <f t="shared" si="1261"/>
        <v>d.resistir</v>
      </c>
      <c r="G2387" s="14" t="s">
        <v>941</v>
      </c>
      <c r="H2387" s="33" t="s">
        <v>36</v>
      </c>
      <c r="I2387" s="92" t="str">
        <f t="shared" si="1226"/>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34"/>
        <v>Propriedade destinada a resistir: é.membro.tensionado</v>
      </c>
      <c r="V2387" s="5" t="str">
        <f t="shared" si="1235"/>
        <v>Dado para resistir:  membro.tensionado  Deve ser formatado como (xsd:boolean)</v>
      </c>
      <c r="W2387" s="69" t="s">
        <v>6254</v>
      </c>
      <c r="X2387" s="17" t="str">
        <f t="shared" si="1255"/>
        <v>d.resis.125</v>
      </c>
      <c r="Y2387" s="17" t="str">
        <f t="shared" si="1256"/>
        <v>Ação de resistir</v>
      </c>
      <c r="Z2387" s="62" t="s">
        <v>2454</v>
      </c>
      <c r="AA2387" s="18" t="str">
        <f t="shared" si="1236"/>
        <v>null</v>
      </c>
      <c r="AB2387" s="19" t="s">
        <v>0</v>
      </c>
      <c r="AC2387" s="18" t="str">
        <f t="shared" si="1237"/>
        <v>null</v>
      </c>
      <c r="AD2387" s="19" t="s">
        <v>0</v>
      </c>
      <c r="AE2387" s="18" t="str">
        <f t="shared" si="1263"/>
        <v>null</v>
      </c>
      <c r="AF2387" s="75" t="s">
        <v>0</v>
      </c>
      <c r="AG2387" s="38" t="s">
        <v>9269</v>
      </c>
    </row>
    <row r="2388" spans="1:33" ht="6" customHeight="1" x14ac:dyDescent="0.4">
      <c r="A2388" s="4">
        <f>ROW()</f>
        <v>2388</v>
      </c>
      <c r="B2388" s="9" t="s">
        <v>27</v>
      </c>
      <c r="C2388" s="44" t="str">
        <f t="shared" si="1238"/>
        <v>p.resistir</v>
      </c>
      <c r="D2388" s="6" t="str">
        <f t="shared" si="1262"/>
        <v>é.membro.torcionado</v>
      </c>
      <c r="E2388" s="8" t="s">
        <v>28</v>
      </c>
      <c r="F2388" s="34" t="str">
        <f t="shared" si="1261"/>
        <v>d.resistir</v>
      </c>
      <c r="G2388" s="14" t="s">
        <v>3050</v>
      </c>
      <c r="H2388" s="33" t="s">
        <v>36</v>
      </c>
      <c r="I2388" s="92" t="str">
        <f t="shared" si="1226"/>
        <v>null</v>
      </c>
      <c r="J2388" s="82" t="s">
        <v>0</v>
      </c>
      <c r="K2388" s="82" t="s">
        <v>0</v>
      </c>
      <c r="L2388" s="82" t="s">
        <v>0</v>
      </c>
      <c r="M2388" s="82" t="s">
        <v>0</v>
      </c>
      <c r="N2388" s="80" t="s">
        <v>0</v>
      </c>
      <c r="O2388" s="82" t="s">
        <v>0</v>
      </c>
      <c r="P2388" s="82" t="s">
        <v>0</v>
      </c>
      <c r="Q2388" s="82" t="s">
        <v>0</v>
      </c>
      <c r="R2388" s="84" t="s">
        <v>0</v>
      </c>
      <c r="S2388" s="10" t="s">
        <v>1</v>
      </c>
      <c r="T2388" s="10" t="s">
        <v>10221</v>
      </c>
      <c r="U2388" s="5" t="str">
        <f t="shared" si="1234"/>
        <v>Propriedade destinada a resistir: é.membro.torcionado</v>
      </c>
      <c r="V2388" s="5" t="str">
        <f t="shared" si="1235"/>
        <v>Dado para resistir:  membro.torcionado  Deve ser formatado como (xsd:boolean)</v>
      </c>
      <c r="W2388" s="69" t="s">
        <v>6255</v>
      </c>
      <c r="X2388" s="17" t="str">
        <f t="shared" si="1255"/>
        <v>d.resis.126</v>
      </c>
      <c r="Y2388" s="17" t="str">
        <f t="shared" si="1256"/>
        <v>Ação de resistir</v>
      </c>
      <c r="Z2388" s="62" t="s">
        <v>2455</v>
      </c>
      <c r="AA2388" s="18" t="str">
        <f t="shared" si="1236"/>
        <v>null</v>
      </c>
      <c r="AB2388" s="19" t="s">
        <v>0</v>
      </c>
      <c r="AC2388" s="18" t="str">
        <f t="shared" si="1237"/>
        <v>null</v>
      </c>
      <c r="AD2388" s="19" t="s">
        <v>0</v>
      </c>
      <c r="AE2388" s="18" t="str">
        <f t="shared" si="1263"/>
        <v>null</v>
      </c>
      <c r="AF2388" s="75" t="s">
        <v>0</v>
      </c>
      <c r="AG2388" s="38" t="s">
        <v>9270</v>
      </c>
    </row>
    <row r="2389" spans="1:33" ht="6" customHeight="1" x14ac:dyDescent="0.4">
      <c r="A2389" s="4">
        <f>ROW()</f>
        <v>2389</v>
      </c>
      <c r="B2389" s="9" t="s">
        <v>27</v>
      </c>
      <c r="C2389" s="44" t="str">
        <f t="shared" si="1238"/>
        <v>p.resistir</v>
      </c>
      <c r="D2389" s="6" t="str">
        <f t="shared" si="1262"/>
        <v>é.módulo.de.elasticidade</v>
      </c>
      <c r="E2389" s="8" t="s">
        <v>28</v>
      </c>
      <c r="F2389" s="34" t="str">
        <f t="shared" si="1261"/>
        <v>d.resistir</v>
      </c>
      <c r="G2389" s="14" t="s">
        <v>2414</v>
      </c>
      <c r="H2389" s="33" t="s">
        <v>35</v>
      </c>
      <c r="I2389" s="92" t="str">
        <f t="shared" si="1226"/>
        <v>null</v>
      </c>
      <c r="J2389" s="82" t="s">
        <v>0</v>
      </c>
      <c r="K2389" s="82" t="s">
        <v>0</v>
      </c>
      <c r="L2389" s="82" t="s">
        <v>0</v>
      </c>
      <c r="M2389" s="82" t="s">
        <v>0</v>
      </c>
      <c r="N2389" s="80" t="s">
        <v>0</v>
      </c>
      <c r="O2389" s="82" t="s">
        <v>0</v>
      </c>
      <c r="P2389" s="82" t="s">
        <v>0</v>
      </c>
      <c r="Q2389" s="82" t="s">
        <v>0</v>
      </c>
      <c r="R2389" s="86" t="s">
        <v>2418</v>
      </c>
      <c r="S2389" s="10" t="s">
        <v>1</v>
      </c>
      <c r="T2389" s="10" t="s">
        <v>10221</v>
      </c>
      <c r="U2389" s="5" t="str">
        <f t="shared" si="1234"/>
        <v>Propriedade destinada a resistir: é.módulo.de.elasticidade</v>
      </c>
      <c r="V2389" s="5" t="str">
        <f t="shared" si="1235"/>
        <v>Dado para resistir:  módulo.de.elasticidade  Deve ser formatado como (xsd:double)</v>
      </c>
      <c r="W2389" s="69" t="s">
        <v>6256</v>
      </c>
      <c r="X2389" s="17" t="str">
        <f t="shared" si="1255"/>
        <v>d.resis.127</v>
      </c>
      <c r="Y2389" s="17" t="str">
        <f t="shared" si="1256"/>
        <v>Ação de resistir</v>
      </c>
      <c r="Z2389" s="62" t="s">
        <v>2456</v>
      </c>
      <c r="AA2389" s="18" t="str">
        <f t="shared" si="1236"/>
        <v>null</v>
      </c>
      <c r="AB2389" s="19" t="s">
        <v>0</v>
      </c>
      <c r="AC2389" s="18" t="str">
        <f t="shared" si="1237"/>
        <v>null</v>
      </c>
      <c r="AD2389" s="19" t="s">
        <v>0</v>
      </c>
      <c r="AE2389" s="18" t="str">
        <f t="shared" si="1263"/>
        <v>null</v>
      </c>
      <c r="AF2389" s="75" t="s">
        <v>0</v>
      </c>
      <c r="AG2389" s="38" t="s">
        <v>9271</v>
      </c>
    </row>
    <row r="2390" spans="1:33" ht="6" customHeight="1" x14ac:dyDescent="0.4">
      <c r="A2390" s="4">
        <f>ROW()</f>
        <v>2390</v>
      </c>
      <c r="B2390" s="9" t="s">
        <v>27</v>
      </c>
      <c r="C2390" s="44" t="str">
        <f t="shared" si="1238"/>
        <v>p.resistir</v>
      </c>
      <c r="D2390" s="6" t="str">
        <f t="shared" si="1262"/>
        <v>é.módulo.de.young</v>
      </c>
      <c r="E2390" s="8" t="s">
        <v>28</v>
      </c>
      <c r="F2390" s="34" t="str">
        <f t="shared" si="1261"/>
        <v>d.resistir</v>
      </c>
      <c r="G2390" s="14" t="s">
        <v>2415</v>
      </c>
      <c r="H2390" s="33" t="s">
        <v>35</v>
      </c>
      <c r="I2390" s="92" t="str">
        <f t="shared" si="1226"/>
        <v>null</v>
      </c>
      <c r="J2390" s="82" t="s">
        <v>0</v>
      </c>
      <c r="K2390" s="82" t="s">
        <v>0</v>
      </c>
      <c r="L2390" s="82" t="s">
        <v>0</v>
      </c>
      <c r="M2390" s="82" t="s">
        <v>0</v>
      </c>
      <c r="N2390" s="80" t="s">
        <v>0</v>
      </c>
      <c r="O2390" s="82" t="s">
        <v>0</v>
      </c>
      <c r="P2390" s="82" t="s">
        <v>0</v>
      </c>
      <c r="Q2390" s="82" t="s">
        <v>0</v>
      </c>
      <c r="R2390" s="86" t="s">
        <v>2417</v>
      </c>
      <c r="S2390" s="10" t="s">
        <v>1</v>
      </c>
      <c r="T2390" s="10" t="s">
        <v>10221</v>
      </c>
      <c r="U2390" s="5" t="str">
        <f t="shared" si="1234"/>
        <v>Propriedade destinada a resistir: é.módulo.de.young</v>
      </c>
      <c r="V2390" s="5" t="str">
        <f t="shared" si="1235"/>
        <v>Dado para resistir:  módulo.de.young  Deve ser formatado como (xsd:double)</v>
      </c>
      <c r="W2390" s="69" t="s">
        <v>6256</v>
      </c>
      <c r="X2390" s="17" t="str">
        <f t="shared" si="1255"/>
        <v>d.resis.128</v>
      </c>
      <c r="Y2390" s="17" t="str">
        <f t="shared" si="1256"/>
        <v>Ação de resistir</v>
      </c>
      <c r="Z2390" s="62" t="s">
        <v>2456</v>
      </c>
      <c r="AA2390" s="18" t="str">
        <f t="shared" si="1236"/>
        <v>null</v>
      </c>
      <c r="AB2390" s="19" t="s">
        <v>0</v>
      </c>
      <c r="AC2390" s="18" t="str">
        <f t="shared" si="1237"/>
        <v>null</v>
      </c>
      <c r="AD2390" s="19" t="s">
        <v>0</v>
      </c>
      <c r="AE2390" s="18" t="str">
        <f t="shared" si="1263"/>
        <v>null</v>
      </c>
      <c r="AF2390" s="75" t="s">
        <v>0</v>
      </c>
      <c r="AG2390" s="38" t="s">
        <v>9271</v>
      </c>
    </row>
    <row r="2391" spans="1:33" ht="6" customHeight="1" x14ac:dyDescent="0.4">
      <c r="A2391" s="4">
        <f>ROW()</f>
        <v>2391</v>
      </c>
      <c r="B2391" s="9" t="s">
        <v>27</v>
      </c>
      <c r="C2391" s="44" t="str">
        <f t="shared" si="1238"/>
        <v>p.resistir</v>
      </c>
      <c r="D2391" s="6" t="str">
        <f t="shared" si="1262"/>
        <v>é.perfil.de.aço</v>
      </c>
      <c r="E2391" s="8" t="s">
        <v>28</v>
      </c>
      <c r="F2391" s="34" t="str">
        <f t="shared" si="1261"/>
        <v>d.resistir</v>
      </c>
      <c r="G2391" s="14" t="s">
        <v>2444</v>
      </c>
      <c r="H2391" s="33" t="s">
        <v>1581</v>
      </c>
      <c r="I2391" s="92" t="str">
        <f t="shared" si="1226"/>
        <v>null</v>
      </c>
      <c r="J2391" s="82" t="s">
        <v>0</v>
      </c>
      <c r="K2391" s="82" t="s">
        <v>0</v>
      </c>
      <c r="L2391" s="82" t="s">
        <v>0</v>
      </c>
      <c r="M2391" s="82" t="s">
        <v>0</v>
      </c>
      <c r="N2391" s="80" t="s">
        <v>0</v>
      </c>
      <c r="O2391" s="82" t="s">
        <v>0</v>
      </c>
      <c r="P2391" s="82" t="s">
        <v>0</v>
      </c>
      <c r="Q2391" s="82" t="s">
        <v>0</v>
      </c>
      <c r="R2391" s="84" t="s">
        <v>2445</v>
      </c>
      <c r="S2391" s="10" t="s">
        <v>1</v>
      </c>
      <c r="T2391" s="10" t="s">
        <v>10221</v>
      </c>
      <c r="U2391" s="5" t="str">
        <f t="shared" si="1234"/>
        <v>Propriedade destinada a resistir: é.perfil.de.aço</v>
      </c>
      <c r="V2391" s="5" t="str">
        <f t="shared" si="1235"/>
        <v>Dado para resistir:  perfil.de.aço  Deve ser formatado como (rdfs:Literal  or  xsd:string)</v>
      </c>
      <c r="W2391" s="69" t="s">
        <v>5605</v>
      </c>
      <c r="X2391" s="17" t="str">
        <f t="shared" si="1255"/>
        <v>d.resis.129</v>
      </c>
      <c r="Y2391" s="17" t="str">
        <f t="shared" si="1256"/>
        <v>Ação de resistir</v>
      </c>
      <c r="Z2391" s="62" t="s">
        <v>3074</v>
      </c>
      <c r="AA2391" s="18" t="str">
        <f t="shared" si="1236"/>
        <v>null</v>
      </c>
      <c r="AB2391" s="19" t="s">
        <v>0</v>
      </c>
      <c r="AC2391" s="18" t="str">
        <f t="shared" si="1237"/>
        <v>null</v>
      </c>
      <c r="AD2391" s="19" t="s">
        <v>0</v>
      </c>
      <c r="AE2391" s="18" t="str">
        <f t="shared" si="1263"/>
        <v>null</v>
      </c>
      <c r="AF2391" s="75" t="s">
        <v>0</v>
      </c>
      <c r="AG2391" s="38" t="s">
        <v>9272</v>
      </c>
    </row>
    <row r="2392" spans="1:33" ht="6" customHeight="1" x14ac:dyDescent="0.4">
      <c r="A2392" s="4">
        <f>ROW()</f>
        <v>2392</v>
      </c>
      <c r="B2392" s="9" t="s">
        <v>27</v>
      </c>
      <c r="C2392" s="44" t="str">
        <f t="shared" si="1238"/>
        <v>p.resistir</v>
      </c>
      <c r="D2392" s="6" t="str">
        <f t="shared" si="1262"/>
        <v>é.resistência.ao.fogo</v>
      </c>
      <c r="E2392" s="8" t="s">
        <v>28</v>
      </c>
      <c r="F2392" s="34" t="str">
        <f t="shared" si="1261"/>
        <v>d.resistir</v>
      </c>
      <c r="G2392" s="13" t="s">
        <v>1176</v>
      </c>
      <c r="H2392" s="34" t="s">
        <v>32</v>
      </c>
      <c r="I2392" s="92" t="str">
        <f t="shared" si="1226"/>
        <v>null</v>
      </c>
      <c r="J2392" s="80" t="s">
        <v>0</v>
      </c>
      <c r="K2392" s="80" t="s">
        <v>0</v>
      </c>
      <c r="L2392" s="80" t="s">
        <v>0</v>
      </c>
      <c r="M2392" s="80" t="s">
        <v>0</v>
      </c>
      <c r="N2392" s="80" t="s">
        <v>0</v>
      </c>
      <c r="O2392" s="80" t="s">
        <v>0</v>
      </c>
      <c r="P2392" s="80" t="s">
        <v>0</v>
      </c>
      <c r="Q2392" s="80" t="s">
        <v>0</v>
      </c>
      <c r="R2392" s="85" t="s">
        <v>2398</v>
      </c>
      <c r="S2392" s="10" t="s">
        <v>1</v>
      </c>
      <c r="T2392" s="10" t="s">
        <v>10221</v>
      </c>
      <c r="U2392" s="5" t="str">
        <f t="shared" si="1234"/>
        <v>Propriedade destinada a resistir: é.resistência.ao.fogo</v>
      </c>
      <c r="V2392" s="5" t="str">
        <f t="shared" si="1235"/>
        <v>Dado para resistir:  resistência.ao.fogo  Deve ser formatado como (xsd:integer)</v>
      </c>
      <c r="W2392" s="69" t="s">
        <v>6257</v>
      </c>
      <c r="X2392" s="17" t="str">
        <f t="shared" si="1255"/>
        <v>d.resis.130</v>
      </c>
      <c r="Y2392" s="17" t="str">
        <f t="shared" si="1256"/>
        <v>Ação de resistir</v>
      </c>
      <c r="Z2392" s="62" t="s">
        <v>3075</v>
      </c>
      <c r="AA2392" s="18" t="str">
        <f t="shared" si="1236"/>
        <v>null</v>
      </c>
      <c r="AB2392" s="19" t="s">
        <v>0</v>
      </c>
      <c r="AC2392" s="18" t="str">
        <f t="shared" si="1237"/>
        <v>null</v>
      </c>
      <c r="AD2392" s="19" t="s">
        <v>0</v>
      </c>
      <c r="AE2392" s="18" t="str">
        <f t="shared" si="1263"/>
        <v>null</v>
      </c>
      <c r="AF2392" s="75" t="s">
        <v>0</v>
      </c>
      <c r="AG2392" s="38" t="s">
        <v>9273</v>
      </c>
    </row>
    <row r="2393" spans="1:33" ht="6" customHeight="1" x14ac:dyDescent="0.4">
      <c r="A2393" s="4">
        <f>ROW()</f>
        <v>2393</v>
      </c>
      <c r="B2393" s="9" t="s">
        <v>27</v>
      </c>
      <c r="C2393" s="44" t="str">
        <f t="shared" si="1238"/>
        <v>p.resistir</v>
      </c>
      <c r="D2393" s="6" t="str">
        <f t="shared" si="1262"/>
        <v>é.rotulado</v>
      </c>
      <c r="E2393" s="8" t="s">
        <v>28</v>
      </c>
      <c r="F2393" s="34" t="str">
        <f t="shared" si="1261"/>
        <v>d.resistir</v>
      </c>
      <c r="G2393" s="14" t="s">
        <v>416</v>
      </c>
      <c r="H2393" s="33" t="s">
        <v>36</v>
      </c>
      <c r="I2393" s="92" t="str">
        <f t="shared" si="1226"/>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34"/>
        <v>Propriedade destinada a resistir: é.rotulado</v>
      </c>
      <c r="V2393" s="5" t="str">
        <f t="shared" si="1235"/>
        <v>Dado para resistir:  rotulado  Deve ser formatado como (xsd:boolean)</v>
      </c>
      <c r="W2393" s="69" t="s">
        <v>6258</v>
      </c>
      <c r="X2393" s="17" t="str">
        <f t="shared" si="1255"/>
        <v>d.resis.131</v>
      </c>
      <c r="Y2393" s="17" t="str">
        <f t="shared" si="1256"/>
        <v>Ação de resistir</v>
      </c>
      <c r="Z2393" s="62" t="s">
        <v>3076</v>
      </c>
      <c r="AA2393" s="18" t="str">
        <f t="shared" si="1236"/>
        <v>null</v>
      </c>
      <c r="AB2393" s="19" t="s">
        <v>0</v>
      </c>
      <c r="AC2393" s="18" t="str">
        <f t="shared" si="1237"/>
        <v>null</v>
      </c>
      <c r="AD2393" s="19" t="s">
        <v>0</v>
      </c>
      <c r="AE2393" s="18" t="str">
        <f t="shared" si="1263"/>
        <v>null</v>
      </c>
      <c r="AF2393" s="75" t="s">
        <v>0</v>
      </c>
      <c r="AG2393" s="38" t="s">
        <v>9274</v>
      </c>
    </row>
    <row r="2394" spans="1:33" ht="6" customHeight="1" x14ac:dyDescent="0.4">
      <c r="A2394" s="4">
        <f>ROW()</f>
        <v>2394</v>
      </c>
      <c r="B2394" s="9" t="s">
        <v>27</v>
      </c>
      <c r="C2394" s="44" t="str">
        <f t="shared" si="1238"/>
        <v>p.resistir</v>
      </c>
      <c r="D2394" s="6" t="str">
        <f t="shared" si="1262"/>
        <v>é.soldada</v>
      </c>
      <c r="E2394" s="8" t="s">
        <v>28</v>
      </c>
      <c r="F2394" s="34" t="str">
        <f t="shared" si="1261"/>
        <v>d.resistir</v>
      </c>
      <c r="G2394" s="14" t="s">
        <v>417</v>
      </c>
      <c r="H2394" s="33" t="s">
        <v>36</v>
      </c>
      <c r="I2394" s="92" t="str">
        <f t="shared" si="1226"/>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34"/>
        <v>Propriedade destinada a resistir: é.soldada</v>
      </c>
      <c r="V2394" s="5" t="str">
        <f t="shared" si="1235"/>
        <v>Dado para resistir:  soldada  Deve ser formatado como (xsd:boolean)</v>
      </c>
      <c r="W2394" s="69" t="s">
        <v>6259</v>
      </c>
      <c r="X2394" s="17" t="str">
        <f t="shared" si="1255"/>
        <v>d.resis.132</v>
      </c>
      <c r="Y2394" s="17" t="str">
        <f t="shared" si="1256"/>
        <v>Ação de resistir</v>
      </c>
      <c r="Z2394" s="62" t="s">
        <v>3077</v>
      </c>
      <c r="AA2394" s="18" t="str">
        <f t="shared" si="1236"/>
        <v>null</v>
      </c>
      <c r="AB2394" s="19" t="s">
        <v>0</v>
      </c>
      <c r="AC2394" s="18" t="str">
        <f t="shared" si="1237"/>
        <v>null</v>
      </c>
      <c r="AD2394" s="19" t="s">
        <v>0</v>
      </c>
      <c r="AE2394" s="18" t="str">
        <f t="shared" si="1263"/>
        <v>null</v>
      </c>
      <c r="AF2394" s="75" t="s">
        <v>0</v>
      </c>
      <c r="AG2394" s="38" t="s">
        <v>9275</v>
      </c>
    </row>
    <row r="2395" spans="1:33" ht="6" customHeight="1" x14ac:dyDescent="0.4">
      <c r="A2395" s="4">
        <f>ROW()</f>
        <v>2395</v>
      </c>
      <c r="B2395" s="9" t="s">
        <v>27</v>
      </c>
      <c r="C2395" s="44" t="str">
        <f t="shared" si="1238"/>
        <v>p.resistir</v>
      </c>
      <c r="D2395" s="6" t="str">
        <f t="shared" si="1262"/>
        <v>é.tensão.de.rotura</v>
      </c>
      <c r="E2395" s="8" t="s">
        <v>28</v>
      </c>
      <c r="F2395" s="34" t="str">
        <f t="shared" si="1261"/>
        <v>d.resistir</v>
      </c>
      <c r="G2395" s="14" t="s">
        <v>1591</v>
      </c>
      <c r="H2395" s="33" t="s">
        <v>35</v>
      </c>
      <c r="I2395" s="92" t="str">
        <f t="shared" si="1226"/>
        <v>null</v>
      </c>
      <c r="J2395" s="82" t="s">
        <v>0</v>
      </c>
      <c r="K2395" s="82" t="s">
        <v>0</v>
      </c>
      <c r="L2395" s="82" t="s">
        <v>0</v>
      </c>
      <c r="M2395" s="82" t="s">
        <v>0</v>
      </c>
      <c r="N2395" s="80" t="s">
        <v>0</v>
      </c>
      <c r="O2395" s="82" t="s">
        <v>0</v>
      </c>
      <c r="P2395" s="82" t="s">
        <v>0</v>
      </c>
      <c r="Q2395" s="82" t="s">
        <v>0</v>
      </c>
      <c r="R2395" s="84" t="s">
        <v>1593</v>
      </c>
      <c r="S2395" s="10" t="s">
        <v>1</v>
      </c>
      <c r="T2395" s="10" t="s">
        <v>10221</v>
      </c>
      <c r="U2395" s="5" t="str">
        <f t="shared" si="1234"/>
        <v>Propriedade destinada a resistir: é.tensão.de.rotura</v>
      </c>
      <c r="V2395" s="5" t="str">
        <f t="shared" si="1235"/>
        <v>Dado para resistir:  tensão.de.rotura  Deve ser formatado como (xsd:double)</v>
      </c>
      <c r="W2395" s="69" t="s">
        <v>6249</v>
      </c>
      <c r="X2395" s="17" t="str">
        <f t="shared" si="1255"/>
        <v>d.resis.133</v>
      </c>
      <c r="Y2395" s="17" t="str">
        <f t="shared" si="1256"/>
        <v>Ação de resistir</v>
      </c>
      <c r="Z2395" s="62" t="s">
        <v>1416</v>
      </c>
      <c r="AA2395" s="18" t="str">
        <f t="shared" si="1236"/>
        <v>null</v>
      </c>
      <c r="AB2395" s="19" t="s">
        <v>0</v>
      </c>
      <c r="AC2395" s="18" t="str">
        <f t="shared" si="1237"/>
        <v>null</v>
      </c>
      <c r="AD2395" s="19" t="s">
        <v>0</v>
      </c>
      <c r="AE2395" s="18" t="str">
        <f t="shared" si="1263"/>
        <v>null</v>
      </c>
      <c r="AF2395" s="75" t="s">
        <v>0</v>
      </c>
      <c r="AG2395" s="38" t="s">
        <v>9264</v>
      </c>
    </row>
    <row r="2396" spans="1:33" ht="6" customHeight="1" x14ac:dyDescent="0.4">
      <c r="A2396" s="4">
        <f>ROW()</f>
        <v>2396</v>
      </c>
      <c r="B2396" s="9" t="s">
        <v>27</v>
      </c>
      <c r="C2396" s="44" t="str">
        <f t="shared" si="1238"/>
        <v>p.resistir</v>
      </c>
      <c r="D2396" s="6" t="str">
        <f t="shared" si="1262"/>
        <v>é.trrf</v>
      </c>
      <c r="E2396" s="8" t="s">
        <v>28</v>
      </c>
      <c r="F2396" s="34" t="str">
        <f t="shared" si="1261"/>
        <v>d.resistir</v>
      </c>
      <c r="G2396" s="13" t="s">
        <v>1175</v>
      </c>
      <c r="H2396" s="34" t="s">
        <v>32</v>
      </c>
      <c r="I2396" s="92" t="str">
        <f t="shared" si="1226"/>
        <v>null</v>
      </c>
      <c r="J2396" s="80" t="s">
        <v>0</v>
      </c>
      <c r="K2396" s="80" t="s">
        <v>0</v>
      </c>
      <c r="L2396" s="80" t="s">
        <v>0</v>
      </c>
      <c r="M2396" s="80" t="s">
        <v>0</v>
      </c>
      <c r="N2396" s="80" t="s">
        <v>0</v>
      </c>
      <c r="O2396" s="80" t="s">
        <v>0</v>
      </c>
      <c r="P2396" s="80" t="s">
        <v>0</v>
      </c>
      <c r="Q2396" s="80" t="s">
        <v>0</v>
      </c>
      <c r="R2396" s="85" t="s">
        <v>2397</v>
      </c>
      <c r="S2396" s="10" t="s">
        <v>1</v>
      </c>
      <c r="T2396" s="10" t="s">
        <v>10221</v>
      </c>
      <c r="U2396" s="5" t="str">
        <f t="shared" si="1234"/>
        <v>Propriedade destinada a resistir: é.trrf</v>
      </c>
      <c r="V2396" s="5" t="str">
        <f t="shared" si="1235"/>
        <v>Dado para resistir:  trrf  Deve ser formatado como (xsd:integer)</v>
      </c>
      <c r="W2396" s="69" t="s">
        <v>6260</v>
      </c>
      <c r="X2396" s="17" t="str">
        <f t="shared" si="1255"/>
        <v>d.resis.134</v>
      </c>
      <c r="Y2396" s="17" t="str">
        <f t="shared" si="1256"/>
        <v>Ação de resistir</v>
      </c>
      <c r="Z2396" s="62" t="s">
        <v>2416</v>
      </c>
      <c r="AA2396" s="18" t="str">
        <f t="shared" si="1236"/>
        <v>null</v>
      </c>
      <c r="AB2396" s="19" t="s">
        <v>0</v>
      </c>
      <c r="AC2396" s="18" t="str">
        <f t="shared" si="1237"/>
        <v>null</v>
      </c>
      <c r="AD2396" s="19" t="s">
        <v>0</v>
      </c>
      <c r="AE2396" s="18" t="str">
        <f t="shared" si="1263"/>
        <v>null</v>
      </c>
      <c r="AF2396" s="75" t="s">
        <v>0</v>
      </c>
      <c r="AG2396" s="38" t="s">
        <v>9276</v>
      </c>
    </row>
    <row r="2397" spans="1:33" ht="6" customHeight="1" x14ac:dyDescent="0.4">
      <c r="A2397" s="4">
        <f>ROW()</f>
        <v>2397</v>
      </c>
      <c r="B2397" s="9" t="s">
        <v>27</v>
      </c>
      <c r="C2397" s="43" t="str">
        <f t="shared" ref="C2397:C2423" si="1264">SUBSTITUTE(F2397,"d.","p.")</f>
        <v>p.sanear</v>
      </c>
      <c r="D2397" s="6" t="str">
        <f t="shared" si="1262"/>
        <v>é.cloro.residual.livre</v>
      </c>
      <c r="E2397" s="8" t="s">
        <v>28</v>
      </c>
      <c r="F2397" s="41" t="s">
        <v>2232</v>
      </c>
      <c r="G2397" s="13" t="s">
        <v>951</v>
      </c>
      <c r="H2397" s="33" t="s">
        <v>35</v>
      </c>
      <c r="I2397" s="92" t="str">
        <f t="shared" si="1226"/>
        <v>null</v>
      </c>
      <c r="J2397" s="82" t="s">
        <v>0</v>
      </c>
      <c r="K2397" s="82" t="s">
        <v>0</v>
      </c>
      <c r="L2397" s="82" t="s">
        <v>0</v>
      </c>
      <c r="M2397" s="82" t="s">
        <v>0</v>
      </c>
      <c r="N2397" s="82" t="s">
        <v>0</v>
      </c>
      <c r="O2397" s="82" t="s">
        <v>0</v>
      </c>
      <c r="P2397" s="82" t="s">
        <v>0</v>
      </c>
      <c r="Q2397" s="82" t="s">
        <v>0</v>
      </c>
      <c r="R2397" s="84" t="s">
        <v>0</v>
      </c>
      <c r="S2397" s="10" t="s">
        <v>1</v>
      </c>
      <c r="T2397" s="10" t="s">
        <v>10221</v>
      </c>
      <c r="U2397" s="5" t="str">
        <f t="shared" si="1234"/>
        <v>Propriedade destinada a sanear: é.cloro.residual.livre</v>
      </c>
      <c r="V2397" s="5" t="str">
        <f t="shared" si="1235"/>
        <v>Dado para sanear:  cloro.residual.livre  Deve ser formatado como (xsd:double)</v>
      </c>
      <c r="W2397" s="69" t="s">
        <v>6261</v>
      </c>
      <c r="X2397" s="17" t="str">
        <f t="shared" si="1255"/>
        <v>d.sanea.100</v>
      </c>
      <c r="Y2397" s="17" t="str">
        <f t="shared" si="1256"/>
        <v>Ação de sanear</v>
      </c>
      <c r="Z2397" s="62" t="s">
        <v>3435</v>
      </c>
      <c r="AA2397" s="18" t="str">
        <f t="shared" ref="AA2397:AA2398" si="1265">IF(AB2397="null", "null", "categoria.revit")</f>
        <v>null</v>
      </c>
      <c r="AB2397" s="19" t="s">
        <v>0</v>
      </c>
      <c r="AC2397" s="18" t="str">
        <f t="shared" ref="AC2397:AC2398" si="1266">IF(AD2397="null", "null", "classe.ifc")</f>
        <v>null</v>
      </c>
      <c r="AD2397" s="19" t="s">
        <v>0</v>
      </c>
      <c r="AE2397" s="18" t="str">
        <f t="shared" si="1263"/>
        <v>null</v>
      </c>
      <c r="AF2397" s="75" t="s">
        <v>0</v>
      </c>
      <c r="AG2397" s="38" t="s">
        <v>9277</v>
      </c>
    </row>
    <row r="2398" spans="1:33" ht="6" customHeight="1" x14ac:dyDescent="0.4">
      <c r="A2398" s="4">
        <f>ROW()</f>
        <v>2398</v>
      </c>
      <c r="B2398" s="9" t="s">
        <v>27</v>
      </c>
      <c r="C2398" s="44" t="str">
        <f t="shared" ref="C2398" si="1267">SUBSTITUTE(F2398,"d.","p.")</f>
        <v>p.sanear</v>
      </c>
      <c r="D2398" s="6" t="str">
        <f t="shared" si="1262"/>
        <v>é.coliforme.termotolerante</v>
      </c>
      <c r="E2398" s="8" t="s">
        <v>28</v>
      </c>
      <c r="F2398" s="34" t="str">
        <f>F2397</f>
        <v>d.sanear</v>
      </c>
      <c r="G2398" s="13" t="s">
        <v>950</v>
      </c>
      <c r="H2398" s="33" t="s">
        <v>35</v>
      </c>
      <c r="I2398" s="92" t="str">
        <f t="shared" si="1226"/>
        <v>null</v>
      </c>
      <c r="J2398" s="82" t="s">
        <v>0</v>
      </c>
      <c r="K2398" s="82" t="s">
        <v>0</v>
      </c>
      <c r="L2398" s="82" t="s">
        <v>0</v>
      </c>
      <c r="M2398" s="82" t="s">
        <v>0</v>
      </c>
      <c r="N2398" s="82" t="s">
        <v>0</v>
      </c>
      <c r="O2398" s="82" t="s">
        <v>0</v>
      </c>
      <c r="P2398" s="82" t="s">
        <v>0</v>
      </c>
      <c r="Q2398" s="82" t="s">
        <v>0</v>
      </c>
      <c r="R2398" s="84" t="s">
        <v>0</v>
      </c>
      <c r="S2398" s="10" t="s">
        <v>1</v>
      </c>
      <c r="T2398" s="10" t="s">
        <v>10221</v>
      </c>
      <c r="U2398" s="5" t="str">
        <f t="shared" si="1234"/>
        <v>Propriedade destinada a sanear: é.coliforme.termotolerante</v>
      </c>
      <c r="V2398" s="5" t="str">
        <f t="shared" si="1235"/>
        <v>Dado para sanear:  coliforme.termotolerante  Deve ser formatado como (xsd:double)</v>
      </c>
      <c r="W2398" s="69" t="s">
        <v>6262</v>
      </c>
      <c r="X2398" s="17" t="str">
        <f t="shared" si="1255"/>
        <v>d.sanea.101</v>
      </c>
      <c r="Y2398" s="17" t="str">
        <f t="shared" si="1256"/>
        <v>Ação de sanear</v>
      </c>
      <c r="Z2398" s="62" t="s">
        <v>3436</v>
      </c>
      <c r="AA2398" s="18" t="str">
        <f t="shared" si="1265"/>
        <v>null</v>
      </c>
      <c r="AB2398" s="19" t="s">
        <v>0</v>
      </c>
      <c r="AC2398" s="18" t="str">
        <f t="shared" si="1266"/>
        <v>null</v>
      </c>
      <c r="AD2398" s="19" t="s">
        <v>0</v>
      </c>
      <c r="AE2398" s="18" t="str">
        <f t="shared" si="1263"/>
        <v>null</v>
      </c>
      <c r="AF2398" s="75" t="s">
        <v>0</v>
      </c>
      <c r="AG2398" s="38" t="s">
        <v>9278</v>
      </c>
    </row>
    <row r="2399" spans="1:33" ht="6" customHeight="1" x14ac:dyDescent="0.4">
      <c r="A2399" s="4">
        <f>ROW()</f>
        <v>2399</v>
      </c>
      <c r="B2399" s="9" t="s">
        <v>27</v>
      </c>
      <c r="C2399" s="44" t="str">
        <f t="shared" si="1264"/>
        <v>p.sanear</v>
      </c>
      <c r="D2399" s="6" t="str">
        <f t="shared" si="1262"/>
        <v>é.coliforme.total</v>
      </c>
      <c r="E2399" s="8" t="s">
        <v>28</v>
      </c>
      <c r="F2399" s="34" t="str">
        <f>F2397</f>
        <v>d.sanear</v>
      </c>
      <c r="G2399" s="15" t="s">
        <v>949</v>
      </c>
      <c r="H2399" s="33" t="s">
        <v>35</v>
      </c>
      <c r="I2399" s="92" t="str">
        <f t="shared" si="1226"/>
        <v>null</v>
      </c>
      <c r="J2399" s="82" t="s">
        <v>0</v>
      </c>
      <c r="K2399" s="82" t="s">
        <v>0</v>
      </c>
      <c r="L2399" s="82" t="s">
        <v>0</v>
      </c>
      <c r="M2399" s="82" t="s">
        <v>0</v>
      </c>
      <c r="N2399" s="82" t="s">
        <v>0</v>
      </c>
      <c r="O2399" s="82" t="s">
        <v>0</v>
      </c>
      <c r="P2399" s="82" t="s">
        <v>0</v>
      </c>
      <c r="Q2399" s="82" t="s">
        <v>0</v>
      </c>
      <c r="R2399" s="84" t="s">
        <v>0</v>
      </c>
      <c r="S2399" s="10" t="s">
        <v>1</v>
      </c>
      <c r="T2399" s="10" t="s">
        <v>10221</v>
      </c>
      <c r="U2399" s="5" t="str">
        <f t="shared" si="1234"/>
        <v>Propriedade destinada a sanear: é.coliforme.total</v>
      </c>
      <c r="V2399" s="5" t="str">
        <f t="shared" si="1235"/>
        <v>Dado para sanear:  coliforme.total  Deve ser formatado como (xsd:double)</v>
      </c>
      <c r="W2399" s="69" t="s">
        <v>6263</v>
      </c>
      <c r="X2399" s="17" t="str">
        <f t="shared" si="1255"/>
        <v>d.sanea.102</v>
      </c>
      <c r="Y2399" s="17" t="str">
        <f t="shared" si="1256"/>
        <v>Ação de sanear</v>
      </c>
      <c r="Z2399" s="62" t="s">
        <v>3437</v>
      </c>
      <c r="AA2399" s="18" t="str">
        <f t="shared" si="1220"/>
        <v>null</v>
      </c>
      <c r="AB2399" s="19" t="s">
        <v>0</v>
      </c>
      <c r="AC2399" s="18" t="str">
        <f t="shared" si="1221"/>
        <v>null</v>
      </c>
      <c r="AD2399" s="19" t="s">
        <v>0</v>
      </c>
      <c r="AE2399" s="18" t="str">
        <f t="shared" si="1263"/>
        <v>null</v>
      </c>
      <c r="AF2399" s="75" t="s">
        <v>0</v>
      </c>
      <c r="AG2399" s="38" t="s">
        <v>9279</v>
      </c>
    </row>
    <row r="2400" spans="1:33" ht="6" customHeight="1" x14ac:dyDescent="0.4">
      <c r="A2400" s="4">
        <f>ROW()</f>
        <v>2400</v>
      </c>
      <c r="B2400" s="9" t="s">
        <v>27</v>
      </c>
      <c r="C2400" s="43" t="str">
        <f t="shared" si="1264"/>
        <v>p.sensorizar</v>
      </c>
      <c r="D2400" s="6" t="str">
        <f t="shared" si="1262"/>
        <v>é.beacon</v>
      </c>
      <c r="E2400" s="8" t="s">
        <v>28</v>
      </c>
      <c r="F2400" s="41" t="s">
        <v>2233</v>
      </c>
      <c r="G2400" s="13" t="s">
        <v>2662</v>
      </c>
      <c r="H2400" s="34" t="s">
        <v>1581</v>
      </c>
      <c r="I2400" s="92" t="str">
        <f t="shared" si="1226"/>
        <v>null</v>
      </c>
      <c r="J2400" s="80" t="s">
        <v>0</v>
      </c>
      <c r="K2400" s="80" t="s">
        <v>0</v>
      </c>
      <c r="L2400" s="80" t="s">
        <v>0</v>
      </c>
      <c r="M2400" s="80" t="s">
        <v>0</v>
      </c>
      <c r="N2400" s="80" t="s">
        <v>0</v>
      </c>
      <c r="O2400" s="80" t="s">
        <v>0</v>
      </c>
      <c r="P2400" s="80" t="s">
        <v>0</v>
      </c>
      <c r="Q2400" s="80" t="s">
        <v>0</v>
      </c>
      <c r="R2400" s="84" t="s">
        <v>0</v>
      </c>
      <c r="S2400" s="10" t="s">
        <v>1</v>
      </c>
      <c r="T2400" s="10" t="s">
        <v>10221</v>
      </c>
      <c r="U2400" s="5" t="str">
        <f t="shared" si="1234"/>
        <v>Propriedade destinada a sensorizar: é.beacon</v>
      </c>
      <c r="V2400" s="5" t="str">
        <f t="shared" si="1235"/>
        <v>Dado para sensorizar:  beacon  Deve ser formatado como (rdfs:Literal  or  xsd:string)</v>
      </c>
      <c r="W2400" s="69" t="s">
        <v>6264</v>
      </c>
      <c r="X2400" s="17" t="str">
        <f t="shared" si="1255"/>
        <v>d.senso.100</v>
      </c>
      <c r="Y2400" s="17" t="str">
        <f t="shared" si="1256"/>
        <v>Ação de sensorizar</v>
      </c>
      <c r="Z2400" s="62" t="s">
        <v>2353</v>
      </c>
      <c r="AA2400" s="18" t="str">
        <f t="shared" si="1220"/>
        <v>categoria.revit</v>
      </c>
      <c r="AB2400" s="19" t="s">
        <v>2138</v>
      </c>
      <c r="AC2400" s="18" t="str">
        <f t="shared" si="1221"/>
        <v>classe.ifc</v>
      </c>
      <c r="AD2400" s="19" t="s">
        <v>2090</v>
      </c>
      <c r="AE2400" s="18" t="str">
        <f t="shared" si="1263"/>
        <v>null</v>
      </c>
      <c r="AF2400" s="75" t="s">
        <v>0</v>
      </c>
      <c r="AG2400" s="38" t="s">
        <v>9280</v>
      </c>
    </row>
    <row r="2401" spans="1:33" ht="6" customHeight="1" x14ac:dyDescent="0.4">
      <c r="A2401" s="4">
        <f>ROW()</f>
        <v>2401</v>
      </c>
      <c r="B2401" s="9" t="s">
        <v>27</v>
      </c>
      <c r="C2401" s="44" t="str">
        <f t="shared" ref="C2401" si="1268">SUBSTITUTE(F2401,"d.","p.")</f>
        <v>p.sensorizar</v>
      </c>
      <c r="D2401" s="6" t="str">
        <f t="shared" si="1262"/>
        <v>é.câmera.termográfica</v>
      </c>
      <c r="E2401" s="8" t="s">
        <v>28</v>
      </c>
      <c r="F2401" s="34" t="str">
        <f t="shared" ref="F2401:F2421" si="1269">F2400</f>
        <v>d.sensorizar</v>
      </c>
      <c r="G2401" s="33" t="s">
        <v>2681</v>
      </c>
      <c r="H2401" s="33" t="s">
        <v>1581</v>
      </c>
      <c r="I2401" s="92" t="str">
        <f t="shared" si="1226"/>
        <v>null</v>
      </c>
      <c r="J2401" s="80" t="s">
        <v>0</v>
      </c>
      <c r="K2401" s="80" t="s">
        <v>0</v>
      </c>
      <c r="L2401" s="80" t="s">
        <v>0</v>
      </c>
      <c r="M2401" s="80" t="s">
        <v>0</v>
      </c>
      <c r="N2401" s="80" t="s">
        <v>0</v>
      </c>
      <c r="O2401" s="80" t="s">
        <v>0</v>
      </c>
      <c r="P2401" s="80" t="s">
        <v>0</v>
      </c>
      <c r="Q2401" s="80" t="s">
        <v>0</v>
      </c>
      <c r="R2401" s="84" t="s">
        <v>2720</v>
      </c>
      <c r="S2401" s="10" t="s">
        <v>1</v>
      </c>
      <c r="T2401" s="10" t="s">
        <v>10221</v>
      </c>
      <c r="U2401" s="5" t="str">
        <f t="shared" si="1234"/>
        <v>Propriedade destinada a sensorizar: é.câmera.termográfica</v>
      </c>
      <c r="V2401" s="5" t="str">
        <f t="shared" si="1235"/>
        <v>Dado para sensorizar:  câmera.termográfica  Deve ser formatado como (rdfs:Literal  or  xsd:string)</v>
      </c>
      <c r="W2401" s="69" t="s">
        <v>6265</v>
      </c>
      <c r="X2401" s="17" t="str">
        <f t="shared" si="1255"/>
        <v>d.senso.101</v>
      </c>
      <c r="Y2401" s="17" t="str">
        <f t="shared" si="1256"/>
        <v>Ação de sensorizar</v>
      </c>
      <c r="Z2401" s="62" t="s">
        <v>2367</v>
      </c>
      <c r="AA2401" s="18" t="str">
        <f t="shared" si="1220"/>
        <v>categoria.revit</v>
      </c>
      <c r="AB2401" s="19" t="s">
        <v>2138</v>
      </c>
      <c r="AC2401" s="18" t="str">
        <f t="shared" si="1221"/>
        <v>classe.ifc</v>
      </c>
      <c r="AD2401" s="19" t="s">
        <v>2090</v>
      </c>
      <c r="AE2401" s="18" t="str">
        <f t="shared" si="1263"/>
        <v>null</v>
      </c>
      <c r="AF2401" s="75" t="s">
        <v>0</v>
      </c>
      <c r="AG2401" s="38" t="s">
        <v>9281</v>
      </c>
    </row>
    <row r="2402" spans="1:33" ht="6" customHeight="1" x14ac:dyDescent="0.4">
      <c r="A2402" s="4">
        <f>ROW()</f>
        <v>2402</v>
      </c>
      <c r="B2402" s="9" t="s">
        <v>27</v>
      </c>
      <c r="C2402" s="44" t="str">
        <f t="shared" si="1264"/>
        <v>p.sensorizar</v>
      </c>
      <c r="D2402" s="6" t="str">
        <f t="shared" si="1262"/>
        <v>é.sensor.térmico</v>
      </c>
      <c r="E2402" s="8" t="s">
        <v>28</v>
      </c>
      <c r="F2402" s="34" t="str">
        <f t="shared" si="1269"/>
        <v>d.sensorizar</v>
      </c>
      <c r="G2402" s="13" t="s">
        <v>2663</v>
      </c>
      <c r="H2402" s="33" t="s">
        <v>1581</v>
      </c>
      <c r="I2402" s="92" t="str">
        <f t="shared" si="1226"/>
        <v>null</v>
      </c>
      <c r="J2402" s="80" t="s">
        <v>0</v>
      </c>
      <c r="K2402" s="80" t="s">
        <v>0</v>
      </c>
      <c r="L2402" s="80" t="s">
        <v>0</v>
      </c>
      <c r="M2402" s="80" t="s">
        <v>0</v>
      </c>
      <c r="N2402" s="80" t="s">
        <v>0</v>
      </c>
      <c r="O2402" s="80" t="s">
        <v>0</v>
      </c>
      <c r="P2402" s="80" t="s">
        <v>0</v>
      </c>
      <c r="Q2402" s="80" t="s">
        <v>0</v>
      </c>
      <c r="R2402" s="89" t="s">
        <v>2719</v>
      </c>
      <c r="S2402" s="10" t="s">
        <v>1</v>
      </c>
      <c r="T2402" s="10" t="s">
        <v>10221</v>
      </c>
      <c r="U2402" s="5" t="str">
        <f t="shared" si="1234"/>
        <v>Propriedade destinada a sensorizar: é.sensor.térmico</v>
      </c>
      <c r="V2402" s="5" t="str">
        <f t="shared" si="1235"/>
        <v>Dado para sensorizar:  sensor.térmico  Deve ser formatado como (rdfs:Literal  or  xsd:string)</v>
      </c>
      <c r="W2402" s="69" t="s">
        <v>6266</v>
      </c>
      <c r="X2402" s="17" t="str">
        <f t="shared" si="1255"/>
        <v>d.senso.102</v>
      </c>
      <c r="Y2402" s="17" t="str">
        <f t="shared" si="1256"/>
        <v>Ação de sensorizar</v>
      </c>
      <c r="Z2402" s="62" t="s">
        <v>2354</v>
      </c>
      <c r="AA2402" s="18" t="str">
        <f t="shared" si="1220"/>
        <v>categoria.revit</v>
      </c>
      <c r="AB2402" s="19" t="s">
        <v>2138</v>
      </c>
      <c r="AC2402" s="18" t="str">
        <f t="shared" si="1221"/>
        <v>classe.ifc</v>
      </c>
      <c r="AD2402" s="19" t="s">
        <v>2090</v>
      </c>
      <c r="AE2402" s="18" t="str">
        <f t="shared" si="1263"/>
        <v>null</v>
      </c>
      <c r="AF2402" s="75" t="s">
        <v>0</v>
      </c>
      <c r="AG2402" s="38" t="s">
        <v>9282</v>
      </c>
    </row>
    <row r="2403" spans="1:33" ht="6" customHeight="1" x14ac:dyDescent="0.4">
      <c r="A2403" s="4">
        <f>ROW()</f>
        <v>2403</v>
      </c>
      <c r="B2403" s="9" t="s">
        <v>27</v>
      </c>
      <c r="C2403" s="44" t="str">
        <f t="shared" si="1264"/>
        <v>p.sensorizar</v>
      </c>
      <c r="D2403" s="6" t="str">
        <f t="shared" si="1262"/>
        <v>é.sensor.de.vibração</v>
      </c>
      <c r="E2403" s="8" t="s">
        <v>28</v>
      </c>
      <c r="F2403" s="34" t="str">
        <f t="shared" si="1269"/>
        <v>d.sensorizar</v>
      </c>
      <c r="G2403" s="33" t="s">
        <v>2664</v>
      </c>
      <c r="H2403" s="33" t="s">
        <v>1581</v>
      </c>
      <c r="I2403" s="92" t="str">
        <f t="shared" si="1226"/>
        <v>null</v>
      </c>
      <c r="J2403" s="80" t="s">
        <v>0</v>
      </c>
      <c r="K2403" s="80" t="s">
        <v>0</v>
      </c>
      <c r="L2403" s="80" t="s">
        <v>0</v>
      </c>
      <c r="M2403" s="80" t="s">
        <v>0</v>
      </c>
      <c r="N2403" s="80" t="s">
        <v>0</v>
      </c>
      <c r="O2403" s="80" t="s">
        <v>0</v>
      </c>
      <c r="P2403" s="80" t="s">
        <v>0</v>
      </c>
      <c r="Q2403" s="80" t="s">
        <v>0</v>
      </c>
      <c r="R2403" s="84" t="s">
        <v>0</v>
      </c>
      <c r="S2403" s="10" t="s">
        <v>1</v>
      </c>
      <c r="T2403" s="10" t="s">
        <v>10221</v>
      </c>
      <c r="U2403" s="5" t="str">
        <f t="shared" si="1234"/>
        <v>Propriedade destinada a sensorizar: é.sensor.de.vibração</v>
      </c>
      <c r="V2403" s="5" t="str">
        <f t="shared" si="1235"/>
        <v>Dado para sensorizar:  sensor.de.vibração  Deve ser formatado como (rdfs:Literal  or  xsd:string)</v>
      </c>
      <c r="W2403" s="69" t="s">
        <v>6267</v>
      </c>
      <c r="X2403" s="17" t="str">
        <f t="shared" si="1255"/>
        <v>d.senso.103</v>
      </c>
      <c r="Y2403" s="17" t="str">
        <f t="shared" si="1256"/>
        <v>Ação de sensorizar</v>
      </c>
      <c r="Z2403" s="62" t="s">
        <v>2355</v>
      </c>
      <c r="AA2403" s="18" t="str">
        <f t="shared" si="1220"/>
        <v>categoria.revit</v>
      </c>
      <c r="AB2403" s="19" t="s">
        <v>2138</v>
      </c>
      <c r="AC2403" s="18" t="str">
        <f t="shared" si="1221"/>
        <v>classe.ifc</v>
      </c>
      <c r="AD2403" s="19" t="s">
        <v>2090</v>
      </c>
      <c r="AE2403" s="18" t="str">
        <f t="shared" si="1263"/>
        <v>null</v>
      </c>
      <c r="AF2403" s="75" t="s">
        <v>0</v>
      </c>
      <c r="AG2403" s="38" t="s">
        <v>9283</v>
      </c>
    </row>
    <row r="2404" spans="1:33" ht="6" customHeight="1" x14ac:dyDescent="0.4">
      <c r="A2404" s="4">
        <f>ROW()</f>
        <v>2404</v>
      </c>
      <c r="B2404" s="9" t="s">
        <v>27</v>
      </c>
      <c r="C2404" s="44" t="str">
        <f t="shared" si="1264"/>
        <v>p.sensorizar</v>
      </c>
      <c r="D2404" s="6" t="str">
        <f t="shared" si="1262"/>
        <v>é.sensor.de.iluminação</v>
      </c>
      <c r="E2404" s="8" t="s">
        <v>28</v>
      </c>
      <c r="F2404" s="34" t="str">
        <f t="shared" si="1269"/>
        <v>d.sensorizar</v>
      </c>
      <c r="G2404" s="33" t="s">
        <v>2665</v>
      </c>
      <c r="H2404" s="33" t="s">
        <v>1581</v>
      </c>
      <c r="I2404" s="92" t="str">
        <f t="shared" si="1226"/>
        <v>null</v>
      </c>
      <c r="J2404" s="80" t="s">
        <v>0</v>
      </c>
      <c r="K2404" s="80" t="s">
        <v>0</v>
      </c>
      <c r="L2404" s="80" t="s">
        <v>0</v>
      </c>
      <c r="M2404" s="80" t="s">
        <v>0</v>
      </c>
      <c r="N2404" s="80" t="s">
        <v>0</v>
      </c>
      <c r="O2404" s="80" t="s">
        <v>0</v>
      </c>
      <c r="P2404" s="80" t="s">
        <v>0</v>
      </c>
      <c r="Q2404" s="80" t="s">
        <v>0</v>
      </c>
      <c r="R2404" s="84" t="s">
        <v>0</v>
      </c>
      <c r="S2404" s="10" t="s">
        <v>1</v>
      </c>
      <c r="T2404" s="10" t="s">
        <v>10221</v>
      </c>
      <c r="U2404" s="5" t="str">
        <f t="shared" si="1234"/>
        <v>Propriedade destinada a sensorizar: é.sensor.de.iluminação</v>
      </c>
      <c r="V2404" s="5" t="str">
        <f t="shared" si="1235"/>
        <v>Dado para sensorizar:  sensor.de.iluminação  Deve ser formatado como (rdfs:Literal  or  xsd:string)</v>
      </c>
      <c r="W2404" s="69" t="s">
        <v>6268</v>
      </c>
      <c r="X2404" s="17" t="str">
        <f t="shared" si="1255"/>
        <v>d.senso.104</v>
      </c>
      <c r="Y2404" s="17" t="str">
        <f t="shared" si="1256"/>
        <v>Ação de sensorizar</v>
      </c>
      <c r="Z2404" s="62" t="s">
        <v>2356</v>
      </c>
      <c r="AA2404" s="18" t="str">
        <f t="shared" si="1220"/>
        <v>categoria.revit</v>
      </c>
      <c r="AB2404" s="19" t="s">
        <v>2138</v>
      </c>
      <c r="AC2404" s="18" t="str">
        <f t="shared" si="1221"/>
        <v>classe.ifc</v>
      </c>
      <c r="AD2404" s="19" t="s">
        <v>2090</v>
      </c>
      <c r="AE2404" s="18" t="str">
        <f t="shared" si="1263"/>
        <v>null</v>
      </c>
      <c r="AF2404" s="75" t="s">
        <v>0</v>
      </c>
      <c r="AG2404" s="38" t="s">
        <v>9284</v>
      </c>
    </row>
    <row r="2405" spans="1:33" ht="6" customHeight="1" x14ac:dyDescent="0.4">
      <c r="A2405" s="4">
        <f>ROW()</f>
        <v>2405</v>
      </c>
      <c r="B2405" s="9" t="s">
        <v>27</v>
      </c>
      <c r="C2405" s="44" t="str">
        <f t="shared" si="1264"/>
        <v>p.sensorizar</v>
      </c>
      <c r="D2405" s="6" t="str">
        <f t="shared" si="1262"/>
        <v>é.sensor.de.movimento</v>
      </c>
      <c r="E2405" s="8" t="s">
        <v>28</v>
      </c>
      <c r="F2405" s="34" t="str">
        <f t="shared" si="1269"/>
        <v>d.sensorizar</v>
      </c>
      <c r="G2405" s="33" t="s">
        <v>2666</v>
      </c>
      <c r="H2405" s="33" t="s">
        <v>1581</v>
      </c>
      <c r="I2405" s="92" t="str">
        <f t="shared" si="1226"/>
        <v>null</v>
      </c>
      <c r="J2405" s="80" t="s">
        <v>0</v>
      </c>
      <c r="K2405" s="80" t="s">
        <v>0</v>
      </c>
      <c r="L2405" s="80" t="s">
        <v>0</v>
      </c>
      <c r="M2405" s="80" t="s">
        <v>0</v>
      </c>
      <c r="N2405" s="80" t="s">
        <v>0</v>
      </c>
      <c r="O2405" s="80" t="s">
        <v>0</v>
      </c>
      <c r="P2405" s="80" t="s">
        <v>0</v>
      </c>
      <c r="Q2405" s="80" t="s">
        <v>0</v>
      </c>
      <c r="R2405" s="84" t="s">
        <v>0</v>
      </c>
      <c r="S2405" s="10" t="s">
        <v>1</v>
      </c>
      <c r="T2405" s="10" t="s">
        <v>10221</v>
      </c>
      <c r="U2405" s="5" t="str">
        <f t="shared" si="1234"/>
        <v>Propriedade destinada a sensorizar: é.sensor.de.movimento</v>
      </c>
      <c r="V2405" s="5" t="str">
        <f t="shared" si="1235"/>
        <v>Dado para sensorizar:  sensor.de.movimento  Deve ser formatado como (rdfs:Literal  or  xsd:string)</v>
      </c>
      <c r="W2405" s="69" t="s">
        <v>6269</v>
      </c>
      <c r="X2405" s="17" t="str">
        <f t="shared" si="1255"/>
        <v>d.senso.105</v>
      </c>
      <c r="Y2405" s="17" t="str">
        <f t="shared" si="1256"/>
        <v>Ação de sensorizar</v>
      </c>
      <c r="Z2405" s="62" t="s">
        <v>2357</v>
      </c>
      <c r="AA2405" s="18" t="str">
        <f t="shared" si="1220"/>
        <v>categoria.revit</v>
      </c>
      <c r="AB2405" s="19" t="s">
        <v>2138</v>
      </c>
      <c r="AC2405" s="18" t="str">
        <f t="shared" si="1221"/>
        <v>classe.ifc</v>
      </c>
      <c r="AD2405" s="19" t="s">
        <v>2090</v>
      </c>
      <c r="AE2405" s="18" t="str">
        <f t="shared" si="1263"/>
        <v>null</v>
      </c>
      <c r="AF2405" s="75" t="s">
        <v>0</v>
      </c>
      <c r="AG2405" s="38" t="s">
        <v>9285</v>
      </c>
    </row>
    <row r="2406" spans="1:33" ht="6" customHeight="1" x14ac:dyDescent="0.4">
      <c r="A2406" s="4">
        <f>ROW()</f>
        <v>2406</v>
      </c>
      <c r="B2406" s="9" t="s">
        <v>27</v>
      </c>
      <c r="C2406" s="44" t="str">
        <f t="shared" si="1264"/>
        <v>p.sensorizar</v>
      </c>
      <c r="D2406" s="6" t="str">
        <f t="shared" si="1262"/>
        <v>é.sensor.de.presença</v>
      </c>
      <c r="E2406" s="8" t="s">
        <v>28</v>
      </c>
      <c r="F2406" s="34" t="str">
        <f t="shared" si="1269"/>
        <v>d.sensorizar</v>
      </c>
      <c r="G2406" s="33" t="s">
        <v>2667</v>
      </c>
      <c r="H2406" s="33" t="s">
        <v>1581</v>
      </c>
      <c r="I2406" s="92" t="str">
        <f t="shared" si="1226"/>
        <v>null</v>
      </c>
      <c r="J2406" s="80" t="s">
        <v>0</v>
      </c>
      <c r="K2406" s="80" t="s">
        <v>0</v>
      </c>
      <c r="L2406" s="80" t="s">
        <v>0</v>
      </c>
      <c r="M2406" s="80" t="s">
        <v>0</v>
      </c>
      <c r="N2406" s="80" t="s">
        <v>0</v>
      </c>
      <c r="O2406" s="80" t="s">
        <v>0</v>
      </c>
      <c r="P2406" s="80" t="s">
        <v>0</v>
      </c>
      <c r="Q2406" s="80" t="s">
        <v>0</v>
      </c>
      <c r="R2406" s="84" t="s">
        <v>0</v>
      </c>
      <c r="S2406" s="10" t="s">
        <v>1</v>
      </c>
      <c r="T2406" s="10" t="s">
        <v>10221</v>
      </c>
      <c r="U2406" s="5" t="str">
        <f t="shared" si="1234"/>
        <v>Propriedade destinada a sensorizar: é.sensor.de.presença</v>
      </c>
      <c r="V2406" s="5" t="str">
        <f t="shared" si="1235"/>
        <v>Dado para sensorizar:  sensor.de.presença  Deve ser formatado como (rdfs:Literal  or  xsd:string)</v>
      </c>
      <c r="W2406" s="69" t="s">
        <v>6270</v>
      </c>
      <c r="X2406" s="17" t="str">
        <f t="shared" si="1255"/>
        <v>d.senso.106</v>
      </c>
      <c r="Y2406" s="17" t="str">
        <f t="shared" si="1256"/>
        <v>Ação de sensorizar</v>
      </c>
      <c r="Z2406" s="62" t="s">
        <v>2358</v>
      </c>
      <c r="AA2406" s="18" t="str">
        <f t="shared" si="1220"/>
        <v>categoria.revit</v>
      </c>
      <c r="AB2406" s="19" t="s">
        <v>2138</v>
      </c>
      <c r="AC2406" s="18" t="str">
        <f t="shared" si="1221"/>
        <v>classe.ifc</v>
      </c>
      <c r="AD2406" s="19" t="s">
        <v>2090</v>
      </c>
      <c r="AE2406" s="18" t="str">
        <f t="shared" si="1263"/>
        <v>null</v>
      </c>
      <c r="AF2406" s="75" t="s">
        <v>0</v>
      </c>
      <c r="AG2406" s="38" t="s">
        <v>9286</v>
      </c>
    </row>
    <row r="2407" spans="1:33" ht="6" customHeight="1" x14ac:dyDescent="0.4">
      <c r="A2407" s="4">
        <f>ROW()</f>
        <v>2407</v>
      </c>
      <c r="B2407" s="9" t="s">
        <v>27</v>
      </c>
      <c r="C2407" s="44" t="str">
        <f t="shared" si="1264"/>
        <v>p.sensorizar</v>
      </c>
      <c r="D2407" s="6" t="str">
        <f t="shared" si="1262"/>
        <v>é.sensor.de.acesso</v>
      </c>
      <c r="E2407" s="8" t="s">
        <v>28</v>
      </c>
      <c r="F2407" s="34" t="str">
        <f t="shared" si="1269"/>
        <v>d.sensorizar</v>
      </c>
      <c r="G2407" s="33" t="s">
        <v>2668</v>
      </c>
      <c r="H2407" s="33" t="s">
        <v>1581</v>
      </c>
      <c r="I2407" s="92" t="str">
        <f t="shared" si="1226"/>
        <v>null</v>
      </c>
      <c r="J2407" s="80" t="s">
        <v>0</v>
      </c>
      <c r="K2407" s="80" t="s">
        <v>0</v>
      </c>
      <c r="L2407" s="80" t="s">
        <v>0</v>
      </c>
      <c r="M2407" s="80" t="s">
        <v>0</v>
      </c>
      <c r="N2407" s="80" t="s">
        <v>0</v>
      </c>
      <c r="O2407" s="80" t="s">
        <v>0</v>
      </c>
      <c r="P2407" s="80" t="s">
        <v>0</v>
      </c>
      <c r="Q2407" s="80" t="s">
        <v>0</v>
      </c>
      <c r="R2407" s="84" t="s">
        <v>0</v>
      </c>
      <c r="S2407" s="10" t="s">
        <v>1</v>
      </c>
      <c r="T2407" s="10" t="s">
        <v>10221</v>
      </c>
      <c r="U2407" s="5" t="str">
        <f t="shared" si="1234"/>
        <v>Propriedade destinada a sensorizar: é.sensor.de.acesso</v>
      </c>
      <c r="V2407" s="5" t="str">
        <f t="shared" si="1235"/>
        <v>Dado para sensorizar:  sensor.de.acesso  Deve ser formatado como (rdfs:Literal  or  xsd:string)</v>
      </c>
      <c r="W2407" s="69" t="s">
        <v>6271</v>
      </c>
      <c r="X2407" s="17" t="str">
        <f t="shared" si="1255"/>
        <v>d.senso.107</v>
      </c>
      <c r="Y2407" s="17" t="str">
        <f t="shared" si="1256"/>
        <v>Ação de sensorizar</v>
      </c>
      <c r="Z2407" s="62" t="s">
        <v>2359</v>
      </c>
      <c r="AA2407" s="18" t="str">
        <f t="shared" si="1220"/>
        <v>categoria.revit</v>
      </c>
      <c r="AB2407" s="19" t="s">
        <v>2138</v>
      </c>
      <c r="AC2407" s="18" t="str">
        <f t="shared" si="1221"/>
        <v>classe.ifc</v>
      </c>
      <c r="AD2407" s="19" t="s">
        <v>2090</v>
      </c>
      <c r="AE2407" s="18" t="str">
        <f t="shared" si="1263"/>
        <v>null</v>
      </c>
      <c r="AF2407" s="75" t="s">
        <v>0</v>
      </c>
      <c r="AG2407" s="38" t="s">
        <v>9287</v>
      </c>
    </row>
    <row r="2408" spans="1:33" ht="6" customHeight="1" x14ac:dyDescent="0.4">
      <c r="A2408" s="4">
        <f>ROW()</f>
        <v>2408</v>
      </c>
      <c r="B2408" s="9" t="s">
        <v>27</v>
      </c>
      <c r="C2408" s="44" t="str">
        <f t="shared" si="1264"/>
        <v>p.sensorizar</v>
      </c>
      <c r="D2408" s="6" t="str">
        <f t="shared" si="1262"/>
        <v>é.sensor.de.fumaça</v>
      </c>
      <c r="E2408" s="8" t="s">
        <v>28</v>
      </c>
      <c r="F2408" s="34" t="str">
        <f t="shared" si="1269"/>
        <v>d.sensorizar</v>
      </c>
      <c r="G2408" s="33" t="s">
        <v>2669</v>
      </c>
      <c r="H2408" s="33" t="s">
        <v>1581</v>
      </c>
      <c r="I2408" s="92" t="str">
        <f t="shared" si="1226"/>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34"/>
        <v>Propriedade destinada a sensorizar: é.sensor.de.fumaça</v>
      </c>
      <c r="V2408" s="5" t="str">
        <f t="shared" si="1235"/>
        <v>Dado para sensorizar:  sensor.de.fumaça  Deve ser formatado como (rdfs:Literal  or  xsd:string)</v>
      </c>
      <c r="W2408" s="69" t="s">
        <v>6272</v>
      </c>
      <c r="X2408" s="17" t="str">
        <f t="shared" si="1255"/>
        <v>d.senso.108</v>
      </c>
      <c r="Y2408" s="17" t="str">
        <f t="shared" si="1256"/>
        <v>Ação de sensorizar</v>
      </c>
      <c r="Z2408" s="62" t="s">
        <v>2360</v>
      </c>
      <c r="AA2408" s="18" t="str">
        <f t="shared" si="1220"/>
        <v>categoria.revit</v>
      </c>
      <c r="AB2408" s="19" t="s">
        <v>2138</v>
      </c>
      <c r="AC2408" s="18" t="str">
        <f t="shared" si="1221"/>
        <v>classe.ifc</v>
      </c>
      <c r="AD2408" s="19" t="s">
        <v>2090</v>
      </c>
      <c r="AE2408" s="18" t="str">
        <f t="shared" si="1263"/>
        <v>null</v>
      </c>
      <c r="AF2408" s="75" t="s">
        <v>0</v>
      </c>
      <c r="AG2408" s="38" t="s">
        <v>9288</v>
      </c>
    </row>
    <row r="2409" spans="1:33" ht="6" customHeight="1" x14ac:dyDescent="0.4">
      <c r="A2409" s="4">
        <f>ROW()</f>
        <v>2409</v>
      </c>
      <c r="B2409" s="9" t="s">
        <v>27</v>
      </c>
      <c r="C2409" s="44" t="str">
        <f t="shared" si="1264"/>
        <v>p.sensorizar</v>
      </c>
      <c r="D2409" s="6" t="str">
        <f t="shared" si="1262"/>
        <v>é.sensor.de.contraste</v>
      </c>
      <c r="E2409" s="8" t="s">
        <v>28</v>
      </c>
      <c r="F2409" s="34" t="str">
        <f t="shared" si="1269"/>
        <v>d.sensorizar</v>
      </c>
      <c r="G2409" s="33" t="s">
        <v>2670</v>
      </c>
      <c r="H2409" s="33" t="s">
        <v>1581</v>
      </c>
      <c r="I2409" s="92" t="str">
        <f t="shared" si="1226"/>
        <v>null</v>
      </c>
      <c r="J2409" s="80" t="s">
        <v>0</v>
      </c>
      <c r="K2409" s="80" t="s">
        <v>0</v>
      </c>
      <c r="L2409" s="80" t="s">
        <v>0</v>
      </c>
      <c r="M2409" s="80" t="s">
        <v>0</v>
      </c>
      <c r="N2409" s="80" t="s">
        <v>0</v>
      </c>
      <c r="O2409" s="80" t="s">
        <v>0</v>
      </c>
      <c r="P2409" s="80" t="s">
        <v>0</v>
      </c>
      <c r="Q2409" s="80" t="s">
        <v>0</v>
      </c>
      <c r="R2409" s="84" t="s">
        <v>0</v>
      </c>
      <c r="S2409" s="10" t="s">
        <v>1</v>
      </c>
      <c r="T2409" s="10" t="s">
        <v>10221</v>
      </c>
      <c r="U2409" s="5" t="str">
        <f t="shared" si="1234"/>
        <v>Propriedade destinada a sensorizar: é.sensor.de.contraste</v>
      </c>
      <c r="V2409" s="5" t="str">
        <f t="shared" si="1235"/>
        <v>Dado para sensorizar:  sensor.de.contraste  Deve ser formatado como (rdfs:Literal  or  xsd:string)</v>
      </c>
      <c r="W2409" s="69" t="s">
        <v>6273</v>
      </c>
      <c r="X2409" s="17" t="str">
        <f t="shared" si="1255"/>
        <v>d.senso.109</v>
      </c>
      <c r="Y2409" s="17" t="str">
        <f t="shared" si="1256"/>
        <v>Ação de sensorizar</v>
      </c>
      <c r="Z2409" s="62" t="s">
        <v>2361</v>
      </c>
      <c r="AA2409" s="18" t="str">
        <f t="shared" si="1220"/>
        <v>categoria.revit</v>
      </c>
      <c r="AB2409" s="19" t="s">
        <v>2138</v>
      </c>
      <c r="AC2409" s="18" t="str">
        <f t="shared" si="1221"/>
        <v>classe.ifc</v>
      </c>
      <c r="AD2409" s="19" t="s">
        <v>2090</v>
      </c>
      <c r="AE2409" s="18" t="str">
        <f t="shared" si="1263"/>
        <v>null</v>
      </c>
      <c r="AF2409" s="75" t="s">
        <v>0</v>
      </c>
      <c r="AG2409" s="38" t="s">
        <v>9289</v>
      </c>
    </row>
    <row r="2410" spans="1:33" ht="6" customHeight="1" x14ac:dyDescent="0.4">
      <c r="A2410" s="4">
        <f>ROW()</f>
        <v>2410</v>
      </c>
      <c r="B2410" s="9" t="s">
        <v>27</v>
      </c>
      <c r="C2410" s="44" t="str">
        <f t="shared" si="1264"/>
        <v>p.sensorizar</v>
      </c>
      <c r="D2410" s="6" t="str">
        <f t="shared" si="1262"/>
        <v>é.sensor.de.contraste.e.cor</v>
      </c>
      <c r="E2410" s="8" t="s">
        <v>28</v>
      </c>
      <c r="F2410" s="34" t="str">
        <f t="shared" si="1269"/>
        <v>d.sensorizar</v>
      </c>
      <c r="G2410" s="33" t="s">
        <v>2671</v>
      </c>
      <c r="H2410" s="33" t="s">
        <v>1581</v>
      </c>
      <c r="I2410" s="92" t="str">
        <f t="shared" si="1226"/>
        <v>null</v>
      </c>
      <c r="J2410" s="80" t="s">
        <v>0</v>
      </c>
      <c r="K2410" s="80" t="s">
        <v>0</v>
      </c>
      <c r="L2410" s="80" t="s">
        <v>0</v>
      </c>
      <c r="M2410" s="80" t="s">
        <v>0</v>
      </c>
      <c r="N2410" s="80" t="s">
        <v>0</v>
      </c>
      <c r="O2410" s="80" t="s">
        <v>0</v>
      </c>
      <c r="P2410" s="80" t="s">
        <v>0</v>
      </c>
      <c r="Q2410" s="80" t="s">
        <v>0</v>
      </c>
      <c r="R2410" s="84" t="s">
        <v>0</v>
      </c>
      <c r="S2410" s="10" t="s">
        <v>1</v>
      </c>
      <c r="T2410" s="10" t="s">
        <v>10221</v>
      </c>
      <c r="U2410" s="5" t="str">
        <f t="shared" si="1234"/>
        <v>Propriedade destinada a sensorizar: é.sensor.de.contraste.e.cor</v>
      </c>
      <c r="V2410" s="5" t="str">
        <f t="shared" si="1235"/>
        <v>Dado para sensorizar:  sensor.de.contraste.e.cor  Deve ser formatado como (rdfs:Literal  or  xsd:string)</v>
      </c>
      <c r="W2410" s="69" t="s">
        <v>6274</v>
      </c>
      <c r="X2410" s="17" t="str">
        <f t="shared" si="1255"/>
        <v>d.senso.110</v>
      </c>
      <c r="Y2410" s="17" t="str">
        <f t="shared" si="1256"/>
        <v>Ação de sensorizar</v>
      </c>
      <c r="Z2410" s="62" t="s">
        <v>2362</v>
      </c>
      <c r="AA2410" s="18" t="str">
        <f t="shared" si="1220"/>
        <v>categoria.revit</v>
      </c>
      <c r="AB2410" s="19" t="s">
        <v>2138</v>
      </c>
      <c r="AC2410" s="18" t="str">
        <f t="shared" si="1221"/>
        <v>classe.ifc</v>
      </c>
      <c r="AD2410" s="19" t="s">
        <v>2090</v>
      </c>
      <c r="AE2410" s="18" t="str">
        <f t="shared" si="1263"/>
        <v>null</v>
      </c>
      <c r="AF2410" s="75" t="s">
        <v>0</v>
      </c>
      <c r="AG2410" s="38" t="s">
        <v>9290</v>
      </c>
    </row>
    <row r="2411" spans="1:33" ht="6" customHeight="1" x14ac:dyDescent="0.4">
      <c r="A2411" s="4">
        <f>ROW()</f>
        <v>2411</v>
      </c>
      <c r="B2411" s="9" t="s">
        <v>27</v>
      </c>
      <c r="C2411" s="44" t="str">
        <f t="shared" si="1264"/>
        <v>p.sensorizar</v>
      </c>
      <c r="D2411" s="6" t="str">
        <f t="shared" si="1262"/>
        <v>é.sensor.de.distância</v>
      </c>
      <c r="E2411" s="8" t="s">
        <v>28</v>
      </c>
      <c r="F2411" s="34" t="str">
        <f t="shared" si="1269"/>
        <v>d.sensorizar</v>
      </c>
      <c r="G2411" s="33" t="s">
        <v>2672</v>
      </c>
      <c r="H2411" s="33" t="s">
        <v>1581</v>
      </c>
      <c r="I2411" s="92" t="str">
        <f t="shared" si="1226"/>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34"/>
        <v>Propriedade destinada a sensorizar: é.sensor.de.distância</v>
      </c>
      <c r="V2411" s="5" t="str">
        <f t="shared" si="1235"/>
        <v>Dado para sensorizar:  sensor.de.distância  Deve ser formatado como (rdfs:Literal  or  xsd:string)</v>
      </c>
      <c r="W2411" s="69" t="s">
        <v>6274</v>
      </c>
      <c r="X2411" s="17" t="str">
        <f t="shared" si="1255"/>
        <v>d.senso.111</v>
      </c>
      <c r="Y2411" s="17" t="str">
        <f t="shared" si="1256"/>
        <v>Ação de sensorizar</v>
      </c>
      <c r="Z2411" s="62" t="s">
        <v>2362</v>
      </c>
      <c r="AA2411" s="18" t="str">
        <f t="shared" si="1220"/>
        <v>categoria.revit</v>
      </c>
      <c r="AB2411" s="19" t="s">
        <v>2138</v>
      </c>
      <c r="AC2411" s="18" t="str">
        <f t="shared" si="1221"/>
        <v>classe.ifc</v>
      </c>
      <c r="AD2411" s="19" t="s">
        <v>2090</v>
      </c>
      <c r="AE2411" s="18" t="str">
        <f t="shared" si="1263"/>
        <v>null</v>
      </c>
      <c r="AF2411" s="75" t="s">
        <v>0</v>
      </c>
      <c r="AG2411" s="38" t="s">
        <v>9290</v>
      </c>
    </row>
    <row r="2412" spans="1:33" ht="6" customHeight="1" x14ac:dyDescent="0.4">
      <c r="A2412" s="4">
        <f>ROW()</f>
        <v>2412</v>
      </c>
      <c r="B2412" s="9" t="s">
        <v>27</v>
      </c>
      <c r="C2412" s="44" t="str">
        <f t="shared" si="1264"/>
        <v>p.sensorizar</v>
      </c>
      <c r="D2412" s="6" t="str">
        <f t="shared" si="1262"/>
        <v>é.sensor.difuso.compacto</v>
      </c>
      <c r="E2412" s="8" t="s">
        <v>28</v>
      </c>
      <c r="F2412" s="34" t="str">
        <f t="shared" si="1269"/>
        <v>d.sensorizar</v>
      </c>
      <c r="G2412" s="33" t="s">
        <v>2673</v>
      </c>
      <c r="H2412" s="33" t="s">
        <v>1581</v>
      </c>
      <c r="I2412" s="92" t="str">
        <f t="shared" si="1226"/>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34"/>
        <v>Propriedade destinada a sensorizar: é.sensor.difuso.compacto</v>
      </c>
      <c r="V2412" s="5" t="str">
        <f t="shared" si="1235"/>
        <v>Dado para sensorizar:  sensor.difuso.compacto  Deve ser formatado como (rdfs:Literal  or  xsd:string)</v>
      </c>
      <c r="W2412" s="69" t="s">
        <v>6274</v>
      </c>
      <c r="X2412" s="17" t="str">
        <f t="shared" si="1255"/>
        <v>d.senso.112</v>
      </c>
      <c r="Y2412" s="17" t="str">
        <f t="shared" si="1256"/>
        <v>Ação de sensorizar</v>
      </c>
      <c r="Z2412" s="62" t="s">
        <v>2362</v>
      </c>
      <c r="AA2412" s="18" t="str">
        <f t="shared" si="1220"/>
        <v>categoria.revit</v>
      </c>
      <c r="AB2412" s="19" t="s">
        <v>2138</v>
      </c>
      <c r="AC2412" s="18" t="str">
        <f t="shared" si="1221"/>
        <v>classe.ifc</v>
      </c>
      <c r="AD2412" s="19" t="s">
        <v>2090</v>
      </c>
      <c r="AE2412" s="18" t="str">
        <f t="shared" si="1263"/>
        <v>null</v>
      </c>
      <c r="AF2412" s="75" t="s">
        <v>0</v>
      </c>
      <c r="AG2412" s="38" t="s">
        <v>9290</v>
      </c>
    </row>
    <row r="2413" spans="1:33" ht="6" customHeight="1" x14ac:dyDescent="0.4">
      <c r="A2413" s="4">
        <f>ROW()</f>
        <v>2413</v>
      </c>
      <c r="B2413" s="9" t="s">
        <v>27</v>
      </c>
      <c r="C2413" s="44" t="str">
        <f t="shared" si="1264"/>
        <v>p.sensorizar</v>
      </c>
      <c r="D2413" s="6" t="str">
        <f t="shared" si="1262"/>
        <v>é.sensor.de.distância.difuso</v>
      </c>
      <c r="E2413" s="8" t="s">
        <v>28</v>
      </c>
      <c r="F2413" s="34" t="str">
        <f t="shared" si="1269"/>
        <v>d.sensorizar</v>
      </c>
      <c r="G2413" s="33" t="s">
        <v>2674</v>
      </c>
      <c r="H2413" s="33" t="s">
        <v>1581</v>
      </c>
      <c r="I2413" s="92" t="str">
        <f t="shared" si="1226"/>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34"/>
        <v>Propriedade destinada a sensorizar: é.sensor.de.distância.difuso</v>
      </c>
      <c r="V2413" s="5" t="str">
        <f t="shared" si="1235"/>
        <v>Dado para sensorizar:  sensor.de.distância.difuso  Deve ser formatado como (rdfs:Literal  or  xsd:string)</v>
      </c>
      <c r="W2413" s="69" t="s">
        <v>6274</v>
      </c>
      <c r="X2413" s="17" t="str">
        <f t="shared" si="1255"/>
        <v>d.senso.113</v>
      </c>
      <c r="Y2413" s="17" t="str">
        <f t="shared" si="1256"/>
        <v>Ação de sensorizar</v>
      </c>
      <c r="Z2413" s="62" t="s">
        <v>2362</v>
      </c>
      <c r="AA2413" s="18" t="str">
        <f t="shared" ref="AA2413:AA2432" si="1270">IF(AB2413="null", "null", "categoria.revit")</f>
        <v>categoria.revit</v>
      </c>
      <c r="AB2413" s="19" t="s">
        <v>2138</v>
      </c>
      <c r="AC2413" s="18" t="str">
        <f t="shared" ref="AC2413:AC2432" si="1271">IF(AD2413="null", "null", "classe.ifc")</f>
        <v>classe.ifc</v>
      </c>
      <c r="AD2413" s="19" t="s">
        <v>2090</v>
      </c>
      <c r="AE2413" s="18" t="str">
        <f t="shared" si="1263"/>
        <v>null</v>
      </c>
      <c r="AF2413" s="75" t="s">
        <v>0</v>
      </c>
      <c r="AG2413" s="38" t="s">
        <v>9290</v>
      </c>
    </row>
    <row r="2414" spans="1:33" ht="6" customHeight="1" x14ac:dyDescent="0.4">
      <c r="A2414" s="4">
        <f>ROW()</f>
        <v>2414</v>
      </c>
      <c r="B2414" s="9" t="s">
        <v>27</v>
      </c>
      <c r="C2414" s="44" t="str">
        <f t="shared" si="1264"/>
        <v>p.sensorizar</v>
      </c>
      <c r="D2414" s="6" t="str">
        <f t="shared" si="1262"/>
        <v>é.sensor.outdoor.difuso</v>
      </c>
      <c r="E2414" s="8" t="s">
        <v>28</v>
      </c>
      <c r="F2414" s="34" t="str">
        <f t="shared" si="1269"/>
        <v>d.sensorizar</v>
      </c>
      <c r="G2414" s="33" t="s">
        <v>2675</v>
      </c>
      <c r="H2414" s="33" t="s">
        <v>1581</v>
      </c>
      <c r="I2414" s="92" t="str">
        <f t="shared" si="1226"/>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34"/>
        <v>Propriedade destinada a sensorizar: é.sensor.outdoor.difuso</v>
      </c>
      <c r="V2414" s="5" t="str">
        <f t="shared" si="1235"/>
        <v>Dado para sensorizar:  sensor.outdoor.difuso  Deve ser formatado como (rdfs:Literal  or  xsd:string)</v>
      </c>
      <c r="W2414" s="69" t="s">
        <v>6274</v>
      </c>
      <c r="X2414" s="17" t="str">
        <f t="shared" si="1255"/>
        <v>d.senso.114</v>
      </c>
      <c r="Y2414" s="17" t="str">
        <f t="shared" si="1256"/>
        <v>Ação de sensorizar</v>
      </c>
      <c r="Z2414" s="62" t="s">
        <v>2362</v>
      </c>
      <c r="AA2414" s="18" t="str">
        <f t="shared" si="1270"/>
        <v>categoria.revit</v>
      </c>
      <c r="AB2414" s="19" t="s">
        <v>2138</v>
      </c>
      <c r="AC2414" s="18" t="str">
        <f t="shared" si="1271"/>
        <v>classe.ifc</v>
      </c>
      <c r="AD2414" s="19" t="s">
        <v>2090</v>
      </c>
      <c r="AE2414" s="18" t="str">
        <f t="shared" si="1263"/>
        <v>null</v>
      </c>
      <c r="AF2414" s="75" t="s">
        <v>0</v>
      </c>
      <c r="AG2414" s="38" t="s">
        <v>9290</v>
      </c>
    </row>
    <row r="2415" spans="1:33" ht="6" customHeight="1" x14ac:dyDescent="0.4">
      <c r="A2415" s="4">
        <f>ROW()</f>
        <v>2415</v>
      </c>
      <c r="B2415" s="9" t="s">
        <v>27</v>
      </c>
      <c r="C2415" s="44" t="str">
        <f t="shared" si="1264"/>
        <v>p.sensorizar</v>
      </c>
      <c r="D2415" s="6" t="str">
        <f t="shared" si="1262"/>
        <v>é.sensor.de.luminescência</v>
      </c>
      <c r="E2415" s="8" t="s">
        <v>28</v>
      </c>
      <c r="F2415" s="34" t="str">
        <f t="shared" si="1269"/>
        <v>d.sensorizar</v>
      </c>
      <c r="G2415" s="33" t="s">
        <v>3051</v>
      </c>
      <c r="H2415" s="33" t="s">
        <v>1581</v>
      </c>
      <c r="I2415" s="92" t="str">
        <f t="shared" ref="I2415:I2478" si="1272">IF(OR(J2415="Functional",K2415="InverseFunctional"),"Functional","null")</f>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34"/>
        <v>Propriedade destinada a sensorizar: é.sensor.de.luminescência</v>
      </c>
      <c r="V2415" s="5" t="str">
        <f t="shared" si="1235"/>
        <v>Dado para sensorizar:  sensor.de.luminescência  Deve ser formatado como (rdfs:Literal  or  xsd:string)</v>
      </c>
      <c r="W2415" s="69" t="s">
        <v>6274</v>
      </c>
      <c r="X2415" s="17" t="str">
        <f t="shared" si="1255"/>
        <v>d.senso.115</v>
      </c>
      <c r="Y2415" s="17" t="str">
        <f t="shared" si="1256"/>
        <v>Ação de sensorizar</v>
      </c>
      <c r="Z2415" s="62" t="s">
        <v>2362</v>
      </c>
      <c r="AA2415" s="18" t="str">
        <f t="shared" si="1270"/>
        <v>categoria.revit</v>
      </c>
      <c r="AB2415" s="19" t="s">
        <v>2138</v>
      </c>
      <c r="AC2415" s="18" t="str">
        <f t="shared" si="1271"/>
        <v>classe.ifc</v>
      </c>
      <c r="AD2415" s="19" t="s">
        <v>2090</v>
      </c>
      <c r="AE2415" s="18" t="str">
        <f t="shared" si="1263"/>
        <v>null</v>
      </c>
      <c r="AF2415" s="75" t="s">
        <v>0</v>
      </c>
      <c r="AG2415" s="38" t="s">
        <v>9290</v>
      </c>
    </row>
    <row r="2416" spans="1:33" ht="6" customHeight="1" x14ac:dyDescent="0.4">
      <c r="A2416" s="4">
        <f>ROW()</f>
        <v>2416</v>
      </c>
      <c r="B2416" s="9" t="s">
        <v>27</v>
      </c>
      <c r="C2416" s="44" t="str">
        <f t="shared" si="1264"/>
        <v>p.sensorizar</v>
      </c>
      <c r="D2416" s="6" t="str">
        <f t="shared" si="1262"/>
        <v>é.sensor.proximidade.retroreflexivo</v>
      </c>
      <c r="E2416" s="8" t="s">
        <v>28</v>
      </c>
      <c r="F2416" s="34" t="str">
        <f t="shared" si="1269"/>
        <v>d.sensorizar</v>
      </c>
      <c r="G2416" s="33" t="s">
        <v>2676</v>
      </c>
      <c r="H2416" s="33" t="s">
        <v>1581</v>
      </c>
      <c r="I2416" s="92" t="str">
        <f t="shared" si="1272"/>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34"/>
        <v>Propriedade destinada a sensorizar: é.sensor.proximidade.retroreflexivo</v>
      </c>
      <c r="V2416" s="5" t="str">
        <f t="shared" si="1235"/>
        <v>Dado para sensorizar:  sensor.proximidade.retroreflexivo  Deve ser formatado como (rdfs:Literal  or  xsd:string)</v>
      </c>
      <c r="W2416" s="69" t="s">
        <v>6274</v>
      </c>
      <c r="X2416" s="17" t="str">
        <f t="shared" si="1255"/>
        <v>d.senso.116</v>
      </c>
      <c r="Y2416" s="17" t="str">
        <f t="shared" si="1256"/>
        <v>Ação de sensorizar</v>
      </c>
      <c r="Z2416" s="62" t="s">
        <v>2362</v>
      </c>
      <c r="AA2416" s="18" t="str">
        <f t="shared" si="1270"/>
        <v>categoria.revit</v>
      </c>
      <c r="AB2416" s="19" t="s">
        <v>2138</v>
      </c>
      <c r="AC2416" s="18" t="str">
        <f t="shared" si="1271"/>
        <v>classe.ifc</v>
      </c>
      <c r="AD2416" s="19" t="s">
        <v>2090</v>
      </c>
      <c r="AE2416" s="18" t="str">
        <f t="shared" si="1263"/>
        <v>null</v>
      </c>
      <c r="AF2416" s="75" t="s">
        <v>0</v>
      </c>
      <c r="AG2416" s="38" t="s">
        <v>9290</v>
      </c>
    </row>
    <row r="2417" spans="1:33" ht="6" customHeight="1" x14ac:dyDescent="0.4">
      <c r="A2417" s="4">
        <f>ROW()</f>
        <v>2417</v>
      </c>
      <c r="B2417" s="9" t="s">
        <v>27</v>
      </c>
      <c r="C2417" s="44" t="str">
        <f t="shared" si="1264"/>
        <v>p.sensorizar</v>
      </c>
      <c r="D2417" s="6" t="str">
        <f t="shared" si="1262"/>
        <v>é.sensor.de.proximidade</v>
      </c>
      <c r="E2417" s="8" t="s">
        <v>28</v>
      </c>
      <c r="F2417" s="34" t="str">
        <f t="shared" si="1269"/>
        <v>d.sensorizar</v>
      </c>
      <c r="G2417" s="33" t="s">
        <v>2677</v>
      </c>
      <c r="H2417" s="33" t="s">
        <v>1581</v>
      </c>
      <c r="I2417" s="92" t="str">
        <f t="shared" si="1272"/>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34"/>
        <v>Propriedade destinada a sensorizar: é.sensor.de.proximidade</v>
      </c>
      <c r="V2417" s="5" t="str">
        <f t="shared" si="1235"/>
        <v>Dado para sensorizar:  sensor.de.proximidade  Deve ser formatado como (rdfs:Literal  or  xsd:string)</v>
      </c>
      <c r="W2417" s="69" t="s">
        <v>6274</v>
      </c>
      <c r="X2417" s="17" t="str">
        <f t="shared" si="1255"/>
        <v>d.senso.117</v>
      </c>
      <c r="Y2417" s="17" t="str">
        <f t="shared" si="1256"/>
        <v>Ação de sensorizar</v>
      </c>
      <c r="Z2417" s="62" t="s">
        <v>2362</v>
      </c>
      <c r="AA2417" s="18" t="str">
        <f t="shared" si="1270"/>
        <v>categoria.revit</v>
      </c>
      <c r="AB2417" s="19" t="s">
        <v>2138</v>
      </c>
      <c r="AC2417" s="18" t="str">
        <f t="shared" si="1271"/>
        <v>classe.ifc</v>
      </c>
      <c r="AD2417" s="19" t="s">
        <v>2090</v>
      </c>
      <c r="AE2417" s="18" t="str">
        <f t="shared" si="1263"/>
        <v>null</v>
      </c>
      <c r="AF2417" s="75" t="s">
        <v>0</v>
      </c>
      <c r="AG2417" s="38" t="s">
        <v>9290</v>
      </c>
    </row>
    <row r="2418" spans="1:33" ht="6" customHeight="1" x14ac:dyDescent="0.4">
      <c r="A2418" s="4">
        <f>ROW()</f>
        <v>2418</v>
      </c>
      <c r="B2418" s="9" t="s">
        <v>27</v>
      </c>
      <c r="C2418" s="44" t="str">
        <f t="shared" si="1264"/>
        <v>p.sensorizar</v>
      </c>
      <c r="D2418" s="6" t="str">
        <f t="shared" si="1262"/>
        <v>é.sensor.de.proximidade.inox</v>
      </c>
      <c r="E2418" s="8" t="s">
        <v>28</v>
      </c>
      <c r="F2418" s="34" t="str">
        <f t="shared" si="1269"/>
        <v>d.sensorizar</v>
      </c>
      <c r="G2418" s="33" t="s">
        <v>2678</v>
      </c>
      <c r="H2418" s="33" t="s">
        <v>1581</v>
      </c>
      <c r="I2418" s="92" t="str">
        <f t="shared" si="1272"/>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ref="U2418:U2470" si="1273">_xlfn.CONCAT("Propriedade destinada a ",MID(C2418,FIND("p.",C2418,1)+2,100),": ",D2418)</f>
        <v>Propriedade destinada a sensorizar: é.sensor.de.proximidade.inox</v>
      </c>
      <c r="V2418" s="5" t="str">
        <f t="shared" ref="V2418:V2470" si="1274">_xlfn.CONCAT("Dado para ",MID(F2418,FIND("d.",F2418,1)+2,100),":  ",G2418, "  Deve ser formatado como (",H2418, ")")</f>
        <v>Dado para sensorizar:  sensor.de.proximidade.inox  Deve ser formatado como (rdfs:Literal  or  xsd:string)</v>
      </c>
      <c r="W2418" s="69" t="s">
        <v>6275</v>
      </c>
      <c r="X2418" s="17" t="str">
        <f t="shared" si="1255"/>
        <v>d.senso.118</v>
      </c>
      <c r="Y2418" s="17" t="str">
        <f t="shared" si="1256"/>
        <v>Ação de sensorizar</v>
      </c>
      <c r="Z2418" s="62" t="s">
        <v>2363</v>
      </c>
      <c r="AA2418" s="18" t="str">
        <f t="shared" si="1270"/>
        <v>categoria.revit</v>
      </c>
      <c r="AB2418" s="19" t="s">
        <v>2138</v>
      </c>
      <c r="AC2418" s="18" t="str">
        <f t="shared" si="1271"/>
        <v>classe.ifc</v>
      </c>
      <c r="AD2418" s="19" t="s">
        <v>2090</v>
      </c>
      <c r="AE2418" s="18" t="str">
        <f t="shared" si="1263"/>
        <v>null</v>
      </c>
      <c r="AF2418" s="75" t="s">
        <v>0</v>
      </c>
      <c r="AG2418" s="38" t="s">
        <v>9291</v>
      </c>
    </row>
    <row r="2419" spans="1:33" ht="6" customHeight="1" x14ac:dyDescent="0.4">
      <c r="A2419" s="4">
        <f>ROW()</f>
        <v>2419</v>
      </c>
      <c r="B2419" s="9" t="s">
        <v>27</v>
      </c>
      <c r="C2419" s="44" t="str">
        <f t="shared" si="1264"/>
        <v>p.sensorizar</v>
      </c>
      <c r="D2419" s="6" t="str">
        <f t="shared" si="1262"/>
        <v>é.sensor.de.cortina.de.luz</v>
      </c>
      <c r="E2419" s="8" t="s">
        <v>28</v>
      </c>
      <c r="F2419" s="34" t="str">
        <f t="shared" si="1269"/>
        <v>d.sensorizar</v>
      </c>
      <c r="G2419" s="33" t="s">
        <v>2679</v>
      </c>
      <c r="H2419" s="33" t="s">
        <v>1581</v>
      </c>
      <c r="I2419" s="92" t="str">
        <f t="shared" si="1272"/>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73"/>
        <v>Propriedade destinada a sensorizar: é.sensor.de.cortina.de.luz</v>
      </c>
      <c r="V2419" s="5" t="str">
        <f t="shared" si="1274"/>
        <v>Dado para sensorizar:  sensor.de.cortina.de.luz  Deve ser formatado como (rdfs:Literal  or  xsd:string)</v>
      </c>
      <c r="W2419" s="69" t="s">
        <v>6276</v>
      </c>
      <c r="X2419" s="17" t="str">
        <f t="shared" si="1255"/>
        <v>d.senso.119</v>
      </c>
      <c r="Y2419" s="17" t="str">
        <f t="shared" si="1256"/>
        <v>Ação de sensorizar</v>
      </c>
      <c r="Z2419" s="62" t="s">
        <v>2364</v>
      </c>
      <c r="AA2419" s="18" t="str">
        <f t="shared" si="1270"/>
        <v>categoria.revit</v>
      </c>
      <c r="AB2419" s="19" t="s">
        <v>2138</v>
      </c>
      <c r="AC2419" s="18" t="str">
        <f t="shared" si="1271"/>
        <v>classe.ifc</v>
      </c>
      <c r="AD2419" s="19" t="s">
        <v>2090</v>
      </c>
      <c r="AE2419" s="18" t="str">
        <f t="shared" si="1263"/>
        <v>null</v>
      </c>
      <c r="AF2419" s="75" t="s">
        <v>0</v>
      </c>
      <c r="AG2419" s="38" t="s">
        <v>9292</v>
      </c>
    </row>
    <row r="2420" spans="1:33" ht="6" customHeight="1" x14ac:dyDescent="0.4">
      <c r="A2420" s="4">
        <f>ROW()</f>
        <v>2420</v>
      </c>
      <c r="B2420" s="9" t="s">
        <v>27</v>
      </c>
      <c r="C2420" s="44" t="str">
        <f t="shared" si="1264"/>
        <v>p.sensorizar</v>
      </c>
      <c r="D2420" s="6" t="str">
        <f t="shared" si="1262"/>
        <v>é.sensor.encoder</v>
      </c>
      <c r="E2420" s="8" t="s">
        <v>28</v>
      </c>
      <c r="F2420" s="34" t="str">
        <f t="shared" si="1269"/>
        <v>d.sensorizar</v>
      </c>
      <c r="G2420" s="33" t="s">
        <v>2680</v>
      </c>
      <c r="H2420" s="33" t="s">
        <v>1581</v>
      </c>
      <c r="I2420" s="92" t="str">
        <f t="shared" si="1272"/>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73"/>
        <v>Propriedade destinada a sensorizar: é.sensor.encoder</v>
      </c>
      <c r="V2420" s="5" t="str">
        <f t="shared" si="1274"/>
        <v>Dado para sensorizar:  sensor.encoder  Deve ser formatado como (rdfs:Literal  or  xsd:string)</v>
      </c>
      <c r="W2420" s="69" t="s">
        <v>6277</v>
      </c>
      <c r="X2420" s="17" t="str">
        <f t="shared" si="1255"/>
        <v>d.senso.120</v>
      </c>
      <c r="Y2420" s="17" t="str">
        <f t="shared" si="1256"/>
        <v>Ação de sensorizar</v>
      </c>
      <c r="Z2420" s="62" t="s">
        <v>2365</v>
      </c>
      <c r="AA2420" s="18" t="str">
        <f t="shared" si="1270"/>
        <v>categoria.revit</v>
      </c>
      <c r="AB2420" s="19" t="s">
        <v>2138</v>
      </c>
      <c r="AC2420" s="18" t="str">
        <f t="shared" si="1271"/>
        <v>classe.ifc</v>
      </c>
      <c r="AD2420" s="19" t="s">
        <v>2090</v>
      </c>
      <c r="AE2420" s="18" t="str">
        <f t="shared" si="1263"/>
        <v>null</v>
      </c>
      <c r="AF2420" s="75" t="s">
        <v>0</v>
      </c>
      <c r="AG2420" s="38" t="s">
        <v>9293</v>
      </c>
    </row>
    <row r="2421" spans="1:33" ht="6" customHeight="1" x14ac:dyDescent="0.4">
      <c r="A2421" s="4">
        <f>ROW()</f>
        <v>2421</v>
      </c>
      <c r="B2421" s="9" t="s">
        <v>27</v>
      </c>
      <c r="C2421" s="44" t="str">
        <f t="shared" si="1264"/>
        <v>p.sensorizar</v>
      </c>
      <c r="D2421" s="6" t="str">
        <f t="shared" si="1262"/>
        <v>é.sensor.lorawan</v>
      </c>
      <c r="E2421" s="8" t="s">
        <v>28</v>
      </c>
      <c r="F2421" s="34" t="str">
        <f t="shared" si="1269"/>
        <v>d.sensorizar</v>
      </c>
      <c r="G2421" s="14" t="s">
        <v>3216</v>
      </c>
      <c r="H2421" s="33" t="s">
        <v>1581</v>
      </c>
      <c r="I2421" s="92" t="str">
        <f t="shared" si="1272"/>
        <v>null</v>
      </c>
      <c r="J2421" s="82" t="s">
        <v>0</v>
      </c>
      <c r="K2421" s="82" t="s">
        <v>0</v>
      </c>
      <c r="L2421" s="82" t="s">
        <v>0</v>
      </c>
      <c r="M2421" s="82" t="s">
        <v>0</v>
      </c>
      <c r="N2421" s="82" t="s">
        <v>0</v>
      </c>
      <c r="O2421" s="82" t="s">
        <v>0</v>
      </c>
      <c r="P2421" s="82" t="s">
        <v>0</v>
      </c>
      <c r="Q2421" s="82" t="s">
        <v>0</v>
      </c>
      <c r="R2421" s="84" t="s">
        <v>0</v>
      </c>
      <c r="S2421" s="10" t="s">
        <v>1</v>
      </c>
      <c r="T2421" s="10" t="s">
        <v>10221</v>
      </c>
      <c r="U2421" s="5" t="str">
        <f t="shared" si="1273"/>
        <v>Propriedade destinada a sensorizar: é.sensor.lorawan</v>
      </c>
      <c r="V2421" s="5" t="str">
        <f t="shared" si="1274"/>
        <v>Dado para sensorizar:  sensor.lorawan  Deve ser formatado como (rdfs:Literal  or  xsd:string)</v>
      </c>
      <c r="W2421" s="69" t="s">
        <v>3222</v>
      </c>
      <c r="X2421" s="17" t="str">
        <f t="shared" si="1255"/>
        <v>d.senso.121</v>
      </c>
      <c r="Y2421" s="17" t="str">
        <f t="shared" si="1256"/>
        <v>Ação de sensorizar</v>
      </c>
      <c r="Z2421" s="62" t="s">
        <v>4811</v>
      </c>
      <c r="AA2421" s="18" t="str">
        <f t="shared" si="1270"/>
        <v>categoria.revit</v>
      </c>
      <c r="AB2421" s="19" t="s">
        <v>2138</v>
      </c>
      <c r="AC2421" s="18" t="str">
        <f t="shared" si="1271"/>
        <v>classe.ifc</v>
      </c>
      <c r="AD2421" s="19" t="s">
        <v>2090</v>
      </c>
      <c r="AE2421" s="18" t="str">
        <f t="shared" si="1263"/>
        <v>null</v>
      </c>
      <c r="AF2421" s="75" t="s">
        <v>0</v>
      </c>
      <c r="AG2421" s="38" t="s">
        <v>9294</v>
      </c>
    </row>
    <row r="2422" spans="1:33" ht="6" customHeight="1" x14ac:dyDescent="0.4">
      <c r="A2422" s="4">
        <f>ROW()</f>
        <v>2422</v>
      </c>
      <c r="B2422" s="9" t="s">
        <v>27</v>
      </c>
      <c r="C2422" s="44" t="str">
        <f t="shared" si="1264"/>
        <v>p.sensorizar</v>
      </c>
      <c r="D2422" s="6" t="str">
        <f t="shared" si="1262"/>
        <v>é.sensor.ultrasônico</v>
      </c>
      <c r="E2422" s="8" t="s">
        <v>28</v>
      </c>
      <c r="F2422" s="34" t="str">
        <f>F2420</f>
        <v>d.sensorizar</v>
      </c>
      <c r="G2422" s="33" t="s">
        <v>3052</v>
      </c>
      <c r="H2422" s="33" t="s">
        <v>1581</v>
      </c>
      <c r="I2422" s="92" t="str">
        <f t="shared" si="1272"/>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73"/>
        <v>Propriedade destinada a sensorizar: é.sensor.ultrasônico</v>
      </c>
      <c r="V2422" s="5" t="str">
        <f t="shared" si="1274"/>
        <v>Dado para sensorizar:  sensor.ultrasônico  Deve ser formatado como (rdfs:Literal  or  xsd:string)</v>
      </c>
      <c r="W2422" s="69" t="s">
        <v>6278</v>
      </c>
      <c r="X2422" s="17" t="str">
        <f t="shared" si="1255"/>
        <v>d.senso.122</v>
      </c>
      <c r="Y2422" s="17" t="str">
        <f t="shared" si="1256"/>
        <v>Ação de sensorizar</v>
      </c>
      <c r="Z2422" s="62" t="s">
        <v>2366</v>
      </c>
      <c r="AA2422" s="18" t="str">
        <f t="shared" si="1270"/>
        <v>categoria.revit</v>
      </c>
      <c r="AB2422" s="19" t="s">
        <v>2138</v>
      </c>
      <c r="AC2422" s="18" t="str">
        <f t="shared" si="1271"/>
        <v>classe.ifc</v>
      </c>
      <c r="AD2422" s="19" t="s">
        <v>2090</v>
      </c>
      <c r="AE2422" s="18" t="str">
        <f t="shared" si="1263"/>
        <v>null</v>
      </c>
      <c r="AF2422" s="75" t="s">
        <v>0</v>
      </c>
      <c r="AG2422" s="38" t="s">
        <v>9295</v>
      </c>
    </row>
    <row r="2423" spans="1:33" ht="6" customHeight="1" x14ac:dyDescent="0.4">
      <c r="A2423" s="4">
        <f>ROW()</f>
        <v>2423</v>
      </c>
      <c r="B2423" s="9" t="s">
        <v>27</v>
      </c>
      <c r="C2423" s="43" t="str">
        <f t="shared" si="1264"/>
        <v>p.separar</v>
      </c>
      <c r="D2423" s="6" t="str">
        <f t="shared" si="1262"/>
        <v>é.bloco.concreto</v>
      </c>
      <c r="E2423" s="8" t="s">
        <v>28</v>
      </c>
      <c r="F2423" s="41" t="s">
        <v>2234</v>
      </c>
      <c r="G2423" s="13" t="s">
        <v>2544</v>
      </c>
      <c r="H2423" s="33" t="s">
        <v>1581</v>
      </c>
      <c r="I2423" s="92" t="str">
        <f t="shared" si="1272"/>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73"/>
        <v>Propriedade destinada a separar: é.bloco.concreto</v>
      </c>
      <c r="V2423" s="5" t="str">
        <f t="shared" si="1274"/>
        <v>Dado para separar:  bloco.concreto  Deve ser formatado como (rdfs:Literal  or  xsd:string)</v>
      </c>
      <c r="W2423" s="69" t="s">
        <v>6279</v>
      </c>
      <c r="X2423" s="17" t="str">
        <f t="shared" si="1255"/>
        <v>d.separ.100</v>
      </c>
      <c r="Y2423" s="17" t="str">
        <f t="shared" si="1256"/>
        <v>Ação de separar</v>
      </c>
      <c r="Z2423" s="62" t="s">
        <v>3071</v>
      </c>
      <c r="AA2423" s="18" t="str">
        <f t="shared" si="1270"/>
        <v>categoria.revit</v>
      </c>
      <c r="AB2423" s="19" t="s">
        <v>2140</v>
      </c>
      <c r="AC2423" s="18" t="str">
        <f t="shared" si="1271"/>
        <v>classe.ifc</v>
      </c>
      <c r="AD2423" s="19" t="s">
        <v>2092</v>
      </c>
      <c r="AE2423" s="18" t="str">
        <f t="shared" si="1263"/>
        <v>null</v>
      </c>
      <c r="AF2423" s="75" t="s">
        <v>0</v>
      </c>
      <c r="AG2423" s="38" t="s">
        <v>9296</v>
      </c>
    </row>
    <row r="2424" spans="1:33" ht="6" customHeight="1" x14ac:dyDescent="0.4">
      <c r="A2424" s="4">
        <f>ROW()</f>
        <v>2424</v>
      </c>
      <c r="B2424" s="9" t="s">
        <v>27</v>
      </c>
      <c r="C2424" s="44" t="str">
        <f>SUBSTITUTE(F2424,"d.","p.")</f>
        <v>p.separar</v>
      </c>
      <c r="D2424" s="6" t="str">
        <f t="shared" si="1262"/>
        <v>é.bloco.sílico.calcário</v>
      </c>
      <c r="E2424" s="8" t="s">
        <v>28</v>
      </c>
      <c r="F2424" s="34" t="str">
        <f>F2423</f>
        <v>d.separar</v>
      </c>
      <c r="G2424" s="13" t="s">
        <v>2545</v>
      </c>
      <c r="H2424" s="33" t="s">
        <v>1581</v>
      </c>
      <c r="I2424" s="92" t="str">
        <f t="shared" si="1272"/>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73"/>
        <v>Propriedade destinada a separar: é.bloco.sílico.calcário</v>
      </c>
      <c r="V2424" s="5" t="str">
        <f t="shared" si="1274"/>
        <v>Dado para separar:  bloco.sílico.calcário  Deve ser formatado como (rdfs:Literal  or  xsd:string)</v>
      </c>
      <c r="W2424" s="69" t="s">
        <v>6280</v>
      </c>
      <c r="X2424" s="17" t="str">
        <f t="shared" si="1255"/>
        <v>d.separ.101</v>
      </c>
      <c r="Y2424" s="17" t="str">
        <f t="shared" si="1256"/>
        <v>Ação de separar</v>
      </c>
      <c r="Z2424" s="62" t="s">
        <v>3072</v>
      </c>
      <c r="AA2424" s="18" t="str">
        <f t="shared" si="1270"/>
        <v>categoria.revit</v>
      </c>
      <c r="AB2424" s="19" t="s">
        <v>2140</v>
      </c>
      <c r="AC2424" s="18" t="str">
        <f t="shared" si="1271"/>
        <v>classe.ifc</v>
      </c>
      <c r="AD2424" s="19" t="s">
        <v>2092</v>
      </c>
      <c r="AE2424" s="18" t="str">
        <f t="shared" si="1263"/>
        <v>null</v>
      </c>
      <c r="AF2424" s="75" t="s">
        <v>0</v>
      </c>
      <c r="AG2424" s="38" t="s">
        <v>9297</v>
      </c>
    </row>
    <row r="2425" spans="1:33" ht="6" customHeight="1" x14ac:dyDescent="0.4">
      <c r="A2425" s="4">
        <f>ROW()</f>
        <v>2425</v>
      </c>
      <c r="B2425" s="9" t="s">
        <v>27</v>
      </c>
      <c r="C2425" s="44" t="str">
        <f t="shared" ref="C2425:C2449" si="1275">SUBSTITUTE(F2425,"d.","p.")</f>
        <v>p.separar</v>
      </c>
      <c r="D2425" s="6" t="str">
        <f t="shared" si="1262"/>
        <v>é.divisória.drywall</v>
      </c>
      <c r="E2425" s="8" t="s">
        <v>28</v>
      </c>
      <c r="F2425" s="34" t="str">
        <f t="shared" ref="F2425:F2436" si="1276">F2424</f>
        <v>d.separar</v>
      </c>
      <c r="G2425" s="13" t="s">
        <v>2546</v>
      </c>
      <c r="H2425" s="33" t="s">
        <v>1581</v>
      </c>
      <c r="I2425" s="92" t="str">
        <f t="shared" si="1272"/>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73"/>
        <v>Propriedade destinada a separar: é.divisória.drywall</v>
      </c>
      <c r="V2425" s="5" t="str">
        <f t="shared" si="1274"/>
        <v>Dado para separar:  divisória.drywall  Deve ser formatado como (rdfs:Literal  or  xsd:string)</v>
      </c>
      <c r="W2425" s="69" t="s">
        <v>6281</v>
      </c>
      <c r="X2425" s="17" t="str">
        <f t="shared" si="1255"/>
        <v>d.separ.102</v>
      </c>
      <c r="Y2425" s="17" t="str">
        <f t="shared" si="1256"/>
        <v>Ação de separar</v>
      </c>
      <c r="Z2425" s="62" t="s">
        <v>3073</v>
      </c>
      <c r="AA2425" s="18" t="str">
        <f t="shared" si="1270"/>
        <v>categoria.revit</v>
      </c>
      <c r="AB2425" s="19" t="s">
        <v>2139</v>
      </c>
      <c r="AC2425" s="18" t="str">
        <f t="shared" si="1271"/>
        <v>classe.ifc</v>
      </c>
      <c r="AD2425" s="19" t="s">
        <v>2091</v>
      </c>
      <c r="AE2425" s="18" t="str">
        <f t="shared" si="1263"/>
        <v>null</v>
      </c>
      <c r="AF2425" s="75" t="s">
        <v>0</v>
      </c>
      <c r="AG2425" s="38" t="s">
        <v>9298</v>
      </c>
    </row>
    <row r="2426" spans="1:33" ht="6" customHeight="1" x14ac:dyDescent="0.4">
      <c r="A2426" s="4">
        <f>ROW()</f>
        <v>2426</v>
      </c>
      <c r="B2426" s="9" t="s">
        <v>27</v>
      </c>
      <c r="C2426" s="44" t="str">
        <f t="shared" si="1275"/>
        <v>p.separar</v>
      </c>
      <c r="D2426" s="6" t="str">
        <f t="shared" si="1262"/>
        <v>é.divisória.naval</v>
      </c>
      <c r="E2426" s="8" t="s">
        <v>28</v>
      </c>
      <c r="F2426" s="34" t="str">
        <f t="shared" si="1276"/>
        <v>d.separar</v>
      </c>
      <c r="G2426" s="13" t="s">
        <v>2547</v>
      </c>
      <c r="H2426" s="33" t="s">
        <v>1581</v>
      </c>
      <c r="I2426" s="92" t="str">
        <f t="shared" si="1272"/>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si="1273"/>
        <v>Propriedade destinada a separar: é.divisória.naval</v>
      </c>
      <c r="V2426" s="5" t="str">
        <f t="shared" si="1274"/>
        <v>Dado para separar:  divisória.naval  Deve ser formatado como (rdfs:Literal  or  xsd:string)</v>
      </c>
      <c r="W2426" s="69" t="s">
        <v>6282</v>
      </c>
      <c r="X2426" s="17" t="str">
        <f t="shared" si="1255"/>
        <v>d.separ.103</v>
      </c>
      <c r="Y2426" s="17" t="str">
        <f t="shared" si="1256"/>
        <v>Ação de separar</v>
      </c>
      <c r="Z2426" s="62" t="s">
        <v>3070</v>
      </c>
      <c r="AA2426" s="18" t="str">
        <f t="shared" si="1270"/>
        <v>categoria.revit</v>
      </c>
      <c r="AB2426" s="19" t="s">
        <v>2139</v>
      </c>
      <c r="AC2426" s="18" t="str">
        <f t="shared" si="1271"/>
        <v>classe.ifc</v>
      </c>
      <c r="AD2426" s="19" t="s">
        <v>2091</v>
      </c>
      <c r="AE2426" s="18" t="str">
        <f t="shared" si="1263"/>
        <v>null</v>
      </c>
      <c r="AF2426" s="75" t="s">
        <v>0</v>
      </c>
      <c r="AG2426" s="38" t="s">
        <v>9299</v>
      </c>
    </row>
    <row r="2427" spans="1:33" ht="6" customHeight="1" x14ac:dyDescent="0.4">
      <c r="A2427" s="4">
        <f>ROW()</f>
        <v>2427</v>
      </c>
      <c r="B2427" s="9" t="s">
        <v>27</v>
      </c>
      <c r="C2427" s="44" t="str">
        <f t="shared" si="1275"/>
        <v>p.separar</v>
      </c>
      <c r="D2427" s="6" t="str">
        <f t="shared" si="1262"/>
        <v>é.grade</v>
      </c>
      <c r="E2427" s="8" t="s">
        <v>28</v>
      </c>
      <c r="F2427" s="34" t="str">
        <f t="shared" si="1276"/>
        <v>d.separar</v>
      </c>
      <c r="G2427" s="13" t="s">
        <v>2548</v>
      </c>
      <c r="H2427" s="34" t="s">
        <v>1581</v>
      </c>
      <c r="I2427" s="92" t="str">
        <f t="shared" si="1272"/>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73"/>
        <v>Propriedade destinada a separar: é.grade</v>
      </c>
      <c r="V2427" s="5" t="str">
        <f t="shared" si="1274"/>
        <v>Dado para separar:  grade  Deve ser formatado como (rdfs:Literal  or  xsd:string)</v>
      </c>
      <c r="W2427" s="69" t="s">
        <v>6283</v>
      </c>
      <c r="X2427" s="17" t="str">
        <f t="shared" si="1255"/>
        <v>d.separ.104</v>
      </c>
      <c r="Y2427" s="17" t="str">
        <f t="shared" si="1256"/>
        <v>Ação de separar</v>
      </c>
      <c r="Z2427" s="62" t="s">
        <v>2369</v>
      </c>
      <c r="AA2427" s="18" t="str">
        <f t="shared" si="1270"/>
        <v>categoria.revit</v>
      </c>
      <c r="AB2427" s="19" t="s">
        <v>2139</v>
      </c>
      <c r="AC2427" s="18" t="str">
        <f t="shared" si="1271"/>
        <v>classe.ifc</v>
      </c>
      <c r="AD2427" s="19" t="s">
        <v>2091</v>
      </c>
      <c r="AE2427" s="18" t="str">
        <f t="shared" si="1263"/>
        <v>null</v>
      </c>
      <c r="AF2427" s="75" t="s">
        <v>0</v>
      </c>
      <c r="AG2427" s="38" t="s">
        <v>9300</v>
      </c>
    </row>
    <row r="2428" spans="1:33" ht="6" customHeight="1" x14ac:dyDescent="0.4">
      <c r="A2428" s="4">
        <f>ROW()</f>
        <v>2428</v>
      </c>
      <c r="B2428" s="9" t="s">
        <v>27</v>
      </c>
      <c r="C2428" s="44" t="str">
        <f t="shared" si="1275"/>
        <v>p.separar</v>
      </c>
      <c r="D2428" s="6" t="str">
        <f t="shared" si="1262"/>
        <v>é.grade.aramada</v>
      </c>
      <c r="E2428" s="8" t="s">
        <v>28</v>
      </c>
      <c r="F2428" s="34" t="str">
        <f t="shared" si="1276"/>
        <v>d.separar</v>
      </c>
      <c r="G2428" s="13" t="s">
        <v>2549</v>
      </c>
      <c r="H2428" s="33" t="s">
        <v>1581</v>
      </c>
      <c r="I2428" s="92" t="str">
        <f t="shared" si="1272"/>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73"/>
        <v>Propriedade destinada a separar: é.grade.aramada</v>
      </c>
      <c r="V2428" s="5" t="str">
        <f t="shared" si="1274"/>
        <v>Dado para separar:  grade.aramada  Deve ser formatado como (rdfs:Literal  or  xsd:string)</v>
      </c>
      <c r="W2428" s="69" t="s">
        <v>6284</v>
      </c>
      <c r="X2428" s="17" t="str">
        <f t="shared" si="1255"/>
        <v>d.separ.105</v>
      </c>
      <c r="Y2428" s="17" t="str">
        <f t="shared" si="1256"/>
        <v>Ação de separar</v>
      </c>
      <c r="Z2428" s="62" t="s">
        <v>3069</v>
      </c>
      <c r="AA2428" s="18" t="str">
        <f t="shared" si="1270"/>
        <v>categoria.revit</v>
      </c>
      <c r="AB2428" s="19" t="s">
        <v>2139</v>
      </c>
      <c r="AC2428" s="18" t="str">
        <f t="shared" si="1271"/>
        <v>classe.ifc</v>
      </c>
      <c r="AD2428" s="19" t="s">
        <v>2091</v>
      </c>
      <c r="AE2428" s="18" t="str">
        <f t="shared" si="1263"/>
        <v>null</v>
      </c>
      <c r="AF2428" s="75" t="s">
        <v>0</v>
      </c>
      <c r="AG2428" s="38" t="s">
        <v>9301</v>
      </c>
    </row>
    <row r="2429" spans="1:33" ht="6" customHeight="1" x14ac:dyDescent="0.4">
      <c r="A2429" s="4">
        <f>ROW()</f>
        <v>2429</v>
      </c>
      <c r="B2429" s="9" t="s">
        <v>27</v>
      </c>
      <c r="C2429" s="44" t="str">
        <f t="shared" si="1275"/>
        <v>p.separar</v>
      </c>
      <c r="D2429" s="6" t="str">
        <f t="shared" si="1262"/>
        <v>é.grade.de.barras</v>
      </c>
      <c r="E2429" s="8" t="s">
        <v>28</v>
      </c>
      <c r="F2429" s="34" t="str">
        <f t="shared" si="1276"/>
        <v>d.separar</v>
      </c>
      <c r="G2429" s="13" t="s">
        <v>2550</v>
      </c>
      <c r="H2429" s="33" t="s">
        <v>1581</v>
      </c>
      <c r="I2429" s="92" t="str">
        <f t="shared" si="1272"/>
        <v>null</v>
      </c>
      <c r="J2429" s="80" t="s">
        <v>0</v>
      </c>
      <c r="K2429" s="80" t="s">
        <v>0</v>
      </c>
      <c r="L2429" s="80" t="s">
        <v>0</v>
      </c>
      <c r="M2429" s="80" t="s">
        <v>0</v>
      </c>
      <c r="N2429" s="80" t="s">
        <v>0</v>
      </c>
      <c r="O2429" s="80" t="s">
        <v>0</v>
      </c>
      <c r="P2429" s="80" t="s">
        <v>0</v>
      </c>
      <c r="Q2429" s="80" t="s">
        <v>0</v>
      </c>
      <c r="R2429" s="84" t="s">
        <v>0</v>
      </c>
      <c r="S2429" s="10" t="s">
        <v>1</v>
      </c>
      <c r="T2429" s="10" t="s">
        <v>10221</v>
      </c>
      <c r="U2429" s="5" t="str">
        <f t="shared" si="1273"/>
        <v>Propriedade destinada a separar: é.grade.de.barras</v>
      </c>
      <c r="V2429" s="5" t="str">
        <f t="shared" si="1274"/>
        <v>Dado para separar:  grade.de.barras  Deve ser formatado como (rdfs:Literal  or  xsd:string)</v>
      </c>
      <c r="W2429" s="69" t="s">
        <v>6285</v>
      </c>
      <c r="X2429" s="17" t="str">
        <f t="shared" si="1255"/>
        <v>d.separ.106</v>
      </c>
      <c r="Y2429" s="17" t="str">
        <f t="shared" si="1256"/>
        <v>Ação de separar</v>
      </c>
      <c r="Z2429" s="62" t="s">
        <v>3068</v>
      </c>
      <c r="AA2429" s="18" t="str">
        <f t="shared" si="1270"/>
        <v>categoria.revit</v>
      </c>
      <c r="AB2429" s="19" t="s">
        <v>2139</v>
      </c>
      <c r="AC2429" s="18" t="str">
        <f t="shared" si="1271"/>
        <v>classe.ifc</v>
      </c>
      <c r="AD2429" s="19" t="s">
        <v>2091</v>
      </c>
      <c r="AE2429" s="18" t="str">
        <f t="shared" si="1263"/>
        <v>null</v>
      </c>
      <c r="AF2429" s="75" t="s">
        <v>0</v>
      </c>
      <c r="AG2429" s="38" t="s">
        <v>9302</v>
      </c>
    </row>
    <row r="2430" spans="1:33" ht="6" customHeight="1" x14ac:dyDescent="0.4">
      <c r="A2430" s="4">
        <f>ROW()</f>
        <v>2430</v>
      </c>
      <c r="B2430" s="9" t="s">
        <v>27</v>
      </c>
      <c r="C2430" s="44" t="str">
        <f t="shared" si="1275"/>
        <v>p.separar</v>
      </c>
      <c r="D2430" s="6" t="str">
        <f t="shared" si="1262"/>
        <v>é.grade.decorativa</v>
      </c>
      <c r="E2430" s="8" t="s">
        <v>28</v>
      </c>
      <c r="F2430" s="34" t="str">
        <f t="shared" si="1276"/>
        <v>d.separar</v>
      </c>
      <c r="G2430" s="13" t="s">
        <v>2551</v>
      </c>
      <c r="H2430" s="33" t="s">
        <v>1581</v>
      </c>
      <c r="I2430" s="92" t="str">
        <f t="shared" si="1272"/>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73"/>
        <v>Propriedade destinada a separar: é.grade.decorativa</v>
      </c>
      <c r="V2430" s="5" t="str">
        <f t="shared" si="1274"/>
        <v>Dado para separar:  grade.decorativa  Deve ser formatado como (rdfs:Literal  or  xsd:string)</v>
      </c>
      <c r="W2430" s="69" t="s">
        <v>6286</v>
      </c>
      <c r="X2430" s="17" t="str">
        <f t="shared" si="1255"/>
        <v>d.separ.107</v>
      </c>
      <c r="Y2430" s="17" t="str">
        <f t="shared" si="1256"/>
        <v>Ação de separar</v>
      </c>
      <c r="Z2430" s="62" t="s">
        <v>3067</v>
      </c>
      <c r="AA2430" s="18" t="str">
        <f t="shared" si="1270"/>
        <v>categoria.revit</v>
      </c>
      <c r="AB2430" s="19" t="s">
        <v>2139</v>
      </c>
      <c r="AC2430" s="18" t="str">
        <f t="shared" si="1271"/>
        <v>classe.ifc</v>
      </c>
      <c r="AD2430" s="19" t="s">
        <v>2091</v>
      </c>
      <c r="AE2430" s="18" t="str">
        <f t="shared" si="1263"/>
        <v>null</v>
      </c>
      <c r="AF2430" s="75" t="s">
        <v>0</v>
      </c>
      <c r="AG2430" s="38" t="s">
        <v>9303</v>
      </c>
    </row>
    <row r="2431" spans="1:33" ht="6" customHeight="1" x14ac:dyDescent="0.4">
      <c r="A2431" s="4">
        <f>ROW()</f>
        <v>2431</v>
      </c>
      <c r="B2431" s="9" t="s">
        <v>27</v>
      </c>
      <c r="C2431" s="44" t="str">
        <f t="shared" si="1275"/>
        <v>p.separar</v>
      </c>
      <c r="D2431" s="6" t="str">
        <f t="shared" si="1262"/>
        <v>é.grade.prisional</v>
      </c>
      <c r="E2431" s="8" t="s">
        <v>28</v>
      </c>
      <c r="F2431" s="34" t="str">
        <f t="shared" si="1276"/>
        <v>d.separar</v>
      </c>
      <c r="G2431" s="13" t="s">
        <v>2552</v>
      </c>
      <c r="H2431" s="33" t="s">
        <v>1581</v>
      </c>
      <c r="I2431" s="92" t="str">
        <f t="shared" si="1272"/>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73"/>
        <v>Propriedade destinada a separar: é.grade.prisional</v>
      </c>
      <c r="V2431" s="5" t="str">
        <f t="shared" si="1274"/>
        <v>Dado para separar:  grade.prisional  Deve ser formatado como (rdfs:Literal  or  xsd:string)</v>
      </c>
      <c r="W2431" s="69" t="s">
        <v>6287</v>
      </c>
      <c r="X2431" s="17" t="str">
        <f t="shared" si="1255"/>
        <v>d.separ.108</v>
      </c>
      <c r="Y2431" s="17" t="str">
        <f t="shared" si="1256"/>
        <v>Ação de separar</v>
      </c>
      <c r="Z2431" s="62" t="s">
        <v>3066</v>
      </c>
      <c r="AA2431" s="18" t="str">
        <f t="shared" si="1270"/>
        <v>categoria.revit</v>
      </c>
      <c r="AB2431" s="19" t="s">
        <v>2139</v>
      </c>
      <c r="AC2431" s="18" t="str">
        <f t="shared" si="1271"/>
        <v>classe.ifc</v>
      </c>
      <c r="AD2431" s="19" t="s">
        <v>2091</v>
      </c>
      <c r="AE2431" s="18" t="str">
        <f t="shared" si="1263"/>
        <v>null</v>
      </c>
      <c r="AF2431" s="75" t="s">
        <v>0</v>
      </c>
      <c r="AG2431" s="38" t="s">
        <v>9304</v>
      </c>
    </row>
    <row r="2432" spans="1:33" ht="6" customHeight="1" x14ac:dyDescent="0.4">
      <c r="A2432" s="4">
        <f>ROW()</f>
        <v>2432</v>
      </c>
      <c r="B2432" s="9" t="s">
        <v>27</v>
      </c>
      <c r="C2432" s="44" t="str">
        <f t="shared" si="1275"/>
        <v>p.separar</v>
      </c>
      <c r="D2432" s="6" t="str">
        <f t="shared" si="1262"/>
        <v>é.parede</v>
      </c>
      <c r="E2432" s="8" t="s">
        <v>28</v>
      </c>
      <c r="F2432" s="34" t="str">
        <f t="shared" si="1276"/>
        <v>d.separar</v>
      </c>
      <c r="G2432" s="13" t="s">
        <v>2553</v>
      </c>
      <c r="H2432" s="34" t="s">
        <v>1581</v>
      </c>
      <c r="I2432" s="92" t="str">
        <f t="shared" si="1272"/>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73"/>
        <v>Propriedade destinada a separar: é.parede</v>
      </c>
      <c r="V2432" s="5" t="str">
        <f t="shared" si="1274"/>
        <v>Dado para separar:  parede  Deve ser formatado como (rdfs:Literal  or  xsd:string)</v>
      </c>
      <c r="W2432" s="69" t="s">
        <v>6288</v>
      </c>
      <c r="X2432" s="17" t="str">
        <f t="shared" si="1255"/>
        <v>d.separ.109</v>
      </c>
      <c r="Y2432" s="17" t="str">
        <f t="shared" si="1256"/>
        <v>Ação de separar</v>
      </c>
      <c r="Z2432" s="62" t="s">
        <v>2368</v>
      </c>
      <c r="AA2432" s="18" t="str">
        <f t="shared" si="1270"/>
        <v>categoria.revit</v>
      </c>
      <c r="AB2432" s="19" t="s">
        <v>2139</v>
      </c>
      <c r="AC2432" s="18" t="str">
        <f t="shared" si="1271"/>
        <v>classe.ifc</v>
      </c>
      <c r="AD2432" s="19" t="s">
        <v>2091</v>
      </c>
      <c r="AE2432" s="18" t="str">
        <f t="shared" si="1263"/>
        <v>null</v>
      </c>
      <c r="AF2432" s="75" t="s">
        <v>0</v>
      </c>
      <c r="AG2432" s="38" t="s">
        <v>9305</v>
      </c>
    </row>
    <row r="2433" spans="1:33" ht="6" customHeight="1" x14ac:dyDescent="0.4">
      <c r="A2433" s="4">
        <f>ROW()</f>
        <v>2433</v>
      </c>
      <c r="B2433" s="9" t="s">
        <v>27</v>
      </c>
      <c r="C2433" s="44" t="str">
        <f t="shared" si="1275"/>
        <v>p.separar</v>
      </c>
      <c r="D2433" s="6" t="str">
        <f t="shared" si="1262"/>
        <v>é.parede.hidráulica</v>
      </c>
      <c r="E2433" s="8" t="s">
        <v>28</v>
      </c>
      <c r="F2433" s="34" t="str">
        <f t="shared" si="1276"/>
        <v>d.separar</v>
      </c>
      <c r="G2433" s="13" t="s">
        <v>2554</v>
      </c>
      <c r="H2433" s="33" t="s">
        <v>1581</v>
      </c>
      <c r="I2433" s="92" t="str">
        <f t="shared" si="1272"/>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73"/>
        <v>Propriedade destinada a separar: é.parede.hidráulica</v>
      </c>
      <c r="V2433" s="5" t="str">
        <f t="shared" si="1274"/>
        <v>Dado para separar:  parede.hidráulica  Deve ser formatado como (rdfs:Literal  or  xsd:string)</v>
      </c>
      <c r="W2433" s="69" t="s">
        <v>6289</v>
      </c>
      <c r="X2433" s="17" t="str">
        <f t="shared" si="1255"/>
        <v>d.separ.110</v>
      </c>
      <c r="Y2433" s="17" t="str">
        <f t="shared" si="1256"/>
        <v>Ação de separar</v>
      </c>
      <c r="Z2433" s="62" t="s">
        <v>3062</v>
      </c>
      <c r="AA2433" s="18" t="str">
        <f>IF(AB2433="null", "null", "categoria.revit")</f>
        <v>categoria.revit</v>
      </c>
      <c r="AB2433" s="19" t="s">
        <v>2139</v>
      </c>
      <c r="AC2433" s="18" t="str">
        <f>IF(AD2433="null", "null", "classe.ifc")</f>
        <v>classe.ifc</v>
      </c>
      <c r="AD2433" s="19" t="s">
        <v>2091</v>
      </c>
      <c r="AE2433" s="18" t="str">
        <f t="shared" si="1263"/>
        <v>null</v>
      </c>
      <c r="AF2433" s="75" t="s">
        <v>0</v>
      </c>
      <c r="AG2433" s="38" t="s">
        <v>9306</v>
      </c>
    </row>
    <row r="2434" spans="1:33" ht="6" customHeight="1" x14ac:dyDescent="0.4">
      <c r="A2434" s="4">
        <f>ROW()</f>
        <v>2434</v>
      </c>
      <c r="B2434" s="9" t="s">
        <v>27</v>
      </c>
      <c r="C2434" s="44" t="str">
        <f t="shared" si="1275"/>
        <v>p.separar</v>
      </c>
      <c r="D2434" s="6" t="str">
        <f t="shared" si="1262"/>
        <v>é.tijolo.comum</v>
      </c>
      <c r="E2434" s="8" t="s">
        <v>28</v>
      </c>
      <c r="F2434" s="34" t="str">
        <f t="shared" si="1276"/>
        <v>d.separar</v>
      </c>
      <c r="G2434" s="13" t="s">
        <v>2555</v>
      </c>
      <c r="H2434" s="33" t="s">
        <v>1581</v>
      </c>
      <c r="I2434" s="92" t="str">
        <f t="shared" si="1272"/>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73"/>
        <v>Propriedade destinada a separar: é.tijolo.comum</v>
      </c>
      <c r="V2434" s="5" t="str">
        <f t="shared" si="1274"/>
        <v>Dado para separar:  tijolo.comum  Deve ser formatado como (rdfs:Literal  or  xsd:string)</v>
      </c>
      <c r="W2434" s="69" t="s">
        <v>6290</v>
      </c>
      <c r="X2434" s="17" t="str">
        <f t="shared" si="1255"/>
        <v>d.separ.111</v>
      </c>
      <c r="Y2434" s="17" t="str">
        <f t="shared" si="1256"/>
        <v>Ação de separar</v>
      </c>
      <c r="Z2434" s="62" t="s">
        <v>3065</v>
      </c>
      <c r="AA2434" s="18" t="str">
        <f>IF(AB2434="null", "null", "categoria.revit")</f>
        <v>categoria.revit</v>
      </c>
      <c r="AB2434" s="19" t="s">
        <v>2140</v>
      </c>
      <c r="AC2434" s="18" t="str">
        <f>IF(AD2434="null", "null", "classe.ifc")</f>
        <v>classe.ifc</v>
      </c>
      <c r="AD2434" s="19" t="s">
        <v>2092</v>
      </c>
      <c r="AE2434" s="18" t="str">
        <f t="shared" si="1263"/>
        <v>null</v>
      </c>
      <c r="AF2434" s="75" t="s">
        <v>0</v>
      </c>
      <c r="AG2434" s="38" t="s">
        <v>9307</v>
      </c>
    </row>
    <row r="2435" spans="1:33" ht="6" customHeight="1" x14ac:dyDescent="0.4">
      <c r="A2435" s="4">
        <f>ROW()</f>
        <v>2435</v>
      </c>
      <c r="B2435" s="9" t="s">
        <v>27</v>
      </c>
      <c r="C2435" s="44" t="str">
        <f t="shared" si="1275"/>
        <v>p.separar</v>
      </c>
      <c r="D2435" s="6" t="str">
        <f t="shared" si="1262"/>
        <v>é.tijolo.de.vidro</v>
      </c>
      <c r="E2435" s="8" t="s">
        <v>28</v>
      </c>
      <c r="F2435" s="34" t="str">
        <f t="shared" si="1276"/>
        <v>d.separar</v>
      </c>
      <c r="G2435" s="13" t="s">
        <v>2556</v>
      </c>
      <c r="H2435" s="33" t="s">
        <v>1581</v>
      </c>
      <c r="I2435" s="92" t="str">
        <f t="shared" si="1272"/>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73"/>
        <v>Propriedade destinada a separar: é.tijolo.de.vidro</v>
      </c>
      <c r="V2435" s="5" t="str">
        <f t="shared" si="1274"/>
        <v>Dado para separar:  tijolo.de.vidro  Deve ser formatado como (rdfs:Literal  or  xsd:string)</v>
      </c>
      <c r="W2435" s="69" t="s">
        <v>6291</v>
      </c>
      <c r="X2435" s="17" t="str">
        <f t="shared" ref="X2435:X2498" si="1277">IF(F2434&lt;&gt;F2435,_xlfn.CONCAT(RIGHT(LEFT(F2435,7),7),".100"),_xlfn.CONCAT(RIGHT(LEFT(F2435,7),7),".",SUM(VALUE(RIGHT(X2434,3)),1)))</f>
        <v>d.separ.112</v>
      </c>
      <c r="Y2435" s="17" t="str">
        <f t="shared" ref="Y2435:Y2498" si="1278">_xlfn.CONCAT("Ação de ", SUBSTITUTE(F2435, "d.",  ""))</f>
        <v>Ação de separar</v>
      </c>
      <c r="Z2435" s="62" t="s">
        <v>3063</v>
      </c>
      <c r="AA2435" s="18" t="str">
        <f>IF(AB2435="null", "null", "categoria.revit")</f>
        <v>categoria.revit</v>
      </c>
      <c r="AB2435" s="19" t="s">
        <v>2140</v>
      </c>
      <c r="AC2435" s="18" t="str">
        <f>IF(AD2435="null", "null", "classe.ifc")</f>
        <v>classe.ifc</v>
      </c>
      <c r="AD2435" s="19" t="s">
        <v>2092</v>
      </c>
      <c r="AE2435" s="18" t="str">
        <f t="shared" si="1263"/>
        <v>null</v>
      </c>
      <c r="AF2435" s="75" t="s">
        <v>0</v>
      </c>
      <c r="AG2435" s="38" t="s">
        <v>9308</v>
      </c>
    </row>
    <row r="2436" spans="1:33" ht="6" customHeight="1" x14ac:dyDescent="0.4">
      <c r="A2436" s="4">
        <f>ROW()</f>
        <v>2436</v>
      </c>
      <c r="B2436" s="9" t="s">
        <v>27</v>
      </c>
      <c r="C2436" s="44" t="str">
        <f t="shared" si="1275"/>
        <v>p.separar</v>
      </c>
      <c r="D2436" s="6" t="str">
        <f t="shared" si="1262"/>
        <v>é.tijolo.furado</v>
      </c>
      <c r="E2436" s="8" t="s">
        <v>28</v>
      </c>
      <c r="F2436" s="34" t="str">
        <f t="shared" si="1276"/>
        <v>d.separar</v>
      </c>
      <c r="G2436" s="13" t="s">
        <v>2557</v>
      </c>
      <c r="H2436" s="33" t="s">
        <v>1581</v>
      </c>
      <c r="I2436" s="92" t="str">
        <f t="shared" si="1272"/>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73"/>
        <v>Propriedade destinada a separar: é.tijolo.furado</v>
      </c>
      <c r="V2436" s="5" t="str">
        <f t="shared" si="1274"/>
        <v>Dado para separar:  tijolo.furado  Deve ser formatado como (rdfs:Literal  or  xsd:string)</v>
      </c>
      <c r="W2436" s="69" t="s">
        <v>6292</v>
      </c>
      <c r="X2436" s="17" t="str">
        <f t="shared" si="1277"/>
        <v>d.separ.113</v>
      </c>
      <c r="Y2436" s="17" t="str">
        <f t="shared" si="1278"/>
        <v>Ação de separar</v>
      </c>
      <c r="Z2436" s="62" t="s">
        <v>3064</v>
      </c>
      <c r="AA2436" s="18" t="str">
        <f>IF(AB2436="null", "null", "categoria.revit")</f>
        <v>categoria.revit</v>
      </c>
      <c r="AB2436" s="19" t="s">
        <v>2140</v>
      </c>
      <c r="AC2436" s="18" t="str">
        <f>IF(AD2436="null", "null", "classe.ifc")</f>
        <v>classe.ifc</v>
      </c>
      <c r="AD2436" s="19" t="s">
        <v>2092</v>
      </c>
      <c r="AE2436" s="18" t="str">
        <f t="shared" si="1263"/>
        <v>null</v>
      </c>
      <c r="AF2436" s="75" t="s">
        <v>0</v>
      </c>
      <c r="AG2436" s="38" t="s">
        <v>9309</v>
      </c>
    </row>
    <row r="2437" spans="1:33" ht="6" customHeight="1" x14ac:dyDescent="0.4">
      <c r="A2437" s="4">
        <f>ROW()</f>
        <v>2437</v>
      </c>
      <c r="B2437" s="9" t="s">
        <v>27</v>
      </c>
      <c r="C2437" s="43" t="str">
        <f t="shared" si="1275"/>
        <v>p.sepultar</v>
      </c>
      <c r="D2437" s="6" t="str">
        <f t="shared" si="1262"/>
        <v>é.cova</v>
      </c>
      <c r="E2437" s="8" t="s">
        <v>28</v>
      </c>
      <c r="F2437" s="41" t="s">
        <v>2823</v>
      </c>
      <c r="G2437" s="13" t="s">
        <v>2830</v>
      </c>
      <c r="H2437" s="33" t="s">
        <v>1581</v>
      </c>
      <c r="I2437" s="92" t="str">
        <f t="shared" si="1272"/>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73"/>
        <v>Propriedade destinada a sepultar: é.cova</v>
      </c>
      <c r="V2437" s="5" t="str">
        <f t="shared" si="1274"/>
        <v>Dado para sepultar:  cova  Deve ser formatado como (rdfs:Literal  or  xsd:string)</v>
      </c>
      <c r="W2437" s="69" t="s">
        <v>6293</v>
      </c>
      <c r="X2437" s="17" t="str">
        <f t="shared" si="1277"/>
        <v>d.sepul.100</v>
      </c>
      <c r="Y2437" s="17" t="str">
        <f t="shared" si="1278"/>
        <v>Ação de sepultar</v>
      </c>
      <c r="Z2437" s="62" t="s">
        <v>2831</v>
      </c>
      <c r="AA2437" s="18" t="str">
        <f t="shared" ref="AA2437:AA2443" si="1279">IF(AB2437="null", "null", "categoria.revit")</f>
        <v>null</v>
      </c>
      <c r="AB2437" s="19" t="s">
        <v>0</v>
      </c>
      <c r="AC2437" s="18" t="str">
        <f t="shared" ref="AC2437:AC2443" si="1280">IF(AD2437="null", "null", "classe.ifc")</f>
        <v>null</v>
      </c>
      <c r="AD2437" s="19" t="s">
        <v>0</v>
      </c>
      <c r="AE2437" s="18" t="str">
        <f t="shared" si="1263"/>
        <v>null</v>
      </c>
      <c r="AF2437" s="75" t="s">
        <v>0</v>
      </c>
      <c r="AG2437" s="38" t="s">
        <v>9310</v>
      </c>
    </row>
    <row r="2438" spans="1:33" ht="6" customHeight="1" x14ac:dyDescent="0.4">
      <c r="A2438" s="4">
        <f>ROW()</f>
        <v>2438</v>
      </c>
      <c r="B2438" s="9" t="s">
        <v>27</v>
      </c>
      <c r="C2438" s="44" t="str">
        <f t="shared" si="1275"/>
        <v>p.sepultar</v>
      </c>
      <c r="D2438" s="6" t="str">
        <f t="shared" si="1262"/>
        <v>é.jazigo</v>
      </c>
      <c r="E2438" s="8" t="s">
        <v>28</v>
      </c>
      <c r="F2438" s="34" t="str">
        <f>F2437</f>
        <v>d.sepultar</v>
      </c>
      <c r="G2438" s="13" t="s">
        <v>2824</v>
      </c>
      <c r="H2438" s="33" t="s">
        <v>1581</v>
      </c>
      <c r="I2438" s="92" t="str">
        <f t="shared" si="1272"/>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73"/>
        <v>Propriedade destinada a sepultar: é.jazigo</v>
      </c>
      <c r="V2438" s="5" t="str">
        <f t="shared" si="1274"/>
        <v>Dado para sepultar:  jazigo  Deve ser formatado como (rdfs:Literal  or  xsd:string)</v>
      </c>
      <c r="W2438" s="69" t="s">
        <v>6294</v>
      </c>
      <c r="X2438" s="17" t="str">
        <f t="shared" si="1277"/>
        <v>d.sepul.101</v>
      </c>
      <c r="Y2438" s="17" t="str">
        <f t="shared" si="1278"/>
        <v>Ação de sepultar</v>
      </c>
      <c r="Z2438" s="62" t="s">
        <v>2832</v>
      </c>
      <c r="AA2438" s="18" t="str">
        <f t="shared" ref="AA2438" si="1281">IF(AB2438="null", "null", "categoria.revit")</f>
        <v>null</v>
      </c>
      <c r="AB2438" s="19" t="s">
        <v>0</v>
      </c>
      <c r="AC2438" s="18" t="str">
        <f t="shared" ref="AC2438" si="1282">IF(AD2438="null", "null", "classe.ifc")</f>
        <v>null</v>
      </c>
      <c r="AD2438" s="19" t="s">
        <v>0</v>
      </c>
      <c r="AE2438" s="18" t="str">
        <f t="shared" si="1263"/>
        <v>null</v>
      </c>
      <c r="AF2438" s="75" t="s">
        <v>0</v>
      </c>
      <c r="AG2438" s="38" t="s">
        <v>9311</v>
      </c>
    </row>
    <row r="2439" spans="1:33" ht="6" customHeight="1" x14ac:dyDescent="0.4">
      <c r="A2439" s="4">
        <f>ROW()</f>
        <v>2439</v>
      </c>
      <c r="B2439" s="9" t="s">
        <v>27</v>
      </c>
      <c r="C2439" s="44" t="str">
        <f t="shared" si="1275"/>
        <v>p.sepultar</v>
      </c>
      <c r="D2439" s="6" t="str">
        <f t="shared" si="1262"/>
        <v>é.lápide</v>
      </c>
      <c r="E2439" s="8" t="s">
        <v>28</v>
      </c>
      <c r="F2439" s="34" t="str">
        <f t="shared" ref="F2439:F2441" si="1283">F2438</f>
        <v>d.sepultar</v>
      </c>
      <c r="G2439" s="13" t="s">
        <v>2828</v>
      </c>
      <c r="H2439" s="34" t="s">
        <v>1581</v>
      </c>
      <c r="I2439" s="92" t="str">
        <f t="shared" si="1272"/>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73"/>
        <v>Propriedade destinada a sepultar: é.lápide</v>
      </c>
      <c r="V2439" s="5" t="str">
        <f t="shared" si="1274"/>
        <v>Dado para sepultar:  lápide  Deve ser formatado como (rdfs:Literal  or  xsd:string)</v>
      </c>
      <c r="W2439" s="69" t="s">
        <v>6295</v>
      </c>
      <c r="X2439" s="17" t="str">
        <f t="shared" si="1277"/>
        <v>d.sepul.102</v>
      </c>
      <c r="Y2439" s="17" t="str">
        <f t="shared" si="1278"/>
        <v>Ação de sepultar</v>
      </c>
      <c r="Z2439" s="62" t="s">
        <v>2833</v>
      </c>
      <c r="AA2439" s="18" t="str">
        <f t="shared" ref="AA2439" si="1284">IF(AB2439="null", "null", "categoria.revit")</f>
        <v>null</v>
      </c>
      <c r="AB2439" s="19" t="s">
        <v>0</v>
      </c>
      <c r="AC2439" s="18" t="str">
        <f t="shared" ref="AC2439" si="1285">IF(AD2439="null", "null", "classe.ifc")</f>
        <v>null</v>
      </c>
      <c r="AD2439" s="19" t="s">
        <v>0</v>
      </c>
      <c r="AE2439" s="18" t="str">
        <f t="shared" si="1263"/>
        <v>null</v>
      </c>
      <c r="AF2439" s="75" t="s">
        <v>0</v>
      </c>
      <c r="AG2439" s="38" t="s">
        <v>9312</v>
      </c>
    </row>
    <row r="2440" spans="1:33" ht="6" customHeight="1" x14ac:dyDescent="0.4">
      <c r="A2440" s="4">
        <f>ROW()</f>
        <v>2440</v>
      </c>
      <c r="B2440" s="9" t="s">
        <v>27</v>
      </c>
      <c r="C2440" s="44" t="str">
        <f>SUBSTITUTE(F2440,"d.","p.")</f>
        <v>p.sepultar</v>
      </c>
      <c r="D2440" s="6" t="str">
        <f t="shared" si="1262"/>
        <v>é.urna.de.corpo</v>
      </c>
      <c r="E2440" s="8" t="s">
        <v>28</v>
      </c>
      <c r="F2440" s="34" t="str">
        <f t="shared" si="1283"/>
        <v>d.sepultar</v>
      </c>
      <c r="G2440" s="13" t="s">
        <v>2825</v>
      </c>
      <c r="H2440" s="33" t="s">
        <v>1581</v>
      </c>
      <c r="I2440" s="92" t="str">
        <f t="shared" si="1272"/>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73"/>
        <v>Propriedade destinada a sepultar: é.urna.de.corpo</v>
      </c>
      <c r="V2440" s="5" t="str">
        <f t="shared" si="1274"/>
        <v>Dado para sepultar:  urna.de.corpo  Deve ser formatado como (rdfs:Literal  or  xsd:string)</v>
      </c>
      <c r="W2440" s="69" t="s">
        <v>6296</v>
      </c>
      <c r="X2440" s="17" t="str">
        <f t="shared" si="1277"/>
        <v>d.sepul.103</v>
      </c>
      <c r="Y2440" s="17" t="str">
        <f t="shared" si="1278"/>
        <v>Ação de sepultar</v>
      </c>
      <c r="Z2440" s="62" t="s">
        <v>2834</v>
      </c>
      <c r="AA2440" s="18" t="str">
        <f t="shared" si="1279"/>
        <v>null</v>
      </c>
      <c r="AB2440" s="19" t="s">
        <v>0</v>
      </c>
      <c r="AC2440" s="18" t="str">
        <f t="shared" si="1280"/>
        <v>null</v>
      </c>
      <c r="AD2440" s="19" t="s">
        <v>0</v>
      </c>
      <c r="AE2440" s="18" t="str">
        <f t="shared" si="1263"/>
        <v>null</v>
      </c>
      <c r="AF2440" s="75" t="s">
        <v>0</v>
      </c>
      <c r="AG2440" s="38" t="s">
        <v>9313</v>
      </c>
    </row>
    <row r="2441" spans="1:33" ht="6" customHeight="1" x14ac:dyDescent="0.4">
      <c r="A2441" s="4">
        <f>ROW()</f>
        <v>2441</v>
      </c>
      <c r="B2441" s="9" t="s">
        <v>27</v>
      </c>
      <c r="C2441" s="44" t="str">
        <f t="shared" ref="C2441:C2443" si="1286">SUBSTITUTE(F2441,"d.","p.")</f>
        <v>p.sepultar</v>
      </c>
      <c r="D2441" s="6" t="str">
        <f t="shared" si="1262"/>
        <v>é.urna.de.ossos</v>
      </c>
      <c r="E2441" s="8" t="s">
        <v>28</v>
      </c>
      <c r="F2441" s="34" t="str">
        <f t="shared" si="1283"/>
        <v>d.sepultar</v>
      </c>
      <c r="G2441" s="13" t="s">
        <v>2826</v>
      </c>
      <c r="H2441" s="33" t="s">
        <v>1581</v>
      </c>
      <c r="I2441" s="92" t="str">
        <f t="shared" si="1272"/>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73"/>
        <v>Propriedade destinada a sepultar: é.urna.de.ossos</v>
      </c>
      <c r="V2441" s="5" t="str">
        <f t="shared" si="1274"/>
        <v>Dado para sepultar:  urna.de.ossos  Deve ser formatado como (rdfs:Literal  or  xsd:string)</v>
      </c>
      <c r="W2441" s="69" t="s">
        <v>6297</v>
      </c>
      <c r="X2441" s="17" t="str">
        <f t="shared" si="1277"/>
        <v>d.sepul.104</v>
      </c>
      <c r="Y2441" s="17" t="str">
        <f t="shared" si="1278"/>
        <v>Ação de sepultar</v>
      </c>
      <c r="Z2441" s="62" t="s">
        <v>2835</v>
      </c>
      <c r="AA2441" s="18" t="str">
        <f t="shared" si="1279"/>
        <v>null</v>
      </c>
      <c r="AB2441" s="19" t="s">
        <v>0</v>
      </c>
      <c r="AC2441" s="18" t="str">
        <f t="shared" si="1280"/>
        <v>null</v>
      </c>
      <c r="AD2441" s="19" t="s">
        <v>0</v>
      </c>
      <c r="AE2441" s="18" t="str">
        <f t="shared" si="1263"/>
        <v>null</v>
      </c>
      <c r="AF2441" s="75" t="s">
        <v>0</v>
      </c>
      <c r="AG2441" s="38" t="s">
        <v>9314</v>
      </c>
    </row>
    <row r="2442" spans="1:33" ht="6" customHeight="1" x14ac:dyDescent="0.4">
      <c r="A2442" s="4">
        <f>ROW()</f>
        <v>2442</v>
      </c>
      <c r="B2442" s="9" t="s">
        <v>27</v>
      </c>
      <c r="C2442" s="44" t="str">
        <f t="shared" ref="C2442" si="1287">SUBSTITUTE(F2442,"d.","p.")</f>
        <v>p.sepultar</v>
      </c>
      <c r="D2442" s="6" t="str">
        <f t="shared" ref="D2442" si="1288">_xlfn.CONCAT("é.",G2442)</f>
        <v>é.urna.de.cinzas</v>
      </c>
      <c r="E2442" s="8" t="s">
        <v>28</v>
      </c>
      <c r="F2442" s="34" t="str">
        <f>F2440</f>
        <v>d.sepultar</v>
      </c>
      <c r="G2442" s="13" t="s">
        <v>2827</v>
      </c>
      <c r="H2442" s="33" t="s">
        <v>1581</v>
      </c>
      <c r="I2442" s="92" t="str">
        <f t="shared" si="1272"/>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ref="U2442" si="1289">_xlfn.CONCAT("Propriedade destinada a ",MID(C2442,FIND("p.",C2442,1)+2,100),": ",D2442)</f>
        <v>Propriedade destinada a sepultar: é.urna.de.cinzas</v>
      </c>
      <c r="V2442" s="5" t="str">
        <f t="shared" ref="V2442" si="1290">_xlfn.CONCAT("Dado para ",MID(F2442,FIND("d.",F2442,1)+2,100),":  ",G2442, "  Deve ser formatado como (",H2442, ")")</f>
        <v>Dado para sepultar:  urna.de.cinzas  Deve ser formatado como (rdfs:Literal  or  xsd:string)</v>
      </c>
      <c r="W2442" s="69" t="s">
        <v>6298</v>
      </c>
      <c r="X2442" s="17" t="str">
        <f t="shared" si="1277"/>
        <v>d.sepul.105</v>
      </c>
      <c r="Y2442" s="17" t="str">
        <f t="shared" si="1278"/>
        <v>Ação de sepultar</v>
      </c>
      <c r="Z2442" s="62" t="s">
        <v>2836</v>
      </c>
      <c r="AA2442" s="18" t="str">
        <f t="shared" ref="AA2442" si="1291">IF(AB2442="null", "null", "categoria.revit")</f>
        <v>null</v>
      </c>
      <c r="AB2442" s="19" t="s">
        <v>0</v>
      </c>
      <c r="AC2442" s="18" t="str">
        <f t="shared" ref="AC2442" si="1292">IF(AD2442="null", "null", "classe.ifc")</f>
        <v>null</v>
      </c>
      <c r="AD2442" s="19" t="s">
        <v>0</v>
      </c>
      <c r="AE2442" s="18" t="str">
        <f t="shared" ref="AE2442" si="1293">IF(AF2442="null", "null", "propriedade")</f>
        <v>null</v>
      </c>
      <c r="AF2442" s="75" t="s">
        <v>0</v>
      </c>
      <c r="AG2442" s="38" t="s">
        <v>9315</v>
      </c>
    </row>
    <row r="2443" spans="1:33" ht="6" customHeight="1" x14ac:dyDescent="0.4">
      <c r="A2443" s="4">
        <f>ROW()</f>
        <v>2443</v>
      </c>
      <c r="B2443" s="9" t="s">
        <v>27</v>
      </c>
      <c r="C2443" s="44" t="str">
        <f t="shared" si="1286"/>
        <v>p.sepultar</v>
      </c>
      <c r="D2443" s="6" t="str">
        <f t="shared" si="1262"/>
        <v>é.quem.faleceu</v>
      </c>
      <c r="E2443" s="8" t="s">
        <v>28</v>
      </c>
      <c r="F2443" s="34" t="str">
        <f>F2441</f>
        <v>d.sepultar</v>
      </c>
      <c r="G2443" s="13" t="s">
        <v>9843</v>
      </c>
      <c r="H2443" s="33" t="s">
        <v>1581</v>
      </c>
      <c r="I2443" s="92" t="str">
        <f t="shared" si="1272"/>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73"/>
        <v>Propriedade destinada a sepultar: é.quem.faleceu</v>
      </c>
      <c r="V2443" s="5" t="str">
        <f t="shared" si="1274"/>
        <v>Dado para sepultar:  quem.faleceu  Deve ser formatado como (rdfs:Literal  or  xsd:string)</v>
      </c>
      <c r="W2443" s="69" t="s">
        <v>9845</v>
      </c>
      <c r="X2443" s="17" t="str">
        <f t="shared" si="1277"/>
        <v>d.sepul.106</v>
      </c>
      <c r="Y2443" s="17" t="str">
        <f t="shared" si="1278"/>
        <v>Ação de sepultar</v>
      </c>
      <c r="Z2443" s="62" t="s">
        <v>9844</v>
      </c>
      <c r="AA2443" s="18" t="str">
        <f t="shared" si="1279"/>
        <v>null</v>
      </c>
      <c r="AB2443" s="19" t="s">
        <v>0</v>
      </c>
      <c r="AC2443" s="18" t="str">
        <f t="shared" si="1280"/>
        <v>null</v>
      </c>
      <c r="AD2443" s="19" t="s">
        <v>0</v>
      </c>
      <c r="AE2443" s="18" t="str">
        <f t="shared" si="1263"/>
        <v>null</v>
      </c>
      <c r="AF2443" s="75" t="s">
        <v>0</v>
      </c>
      <c r="AG2443" s="38" t="s">
        <v>9846</v>
      </c>
    </row>
    <row r="2444" spans="1:33" ht="6" customHeight="1" x14ac:dyDescent="0.4">
      <c r="A2444" s="4">
        <f>ROW()</f>
        <v>2444</v>
      </c>
      <c r="B2444" s="9" t="s">
        <v>27</v>
      </c>
      <c r="C2444" s="43" t="str">
        <f t="shared" si="1275"/>
        <v>p.servir</v>
      </c>
      <c r="D2444" s="6" t="str">
        <f t="shared" si="1262"/>
        <v>é.servidor.de</v>
      </c>
      <c r="E2444" s="8" t="s">
        <v>28</v>
      </c>
      <c r="F2444" s="41" t="s">
        <v>2235</v>
      </c>
      <c r="G2444" s="13" t="s">
        <v>2558</v>
      </c>
      <c r="H2444" s="34" t="s">
        <v>1581</v>
      </c>
      <c r="I2444" s="92" t="str">
        <f t="shared" si="1272"/>
        <v>null</v>
      </c>
      <c r="J2444" s="80" t="s">
        <v>0</v>
      </c>
      <c r="K2444" s="80" t="s">
        <v>0</v>
      </c>
      <c r="L2444" s="80" t="s">
        <v>0</v>
      </c>
      <c r="M2444" s="80" t="s">
        <v>0</v>
      </c>
      <c r="N2444" s="80" t="s">
        <v>0</v>
      </c>
      <c r="O2444" s="80" t="s">
        <v>0</v>
      </c>
      <c r="P2444" s="80" t="s">
        <v>0</v>
      </c>
      <c r="Q2444" s="81" t="s">
        <v>2396</v>
      </c>
      <c r="R2444" s="84" t="s">
        <v>0</v>
      </c>
      <c r="S2444" s="10" t="s">
        <v>1</v>
      </c>
      <c r="T2444" s="10" t="s">
        <v>10221</v>
      </c>
      <c r="U2444" s="5" t="str">
        <f t="shared" si="1273"/>
        <v>Propriedade destinada a servir: é.servidor.de</v>
      </c>
      <c r="V2444" s="5" t="str">
        <f t="shared" si="1274"/>
        <v>Dado para servir:  servidor.de  Deve ser formatado como (rdfs:Literal  or  xsd:string)</v>
      </c>
      <c r="W2444" s="69" t="s">
        <v>6299</v>
      </c>
      <c r="X2444" s="17" t="str">
        <f t="shared" si="1277"/>
        <v>d.servi.100</v>
      </c>
      <c r="Y2444" s="17" t="str">
        <f t="shared" si="1278"/>
        <v>Ação de servir</v>
      </c>
      <c r="Z2444" s="62" t="s">
        <v>2370</v>
      </c>
      <c r="AA2444" s="18" t="str">
        <f t="shared" ref="AA2444:AA2448" si="1294">IF(AB2444="null", "null", "categoria.revit")</f>
        <v>null</v>
      </c>
      <c r="AB2444" s="19" t="s">
        <v>0</v>
      </c>
      <c r="AC2444" s="18" t="str">
        <f t="shared" ref="AC2444:AC2448" si="1295">IF(AD2444="null", "null", "classe.ifc")</f>
        <v>null</v>
      </c>
      <c r="AD2444" s="19" t="s">
        <v>0</v>
      </c>
      <c r="AE2444" s="18" t="str">
        <f t="shared" si="1263"/>
        <v>null</v>
      </c>
      <c r="AF2444" s="75" t="s">
        <v>0</v>
      </c>
      <c r="AG2444" s="38" t="s">
        <v>9316</v>
      </c>
    </row>
    <row r="2445" spans="1:33" ht="6" customHeight="1" x14ac:dyDescent="0.4">
      <c r="A2445" s="4">
        <f>ROW()</f>
        <v>2445</v>
      </c>
      <c r="B2445" s="9" t="s">
        <v>27</v>
      </c>
      <c r="C2445" s="44" t="str">
        <f t="shared" si="1275"/>
        <v>p.servir</v>
      </c>
      <c r="D2445" s="6" t="str">
        <f t="shared" si="1262"/>
        <v>é.servido.por</v>
      </c>
      <c r="E2445" s="8" t="s">
        <v>28</v>
      </c>
      <c r="F2445" s="34" t="str">
        <f>F2444</f>
        <v>d.servir</v>
      </c>
      <c r="G2445" s="13" t="s">
        <v>2559</v>
      </c>
      <c r="H2445" s="33" t="s">
        <v>1581</v>
      </c>
      <c r="I2445" s="92" t="str">
        <f t="shared" si="1272"/>
        <v>null</v>
      </c>
      <c r="J2445" s="80" t="s">
        <v>0</v>
      </c>
      <c r="K2445" s="80" t="s">
        <v>0</v>
      </c>
      <c r="L2445" s="80" t="s">
        <v>0</v>
      </c>
      <c r="M2445" s="80" t="s">
        <v>0</v>
      </c>
      <c r="N2445" s="80" t="s">
        <v>0</v>
      </c>
      <c r="O2445" s="80" t="s">
        <v>0</v>
      </c>
      <c r="P2445" s="80" t="s">
        <v>0</v>
      </c>
      <c r="Q2445" s="81" t="s">
        <v>2395</v>
      </c>
      <c r="R2445" s="84" t="s">
        <v>0</v>
      </c>
      <c r="S2445" s="10" t="s">
        <v>1</v>
      </c>
      <c r="T2445" s="10" t="s">
        <v>10221</v>
      </c>
      <c r="U2445" s="5" t="str">
        <f t="shared" si="1273"/>
        <v>Propriedade destinada a servir: é.servido.por</v>
      </c>
      <c r="V2445" s="5" t="str">
        <f t="shared" si="1274"/>
        <v>Dado para servir:  servido.por  Deve ser formatado como (rdfs:Literal  or  xsd:string)</v>
      </c>
      <c r="W2445" s="69" t="s">
        <v>6300</v>
      </c>
      <c r="X2445" s="17" t="str">
        <f t="shared" si="1277"/>
        <v>d.servi.101</v>
      </c>
      <c r="Y2445" s="17" t="str">
        <f t="shared" si="1278"/>
        <v>Ação de servir</v>
      </c>
      <c r="Z2445" s="62" t="s">
        <v>2371</v>
      </c>
      <c r="AA2445" s="18" t="str">
        <f t="shared" si="1294"/>
        <v>null</v>
      </c>
      <c r="AB2445" s="19" t="s">
        <v>0</v>
      </c>
      <c r="AC2445" s="18" t="str">
        <f t="shared" si="1295"/>
        <v>null</v>
      </c>
      <c r="AD2445" s="19" t="s">
        <v>0</v>
      </c>
      <c r="AE2445" s="18" t="str">
        <f t="shared" si="1263"/>
        <v>null</v>
      </c>
      <c r="AF2445" s="75" t="s">
        <v>0</v>
      </c>
      <c r="AG2445" s="38" t="s">
        <v>9317</v>
      </c>
    </row>
    <row r="2446" spans="1:33" ht="6" customHeight="1" x14ac:dyDescent="0.4">
      <c r="A2446" s="4">
        <f>ROW()</f>
        <v>2446</v>
      </c>
      <c r="B2446" s="9" t="s">
        <v>27</v>
      </c>
      <c r="C2446" s="44" t="str">
        <f t="shared" si="1275"/>
        <v>p.servir</v>
      </c>
      <c r="D2446" s="6" t="str">
        <f t="shared" si="1262"/>
        <v>é.tempo.de.serviço</v>
      </c>
      <c r="E2446" s="8" t="s">
        <v>28</v>
      </c>
      <c r="F2446" s="34" t="str">
        <f>F2445</f>
        <v>d.servir</v>
      </c>
      <c r="G2446" s="13" t="s">
        <v>2560</v>
      </c>
      <c r="H2446" s="33" t="s">
        <v>1581</v>
      </c>
      <c r="I2446" s="92" t="str">
        <f t="shared" si="1272"/>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73"/>
        <v>Propriedade destinada a servir: é.tempo.de.serviço</v>
      </c>
      <c r="V2446" s="5" t="str">
        <f t="shared" si="1274"/>
        <v>Dado para servir:  tempo.de.serviço  Deve ser formatado como (rdfs:Literal  or  xsd:string)</v>
      </c>
      <c r="W2446" s="69" t="s">
        <v>6301</v>
      </c>
      <c r="X2446" s="17" t="str">
        <f t="shared" si="1277"/>
        <v>d.servi.102</v>
      </c>
      <c r="Y2446" s="17" t="str">
        <f t="shared" si="1278"/>
        <v>Ação de servir</v>
      </c>
      <c r="Z2446" s="62" t="s">
        <v>3061</v>
      </c>
      <c r="AA2446" s="18" t="str">
        <f t="shared" si="1294"/>
        <v>null</v>
      </c>
      <c r="AB2446" s="19" t="s">
        <v>0</v>
      </c>
      <c r="AC2446" s="18" t="str">
        <f t="shared" si="1295"/>
        <v>null</v>
      </c>
      <c r="AD2446" s="19" t="s">
        <v>0</v>
      </c>
      <c r="AE2446" s="18" t="str">
        <f t="shared" si="1263"/>
        <v>null</v>
      </c>
      <c r="AF2446" s="75" t="s">
        <v>0</v>
      </c>
      <c r="AG2446" s="38" t="s">
        <v>9318</v>
      </c>
    </row>
    <row r="2447" spans="1:33" ht="6" customHeight="1" x14ac:dyDescent="0.4">
      <c r="A2447" s="4">
        <f>ROW()</f>
        <v>2447</v>
      </c>
      <c r="B2447" s="9" t="s">
        <v>27</v>
      </c>
      <c r="C2447" s="43" t="str">
        <f t="shared" si="1275"/>
        <v>p.sinalizar</v>
      </c>
      <c r="D2447" s="6" t="str">
        <f t="shared" si="1262"/>
        <v>é.placa</v>
      </c>
      <c r="E2447" s="8" t="s">
        <v>28</v>
      </c>
      <c r="F2447" s="41" t="s">
        <v>2495</v>
      </c>
      <c r="G2447" s="13" t="s">
        <v>2682</v>
      </c>
      <c r="H2447" s="34" t="s">
        <v>1581</v>
      </c>
      <c r="I2447" s="92" t="str">
        <f t="shared" si="1272"/>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73"/>
        <v>Propriedade destinada a sinalizar: é.placa</v>
      </c>
      <c r="V2447" s="5" t="str">
        <f t="shared" si="1274"/>
        <v>Dado para sinalizar:  placa  Deve ser formatado como (rdfs:Literal  or  xsd:string)</v>
      </c>
      <c r="W2447" s="69" t="s">
        <v>6302</v>
      </c>
      <c r="X2447" s="17" t="str">
        <f t="shared" si="1277"/>
        <v>d.sinal.100</v>
      </c>
      <c r="Y2447" s="17" t="str">
        <f t="shared" si="1278"/>
        <v>Ação de sinalizar</v>
      </c>
      <c r="Z2447" s="62" t="s">
        <v>2496</v>
      </c>
      <c r="AA2447" s="18" t="str">
        <f t="shared" si="1294"/>
        <v>null</v>
      </c>
      <c r="AB2447" s="19" t="s">
        <v>0</v>
      </c>
      <c r="AC2447" s="18" t="str">
        <f t="shared" si="1295"/>
        <v>null</v>
      </c>
      <c r="AD2447" s="19" t="s">
        <v>0</v>
      </c>
      <c r="AE2447" s="18" t="str">
        <f t="shared" si="1263"/>
        <v>null</v>
      </c>
      <c r="AF2447" s="75" t="s">
        <v>0</v>
      </c>
      <c r="AG2447" s="38" t="s">
        <v>9319</v>
      </c>
    </row>
    <row r="2448" spans="1:33" ht="6" customHeight="1" x14ac:dyDescent="0.4">
      <c r="A2448" s="4">
        <f>ROW()</f>
        <v>2448</v>
      </c>
      <c r="B2448" s="9" t="s">
        <v>27</v>
      </c>
      <c r="C2448" s="44" t="str">
        <f t="shared" si="1275"/>
        <v>p.sinalizar</v>
      </c>
      <c r="D2448" s="6" t="str">
        <f t="shared" ref="D2448:D2512" si="1296">_xlfn.CONCAT("é.",G2448)</f>
        <v>é.tipo.de.placa</v>
      </c>
      <c r="E2448" s="8" t="s">
        <v>28</v>
      </c>
      <c r="F2448" s="34" t="str">
        <f>F2447</f>
        <v>d.sinalizar</v>
      </c>
      <c r="G2448" s="13" t="s">
        <v>2561</v>
      </c>
      <c r="H2448" s="34" t="s">
        <v>1581</v>
      </c>
      <c r="I2448" s="92" t="str">
        <f t="shared" si="1272"/>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73"/>
        <v>Propriedade destinada a sinalizar: é.tipo.de.placa</v>
      </c>
      <c r="V2448" s="5" t="str">
        <f t="shared" si="1274"/>
        <v>Dado para sinalizar:  tipo.de.placa  Deve ser formatado como (rdfs:Literal  or  xsd:string)</v>
      </c>
      <c r="W2448" s="69" t="s">
        <v>6303</v>
      </c>
      <c r="X2448" s="17" t="str">
        <f t="shared" si="1277"/>
        <v>d.sinal.101</v>
      </c>
      <c r="Y2448" s="17" t="str">
        <f t="shared" si="1278"/>
        <v>Ação de sinalizar</v>
      </c>
      <c r="Z2448" s="62" t="s">
        <v>2497</v>
      </c>
      <c r="AA2448" s="18" t="str">
        <f t="shared" si="1294"/>
        <v>null</v>
      </c>
      <c r="AB2448" s="19" t="s">
        <v>0</v>
      </c>
      <c r="AC2448" s="18" t="str">
        <f t="shared" si="1295"/>
        <v>null</v>
      </c>
      <c r="AD2448" s="19" t="s">
        <v>0</v>
      </c>
      <c r="AE2448" s="18" t="str">
        <f t="shared" si="1263"/>
        <v>null</v>
      </c>
      <c r="AF2448" s="75" t="s">
        <v>0</v>
      </c>
      <c r="AG2448" s="38" t="s">
        <v>9320</v>
      </c>
    </row>
    <row r="2449" spans="1:33" ht="6" customHeight="1" x14ac:dyDescent="0.4">
      <c r="A2449" s="4">
        <f>ROW()</f>
        <v>2449</v>
      </c>
      <c r="B2449" s="9" t="s">
        <v>27</v>
      </c>
      <c r="C2449" s="43" t="str">
        <f t="shared" si="1275"/>
        <v>p.sombrear</v>
      </c>
      <c r="D2449" s="6" t="str">
        <f t="shared" si="1296"/>
        <v>é.brise</v>
      </c>
      <c r="E2449" s="8" t="s">
        <v>28</v>
      </c>
      <c r="F2449" s="41" t="s">
        <v>2236</v>
      </c>
      <c r="G2449" s="13" t="s">
        <v>2683</v>
      </c>
      <c r="H2449" s="34" t="s">
        <v>1581</v>
      </c>
      <c r="I2449" s="92" t="str">
        <f t="shared" si="1272"/>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73"/>
        <v>Propriedade destinada a sombrear: é.brise</v>
      </c>
      <c r="V2449" s="5" t="str">
        <f t="shared" si="1274"/>
        <v>Dado para sombrear:  brise  Deve ser formatado como (rdfs:Literal  or  xsd:string)</v>
      </c>
      <c r="W2449" s="69" t="s">
        <v>6304</v>
      </c>
      <c r="X2449" s="17" t="str">
        <f t="shared" si="1277"/>
        <v>d.sombr.100</v>
      </c>
      <c r="Y2449" s="17" t="str">
        <f t="shared" si="1278"/>
        <v>Ação de sombrear</v>
      </c>
      <c r="Z2449" s="62" t="s">
        <v>2372</v>
      </c>
      <c r="AA2449" s="18" t="str">
        <f t="shared" ref="AA2449:AA2464" si="1297">IF(AB2449="null", "null", "categoria.revit")</f>
        <v>categoria.revit</v>
      </c>
      <c r="AB2449" s="19" t="s">
        <v>2141</v>
      </c>
      <c r="AC2449" s="18" t="str">
        <f t="shared" ref="AC2449:AC2464" si="1298">IF(AD2449="null", "null", "classe.ifc")</f>
        <v>null</v>
      </c>
      <c r="AD2449" s="19" t="s">
        <v>0</v>
      </c>
      <c r="AE2449" s="18" t="str">
        <f t="shared" si="1263"/>
        <v>null</v>
      </c>
      <c r="AF2449" s="75" t="s">
        <v>0</v>
      </c>
      <c r="AG2449" s="38" t="s">
        <v>9321</v>
      </c>
    </row>
    <row r="2450" spans="1:33" ht="6" customHeight="1" x14ac:dyDescent="0.4">
      <c r="A2450" s="4">
        <f>ROW()</f>
        <v>2450</v>
      </c>
      <c r="B2450" s="9" t="s">
        <v>27</v>
      </c>
      <c r="C2450" s="44" t="str">
        <f>SUBSTITUTE(F2450,"d.","p.")</f>
        <v>p.sombrear</v>
      </c>
      <c r="D2450" s="6" t="str">
        <f t="shared" si="1296"/>
        <v>é.cobogó</v>
      </c>
      <c r="E2450" s="8" t="s">
        <v>28</v>
      </c>
      <c r="F2450" s="34" t="str">
        <f>F2449</f>
        <v>d.sombrear</v>
      </c>
      <c r="G2450" s="13" t="s">
        <v>2684</v>
      </c>
      <c r="H2450" s="33" t="s">
        <v>1581</v>
      </c>
      <c r="I2450" s="92" t="str">
        <f t="shared" si="1272"/>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si="1273"/>
        <v>Propriedade destinada a sombrear: é.cobogó</v>
      </c>
      <c r="V2450" s="5" t="str">
        <f t="shared" si="1274"/>
        <v>Dado para sombrear:  cobogó  Deve ser formatado como (rdfs:Literal  or  xsd:string)</v>
      </c>
      <c r="W2450" s="69" t="s">
        <v>6305</v>
      </c>
      <c r="X2450" s="17" t="str">
        <f t="shared" si="1277"/>
        <v>d.sombr.101</v>
      </c>
      <c r="Y2450" s="17" t="str">
        <f t="shared" si="1278"/>
        <v>Ação de sombrear</v>
      </c>
      <c r="Z2450" s="62" t="s">
        <v>2376</v>
      </c>
      <c r="AA2450" s="18" t="str">
        <f t="shared" si="1297"/>
        <v>categoria.revit</v>
      </c>
      <c r="AB2450" s="19" t="s">
        <v>2141</v>
      </c>
      <c r="AC2450" s="18" t="str">
        <f t="shared" si="1298"/>
        <v>null</v>
      </c>
      <c r="AD2450" s="19" t="s">
        <v>0</v>
      </c>
      <c r="AE2450" s="18" t="str">
        <f t="shared" si="1263"/>
        <v>null</v>
      </c>
      <c r="AF2450" s="75" t="s">
        <v>0</v>
      </c>
      <c r="AG2450" s="38" t="s">
        <v>9322</v>
      </c>
    </row>
    <row r="2451" spans="1:33" ht="6" customHeight="1" x14ac:dyDescent="0.4">
      <c r="A2451" s="4">
        <f>ROW()</f>
        <v>2451</v>
      </c>
      <c r="B2451" s="9" t="s">
        <v>27</v>
      </c>
      <c r="C2451" s="44" t="str">
        <f t="shared" ref="C2451:C2465" si="1299">SUBSTITUTE(F2451,"d.","p.")</f>
        <v>p.sombrear</v>
      </c>
      <c r="D2451" s="6" t="str">
        <f t="shared" si="1296"/>
        <v>é.brise.horizontal</v>
      </c>
      <c r="E2451" s="8" t="s">
        <v>28</v>
      </c>
      <c r="F2451" s="34" t="str">
        <f t="shared" ref="F2451:F2457" si="1300">F2450</f>
        <v>d.sombrear</v>
      </c>
      <c r="G2451" s="13" t="s">
        <v>2563</v>
      </c>
      <c r="H2451" s="33" t="s">
        <v>36</v>
      </c>
      <c r="I2451" s="92" t="str">
        <f t="shared" si="1272"/>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73"/>
        <v>Propriedade destinada a sombrear: é.brise.horizontal</v>
      </c>
      <c r="V2451" s="5" t="str">
        <f t="shared" si="1274"/>
        <v>Dado para sombrear:  brise.horizontal  Deve ser formatado como (xsd:boolean)</v>
      </c>
      <c r="W2451" s="69" t="s">
        <v>6306</v>
      </c>
      <c r="X2451" s="17" t="str">
        <f t="shared" si="1277"/>
        <v>d.sombr.102</v>
      </c>
      <c r="Y2451" s="17" t="str">
        <f t="shared" si="1278"/>
        <v>Ação de sombrear</v>
      </c>
      <c r="Z2451" s="62" t="s">
        <v>2373</v>
      </c>
      <c r="AA2451" s="18" t="str">
        <f t="shared" si="1297"/>
        <v>categoria.revit</v>
      </c>
      <c r="AB2451" s="19" t="s">
        <v>2141</v>
      </c>
      <c r="AC2451" s="18" t="str">
        <f t="shared" si="1298"/>
        <v>null</v>
      </c>
      <c r="AD2451" s="19" t="s">
        <v>0</v>
      </c>
      <c r="AE2451" s="18" t="str">
        <f t="shared" ref="AE2451:AE2535" si="1301">IF(AF2451="null", "null", "propriedade")</f>
        <v>null</v>
      </c>
      <c r="AF2451" s="75" t="s">
        <v>0</v>
      </c>
      <c r="AG2451" s="38" t="s">
        <v>9323</v>
      </c>
    </row>
    <row r="2452" spans="1:33" ht="6" customHeight="1" x14ac:dyDescent="0.4">
      <c r="A2452" s="4">
        <f>ROW()</f>
        <v>2452</v>
      </c>
      <c r="B2452" s="9" t="s">
        <v>27</v>
      </c>
      <c r="C2452" s="44" t="str">
        <f t="shared" si="1299"/>
        <v>p.sombrear</v>
      </c>
      <c r="D2452" s="6" t="str">
        <f t="shared" si="1296"/>
        <v>é.brise.móvel</v>
      </c>
      <c r="E2452" s="8" t="s">
        <v>28</v>
      </c>
      <c r="F2452" s="34" t="str">
        <f t="shared" si="1300"/>
        <v>d.sombrear</v>
      </c>
      <c r="G2452" s="13" t="s">
        <v>2564</v>
      </c>
      <c r="H2452" s="33" t="s">
        <v>36</v>
      </c>
      <c r="I2452" s="92" t="str">
        <f t="shared" si="1272"/>
        <v>null</v>
      </c>
      <c r="J2452" s="80" t="s">
        <v>0</v>
      </c>
      <c r="K2452" s="80" t="s">
        <v>0</v>
      </c>
      <c r="L2452" s="80" t="s">
        <v>0</v>
      </c>
      <c r="M2452" s="80" t="s">
        <v>0</v>
      </c>
      <c r="N2452" s="80" t="s">
        <v>0</v>
      </c>
      <c r="O2452" s="80" t="s">
        <v>0</v>
      </c>
      <c r="P2452" s="80" t="s">
        <v>0</v>
      </c>
      <c r="Q2452" s="80" t="s">
        <v>0</v>
      </c>
      <c r="R2452" s="84" t="s">
        <v>0</v>
      </c>
      <c r="S2452" s="10" t="s">
        <v>1</v>
      </c>
      <c r="T2452" s="10" t="s">
        <v>10221</v>
      </c>
      <c r="U2452" s="5" t="str">
        <f t="shared" si="1273"/>
        <v>Propriedade destinada a sombrear: é.brise.móvel</v>
      </c>
      <c r="V2452" s="5" t="str">
        <f t="shared" si="1274"/>
        <v>Dado para sombrear:  brise.móvel  Deve ser formatado como (xsd:boolean)</v>
      </c>
      <c r="W2452" s="69" t="s">
        <v>6307</v>
      </c>
      <c r="X2452" s="17" t="str">
        <f t="shared" si="1277"/>
        <v>d.sombr.103</v>
      </c>
      <c r="Y2452" s="17" t="str">
        <f t="shared" si="1278"/>
        <v>Ação de sombrear</v>
      </c>
      <c r="Z2452" s="62" t="s">
        <v>2375</v>
      </c>
      <c r="AA2452" s="18" t="str">
        <f t="shared" si="1297"/>
        <v>categoria.revit</v>
      </c>
      <c r="AB2452" s="19" t="s">
        <v>2141</v>
      </c>
      <c r="AC2452" s="18" t="str">
        <f t="shared" si="1298"/>
        <v>null</v>
      </c>
      <c r="AD2452" s="19" t="s">
        <v>0</v>
      </c>
      <c r="AE2452" s="18" t="str">
        <f t="shared" si="1301"/>
        <v>null</v>
      </c>
      <c r="AF2452" s="75" t="s">
        <v>0</v>
      </c>
      <c r="AG2452" s="38" t="s">
        <v>9324</v>
      </c>
    </row>
    <row r="2453" spans="1:33" ht="6" customHeight="1" x14ac:dyDescent="0.4">
      <c r="A2453" s="4">
        <f>ROW()</f>
        <v>2453</v>
      </c>
      <c r="B2453" s="9" t="s">
        <v>27</v>
      </c>
      <c r="C2453" s="44" t="str">
        <f t="shared" si="1299"/>
        <v>p.sombrear</v>
      </c>
      <c r="D2453" s="6" t="str">
        <f t="shared" si="1296"/>
        <v>é.brise.vertical</v>
      </c>
      <c r="E2453" s="8" t="s">
        <v>28</v>
      </c>
      <c r="F2453" s="34" t="str">
        <f t="shared" si="1300"/>
        <v>d.sombrear</v>
      </c>
      <c r="G2453" s="13" t="s">
        <v>2565</v>
      </c>
      <c r="H2453" s="33" t="s">
        <v>36</v>
      </c>
      <c r="I2453" s="92" t="str">
        <f t="shared" si="1272"/>
        <v>null</v>
      </c>
      <c r="J2453" s="80" t="s">
        <v>0</v>
      </c>
      <c r="K2453" s="80" t="s">
        <v>0</v>
      </c>
      <c r="L2453" s="80" t="s">
        <v>0</v>
      </c>
      <c r="M2453" s="80" t="s">
        <v>0</v>
      </c>
      <c r="N2453" s="80" t="s">
        <v>0</v>
      </c>
      <c r="O2453" s="80" t="s">
        <v>0</v>
      </c>
      <c r="P2453" s="80" t="s">
        <v>0</v>
      </c>
      <c r="Q2453" s="80" t="s">
        <v>0</v>
      </c>
      <c r="R2453" s="84" t="s">
        <v>0</v>
      </c>
      <c r="S2453" s="10" t="s">
        <v>1</v>
      </c>
      <c r="T2453" s="10" t="s">
        <v>10221</v>
      </c>
      <c r="U2453" s="5" t="str">
        <f t="shared" si="1273"/>
        <v>Propriedade destinada a sombrear: é.brise.vertical</v>
      </c>
      <c r="V2453" s="5" t="str">
        <f t="shared" si="1274"/>
        <v>Dado para sombrear:  brise.vertical  Deve ser formatado como (xsd:boolean)</v>
      </c>
      <c r="W2453" s="69" t="s">
        <v>6308</v>
      </c>
      <c r="X2453" s="17" t="str">
        <f t="shared" si="1277"/>
        <v>d.sombr.104</v>
      </c>
      <c r="Y2453" s="17" t="str">
        <f t="shared" si="1278"/>
        <v>Ação de sombrear</v>
      </c>
      <c r="Z2453" s="62" t="s">
        <v>2374</v>
      </c>
      <c r="AA2453" s="18" t="str">
        <f t="shared" si="1297"/>
        <v>categoria.revit</v>
      </c>
      <c r="AB2453" s="19" t="s">
        <v>2141</v>
      </c>
      <c r="AC2453" s="18" t="str">
        <f t="shared" si="1298"/>
        <v>null</v>
      </c>
      <c r="AD2453" s="19" t="s">
        <v>0</v>
      </c>
      <c r="AE2453" s="18" t="str">
        <f t="shared" si="1301"/>
        <v>null</v>
      </c>
      <c r="AF2453" s="75" t="s">
        <v>0</v>
      </c>
      <c r="AG2453" s="38" t="s">
        <v>9325</v>
      </c>
    </row>
    <row r="2454" spans="1:33" ht="6" customHeight="1" x14ac:dyDescent="0.4">
      <c r="A2454" s="4">
        <f>ROW()</f>
        <v>2454</v>
      </c>
      <c r="B2454" s="9" t="s">
        <v>27</v>
      </c>
      <c r="C2454" s="44" t="str">
        <f t="shared" si="1299"/>
        <v>p.sombrear</v>
      </c>
      <c r="D2454" s="6" t="str">
        <f t="shared" si="1296"/>
        <v>é.camada.visível</v>
      </c>
      <c r="E2454" s="8" t="s">
        <v>28</v>
      </c>
      <c r="F2454" s="34" t="str">
        <f t="shared" si="1300"/>
        <v>d.sombrear</v>
      </c>
      <c r="G2454" s="13" t="s">
        <v>2566</v>
      </c>
      <c r="H2454" s="33" t="s">
        <v>1581</v>
      </c>
      <c r="I2454" s="92" t="str">
        <f t="shared" si="1272"/>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73"/>
        <v>Propriedade destinada a sombrear: é.camada.visível</v>
      </c>
      <c r="V2454" s="5" t="str">
        <f t="shared" si="1274"/>
        <v>Dado para sombrear:  camada.visível  Deve ser formatado como (rdfs:Literal  or  xsd:string)</v>
      </c>
      <c r="W2454" s="69" t="s">
        <v>6309</v>
      </c>
      <c r="X2454" s="17" t="str">
        <f t="shared" si="1277"/>
        <v>d.sombr.105</v>
      </c>
      <c r="Y2454" s="17" t="str">
        <f t="shared" si="1278"/>
        <v>Ação de sombrear</v>
      </c>
      <c r="Z2454" s="62" t="s">
        <v>3057</v>
      </c>
      <c r="AA2454" s="18" t="str">
        <f t="shared" si="1297"/>
        <v>null</v>
      </c>
      <c r="AB2454" s="19" t="s">
        <v>0</v>
      </c>
      <c r="AC2454" s="18" t="str">
        <f t="shared" si="1298"/>
        <v>null</v>
      </c>
      <c r="AD2454" s="19" t="s">
        <v>0</v>
      </c>
      <c r="AE2454" s="18" t="str">
        <f t="shared" si="1301"/>
        <v>null</v>
      </c>
      <c r="AF2454" s="75" t="s">
        <v>0</v>
      </c>
      <c r="AG2454" s="38" t="s">
        <v>9326</v>
      </c>
    </row>
    <row r="2455" spans="1:33" ht="6" customHeight="1" x14ac:dyDescent="0.4">
      <c r="A2455" s="4">
        <f>ROW()</f>
        <v>2455</v>
      </c>
      <c r="B2455" s="9" t="s">
        <v>27</v>
      </c>
      <c r="C2455" s="44" t="str">
        <f t="shared" si="1299"/>
        <v>p.sombrear</v>
      </c>
      <c r="D2455" s="6" t="str">
        <f t="shared" si="1296"/>
        <v>é.ângulo.de.visão.horizontal</v>
      </c>
      <c r="E2455" s="8" t="s">
        <v>28</v>
      </c>
      <c r="F2455" s="34" t="str">
        <f t="shared" si="1300"/>
        <v>d.sombrear</v>
      </c>
      <c r="G2455" s="13" t="s">
        <v>2562</v>
      </c>
      <c r="H2455" s="33" t="s">
        <v>35</v>
      </c>
      <c r="I2455" s="92" t="str">
        <f t="shared" si="1272"/>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73"/>
        <v>Propriedade destinada a sombrear: é.ângulo.de.visão.horizontal</v>
      </c>
      <c r="V2455" s="5" t="str">
        <f t="shared" si="1274"/>
        <v>Dado para sombrear:  ângulo.de.visão.horizontal  Deve ser formatado como (xsd:double)</v>
      </c>
      <c r="W2455" s="69" t="s">
        <v>6310</v>
      </c>
      <c r="X2455" s="17" t="str">
        <f t="shared" si="1277"/>
        <v>d.sombr.106</v>
      </c>
      <c r="Y2455" s="17" t="str">
        <f t="shared" si="1278"/>
        <v>Ação de sombrear</v>
      </c>
      <c r="Z2455" s="62" t="s">
        <v>3059</v>
      </c>
      <c r="AA2455" s="18" t="str">
        <f t="shared" si="1297"/>
        <v>null</v>
      </c>
      <c r="AB2455" s="19" t="s">
        <v>0</v>
      </c>
      <c r="AC2455" s="18" t="str">
        <f t="shared" si="1298"/>
        <v>null</v>
      </c>
      <c r="AD2455" s="19" t="s">
        <v>0</v>
      </c>
      <c r="AE2455" s="18" t="str">
        <f t="shared" si="1301"/>
        <v>null</v>
      </c>
      <c r="AF2455" s="75" t="s">
        <v>0</v>
      </c>
      <c r="AG2455" s="38" t="s">
        <v>9327</v>
      </c>
    </row>
    <row r="2456" spans="1:33" ht="6" customHeight="1" x14ac:dyDescent="0.4">
      <c r="A2456" s="4">
        <f>ROW()</f>
        <v>2456</v>
      </c>
      <c r="B2456" s="9" t="s">
        <v>27</v>
      </c>
      <c r="C2456" s="44" t="str">
        <f t="shared" si="1299"/>
        <v>p.sombrear</v>
      </c>
      <c r="D2456" s="6" t="str">
        <f t="shared" si="1296"/>
        <v>é.distância.externa</v>
      </c>
      <c r="E2456" s="8" t="s">
        <v>28</v>
      </c>
      <c r="F2456" s="34" t="str">
        <f t="shared" si="1300"/>
        <v>d.sombrear</v>
      </c>
      <c r="G2456" s="13" t="s">
        <v>2567</v>
      </c>
      <c r="H2456" s="33" t="s">
        <v>35</v>
      </c>
      <c r="I2456" s="92" t="str">
        <f t="shared" si="1272"/>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73"/>
        <v>Propriedade destinada a sombrear: é.distância.externa</v>
      </c>
      <c r="V2456" s="5" t="str">
        <f t="shared" si="1274"/>
        <v>Dado para sombrear:  distância.externa  Deve ser formatado como (xsd:double)</v>
      </c>
      <c r="W2456" s="69" t="s">
        <v>6311</v>
      </c>
      <c r="X2456" s="17" t="str">
        <f t="shared" si="1277"/>
        <v>d.sombr.107</v>
      </c>
      <c r="Y2456" s="17" t="str">
        <f t="shared" si="1278"/>
        <v>Ação de sombrear</v>
      </c>
      <c r="Z2456" s="62" t="s">
        <v>3058</v>
      </c>
      <c r="AA2456" s="18" t="str">
        <f t="shared" si="1297"/>
        <v>null</v>
      </c>
      <c r="AB2456" s="19" t="s">
        <v>0</v>
      </c>
      <c r="AC2456" s="18" t="str">
        <f t="shared" si="1298"/>
        <v>null</v>
      </c>
      <c r="AD2456" s="19" t="s">
        <v>0</v>
      </c>
      <c r="AE2456" s="18" t="str">
        <f t="shared" si="1301"/>
        <v>null</v>
      </c>
      <c r="AF2456" s="75" t="s">
        <v>0</v>
      </c>
      <c r="AG2456" s="38" t="s">
        <v>9328</v>
      </c>
    </row>
    <row r="2457" spans="1:33" ht="6" customHeight="1" x14ac:dyDescent="0.4">
      <c r="A2457" s="4">
        <f>ROW()</f>
        <v>2457</v>
      </c>
      <c r="B2457" s="9" t="s">
        <v>27</v>
      </c>
      <c r="C2457" s="44" t="str">
        <f t="shared" si="1299"/>
        <v>p.sombrear</v>
      </c>
      <c r="D2457" s="6" t="str">
        <f t="shared" si="1296"/>
        <v>é.probabilidade.de.ofuscamento</v>
      </c>
      <c r="E2457" s="8" t="s">
        <v>28</v>
      </c>
      <c r="F2457" s="34" t="str">
        <f t="shared" si="1300"/>
        <v>d.sombrear</v>
      </c>
      <c r="G2457" s="13" t="s">
        <v>2568</v>
      </c>
      <c r="H2457" s="33" t="s">
        <v>35</v>
      </c>
      <c r="I2457" s="92" t="str">
        <f t="shared" si="1272"/>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73"/>
        <v>Propriedade destinada a sombrear: é.probabilidade.de.ofuscamento</v>
      </c>
      <c r="V2457" s="5" t="str">
        <f t="shared" si="1274"/>
        <v>Dado para sombrear:  probabilidade.de.ofuscamento  Deve ser formatado como (xsd:double)</v>
      </c>
      <c r="W2457" s="69" t="s">
        <v>6312</v>
      </c>
      <c r="X2457" s="17" t="str">
        <f t="shared" si="1277"/>
        <v>d.sombr.108</v>
      </c>
      <c r="Y2457" s="17" t="str">
        <f t="shared" si="1278"/>
        <v>Ação de sombrear</v>
      </c>
      <c r="Z2457" s="62" t="s">
        <v>3060</v>
      </c>
      <c r="AA2457" s="18" t="str">
        <f t="shared" si="1297"/>
        <v>null</v>
      </c>
      <c r="AB2457" s="19" t="s">
        <v>0</v>
      </c>
      <c r="AC2457" s="18" t="str">
        <f t="shared" si="1298"/>
        <v>null</v>
      </c>
      <c r="AD2457" s="19" t="s">
        <v>0</v>
      </c>
      <c r="AE2457" s="18" t="str">
        <f t="shared" si="1301"/>
        <v>null</v>
      </c>
      <c r="AF2457" s="75" t="s">
        <v>0</v>
      </c>
      <c r="AG2457" s="38" t="s">
        <v>9329</v>
      </c>
    </row>
    <row r="2458" spans="1:33" ht="6" customHeight="1" x14ac:dyDescent="0.4">
      <c r="A2458" s="4">
        <f>ROW()</f>
        <v>2458</v>
      </c>
      <c r="B2458" s="9" t="s">
        <v>27</v>
      </c>
      <c r="C2458" s="43" t="str">
        <f t="shared" si="1299"/>
        <v>p.sondar</v>
      </c>
      <c r="D2458" s="6" t="str">
        <f t="shared" si="1296"/>
        <v>é.cota.camada.base.sondagem</v>
      </c>
      <c r="E2458" s="8" t="s">
        <v>28</v>
      </c>
      <c r="F2458" s="41" t="s">
        <v>3363</v>
      </c>
      <c r="G2458" s="54" t="s">
        <v>3347</v>
      </c>
      <c r="H2458" s="33" t="s">
        <v>35</v>
      </c>
      <c r="I2458" s="92" t="str">
        <f t="shared" si="1272"/>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73"/>
        <v>Propriedade destinada a sondar: é.cota.camada.base.sondagem</v>
      </c>
      <c r="V2458" s="5" t="str">
        <f t="shared" si="1274"/>
        <v>Dado para sondar:  cota.camada.base.sondagem  Deve ser formatado como (xsd:double)</v>
      </c>
      <c r="W2458" s="70" t="s">
        <v>3364</v>
      </c>
      <c r="X2458" s="17" t="str">
        <f t="shared" si="1277"/>
        <v>d.sonda.100</v>
      </c>
      <c r="Y2458" s="17" t="str">
        <f t="shared" si="1278"/>
        <v>Ação de sondar</v>
      </c>
      <c r="Z2458" s="62" t="s">
        <v>3828</v>
      </c>
      <c r="AA2458" s="18" t="str">
        <f t="shared" si="1297"/>
        <v>null</v>
      </c>
      <c r="AB2458" s="19" t="s">
        <v>0</v>
      </c>
      <c r="AC2458" s="18" t="str">
        <f t="shared" si="1298"/>
        <v>null</v>
      </c>
      <c r="AD2458" s="19" t="s">
        <v>0</v>
      </c>
      <c r="AE2458" s="18" t="str">
        <f t="shared" ref="AE2458:AE2464" si="1302">IF(AF2458="null", "null", "propriedade")</f>
        <v>null</v>
      </c>
      <c r="AF2458" s="75" t="s">
        <v>0</v>
      </c>
      <c r="AG2458" s="38" t="s">
        <v>9330</v>
      </c>
    </row>
    <row r="2459" spans="1:33" ht="6" customHeight="1" x14ac:dyDescent="0.4">
      <c r="A2459" s="4">
        <f>ROW()</f>
        <v>2459</v>
      </c>
      <c r="B2459" s="9" t="s">
        <v>27</v>
      </c>
      <c r="C2459" s="44" t="str">
        <f t="shared" si="1299"/>
        <v>p.sondar</v>
      </c>
      <c r="D2459" s="6" t="str">
        <f t="shared" si="1296"/>
        <v>é.cota.camada.fundação</v>
      </c>
      <c r="E2459" s="8" t="s">
        <v>28</v>
      </c>
      <c r="F2459" s="34" t="str">
        <f>F2458</f>
        <v>d.sondar</v>
      </c>
      <c r="G2459" s="54" t="s">
        <v>3346</v>
      </c>
      <c r="H2459" s="33" t="s">
        <v>35</v>
      </c>
      <c r="I2459" s="92" t="str">
        <f t="shared" si="1272"/>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73"/>
        <v>Propriedade destinada a sondar: é.cota.camada.fundação</v>
      </c>
      <c r="V2459" s="5" t="str">
        <f t="shared" si="1274"/>
        <v>Dado para sondar:  cota.camada.fundação  Deve ser formatado como (xsd:double)</v>
      </c>
      <c r="W2459" s="70" t="s">
        <v>3353</v>
      </c>
      <c r="X2459" s="17" t="str">
        <f t="shared" si="1277"/>
        <v>d.sonda.101</v>
      </c>
      <c r="Y2459" s="17" t="str">
        <f t="shared" si="1278"/>
        <v>Ação de sondar</v>
      </c>
      <c r="Z2459" s="62" t="s">
        <v>3829</v>
      </c>
      <c r="AA2459" s="18" t="str">
        <f t="shared" si="1297"/>
        <v>null</v>
      </c>
      <c r="AB2459" s="19" t="s">
        <v>0</v>
      </c>
      <c r="AC2459" s="18" t="str">
        <f t="shared" si="1298"/>
        <v>null</v>
      </c>
      <c r="AD2459" s="19" t="s">
        <v>0</v>
      </c>
      <c r="AE2459" s="18" t="str">
        <f t="shared" si="1302"/>
        <v>null</v>
      </c>
      <c r="AF2459" s="75" t="s">
        <v>0</v>
      </c>
      <c r="AG2459" s="38" t="s">
        <v>9331</v>
      </c>
    </row>
    <row r="2460" spans="1:33" ht="6" customHeight="1" x14ac:dyDescent="0.4">
      <c r="A2460" s="4">
        <f>ROW()</f>
        <v>2460</v>
      </c>
      <c r="B2460" s="9" t="s">
        <v>27</v>
      </c>
      <c r="C2460" s="44" t="str">
        <f t="shared" si="1299"/>
        <v>p.sondar</v>
      </c>
      <c r="D2460" s="6" t="str">
        <f t="shared" si="1296"/>
        <v>é.cota.de.sondagem</v>
      </c>
      <c r="E2460" s="8" t="s">
        <v>28</v>
      </c>
      <c r="F2460" s="34" t="str">
        <f t="shared" ref="F2460:F2464" si="1303">F2459</f>
        <v>d.sondar</v>
      </c>
      <c r="G2460" s="54" t="s">
        <v>3351</v>
      </c>
      <c r="H2460" s="33" t="s">
        <v>35</v>
      </c>
      <c r="I2460" s="92" t="str">
        <f t="shared" si="1272"/>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73"/>
        <v>Propriedade destinada a sondar: é.cota.de.sondagem</v>
      </c>
      <c r="V2460" s="5" t="str">
        <f t="shared" si="1274"/>
        <v>Dado para sondar:  cota.de.sondagem  Deve ser formatado como (xsd:double)</v>
      </c>
      <c r="W2460" s="70" t="s">
        <v>3365</v>
      </c>
      <c r="X2460" s="17" t="str">
        <f t="shared" si="1277"/>
        <v>d.sonda.102</v>
      </c>
      <c r="Y2460" s="17" t="str">
        <f t="shared" si="1278"/>
        <v>Ação de sondar</v>
      </c>
      <c r="Z2460" s="62" t="s">
        <v>3830</v>
      </c>
      <c r="AA2460" s="18" t="str">
        <f t="shared" ref="AA2460:AA2461" si="1304">IF(AB2460="null", "null", "categoria.revit")</f>
        <v>null</v>
      </c>
      <c r="AB2460" s="19" t="s">
        <v>0</v>
      </c>
      <c r="AC2460" s="18" t="str">
        <f t="shared" ref="AC2460:AC2461" si="1305">IF(AD2460="null", "null", "classe.ifc")</f>
        <v>null</v>
      </c>
      <c r="AD2460" s="19" t="s">
        <v>0</v>
      </c>
      <c r="AE2460" s="18" t="str">
        <f t="shared" ref="AE2460:AE2461" si="1306">IF(AF2460="null", "null", "propriedade")</f>
        <v>null</v>
      </c>
      <c r="AF2460" s="75" t="s">
        <v>0</v>
      </c>
      <c r="AG2460" s="38" t="s">
        <v>9332</v>
      </c>
    </row>
    <row r="2461" spans="1:33" ht="6" customHeight="1" x14ac:dyDescent="0.4">
      <c r="A2461" s="4">
        <f>ROW()</f>
        <v>2461</v>
      </c>
      <c r="B2461" s="9" t="s">
        <v>27</v>
      </c>
      <c r="C2461" s="44" t="str">
        <f t="shared" si="1299"/>
        <v>p.sondar</v>
      </c>
      <c r="D2461" s="6" t="str">
        <f t="shared" si="1296"/>
        <v>é.cota.freática</v>
      </c>
      <c r="E2461" s="8" t="s">
        <v>28</v>
      </c>
      <c r="F2461" s="34" t="str">
        <f t="shared" si="1303"/>
        <v>d.sondar</v>
      </c>
      <c r="G2461" s="54" t="s">
        <v>3350</v>
      </c>
      <c r="H2461" s="33" t="s">
        <v>35</v>
      </c>
      <c r="I2461" s="92" t="str">
        <f t="shared" si="1272"/>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73"/>
        <v>Propriedade destinada a sondar: é.cota.freática</v>
      </c>
      <c r="V2461" s="5" t="str">
        <f t="shared" si="1274"/>
        <v>Dado para sondar:  cota.freática  Deve ser formatado como (xsd:double)</v>
      </c>
      <c r="W2461" s="70" t="s">
        <v>3366</v>
      </c>
      <c r="X2461" s="17" t="str">
        <f t="shared" si="1277"/>
        <v>d.sonda.103</v>
      </c>
      <c r="Y2461" s="17" t="str">
        <f t="shared" si="1278"/>
        <v>Ação de sondar</v>
      </c>
      <c r="Z2461" s="62" t="s">
        <v>3831</v>
      </c>
      <c r="AA2461" s="18" t="str">
        <f t="shared" si="1304"/>
        <v>null</v>
      </c>
      <c r="AB2461" s="19" t="s">
        <v>0</v>
      </c>
      <c r="AC2461" s="18" t="str">
        <f t="shared" si="1305"/>
        <v>null</v>
      </c>
      <c r="AD2461" s="19" t="s">
        <v>0</v>
      </c>
      <c r="AE2461" s="18" t="str">
        <f t="shared" si="1306"/>
        <v>null</v>
      </c>
      <c r="AF2461" s="75" t="s">
        <v>0</v>
      </c>
      <c r="AG2461" s="38" t="s">
        <v>9333</v>
      </c>
    </row>
    <row r="2462" spans="1:33" ht="6" customHeight="1" x14ac:dyDescent="0.4">
      <c r="A2462" s="4">
        <f>ROW()</f>
        <v>2462</v>
      </c>
      <c r="B2462" s="9" t="s">
        <v>27</v>
      </c>
      <c r="C2462" s="44" t="str">
        <f t="shared" si="1299"/>
        <v>p.sondar</v>
      </c>
      <c r="D2462" s="6" t="str">
        <f t="shared" si="1296"/>
        <v>é.cota.terreno</v>
      </c>
      <c r="E2462" s="8" t="s">
        <v>28</v>
      </c>
      <c r="F2462" s="34" t="str">
        <f t="shared" si="1303"/>
        <v>d.sondar</v>
      </c>
      <c r="G2462" s="54" t="s">
        <v>3352</v>
      </c>
      <c r="H2462" s="33" t="s">
        <v>35</v>
      </c>
      <c r="I2462" s="92" t="str">
        <f t="shared" si="1272"/>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73"/>
        <v>Propriedade destinada a sondar: é.cota.terreno</v>
      </c>
      <c r="V2462" s="5" t="str">
        <f t="shared" si="1274"/>
        <v>Dado para sondar:  cota.terreno  Deve ser formatado como (xsd:double)</v>
      </c>
      <c r="W2462" s="70" t="s">
        <v>3354</v>
      </c>
      <c r="X2462" s="17" t="str">
        <f t="shared" si="1277"/>
        <v>d.sonda.104</v>
      </c>
      <c r="Y2462" s="17" t="str">
        <f t="shared" si="1278"/>
        <v>Ação de sondar</v>
      </c>
      <c r="Z2462" s="62" t="s">
        <v>3832</v>
      </c>
      <c r="AA2462" s="18" t="str">
        <f t="shared" si="1297"/>
        <v>null</v>
      </c>
      <c r="AB2462" s="19" t="s">
        <v>0</v>
      </c>
      <c r="AC2462" s="18" t="str">
        <f t="shared" si="1298"/>
        <v>null</v>
      </c>
      <c r="AD2462" s="19" t="s">
        <v>0</v>
      </c>
      <c r="AE2462" s="18" t="str">
        <f t="shared" si="1302"/>
        <v>null</v>
      </c>
      <c r="AF2462" s="75" t="s">
        <v>0</v>
      </c>
      <c r="AG2462" s="38" t="s">
        <v>9334</v>
      </c>
    </row>
    <row r="2463" spans="1:33" ht="6" customHeight="1" x14ac:dyDescent="0.4">
      <c r="A2463" s="4">
        <f>ROW()</f>
        <v>2463</v>
      </c>
      <c r="B2463" s="9" t="s">
        <v>27</v>
      </c>
      <c r="C2463" s="44" t="str">
        <f t="shared" si="1299"/>
        <v>p.sondar</v>
      </c>
      <c r="D2463" s="6" t="str">
        <f t="shared" si="1296"/>
        <v>é.estrato.de.solo</v>
      </c>
      <c r="E2463" s="8" t="s">
        <v>28</v>
      </c>
      <c r="F2463" s="34" t="str">
        <f t="shared" si="1303"/>
        <v>d.sondar</v>
      </c>
      <c r="G2463" s="54" t="s">
        <v>3349</v>
      </c>
      <c r="H2463" s="34" t="s">
        <v>1581</v>
      </c>
      <c r="I2463" s="92" t="str">
        <f t="shared" si="1272"/>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73"/>
        <v>Propriedade destinada a sondar: é.estrato.de.solo</v>
      </c>
      <c r="V2463" s="5" t="str">
        <f t="shared" si="1274"/>
        <v>Dado para sondar:  estrato.de.solo  Deve ser formatado como (rdfs:Literal  or  xsd:string)</v>
      </c>
      <c r="W2463" s="70" t="s">
        <v>3367</v>
      </c>
      <c r="X2463" s="17" t="str">
        <f t="shared" si="1277"/>
        <v>d.sonda.105</v>
      </c>
      <c r="Y2463" s="17" t="str">
        <f t="shared" si="1278"/>
        <v>Ação de sondar</v>
      </c>
      <c r="Z2463" s="62" t="s">
        <v>3833</v>
      </c>
      <c r="AA2463" s="18" t="str">
        <f t="shared" si="1297"/>
        <v>null</v>
      </c>
      <c r="AB2463" s="19" t="s">
        <v>0</v>
      </c>
      <c r="AC2463" s="18" t="str">
        <f t="shared" si="1298"/>
        <v>null</v>
      </c>
      <c r="AD2463" s="19" t="s">
        <v>0</v>
      </c>
      <c r="AE2463" s="18" t="str">
        <f t="shared" si="1302"/>
        <v>null</v>
      </c>
      <c r="AF2463" s="75" t="s">
        <v>0</v>
      </c>
      <c r="AG2463" s="38" t="s">
        <v>9335</v>
      </c>
    </row>
    <row r="2464" spans="1:33" ht="6" customHeight="1" x14ac:dyDescent="0.4">
      <c r="A2464" s="4">
        <f>ROW()</f>
        <v>2464</v>
      </c>
      <c r="B2464" s="9" t="s">
        <v>27</v>
      </c>
      <c r="C2464" s="44" t="str">
        <f t="shared" si="1299"/>
        <v>p.sondar</v>
      </c>
      <c r="D2464" s="6" t="str">
        <f t="shared" si="1296"/>
        <v>é.resistência.terreno</v>
      </c>
      <c r="E2464" s="8" t="s">
        <v>28</v>
      </c>
      <c r="F2464" s="34" t="str">
        <f t="shared" si="1303"/>
        <v>d.sondar</v>
      </c>
      <c r="G2464" s="54" t="s">
        <v>3348</v>
      </c>
      <c r="H2464" s="33" t="s">
        <v>35</v>
      </c>
      <c r="I2464" s="92" t="str">
        <f t="shared" si="1272"/>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73"/>
        <v>Propriedade destinada a sondar: é.resistência.terreno</v>
      </c>
      <c r="V2464" s="5" t="str">
        <f t="shared" si="1274"/>
        <v>Dado para sondar:  resistência.terreno  Deve ser formatado como (xsd:double)</v>
      </c>
      <c r="W2464" s="70" t="s">
        <v>3368</v>
      </c>
      <c r="X2464" s="17" t="str">
        <f t="shared" si="1277"/>
        <v>d.sonda.106</v>
      </c>
      <c r="Y2464" s="17" t="str">
        <f t="shared" si="1278"/>
        <v>Ação de sondar</v>
      </c>
      <c r="Z2464" s="62" t="s">
        <v>3834</v>
      </c>
      <c r="AA2464" s="18" t="str">
        <f t="shared" si="1297"/>
        <v>null</v>
      </c>
      <c r="AB2464" s="19" t="s">
        <v>0</v>
      </c>
      <c r="AC2464" s="18" t="str">
        <f t="shared" si="1298"/>
        <v>null</v>
      </c>
      <c r="AD2464" s="19" t="s">
        <v>0</v>
      </c>
      <c r="AE2464" s="18" t="str">
        <f t="shared" si="1302"/>
        <v>null</v>
      </c>
      <c r="AF2464" s="75" t="s">
        <v>0</v>
      </c>
      <c r="AG2464" s="38" t="s">
        <v>9336</v>
      </c>
    </row>
    <row r="2465" spans="1:33" ht="6" customHeight="1" x14ac:dyDescent="0.4">
      <c r="A2465" s="4">
        <f>ROW()</f>
        <v>2465</v>
      </c>
      <c r="B2465" s="9" t="s">
        <v>27</v>
      </c>
      <c r="C2465" s="43" t="str">
        <f t="shared" si="1299"/>
        <v>p.sonorizar</v>
      </c>
      <c r="D2465" s="6" t="str">
        <f t="shared" si="1296"/>
        <v>é.amplitude.sonora</v>
      </c>
      <c r="E2465" s="8" t="s">
        <v>28</v>
      </c>
      <c r="F2465" s="41" t="s">
        <v>2491</v>
      </c>
      <c r="G2465" s="33" t="s">
        <v>2571</v>
      </c>
      <c r="H2465" s="33" t="s">
        <v>35</v>
      </c>
      <c r="I2465" s="92" t="str">
        <f t="shared" si="1272"/>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73"/>
        <v>Propriedade destinada a sonorizar: é.amplitude.sonora</v>
      </c>
      <c r="V2465" s="5" t="str">
        <f t="shared" si="1274"/>
        <v>Dado para sonorizar:  amplitude.sonora  Deve ser formatado como (xsd:double)</v>
      </c>
      <c r="W2465" s="69" t="s">
        <v>6313</v>
      </c>
      <c r="X2465" s="17" t="str">
        <f t="shared" si="1277"/>
        <v>d.sonor.100</v>
      </c>
      <c r="Y2465" s="17" t="str">
        <f t="shared" si="1278"/>
        <v>Ação de sonorizar</v>
      </c>
      <c r="Z2465" s="62" t="s">
        <v>2512</v>
      </c>
      <c r="AA2465" s="18" t="str">
        <f>IF(AB2465="null", "null", "categoria.revit")</f>
        <v>null</v>
      </c>
      <c r="AB2465" s="19" t="s">
        <v>0</v>
      </c>
      <c r="AC2465" s="18" t="str">
        <f>IF(AD2465="null", "null", "classe.ifc")</f>
        <v>null</v>
      </c>
      <c r="AD2465" s="19" t="s">
        <v>0</v>
      </c>
      <c r="AE2465" s="18" t="str">
        <f>IF(AF2465="null", "null", "propriedade")</f>
        <v>null</v>
      </c>
      <c r="AF2465" s="75" t="s">
        <v>0</v>
      </c>
      <c r="AG2465" s="38" t="s">
        <v>9337</v>
      </c>
    </row>
    <row r="2466" spans="1:33" ht="6" customHeight="1" x14ac:dyDescent="0.4">
      <c r="A2466" s="4">
        <f>ROW()</f>
        <v>2466</v>
      </c>
      <c r="B2466" s="9" t="s">
        <v>27</v>
      </c>
      <c r="C2466" s="44" t="str">
        <f>SUBSTITUTE(F2466,"d.","p.")</f>
        <v>p.sonorizar</v>
      </c>
      <c r="D2466" s="6" t="str">
        <f t="shared" si="1296"/>
        <v>é.equipo.de.som</v>
      </c>
      <c r="E2466" s="8" t="s">
        <v>28</v>
      </c>
      <c r="F2466" s="34" t="str">
        <f>F2465</f>
        <v>d.sonorizar</v>
      </c>
      <c r="G2466" s="13" t="s">
        <v>2685</v>
      </c>
      <c r="H2466" s="34" t="s">
        <v>1581</v>
      </c>
      <c r="I2466" s="92" t="str">
        <f t="shared" si="1272"/>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73"/>
        <v>Propriedade destinada a sonorizar: é.equipo.de.som</v>
      </c>
      <c r="V2466" s="5" t="str">
        <f t="shared" si="1274"/>
        <v>Dado para sonorizar:  equipo.de.som  Deve ser formatado como (rdfs:Literal  or  xsd:string)</v>
      </c>
      <c r="W2466" s="69" t="s">
        <v>6314</v>
      </c>
      <c r="X2466" s="17" t="str">
        <f t="shared" si="1277"/>
        <v>d.sonor.101</v>
      </c>
      <c r="Y2466" s="17" t="str">
        <f t="shared" si="1278"/>
        <v>Ação de sonorizar</v>
      </c>
      <c r="Z2466" s="62" t="s">
        <v>2494</v>
      </c>
      <c r="AA2466" s="18" t="str">
        <f t="shared" ref="AA2466" si="1307">IF(AB2466="null", "null", "categoria.revit")</f>
        <v>null</v>
      </c>
      <c r="AB2466" s="19" t="s">
        <v>0</v>
      </c>
      <c r="AC2466" s="18" t="str">
        <f t="shared" ref="AC2466" si="1308">IF(AD2466="null", "null", "classe.ifc")</f>
        <v>null</v>
      </c>
      <c r="AD2466" s="19" t="s">
        <v>0</v>
      </c>
      <c r="AE2466" s="18" t="str">
        <f t="shared" ref="AE2466" si="1309">IF(AF2466="null", "null", "propriedade")</f>
        <v>null</v>
      </c>
      <c r="AF2466" s="75" t="s">
        <v>0</v>
      </c>
      <c r="AG2466" s="38" t="s">
        <v>9338</v>
      </c>
    </row>
    <row r="2467" spans="1:33" ht="6" customHeight="1" x14ac:dyDescent="0.4">
      <c r="A2467" s="4">
        <f>ROW()</f>
        <v>2467</v>
      </c>
      <c r="B2467" s="9" t="s">
        <v>27</v>
      </c>
      <c r="C2467" s="44" t="str">
        <f>SUBSTITUTE(F2467,"d.","p.")</f>
        <v>p.sonorizar</v>
      </c>
      <c r="D2467" s="6" t="str">
        <f t="shared" si="1296"/>
        <v>é.fase.da.onda</v>
      </c>
      <c r="E2467" s="8" t="s">
        <v>28</v>
      </c>
      <c r="F2467" s="34" t="str">
        <f t="shared" ref="F2467:F2469" si="1310">F2466</f>
        <v>d.sonorizar</v>
      </c>
      <c r="G2467" s="33" t="s">
        <v>2572</v>
      </c>
      <c r="H2467" s="33" t="s">
        <v>35</v>
      </c>
      <c r="I2467" s="92" t="str">
        <f t="shared" si="1272"/>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73"/>
        <v>Propriedade destinada a sonorizar: é.fase.da.onda</v>
      </c>
      <c r="V2467" s="5" t="str">
        <f t="shared" si="1274"/>
        <v>Dado para sonorizar:  fase.da.onda  Deve ser formatado como (xsd:double)</v>
      </c>
      <c r="W2467" s="69" t="s">
        <v>6315</v>
      </c>
      <c r="X2467" s="17" t="str">
        <f t="shared" si="1277"/>
        <v>d.sonor.102</v>
      </c>
      <c r="Y2467" s="17" t="str">
        <f t="shared" si="1278"/>
        <v>Ação de sonorizar</v>
      </c>
      <c r="Z2467" s="62" t="s">
        <v>2513</v>
      </c>
      <c r="AA2467" s="18" t="str">
        <f>IF(AB2467="null", "null", "categoria.revit")</f>
        <v>null</v>
      </c>
      <c r="AB2467" s="19" t="s">
        <v>0</v>
      </c>
      <c r="AC2467" s="18" t="str">
        <f>IF(AD2467="null", "null", "classe.ifc")</f>
        <v>null</v>
      </c>
      <c r="AD2467" s="19" t="s">
        <v>0</v>
      </c>
      <c r="AE2467" s="18" t="str">
        <f>IF(AF2467="null", "null", "propriedade")</f>
        <v>null</v>
      </c>
      <c r="AF2467" s="75" t="s">
        <v>0</v>
      </c>
      <c r="AG2467" s="38" t="s">
        <v>9339</v>
      </c>
    </row>
    <row r="2468" spans="1:33" ht="6" customHeight="1" x14ac:dyDescent="0.4">
      <c r="A2468" s="4">
        <f>ROW()</f>
        <v>2468</v>
      </c>
      <c r="B2468" s="9" t="s">
        <v>27</v>
      </c>
      <c r="C2468" s="44" t="str">
        <f>SUBSTITUTE(F2468,"d.","p.")</f>
        <v>p.sonorizar</v>
      </c>
      <c r="D2468" s="6" t="str">
        <f t="shared" si="1296"/>
        <v>é.frequência.sonora</v>
      </c>
      <c r="E2468" s="8" t="s">
        <v>28</v>
      </c>
      <c r="F2468" s="34" t="str">
        <f t="shared" si="1310"/>
        <v>d.sonorizar</v>
      </c>
      <c r="G2468" s="33" t="s">
        <v>2570</v>
      </c>
      <c r="H2468" s="33" t="s">
        <v>35</v>
      </c>
      <c r="I2468" s="92" t="str">
        <f t="shared" si="1272"/>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73"/>
        <v>Propriedade destinada a sonorizar: é.frequência.sonora</v>
      </c>
      <c r="V2468" s="5" t="str">
        <f t="shared" si="1274"/>
        <v>Dado para sonorizar:  frequência.sonora  Deve ser formatado como (xsd:double)</v>
      </c>
      <c r="W2468" s="69" t="s">
        <v>6316</v>
      </c>
      <c r="X2468" s="17" t="str">
        <f t="shared" si="1277"/>
        <v>d.sonor.103</v>
      </c>
      <c r="Y2468" s="17" t="str">
        <f t="shared" si="1278"/>
        <v>Ação de sonorizar</v>
      </c>
      <c r="Z2468" s="62" t="s">
        <v>2514</v>
      </c>
      <c r="AA2468" s="18" t="str">
        <f>IF(AB2468="null", "null", "categoria.revit")</f>
        <v>null</v>
      </c>
      <c r="AB2468" s="19" t="s">
        <v>0</v>
      </c>
      <c r="AC2468" s="18" t="str">
        <f>IF(AD2468="null", "null", "classe.ifc")</f>
        <v>null</v>
      </c>
      <c r="AD2468" s="19" t="s">
        <v>0</v>
      </c>
      <c r="AE2468" s="18" t="str">
        <f>IF(AF2468="null", "null", "propriedade")</f>
        <v>null</v>
      </c>
      <c r="AF2468" s="75" t="s">
        <v>0</v>
      </c>
      <c r="AG2468" s="38" t="s">
        <v>9340</v>
      </c>
    </row>
    <row r="2469" spans="1:33" ht="6" customHeight="1" x14ac:dyDescent="0.4">
      <c r="A2469" s="4">
        <f>ROW()</f>
        <v>2469</v>
      </c>
      <c r="B2469" s="9" t="s">
        <v>27</v>
      </c>
      <c r="C2469" s="44" t="str">
        <f>SUBSTITUTE(F2469,"d.","p.")</f>
        <v>p.sonorizar</v>
      </c>
      <c r="D2469" s="6" t="str">
        <f t="shared" si="1296"/>
        <v>é.tipo.de.equipo.de.som</v>
      </c>
      <c r="E2469" s="8" t="s">
        <v>28</v>
      </c>
      <c r="F2469" s="34" t="str">
        <f t="shared" si="1310"/>
        <v>d.sonorizar</v>
      </c>
      <c r="G2469" s="13" t="s">
        <v>2569</v>
      </c>
      <c r="H2469" s="34" t="s">
        <v>1581</v>
      </c>
      <c r="I2469" s="92" t="str">
        <f t="shared" si="1272"/>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73"/>
        <v>Propriedade destinada a sonorizar: é.tipo.de.equipo.de.som</v>
      </c>
      <c r="V2469" s="5" t="str">
        <f t="shared" si="1274"/>
        <v>Dado para sonorizar:  tipo.de.equipo.de.som  Deve ser formatado como (rdfs:Literal  or  xsd:string)</v>
      </c>
      <c r="W2469" s="69" t="s">
        <v>6317</v>
      </c>
      <c r="X2469" s="17" t="str">
        <f t="shared" si="1277"/>
        <v>d.sonor.104</v>
      </c>
      <c r="Y2469" s="17" t="str">
        <f t="shared" si="1278"/>
        <v>Ação de sonorizar</v>
      </c>
      <c r="Z2469" s="62" t="s">
        <v>2493</v>
      </c>
      <c r="AA2469" s="18" t="str">
        <f>IF(AB2469="null", "null", "categoria.revit")</f>
        <v>null</v>
      </c>
      <c r="AB2469" s="19" t="s">
        <v>0</v>
      </c>
      <c r="AC2469" s="18" t="str">
        <f>IF(AD2469="null", "null", "classe.ifc")</f>
        <v>null</v>
      </c>
      <c r="AD2469" s="19" t="s">
        <v>0</v>
      </c>
      <c r="AE2469" s="18" t="str">
        <f>IF(AF2469="null", "null", "propriedade")</f>
        <v>null</v>
      </c>
      <c r="AF2469" s="75" t="s">
        <v>0</v>
      </c>
      <c r="AG2469" s="38" t="s">
        <v>9341</v>
      </c>
    </row>
    <row r="2470" spans="1:33" ht="6" customHeight="1" x14ac:dyDescent="0.4">
      <c r="A2470" s="4">
        <f>ROW()</f>
        <v>2470</v>
      </c>
      <c r="B2470" s="9" t="s">
        <v>27</v>
      </c>
      <c r="C2470" s="43" t="str">
        <f t="shared" ref="C2470" si="1311">SUBSTITUTE(F2470,"d.","p.")</f>
        <v>p.suportar</v>
      </c>
      <c r="D2470" s="6" t="str">
        <f t="shared" si="1296"/>
        <v>é.âncora.estrutural</v>
      </c>
      <c r="E2470" s="8" t="s">
        <v>28</v>
      </c>
      <c r="F2470" s="41" t="s">
        <v>2237</v>
      </c>
      <c r="G2470" s="13" t="s">
        <v>2686</v>
      </c>
      <c r="H2470" s="34" t="s">
        <v>1581</v>
      </c>
      <c r="I2470" s="92" t="str">
        <f t="shared" si="1272"/>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73"/>
        <v>Propriedade destinada a suportar: é.âncora.estrutural</v>
      </c>
      <c r="V2470" s="5" t="str">
        <f t="shared" si="1274"/>
        <v>Dado para suportar:  âncora.estrutural  Deve ser formatado como (rdfs:Literal  or  xsd:string)</v>
      </c>
      <c r="W2470" s="69" t="s">
        <v>6318</v>
      </c>
      <c r="X2470" s="17" t="str">
        <f t="shared" si="1277"/>
        <v>d.supor.100</v>
      </c>
      <c r="Y2470" s="17" t="str">
        <f t="shared" si="1278"/>
        <v>Ação de suportar</v>
      </c>
      <c r="Z2470" s="62" t="s">
        <v>2492</v>
      </c>
      <c r="AA2470" s="18" t="str">
        <f t="shared" ref="AA2470" si="1312">IF(AB2470="null", "null", "categoria.revit")</f>
        <v>categoria.revit</v>
      </c>
      <c r="AB2470" s="19" t="s">
        <v>2143</v>
      </c>
      <c r="AC2470" s="18" t="str">
        <f t="shared" ref="AC2470" si="1313">IF(AD2470="null", "null", "classe.ifc")</f>
        <v>classe.ifc</v>
      </c>
      <c r="AD2470" s="19" t="s">
        <v>2094</v>
      </c>
      <c r="AE2470" s="18" t="str">
        <f t="shared" ref="AE2470" si="1314">IF(AF2470="null", "null", "propriedade")</f>
        <v>null</v>
      </c>
      <c r="AF2470" s="75" t="s">
        <v>0</v>
      </c>
      <c r="AG2470" s="38" t="s">
        <v>9342</v>
      </c>
    </row>
    <row r="2471" spans="1:33" ht="6" customHeight="1" x14ac:dyDescent="0.4">
      <c r="A2471" s="4">
        <f>ROW()</f>
        <v>2471</v>
      </c>
      <c r="B2471" s="9" t="s">
        <v>27</v>
      </c>
      <c r="C2471" s="44" t="str">
        <f t="shared" ref="C2471:C2511" si="1315">SUBSTITUTE(F2471,"d.","p.")</f>
        <v>p.suportar</v>
      </c>
      <c r="D2471" s="6" t="str">
        <f t="shared" ref="D2471:D2511" si="1316">_xlfn.CONCAT("é.",G2471)</f>
        <v>é.aparelho.de.apoio</v>
      </c>
      <c r="E2471" s="8" t="s">
        <v>28</v>
      </c>
      <c r="F2471" s="34" t="str">
        <f>F2470</f>
        <v>d.suportar</v>
      </c>
      <c r="G2471" s="13" t="s">
        <v>3428</v>
      </c>
      <c r="H2471" s="34" t="s">
        <v>1581</v>
      </c>
      <c r="I2471" s="92" t="str">
        <f t="shared" si="1272"/>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ref="U2471:U2511" si="1317">_xlfn.CONCAT("Propriedade destinada a ",MID(C2471,FIND("p.",C2471,1)+2,100),": ",D2471)</f>
        <v>Propriedade destinada a suportar: é.aparelho.de.apoio</v>
      </c>
      <c r="V2471" s="5" t="str">
        <f t="shared" ref="V2471:V2511" si="1318">_xlfn.CONCAT("Dado para ",MID(F2471,FIND("d.",F2471,1)+2,100),":  ",G2471, "  Deve ser formatado como (",H2471, ")")</f>
        <v>Dado para suportar:  aparelho.de.apoio  Deve ser formatado como (rdfs:Literal  or  xsd:string)</v>
      </c>
      <c r="W2471" s="69" t="s">
        <v>6319</v>
      </c>
      <c r="X2471" s="17" t="str">
        <f t="shared" si="1277"/>
        <v>d.supor.101</v>
      </c>
      <c r="Y2471" s="17" t="str">
        <f t="shared" si="1278"/>
        <v>Ação de suportar</v>
      </c>
      <c r="Z2471" s="62" t="s">
        <v>3429</v>
      </c>
      <c r="AA2471" s="18" t="str">
        <f t="shared" ref="AA2471:AA2511" si="1319">IF(AB2471="null", "null", "categoria.revit")</f>
        <v>categoria.revit</v>
      </c>
      <c r="AB2471" s="19" t="s">
        <v>3430</v>
      </c>
      <c r="AC2471" s="18" t="str">
        <f t="shared" ref="AC2471:AC2511" si="1320">IF(AD2471="null", "null", "classe.ifc")</f>
        <v>classe.ifc</v>
      </c>
      <c r="AD2471" s="19" t="s">
        <v>2093</v>
      </c>
      <c r="AE2471" s="18" t="str">
        <f t="shared" ref="AE2471:AE2511" si="1321">IF(AF2471="null", "null", "propriedade")</f>
        <v>null</v>
      </c>
      <c r="AF2471" s="75" t="s">
        <v>0</v>
      </c>
      <c r="AG2471" s="38" t="s">
        <v>9343</v>
      </c>
    </row>
    <row r="2472" spans="1:33" ht="6" customHeight="1" x14ac:dyDescent="0.4">
      <c r="A2472" s="4">
        <f>ROW()</f>
        <v>2472</v>
      </c>
      <c r="B2472" s="9" t="s">
        <v>27</v>
      </c>
      <c r="C2472" s="44" t="str">
        <f t="shared" si="1315"/>
        <v>p.suportar</v>
      </c>
      <c r="D2472" s="6" t="str">
        <f t="shared" si="1316"/>
        <v>é.armadura.estrutural</v>
      </c>
      <c r="E2472" s="8" t="s">
        <v>28</v>
      </c>
      <c r="F2472" s="34" t="str">
        <f t="shared" ref="F2472:F2504" si="1322">F2471</f>
        <v>d.suportar</v>
      </c>
      <c r="G2472" s="13" t="s">
        <v>2687</v>
      </c>
      <c r="H2472" s="34" t="s">
        <v>1581</v>
      </c>
      <c r="I2472" s="92" t="str">
        <f t="shared" si="1272"/>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317"/>
        <v>Propriedade destinada a suportar: é.armadura.estrutural</v>
      </c>
      <c r="V2472" s="5" t="str">
        <f t="shared" si="1318"/>
        <v>Dado para suportar:  armadura.estrutural  Deve ser formatado como (rdfs:Literal  or  xsd:string)</v>
      </c>
      <c r="W2472" s="69" t="s">
        <v>6320</v>
      </c>
      <c r="X2472" s="17" t="str">
        <f t="shared" si="1277"/>
        <v>d.supor.102</v>
      </c>
      <c r="Y2472" s="17" t="str">
        <f t="shared" si="1278"/>
        <v>Ação de suportar</v>
      </c>
      <c r="Z2472" s="62" t="s">
        <v>2017</v>
      </c>
      <c r="AA2472" s="18" t="str">
        <f t="shared" si="1319"/>
        <v>categoria.revit</v>
      </c>
      <c r="AB2472" s="19" t="s">
        <v>2142</v>
      </c>
      <c r="AC2472" s="18" t="str">
        <f t="shared" si="1320"/>
        <v>classe.ifc</v>
      </c>
      <c r="AD2472" s="19" t="s">
        <v>2093</v>
      </c>
      <c r="AE2472" s="18" t="str">
        <f t="shared" si="1321"/>
        <v>null</v>
      </c>
      <c r="AF2472" s="75" t="s">
        <v>0</v>
      </c>
      <c r="AG2472" s="38" t="s">
        <v>9344</v>
      </c>
    </row>
    <row r="2473" spans="1:33" ht="6" customHeight="1" x14ac:dyDescent="0.4">
      <c r="A2473" s="4">
        <f>ROW()</f>
        <v>2473</v>
      </c>
      <c r="B2473" s="9" t="s">
        <v>27</v>
      </c>
      <c r="C2473" s="44" t="str">
        <f t="shared" si="1315"/>
        <v>p.suportar</v>
      </c>
      <c r="D2473" s="6" t="str">
        <f t="shared" si="1316"/>
        <v>é.balanço.estrutural</v>
      </c>
      <c r="E2473" s="8" t="s">
        <v>28</v>
      </c>
      <c r="F2473" s="34" t="str">
        <f t="shared" si="1322"/>
        <v>d.suportar</v>
      </c>
      <c r="G2473" s="13" t="s">
        <v>2688</v>
      </c>
      <c r="H2473" s="34" t="s">
        <v>1581</v>
      </c>
      <c r="I2473" s="92" t="str">
        <f t="shared" si="1272"/>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317"/>
        <v>Propriedade destinada a suportar: é.balanço.estrutural</v>
      </c>
      <c r="V2473" s="5" t="str">
        <f t="shared" si="1318"/>
        <v>Dado para suportar:  balanço.estrutural  Deve ser formatado como (rdfs:Literal  or  xsd:string)</v>
      </c>
      <c r="W2473" s="69" t="s">
        <v>6321</v>
      </c>
      <c r="X2473" s="17" t="str">
        <f t="shared" si="1277"/>
        <v>d.supor.103</v>
      </c>
      <c r="Y2473" s="17" t="str">
        <f t="shared" si="1278"/>
        <v>Ação de suportar</v>
      </c>
      <c r="Z2473" s="62" t="s">
        <v>2034</v>
      </c>
      <c r="AA2473" s="18" t="str">
        <f t="shared" si="1319"/>
        <v>categoria.revit</v>
      </c>
      <c r="AB2473" s="19" t="s">
        <v>2321</v>
      </c>
      <c r="AC2473" s="18" t="str">
        <f t="shared" si="1320"/>
        <v>classe.ifc</v>
      </c>
      <c r="AD2473" s="19" t="s">
        <v>2316</v>
      </c>
      <c r="AE2473" s="18" t="str">
        <f t="shared" si="1321"/>
        <v>propriedade</v>
      </c>
      <c r="AF2473" s="75" t="s">
        <v>9633</v>
      </c>
      <c r="AG2473" s="38" t="s">
        <v>9345</v>
      </c>
    </row>
    <row r="2474" spans="1:33" ht="6" customHeight="1" x14ac:dyDescent="0.4">
      <c r="A2474" s="4">
        <f>ROW()</f>
        <v>2474</v>
      </c>
      <c r="B2474" s="9" t="s">
        <v>27</v>
      </c>
      <c r="C2474" s="44" t="str">
        <f t="shared" si="1315"/>
        <v>p.suportar</v>
      </c>
      <c r="D2474" s="6" t="str">
        <f t="shared" si="1316"/>
        <v>é.baldrame</v>
      </c>
      <c r="E2474" s="8" t="s">
        <v>28</v>
      </c>
      <c r="F2474" s="34" t="str">
        <f t="shared" si="1322"/>
        <v>d.suportar</v>
      </c>
      <c r="G2474" s="13" t="s">
        <v>3418</v>
      </c>
      <c r="H2474" s="34" t="s">
        <v>1581</v>
      </c>
      <c r="I2474" s="92" t="str">
        <f t="shared" si="1272"/>
        <v>null</v>
      </c>
      <c r="J2474" s="80" t="s">
        <v>0</v>
      </c>
      <c r="K2474" s="80" t="s">
        <v>0</v>
      </c>
      <c r="L2474" s="80" t="s">
        <v>0</v>
      </c>
      <c r="M2474" s="80" t="s">
        <v>0</v>
      </c>
      <c r="N2474" s="80" t="s">
        <v>0</v>
      </c>
      <c r="O2474" s="80" t="s">
        <v>0</v>
      </c>
      <c r="P2474" s="80" t="s">
        <v>0</v>
      </c>
      <c r="Q2474" s="80" t="s">
        <v>0</v>
      </c>
      <c r="R2474" s="84" t="s">
        <v>3425</v>
      </c>
      <c r="S2474" s="10" t="s">
        <v>1</v>
      </c>
      <c r="T2474" s="10" t="s">
        <v>10221</v>
      </c>
      <c r="U2474" s="5" t="str">
        <f t="shared" si="1317"/>
        <v>Propriedade destinada a suportar: é.baldrame</v>
      </c>
      <c r="V2474" s="5" t="str">
        <f t="shared" si="1318"/>
        <v>Dado para suportar:  baldrame  Deve ser formatado como (rdfs:Literal  or  xsd:string)</v>
      </c>
      <c r="W2474" s="69" t="s">
        <v>3419</v>
      </c>
      <c r="X2474" s="17" t="str">
        <f t="shared" si="1277"/>
        <v>d.supor.104</v>
      </c>
      <c r="Y2474" s="17" t="str">
        <f t="shared" si="1278"/>
        <v>Ação de suportar</v>
      </c>
      <c r="Z2474" s="62" t="s">
        <v>3423</v>
      </c>
      <c r="AA2474" s="18" t="str">
        <f t="shared" si="1319"/>
        <v>categoria.revit</v>
      </c>
      <c r="AB2474" s="19" t="s">
        <v>2146</v>
      </c>
      <c r="AC2474" s="18" t="str">
        <f t="shared" si="1320"/>
        <v>classe.ifc</v>
      </c>
      <c r="AD2474" s="19" t="s">
        <v>2097</v>
      </c>
      <c r="AE2474" s="18" t="str">
        <f t="shared" si="1321"/>
        <v>propriedade</v>
      </c>
      <c r="AF2474" s="75" t="s">
        <v>9635</v>
      </c>
      <c r="AG2474" s="38" t="s">
        <v>9346</v>
      </c>
    </row>
    <row r="2475" spans="1:33" ht="6" customHeight="1" x14ac:dyDescent="0.4">
      <c r="A2475" s="4">
        <f>ROW()</f>
        <v>2475</v>
      </c>
      <c r="B2475" s="9" t="s">
        <v>27</v>
      </c>
      <c r="C2475" s="44" t="str">
        <f t="shared" si="1315"/>
        <v>p.suportar</v>
      </c>
      <c r="D2475" s="6" t="str">
        <f t="shared" si="1316"/>
        <v>é.banzo.estrutural</v>
      </c>
      <c r="E2475" s="8" t="s">
        <v>28</v>
      </c>
      <c r="F2475" s="34" t="str">
        <f t="shared" si="1322"/>
        <v>d.suportar</v>
      </c>
      <c r="G2475" s="13" t="s">
        <v>2689</v>
      </c>
      <c r="H2475" s="34" t="s">
        <v>1581</v>
      </c>
      <c r="I2475" s="92" t="str">
        <f t="shared" si="1272"/>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317"/>
        <v>Propriedade destinada a suportar: é.banzo.estrutural</v>
      </c>
      <c r="V2475" s="5" t="str">
        <f t="shared" si="1318"/>
        <v>Dado para suportar:  banzo.estrutural  Deve ser formatado como (rdfs:Literal  or  xsd:string)</v>
      </c>
      <c r="W2475" s="69" t="s">
        <v>6322</v>
      </c>
      <c r="X2475" s="17" t="str">
        <f t="shared" si="1277"/>
        <v>d.supor.105</v>
      </c>
      <c r="Y2475" s="17" t="str">
        <f t="shared" si="1278"/>
        <v>Ação de suportar</v>
      </c>
      <c r="Z2475" s="62" t="s">
        <v>2018</v>
      </c>
      <c r="AA2475" s="18" t="str">
        <f t="shared" si="1319"/>
        <v>categoria.revit</v>
      </c>
      <c r="AB2475" s="19" t="s">
        <v>2322</v>
      </c>
      <c r="AC2475" s="18" t="str">
        <f t="shared" si="1320"/>
        <v>classe.ifc</v>
      </c>
      <c r="AD2475" s="19" t="s">
        <v>2095</v>
      </c>
      <c r="AE2475" s="18" t="str">
        <f t="shared" si="1321"/>
        <v>null</v>
      </c>
      <c r="AF2475" s="75" t="s">
        <v>0</v>
      </c>
      <c r="AG2475" s="38" t="s">
        <v>9347</v>
      </c>
    </row>
    <row r="2476" spans="1:33" ht="6" customHeight="1" x14ac:dyDescent="0.4">
      <c r="A2476" s="4">
        <f>ROW()</f>
        <v>2476</v>
      </c>
      <c r="B2476" s="9" t="s">
        <v>27</v>
      </c>
      <c r="C2476" s="44" t="str">
        <f t="shared" si="1315"/>
        <v>p.suportar</v>
      </c>
      <c r="D2476" s="6" t="str">
        <f t="shared" si="1316"/>
        <v>é.banzo.estrutural.inferior</v>
      </c>
      <c r="E2476" s="8" t="s">
        <v>28</v>
      </c>
      <c r="F2476" s="34" t="str">
        <f t="shared" si="1322"/>
        <v>d.suportar</v>
      </c>
      <c r="G2476" s="13" t="s">
        <v>2690</v>
      </c>
      <c r="H2476" s="34" t="s">
        <v>1581</v>
      </c>
      <c r="I2476" s="92" t="str">
        <f t="shared" si="1272"/>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317"/>
        <v>Propriedade destinada a suportar: é.banzo.estrutural.inferior</v>
      </c>
      <c r="V2476" s="5" t="str">
        <f t="shared" si="1318"/>
        <v>Dado para suportar:  banzo.estrutural.inferior  Deve ser formatado como (rdfs:Literal  or  xsd:string)</v>
      </c>
      <c r="W2476" s="69" t="s">
        <v>6323</v>
      </c>
      <c r="X2476" s="17" t="str">
        <f t="shared" si="1277"/>
        <v>d.supor.106</v>
      </c>
      <c r="Y2476" s="17" t="str">
        <f t="shared" si="1278"/>
        <v>Ação de suportar</v>
      </c>
      <c r="Z2476" s="62" t="s">
        <v>2019</v>
      </c>
      <c r="AA2476" s="18" t="str">
        <f t="shared" si="1319"/>
        <v>categoria.revit</v>
      </c>
      <c r="AB2476" s="19" t="s">
        <v>2322</v>
      </c>
      <c r="AC2476" s="18" t="str">
        <f t="shared" si="1320"/>
        <v>classe.ifc</v>
      </c>
      <c r="AD2476" s="19" t="s">
        <v>2095</v>
      </c>
      <c r="AE2476" s="18" t="str">
        <f t="shared" si="1321"/>
        <v>null</v>
      </c>
      <c r="AF2476" s="75" t="s">
        <v>0</v>
      </c>
      <c r="AG2476" s="38" t="s">
        <v>9348</v>
      </c>
    </row>
    <row r="2477" spans="1:33" ht="6" customHeight="1" x14ac:dyDescent="0.4">
      <c r="A2477" s="4">
        <f>ROW()</f>
        <v>2477</v>
      </c>
      <c r="B2477" s="9" t="s">
        <v>27</v>
      </c>
      <c r="C2477" s="44" t="str">
        <f t="shared" si="1315"/>
        <v>p.suportar</v>
      </c>
      <c r="D2477" s="6" t="str">
        <f t="shared" si="1316"/>
        <v>é.banzo.estrutural.superior</v>
      </c>
      <c r="E2477" s="8" t="s">
        <v>28</v>
      </c>
      <c r="F2477" s="34" t="str">
        <f t="shared" si="1322"/>
        <v>d.suportar</v>
      </c>
      <c r="G2477" s="13" t="s">
        <v>2691</v>
      </c>
      <c r="H2477" s="34" t="s">
        <v>1581</v>
      </c>
      <c r="I2477" s="92" t="str">
        <f t="shared" si="1272"/>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317"/>
        <v>Propriedade destinada a suportar: é.banzo.estrutural.superior</v>
      </c>
      <c r="V2477" s="5" t="str">
        <f t="shared" si="1318"/>
        <v>Dado para suportar:  banzo.estrutural.superior  Deve ser formatado como (rdfs:Literal  or  xsd:string)</v>
      </c>
      <c r="W2477" s="69" t="s">
        <v>6324</v>
      </c>
      <c r="X2477" s="17" t="str">
        <f t="shared" si="1277"/>
        <v>d.supor.107</v>
      </c>
      <c r="Y2477" s="17" t="str">
        <f t="shared" si="1278"/>
        <v>Ação de suportar</v>
      </c>
      <c r="Z2477" s="62" t="s">
        <v>2020</v>
      </c>
      <c r="AA2477" s="18" t="str">
        <f t="shared" si="1319"/>
        <v>categoria.revit</v>
      </c>
      <c r="AB2477" s="19" t="s">
        <v>2322</v>
      </c>
      <c r="AC2477" s="18" t="str">
        <f t="shared" si="1320"/>
        <v>classe.ifc</v>
      </c>
      <c r="AD2477" s="19" t="s">
        <v>2095</v>
      </c>
      <c r="AE2477" s="18" t="str">
        <f t="shared" si="1321"/>
        <v>null</v>
      </c>
      <c r="AF2477" s="75" t="s">
        <v>0</v>
      </c>
      <c r="AG2477" s="38" t="s">
        <v>9349</v>
      </c>
    </row>
    <row r="2478" spans="1:33" ht="6" customHeight="1" x14ac:dyDescent="0.4">
      <c r="A2478" s="4">
        <f>ROW()</f>
        <v>2478</v>
      </c>
      <c r="B2478" s="9" t="s">
        <v>27</v>
      </c>
      <c r="C2478" s="44" t="str">
        <f t="shared" si="1315"/>
        <v>p.suportar</v>
      </c>
      <c r="D2478" s="6" t="str">
        <f t="shared" si="1316"/>
        <v>é.bloco.de.fundação.estrutural</v>
      </c>
      <c r="E2478" s="8" t="s">
        <v>28</v>
      </c>
      <c r="F2478" s="34" t="str">
        <f t="shared" si="1322"/>
        <v>d.suportar</v>
      </c>
      <c r="G2478" s="13" t="s">
        <v>2697</v>
      </c>
      <c r="H2478" s="34" t="s">
        <v>1581</v>
      </c>
      <c r="I2478" s="92" t="str">
        <f t="shared" si="1272"/>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317"/>
        <v>Propriedade destinada a suportar: é.bloco.de.fundação.estrutural</v>
      </c>
      <c r="V2478" s="5" t="str">
        <f t="shared" si="1318"/>
        <v>Dado para suportar:  bloco.de.fundação.estrutural  Deve ser formatado como (rdfs:Literal  or  xsd:string)</v>
      </c>
      <c r="W2478" s="69" t="s">
        <v>9637</v>
      </c>
      <c r="X2478" s="17" t="str">
        <f t="shared" si="1277"/>
        <v>d.supor.108</v>
      </c>
      <c r="Y2478" s="17" t="str">
        <f t="shared" si="1278"/>
        <v>Ação de suportar</v>
      </c>
      <c r="Z2478" s="62" t="s">
        <v>2023</v>
      </c>
      <c r="AA2478" s="18" t="str">
        <f t="shared" si="1319"/>
        <v>categoria.revit</v>
      </c>
      <c r="AB2478" s="19" t="s">
        <v>2146</v>
      </c>
      <c r="AC2478" s="18" t="str">
        <f t="shared" si="1320"/>
        <v>classe.ifc</v>
      </c>
      <c r="AD2478" s="19" t="s">
        <v>2097</v>
      </c>
      <c r="AE2478" s="18" t="str">
        <f t="shared" si="1321"/>
        <v>propriedade</v>
      </c>
      <c r="AF2478" s="75" t="s">
        <v>9638</v>
      </c>
      <c r="AG2478" s="38" t="s">
        <v>9350</v>
      </c>
    </row>
    <row r="2479" spans="1:33" ht="6" customHeight="1" x14ac:dyDescent="0.4">
      <c r="A2479" s="4">
        <f>ROW()</f>
        <v>2479</v>
      </c>
      <c r="B2479" s="9" t="s">
        <v>27</v>
      </c>
      <c r="C2479" s="44" t="str">
        <f t="shared" si="1315"/>
        <v>p.suportar</v>
      </c>
      <c r="D2479" s="6" t="str">
        <f t="shared" si="1316"/>
        <v>é.coluna.estrutural</v>
      </c>
      <c r="E2479" s="8" t="s">
        <v>28</v>
      </c>
      <c r="F2479" s="34" t="str">
        <f t="shared" si="1322"/>
        <v>d.suportar</v>
      </c>
      <c r="G2479" s="13" t="s">
        <v>2692</v>
      </c>
      <c r="H2479" s="34" t="s">
        <v>1581</v>
      </c>
      <c r="I2479" s="92" t="str">
        <f t="shared" ref="I2479:I2543" si="1323">IF(OR(J2479="Functional",K2479="InverseFunctional"),"Functional","null")</f>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si="1317"/>
        <v>Propriedade destinada a suportar: é.coluna.estrutural</v>
      </c>
      <c r="V2479" s="5" t="str">
        <f t="shared" si="1318"/>
        <v>Dado para suportar:  coluna.estrutural  Deve ser formatado como (rdfs:Literal  or  xsd:string)</v>
      </c>
      <c r="W2479" s="69" t="s">
        <v>6326</v>
      </c>
      <c r="X2479" s="17" t="str">
        <f t="shared" si="1277"/>
        <v>d.supor.109</v>
      </c>
      <c r="Y2479" s="17" t="str">
        <f t="shared" si="1278"/>
        <v>Ação de suportar</v>
      </c>
      <c r="Z2479" s="62" t="s">
        <v>3420</v>
      </c>
      <c r="AA2479" s="18" t="str">
        <f t="shared" si="1319"/>
        <v>categoria.revit</v>
      </c>
      <c r="AB2479" s="19" t="s">
        <v>2108</v>
      </c>
      <c r="AC2479" s="18" t="str">
        <f t="shared" si="1320"/>
        <v>classe.ifc</v>
      </c>
      <c r="AD2479" s="19" t="s">
        <v>2071</v>
      </c>
      <c r="AE2479" s="18" t="str">
        <f t="shared" si="1321"/>
        <v>propriedade</v>
      </c>
      <c r="AF2479" s="75" t="s">
        <v>9634</v>
      </c>
      <c r="AG2479" s="38" t="s">
        <v>9351</v>
      </c>
    </row>
    <row r="2480" spans="1:33" ht="6" customHeight="1" x14ac:dyDescent="0.4">
      <c r="A2480" s="4">
        <f>ROW()</f>
        <v>2480</v>
      </c>
      <c r="B2480" s="9" t="s">
        <v>27</v>
      </c>
      <c r="C2480" s="44" t="str">
        <f t="shared" si="1315"/>
        <v>p.suportar</v>
      </c>
      <c r="D2480" s="6" t="str">
        <f t="shared" si="1316"/>
        <v>é.contraventamento.estrutural</v>
      </c>
      <c r="E2480" s="8" t="s">
        <v>28</v>
      </c>
      <c r="F2480" s="34" t="str">
        <f t="shared" si="1322"/>
        <v>d.suportar</v>
      </c>
      <c r="G2480" s="13" t="s">
        <v>2693</v>
      </c>
      <c r="H2480" s="34" t="s">
        <v>1581</v>
      </c>
      <c r="I2480" s="92" t="str">
        <f t="shared" si="1323"/>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17"/>
        <v>Propriedade destinada a suportar: é.contraventamento.estrutural</v>
      </c>
      <c r="V2480" s="5" t="str">
        <f t="shared" si="1318"/>
        <v>Dado para suportar:  contraventamento.estrutural  Deve ser formatado como (rdfs:Literal  or  xsd:string)</v>
      </c>
      <c r="W2480" s="69" t="s">
        <v>6327</v>
      </c>
      <c r="X2480" s="17" t="str">
        <f t="shared" si="1277"/>
        <v>d.supor.110</v>
      </c>
      <c r="Y2480" s="17" t="str">
        <f t="shared" si="1278"/>
        <v>Ação de suportar</v>
      </c>
      <c r="Z2480" s="62" t="s">
        <v>2021</v>
      </c>
      <c r="AA2480" s="18" t="str">
        <f t="shared" si="1319"/>
        <v>categoria.revit</v>
      </c>
      <c r="AB2480" s="19" t="s">
        <v>2144</v>
      </c>
      <c r="AC2480" s="18" t="str">
        <f t="shared" si="1320"/>
        <v>classe.ifc</v>
      </c>
      <c r="AD2480" s="19" t="s">
        <v>2095</v>
      </c>
      <c r="AE2480" s="18" t="str">
        <f t="shared" si="1321"/>
        <v>null</v>
      </c>
      <c r="AF2480" s="75" t="s">
        <v>0</v>
      </c>
      <c r="AG2480" s="38" t="s">
        <v>9352</v>
      </c>
    </row>
    <row r="2481" spans="1:33" ht="6" customHeight="1" x14ac:dyDescent="0.4">
      <c r="A2481" s="4">
        <f>ROW()</f>
        <v>2481</v>
      </c>
      <c r="B2481" s="9" t="s">
        <v>27</v>
      </c>
      <c r="C2481" s="44" t="str">
        <f t="shared" si="1315"/>
        <v>p.suportar</v>
      </c>
      <c r="D2481" s="6" t="str">
        <f t="shared" si="1316"/>
        <v>é.diagonal.estrutural</v>
      </c>
      <c r="E2481" s="8" t="s">
        <v>28</v>
      </c>
      <c r="F2481" s="34" t="str">
        <f t="shared" si="1322"/>
        <v>d.suportar</v>
      </c>
      <c r="G2481" s="13" t="s">
        <v>2694</v>
      </c>
      <c r="H2481" s="34" t="s">
        <v>1581</v>
      </c>
      <c r="I2481" s="92" t="str">
        <f t="shared" si="1323"/>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17"/>
        <v>Propriedade destinada a suportar: é.diagonal.estrutural</v>
      </c>
      <c r="V2481" s="5" t="str">
        <f t="shared" si="1318"/>
        <v>Dado para suportar:  diagonal.estrutural  Deve ser formatado como (rdfs:Literal  or  xsd:string)</v>
      </c>
      <c r="W2481" s="69" t="s">
        <v>6328</v>
      </c>
      <c r="X2481" s="17" t="str">
        <f t="shared" si="1277"/>
        <v>d.supor.111</v>
      </c>
      <c r="Y2481" s="17" t="str">
        <f t="shared" si="1278"/>
        <v>Ação de suportar</v>
      </c>
      <c r="Z2481" s="62" t="s">
        <v>2022</v>
      </c>
      <c r="AA2481" s="18" t="str">
        <f t="shared" si="1319"/>
        <v>categoria.revit</v>
      </c>
      <c r="AB2481" s="19" t="s">
        <v>2144</v>
      </c>
      <c r="AC2481" s="18" t="str">
        <f t="shared" si="1320"/>
        <v>classe.ifc</v>
      </c>
      <c r="AD2481" s="19" t="s">
        <v>2095</v>
      </c>
      <c r="AE2481" s="18" t="str">
        <f t="shared" si="1321"/>
        <v>null</v>
      </c>
      <c r="AF2481" s="75" t="s">
        <v>0</v>
      </c>
      <c r="AG2481" s="38" t="s">
        <v>9353</v>
      </c>
    </row>
    <row r="2482" spans="1:33" ht="6" customHeight="1" x14ac:dyDescent="0.4">
      <c r="A2482" s="4">
        <f>ROW()</f>
        <v>2482</v>
      </c>
      <c r="B2482" s="9" t="s">
        <v>27</v>
      </c>
      <c r="C2482" s="44" t="str">
        <f t="shared" si="1315"/>
        <v>p.suportar</v>
      </c>
      <c r="D2482" s="6" t="str">
        <f t="shared" si="1316"/>
        <v>é.encontro.estrutural</v>
      </c>
      <c r="E2482" s="8" t="s">
        <v>28</v>
      </c>
      <c r="F2482" s="34" t="str">
        <f t="shared" si="1322"/>
        <v>d.suportar</v>
      </c>
      <c r="G2482" s="13" t="s">
        <v>3514</v>
      </c>
      <c r="H2482" s="34" t="s">
        <v>1581</v>
      </c>
      <c r="I2482" s="92" t="str">
        <f t="shared" si="1323"/>
        <v>null</v>
      </c>
      <c r="J2482" s="80" t="s">
        <v>0</v>
      </c>
      <c r="K2482" s="80" t="s">
        <v>0</v>
      </c>
      <c r="L2482" s="80" t="s">
        <v>0</v>
      </c>
      <c r="M2482" s="80" t="s">
        <v>0</v>
      </c>
      <c r="N2482" s="80" t="s">
        <v>0</v>
      </c>
      <c r="O2482" s="80" t="s">
        <v>0</v>
      </c>
      <c r="P2482" s="80" t="s">
        <v>0</v>
      </c>
      <c r="Q2482" s="80" t="s">
        <v>0</v>
      </c>
      <c r="R2482" s="84" t="s">
        <v>0</v>
      </c>
      <c r="S2482" s="10" t="s">
        <v>1</v>
      </c>
      <c r="T2482" s="10" t="s">
        <v>10221</v>
      </c>
      <c r="U2482" s="5" t="str">
        <f t="shared" si="1317"/>
        <v>Propriedade destinada a suportar: é.encontro.estrutural</v>
      </c>
      <c r="V2482" s="5" t="str">
        <f t="shared" si="1318"/>
        <v>Dado para suportar:  encontro.estrutural  Deve ser formatado como (rdfs:Literal  or  xsd:string)</v>
      </c>
      <c r="W2482" s="69" t="s">
        <v>6329</v>
      </c>
      <c r="X2482" s="17" t="str">
        <f t="shared" si="1277"/>
        <v>d.supor.112</v>
      </c>
      <c r="Y2482" s="17" t="str">
        <f t="shared" si="1278"/>
        <v>Ação de suportar</v>
      </c>
      <c r="Z2482" s="62" t="s">
        <v>3515</v>
      </c>
      <c r="AA2482" s="18" t="str">
        <f t="shared" si="1319"/>
        <v>categoria.revit</v>
      </c>
      <c r="AB2482" s="19" t="s">
        <v>3516</v>
      </c>
      <c r="AC2482" s="18" t="str">
        <f t="shared" si="1320"/>
        <v>classe.ifc</v>
      </c>
      <c r="AD2482" s="19" t="s">
        <v>2097</v>
      </c>
      <c r="AE2482" s="18" t="str">
        <f t="shared" si="1321"/>
        <v>null</v>
      </c>
      <c r="AF2482" s="75" t="s">
        <v>0</v>
      </c>
      <c r="AG2482" s="38" t="s">
        <v>9354</v>
      </c>
    </row>
    <row r="2483" spans="1:33" ht="6" customHeight="1" x14ac:dyDescent="0.4">
      <c r="A2483" s="4">
        <f>ROW()</f>
        <v>2483</v>
      </c>
      <c r="B2483" s="9" t="s">
        <v>27</v>
      </c>
      <c r="C2483" s="44" t="str">
        <f t="shared" si="1315"/>
        <v>p.suportar</v>
      </c>
      <c r="D2483" s="6" t="str">
        <f t="shared" si="1316"/>
        <v>é.enrijecedor.estrutural</v>
      </c>
      <c r="E2483" s="8" t="s">
        <v>28</v>
      </c>
      <c r="F2483" s="34" t="str">
        <f t="shared" si="1322"/>
        <v>d.suportar</v>
      </c>
      <c r="G2483" s="13" t="s">
        <v>2695</v>
      </c>
      <c r="H2483" s="34" t="s">
        <v>1581</v>
      </c>
      <c r="I2483" s="92" t="str">
        <f t="shared" si="1323"/>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17"/>
        <v>Propriedade destinada a suportar: é.enrijecedor.estrutural</v>
      </c>
      <c r="V2483" s="5" t="str">
        <f t="shared" si="1318"/>
        <v>Dado para suportar:  enrijecedor.estrutural  Deve ser formatado como (rdfs:Literal  or  xsd:string)</v>
      </c>
      <c r="W2483" s="69" t="s">
        <v>6330</v>
      </c>
      <c r="X2483" s="17" t="str">
        <f t="shared" si="1277"/>
        <v>d.supor.113</v>
      </c>
      <c r="Y2483" s="17" t="str">
        <f t="shared" si="1278"/>
        <v>Ação de suportar</v>
      </c>
      <c r="Z2483" s="62" t="s">
        <v>2033</v>
      </c>
      <c r="AA2483" s="18" t="str">
        <f t="shared" si="1319"/>
        <v>categoria.revit</v>
      </c>
      <c r="AB2483" s="19" t="s">
        <v>2145</v>
      </c>
      <c r="AC2483" s="18" t="str">
        <f t="shared" si="1320"/>
        <v>classe.ifc</v>
      </c>
      <c r="AD2483" s="19" t="s">
        <v>2096</v>
      </c>
      <c r="AE2483" s="18" t="str">
        <f t="shared" si="1321"/>
        <v>null</v>
      </c>
      <c r="AF2483" s="75" t="s">
        <v>0</v>
      </c>
      <c r="AG2483" s="38" t="s">
        <v>9355</v>
      </c>
    </row>
    <row r="2484" spans="1:33" ht="6" customHeight="1" x14ac:dyDescent="0.4">
      <c r="A2484" s="4">
        <f>ROW()</f>
        <v>2484</v>
      </c>
      <c r="B2484" s="9" t="s">
        <v>27</v>
      </c>
      <c r="C2484" s="44" t="str">
        <f t="shared" si="1315"/>
        <v>p.suportar</v>
      </c>
      <c r="D2484" s="6" t="str">
        <f t="shared" si="1316"/>
        <v>é.estaca.estrutural</v>
      </c>
      <c r="E2484" s="8" t="s">
        <v>28</v>
      </c>
      <c r="F2484" s="34" t="str">
        <f t="shared" si="1322"/>
        <v>d.suportar</v>
      </c>
      <c r="G2484" s="13" t="s">
        <v>2696</v>
      </c>
      <c r="H2484" s="34" t="s">
        <v>1581</v>
      </c>
      <c r="I2484" s="92" t="str">
        <f t="shared" si="1323"/>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17"/>
        <v>Propriedade destinada a suportar: é.estaca.estrutural</v>
      </c>
      <c r="V2484" s="5" t="str">
        <f t="shared" si="1318"/>
        <v>Dado para suportar:  estaca.estrutural  Deve ser formatado como (rdfs:Literal  or  xsd:string)</v>
      </c>
      <c r="W2484" s="69" t="s">
        <v>6325</v>
      </c>
      <c r="X2484" s="17" t="str">
        <f t="shared" si="1277"/>
        <v>d.supor.114</v>
      </c>
      <c r="Y2484" s="17" t="str">
        <f t="shared" si="1278"/>
        <v>Ação de suportar</v>
      </c>
      <c r="Z2484" s="62" t="s">
        <v>2023</v>
      </c>
      <c r="AA2484" s="18" t="str">
        <f t="shared" si="1319"/>
        <v>categoria.revit</v>
      </c>
      <c r="AB2484" s="19" t="s">
        <v>2146</v>
      </c>
      <c r="AC2484" s="18" t="str">
        <f t="shared" si="1320"/>
        <v>classe.ifc</v>
      </c>
      <c r="AD2484" s="19" t="s">
        <v>2097</v>
      </c>
      <c r="AE2484" s="18" t="str">
        <f t="shared" si="1321"/>
        <v>null</v>
      </c>
      <c r="AF2484" s="75" t="s">
        <v>0</v>
      </c>
      <c r="AG2484" s="38" t="s">
        <v>9350</v>
      </c>
    </row>
    <row r="2485" spans="1:33" ht="6" customHeight="1" x14ac:dyDescent="0.4">
      <c r="A2485" s="4">
        <f>ROW()</f>
        <v>2485</v>
      </c>
      <c r="B2485" s="9" t="s">
        <v>27</v>
      </c>
      <c r="C2485" s="44" t="str">
        <f t="shared" si="1315"/>
        <v>p.suportar</v>
      </c>
      <c r="D2485" s="6" t="str">
        <f t="shared" si="1316"/>
        <v>é.estai.estrutural</v>
      </c>
      <c r="E2485" s="8" t="s">
        <v>28</v>
      </c>
      <c r="F2485" s="34" t="str">
        <f t="shared" si="1322"/>
        <v>d.suportar</v>
      </c>
      <c r="G2485" s="13" t="s">
        <v>3432</v>
      </c>
      <c r="H2485" s="34" t="s">
        <v>1581</v>
      </c>
      <c r="I2485" s="92" t="str">
        <f t="shared" si="1323"/>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17"/>
        <v>Propriedade destinada a suportar: é.estai.estrutural</v>
      </c>
      <c r="V2485" s="5" t="str">
        <f t="shared" si="1318"/>
        <v>Dado para suportar:  estai.estrutural  Deve ser formatado como (rdfs:Literal  or  xsd:string)</v>
      </c>
      <c r="W2485" s="69" t="s">
        <v>6331</v>
      </c>
      <c r="X2485" s="17" t="str">
        <f t="shared" si="1277"/>
        <v>d.supor.115</v>
      </c>
      <c r="Y2485" s="17" t="str">
        <f t="shared" si="1278"/>
        <v>Ação de suportar</v>
      </c>
      <c r="Z2485" s="62" t="s">
        <v>3433</v>
      </c>
      <c r="AA2485" s="18" t="str">
        <f t="shared" si="1319"/>
        <v>categoria.revit</v>
      </c>
      <c r="AB2485" s="19" t="s">
        <v>3434</v>
      </c>
      <c r="AC2485" s="18" t="str">
        <f t="shared" si="1320"/>
        <v>classe.ifc</v>
      </c>
      <c r="AD2485" s="19" t="s">
        <v>2097</v>
      </c>
      <c r="AE2485" s="18" t="str">
        <f t="shared" si="1321"/>
        <v>null</v>
      </c>
      <c r="AF2485" s="75" t="s">
        <v>0</v>
      </c>
      <c r="AG2485" s="38" t="s">
        <v>9356</v>
      </c>
    </row>
    <row r="2486" spans="1:33" ht="6" customHeight="1" x14ac:dyDescent="0.4">
      <c r="A2486" s="4">
        <f>ROW()</f>
        <v>2486</v>
      </c>
      <c r="B2486" s="9" t="s">
        <v>27</v>
      </c>
      <c r="C2486" s="44" t="str">
        <f t="shared" si="1315"/>
        <v>p.suportar</v>
      </c>
      <c r="D2486" s="6" t="str">
        <f t="shared" si="1316"/>
        <v>é.fundação.pilone</v>
      </c>
      <c r="E2486" s="8" t="s">
        <v>28</v>
      </c>
      <c r="F2486" s="34" t="str">
        <f t="shared" si="1322"/>
        <v>d.suportar</v>
      </c>
      <c r="G2486" s="13" t="s">
        <v>3512</v>
      </c>
      <c r="H2486" s="34" t="s">
        <v>1581</v>
      </c>
      <c r="I2486" s="92" t="str">
        <f t="shared" si="1323"/>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17"/>
        <v>Propriedade destinada a suportar: é.fundação.pilone</v>
      </c>
      <c r="V2486" s="5" t="str">
        <f t="shared" si="1318"/>
        <v>Dado para suportar:  fundação.pilone  Deve ser formatado como (rdfs:Literal  or  xsd:string)</v>
      </c>
      <c r="W2486" s="69" t="s">
        <v>9636</v>
      </c>
      <c r="X2486" s="17" t="str">
        <f t="shared" si="1277"/>
        <v>d.supor.116</v>
      </c>
      <c r="Y2486" s="17" t="str">
        <f t="shared" si="1278"/>
        <v>Ação de suportar</v>
      </c>
      <c r="Z2486" s="62" t="s">
        <v>2023</v>
      </c>
      <c r="AA2486" s="18" t="str">
        <f t="shared" si="1319"/>
        <v>categoria.revit</v>
      </c>
      <c r="AB2486" s="19" t="s">
        <v>3513</v>
      </c>
      <c r="AC2486" s="18" t="str">
        <f t="shared" si="1320"/>
        <v>classe.ifc</v>
      </c>
      <c r="AD2486" s="19" t="s">
        <v>2097</v>
      </c>
      <c r="AE2486" s="18" t="str">
        <f t="shared" si="1321"/>
        <v>propriedade</v>
      </c>
      <c r="AF2486" s="75" t="s">
        <v>9635</v>
      </c>
      <c r="AG2486" s="38" t="s">
        <v>9350</v>
      </c>
    </row>
    <row r="2487" spans="1:33" ht="6" customHeight="1" x14ac:dyDescent="0.4">
      <c r="A2487" s="4">
        <f>ROW()</f>
        <v>2487</v>
      </c>
      <c r="B2487" s="9" t="s">
        <v>27</v>
      </c>
      <c r="C2487" s="44" t="str">
        <f t="shared" si="1315"/>
        <v>p.suportar</v>
      </c>
      <c r="D2487" s="6" t="str">
        <f t="shared" si="1316"/>
        <v>é.laje.alveolar</v>
      </c>
      <c r="E2487" s="8" t="s">
        <v>28</v>
      </c>
      <c r="F2487" s="34" t="str">
        <f t="shared" si="1322"/>
        <v>d.suportar</v>
      </c>
      <c r="G2487" s="13" t="s">
        <v>9640</v>
      </c>
      <c r="H2487" s="34" t="s">
        <v>1581</v>
      </c>
      <c r="I2487" s="92" t="str">
        <f t="shared" si="1323"/>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17"/>
        <v>Propriedade destinada a suportar: é.laje.alveolar</v>
      </c>
      <c r="V2487" s="5" t="str">
        <f t="shared" si="1318"/>
        <v>Dado para suportar:  laje.alveolar  Deve ser formatado como (rdfs:Literal  or  xsd:string)</v>
      </c>
      <c r="W2487" s="69" t="s">
        <v>9641</v>
      </c>
      <c r="X2487" s="17" t="str">
        <f t="shared" si="1277"/>
        <v>d.supor.117</v>
      </c>
      <c r="Y2487" s="17" t="str">
        <f t="shared" si="1278"/>
        <v>Ação de suportar</v>
      </c>
      <c r="Z2487" s="62" t="s">
        <v>9645</v>
      </c>
      <c r="AA2487" s="18" t="str">
        <f t="shared" si="1319"/>
        <v>categoria.revit</v>
      </c>
      <c r="AB2487" s="19" t="s">
        <v>2321</v>
      </c>
      <c r="AC2487" s="18" t="str">
        <f t="shared" si="1320"/>
        <v>classe.ifc</v>
      </c>
      <c r="AD2487" s="19" t="s">
        <v>2316</v>
      </c>
      <c r="AE2487" s="18" t="str">
        <f t="shared" si="1321"/>
        <v>propriedade</v>
      </c>
      <c r="AF2487" s="75" t="s">
        <v>9633</v>
      </c>
      <c r="AG2487" s="62" t="s">
        <v>9644</v>
      </c>
    </row>
    <row r="2488" spans="1:33" ht="6" customHeight="1" x14ac:dyDescent="0.4">
      <c r="A2488" s="4">
        <f>ROW()</f>
        <v>2488</v>
      </c>
      <c r="B2488" s="9" t="s">
        <v>27</v>
      </c>
      <c r="C2488" s="44" t="str">
        <f t="shared" si="1315"/>
        <v>p.suportar</v>
      </c>
      <c r="D2488" s="6" t="str">
        <f t="shared" si="1316"/>
        <v>é.mastro.estrutural</v>
      </c>
      <c r="E2488" s="8" t="s">
        <v>28</v>
      </c>
      <c r="F2488" s="34" t="str">
        <f t="shared" si="1322"/>
        <v>d.suportar</v>
      </c>
      <c r="G2488" s="13" t="s">
        <v>2698</v>
      </c>
      <c r="H2488" s="34" t="s">
        <v>1581</v>
      </c>
      <c r="I2488" s="92" t="str">
        <f t="shared" si="1323"/>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17"/>
        <v>Propriedade destinada a suportar: é.mastro.estrutural</v>
      </c>
      <c r="V2488" s="5" t="str">
        <f t="shared" si="1318"/>
        <v>Dado para suportar:  mastro.estrutural  Deve ser formatado como (rdfs:Literal  or  xsd:string)</v>
      </c>
      <c r="W2488" s="69" t="s">
        <v>6332</v>
      </c>
      <c r="X2488" s="17" t="str">
        <f t="shared" si="1277"/>
        <v>d.supor.118</v>
      </c>
      <c r="Y2488" s="17" t="str">
        <f t="shared" si="1278"/>
        <v>Ação de suportar</v>
      </c>
      <c r="Z2488" s="62" t="s">
        <v>2024</v>
      </c>
      <c r="AA2488" s="18" t="str">
        <f t="shared" si="1319"/>
        <v>categoria.revit</v>
      </c>
      <c r="AB2488" s="19" t="s">
        <v>2108</v>
      </c>
      <c r="AC2488" s="18" t="str">
        <f t="shared" si="1320"/>
        <v>classe.ifc</v>
      </c>
      <c r="AD2488" s="19" t="s">
        <v>2071</v>
      </c>
      <c r="AE2488" s="18" t="str">
        <f t="shared" si="1321"/>
        <v>propriedade</v>
      </c>
      <c r="AF2488" s="75" t="s">
        <v>9634</v>
      </c>
      <c r="AG2488" s="38" t="s">
        <v>9357</v>
      </c>
    </row>
    <row r="2489" spans="1:33" ht="6" customHeight="1" x14ac:dyDescent="0.4">
      <c r="A2489" s="4">
        <f>ROW()</f>
        <v>2489</v>
      </c>
      <c r="B2489" s="9" t="s">
        <v>27</v>
      </c>
      <c r="C2489" s="44" t="str">
        <f t="shared" si="1315"/>
        <v>p.suportar</v>
      </c>
      <c r="D2489" s="6" t="str">
        <f t="shared" si="1316"/>
        <v>é.membro.estrutural</v>
      </c>
      <c r="E2489" s="8" t="s">
        <v>28</v>
      </c>
      <c r="F2489" s="34" t="str">
        <f t="shared" si="1322"/>
        <v>d.suportar</v>
      </c>
      <c r="G2489" s="13" t="s">
        <v>2699</v>
      </c>
      <c r="H2489" s="34" t="s">
        <v>1581</v>
      </c>
      <c r="I2489" s="92" t="str">
        <f t="shared" si="1323"/>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17"/>
        <v>Propriedade destinada a suportar: é.membro.estrutural</v>
      </c>
      <c r="V2489" s="5" t="str">
        <f t="shared" si="1318"/>
        <v>Dado para suportar:  membro.estrutural  Deve ser formatado como (rdfs:Literal  or  xsd:string)</v>
      </c>
      <c r="W2489" s="69" t="s">
        <v>6333</v>
      </c>
      <c r="X2489" s="17" t="str">
        <f t="shared" si="1277"/>
        <v>d.supor.119</v>
      </c>
      <c r="Y2489" s="17" t="str">
        <f t="shared" si="1278"/>
        <v>Ação de suportar</v>
      </c>
      <c r="Z2489" s="62" t="s">
        <v>2025</v>
      </c>
      <c r="AA2489" s="18" t="str">
        <f t="shared" si="1319"/>
        <v>categoria.revit</v>
      </c>
      <c r="AB2489" s="19" t="s">
        <v>2144</v>
      </c>
      <c r="AC2489" s="18" t="str">
        <f t="shared" si="1320"/>
        <v>classe.ifc</v>
      </c>
      <c r="AD2489" s="19" t="s">
        <v>2095</v>
      </c>
      <c r="AE2489" s="18" t="str">
        <f t="shared" si="1321"/>
        <v>null</v>
      </c>
      <c r="AF2489" s="75" t="s">
        <v>0</v>
      </c>
      <c r="AG2489" s="38" t="s">
        <v>9358</v>
      </c>
    </row>
    <row r="2490" spans="1:33" ht="6" customHeight="1" x14ac:dyDescent="0.4">
      <c r="A2490" s="4">
        <f>ROW()</f>
        <v>2490</v>
      </c>
      <c r="B2490" s="9" t="s">
        <v>27</v>
      </c>
      <c r="C2490" s="44" t="str">
        <f t="shared" si="1315"/>
        <v>p.suportar</v>
      </c>
      <c r="D2490" s="6" t="str">
        <f t="shared" si="1316"/>
        <v>é.montante.estrutural</v>
      </c>
      <c r="E2490" s="8" t="s">
        <v>28</v>
      </c>
      <c r="F2490" s="34" t="str">
        <f t="shared" si="1322"/>
        <v>d.suportar</v>
      </c>
      <c r="G2490" s="13" t="s">
        <v>2700</v>
      </c>
      <c r="H2490" s="34" t="s">
        <v>1581</v>
      </c>
      <c r="I2490" s="92" t="str">
        <f t="shared" si="1323"/>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17"/>
        <v>Propriedade destinada a suportar: é.montante.estrutural</v>
      </c>
      <c r="V2490" s="5" t="str">
        <f t="shared" si="1318"/>
        <v>Dado para suportar:  montante.estrutural  Deve ser formatado como (rdfs:Literal  or  xsd:string)</v>
      </c>
      <c r="W2490" s="69" t="s">
        <v>6334</v>
      </c>
      <c r="X2490" s="17" t="str">
        <f t="shared" si="1277"/>
        <v>d.supor.120</v>
      </c>
      <c r="Y2490" s="17" t="str">
        <f t="shared" si="1278"/>
        <v>Ação de suportar</v>
      </c>
      <c r="Z2490" s="62" t="s">
        <v>2026</v>
      </c>
      <c r="AA2490" s="18" t="str">
        <f t="shared" si="1319"/>
        <v>categoria.revit</v>
      </c>
      <c r="AB2490" s="19" t="s">
        <v>2144</v>
      </c>
      <c r="AC2490" s="18" t="str">
        <f t="shared" si="1320"/>
        <v>classe.ifc</v>
      </c>
      <c r="AD2490" s="19" t="s">
        <v>2095</v>
      </c>
      <c r="AE2490" s="18" t="str">
        <f t="shared" si="1321"/>
        <v>null</v>
      </c>
      <c r="AF2490" s="75" t="s">
        <v>0</v>
      </c>
      <c r="AG2490" s="38" t="s">
        <v>9359</v>
      </c>
    </row>
    <row r="2491" spans="1:33" ht="6" customHeight="1" x14ac:dyDescent="0.4">
      <c r="A2491" s="4">
        <f>ROW()</f>
        <v>2491</v>
      </c>
      <c r="B2491" s="9" t="s">
        <v>27</v>
      </c>
      <c r="C2491" s="44" t="str">
        <f t="shared" si="1315"/>
        <v>p.suportar</v>
      </c>
      <c r="D2491" s="6" t="str">
        <f t="shared" si="1316"/>
        <v>é.núcleo.estrutural</v>
      </c>
      <c r="E2491" s="8" t="s">
        <v>28</v>
      </c>
      <c r="F2491" s="34" t="str">
        <f t="shared" si="1322"/>
        <v>d.suportar</v>
      </c>
      <c r="G2491" s="13" t="s">
        <v>2701</v>
      </c>
      <c r="H2491" s="34" t="s">
        <v>1581</v>
      </c>
      <c r="I2491" s="92" t="str">
        <f t="shared" si="1323"/>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17"/>
        <v>Propriedade destinada a suportar: é.núcleo.estrutural</v>
      </c>
      <c r="V2491" s="5" t="str">
        <f t="shared" si="1318"/>
        <v>Dado para suportar:  núcleo.estrutural  Deve ser formatado como (rdfs:Literal  or  xsd:string)</v>
      </c>
      <c r="W2491" s="69" t="s">
        <v>6335</v>
      </c>
      <c r="X2491" s="17" t="str">
        <f t="shared" si="1277"/>
        <v>d.supor.121</v>
      </c>
      <c r="Y2491" s="17" t="str">
        <f t="shared" si="1278"/>
        <v>Ação de suportar</v>
      </c>
      <c r="Z2491" s="62" t="s">
        <v>2027</v>
      </c>
      <c r="AA2491" s="18" t="str">
        <f t="shared" si="1319"/>
        <v>categoria.revit</v>
      </c>
      <c r="AB2491" s="19" t="s">
        <v>2139</v>
      </c>
      <c r="AC2491" s="18" t="str">
        <f t="shared" si="1320"/>
        <v>classe.ifc</v>
      </c>
      <c r="AD2491" s="19" t="s">
        <v>2091</v>
      </c>
      <c r="AE2491" s="18" t="str">
        <f t="shared" si="1321"/>
        <v>null</v>
      </c>
      <c r="AF2491" s="75" t="s">
        <v>0</v>
      </c>
      <c r="AG2491" s="38" t="s">
        <v>9360</v>
      </c>
    </row>
    <row r="2492" spans="1:33" ht="6" customHeight="1" x14ac:dyDescent="0.4">
      <c r="A2492" s="4">
        <f>ROW()</f>
        <v>2492</v>
      </c>
      <c r="B2492" s="9" t="s">
        <v>27</v>
      </c>
      <c r="C2492" s="44" t="str">
        <f t="shared" si="1315"/>
        <v>p.suportar</v>
      </c>
      <c r="D2492" s="6" t="str">
        <f t="shared" si="1316"/>
        <v>é.pilone.estrutural</v>
      </c>
      <c r="E2492" s="8" t="s">
        <v>28</v>
      </c>
      <c r="F2492" s="34" t="str">
        <f t="shared" si="1322"/>
        <v>d.suportar</v>
      </c>
      <c r="G2492" s="13" t="s">
        <v>2702</v>
      </c>
      <c r="H2492" s="34" t="s">
        <v>1581</v>
      </c>
      <c r="I2492" s="92" t="str">
        <f t="shared" si="1323"/>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17"/>
        <v>Propriedade destinada a suportar: é.pilone.estrutural</v>
      </c>
      <c r="V2492" s="5" t="str">
        <f t="shared" si="1318"/>
        <v>Dado para suportar:  pilone.estrutural  Deve ser formatado como (rdfs:Literal  or  xsd:string)</v>
      </c>
      <c r="W2492" s="69" t="s">
        <v>6336</v>
      </c>
      <c r="X2492" s="17" t="str">
        <f t="shared" si="1277"/>
        <v>d.supor.122</v>
      </c>
      <c r="Y2492" s="17" t="str">
        <f t="shared" si="1278"/>
        <v>Ação de suportar</v>
      </c>
      <c r="Z2492" s="62" t="s">
        <v>2028</v>
      </c>
      <c r="AA2492" s="18" t="str">
        <f t="shared" si="1319"/>
        <v>categoria.revit</v>
      </c>
      <c r="AB2492" s="19" t="s">
        <v>2108</v>
      </c>
      <c r="AC2492" s="18" t="str">
        <f t="shared" si="1320"/>
        <v>classe.ifc</v>
      </c>
      <c r="AD2492" s="19" t="s">
        <v>2071</v>
      </c>
      <c r="AE2492" s="18" t="str">
        <f t="shared" si="1321"/>
        <v>propriedade</v>
      </c>
      <c r="AF2492" s="75" t="s">
        <v>9634</v>
      </c>
      <c r="AG2492" s="38" t="s">
        <v>9361</v>
      </c>
    </row>
    <row r="2493" spans="1:33" ht="6" customHeight="1" x14ac:dyDescent="0.4">
      <c r="A2493" s="4">
        <f>ROW()</f>
        <v>2493</v>
      </c>
      <c r="B2493" s="9" t="s">
        <v>27</v>
      </c>
      <c r="C2493" s="44" t="str">
        <f t="shared" si="1315"/>
        <v>p.suportar</v>
      </c>
      <c r="D2493" s="6" t="str">
        <f t="shared" si="1316"/>
        <v>é.placa.estrutural</v>
      </c>
      <c r="E2493" s="8" t="s">
        <v>28</v>
      </c>
      <c r="F2493" s="34" t="str">
        <f t="shared" si="1322"/>
        <v>d.suportar</v>
      </c>
      <c r="G2493" s="13" t="s">
        <v>2703</v>
      </c>
      <c r="H2493" s="34" t="s">
        <v>1581</v>
      </c>
      <c r="I2493" s="92" t="str">
        <f t="shared" si="1323"/>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17"/>
        <v>Propriedade destinada a suportar: é.placa.estrutural</v>
      </c>
      <c r="V2493" s="5" t="str">
        <f t="shared" si="1318"/>
        <v>Dado para suportar:  placa.estrutural  Deve ser formatado como (rdfs:Literal  or  xsd:string)</v>
      </c>
      <c r="W2493" s="69" t="s">
        <v>6337</v>
      </c>
      <c r="X2493" s="17" t="str">
        <f t="shared" si="1277"/>
        <v>d.supor.123</v>
      </c>
      <c r="Y2493" s="17" t="str">
        <f t="shared" si="1278"/>
        <v>Ação de suportar</v>
      </c>
      <c r="Z2493" s="62" t="s">
        <v>2030</v>
      </c>
      <c r="AA2493" s="18" t="str">
        <f t="shared" si="1319"/>
        <v>categoria.revit</v>
      </c>
      <c r="AB2493" s="19" t="s">
        <v>2147</v>
      </c>
      <c r="AC2493" s="18" t="str">
        <f t="shared" si="1320"/>
        <v>classe.ifc</v>
      </c>
      <c r="AD2493" s="19" t="s">
        <v>2096</v>
      </c>
      <c r="AE2493" s="18" t="str">
        <f t="shared" si="1321"/>
        <v>null</v>
      </c>
      <c r="AF2493" s="75" t="s">
        <v>0</v>
      </c>
      <c r="AG2493" s="38" t="s">
        <v>9362</v>
      </c>
    </row>
    <row r="2494" spans="1:33" ht="6" customHeight="1" x14ac:dyDescent="0.4">
      <c r="A2494" s="4">
        <f>ROW()</f>
        <v>2494</v>
      </c>
      <c r="B2494" s="9" t="s">
        <v>27</v>
      </c>
      <c r="C2494" s="44" t="str">
        <f t="shared" si="1315"/>
        <v>p.suportar</v>
      </c>
      <c r="D2494" s="6" t="str">
        <f t="shared" si="1316"/>
        <v>é.pórtico.estrutural</v>
      </c>
      <c r="E2494" s="8" t="s">
        <v>28</v>
      </c>
      <c r="F2494" s="34" t="str">
        <f t="shared" si="1322"/>
        <v>d.suportar</v>
      </c>
      <c r="G2494" s="13" t="s">
        <v>2704</v>
      </c>
      <c r="H2494" s="34" t="s">
        <v>1581</v>
      </c>
      <c r="I2494" s="92" t="str">
        <f t="shared" si="1323"/>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17"/>
        <v>Propriedade destinada a suportar: é.pórtico.estrutural</v>
      </c>
      <c r="V2494" s="5" t="str">
        <f t="shared" si="1318"/>
        <v>Dado para suportar:  pórtico.estrutural  Deve ser formatado como (rdfs:Literal  or  xsd:string)</v>
      </c>
      <c r="W2494" s="69" t="s">
        <v>6338</v>
      </c>
      <c r="X2494" s="17" t="str">
        <f t="shared" si="1277"/>
        <v>d.supor.124</v>
      </c>
      <c r="Y2494" s="17" t="str">
        <f t="shared" si="1278"/>
        <v>Ação de suportar</v>
      </c>
      <c r="Z2494" s="62" t="s">
        <v>2029</v>
      </c>
      <c r="AA2494" s="18" t="str">
        <f t="shared" si="1319"/>
        <v>categoria.revit</v>
      </c>
      <c r="AB2494" s="19" t="s">
        <v>2319</v>
      </c>
      <c r="AC2494" s="18" t="str">
        <f t="shared" si="1320"/>
        <v>classe.ifc</v>
      </c>
      <c r="AD2494" s="19" t="s">
        <v>2317</v>
      </c>
      <c r="AE2494" s="18" t="str">
        <f t="shared" si="1321"/>
        <v>null</v>
      </c>
      <c r="AF2494" s="75" t="s">
        <v>0</v>
      </c>
      <c r="AG2494" s="38" t="s">
        <v>9362</v>
      </c>
    </row>
    <row r="2495" spans="1:33" ht="6" customHeight="1" x14ac:dyDescent="0.4">
      <c r="A2495" s="4">
        <f>ROW()</f>
        <v>2495</v>
      </c>
      <c r="B2495" s="9" t="s">
        <v>27</v>
      </c>
      <c r="C2495" s="44" t="str">
        <f t="shared" si="1315"/>
        <v>p.suportar</v>
      </c>
      <c r="D2495" s="6" t="str">
        <f t="shared" si="1316"/>
        <v>é.rol.analítico.estrutural</v>
      </c>
      <c r="E2495" s="8" t="s">
        <v>28</v>
      </c>
      <c r="F2495" s="34" t="str">
        <f t="shared" si="1322"/>
        <v>d.suportar</v>
      </c>
      <c r="G2495" s="13" t="s">
        <v>2705</v>
      </c>
      <c r="H2495" s="34" t="s">
        <v>1581</v>
      </c>
      <c r="I2495" s="92" t="str">
        <f t="shared" si="1323"/>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17"/>
        <v>Propriedade destinada a suportar: é.rol.analítico.estrutural</v>
      </c>
      <c r="V2495" s="5" t="str">
        <f t="shared" si="1318"/>
        <v>Dado para suportar:  rol.analítico.estrutural  Deve ser formatado como (rdfs:Literal  or  xsd:string)</v>
      </c>
      <c r="W2495" s="69" t="s">
        <v>6339</v>
      </c>
      <c r="X2495" s="17" t="str">
        <f t="shared" si="1277"/>
        <v>d.supor.125</v>
      </c>
      <c r="Y2495" s="17" t="str">
        <f t="shared" si="1278"/>
        <v>Ação de suportar</v>
      </c>
      <c r="Z2495" s="62" t="s">
        <v>2016</v>
      </c>
      <c r="AA2495" s="18" t="str">
        <f t="shared" si="1319"/>
        <v>null</v>
      </c>
      <c r="AB2495" s="19" t="s">
        <v>0</v>
      </c>
      <c r="AC2495" s="18" t="str">
        <f t="shared" si="1320"/>
        <v>null</v>
      </c>
      <c r="AD2495" s="19" t="s">
        <v>0</v>
      </c>
      <c r="AE2495" s="18" t="str">
        <f t="shared" si="1321"/>
        <v>null</v>
      </c>
      <c r="AF2495" s="75" t="s">
        <v>0</v>
      </c>
      <c r="AG2495" s="38" t="s">
        <v>9363</v>
      </c>
    </row>
    <row r="2496" spans="1:33" ht="6" customHeight="1" x14ac:dyDescent="0.4">
      <c r="A2496" s="4">
        <f>ROW()</f>
        <v>2496</v>
      </c>
      <c r="B2496" s="9" t="s">
        <v>27</v>
      </c>
      <c r="C2496" s="44" t="str">
        <f t="shared" si="1315"/>
        <v>p.suportar</v>
      </c>
      <c r="D2496" s="6" t="str">
        <f t="shared" si="1316"/>
        <v>é.sapata</v>
      </c>
      <c r="E2496" s="8" t="s">
        <v>28</v>
      </c>
      <c r="F2496" s="34" t="str">
        <f t="shared" si="1322"/>
        <v>d.suportar</v>
      </c>
      <c r="G2496" s="13" t="s">
        <v>3414</v>
      </c>
      <c r="H2496" s="34" t="s">
        <v>1581</v>
      </c>
      <c r="I2496" s="92" t="str">
        <f t="shared" si="1323"/>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17"/>
        <v>Propriedade destinada a suportar: é.sapata</v>
      </c>
      <c r="V2496" s="5" t="str">
        <f t="shared" si="1318"/>
        <v>Dado para suportar:  sapata  Deve ser formatado como (rdfs:Literal  or  xsd:string)</v>
      </c>
      <c r="W2496" s="69" t="s">
        <v>3416</v>
      </c>
      <c r="X2496" s="17" t="str">
        <f t="shared" si="1277"/>
        <v>d.supor.126</v>
      </c>
      <c r="Y2496" s="17" t="str">
        <f t="shared" si="1278"/>
        <v>Ação de suportar</v>
      </c>
      <c r="Z2496" s="62" t="s">
        <v>3421</v>
      </c>
      <c r="AA2496" s="18" t="str">
        <f t="shared" si="1319"/>
        <v>categoria.revit</v>
      </c>
      <c r="AB2496" s="19" t="s">
        <v>2146</v>
      </c>
      <c r="AC2496" s="18" t="str">
        <f t="shared" si="1320"/>
        <v>classe.ifc</v>
      </c>
      <c r="AD2496" s="19" t="s">
        <v>2097</v>
      </c>
      <c r="AE2496" s="18" t="str">
        <f t="shared" si="1321"/>
        <v>propriedade</v>
      </c>
      <c r="AF2496" s="75" t="s">
        <v>9639</v>
      </c>
      <c r="AG2496" s="38" t="s">
        <v>9364</v>
      </c>
    </row>
    <row r="2497" spans="1:33" ht="6" customHeight="1" x14ac:dyDescent="0.4">
      <c r="A2497" s="4">
        <f>ROW()</f>
        <v>2497</v>
      </c>
      <c r="B2497" s="9" t="s">
        <v>27</v>
      </c>
      <c r="C2497" s="44" t="str">
        <f t="shared" si="1315"/>
        <v>p.suportar</v>
      </c>
      <c r="D2497" s="6" t="str">
        <f t="shared" si="1316"/>
        <v>é.sapata.corrida</v>
      </c>
      <c r="E2497" s="8" t="s">
        <v>28</v>
      </c>
      <c r="F2497" s="34" t="str">
        <f t="shared" si="1322"/>
        <v>d.suportar</v>
      </c>
      <c r="G2497" s="13" t="s">
        <v>3415</v>
      </c>
      <c r="H2497" s="34" t="s">
        <v>1581</v>
      </c>
      <c r="I2497" s="92" t="str">
        <f t="shared" si="1323"/>
        <v>null</v>
      </c>
      <c r="J2497" s="80" t="s">
        <v>0</v>
      </c>
      <c r="K2497" s="80" t="s">
        <v>0</v>
      </c>
      <c r="L2497" s="80" t="s">
        <v>0</v>
      </c>
      <c r="M2497" s="80" t="s">
        <v>0</v>
      </c>
      <c r="N2497" s="80" t="s">
        <v>0</v>
      </c>
      <c r="O2497" s="80" t="s">
        <v>0</v>
      </c>
      <c r="P2497" s="80" t="s">
        <v>0</v>
      </c>
      <c r="Q2497" s="80" t="s">
        <v>0</v>
      </c>
      <c r="R2497" s="84" t="s">
        <v>3424</v>
      </c>
      <c r="S2497" s="10" t="s">
        <v>1</v>
      </c>
      <c r="T2497" s="10" t="s">
        <v>10221</v>
      </c>
      <c r="U2497" s="5" t="str">
        <f t="shared" si="1317"/>
        <v>Propriedade destinada a suportar: é.sapata.corrida</v>
      </c>
      <c r="V2497" s="5" t="str">
        <f t="shared" si="1318"/>
        <v>Dado para suportar:  sapata.corrida  Deve ser formatado como (rdfs:Literal  or  xsd:string)</v>
      </c>
      <c r="W2497" s="69" t="s">
        <v>3417</v>
      </c>
      <c r="X2497" s="17" t="str">
        <f t="shared" si="1277"/>
        <v>d.supor.127</v>
      </c>
      <c r="Y2497" s="17" t="str">
        <f t="shared" si="1278"/>
        <v>Ação de suportar</v>
      </c>
      <c r="Z2497" s="62" t="s">
        <v>3422</v>
      </c>
      <c r="AA2497" s="18" t="str">
        <f t="shared" si="1319"/>
        <v>categoria.revit</v>
      </c>
      <c r="AB2497" s="19" t="s">
        <v>2146</v>
      </c>
      <c r="AC2497" s="18" t="str">
        <f t="shared" si="1320"/>
        <v>classe.ifc</v>
      </c>
      <c r="AD2497" s="19" t="s">
        <v>2097</v>
      </c>
      <c r="AE2497" s="18" t="str">
        <f t="shared" si="1321"/>
        <v>null</v>
      </c>
      <c r="AF2497" s="75" t="s">
        <v>0</v>
      </c>
      <c r="AG2497" s="38" t="s">
        <v>9365</v>
      </c>
    </row>
    <row r="2498" spans="1:33" ht="6" customHeight="1" x14ac:dyDescent="0.4">
      <c r="A2498" s="4">
        <f>ROW()</f>
        <v>2498</v>
      </c>
      <c r="B2498" s="9" t="s">
        <v>27</v>
      </c>
      <c r="C2498" s="44" t="str">
        <f t="shared" si="1315"/>
        <v>p.suportar</v>
      </c>
      <c r="D2498" s="6" t="str">
        <f t="shared" si="1316"/>
        <v>é.tabuleiro.estrutural</v>
      </c>
      <c r="E2498" s="8" t="s">
        <v>28</v>
      </c>
      <c r="F2498" s="34" t="str">
        <f t="shared" si="1322"/>
        <v>d.suportar</v>
      </c>
      <c r="G2498" s="13" t="s">
        <v>3426</v>
      </c>
      <c r="H2498" s="34" t="s">
        <v>1581</v>
      </c>
      <c r="I2498" s="92" t="str">
        <f t="shared" si="1323"/>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17"/>
        <v>Propriedade destinada a suportar: é.tabuleiro.estrutural</v>
      </c>
      <c r="V2498" s="5" t="str">
        <f t="shared" si="1318"/>
        <v>Dado para suportar:  tabuleiro.estrutural  Deve ser formatado como (rdfs:Literal  or  xsd:string)</v>
      </c>
      <c r="W2498" s="69" t="s">
        <v>6340</v>
      </c>
      <c r="X2498" s="17" t="str">
        <f t="shared" si="1277"/>
        <v>d.supor.128</v>
      </c>
      <c r="Y2498" s="17" t="str">
        <f t="shared" si="1278"/>
        <v>Ação de suportar</v>
      </c>
      <c r="Z2498" s="62" t="s">
        <v>3427</v>
      </c>
      <c r="AA2498" s="18" t="str">
        <f t="shared" si="1319"/>
        <v>categoria.revit</v>
      </c>
      <c r="AB2498" s="19" t="s">
        <v>3431</v>
      </c>
      <c r="AC2498" s="18" t="str">
        <f t="shared" si="1320"/>
        <v>classe.ifc</v>
      </c>
      <c r="AD2498" s="19" t="s">
        <v>2099</v>
      </c>
      <c r="AE2498" s="18" t="str">
        <f t="shared" si="1321"/>
        <v>null</v>
      </c>
      <c r="AF2498" s="75" t="s">
        <v>0</v>
      </c>
      <c r="AG2498" s="38" t="s">
        <v>9366</v>
      </c>
    </row>
    <row r="2499" spans="1:33" ht="6" customHeight="1" x14ac:dyDescent="0.4">
      <c r="A2499" s="4">
        <f>ROW()</f>
        <v>2499</v>
      </c>
      <c r="B2499" s="9" t="s">
        <v>27</v>
      </c>
      <c r="C2499" s="44" t="str">
        <f t="shared" si="1315"/>
        <v>p.suportar</v>
      </c>
      <c r="D2499" s="6" t="str">
        <f t="shared" si="1316"/>
        <v>é.tensor.estrutural</v>
      </c>
      <c r="E2499" s="8" t="s">
        <v>28</v>
      </c>
      <c r="F2499" s="34" t="str">
        <f t="shared" si="1322"/>
        <v>d.suportar</v>
      </c>
      <c r="G2499" s="13" t="s">
        <v>2706</v>
      </c>
      <c r="H2499" s="34" t="s">
        <v>1581</v>
      </c>
      <c r="I2499" s="92" t="str">
        <f t="shared" si="1323"/>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17"/>
        <v>Propriedade destinada a suportar: é.tensor.estrutural</v>
      </c>
      <c r="V2499" s="5" t="str">
        <f t="shared" si="1318"/>
        <v>Dado para suportar:  tensor.estrutural  Deve ser formatado como (rdfs:Literal  or  xsd:string)</v>
      </c>
      <c r="W2499" s="69" t="s">
        <v>6341</v>
      </c>
      <c r="X2499" s="17" t="str">
        <f t="shared" ref="X2499:X2562" si="1324">IF(F2498&lt;&gt;F2499,_xlfn.CONCAT(RIGHT(LEFT(F2499,7),7),".100"),_xlfn.CONCAT(RIGHT(LEFT(F2499,7),7),".",SUM(VALUE(RIGHT(X2498,3)),1)))</f>
        <v>d.supor.129</v>
      </c>
      <c r="Y2499" s="17" t="str">
        <f t="shared" ref="Y2499:Y2562" si="1325">_xlfn.CONCAT("Ação de ", SUBSTITUTE(F2499, "d.",  ""))</f>
        <v>Ação de suportar</v>
      </c>
      <c r="Z2499" s="62" t="s">
        <v>2031</v>
      </c>
      <c r="AA2499" s="18" t="str">
        <f t="shared" si="1319"/>
        <v>categoria.revit</v>
      </c>
      <c r="AB2499" s="19" t="s">
        <v>2148</v>
      </c>
      <c r="AC2499" s="18" t="str">
        <f t="shared" si="1320"/>
        <v>classe.ifc</v>
      </c>
      <c r="AD2499" s="19" t="s">
        <v>2098</v>
      </c>
      <c r="AE2499" s="18" t="str">
        <f t="shared" si="1321"/>
        <v>null</v>
      </c>
      <c r="AF2499" s="75" t="s">
        <v>0</v>
      </c>
      <c r="AG2499" s="38" t="s">
        <v>9367</v>
      </c>
    </row>
    <row r="2500" spans="1:33" ht="6" customHeight="1" x14ac:dyDescent="0.4">
      <c r="A2500" s="4">
        <f>ROW()</f>
        <v>2500</v>
      </c>
      <c r="B2500" s="9" t="s">
        <v>27</v>
      </c>
      <c r="C2500" s="44" t="str">
        <f t="shared" si="1315"/>
        <v>p.suportar</v>
      </c>
      <c r="D2500" s="6" t="str">
        <f t="shared" si="1316"/>
        <v>é.treliça.estrutural</v>
      </c>
      <c r="E2500" s="8" t="s">
        <v>28</v>
      </c>
      <c r="F2500" s="34" t="str">
        <f t="shared" si="1322"/>
        <v>d.suportar</v>
      </c>
      <c r="G2500" s="13" t="s">
        <v>2707</v>
      </c>
      <c r="H2500" s="34" t="s">
        <v>1581</v>
      </c>
      <c r="I2500" s="92" t="str">
        <f t="shared" si="1323"/>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17"/>
        <v>Propriedade destinada a suportar: é.treliça.estrutural</v>
      </c>
      <c r="V2500" s="5" t="str">
        <f t="shared" si="1318"/>
        <v>Dado para suportar:  treliça.estrutural  Deve ser formatado como (rdfs:Literal  or  xsd:string)</v>
      </c>
      <c r="W2500" s="69" t="s">
        <v>6342</v>
      </c>
      <c r="X2500" s="17" t="str">
        <f t="shared" si="1324"/>
        <v>d.supor.130</v>
      </c>
      <c r="Y2500" s="17" t="str">
        <f t="shared" si="1325"/>
        <v>Ação de suportar</v>
      </c>
      <c r="Z2500" s="62" t="s">
        <v>2032</v>
      </c>
      <c r="AA2500" s="18" t="str">
        <f t="shared" si="1319"/>
        <v>categoria.revit</v>
      </c>
      <c r="AB2500" s="19" t="s">
        <v>2320</v>
      </c>
      <c r="AC2500" s="18" t="str">
        <f t="shared" si="1320"/>
        <v>classe.ifc</v>
      </c>
      <c r="AD2500" s="19" t="s">
        <v>2318</v>
      </c>
      <c r="AE2500" s="18" t="str">
        <f t="shared" si="1321"/>
        <v>null</v>
      </c>
      <c r="AF2500" s="75" t="s">
        <v>0</v>
      </c>
      <c r="AG2500" s="38" t="s">
        <v>9368</v>
      </c>
    </row>
    <row r="2501" spans="1:33" ht="6" customHeight="1" x14ac:dyDescent="0.4">
      <c r="A2501" s="4">
        <f>ROW()</f>
        <v>2501</v>
      </c>
      <c r="B2501" s="9" t="s">
        <v>27</v>
      </c>
      <c r="C2501" s="44" t="str">
        <f t="shared" si="1315"/>
        <v>p.suportar</v>
      </c>
      <c r="D2501" s="6" t="str">
        <f t="shared" si="1316"/>
        <v>é.viga.estrutural</v>
      </c>
      <c r="E2501" s="8" t="s">
        <v>28</v>
      </c>
      <c r="F2501" s="34" t="str">
        <f t="shared" si="1322"/>
        <v>d.suportar</v>
      </c>
      <c r="G2501" s="13" t="s">
        <v>2708</v>
      </c>
      <c r="H2501" s="34" t="s">
        <v>1581</v>
      </c>
      <c r="I2501" s="92" t="str">
        <f t="shared" si="1323"/>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17"/>
        <v>Propriedade destinada a suportar: é.viga.estrutural</v>
      </c>
      <c r="V2501" s="5" t="str">
        <f t="shared" si="1318"/>
        <v>Dado para suportar:  viga.estrutural  Deve ser formatado como (rdfs:Literal  or  xsd:string)</v>
      </c>
      <c r="W2501" s="69" t="s">
        <v>6343</v>
      </c>
      <c r="X2501" s="17" t="str">
        <f t="shared" si="1324"/>
        <v>d.supor.131</v>
      </c>
      <c r="Y2501" s="17" t="str">
        <f t="shared" si="1325"/>
        <v>Ação de suportar</v>
      </c>
      <c r="Z2501" s="62" t="s">
        <v>1216</v>
      </c>
      <c r="AA2501" s="18" t="str">
        <f t="shared" si="1319"/>
        <v>categoria.revit</v>
      </c>
      <c r="AB2501" s="19" t="s">
        <v>2144</v>
      </c>
      <c r="AC2501" s="18" t="str">
        <f t="shared" si="1320"/>
        <v>classe.ifc</v>
      </c>
      <c r="AD2501" s="19" t="s">
        <v>2099</v>
      </c>
      <c r="AE2501" s="18" t="str">
        <f t="shared" si="1321"/>
        <v>propriedade</v>
      </c>
      <c r="AF2501" s="75" t="s">
        <v>9633</v>
      </c>
      <c r="AG2501" s="38" t="s">
        <v>9369</v>
      </c>
    </row>
    <row r="2502" spans="1:33" ht="6" customHeight="1" x14ac:dyDescent="0.4">
      <c r="A2502" s="4">
        <f>ROW()</f>
        <v>2502</v>
      </c>
      <c r="B2502" s="9" t="s">
        <v>27</v>
      </c>
      <c r="C2502" s="44" t="str">
        <f t="shared" si="1315"/>
        <v>p.suportar</v>
      </c>
      <c r="D2502" s="6" t="str">
        <f t="shared" si="1316"/>
        <v>é.viga.longarina</v>
      </c>
      <c r="E2502" s="8" t="s">
        <v>28</v>
      </c>
      <c r="F2502" s="34" t="str">
        <f t="shared" si="1322"/>
        <v>d.suportar</v>
      </c>
      <c r="G2502" s="13" t="s">
        <v>3517</v>
      </c>
      <c r="H2502" s="34" t="s">
        <v>1581</v>
      </c>
      <c r="I2502" s="92" t="str">
        <f t="shared" si="1323"/>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17"/>
        <v>Propriedade destinada a suportar: é.viga.longarina</v>
      </c>
      <c r="V2502" s="5" t="str">
        <f t="shared" si="1318"/>
        <v>Dado para suportar:  viga.longarina  Deve ser formatado como (rdfs:Literal  or  xsd:string)</v>
      </c>
      <c r="W2502" s="69" t="s">
        <v>6344</v>
      </c>
      <c r="X2502" s="17" t="str">
        <f t="shared" si="1324"/>
        <v>d.supor.132</v>
      </c>
      <c r="Y2502" s="17" t="str">
        <f t="shared" si="1325"/>
        <v>Ação de suportar</v>
      </c>
      <c r="Z2502" s="62" t="s">
        <v>3519</v>
      </c>
      <c r="AA2502" s="18" t="str">
        <f t="shared" si="1319"/>
        <v>categoria.revit</v>
      </c>
      <c r="AB2502" s="19" t="s">
        <v>2144</v>
      </c>
      <c r="AC2502" s="18" t="str">
        <f t="shared" si="1320"/>
        <v>classe.ifc</v>
      </c>
      <c r="AD2502" s="19" t="s">
        <v>2099</v>
      </c>
      <c r="AE2502" s="18" t="str">
        <f t="shared" si="1321"/>
        <v>propriedade</v>
      </c>
      <c r="AF2502" s="75" t="s">
        <v>9633</v>
      </c>
      <c r="AG2502" s="38" t="s">
        <v>9370</v>
      </c>
    </row>
    <row r="2503" spans="1:33" ht="6" customHeight="1" x14ac:dyDescent="0.4">
      <c r="A2503" s="4">
        <f>ROW()</f>
        <v>2503</v>
      </c>
      <c r="B2503" s="9" t="s">
        <v>27</v>
      </c>
      <c r="C2503" s="44" t="str">
        <f t="shared" si="1315"/>
        <v>p.suportar</v>
      </c>
      <c r="D2503" s="6" t="str">
        <f t="shared" si="1316"/>
        <v>é.viga.protendida</v>
      </c>
      <c r="E2503" s="8" t="s">
        <v>28</v>
      </c>
      <c r="F2503" s="34" t="str">
        <f t="shared" si="1322"/>
        <v>d.suportar</v>
      </c>
      <c r="G2503" s="13" t="s">
        <v>9629</v>
      </c>
      <c r="H2503" s="34" t="s">
        <v>1581</v>
      </c>
      <c r="I2503" s="92" t="str">
        <f t="shared" si="1323"/>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17"/>
        <v>Propriedade destinada a suportar: é.viga.protendida</v>
      </c>
      <c r="V2503" s="5" t="str">
        <f t="shared" si="1318"/>
        <v>Dado para suportar:  viga.protendida  Deve ser formatado como (rdfs:Literal  or  xsd:string)</v>
      </c>
      <c r="W2503" s="69" t="s">
        <v>9630</v>
      </c>
      <c r="X2503" s="17" t="str">
        <f t="shared" si="1324"/>
        <v>d.supor.133</v>
      </c>
      <c r="Y2503" s="17" t="str">
        <f t="shared" si="1325"/>
        <v>Ação de suportar</v>
      </c>
      <c r="Z2503" s="62" t="s">
        <v>9631</v>
      </c>
      <c r="AA2503" s="18" t="str">
        <f t="shared" si="1319"/>
        <v>categoria.revit</v>
      </c>
      <c r="AB2503" s="19" t="s">
        <v>2144</v>
      </c>
      <c r="AC2503" s="18" t="str">
        <f t="shared" si="1320"/>
        <v>classe.ifc</v>
      </c>
      <c r="AD2503" s="19" t="s">
        <v>2099</v>
      </c>
      <c r="AE2503" s="18" t="str">
        <f t="shared" si="1321"/>
        <v>propriedade</v>
      </c>
      <c r="AF2503" s="75" t="s">
        <v>9633</v>
      </c>
      <c r="AG2503" s="62" t="s">
        <v>9632</v>
      </c>
    </row>
    <row r="2504" spans="1:33" ht="6" customHeight="1" x14ac:dyDescent="0.4">
      <c r="A2504" s="4">
        <f>ROW()</f>
        <v>2504</v>
      </c>
      <c r="B2504" s="9" t="s">
        <v>27</v>
      </c>
      <c r="C2504" s="44" t="str">
        <f t="shared" si="1315"/>
        <v>p.suportar</v>
      </c>
      <c r="D2504" s="6" t="str">
        <f t="shared" si="1316"/>
        <v>é.viga.traversina</v>
      </c>
      <c r="E2504" s="8" t="s">
        <v>28</v>
      </c>
      <c r="F2504" s="34" t="str">
        <f t="shared" si="1322"/>
        <v>d.suportar</v>
      </c>
      <c r="G2504" s="13" t="s">
        <v>3518</v>
      </c>
      <c r="H2504" s="34" t="s">
        <v>1581</v>
      </c>
      <c r="I2504" s="92" t="str">
        <f t="shared" si="1323"/>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17"/>
        <v>Propriedade destinada a suportar: é.viga.traversina</v>
      </c>
      <c r="V2504" s="5" t="str">
        <f t="shared" si="1318"/>
        <v>Dado para suportar:  viga.traversina  Deve ser formatado como (rdfs:Literal  or  xsd:string)</v>
      </c>
      <c r="W2504" s="69" t="s">
        <v>6345</v>
      </c>
      <c r="X2504" s="17" t="str">
        <f t="shared" si="1324"/>
        <v>d.supor.134</v>
      </c>
      <c r="Y2504" s="17" t="str">
        <f t="shared" si="1325"/>
        <v>Ação de suportar</v>
      </c>
      <c r="Z2504" s="62" t="s">
        <v>3520</v>
      </c>
      <c r="AA2504" s="18" t="str">
        <f t="shared" si="1319"/>
        <v>categoria.revit</v>
      </c>
      <c r="AB2504" s="19" t="s">
        <v>2144</v>
      </c>
      <c r="AC2504" s="18" t="str">
        <f t="shared" si="1320"/>
        <v>classe.ifc</v>
      </c>
      <c r="AD2504" s="19" t="s">
        <v>2099</v>
      </c>
      <c r="AE2504" s="18" t="str">
        <f t="shared" si="1321"/>
        <v>propriedade</v>
      </c>
      <c r="AF2504" s="75" t="s">
        <v>9633</v>
      </c>
      <c r="AG2504" s="38" t="s">
        <v>9371</v>
      </c>
    </row>
    <row r="2505" spans="1:33" ht="6" customHeight="1" x14ac:dyDescent="0.4">
      <c r="A2505" s="4">
        <f>ROW()</f>
        <v>2505</v>
      </c>
      <c r="B2505" s="9" t="s">
        <v>27</v>
      </c>
      <c r="C2505" s="43" t="str">
        <f t="shared" si="1315"/>
        <v>p.tabular</v>
      </c>
      <c r="D2505" s="6" t="str">
        <f t="shared" si="1316"/>
        <v>é.questionário</v>
      </c>
      <c r="E2505" s="8" t="s">
        <v>28</v>
      </c>
      <c r="F2505" s="41" t="s">
        <v>2238</v>
      </c>
      <c r="G2505" s="13" t="s">
        <v>2818</v>
      </c>
      <c r="H2505" s="34" t="s">
        <v>1581</v>
      </c>
      <c r="I2505" s="92" t="str">
        <f t="shared" si="1323"/>
        <v>null</v>
      </c>
      <c r="J2505" s="80" t="s">
        <v>0</v>
      </c>
      <c r="K2505" s="80" t="s">
        <v>0</v>
      </c>
      <c r="L2505" s="80" t="s">
        <v>0</v>
      </c>
      <c r="M2505" s="80" t="s">
        <v>0</v>
      </c>
      <c r="N2505" s="80" t="s">
        <v>0</v>
      </c>
      <c r="O2505" s="80" t="s">
        <v>0</v>
      </c>
      <c r="P2505" s="80" t="s">
        <v>0</v>
      </c>
      <c r="Q2505" s="80" t="s">
        <v>0</v>
      </c>
      <c r="R2505" s="84" t="s">
        <v>0</v>
      </c>
      <c r="S2505" s="10" t="s">
        <v>1</v>
      </c>
      <c r="T2505" s="10" t="s">
        <v>10221</v>
      </c>
      <c r="U2505" s="5" t="str">
        <f t="shared" si="1317"/>
        <v>Propriedade destinada a tabular: é.questionário</v>
      </c>
      <c r="V2505" s="5" t="str">
        <f t="shared" si="1318"/>
        <v>Dado para tabular:  questionário  Deve ser formatado como (rdfs:Literal  or  xsd:string)</v>
      </c>
      <c r="W2505" s="69" t="s">
        <v>9819</v>
      </c>
      <c r="X2505" s="17" t="str">
        <f t="shared" si="1324"/>
        <v>d.tabul.100</v>
      </c>
      <c r="Y2505" s="17" t="str">
        <f t="shared" si="1325"/>
        <v>Ação de tabular</v>
      </c>
      <c r="Z2505" s="62" t="s">
        <v>9836</v>
      </c>
      <c r="AA2505" s="18" t="str">
        <f t="shared" si="1319"/>
        <v>categoria.revit</v>
      </c>
      <c r="AB2505" s="19" t="s">
        <v>7172</v>
      </c>
      <c r="AC2505" s="18" t="str">
        <f t="shared" si="1320"/>
        <v>null</v>
      </c>
      <c r="AD2505" s="19" t="s">
        <v>0</v>
      </c>
      <c r="AE2505" s="18" t="str">
        <f t="shared" si="1321"/>
        <v>propriedade</v>
      </c>
      <c r="AF2505" s="75" t="s">
        <v>9826</v>
      </c>
      <c r="AG2505" s="38" t="s">
        <v>9829</v>
      </c>
    </row>
    <row r="2506" spans="1:33" ht="6" customHeight="1" x14ac:dyDescent="0.4">
      <c r="A2506" s="4">
        <f>ROW()</f>
        <v>2506</v>
      </c>
      <c r="B2506" s="9" t="s">
        <v>27</v>
      </c>
      <c r="C2506" s="44" t="str">
        <f t="shared" si="1315"/>
        <v>p.tabular</v>
      </c>
      <c r="D2506" s="6" t="str">
        <f t="shared" si="1316"/>
        <v>é.formulário</v>
      </c>
      <c r="E2506" s="8" t="s">
        <v>28</v>
      </c>
      <c r="F2506" s="34" t="str">
        <f>F2505</f>
        <v>d.tabular</v>
      </c>
      <c r="G2506" s="13" t="s">
        <v>9818</v>
      </c>
      <c r="H2506" s="34" t="s">
        <v>1581</v>
      </c>
      <c r="I2506" s="92" t="str">
        <f t="shared" si="1323"/>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17"/>
        <v>Propriedade destinada a tabular: é.formulário</v>
      </c>
      <c r="V2506" s="5" t="str">
        <f t="shared" si="1318"/>
        <v>Dado para tabular:  formulário  Deve ser formatado como (rdfs:Literal  or  xsd:string)</v>
      </c>
      <c r="W2506" s="69" t="s">
        <v>9820</v>
      </c>
      <c r="X2506" s="17" t="str">
        <f t="shared" si="1324"/>
        <v>d.tabul.101</v>
      </c>
      <c r="Y2506" s="17" t="str">
        <f t="shared" si="1325"/>
        <v>Ação de tabular</v>
      </c>
      <c r="Z2506" s="62" t="s">
        <v>9837</v>
      </c>
      <c r="AA2506" s="18" t="str">
        <f t="shared" si="1319"/>
        <v>categoria.revit</v>
      </c>
      <c r="AB2506" s="19" t="s">
        <v>7172</v>
      </c>
      <c r="AC2506" s="18" t="str">
        <f t="shared" si="1320"/>
        <v>null</v>
      </c>
      <c r="AD2506" s="19" t="s">
        <v>0</v>
      </c>
      <c r="AE2506" s="18" t="str">
        <f t="shared" si="1321"/>
        <v>propriedade</v>
      </c>
      <c r="AF2506" s="75" t="s">
        <v>9827</v>
      </c>
      <c r="AG2506" s="38" t="s">
        <v>9830</v>
      </c>
    </row>
    <row r="2507" spans="1:33" ht="6" customHeight="1" x14ac:dyDescent="0.4">
      <c r="A2507" s="4">
        <f>ROW()</f>
        <v>2507</v>
      </c>
      <c r="B2507" s="9" t="s">
        <v>27</v>
      </c>
      <c r="C2507" s="44" t="str">
        <f t="shared" si="1315"/>
        <v>p.tabular</v>
      </c>
      <c r="D2507" s="6" t="str">
        <f t="shared" si="1316"/>
        <v>é.tabela</v>
      </c>
      <c r="E2507" s="8" t="s">
        <v>28</v>
      </c>
      <c r="F2507" s="34" t="str">
        <f t="shared" ref="F2507:F2511" si="1326">F2506</f>
        <v>d.tabular</v>
      </c>
      <c r="G2507" s="13" t="s">
        <v>2709</v>
      </c>
      <c r="H2507" s="34" t="s">
        <v>1581</v>
      </c>
      <c r="I2507" s="92" t="str">
        <f t="shared" si="1323"/>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17"/>
        <v>Propriedade destinada a tabular: é.tabela</v>
      </c>
      <c r="V2507" s="5" t="str">
        <f t="shared" si="1318"/>
        <v>Dado para tabular:  tabela  Deve ser formatado como (rdfs:Literal  or  xsd:string)</v>
      </c>
      <c r="W2507" s="69" t="s">
        <v>9821</v>
      </c>
      <c r="X2507" s="17" t="str">
        <f t="shared" si="1324"/>
        <v>d.tabul.102</v>
      </c>
      <c r="Y2507" s="17" t="str">
        <f t="shared" si="1325"/>
        <v>Ação de tabular</v>
      </c>
      <c r="Z2507" s="62" t="s">
        <v>9838</v>
      </c>
      <c r="AA2507" s="18" t="str">
        <f t="shared" si="1319"/>
        <v>categoria.revit</v>
      </c>
      <c r="AB2507" s="19" t="s">
        <v>7172</v>
      </c>
      <c r="AC2507" s="18" t="str">
        <f t="shared" si="1320"/>
        <v>null</v>
      </c>
      <c r="AD2507" s="19" t="s">
        <v>0</v>
      </c>
      <c r="AE2507" s="18" t="str">
        <f t="shared" si="1321"/>
        <v>propriedade</v>
      </c>
      <c r="AF2507" s="75" t="s">
        <v>9828</v>
      </c>
      <c r="AG2507" s="38" t="s">
        <v>9832</v>
      </c>
    </row>
    <row r="2508" spans="1:33" ht="6" customHeight="1" x14ac:dyDescent="0.4">
      <c r="A2508" s="4">
        <f>ROW()</f>
        <v>2508</v>
      </c>
      <c r="B2508" s="9" t="s">
        <v>27</v>
      </c>
      <c r="C2508" s="44" t="str">
        <f t="shared" si="1315"/>
        <v>p.tabular</v>
      </c>
      <c r="D2508" s="6" t="str">
        <f t="shared" si="1316"/>
        <v>é.tabela.chave</v>
      </c>
      <c r="E2508" s="8" t="s">
        <v>28</v>
      </c>
      <c r="F2508" s="34" t="str">
        <f t="shared" si="1326"/>
        <v>d.tabular</v>
      </c>
      <c r="G2508" s="13" t="s">
        <v>2819</v>
      </c>
      <c r="H2508" s="34" t="s">
        <v>1581</v>
      </c>
      <c r="I2508" s="92" t="str">
        <f t="shared" si="1323"/>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17"/>
        <v>Propriedade destinada a tabular: é.tabela.chave</v>
      </c>
      <c r="V2508" s="5" t="str">
        <f t="shared" si="1318"/>
        <v>Dado para tabular:  tabela.chave  Deve ser formatado como (rdfs:Literal  or  xsd:string)</v>
      </c>
      <c r="W2508" s="69" t="s">
        <v>9822</v>
      </c>
      <c r="X2508" s="17" t="str">
        <f t="shared" si="1324"/>
        <v>d.tabul.103</v>
      </c>
      <c r="Y2508" s="17" t="str">
        <f t="shared" si="1325"/>
        <v>Ação de tabular</v>
      </c>
      <c r="Z2508" s="62" t="s">
        <v>9839</v>
      </c>
      <c r="AA2508" s="18" t="str">
        <f t="shared" si="1319"/>
        <v>categoria.revit</v>
      </c>
      <c r="AB2508" s="19" t="s">
        <v>7172</v>
      </c>
      <c r="AC2508" s="18" t="str">
        <f t="shared" si="1320"/>
        <v>null</v>
      </c>
      <c r="AD2508" s="19" t="s">
        <v>0</v>
      </c>
      <c r="AE2508" s="18" t="str">
        <f t="shared" si="1321"/>
        <v>propriedade</v>
      </c>
      <c r="AF2508" s="75" t="s">
        <v>9828</v>
      </c>
      <c r="AG2508" s="38" t="s">
        <v>9831</v>
      </c>
    </row>
    <row r="2509" spans="1:33" ht="6" customHeight="1" x14ac:dyDescent="0.4">
      <c r="A2509" s="4">
        <f>ROW()</f>
        <v>2509</v>
      </c>
      <c r="B2509" s="9" t="s">
        <v>27</v>
      </c>
      <c r="C2509" s="44" t="str">
        <f t="shared" si="1315"/>
        <v>p.tabular</v>
      </c>
      <c r="D2509" s="6" t="str">
        <f t="shared" si="1316"/>
        <v>é.tabela.gráfica</v>
      </c>
      <c r="E2509" s="8" t="s">
        <v>28</v>
      </c>
      <c r="F2509" s="34" t="str">
        <f t="shared" si="1326"/>
        <v>d.tabular</v>
      </c>
      <c r="G2509" s="13" t="s">
        <v>2710</v>
      </c>
      <c r="H2509" s="34" t="s">
        <v>1581</v>
      </c>
      <c r="I2509" s="92" t="str">
        <f t="shared" si="1323"/>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17"/>
        <v>Propriedade destinada a tabular: é.tabela.gráfica</v>
      </c>
      <c r="V2509" s="5" t="str">
        <f t="shared" si="1318"/>
        <v>Dado para tabular:  tabela.gráfica  Deve ser formatado como (rdfs:Literal  or  xsd:string)</v>
      </c>
      <c r="W2509" s="69" t="s">
        <v>9823</v>
      </c>
      <c r="X2509" s="17" t="str">
        <f t="shared" si="1324"/>
        <v>d.tabul.104</v>
      </c>
      <c r="Y2509" s="17" t="str">
        <f t="shared" si="1325"/>
        <v>Ação de tabular</v>
      </c>
      <c r="Z2509" s="62" t="s">
        <v>9840</v>
      </c>
      <c r="AA2509" s="18" t="str">
        <f t="shared" si="1319"/>
        <v>categoria.revit</v>
      </c>
      <c r="AB2509" s="19" t="s">
        <v>7172</v>
      </c>
      <c r="AC2509" s="18" t="str">
        <f t="shared" si="1320"/>
        <v>null</v>
      </c>
      <c r="AD2509" s="19" t="s">
        <v>0</v>
      </c>
      <c r="AE2509" s="18" t="str">
        <f t="shared" si="1321"/>
        <v>propriedade</v>
      </c>
      <c r="AF2509" s="75" t="s">
        <v>9828</v>
      </c>
      <c r="AG2509" s="38" t="s">
        <v>9833</v>
      </c>
    </row>
    <row r="2510" spans="1:33" ht="6" customHeight="1" x14ac:dyDescent="0.4">
      <c r="A2510" s="4">
        <f>ROW()</f>
        <v>2510</v>
      </c>
      <c r="B2510" s="9" t="s">
        <v>27</v>
      </c>
      <c r="C2510" s="44" t="str">
        <f t="shared" si="1315"/>
        <v>p.tabular</v>
      </c>
      <c r="D2510" s="6" t="str">
        <f t="shared" si="1316"/>
        <v>é.tabela.orçamentária</v>
      </c>
      <c r="E2510" s="8" t="s">
        <v>28</v>
      </c>
      <c r="F2510" s="34" t="str">
        <f t="shared" si="1326"/>
        <v>d.tabular</v>
      </c>
      <c r="G2510" s="13" t="s">
        <v>2820</v>
      </c>
      <c r="H2510" s="34" t="s">
        <v>1581</v>
      </c>
      <c r="I2510" s="92" t="str">
        <f t="shared" si="1323"/>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17"/>
        <v>Propriedade destinada a tabular: é.tabela.orçamentária</v>
      </c>
      <c r="V2510" s="5" t="str">
        <f t="shared" si="1318"/>
        <v>Dado para tabular:  tabela.orçamentária  Deve ser formatado como (rdfs:Literal  or  xsd:string)</v>
      </c>
      <c r="W2510" s="69" t="s">
        <v>9824</v>
      </c>
      <c r="X2510" s="17" t="str">
        <f t="shared" si="1324"/>
        <v>d.tabul.105</v>
      </c>
      <c r="Y2510" s="17" t="str">
        <f t="shared" si="1325"/>
        <v>Ação de tabular</v>
      </c>
      <c r="Z2510" s="62" t="s">
        <v>9841</v>
      </c>
      <c r="AA2510" s="18" t="str">
        <f t="shared" si="1319"/>
        <v>categoria.revit</v>
      </c>
      <c r="AB2510" s="19" t="s">
        <v>7172</v>
      </c>
      <c r="AC2510" s="18" t="str">
        <f t="shared" si="1320"/>
        <v>null</v>
      </c>
      <c r="AD2510" s="19" t="s">
        <v>0</v>
      </c>
      <c r="AE2510" s="18" t="str">
        <f t="shared" si="1321"/>
        <v>propriedade</v>
      </c>
      <c r="AF2510" s="75" t="s">
        <v>9828</v>
      </c>
      <c r="AG2510" s="38" t="s">
        <v>9834</v>
      </c>
    </row>
    <row r="2511" spans="1:33" ht="6" customHeight="1" x14ac:dyDescent="0.4">
      <c r="A2511" s="4">
        <f>ROW()</f>
        <v>2511</v>
      </c>
      <c r="B2511" s="9" t="s">
        <v>27</v>
      </c>
      <c r="C2511" s="44" t="str">
        <f t="shared" si="1315"/>
        <v>p.tabular</v>
      </c>
      <c r="D2511" s="6" t="str">
        <f t="shared" si="1316"/>
        <v>é.tabela.quantitativa</v>
      </c>
      <c r="E2511" s="8" t="s">
        <v>28</v>
      </c>
      <c r="F2511" s="34" t="str">
        <f t="shared" si="1326"/>
        <v>d.tabular</v>
      </c>
      <c r="G2511" s="13" t="s">
        <v>2821</v>
      </c>
      <c r="H2511" s="34" t="s">
        <v>1581</v>
      </c>
      <c r="I2511" s="92" t="str">
        <f t="shared" si="1323"/>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17"/>
        <v>Propriedade destinada a tabular: é.tabela.quantitativa</v>
      </c>
      <c r="V2511" s="5" t="str">
        <f t="shared" si="1318"/>
        <v>Dado para tabular:  tabela.quantitativa  Deve ser formatado como (rdfs:Literal  or  xsd:string)</v>
      </c>
      <c r="W2511" s="69" t="s">
        <v>9825</v>
      </c>
      <c r="X2511" s="17" t="str">
        <f t="shared" si="1324"/>
        <v>d.tabul.106</v>
      </c>
      <c r="Y2511" s="17" t="str">
        <f t="shared" si="1325"/>
        <v>Ação de tabular</v>
      </c>
      <c r="Z2511" s="62" t="s">
        <v>9842</v>
      </c>
      <c r="AA2511" s="18" t="str">
        <f t="shared" si="1319"/>
        <v>categoria.revit</v>
      </c>
      <c r="AB2511" s="19" t="s">
        <v>7172</v>
      </c>
      <c r="AC2511" s="18" t="str">
        <f t="shared" si="1320"/>
        <v>null</v>
      </c>
      <c r="AD2511" s="19" t="s">
        <v>0</v>
      </c>
      <c r="AE2511" s="18" t="str">
        <f t="shared" si="1321"/>
        <v>propriedade</v>
      </c>
      <c r="AF2511" s="75" t="s">
        <v>9828</v>
      </c>
      <c r="AG2511" s="38" t="s">
        <v>9835</v>
      </c>
    </row>
    <row r="2512" spans="1:33" ht="6" customHeight="1" x14ac:dyDescent="0.4">
      <c r="A2512" s="4">
        <f>ROW()</f>
        <v>2512</v>
      </c>
      <c r="B2512" s="9" t="s">
        <v>27</v>
      </c>
      <c r="C2512" s="43" t="str">
        <f t="shared" ref="C2512" si="1327">SUBSTITUTE(F2512,"d.","p.")</f>
        <v>p.taxonomizar</v>
      </c>
      <c r="D2512" s="6" t="str">
        <f t="shared" si="1296"/>
        <v>é.aplicado.em</v>
      </c>
      <c r="E2512" s="8" t="s">
        <v>28</v>
      </c>
      <c r="F2512" s="40" t="s">
        <v>2239</v>
      </c>
      <c r="G2512" s="37" t="s">
        <v>1710</v>
      </c>
      <c r="H2512" s="33" t="s">
        <v>1581</v>
      </c>
      <c r="I2512" s="92" t="str">
        <f t="shared" si="1323"/>
        <v>null</v>
      </c>
      <c r="J2512" s="82" t="s">
        <v>0</v>
      </c>
      <c r="K2512" s="82" t="s">
        <v>0</v>
      </c>
      <c r="L2512" s="82" t="s">
        <v>0</v>
      </c>
      <c r="M2512" s="82" t="s">
        <v>0</v>
      </c>
      <c r="N2512" s="80" t="s">
        <v>0</v>
      </c>
      <c r="O2512" s="82" t="s">
        <v>0</v>
      </c>
      <c r="P2512" s="82" t="s">
        <v>0</v>
      </c>
      <c r="Q2512" s="82" t="s">
        <v>0</v>
      </c>
      <c r="R2512" s="84" t="s">
        <v>0</v>
      </c>
      <c r="S2512" s="10" t="s">
        <v>1</v>
      </c>
      <c r="T2512" s="10" t="s">
        <v>10221</v>
      </c>
      <c r="U2512" s="5" t="str">
        <f t="shared" ref="U2512:U2548" si="1328">_xlfn.CONCAT("Propriedade destinada a ",MID(C2512,FIND("p.",C2512,1)+2,100),": ",D2512)</f>
        <v>Propriedade destinada a taxonomizar: é.aplicado.em</v>
      </c>
      <c r="V2512" s="5" t="str">
        <f t="shared" ref="V2512:V2548" si="1329">_xlfn.CONCAT("Dado para ",MID(F2512,FIND("d.",F2512,1)+2,100),":  ",G2512, "  Deve ser formatado como (",H2512, ")")</f>
        <v>Dado para taxonomizar:  aplicado.em  Deve ser formatado como (rdfs:Literal  or  xsd:string)</v>
      </c>
      <c r="W2512" s="69" t="s">
        <v>6346</v>
      </c>
      <c r="X2512" s="17" t="str">
        <f t="shared" si="1324"/>
        <v>d.taxon.100</v>
      </c>
      <c r="Y2512" s="17" t="str">
        <f t="shared" si="1325"/>
        <v>Ação de taxonomizar</v>
      </c>
      <c r="Z2512" s="62" t="s">
        <v>1952</v>
      </c>
      <c r="AA2512" s="18" t="str">
        <f t="shared" ref="AA2512" si="1330">IF(AB2512="null", "null", "categoria.revit")</f>
        <v>null</v>
      </c>
      <c r="AB2512" s="19" t="s">
        <v>0</v>
      </c>
      <c r="AC2512" s="18" t="str">
        <f t="shared" ref="AC2512" si="1331">IF(AD2512="null", "null", "classe.ifc")</f>
        <v>null</v>
      </c>
      <c r="AD2512" s="19" t="s">
        <v>0</v>
      </c>
      <c r="AE2512" s="18" t="str">
        <f t="shared" si="1301"/>
        <v>null</v>
      </c>
      <c r="AF2512" s="75" t="s">
        <v>0</v>
      </c>
      <c r="AG2512" s="38" t="s">
        <v>9372</v>
      </c>
    </row>
    <row r="2513" spans="1:33" ht="6" customHeight="1" x14ac:dyDescent="0.4">
      <c r="A2513" s="4">
        <f>ROW()</f>
        <v>2513</v>
      </c>
      <c r="B2513" s="9" t="s">
        <v>27</v>
      </c>
      <c r="C2513" s="44" t="str">
        <f t="shared" ref="C2513:C2545" si="1332">SUBSTITUTE(F2513,"d.","p.")</f>
        <v>p.taxonomizar</v>
      </c>
      <c r="D2513" s="6" t="str">
        <f t="shared" ref="D2513:D2577" si="1333">_xlfn.CONCAT("é.",G2513)</f>
        <v>é.ação.projetual</v>
      </c>
      <c r="E2513" s="8" t="s">
        <v>28</v>
      </c>
      <c r="F2513" s="34" t="str">
        <f t="shared" ref="F2513:F2554" si="1334">F2512</f>
        <v>d.taxonomizar</v>
      </c>
      <c r="G2513" s="37" t="s">
        <v>1764</v>
      </c>
      <c r="H2513" s="33" t="s">
        <v>1581</v>
      </c>
      <c r="I2513" s="92" t="str">
        <f t="shared" si="1323"/>
        <v>null</v>
      </c>
      <c r="J2513" s="82" t="s">
        <v>0</v>
      </c>
      <c r="K2513" s="82" t="s">
        <v>0</v>
      </c>
      <c r="L2513" s="82" t="s">
        <v>0</v>
      </c>
      <c r="M2513" s="82" t="s">
        <v>0</v>
      </c>
      <c r="N2513" s="80" t="s">
        <v>0</v>
      </c>
      <c r="O2513" s="82" t="s">
        <v>0</v>
      </c>
      <c r="P2513" s="82" t="s">
        <v>0</v>
      </c>
      <c r="Q2513" s="82" t="s">
        <v>0</v>
      </c>
      <c r="R2513" s="84" t="s">
        <v>0</v>
      </c>
      <c r="S2513" s="10" t="s">
        <v>1</v>
      </c>
      <c r="T2513" s="10" t="s">
        <v>10221</v>
      </c>
      <c r="U2513" s="5" t="str">
        <f t="shared" si="1328"/>
        <v>Propriedade destinada a taxonomizar: é.ação.projetual</v>
      </c>
      <c r="V2513" s="5" t="str">
        <f t="shared" si="1329"/>
        <v>Dado para taxonomizar:  ação.projetual  Deve ser formatado como (rdfs:Literal  or  xsd:string)</v>
      </c>
      <c r="W2513" s="69" t="s">
        <v>6347</v>
      </c>
      <c r="X2513" s="17" t="str">
        <f t="shared" si="1324"/>
        <v>d.taxon.101</v>
      </c>
      <c r="Y2513" s="17" t="str">
        <f t="shared" si="1325"/>
        <v>Ação de taxonomizar</v>
      </c>
      <c r="Z2513" s="62" t="s">
        <v>1954</v>
      </c>
      <c r="AA2513" s="18" t="str">
        <f t="shared" ref="AA2513:AA2545" si="1335">IF(AB2513="null", "null", "categoria.revit")</f>
        <v>null</v>
      </c>
      <c r="AB2513" s="19" t="s">
        <v>0</v>
      </c>
      <c r="AC2513" s="18" t="str">
        <f t="shared" ref="AC2513:AC2545" si="1336">IF(AD2513="null", "null", "classe.ifc")</f>
        <v>null</v>
      </c>
      <c r="AD2513" s="19" t="s">
        <v>0</v>
      </c>
      <c r="AE2513" s="18" t="str">
        <f t="shared" si="1301"/>
        <v>null</v>
      </c>
      <c r="AF2513" s="75" t="s">
        <v>0</v>
      </c>
      <c r="AG2513" s="38" t="s">
        <v>9373</v>
      </c>
    </row>
    <row r="2514" spans="1:33" ht="6" customHeight="1" x14ac:dyDescent="0.4">
      <c r="A2514" s="4">
        <f>ROW()</f>
        <v>2514</v>
      </c>
      <c r="B2514" s="9" t="s">
        <v>27</v>
      </c>
      <c r="C2514" s="44" t="str">
        <f t="shared" ref="C2514" si="1337">SUBSTITUTE(F2514,"d.","p.")</f>
        <v>p.taxonomizar</v>
      </c>
      <c r="D2514" s="6" t="str">
        <f t="shared" ref="D2514" si="1338">_xlfn.CONCAT("é.",G2514)</f>
        <v>é.alinhada.com</v>
      </c>
      <c r="E2514" s="8" t="s">
        <v>28</v>
      </c>
      <c r="F2514" s="34" t="str">
        <f>F2512</f>
        <v>d.taxonomizar</v>
      </c>
      <c r="G2514" s="37" t="s">
        <v>10292</v>
      </c>
      <c r="H2514" s="33" t="s">
        <v>1581</v>
      </c>
      <c r="I2514" s="92" t="str">
        <f t="shared" ref="I2514" si="1339">IF(OR(J2514="Functional",K2514="InverseFunctional"),"Functional","null")</f>
        <v>null</v>
      </c>
      <c r="J2514" s="82" t="s">
        <v>0</v>
      </c>
      <c r="K2514" s="82" t="s">
        <v>0</v>
      </c>
      <c r="L2514" s="82" t="s">
        <v>0</v>
      </c>
      <c r="M2514" s="82" t="s">
        <v>0</v>
      </c>
      <c r="N2514" s="80" t="s">
        <v>0</v>
      </c>
      <c r="O2514" s="82" t="s">
        <v>0</v>
      </c>
      <c r="P2514" s="82" t="s">
        <v>0</v>
      </c>
      <c r="Q2514" s="82" t="s">
        <v>0</v>
      </c>
      <c r="R2514" s="84" t="s">
        <v>10293</v>
      </c>
      <c r="S2514" s="10" t="s">
        <v>1</v>
      </c>
      <c r="T2514" s="10" t="s">
        <v>10221</v>
      </c>
      <c r="U2514" s="5" t="str">
        <f t="shared" ref="U2514" si="1340">_xlfn.CONCAT("Propriedade destinada a ",MID(C2514,FIND("p.",C2514,1)+2,100),": ",D2514)</f>
        <v>Propriedade destinada a taxonomizar: é.alinhada.com</v>
      </c>
      <c r="V2514" s="5" t="str">
        <f t="shared" ref="V2514" si="1341">_xlfn.CONCAT("Dado para ",MID(F2514,FIND("d.",F2514,1)+2,100),":  ",G2514, "  Deve ser formatado como (",H2514, ")")</f>
        <v>Dado para taxonomizar:  alinhada.com  Deve ser formatado como (rdfs:Literal  or  xsd:string)</v>
      </c>
      <c r="W2514" s="69" t="s">
        <v>10295</v>
      </c>
      <c r="X2514" s="17" t="str">
        <f t="shared" si="1324"/>
        <v>d.taxon.102</v>
      </c>
      <c r="Y2514" s="17" t="str">
        <f t="shared" si="1325"/>
        <v>Ação de taxonomizar</v>
      </c>
      <c r="Z2514" s="62" t="s">
        <v>10298</v>
      </c>
      <c r="AA2514" s="18" t="str">
        <f t="shared" ref="AA2514" si="1342">IF(AB2514="null", "null", "categoria.revit")</f>
        <v>null</v>
      </c>
      <c r="AB2514" s="19" t="s">
        <v>0</v>
      </c>
      <c r="AC2514" s="18" t="str">
        <f t="shared" ref="AC2514" si="1343">IF(AD2514="null", "null", "classe.ifc")</f>
        <v>null</v>
      </c>
      <c r="AD2514" s="19" t="s">
        <v>0</v>
      </c>
      <c r="AE2514" s="18" t="str">
        <f t="shared" ref="AE2514" si="1344">IF(AF2514="null", "null", "propriedade")</f>
        <v>null</v>
      </c>
      <c r="AF2514" s="75" t="s">
        <v>0</v>
      </c>
      <c r="AG2514" s="38" t="s">
        <v>10291</v>
      </c>
    </row>
    <row r="2515" spans="1:33" ht="6" customHeight="1" x14ac:dyDescent="0.4">
      <c r="A2515" s="4">
        <f>ROW()</f>
        <v>2515</v>
      </c>
      <c r="B2515" s="9" t="s">
        <v>27</v>
      </c>
      <c r="C2515" s="44" t="str">
        <f t="shared" si="1332"/>
        <v>p.taxonomizar</v>
      </c>
      <c r="D2515" s="6" t="str">
        <f t="shared" si="1333"/>
        <v>é.alinhado.com</v>
      </c>
      <c r="E2515" s="8" t="s">
        <v>28</v>
      </c>
      <c r="F2515" s="34" t="str">
        <f>F2513</f>
        <v>d.taxonomizar</v>
      </c>
      <c r="G2515" s="37" t="s">
        <v>1747</v>
      </c>
      <c r="H2515" s="33" t="s">
        <v>1581</v>
      </c>
      <c r="I2515" s="92" t="str">
        <f t="shared" si="1323"/>
        <v>null</v>
      </c>
      <c r="J2515" s="82" t="s">
        <v>0</v>
      </c>
      <c r="K2515" s="82" t="s">
        <v>0</v>
      </c>
      <c r="L2515" s="82" t="s">
        <v>0</v>
      </c>
      <c r="M2515" s="82" t="s">
        <v>0</v>
      </c>
      <c r="N2515" s="80" t="s">
        <v>0</v>
      </c>
      <c r="O2515" s="82" t="s">
        <v>0</v>
      </c>
      <c r="P2515" s="82" t="s">
        <v>0</v>
      </c>
      <c r="Q2515" s="82" t="s">
        <v>0</v>
      </c>
      <c r="R2515" s="84" t="s">
        <v>10294</v>
      </c>
      <c r="S2515" s="10" t="s">
        <v>1</v>
      </c>
      <c r="T2515" s="10" t="s">
        <v>10221</v>
      </c>
      <c r="U2515" s="5" t="str">
        <f t="shared" si="1328"/>
        <v>Propriedade destinada a taxonomizar: é.alinhado.com</v>
      </c>
      <c r="V2515" s="5" t="str">
        <f t="shared" si="1329"/>
        <v>Dado para taxonomizar:  alinhado.com  Deve ser formatado como (rdfs:Literal  or  xsd:string)</v>
      </c>
      <c r="W2515" s="69" t="s">
        <v>10296</v>
      </c>
      <c r="X2515" s="17" t="str">
        <f t="shared" si="1324"/>
        <v>d.taxon.103</v>
      </c>
      <c r="Y2515" s="17" t="str">
        <f t="shared" si="1325"/>
        <v>Ação de taxonomizar</v>
      </c>
      <c r="Z2515" s="62" t="s">
        <v>10297</v>
      </c>
      <c r="AA2515" s="18" t="str">
        <f t="shared" si="1335"/>
        <v>null</v>
      </c>
      <c r="AB2515" s="19" t="s">
        <v>0</v>
      </c>
      <c r="AC2515" s="18" t="str">
        <f t="shared" si="1336"/>
        <v>null</v>
      </c>
      <c r="AD2515" s="19" t="s">
        <v>0</v>
      </c>
      <c r="AE2515" s="18" t="str">
        <f t="shared" si="1301"/>
        <v>null</v>
      </c>
      <c r="AF2515" s="75" t="s">
        <v>0</v>
      </c>
      <c r="AG2515" s="38" t="s">
        <v>10291</v>
      </c>
    </row>
    <row r="2516" spans="1:33" ht="6" customHeight="1" x14ac:dyDescent="0.4">
      <c r="A2516" s="4">
        <f>ROW()</f>
        <v>2516</v>
      </c>
      <c r="B2516" s="9" t="s">
        <v>27</v>
      </c>
      <c r="C2516" s="44" t="str">
        <f t="shared" si="1332"/>
        <v>p.taxonomizar</v>
      </c>
      <c r="D2516" s="6" t="str">
        <f t="shared" si="1333"/>
        <v>é.ameaça</v>
      </c>
      <c r="E2516" s="8" t="s">
        <v>28</v>
      </c>
      <c r="F2516" s="34" t="str">
        <f t="shared" si="1334"/>
        <v>d.taxonomizar</v>
      </c>
      <c r="G2516" s="37" t="s">
        <v>1734</v>
      </c>
      <c r="H2516" s="33" t="s">
        <v>1581</v>
      </c>
      <c r="I2516" s="92" t="str">
        <f t="shared" si="1323"/>
        <v>null</v>
      </c>
      <c r="J2516" s="82" t="s">
        <v>0</v>
      </c>
      <c r="K2516" s="82" t="s">
        <v>0</v>
      </c>
      <c r="L2516" s="82" t="s">
        <v>0</v>
      </c>
      <c r="M2516" s="82" t="s">
        <v>0</v>
      </c>
      <c r="N2516" s="80" t="s">
        <v>0</v>
      </c>
      <c r="O2516" s="82" t="s">
        <v>0</v>
      </c>
      <c r="P2516" s="82" t="s">
        <v>0</v>
      </c>
      <c r="Q2516" s="82" t="s">
        <v>0</v>
      </c>
      <c r="R2516" s="84" t="s">
        <v>0</v>
      </c>
      <c r="S2516" s="10" t="s">
        <v>1</v>
      </c>
      <c r="T2516" s="10" t="s">
        <v>10221</v>
      </c>
      <c r="U2516" s="5" t="str">
        <f t="shared" si="1328"/>
        <v>Propriedade destinada a taxonomizar: é.ameaça</v>
      </c>
      <c r="V2516" s="5" t="str">
        <f t="shared" si="1329"/>
        <v>Dado para taxonomizar:  ameaça  Deve ser formatado como (rdfs:Literal  or  xsd:string)</v>
      </c>
      <c r="W2516" s="69" t="s">
        <v>6348</v>
      </c>
      <c r="X2516" s="17" t="str">
        <f t="shared" si="1324"/>
        <v>d.taxon.104</v>
      </c>
      <c r="Y2516" s="17" t="str">
        <f t="shared" si="1325"/>
        <v>Ação de taxonomizar</v>
      </c>
      <c r="Z2516" s="62" t="s">
        <v>2802</v>
      </c>
      <c r="AA2516" s="18" t="str">
        <f t="shared" si="1335"/>
        <v>null</v>
      </c>
      <c r="AB2516" s="19" t="s">
        <v>0</v>
      </c>
      <c r="AC2516" s="18" t="str">
        <f t="shared" si="1336"/>
        <v>null</v>
      </c>
      <c r="AD2516" s="19" t="s">
        <v>0</v>
      </c>
      <c r="AE2516" s="18" t="str">
        <f t="shared" si="1301"/>
        <v>null</v>
      </c>
      <c r="AF2516" s="75" t="s">
        <v>0</v>
      </c>
      <c r="AG2516" s="38" t="s">
        <v>9374</v>
      </c>
    </row>
    <row r="2517" spans="1:33" ht="6" customHeight="1" x14ac:dyDescent="0.4">
      <c r="A2517" s="4">
        <f>ROW()</f>
        <v>2517</v>
      </c>
      <c r="B2517" s="9" t="s">
        <v>27</v>
      </c>
      <c r="C2517" s="44" t="str">
        <f t="shared" si="1332"/>
        <v>p.taxonomizar</v>
      </c>
      <c r="D2517" s="6" t="str">
        <f t="shared" si="1333"/>
        <v>é.ameaça.potencial.em</v>
      </c>
      <c r="E2517" s="8" t="s">
        <v>28</v>
      </c>
      <c r="F2517" s="34" t="str">
        <f t="shared" si="1334"/>
        <v>d.taxonomizar</v>
      </c>
      <c r="G2517" s="37" t="s">
        <v>1746</v>
      </c>
      <c r="H2517" s="33" t="s">
        <v>1581</v>
      </c>
      <c r="I2517" s="92" t="str">
        <f t="shared" si="1323"/>
        <v>null</v>
      </c>
      <c r="J2517" s="82" t="s">
        <v>0</v>
      </c>
      <c r="K2517" s="82" t="s">
        <v>0</v>
      </c>
      <c r="L2517" s="82" t="s">
        <v>0</v>
      </c>
      <c r="M2517" s="82" t="s">
        <v>0</v>
      </c>
      <c r="N2517" s="80" t="s">
        <v>0</v>
      </c>
      <c r="O2517" s="82" t="s">
        <v>0</v>
      </c>
      <c r="P2517" s="82" t="s">
        <v>0</v>
      </c>
      <c r="Q2517" s="82" t="s">
        <v>0</v>
      </c>
      <c r="R2517" s="84" t="s">
        <v>0</v>
      </c>
      <c r="S2517" s="10" t="s">
        <v>1</v>
      </c>
      <c r="T2517" s="10" t="s">
        <v>10221</v>
      </c>
      <c r="U2517" s="5" t="str">
        <f t="shared" si="1328"/>
        <v>Propriedade destinada a taxonomizar: é.ameaça.potencial.em</v>
      </c>
      <c r="V2517" s="5" t="str">
        <f t="shared" si="1329"/>
        <v>Dado para taxonomizar:  ameaça.potencial.em  Deve ser formatado como (rdfs:Literal  or  xsd:string)</v>
      </c>
      <c r="W2517" s="69" t="s">
        <v>6349</v>
      </c>
      <c r="X2517" s="17" t="str">
        <f t="shared" si="1324"/>
        <v>d.taxon.105</v>
      </c>
      <c r="Y2517" s="17" t="str">
        <f t="shared" si="1325"/>
        <v>Ação de taxonomizar</v>
      </c>
      <c r="Z2517" s="62" t="s">
        <v>2801</v>
      </c>
      <c r="AA2517" s="18" t="str">
        <f t="shared" si="1335"/>
        <v>null</v>
      </c>
      <c r="AB2517" s="19" t="s">
        <v>0</v>
      </c>
      <c r="AC2517" s="18" t="str">
        <f t="shared" si="1336"/>
        <v>null</v>
      </c>
      <c r="AD2517" s="19" t="s">
        <v>0</v>
      </c>
      <c r="AE2517" s="18" t="str">
        <f t="shared" si="1301"/>
        <v>null</v>
      </c>
      <c r="AF2517" s="75" t="s">
        <v>0</v>
      </c>
      <c r="AG2517" s="38" t="s">
        <v>9375</v>
      </c>
    </row>
    <row r="2518" spans="1:33" ht="6" customHeight="1" x14ac:dyDescent="0.4">
      <c r="A2518" s="4">
        <f>ROW()</f>
        <v>2518</v>
      </c>
      <c r="B2518" s="9" t="s">
        <v>27</v>
      </c>
      <c r="C2518" s="44" t="str">
        <f t="shared" si="1332"/>
        <v>p.taxonomizar</v>
      </c>
      <c r="D2518" s="6" t="str">
        <f t="shared" si="1333"/>
        <v>é.aplicada.em</v>
      </c>
      <c r="E2518" s="8" t="s">
        <v>28</v>
      </c>
      <c r="F2518" s="34" t="str">
        <f t="shared" si="1334"/>
        <v>d.taxonomizar</v>
      </c>
      <c r="G2518" s="37" t="s">
        <v>1931</v>
      </c>
      <c r="H2518" s="33" t="s">
        <v>1581</v>
      </c>
      <c r="I2518" s="92" t="str">
        <f t="shared" si="1323"/>
        <v>null</v>
      </c>
      <c r="J2518" s="82" t="s">
        <v>0</v>
      </c>
      <c r="K2518" s="82" t="s">
        <v>0</v>
      </c>
      <c r="L2518" s="82" t="s">
        <v>0</v>
      </c>
      <c r="M2518" s="82" t="s">
        <v>0</v>
      </c>
      <c r="N2518" s="80" t="s">
        <v>0</v>
      </c>
      <c r="O2518" s="82" t="s">
        <v>0</v>
      </c>
      <c r="P2518" s="82" t="s">
        <v>0</v>
      </c>
      <c r="Q2518" s="82" t="s">
        <v>0</v>
      </c>
      <c r="R2518" s="84" t="s">
        <v>0</v>
      </c>
      <c r="S2518" s="10" t="s">
        <v>1</v>
      </c>
      <c r="T2518" s="10" t="s">
        <v>10221</v>
      </c>
      <c r="U2518" s="5" t="str">
        <f t="shared" si="1328"/>
        <v>Propriedade destinada a taxonomizar: é.aplicada.em</v>
      </c>
      <c r="V2518" s="5" t="str">
        <f t="shared" si="1329"/>
        <v>Dado para taxonomizar:  aplicada.em  Deve ser formatado como (rdfs:Literal  or  xsd:string)</v>
      </c>
      <c r="W2518" s="69" t="s">
        <v>6350</v>
      </c>
      <c r="X2518" s="17" t="str">
        <f t="shared" si="1324"/>
        <v>d.taxon.106</v>
      </c>
      <c r="Y2518" s="17" t="str">
        <f t="shared" si="1325"/>
        <v>Ação de taxonomizar</v>
      </c>
      <c r="Z2518" s="62" t="s">
        <v>1953</v>
      </c>
      <c r="AA2518" s="18" t="str">
        <f t="shared" si="1335"/>
        <v>null</v>
      </c>
      <c r="AB2518" s="19" t="s">
        <v>0</v>
      </c>
      <c r="AC2518" s="18" t="str">
        <f t="shared" si="1336"/>
        <v>null</v>
      </c>
      <c r="AD2518" s="19" t="s">
        <v>0</v>
      </c>
      <c r="AE2518" s="18" t="str">
        <f t="shared" si="1301"/>
        <v>null</v>
      </c>
      <c r="AF2518" s="75" t="s">
        <v>0</v>
      </c>
      <c r="AG2518" s="38" t="s">
        <v>9376</v>
      </c>
    </row>
    <row r="2519" spans="1:33" ht="6" customHeight="1" x14ac:dyDescent="0.4">
      <c r="A2519" s="4">
        <f>ROW()</f>
        <v>2519</v>
      </c>
      <c r="B2519" s="9" t="s">
        <v>27</v>
      </c>
      <c r="C2519" s="44" t="str">
        <f t="shared" si="1332"/>
        <v>p.taxonomizar</v>
      </c>
      <c r="D2519" s="6" t="str">
        <f t="shared" si="1333"/>
        <v>é.apoiador</v>
      </c>
      <c r="E2519" s="8" t="s">
        <v>28</v>
      </c>
      <c r="F2519" s="34" t="str">
        <f t="shared" si="1334"/>
        <v>d.taxonomizar</v>
      </c>
      <c r="G2519" s="37" t="s">
        <v>1755</v>
      </c>
      <c r="H2519" s="33" t="s">
        <v>1581</v>
      </c>
      <c r="I2519" s="92" t="str">
        <f t="shared" si="1323"/>
        <v>null</v>
      </c>
      <c r="J2519" s="82" t="s">
        <v>0</v>
      </c>
      <c r="K2519" s="82" t="s">
        <v>0</v>
      </c>
      <c r="L2519" s="82" t="s">
        <v>0</v>
      </c>
      <c r="M2519" s="82" t="s">
        <v>0</v>
      </c>
      <c r="N2519" s="80" t="s">
        <v>0</v>
      </c>
      <c r="O2519" s="82" t="s">
        <v>0</v>
      </c>
      <c r="P2519" s="82" t="s">
        <v>0</v>
      </c>
      <c r="Q2519" s="82" t="s">
        <v>0</v>
      </c>
      <c r="R2519" s="84" t="s">
        <v>0</v>
      </c>
      <c r="S2519" s="10" t="s">
        <v>1</v>
      </c>
      <c r="T2519" s="10" t="s">
        <v>10221</v>
      </c>
      <c r="U2519" s="5" t="str">
        <f t="shared" si="1328"/>
        <v>Propriedade destinada a taxonomizar: é.apoiador</v>
      </c>
      <c r="V2519" s="5" t="str">
        <f t="shared" si="1329"/>
        <v>Dado para taxonomizar:  apoiador  Deve ser formatado como (rdfs:Literal  or  xsd:string)</v>
      </c>
      <c r="W2519" s="69" t="s">
        <v>6351</v>
      </c>
      <c r="X2519" s="17" t="str">
        <f t="shared" si="1324"/>
        <v>d.taxon.107</v>
      </c>
      <c r="Y2519" s="17" t="str">
        <f t="shared" si="1325"/>
        <v>Ação de taxonomizar</v>
      </c>
      <c r="Z2519" s="62" t="s">
        <v>1955</v>
      </c>
      <c r="AA2519" s="18" t="str">
        <f t="shared" si="1335"/>
        <v>null</v>
      </c>
      <c r="AB2519" s="19" t="s">
        <v>0</v>
      </c>
      <c r="AC2519" s="18" t="str">
        <f t="shared" si="1336"/>
        <v>null</v>
      </c>
      <c r="AD2519" s="19" t="s">
        <v>0</v>
      </c>
      <c r="AE2519" s="18" t="str">
        <f t="shared" si="1301"/>
        <v>null</v>
      </c>
      <c r="AF2519" s="75" t="s">
        <v>0</v>
      </c>
      <c r="AG2519" s="38" t="s">
        <v>9377</v>
      </c>
    </row>
    <row r="2520" spans="1:33" ht="6" customHeight="1" x14ac:dyDescent="0.4">
      <c r="A2520" s="4">
        <f>ROW()</f>
        <v>2520</v>
      </c>
      <c r="B2520" s="9" t="s">
        <v>27</v>
      </c>
      <c r="C2520" s="44" t="str">
        <f t="shared" si="1332"/>
        <v>p.taxonomizar</v>
      </c>
      <c r="D2520" s="6" t="str">
        <f t="shared" si="1333"/>
        <v>é.apoiador.técnico</v>
      </c>
      <c r="E2520" s="8" t="s">
        <v>28</v>
      </c>
      <c r="F2520" s="34" t="str">
        <f t="shared" si="1334"/>
        <v>d.taxonomizar</v>
      </c>
      <c r="G2520" s="37" t="s">
        <v>1756</v>
      </c>
      <c r="H2520" s="33" t="s">
        <v>1581</v>
      </c>
      <c r="I2520" s="92" t="str">
        <f t="shared" si="1323"/>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si="1328"/>
        <v>Propriedade destinada a taxonomizar: é.apoiador.técnico</v>
      </c>
      <c r="V2520" s="5" t="str">
        <f t="shared" si="1329"/>
        <v>Dado para taxonomizar:  apoiador.técnico  Deve ser formatado como (rdfs:Literal  or  xsd:string)</v>
      </c>
      <c r="W2520" s="69" t="s">
        <v>6352</v>
      </c>
      <c r="X2520" s="17" t="str">
        <f t="shared" si="1324"/>
        <v>d.taxon.108</v>
      </c>
      <c r="Y2520" s="17" t="str">
        <f t="shared" si="1325"/>
        <v>Ação de taxonomizar</v>
      </c>
      <c r="Z2520" s="62" t="s">
        <v>1956</v>
      </c>
      <c r="AA2520" s="18" t="str">
        <f t="shared" si="1335"/>
        <v>null</v>
      </c>
      <c r="AB2520" s="19" t="s">
        <v>0</v>
      </c>
      <c r="AC2520" s="18" t="str">
        <f t="shared" si="1336"/>
        <v>null</v>
      </c>
      <c r="AD2520" s="19" t="s">
        <v>0</v>
      </c>
      <c r="AE2520" s="18" t="str">
        <f t="shared" si="1301"/>
        <v>null</v>
      </c>
      <c r="AF2520" s="75" t="s">
        <v>0</v>
      </c>
      <c r="AG2520" s="38" t="s">
        <v>9378</v>
      </c>
    </row>
    <row r="2521" spans="1:33" ht="6" customHeight="1" x14ac:dyDescent="0.4">
      <c r="A2521" s="4">
        <f>ROW()</f>
        <v>2521</v>
      </c>
      <c r="B2521" s="9" t="s">
        <v>27</v>
      </c>
      <c r="C2521" s="44" t="str">
        <f t="shared" si="1332"/>
        <v>p.taxonomizar</v>
      </c>
      <c r="D2521" s="6" t="str">
        <f t="shared" si="1333"/>
        <v>é.área.temática</v>
      </c>
      <c r="E2521" s="8" t="s">
        <v>28</v>
      </c>
      <c r="F2521" s="34" t="str">
        <f t="shared" si="1334"/>
        <v>d.taxonomizar</v>
      </c>
      <c r="G2521" s="37" t="s">
        <v>1727</v>
      </c>
      <c r="H2521" s="33" t="s">
        <v>1581</v>
      </c>
      <c r="I2521" s="92" t="str">
        <f t="shared" si="1323"/>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28"/>
        <v>Propriedade destinada a taxonomizar: é.área.temática</v>
      </c>
      <c r="V2521" s="5" t="str">
        <f t="shared" si="1329"/>
        <v>Dado para taxonomizar:  área.temática  Deve ser formatado como (rdfs:Literal  or  xsd:string)</v>
      </c>
      <c r="W2521" s="69" t="s">
        <v>6353</v>
      </c>
      <c r="X2521" s="17" t="str">
        <f t="shared" si="1324"/>
        <v>d.taxon.109</v>
      </c>
      <c r="Y2521" s="17" t="str">
        <f t="shared" si="1325"/>
        <v>Ação de taxonomizar</v>
      </c>
      <c r="Z2521" s="62" t="s">
        <v>1957</v>
      </c>
      <c r="AA2521" s="18" t="str">
        <f t="shared" si="1335"/>
        <v>null</v>
      </c>
      <c r="AB2521" s="19" t="s">
        <v>0</v>
      </c>
      <c r="AC2521" s="18" t="str">
        <f t="shared" si="1336"/>
        <v>null</v>
      </c>
      <c r="AD2521" s="19" t="s">
        <v>0</v>
      </c>
      <c r="AE2521" s="18" t="str">
        <f t="shared" si="1301"/>
        <v>null</v>
      </c>
      <c r="AF2521" s="75" t="s">
        <v>0</v>
      </c>
      <c r="AG2521" s="38" t="s">
        <v>9379</v>
      </c>
    </row>
    <row r="2522" spans="1:33" ht="6" customHeight="1" x14ac:dyDescent="0.4">
      <c r="A2522" s="4">
        <f>ROW()</f>
        <v>2522</v>
      </c>
      <c r="B2522" s="9" t="s">
        <v>27</v>
      </c>
      <c r="C2522" s="44" t="str">
        <f t="shared" si="1332"/>
        <v>p.taxonomizar</v>
      </c>
      <c r="D2522" s="6" t="str">
        <f t="shared" si="1333"/>
        <v>é.atividade</v>
      </c>
      <c r="E2522" s="8" t="s">
        <v>28</v>
      </c>
      <c r="F2522" s="34" t="str">
        <f t="shared" si="1334"/>
        <v>d.taxonomizar</v>
      </c>
      <c r="G2522" s="37" t="s">
        <v>1763</v>
      </c>
      <c r="H2522" s="33" t="s">
        <v>1581</v>
      </c>
      <c r="I2522" s="92" t="str">
        <f t="shared" si="1323"/>
        <v>null</v>
      </c>
      <c r="J2522" s="82" t="s">
        <v>0</v>
      </c>
      <c r="K2522" s="82" t="s">
        <v>0</v>
      </c>
      <c r="L2522" s="82" t="s">
        <v>0</v>
      </c>
      <c r="M2522" s="82" t="s">
        <v>0</v>
      </c>
      <c r="N2522" s="80" t="s">
        <v>0</v>
      </c>
      <c r="O2522" s="82" t="s">
        <v>0</v>
      </c>
      <c r="P2522" s="82" t="s">
        <v>0</v>
      </c>
      <c r="Q2522" s="82" t="s">
        <v>0</v>
      </c>
      <c r="R2522" s="84" t="s">
        <v>0</v>
      </c>
      <c r="S2522" s="10" t="s">
        <v>1</v>
      </c>
      <c r="T2522" s="10" t="s">
        <v>10221</v>
      </c>
      <c r="U2522" s="5" t="str">
        <f t="shared" si="1328"/>
        <v>Propriedade destinada a taxonomizar: é.atividade</v>
      </c>
      <c r="V2522" s="5" t="str">
        <f t="shared" si="1329"/>
        <v>Dado para taxonomizar:  atividade  Deve ser formatado como (rdfs:Literal  or  xsd:string)</v>
      </c>
      <c r="W2522" s="69" t="s">
        <v>6354</v>
      </c>
      <c r="X2522" s="17" t="str">
        <f t="shared" si="1324"/>
        <v>d.taxon.110</v>
      </c>
      <c r="Y2522" s="17" t="str">
        <f t="shared" si="1325"/>
        <v>Ação de taxonomizar</v>
      </c>
      <c r="Z2522" s="62" t="s">
        <v>1958</v>
      </c>
      <c r="AA2522" s="18" t="str">
        <f t="shared" si="1335"/>
        <v>null</v>
      </c>
      <c r="AB2522" s="19" t="s">
        <v>0</v>
      </c>
      <c r="AC2522" s="18" t="str">
        <f t="shared" si="1336"/>
        <v>null</v>
      </c>
      <c r="AD2522" s="19" t="s">
        <v>0</v>
      </c>
      <c r="AE2522" s="18" t="str">
        <f t="shared" si="1301"/>
        <v>null</v>
      </c>
      <c r="AF2522" s="75" t="s">
        <v>0</v>
      </c>
      <c r="AG2522" s="38" t="s">
        <v>9380</v>
      </c>
    </row>
    <row r="2523" spans="1:33" ht="6" customHeight="1" x14ac:dyDescent="0.4">
      <c r="A2523" s="4">
        <f>ROW()</f>
        <v>2523</v>
      </c>
      <c r="B2523" s="9" t="s">
        <v>27</v>
      </c>
      <c r="C2523" s="44" t="str">
        <f t="shared" si="1332"/>
        <v>p.taxonomizar</v>
      </c>
      <c r="D2523" s="6" t="str">
        <f t="shared" si="1333"/>
        <v>é.atividade.elegível</v>
      </c>
      <c r="E2523" s="8" t="s">
        <v>28</v>
      </c>
      <c r="F2523" s="34" t="str">
        <f t="shared" si="1334"/>
        <v>d.taxonomizar</v>
      </c>
      <c r="G2523" s="37" t="s">
        <v>1711</v>
      </c>
      <c r="H2523" s="33" t="s">
        <v>1581</v>
      </c>
      <c r="I2523" s="92" t="str">
        <f t="shared" si="1323"/>
        <v>null</v>
      </c>
      <c r="J2523" s="82" t="s">
        <v>0</v>
      </c>
      <c r="K2523" s="82" t="s">
        <v>0</v>
      </c>
      <c r="L2523" s="82" t="s">
        <v>0</v>
      </c>
      <c r="M2523" s="82" t="s">
        <v>0</v>
      </c>
      <c r="N2523" s="80" t="s">
        <v>0</v>
      </c>
      <c r="O2523" s="82" t="s">
        <v>0</v>
      </c>
      <c r="P2523" s="82" t="s">
        <v>0</v>
      </c>
      <c r="Q2523" s="82" t="s">
        <v>0</v>
      </c>
      <c r="R2523" s="84" t="s">
        <v>0</v>
      </c>
      <c r="S2523" s="10" t="s">
        <v>1</v>
      </c>
      <c r="T2523" s="10" t="s">
        <v>10221</v>
      </c>
      <c r="U2523" s="5" t="str">
        <f t="shared" si="1328"/>
        <v>Propriedade destinada a taxonomizar: é.atividade.elegível</v>
      </c>
      <c r="V2523" s="5" t="str">
        <f t="shared" si="1329"/>
        <v>Dado para taxonomizar:  atividade.elegível  Deve ser formatado como (rdfs:Literal  or  xsd:string)</v>
      </c>
      <c r="W2523" s="69" t="s">
        <v>6355</v>
      </c>
      <c r="X2523" s="17" t="str">
        <f t="shared" si="1324"/>
        <v>d.taxon.111</v>
      </c>
      <c r="Y2523" s="17" t="str">
        <f t="shared" si="1325"/>
        <v>Ação de taxonomizar</v>
      </c>
      <c r="Z2523" s="62" t="s">
        <v>1959</v>
      </c>
      <c r="AA2523" s="18" t="str">
        <f t="shared" si="1335"/>
        <v>null</v>
      </c>
      <c r="AB2523" s="19" t="s">
        <v>0</v>
      </c>
      <c r="AC2523" s="18" t="str">
        <f t="shared" si="1336"/>
        <v>null</v>
      </c>
      <c r="AD2523" s="19" t="s">
        <v>0</v>
      </c>
      <c r="AE2523" s="18" t="str">
        <f t="shared" si="1301"/>
        <v>null</v>
      </c>
      <c r="AF2523" s="75" t="s">
        <v>0</v>
      </c>
      <c r="AG2523" s="38" t="s">
        <v>9381</v>
      </c>
    </row>
    <row r="2524" spans="1:33" ht="6" customHeight="1" x14ac:dyDescent="0.4">
      <c r="A2524" s="4">
        <f>ROW()</f>
        <v>2524</v>
      </c>
      <c r="B2524" s="9" t="s">
        <v>27</v>
      </c>
      <c r="C2524" s="44" t="str">
        <f t="shared" si="1332"/>
        <v>p.taxonomizar</v>
      </c>
      <c r="D2524" s="6" t="str">
        <f t="shared" si="1333"/>
        <v>é.benéfica.para.ameaça</v>
      </c>
      <c r="E2524" s="8" t="s">
        <v>28</v>
      </c>
      <c r="F2524" s="34" t="str">
        <f t="shared" si="1334"/>
        <v>d.taxonomizar</v>
      </c>
      <c r="G2524" s="37" t="s">
        <v>1784</v>
      </c>
      <c r="H2524" s="33" t="s">
        <v>1581</v>
      </c>
      <c r="I2524" s="92" t="str">
        <f t="shared" si="1323"/>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28"/>
        <v>Propriedade destinada a taxonomizar: é.benéfica.para.ameaça</v>
      </c>
      <c r="V2524" s="5" t="str">
        <f t="shared" si="1329"/>
        <v>Dado para taxonomizar:  benéfica.para.ameaça  Deve ser formatado como (rdfs:Literal  or  xsd:string)</v>
      </c>
      <c r="W2524" s="69" t="s">
        <v>6356</v>
      </c>
      <c r="X2524" s="17" t="str">
        <f t="shared" si="1324"/>
        <v>d.taxon.112</v>
      </c>
      <c r="Y2524" s="17" t="str">
        <f t="shared" si="1325"/>
        <v>Ação de taxonomizar</v>
      </c>
      <c r="Z2524" s="62" t="s">
        <v>1960</v>
      </c>
      <c r="AA2524" s="18" t="str">
        <f t="shared" si="1335"/>
        <v>null</v>
      </c>
      <c r="AB2524" s="19" t="s">
        <v>0</v>
      </c>
      <c r="AC2524" s="18" t="str">
        <f t="shared" si="1336"/>
        <v>null</v>
      </c>
      <c r="AD2524" s="19" t="s">
        <v>0</v>
      </c>
      <c r="AE2524" s="18" t="str">
        <f t="shared" si="1301"/>
        <v>null</v>
      </c>
      <c r="AF2524" s="75" t="s">
        <v>0</v>
      </c>
      <c r="AG2524" s="38" t="s">
        <v>9382</v>
      </c>
    </row>
    <row r="2525" spans="1:33" ht="6" customHeight="1" x14ac:dyDescent="0.4">
      <c r="A2525" s="4">
        <f>ROW()</f>
        <v>2525</v>
      </c>
      <c r="B2525" s="9" t="s">
        <v>27</v>
      </c>
      <c r="C2525" s="44" t="str">
        <f t="shared" si="1332"/>
        <v>p.taxonomizar</v>
      </c>
      <c r="D2525" s="6" t="str">
        <f t="shared" si="1333"/>
        <v>é.capex.alinhado</v>
      </c>
      <c r="E2525" s="8" t="s">
        <v>28</v>
      </c>
      <c r="F2525" s="34" t="str">
        <f t="shared" si="1334"/>
        <v>d.taxonomizar</v>
      </c>
      <c r="G2525" s="14" t="s">
        <v>1774</v>
      </c>
      <c r="H2525" s="34" t="s">
        <v>35</v>
      </c>
      <c r="I2525" s="92" t="str">
        <f t="shared" si="1323"/>
        <v>null</v>
      </c>
      <c r="J2525" s="82" t="s">
        <v>0</v>
      </c>
      <c r="K2525" s="82" t="s">
        <v>0</v>
      </c>
      <c r="L2525" s="82" t="s">
        <v>0</v>
      </c>
      <c r="M2525" s="82" t="s">
        <v>0</v>
      </c>
      <c r="N2525" s="80" t="s">
        <v>0</v>
      </c>
      <c r="O2525" s="82" t="s">
        <v>0</v>
      </c>
      <c r="P2525" s="82" t="s">
        <v>0</v>
      </c>
      <c r="Q2525" s="82" t="s">
        <v>1781</v>
      </c>
      <c r="R2525" s="84" t="s">
        <v>0</v>
      </c>
      <c r="S2525" s="10" t="s">
        <v>1</v>
      </c>
      <c r="T2525" s="10" t="s">
        <v>10221</v>
      </c>
      <c r="U2525" s="5" t="str">
        <f t="shared" si="1328"/>
        <v>Propriedade destinada a taxonomizar: é.capex.alinhado</v>
      </c>
      <c r="V2525" s="5" t="str">
        <f t="shared" si="1329"/>
        <v>Dado para taxonomizar:  capex.alinhado  Deve ser formatado como (xsd:double)</v>
      </c>
      <c r="W2525" s="69" t="s">
        <v>6357</v>
      </c>
      <c r="X2525" s="17" t="str">
        <f t="shared" si="1324"/>
        <v>d.taxon.113</v>
      </c>
      <c r="Y2525" s="17" t="str">
        <f t="shared" si="1325"/>
        <v>Ação de taxonomizar</v>
      </c>
      <c r="Z2525" s="62" t="s">
        <v>1961</v>
      </c>
      <c r="AA2525" s="18" t="str">
        <f t="shared" si="1335"/>
        <v>null</v>
      </c>
      <c r="AB2525" s="19" t="s">
        <v>0</v>
      </c>
      <c r="AC2525" s="18" t="str">
        <f t="shared" si="1336"/>
        <v>null</v>
      </c>
      <c r="AD2525" s="19" t="s">
        <v>0</v>
      </c>
      <c r="AE2525" s="18" t="str">
        <f t="shared" si="1301"/>
        <v>null</v>
      </c>
      <c r="AF2525" s="75" t="s">
        <v>0</v>
      </c>
      <c r="AG2525" s="38" t="s">
        <v>9383</v>
      </c>
    </row>
    <row r="2526" spans="1:33" ht="6" customHeight="1" x14ac:dyDescent="0.4">
      <c r="A2526" s="4">
        <f>ROW()</f>
        <v>2526</v>
      </c>
      <c r="B2526" s="9" t="s">
        <v>27</v>
      </c>
      <c r="C2526" s="44" t="str">
        <f t="shared" si="1332"/>
        <v>p.taxonomizar</v>
      </c>
      <c r="D2526" s="6" t="str">
        <f t="shared" si="1333"/>
        <v>é.capex.percentual</v>
      </c>
      <c r="E2526" s="8" t="s">
        <v>28</v>
      </c>
      <c r="F2526" s="34" t="str">
        <f t="shared" si="1334"/>
        <v>d.taxonomizar</v>
      </c>
      <c r="G2526" s="14" t="s">
        <v>1768</v>
      </c>
      <c r="H2526" s="34" t="s">
        <v>35</v>
      </c>
      <c r="I2526" s="92" t="str">
        <f t="shared" si="1323"/>
        <v>null</v>
      </c>
      <c r="J2526" s="82" t="s">
        <v>0</v>
      </c>
      <c r="K2526" s="82" t="s">
        <v>0</v>
      </c>
      <c r="L2526" s="82" t="s">
        <v>0</v>
      </c>
      <c r="M2526" s="82" t="s">
        <v>0</v>
      </c>
      <c r="N2526" s="80" t="s">
        <v>0</v>
      </c>
      <c r="O2526" s="82" t="s">
        <v>0</v>
      </c>
      <c r="P2526" s="82" t="s">
        <v>0</v>
      </c>
      <c r="Q2526" s="82" t="s">
        <v>1773</v>
      </c>
      <c r="R2526" s="84" t="s">
        <v>0</v>
      </c>
      <c r="S2526" s="10" t="s">
        <v>1</v>
      </c>
      <c r="T2526" s="10" t="s">
        <v>10221</v>
      </c>
      <c r="U2526" s="5" t="str">
        <f t="shared" si="1328"/>
        <v>Propriedade destinada a taxonomizar: é.capex.percentual</v>
      </c>
      <c r="V2526" s="5" t="str">
        <f t="shared" si="1329"/>
        <v>Dado para taxonomizar:  capex.percentual  Deve ser formatado como (xsd:double)</v>
      </c>
      <c r="W2526" s="69" t="s">
        <v>6358</v>
      </c>
      <c r="X2526" s="17" t="str">
        <f t="shared" si="1324"/>
        <v>d.taxon.114</v>
      </c>
      <c r="Y2526" s="17" t="str">
        <f t="shared" si="1325"/>
        <v>Ação de taxonomizar</v>
      </c>
      <c r="Z2526" s="62" t="s">
        <v>4767</v>
      </c>
      <c r="AA2526" s="18" t="str">
        <f t="shared" si="1335"/>
        <v>null</v>
      </c>
      <c r="AB2526" s="19" t="s">
        <v>0</v>
      </c>
      <c r="AC2526" s="18" t="str">
        <f t="shared" si="1336"/>
        <v>null</v>
      </c>
      <c r="AD2526" s="19" t="s">
        <v>0</v>
      </c>
      <c r="AE2526" s="18" t="str">
        <f t="shared" si="1301"/>
        <v>null</v>
      </c>
      <c r="AF2526" s="75" t="s">
        <v>0</v>
      </c>
      <c r="AG2526" s="38" t="s">
        <v>9384</v>
      </c>
    </row>
    <row r="2527" spans="1:33" ht="6" customHeight="1" x14ac:dyDescent="0.4">
      <c r="A2527" s="4">
        <f>ROW()</f>
        <v>2527</v>
      </c>
      <c r="B2527" s="9" t="s">
        <v>27</v>
      </c>
      <c r="C2527" s="44" t="str">
        <f t="shared" si="1332"/>
        <v>p.taxonomizar</v>
      </c>
      <c r="D2527" s="6" t="str">
        <f t="shared" si="1333"/>
        <v>é.capex.semi.alinhado</v>
      </c>
      <c r="E2527" s="8" t="s">
        <v>28</v>
      </c>
      <c r="F2527" s="34" t="str">
        <f t="shared" si="1334"/>
        <v>d.taxonomizar</v>
      </c>
      <c r="G2527" s="14" t="s">
        <v>1775</v>
      </c>
      <c r="H2527" s="34" t="s">
        <v>35</v>
      </c>
      <c r="I2527" s="92" t="str">
        <f t="shared" si="1323"/>
        <v>null</v>
      </c>
      <c r="J2527" s="82" t="s">
        <v>0</v>
      </c>
      <c r="K2527" s="82" t="s">
        <v>0</v>
      </c>
      <c r="L2527" s="82" t="s">
        <v>0</v>
      </c>
      <c r="M2527" s="82" t="s">
        <v>0</v>
      </c>
      <c r="N2527" s="80" t="s">
        <v>0</v>
      </c>
      <c r="O2527" s="82" t="s">
        <v>0</v>
      </c>
      <c r="P2527" s="82" t="s">
        <v>0</v>
      </c>
      <c r="Q2527" s="82" t="s">
        <v>1780</v>
      </c>
      <c r="R2527" s="84" t="s">
        <v>0</v>
      </c>
      <c r="S2527" s="10" t="s">
        <v>1</v>
      </c>
      <c r="T2527" s="10" t="s">
        <v>10221</v>
      </c>
      <c r="U2527" s="5" t="str">
        <f t="shared" si="1328"/>
        <v>Propriedade destinada a taxonomizar: é.capex.semi.alinhado</v>
      </c>
      <c r="V2527" s="5" t="str">
        <f t="shared" si="1329"/>
        <v>Dado para taxonomizar:  capex.semi.alinhado  Deve ser formatado como (xsd:double)</v>
      </c>
      <c r="W2527" s="69" t="s">
        <v>6359</v>
      </c>
      <c r="X2527" s="17" t="str">
        <f t="shared" si="1324"/>
        <v>d.taxon.115</v>
      </c>
      <c r="Y2527" s="17" t="str">
        <f t="shared" si="1325"/>
        <v>Ação de taxonomizar</v>
      </c>
      <c r="Z2527" s="62" t="s">
        <v>1962</v>
      </c>
      <c r="AA2527" s="18" t="str">
        <f t="shared" si="1335"/>
        <v>null</v>
      </c>
      <c r="AB2527" s="19" t="s">
        <v>0</v>
      </c>
      <c r="AC2527" s="18" t="str">
        <f t="shared" si="1336"/>
        <v>null</v>
      </c>
      <c r="AD2527" s="19" t="s">
        <v>0</v>
      </c>
      <c r="AE2527" s="18" t="str">
        <f t="shared" si="1301"/>
        <v>null</v>
      </c>
      <c r="AF2527" s="75" t="s">
        <v>0</v>
      </c>
      <c r="AG2527" s="38" t="s">
        <v>9385</v>
      </c>
    </row>
    <row r="2528" spans="1:33" ht="6" customHeight="1" x14ac:dyDescent="0.4">
      <c r="A2528" s="4">
        <f>ROW()</f>
        <v>2528</v>
      </c>
      <c r="B2528" s="9" t="s">
        <v>27</v>
      </c>
      <c r="C2528" s="44" t="str">
        <f t="shared" si="1332"/>
        <v>p.taxonomizar</v>
      </c>
      <c r="D2528" s="6" t="str">
        <f t="shared" si="1333"/>
        <v>é.capex.total</v>
      </c>
      <c r="E2528" s="8" t="s">
        <v>28</v>
      </c>
      <c r="F2528" s="34" t="str">
        <f t="shared" si="1334"/>
        <v>d.taxonomizar</v>
      </c>
      <c r="G2528" s="14" t="s">
        <v>1767</v>
      </c>
      <c r="H2528" s="34" t="s">
        <v>35</v>
      </c>
      <c r="I2528" s="92" t="str">
        <f t="shared" si="1323"/>
        <v>null</v>
      </c>
      <c r="J2528" s="82" t="s">
        <v>0</v>
      </c>
      <c r="K2528" s="82" t="s">
        <v>0</v>
      </c>
      <c r="L2528" s="82" t="s">
        <v>0</v>
      </c>
      <c r="M2528" s="82" t="s">
        <v>0</v>
      </c>
      <c r="N2528" s="80" t="s">
        <v>0</v>
      </c>
      <c r="O2528" s="82" t="s">
        <v>0</v>
      </c>
      <c r="P2528" s="82" t="s">
        <v>0</v>
      </c>
      <c r="Q2528" s="82" t="s">
        <v>1772</v>
      </c>
      <c r="R2528" s="84" t="s">
        <v>0</v>
      </c>
      <c r="S2528" s="10" t="s">
        <v>1</v>
      </c>
      <c r="T2528" s="10" t="s">
        <v>10221</v>
      </c>
      <c r="U2528" s="5" t="str">
        <f t="shared" si="1328"/>
        <v>Propriedade destinada a taxonomizar: é.capex.total</v>
      </c>
      <c r="V2528" s="5" t="str">
        <f t="shared" si="1329"/>
        <v>Dado para taxonomizar:  capex.total  Deve ser formatado como (xsd:double)</v>
      </c>
      <c r="W2528" s="69" t="s">
        <v>6360</v>
      </c>
      <c r="X2528" s="17" t="str">
        <f t="shared" si="1324"/>
        <v>d.taxon.116</v>
      </c>
      <c r="Y2528" s="17" t="str">
        <f t="shared" si="1325"/>
        <v>Ação de taxonomizar</v>
      </c>
      <c r="Z2528" s="62" t="s">
        <v>1963</v>
      </c>
      <c r="AA2528" s="18" t="str">
        <f t="shared" si="1335"/>
        <v>null</v>
      </c>
      <c r="AB2528" s="19" t="s">
        <v>0</v>
      </c>
      <c r="AC2528" s="18" t="str">
        <f t="shared" si="1336"/>
        <v>null</v>
      </c>
      <c r="AD2528" s="19" t="s">
        <v>0</v>
      </c>
      <c r="AE2528" s="18" t="str">
        <f t="shared" si="1301"/>
        <v>null</v>
      </c>
      <c r="AF2528" s="75" t="s">
        <v>0</v>
      </c>
      <c r="AG2528" s="38" t="s">
        <v>9386</v>
      </c>
    </row>
    <row r="2529" spans="1:33" ht="6" customHeight="1" x14ac:dyDescent="0.4">
      <c r="A2529" s="4">
        <f>ROW()</f>
        <v>2529</v>
      </c>
      <c r="B2529" s="9" t="s">
        <v>27</v>
      </c>
      <c r="C2529" s="44" t="str">
        <f t="shared" si="1332"/>
        <v>p.taxonomizar</v>
      </c>
      <c r="D2529" s="6" t="str">
        <f t="shared" si="1333"/>
        <v>é.causa</v>
      </c>
      <c r="E2529" s="8" t="s">
        <v>28</v>
      </c>
      <c r="F2529" s="34" t="str">
        <f t="shared" si="1334"/>
        <v>d.taxonomizar</v>
      </c>
      <c r="G2529" s="37" t="s">
        <v>1745</v>
      </c>
      <c r="H2529" s="33" t="s">
        <v>1581</v>
      </c>
      <c r="I2529" s="92" t="str">
        <f t="shared" si="1323"/>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28"/>
        <v>Propriedade destinada a taxonomizar: é.causa</v>
      </c>
      <c r="V2529" s="5" t="str">
        <f t="shared" si="1329"/>
        <v>Dado para taxonomizar:  causa  Deve ser formatado como (rdfs:Literal  or  xsd:string)</v>
      </c>
      <c r="W2529" s="69" t="s">
        <v>6361</v>
      </c>
      <c r="X2529" s="17" t="str">
        <f t="shared" si="1324"/>
        <v>d.taxon.117</v>
      </c>
      <c r="Y2529" s="17" t="str">
        <f t="shared" si="1325"/>
        <v>Ação de taxonomizar</v>
      </c>
      <c r="Z2529" s="62" t="s">
        <v>1964</v>
      </c>
      <c r="AA2529" s="18" t="str">
        <f t="shared" si="1335"/>
        <v>null</v>
      </c>
      <c r="AB2529" s="19" t="s">
        <v>0</v>
      </c>
      <c r="AC2529" s="18" t="str">
        <f t="shared" si="1336"/>
        <v>null</v>
      </c>
      <c r="AD2529" s="19" t="s">
        <v>0</v>
      </c>
      <c r="AE2529" s="18" t="str">
        <f t="shared" si="1301"/>
        <v>null</v>
      </c>
      <c r="AF2529" s="75" t="s">
        <v>0</v>
      </c>
      <c r="AG2529" s="38" t="s">
        <v>9387</v>
      </c>
    </row>
    <row r="2530" spans="1:33" ht="6" customHeight="1" x14ac:dyDescent="0.4">
      <c r="A2530" s="4">
        <f>ROW()</f>
        <v>2530</v>
      </c>
      <c r="B2530" s="9" t="s">
        <v>27</v>
      </c>
      <c r="C2530" s="44" t="str">
        <f t="shared" si="1332"/>
        <v>p.taxonomizar</v>
      </c>
      <c r="D2530" s="6" t="str">
        <f t="shared" si="1333"/>
        <v>é.certificação</v>
      </c>
      <c r="E2530" s="8" t="s">
        <v>28</v>
      </c>
      <c r="F2530" s="34" t="str">
        <f t="shared" si="1334"/>
        <v>d.taxonomizar</v>
      </c>
      <c r="G2530" s="37" t="s">
        <v>1712</v>
      </c>
      <c r="H2530" s="33" t="s">
        <v>1581</v>
      </c>
      <c r="I2530" s="92" t="str">
        <f t="shared" si="1323"/>
        <v>null</v>
      </c>
      <c r="J2530" s="82" t="s">
        <v>0</v>
      </c>
      <c r="K2530" s="82" t="s">
        <v>0</v>
      </c>
      <c r="L2530" s="82" t="s">
        <v>0</v>
      </c>
      <c r="M2530" s="82" t="s">
        <v>0</v>
      </c>
      <c r="N2530" s="80" t="s">
        <v>0</v>
      </c>
      <c r="O2530" s="82" t="s">
        <v>0</v>
      </c>
      <c r="P2530" s="82" t="s">
        <v>0</v>
      </c>
      <c r="Q2530" s="82" t="s">
        <v>1790</v>
      </c>
      <c r="R2530" s="84" t="s">
        <v>0</v>
      </c>
      <c r="S2530" s="10" t="s">
        <v>1</v>
      </c>
      <c r="T2530" s="10" t="s">
        <v>10221</v>
      </c>
      <c r="U2530" s="5" t="str">
        <f t="shared" si="1328"/>
        <v>Propriedade destinada a taxonomizar: é.certificação</v>
      </c>
      <c r="V2530" s="5" t="str">
        <f t="shared" si="1329"/>
        <v>Dado para taxonomizar:  certificação  Deve ser formatado como (rdfs:Literal  or  xsd:string)</v>
      </c>
      <c r="W2530" s="69" t="s">
        <v>6362</v>
      </c>
      <c r="X2530" s="17" t="str">
        <f t="shared" si="1324"/>
        <v>d.taxon.118</v>
      </c>
      <c r="Y2530" s="17" t="str">
        <f t="shared" si="1325"/>
        <v>Ação de taxonomizar</v>
      </c>
      <c r="Z2530" s="62" t="s">
        <v>1965</v>
      </c>
      <c r="AA2530" s="18" t="str">
        <f t="shared" si="1335"/>
        <v>null</v>
      </c>
      <c r="AB2530" s="19" t="s">
        <v>0</v>
      </c>
      <c r="AC2530" s="18" t="str">
        <f t="shared" si="1336"/>
        <v>null</v>
      </c>
      <c r="AD2530" s="19" t="s">
        <v>0</v>
      </c>
      <c r="AE2530" s="18" t="str">
        <f t="shared" si="1301"/>
        <v>null</v>
      </c>
      <c r="AF2530" s="75" t="s">
        <v>0</v>
      </c>
      <c r="AG2530" s="38" t="s">
        <v>9388</v>
      </c>
    </row>
    <row r="2531" spans="1:33" ht="6" customHeight="1" x14ac:dyDescent="0.4">
      <c r="A2531" s="4">
        <f>ROW()</f>
        <v>2531</v>
      </c>
      <c r="B2531" s="9" t="s">
        <v>27</v>
      </c>
      <c r="C2531" s="44" t="str">
        <f t="shared" si="1332"/>
        <v>p.taxonomizar</v>
      </c>
      <c r="D2531" s="6" t="str">
        <f t="shared" si="1333"/>
        <v>é.certificado.por</v>
      </c>
      <c r="E2531" s="8" t="s">
        <v>28</v>
      </c>
      <c r="F2531" s="34" t="str">
        <f t="shared" si="1334"/>
        <v>d.taxonomizar</v>
      </c>
      <c r="G2531" s="37" t="s">
        <v>1789</v>
      </c>
      <c r="H2531" s="33" t="s">
        <v>1581</v>
      </c>
      <c r="I2531" s="92" t="str">
        <f t="shared" si="1323"/>
        <v>null</v>
      </c>
      <c r="J2531" s="82" t="s">
        <v>0</v>
      </c>
      <c r="K2531" s="82" t="s">
        <v>0</v>
      </c>
      <c r="L2531" s="82" t="s">
        <v>0</v>
      </c>
      <c r="M2531" s="82" t="s">
        <v>0</v>
      </c>
      <c r="N2531" s="80" t="s">
        <v>0</v>
      </c>
      <c r="O2531" s="82" t="s">
        <v>0</v>
      </c>
      <c r="P2531" s="82" t="s">
        <v>0</v>
      </c>
      <c r="Q2531" s="82" t="s">
        <v>1791</v>
      </c>
      <c r="R2531" s="84" t="s">
        <v>0</v>
      </c>
      <c r="S2531" s="10" t="s">
        <v>1</v>
      </c>
      <c r="T2531" s="10" t="s">
        <v>10221</v>
      </c>
      <c r="U2531" s="5" t="str">
        <f t="shared" si="1328"/>
        <v>Propriedade destinada a taxonomizar: é.certificado.por</v>
      </c>
      <c r="V2531" s="5" t="str">
        <f t="shared" si="1329"/>
        <v>Dado para taxonomizar:  certificado.por  Deve ser formatado como (rdfs:Literal  or  xsd:string)</v>
      </c>
      <c r="W2531" s="69" t="s">
        <v>6363</v>
      </c>
      <c r="X2531" s="17" t="str">
        <f t="shared" si="1324"/>
        <v>d.taxon.119</v>
      </c>
      <c r="Y2531" s="17" t="str">
        <f t="shared" si="1325"/>
        <v>Ação de taxonomizar</v>
      </c>
      <c r="Z2531" s="62" t="s">
        <v>1966</v>
      </c>
      <c r="AA2531" s="18" t="str">
        <f t="shared" si="1335"/>
        <v>null</v>
      </c>
      <c r="AB2531" s="19" t="s">
        <v>0</v>
      </c>
      <c r="AC2531" s="18" t="str">
        <f t="shared" si="1336"/>
        <v>null</v>
      </c>
      <c r="AD2531" s="19" t="s">
        <v>0</v>
      </c>
      <c r="AE2531" s="18" t="str">
        <f t="shared" si="1301"/>
        <v>null</v>
      </c>
      <c r="AF2531" s="75" t="s">
        <v>0</v>
      </c>
      <c r="AG2531" s="38" t="s">
        <v>9389</v>
      </c>
    </row>
    <row r="2532" spans="1:33" ht="6" customHeight="1" x14ac:dyDescent="0.4">
      <c r="A2532" s="4">
        <f>ROW()</f>
        <v>2532</v>
      </c>
      <c r="B2532" s="9" t="s">
        <v>27</v>
      </c>
      <c r="C2532" s="44" t="str">
        <f t="shared" si="1332"/>
        <v>p.taxonomizar</v>
      </c>
      <c r="D2532" s="6" t="str">
        <f t="shared" si="1333"/>
        <v>é.comentário</v>
      </c>
      <c r="E2532" s="8" t="s">
        <v>28</v>
      </c>
      <c r="F2532" s="34" t="str">
        <f t="shared" si="1334"/>
        <v>d.taxonomizar</v>
      </c>
      <c r="G2532" s="37" t="s">
        <v>1732</v>
      </c>
      <c r="H2532" s="33" t="s">
        <v>1581</v>
      </c>
      <c r="I2532" s="92" t="str">
        <f t="shared" si="1323"/>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28"/>
        <v>Propriedade destinada a taxonomizar: é.comentário</v>
      </c>
      <c r="V2532" s="5" t="str">
        <f t="shared" si="1329"/>
        <v>Dado para taxonomizar:  comentário  Deve ser formatado como (rdfs:Literal  or  xsd:string)</v>
      </c>
      <c r="W2532" s="69" t="s">
        <v>6364</v>
      </c>
      <c r="X2532" s="17" t="str">
        <f t="shared" si="1324"/>
        <v>d.taxon.120</v>
      </c>
      <c r="Y2532" s="17" t="str">
        <f t="shared" si="1325"/>
        <v>Ação de taxonomizar</v>
      </c>
      <c r="Z2532" s="62" t="s">
        <v>2804</v>
      </c>
      <c r="AA2532" s="18" t="str">
        <f t="shared" si="1335"/>
        <v>null</v>
      </c>
      <c r="AB2532" s="19" t="s">
        <v>0</v>
      </c>
      <c r="AC2532" s="18" t="str">
        <f t="shared" si="1336"/>
        <v>null</v>
      </c>
      <c r="AD2532" s="19" t="s">
        <v>0</v>
      </c>
      <c r="AE2532" s="18" t="str">
        <f t="shared" si="1301"/>
        <v>null</v>
      </c>
      <c r="AF2532" s="75" t="s">
        <v>0</v>
      </c>
      <c r="AG2532" s="38" t="s">
        <v>9390</v>
      </c>
    </row>
    <row r="2533" spans="1:33" ht="6" customHeight="1" x14ac:dyDescent="0.4">
      <c r="A2533" s="4">
        <f>ROW()</f>
        <v>2533</v>
      </c>
      <c r="B2533" s="9" t="s">
        <v>27</v>
      </c>
      <c r="C2533" s="44" t="str">
        <f t="shared" si="1332"/>
        <v>p.taxonomizar</v>
      </c>
      <c r="D2533" s="6" t="str">
        <f t="shared" si="1333"/>
        <v>é.complementada.com.nota</v>
      </c>
      <c r="E2533" s="8" t="s">
        <v>28</v>
      </c>
      <c r="F2533" s="34" t="str">
        <f t="shared" si="1334"/>
        <v>d.taxonomizar</v>
      </c>
      <c r="G2533" s="37" t="s">
        <v>1720</v>
      </c>
      <c r="H2533" s="33" t="s">
        <v>1581</v>
      </c>
      <c r="I2533" s="92" t="str">
        <f t="shared" si="1323"/>
        <v>null</v>
      </c>
      <c r="J2533" s="82" t="s">
        <v>0</v>
      </c>
      <c r="K2533" s="82" t="s">
        <v>0</v>
      </c>
      <c r="L2533" s="82" t="s">
        <v>0</v>
      </c>
      <c r="M2533" s="82" t="s">
        <v>0</v>
      </c>
      <c r="N2533" s="80" t="s">
        <v>0</v>
      </c>
      <c r="O2533" s="82" t="s">
        <v>0</v>
      </c>
      <c r="P2533" s="82" t="s">
        <v>0</v>
      </c>
      <c r="Q2533" s="82" t="s">
        <v>0</v>
      </c>
      <c r="R2533" s="84" t="s">
        <v>0</v>
      </c>
      <c r="S2533" s="10" t="s">
        <v>1</v>
      </c>
      <c r="T2533" s="10" t="s">
        <v>10221</v>
      </c>
      <c r="U2533" s="5" t="str">
        <f t="shared" si="1328"/>
        <v>Propriedade destinada a taxonomizar: é.complementada.com.nota</v>
      </c>
      <c r="V2533" s="5" t="str">
        <f t="shared" si="1329"/>
        <v>Dado para taxonomizar:  complementada.com.nota  Deve ser formatado como (rdfs:Literal  or  xsd:string)</v>
      </c>
      <c r="W2533" s="69" t="s">
        <v>6365</v>
      </c>
      <c r="X2533" s="17" t="str">
        <f t="shared" si="1324"/>
        <v>d.taxon.121</v>
      </c>
      <c r="Y2533" s="17" t="str">
        <f t="shared" si="1325"/>
        <v>Ação de taxonomizar</v>
      </c>
      <c r="Z2533" s="62" t="s">
        <v>2803</v>
      </c>
      <c r="AA2533" s="18" t="str">
        <f t="shared" si="1335"/>
        <v>null</v>
      </c>
      <c r="AB2533" s="19" t="s">
        <v>0</v>
      </c>
      <c r="AC2533" s="18" t="str">
        <f t="shared" si="1336"/>
        <v>null</v>
      </c>
      <c r="AD2533" s="19" t="s">
        <v>0</v>
      </c>
      <c r="AE2533" s="18" t="str">
        <f t="shared" si="1301"/>
        <v>null</v>
      </c>
      <c r="AF2533" s="75" t="s">
        <v>0</v>
      </c>
      <c r="AG2533" s="38" t="s">
        <v>9391</v>
      </c>
    </row>
    <row r="2534" spans="1:33" ht="6" customHeight="1" x14ac:dyDescent="0.4">
      <c r="A2534" s="4">
        <f>ROW()</f>
        <v>2534</v>
      </c>
      <c r="B2534" s="9" t="s">
        <v>27</v>
      </c>
      <c r="C2534" s="44" t="str">
        <f t="shared" si="1332"/>
        <v>p.taxonomizar</v>
      </c>
      <c r="D2534" s="6" t="str">
        <f t="shared" si="1333"/>
        <v>é.condição.de.elegibilidade</v>
      </c>
      <c r="E2534" s="8" t="s">
        <v>28</v>
      </c>
      <c r="F2534" s="34" t="str">
        <f t="shared" si="1334"/>
        <v>d.taxonomizar</v>
      </c>
      <c r="G2534" s="37" t="s">
        <v>1713</v>
      </c>
      <c r="H2534" s="33" t="s">
        <v>1581</v>
      </c>
      <c r="I2534" s="92" t="str">
        <f t="shared" si="1323"/>
        <v>null</v>
      </c>
      <c r="J2534" s="82" t="s">
        <v>0</v>
      </c>
      <c r="K2534" s="82" t="s">
        <v>0</v>
      </c>
      <c r="L2534" s="82" t="s">
        <v>0</v>
      </c>
      <c r="M2534" s="82" t="s">
        <v>0</v>
      </c>
      <c r="N2534" s="80" t="s">
        <v>0</v>
      </c>
      <c r="O2534" s="82" t="s">
        <v>0</v>
      </c>
      <c r="P2534" s="82" t="s">
        <v>0</v>
      </c>
      <c r="Q2534" s="82" t="s">
        <v>0</v>
      </c>
      <c r="R2534" s="84" t="s">
        <v>0</v>
      </c>
      <c r="S2534" s="10" t="s">
        <v>1</v>
      </c>
      <c r="T2534" s="10" t="s">
        <v>10221</v>
      </c>
      <c r="U2534" s="5" t="str">
        <f t="shared" si="1328"/>
        <v>Propriedade destinada a taxonomizar: é.condição.de.elegibilidade</v>
      </c>
      <c r="V2534" s="5" t="str">
        <f t="shared" si="1329"/>
        <v>Dado para taxonomizar:  condição.de.elegibilidade  Deve ser formatado como (rdfs:Literal  or  xsd:string)</v>
      </c>
      <c r="W2534" s="69" t="s">
        <v>6366</v>
      </c>
      <c r="X2534" s="17" t="str">
        <f t="shared" si="1324"/>
        <v>d.taxon.122</v>
      </c>
      <c r="Y2534" s="17" t="str">
        <f t="shared" si="1325"/>
        <v>Ação de taxonomizar</v>
      </c>
      <c r="Z2534" s="62" t="s">
        <v>1967</v>
      </c>
      <c r="AA2534" s="18" t="str">
        <f t="shared" si="1335"/>
        <v>null</v>
      </c>
      <c r="AB2534" s="19" t="s">
        <v>0</v>
      </c>
      <c r="AC2534" s="18" t="str">
        <f t="shared" si="1336"/>
        <v>null</v>
      </c>
      <c r="AD2534" s="19" t="s">
        <v>0</v>
      </c>
      <c r="AE2534" s="18" t="str">
        <f t="shared" si="1301"/>
        <v>null</v>
      </c>
      <c r="AF2534" s="75" t="s">
        <v>0</v>
      </c>
      <c r="AG2534" s="38" t="s">
        <v>9392</v>
      </c>
    </row>
    <row r="2535" spans="1:33" ht="6" customHeight="1" x14ac:dyDescent="0.4">
      <c r="A2535" s="4">
        <f>ROW()</f>
        <v>2535</v>
      </c>
      <c r="B2535" s="9" t="s">
        <v>27</v>
      </c>
      <c r="C2535" s="44" t="str">
        <f t="shared" si="1332"/>
        <v>p.taxonomizar</v>
      </c>
      <c r="D2535" s="6" t="str">
        <f t="shared" si="1333"/>
        <v>é.consequência</v>
      </c>
      <c r="E2535" s="8" t="s">
        <v>28</v>
      </c>
      <c r="F2535" s="34" t="str">
        <f t="shared" si="1334"/>
        <v>d.taxonomizar</v>
      </c>
      <c r="G2535" s="37" t="s">
        <v>1744</v>
      </c>
      <c r="H2535" s="33" t="s">
        <v>1581</v>
      </c>
      <c r="I2535" s="92" t="str">
        <f t="shared" si="1323"/>
        <v>null</v>
      </c>
      <c r="J2535" s="82" t="s">
        <v>0</v>
      </c>
      <c r="K2535" s="82" t="s">
        <v>0</v>
      </c>
      <c r="L2535" s="82" t="s">
        <v>0</v>
      </c>
      <c r="M2535" s="82" t="s">
        <v>0</v>
      </c>
      <c r="N2535" s="80" t="s">
        <v>0</v>
      </c>
      <c r="O2535" s="82" t="s">
        <v>0</v>
      </c>
      <c r="P2535" s="82" t="s">
        <v>0</v>
      </c>
      <c r="Q2535" s="82" t="s">
        <v>0</v>
      </c>
      <c r="R2535" s="84" t="s">
        <v>0</v>
      </c>
      <c r="S2535" s="10" t="s">
        <v>1</v>
      </c>
      <c r="T2535" s="10" t="s">
        <v>10221</v>
      </c>
      <c r="U2535" s="5" t="str">
        <f t="shared" si="1328"/>
        <v>Propriedade destinada a taxonomizar: é.consequência</v>
      </c>
      <c r="V2535" s="5" t="str">
        <f t="shared" si="1329"/>
        <v>Dado para taxonomizar:  consequência  Deve ser formatado como (rdfs:Literal  or  xsd:string)</v>
      </c>
      <c r="W2535" s="69" t="s">
        <v>6367</v>
      </c>
      <c r="X2535" s="17" t="str">
        <f t="shared" si="1324"/>
        <v>d.taxon.123</v>
      </c>
      <c r="Y2535" s="17" t="str">
        <f t="shared" si="1325"/>
        <v>Ação de taxonomizar</v>
      </c>
      <c r="Z2535" s="62" t="s">
        <v>1968</v>
      </c>
      <c r="AA2535" s="18" t="str">
        <f t="shared" si="1335"/>
        <v>null</v>
      </c>
      <c r="AB2535" s="19" t="s">
        <v>0</v>
      </c>
      <c r="AC2535" s="18" t="str">
        <f t="shared" si="1336"/>
        <v>null</v>
      </c>
      <c r="AD2535" s="19" t="s">
        <v>0</v>
      </c>
      <c r="AE2535" s="18" t="str">
        <f t="shared" si="1301"/>
        <v>null</v>
      </c>
      <c r="AF2535" s="75" t="s">
        <v>0</v>
      </c>
      <c r="AG2535" s="38" t="s">
        <v>9393</v>
      </c>
    </row>
    <row r="2536" spans="1:33" ht="6" customHeight="1" x14ac:dyDescent="0.4">
      <c r="A2536" s="4">
        <f>ROW()</f>
        <v>2536</v>
      </c>
      <c r="B2536" s="9" t="s">
        <v>27</v>
      </c>
      <c r="C2536" s="44" t="str">
        <f t="shared" si="1332"/>
        <v>p.taxonomizar</v>
      </c>
      <c r="D2536" s="6" t="str">
        <f t="shared" si="1333"/>
        <v>é.consultor.técnico</v>
      </c>
      <c r="E2536" s="8" t="s">
        <v>28</v>
      </c>
      <c r="F2536" s="34" t="str">
        <f t="shared" si="1334"/>
        <v>d.taxonomizar</v>
      </c>
      <c r="G2536" s="37" t="s">
        <v>1796</v>
      </c>
      <c r="H2536" s="33" t="s">
        <v>1581</v>
      </c>
      <c r="I2536" s="92" t="str">
        <f t="shared" si="1323"/>
        <v>null</v>
      </c>
      <c r="J2536" s="82" t="s">
        <v>0</v>
      </c>
      <c r="K2536" s="82" t="s">
        <v>0</v>
      </c>
      <c r="L2536" s="82" t="s">
        <v>0</v>
      </c>
      <c r="M2536" s="82" t="s">
        <v>0</v>
      </c>
      <c r="N2536" s="80" t="s">
        <v>0</v>
      </c>
      <c r="O2536" s="82" t="s">
        <v>0</v>
      </c>
      <c r="P2536" s="82" t="s">
        <v>0</v>
      </c>
      <c r="Q2536" s="82" t="s">
        <v>0</v>
      </c>
      <c r="R2536" s="84" t="s">
        <v>0</v>
      </c>
      <c r="S2536" s="10" t="s">
        <v>1</v>
      </c>
      <c r="T2536" s="10" t="s">
        <v>10221</v>
      </c>
      <c r="U2536" s="5" t="str">
        <f t="shared" si="1328"/>
        <v>Propriedade destinada a taxonomizar: é.consultor.técnico</v>
      </c>
      <c r="V2536" s="5" t="str">
        <f t="shared" si="1329"/>
        <v>Dado para taxonomizar:  consultor.técnico  Deve ser formatado como (rdfs:Literal  or  xsd:string)</v>
      </c>
      <c r="W2536" s="69" t="s">
        <v>6368</v>
      </c>
      <c r="X2536" s="17" t="str">
        <f t="shared" si="1324"/>
        <v>d.taxon.124</v>
      </c>
      <c r="Y2536" s="17" t="str">
        <f t="shared" si="1325"/>
        <v>Ação de taxonomizar</v>
      </c>
      <c r="Z2536" s="62" t="s">
        <v>1969</v>
      </c>
      <c r="AA2536" s="18" t="str">
        <f t="shared" si="1335"/>
        <v>null</v>
      </c>
      <c r="AB2536" s="19" t="s">
        <v>0</v>
      </c>
      <c r="AC2536" s="18" t="str">
        <f t="shared" si="1336"/>
        <v>null</v>
      </c>
      <c r="AD2536" s="19" t="s">
        <v>0</v>
      </c>
      <c r="AE2536" s="18" t="str">
        <f t="shared" ref="AE2536:AE2602" si="1345">IF(AF2536="null", "null", "propriedade")</f>
        <v>null</v>
      </c>
      <c r="AF2536" s="75" t="s">
        <v>0</v>
      </c>
      <c r="AG2536" s="38" t="s">
        <v>9394</v>
      </c>
    </row>
    <row r="2537" spans="1:33" ht="6" customHeight="1" x14ac:dyDescent="0.4">
      <c r="A2537" s="4">
        <f>ROW()</f>
        <v>2537</v>
      </c>
      <c r="B2537" s="9" t="s">
        <v>27</v>
      </c>
      <c r="C2537" s="44" t="str">
        <f t="shared" si="1332"/>
        <v>p.taxonomizar</v>
      </c>
      <c r="D2537" s="6" t="str">
        <f t="shared" si="1333"/>
        <v>é.contribuição.substancial.de</v>
      </c>
      <c r="E2537" s="8" t="s">
        <v>28</v>
      </c>
      <c r="F2537" s="34" t="str">
        <f t="shared" si="1334"/>
        <v>d.taxonomizar</v>
      </c>
      <c r="G2537" s="37" t="s">
        <v>1793</v>
      </c>
      <c r="H2537" s="33" t="s">
        <v>1581</v>
      </c>
      <c r="I2537" s="92" t="str">
        <f t="shared" si="1323"/>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28"/>
        <v>Propriedade destinada a taxonomizar: é.contribuição.substancial.de</v>
      </c>
      <c r="V2537" s="5" t="str">
        <f t="shared" si="1329"/>
        <v>Dado para taxonomizar:  contribuição.substancial.de  Deve ser formatado como (rdfs:Literal  or  xsd:string)</v>
      </c>
      <c r="W2537" s="69" t="s">
        <v>6369</v>
      </c>
      <c r="X2537" s="17" t="str">
        <f t="shared" si="1324"/>
        <v>d.taxon.125</v>
      </c>
      <c r="Y2537" s="17" t="str">
        <f t="shared" si="1325"/>
        <v>Ação de taxonomizar</v>
      </c>
      <c r="Z2537" s="62" t="s">
        <v>1970</v>
      </c>
      <c r="AA2537" s="18" t="str">
        <f t="shared" si="1335"/>
        <v>null</v>
      </c>
      <c r="AB2537" s="19" t="s">
        <v>0</v>
      </c>
      <c r="AC2537" s="18" t="str">
        <f t="shared" si="1336"/>
        <v>null</v>
      </c>
      <c r="AD2537" s="19" t="s">
        <v>0</v>
      </c>
      <c r="AE2537" s="18" t="str">
        <f t="shared" si="1345"/>
        <v>null</v>
      </c>
      <c r="AF2537" s="75" t="s">
        <v>0</v>
      </c>
      <c r="AG2537" s="38" t="s">
        <v>9395</v>
      </c>
    </row>
    <row r="2538" spans="1:33" ht="6" customHeight="1" x14ac:dyDescent="0.4">
      <c r="A2538" s="4">
        <f>ROW()</f>
        <v>2538</v>
      </c>
      <c r="B2538" s="9" t="s">
        <v>27</v>
      </c>
      <c r="C2538" s="44" t="str">
        <f t="shared" si="1332"/>
        <v>p.taxonomizar</v>
      </c>
      <c r="D2538" s="6" t="str">
        <f t="shared" si="1333"/>
        <v>é.critério</v>
      </c>
      <c r="E2538" s="8" t="s">
        <v>28</v>
      </c>
      <c r="F2538" s="34" t="str">
        <f t="shared" si="1334"/>
        <v>d.taxonomizar</v>
      </c>
      <c r="G2538" s="37" t="s">
        <v>1725</v>
      </c>
      <c r="H2538" s="33" t="s">
        <v>1581</v>
      </c>
      <c r="I2538" s="92" t="str">
        <f t="shared" si="1323"/>
        <v>null</v>
      </c>
      <c r="J2538" s="82" t="s">
        <v>0</v>
      </c>
      <c r="K2538" s="82" t="s">
        <v>0</v>
      </c>
      <c r="L2538" s="82" t="s">
        <v>0</v>
      </c>
      <c r="M2538" s="82" t="s">
        <v>0</v>
      </c>
      <c r="N2538" s="80" t="s">
        <v>0</v>
      </c>
      <c r="O2538" s="82" t="s">
        <v>0</v>
      </c>
      <c r="P2538" s="82" t="s">
        <v>0</v>
      </c>
      <c r="Q2538" s="82" t="s">
        <v>0</v>
      </c>
      <c r="R2538" s="84" t="s">
        <v>0</v>
      </c>
      <c r="S2538" s="10" t="s">
        <v>1</v>
      </c>
      <c r="T2538" s="10" t="s">
        <v>10221</v>
      </c>
      <c r="U2538" s="5" t="str">
        <f t="shared" si="1328"/>
        <v>Propriedade destinada a taxonomizar: é.critério</v>
      </c>
      <c r="V2538" s="5" t="str">
        <f t="shared" si="1329"/>
        <v>Dado para taxonomizar:  critério  Deve ser formatado como (rdfs:Literal  or  xsd:string)</v>
      </c>
      <c r="W2538" s="69" t="s">
        <v>6370</v>
      </c>
      <c r="X2538" s="17" t="str">
        <f t="shared" si="1324"/>
        <v>d.taxon.126</v>
      </c>
      <c r="Y2538" s="17" t="str">
        <f t="shared" si="1325"/>
        <v>Ação de taxonomizar</v>
      </c>
      <c r="Z2538" s="62" t="s">
        <v>1971</v>
      </c>
      <c r="AA2538" s="18" t="str">
        <f t="shared" si="1335"/>
        <v>null</v>
      </c>
      <c r="AB2538" s="19" t="s">
        <v>0</v>
      </c>
      <c r="AC2538" s="18" t="str">
        <f t="shared" si="1336"/>
        <v>null</v>
      </c>
      <c r="AD2538" s="19" t="s">
        <v>0</v>
      </c>
      <c r="AE2538" s="18" t="str">
        <f t="shared" si="1345"/>
        <v>null</v>
      </c>
      <c r="AF2538" s="75" t="s">
        <v>0</v>
      </c>
      <c r="AG2538" s="38" t="s">
        <v>9396</v>
      </c>
    </row>
    <row r="2539" spans="1:33" ht="6" customHeight="1" x14ac:dyDescent="0.4">
      <c r="A2539" s="4">
        <f>ROW()</f>
        <v>2539</v>
      </c>
      <c r="B2539" s="9" t="s">
        <v>27</v>
      </c>
      <c r="C2539" s="44" t="str">
        <f t="shared" si="1332"/>
        <v>p.taxonomizar</v>
      </c>
      <c r="D2539" s="6" t="str">
        <f t="shared" si="1333"/>
        <v>é.critério.de</v>
      </c>
      <c r="E2539" s="8" t="s">
        <v>28</v>
      </c>
      <c r="F2539" s="34" t="str">
        <f t="shared" si="1334"/>
        <v>d.taxonomizar</v>
      </c>
      <c r="G2539" s="37" t="s">
        <v>1714</v>
      </c>
      <c r="H2539" s="33" t="s">
        <v>1581</v>
      </c>
      <c r="I2539" s="92" t="str">
        <f t="shared" si="1323"/>
        <v>null</v>
      </c>
      <c r="J2539" s="82" t="s">
        <v>0</v>
      </c>
      <c r="K2539" s="82" t="s">
        <v>0</v>
      </c>
      <c r="L2539" s="82" t="s">
        <v>0</v>
      </c>
      <c r="M2539" s="82" t="s">
        <v>0</v>
      </c>
      <c r="N2539" s="80" t="s">
        <v>0</v>
      </c>
      <c r="O2539" s="82" t="s">
        <v>0</v>
      </c>
      <c r="P2539" s="82" t="s">
        <v>0</v>
      </c>
      <c r="Q2539" s="82" t="s">
        <v>0</v>
      </c>
      <c r="R2539" s="84" t="s">
        <v>0</v>
      </c>
      <c r="S2539" s="10" t="s">
        <v>1</v>
      </c>
      <c r="T2539" s="10" t="s">
        <v>10221</v>
      </c>
      <c r="U2539" s="5" t="str">
        <f t="shared" si="1328"/>
        <v>Propriedade destinada a taxonomizar: é.critério.de</v>
      </c>
      <c r="V2539" s="5" t="str">
        <f t="shared" si="1329"/>
        <v>Dado para taxonomizar:  critério.de  Deve ser formatado como (rdfs:Literal  or  xsd:string)</v>
      </c>
      <c r="W2539" s="69" t="s">
        <v>6370</v>
      </c>
      <c r="X2539" s="17" t="str">
        <f t="shared" si="1324"/>
        <v>d.taxon.127</v>
      </c>
      <c r="Y2539" s="17" t="str">
        <f t="shared" si="1325"/>
        <v>Ação de taxonomizar</v>
      </c>
      <c r="Z2539" s="62" t="s">
        <v>1971</v>
      </c>
      <c r="AA2539" s="18" t="str">
        <f t="shared" si="1335"/>
        <v>null</v>
      </c>
      <c r="AB2539" s="19" t="s">
        <v>0</v>
      </c>
      <c r="AC2539" s="18" t="str">
        <f t="shared" si="1336"/>
        <v>null</v>
      </c>
      <c r="AD2539" s="19" t="s">
        <v>0</v>
      </c>
      <c r="AE2539" s="18" t="str">
        <f t="shared" si="1345"/>
        <v>null</v>
      </c>
      <c r="AF2539" s="75" t="s">
        <v>0</v>
      </c>
      <c r="AG2539" s="38" t="s">
        <v>9396</v>
      </c>
    </row>
    <row r="2540" spans="1:33" ht="6" customHeight="1" x14ac:dyDescent="0.4">
      <c r="A2540" s="4">
        <f>ROW()</f>
        <v>2540</v>
      </c>
      <c r="B2540" s="9" t="s">
        <v>27</v>
      </c>
      <c r="C2540" s="44" t="str">
        <f t="shared" si="1332"/>
        <v>p.taxonomizar</v>
      </c>
      <c r="D2540" s="6" t="str">
        <f t="shared" si="1333"/>
        <v>é.dimensão.taxonómica</v>
      </c>
      <c r="E2540" s="8" t="s">
        <v>28</v>
      </c>
      <c r="F2540" s="34" t="str">
        <f t="shared" si="1334"/>
        <v>d.taxonomizar</v>
      </c>
      <c r="G2540" s="37" t="s">
        <v>6710</v>
      </c>
      <c r="H2540" s="33" t="s">
        <v>1581</v>
      </c>
      <c r="I2540" s="92" t="str">
        <f t="shared" si="1323"/>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28"/>
        <v>Propriedade destinada a taxonomizar: é.dimensão.taxonómica</v>
      </c>
      <c r="V2540" s="5" t="str">
        <f t="shared" si="1329"/>
        <v>Dado para taxonomizar:  dimensão.taxonómica  Deve ser formatado como (rdfs:Literal  or  xsd:string)</v>
      </c>
      <c r="W2540" s="69" t="s">
        <v>6371</v>
      </c>
      <c r="X2540" s="17" t="str">
        <f t="shared" si="1324"/>
        <v>d.taxon.128</v>
      </c>
      <c r="Y2540" s="17" t="str">
        <f t="shared" si="1325"/>
        <v>Ação de taxonomizar</v>
      </c>
      <c r="Z2540" s="62" t="s">
        <v>1972</v>
      </c>
      <c r="AA2540" s="18" t="str">
        <f t="shared" si="1335"/>
        <v>null</v>
      </c>
      <c r="AB2540" s="19" t="s">
        <v>0</v>
      </c>
      <c r="AC2540" s="18" t="str">
        <f t="shared" si="1336"/>
        <v>null</v>
      </c>
      <c r="AD2540" s="19" t="s">
        <v>0</v>
      </c>
      <c r="AE2540" s="18" t="str">
        <f t="shared" si="1345"/>
        <v>null</v>
      </c>
      <c r="AF2540" s="75" t="s">
        <v>0</v>
      </c>
      <c r="AG2540" s="38" t="s">
        <v>9397</v>
      </c>
    </row>
    <row r="2541" spans="1:33" ht="6" customHeight="1" x14ac:dyDescent="0.4">
      <c r="A2541" s="4">
        <f>ROW()</f>
        <v>2541</v>
      </c>
      <c r="B2541" s="9" t="s">
        <v>27</v>
      </c>
      <c r="C2541" s="44" t="str">
        <f t="shared" si="1332"/>
        <v>p.taxonomizar</v>
      </c>
      <c r="D2541" s="6" t="str">
        <f t="shared" si="1333"/>
        <v>é.disponível.em</v>
      </c>
      <c r="E2541" s="8" t="s">
        <v>28</v>
      </c>
      <c r="F2541" s="34" t="str">
        <f t="shared" si="1334"/>
        <v>d.taxonomizar</v>
      </c>
      <c r="G2541" s="37" t="s">
        <v>1726</v>
      </c>
      <c r="H2541" s="33" t="s">
        <v>1581</v>
      </c>
      <c r="I2541" s="92" t="str">
        <f t="shared" si="1323"/>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28"/>
        <v>Propriedade destinada a taxonomizar: é.disponível.em</v>
      </c>
      <c r="V2541" s="5" t="str">
        <f t="shared" si="1329"/>
        <v>Dado para taxonomizar:  disponível.em  Deve ser formatado como (rdfs:Literal  or  xsd:string)</v>
      </c>
      <c r="W2541" s="69" t="s">
        <v>6372</v>
      </c>
      <c r="X2541" s="17" t="str">
        <f t="shared" si="1324"/>
        <v>d.taxon.129</v>
      </c>
      <c r="Y2541" s="17" t="str">
        <f t="shared" si="1325"/>
        <v>Ação de taxonomizar</v>
      </c>
      <c r="Z2541" s="62" t="s">
        <v>1973</v>
      </c>
      <c r="AA2541" s="18" t="str">
        <f t="shared" si="1335"/>
        <v>null</v>
      </c>
      <c r="AB2541" s="19" t="s">
        <v>0</v>
      </c>
      <c r="AC2541" s="18" t="str">
        <f t="shared" si="1336"/>
        <v>null</v>
      </c>
      <c r="AD2541" s="19" t="s">
        <v>0</v>
      </c>
      <c r="AE2541" s="18" t="str">
        <f t="shared" si="1345"/>
        <v>null</v>
      </c>
      <c r="AF2541" s="75" t="s">
        <v>0</v>
      </c>
      <c r="AG2541" s="38" t="s">
        <v>9398</v>
      </c>
    </row>
    <row r="2542" spans="1:33" ht="6" customHeight="1" x14ac:dyDescent="0.4">
      <c r="A2542" s="4">
        <f>ROW()</f>
        <v>2542</v>
      </c>
      <c r="B2542" s="9" t="s">
        <v>27</v>
      </c>
      <c r="C2542" s="44" t="str">
        <f t="shared" si="1332"/>
        <v>p.taxonomizar</v>
      </c>
      <c r="D2542" s="6" t="str">
        <f t="shared" si="1333"/>
        <v>é.eixo.temático</v>
      </c>
      <c r="E2542" s="8" t="s">
        <v>28</v>
      </c>
      <c r="F2542" s="34" t="str">
        <f t="shared" si="1334"/>
        <v>d.taxonomizar</v>
      </c>
      <c r="G2542" s="37" t="s">
        <v>1759</v>
      </c>
      <c r="H2542" s="33" t="s">
        <v>1581</v>
      </c>
      <c r="I2542" s="92" t="str">
        <f t="shared" si="1323"/>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28"/>
        <v>Propriedade destinada a taxonomizar: é.eixo.temático</v>
      </c>
      <c r="V2542" s="5" t="str">
        <f t="shared" si="1329"/>
        <v>Dado para taxonomizar:  eixo.temático  Deve ser formatado como (rdfs:Literal  or  xsd:string)</v>
      </c>
      <c r="W2542" s="69" t="s">
        <v>6373</v>
      </c>
      <c r="X2542" s="17" t="str">
        <f t="shared" si="1324"/>
        <v>d.taxon.130</v>
      </c>
      <c r="Y2542" s="17" t="str">
        <f t="shared" si="1325"/>
        <v>Ação de taxonomizar</v>
      </c>
      <c r="Z2542" s="62" t="s">
        <v>1974</v>
      </c>
      <c r="AA2542" s="18" t="str">
        <f t="shared" si="1335"/>
        <v>null</v>
      </c>
      <c r="AB2542" s="19" t="s">
        <v>0</v>
      </c>
      <c r="AC2542" s="18" t="str">
        <f t="shared" si="1336"/>
        <v>null</v>
      </c>
      <c r="AD2542" s="19" t="s">
        <v>0</v>
      </c>
      <c r="AE2542" s="18" t="str">
        <f t="shared" si="1345"/>
        <v>null</v>
      </c>
      <c r="AF2542" s="75" t="s">
        <v>0</v>
      </c>
      <c r="AG2542" s="38" t="s">
        <v>9399</v>
      </c>
    </row>
    <row r="2543" spans="1:33" ht="6" customHeight="1" x14ac:dyDescent="0.4">
      <c r="A2543" s="4">
        <f>ROW()</f>
        <v>2543</v>
      </c>
      <c r="B2543" s="9" t="s">
        <v>27</v>
      </c>
      <c r="C2543" s="44" t="str">
        <f t="shared" si="1332"/>
        <v>p.taxonomizar</v>
      </c>
      <c r="D2543" s="6" t="str">
        <f t="shared" si="1333"/>
        <v>é.elegível.de</v>
      </c>
      <c r="E2543" s="8" t="s">
        <v>28</v>
      </c>
      <c r="F2543" s="34" t="str">
        <f t="shared" si="1334"/>
        <v>d.taxonomizar</v>
      </c>
      <c r="G2543" s="37" t="s">
        <v>1758</v>
      </c>
      <c r="H2543" s="33" t="s">
        <v>1581</v>
      </c>
      <c r="I2543" s="92" t="str">
        <f t="shared" si="1323"/>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28"/>
        <v>Propriedade destinada a taxonomizar: é.elegível.de</v>
      </c>
      <c r="V2543" s="5" t="str">
        <f t="shared" si="1329"/>
        <v>Dado para taxonomizar:  elegível.de  Deve ser formatado como (rdfs:Literal  or  xsd:string)</v>
      </c>
      <c r="W2543" s="69" t="s">
        <v>6374</v>
      </c>
      <c r="X2543" s="17" t="str">
        <f t="shared" si="1324"/>
        <v>d.taxon.131</v>
      </c>
      <c r="Y2543" s="17" t="str">
        <f t="shared" si="1325"/>
        <v>Ação de taxonomizar</v>
      </c>
      <c r="Z2543" s="62" t="s">
        <v>1975</v>
      </c>
      <c r="AA2543" s="18" t="str">
        <f t="shared" si="1335"/>
        <v>null</v>
      </c>
      <c r="AB2543" s="19" t="s">
        <v>0</v>
      </c>
      <c r="AC2543" s="18" t="str">
        <f t="shared" si="1336"/>
        <v>null</v>
      </c>
      <c r="AD2543" s="19" t="s">
        <v>0</v>
      </c>
      <c r="AE2543" s="18" t="str">
        <f t="shared" si="1345"/>
        <v>null</v>
      </c>
      <c r="AF2543" s="75" t="s">
        <v>0</v>
      </c>
      <c r="AG2543" s="38" t="s">
        <v>9400</v>
      </c>
    </row>
    <row r="2544" spans="1:33" ht="6" customHeight="1" x14ac:dyDescent="0.4">
      <c r="A2544" s="4">
        <f>ROW()</f>
        <v>2544</v>
      </c>
      <c r="B2544" s="9" t="s">
        <v>27</v>
      </c>
      <c r="C2544" s="44" t="str">
        <f t="shared" si="1332"/>
        <v>p.taxonomizar</v>
      </c>
      <c r="D2544" s="6" t="str">
        <f t="shared" si="1333"/>
        <v>é.empregos.gerados</v>
      </c>
      <c r="E2544" s="8" t="s">
        <v>28</v>
      </c>
      <c r="F2544" s="34" t="str">
        <f t="shared" si="1334"/>
        <v>d.taxonomizar</v>
      </c>
      <c r="G2544" s="37" t="s">
        <v>1742</v>
      </c>
      <c r="H2544" s="33" t="s">
        <v>1581</v>
      </c>
      <c r="I2544" s="92" t="str">
        <f t="shared" ref="I2544:I2607" si="1346">IF(OR(J2544="Functional",K2544="InverseFunctional"),"Functional","null")</f>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28"/>
        <v>Propriedade destinada a taxonomizar: é.empregos.gerados</v>
      </c>
      <c r="V2544" s="5" t="str">
        <f t="shared" si="1329"/>
        <v>Dado para taxonomizar:  empregos.gerados  Deve ser formatado como (rdfs:Literal  or  xsd:string)</v>
      </c>
      <c r="W2544" s="69" t="s">
        <v>6351</v>
      </c>
      <c r="X2544" s="17" t="str">
        <f t="shared" si="1324"/>
        <v>d.taxon.132</v>
      </c>
      <c r="Y2544" s="17" t="str">
        <f t="shared" si="1325"/>
        <v>Ação de taxonomizar</v>
      </c>
      <c r="Z2544" s="62" t="s">
        <v>1955</v>
      </c>
      <c r="AA2544" s="18" t="str">
        <f t="shared" si="1335"/>
        <v>null</v>
      </c>
      <c r="AB2544" s="19" t="s">
        <v>0</v>
      </c>
      <c r="AC2544" s="18" t="str">
        <f t="shared" si="1336"/>
        <v>null</v>
      </c>
      <c r="AD2544" s="19" t="s">
        <v>0</v>
      </c>
      <c r="AE2544" s="18" t="str">
        <f t="shared" si="1345"/>
        <v>null</v>
      </c>
      <c r="AF2544" s="75" t="s">
        <v>0</v>
      </c>
      <c r="AG2544" s="38" t="s">
        <v>9377</v>
      </c>
    </row>
    <row r="2545" spans="1:33" ht="6" customHeight="1" x14ac:dyDescent="0.4">
      <c r="A2545" s="4">
        <f>ROW()</f>
        <v>2545</v>
      </c>
      <c r="B2545" s="9" t="s">
        <v>27</v>
      </c>
      <c r="C2545" s="44" t="str">
        <f t="shared" si="1332"/>
        <v>p.taxonomizar</v>
      </c>
      <c r="D2545" s="6" t="str">
        <f t="shared" si="1333"/>
        <v>é.encontrado.em</v>
      </c>
      <c r="E2545" s="8" t="s">
        <v>28</v>
      </c>
      <c r="F2545" s="34" t="str">
        <f t="shared" si="1334"/>
        <v>d.taxonomizar</v>
      </c>
      <c r="G2545" s="37" t="s">
        <v>1731</v>
      </c>
      <c r="H2545" s="33" t="s">
        <v>1581</v>
      </c>
      <c r="I2545" s="92" t="str">
        <f t="shared" si="1346"/>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28"/>
        <v>Propriedade destinada a taxonomizar: é.encontrado.em</v>
      </c>
      <c r="V2545" s="5" t="str">
        <f t="shared" si="1329"/>
        <v>Dado para taxonomizar:  encontrado.em  Deve ser formatado como (rdfs:Literal  or  xsd:string)</v>
      </c>
      <c r="W2545" s="69" t="s">
        <v>6375</v>
      </c>
      <c r="X2545" s="17" t="str">
        <f t="shared" si="1324"/>
        <v>d.taxon.133</v>
      </c>
      <c r="Y2545" s="17" t="str">
        <f t="shared" si="1325"/>
        <v>Ação de taxonomizar</v>
      </c>
      <c r="Z2545" s="62" t="s">
        <v>1976</v>
      </c>
      <c r="AA2545" s="18" t="str">
        <f t="shared" si="1335"/>
        <v>null</v>
      </c>
      <c r="AB2545" s="19" t="s">
        <v>0</v>
      </c>
      <c r="AC2545" s="18" t="str">
        <f t="shared" si="1336"/>
        <v>null</v>
      </c>
      <c r="AD2545" s="19" t="s">
        <v>0</v>
      </c>
      <c r="AE2545" s="18" t="str">
        <f t="shared" si="1345"/>
        <v>null</v>
      </c>
      <c r="AF2545" s="75" t="s">
        <v>0</v>
      </c>
      <c r="AG2545" s="38" t="s">
        <v>9401</v>
      </c>
    </row>
    <row r="2546" spans="1:33" ht="6" customHeight="1" x14ac:dyDescent="0.4">
      <c r="A2546" s="4">
        <f>ROW()</f>
        <v>2546</v>
      </c>
      <c r="B2546" s="9" t="s">
        <v>27</v>
      </c>
      <c r="C2546" s="44" t="str">
        <f t="shared" ref="C2546:C2579" si="1347">SUBSTITUTE(F2546,"d.","p.")</f>
        <v>p.taxonomizar</v>
      </c>
      <c r="D2546" s="6" t="str">
        <f t="shared" si="1333"/>
        <v>é.esperado.que</v>
      </c>
      <c r="E2546" s="8" t="s">
        <v>28</v>
      </c>
      <c r="F2546" s="34" t="str">
        <f t="shared" si="1334"/>
        <v>d.taxonomizar</v>
      </c>
      <c r="G2546" s="37" t="s">
        <v>1721</v>
      </c>
      <c r="H2546" s="33" t="s">
        <v>1581</v>
      </c>
      <c r="I2546" s="92" t="str">
        <f t="shared" si="1346"/>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28"/>
        <v>Propriedade destinada a taxonomizar: é.esperado.que</v>
      </c>
      <c r="V2546" s="5" t="str">
        <f t="shared" si="1329"/>
        <v>Dado para taxonomizar:  esperado.que  Deve ser formatado como (rdfs:Literal  or  xsd:string)</v>
      </c>
      <c r="W2546" s="69" t="s">
        <v>6376</v>
      </c>
      <c r="X2546" s="17" t="str">
        <f t="shared" si="1324"/>
        <v>d.taxon.134</v>
      </c>
      <c r="Y2546" s="17" t="str">
        <f t="shared" si="1325"/>
        <v>Ação de taxonomizar</v>
      </c>
      <c r="Z2546" s="62" t="s">
        <v>1977</v>
      </c>
      <c r="AA2546" s="18" t="str">
        <f t="shared" ref="AA2546:AA2577" si="1348">IF(AB2546="null", "null", "categoria.revit")</f>
        <v>null</v>
      </c>
      <c r="AB2546" s="19" t="s">
        <v>0</v>
      </c>
      <c r="AC2546" s="18" t="str">
        <f t="shared" ref="AC2546:AC2577" si="1349">IF(AD2546="null", "null", "classe.ifc")</f>
        <v>null</v>
      </c>
      <c r="AD2546" s="19" t="s">
        <v>0</v>
      </c>
      <c r="AE2546" s="18" t="str">
        <f t="shared" si="1345"/>
        <v>null</v>
      </c>
      <c r="AF2546" s="75" t="s">
        <v>0</v>
      </c>
      <c r="AG2546" s="38" t="s">
        <v>9402</v>
      </c>
    </row>
    <row r="2547" spans="1:33" ht="6" customHeight="1" x14ac:dyDescent="0.4">
      <c r="A2547" s="4">
        <f>ROW()</f>
        <v>2547</v>
      </c>
      <c r="B2547" s="9" t="s">
        <v>27</v>
      </c>
      <c r="C2547" s="44" t="str">
        <f t="shared" si="1347"/>
        <v>p.taxonomizar</v>
      </c>
      <c r="D2547" s="6" t="str">
        <f t="shared" si="1333"/>
        <v>é.estratégia.de</v>
      </c>
      <c r="E2547" s="8" t="s">
        <v>28</v>
      </c>
      <c r="F2547" s="34" t="str">
        <f t="shared" si="1334"/>
        <v>d.taxonomizar</v>
      </c>
      <c r="G2547" s="37" t="s">
        <v>1715</v>
      </c>
      <c r="H2547" s="33" t="s">
        <v>1581</v>
      </c>
      <c r="I2547" s="92" t="str">
        <f t="shared" si="1346"/>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28"/>
        <v>Propriedade destinada a taxonomizar: é.estratégia.de</v>
      </c>
      <c r="V2547" s="5" t="str">
        <f t="shared" si="1329"/>
        <v>Dado para taxonomizar:  estratégia.de  Deve ser formatado como (rdfs:Literal  or  xsd:string)</v>
      </c>
      <c r="W2547" s="69" t="s">
        <v>6377</v>
      </c>
      <c r="X2547" s="17" t="str">
        <f t="shared" si="1324"/>
        <v>d.taxon.135</v>
      </c>
      <c r="Y2547" s="17" t="str">
        <f t="shared" si="1325"/>
        <v>Ação de taxonomizar</v>
      </c>
      <c r="Z2547" s="62" t="s">
        <v>2805</v>
      </c>
      <c r="AA2547" s="18" t="str">
        <f t="shared" si="1348"/>
        <v>null</v>
      </c>
      <c r="AB2547" s="19" t="s">
        <v>0</v>
      </c>
      <c r="AC2547" s="18" t="str">
        <f t="shared" si="1349"/>
        <v>null</v>
      </c>
      <c r="AD2547" s="19" t="s">
        <v>0</v>
      </c>
      <c r="AE2547" s="18" t="str">
        <f t="shared" si="1345"/>
        <v>null</v>
      </c>
      <c r="AF2547" s="75" t="s">
        <v>0</v>
      </c>
      <c r="AG2547" s="38" t="s">
        <v>9403</v>
      </c>
    </row>
    <row r="2548" spans="1:33" ht="6" customHeight="1" x14ac:dyDescent="0.4">
      <c r="A2548" s="4">
        <f>ROW()</f>
        <v>2548</v>
      </c>
      <c r="B2548" s="9" t="s">
        <v>27</v>
      </c>
      <c r="C2548" s="44" t="str">
        <f t="shared" si="1347"/>
        <v>p.taxonomizar</v>
      </c>
      <c r="D2548" s="6" t="str">
        <f t="shared" si="1333"/>
        <v>é.estratégia.usada</v>
      </c>
      <c r="E2548" s="8" t="s">
        <v>28</v>
      </c>
      <c r="F2548" s="34" t="str">
        <f t="shared" si="1334"/>
        <v>d.taxonomizar</v>
      </c>
      <c r="G2548" s="37" t="s">
        <v>1716</v>
      </c>
      <c r="H2548" s="33" t="s">
        <v>1581</v>
      </c>
      <c r="I2548" s="92" t="str">
        <f t="shared" si="1346"/>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28"/>
        <v>Propriedade destinada a taxonomizar: é.estratégia.usada</v>
      </c>
      <c r="V2548" s="5" t="str">
        <f t="shared" si="1329"/>
        <v>Dado para taxonomizar:  estratégia.usada  Deve ser formatado como (rdfs:Literal  or  xsd:string)</v>
      </c>
      <c r="W2548" s="69" t="s">
        <v>6378</v>
      </c>
      <c r="X2548" s="17" t="str">
        <f t="shared" si="1324"/>
        <v>d.taxon.136</v>
      </c>
      <c r="Y2548" s="17" t="str">
        <f t="shared" si="1325"/>
        <v>Ação de taxonomizar</v>
      </c>
      <c r="Z2548" s="62" t="s">
        <v>1978</v>
      </c>
      <c r="AA2548" s="18" t="str">
        <f t="shared" si="1348"/>
        <v>null</v>
      </c>
      <c r="AB2548" s="19" t="s">
        <v>0</v>
      </c>
      <c r="AC2548" s="18" t="str">
        <f t="shared" si="1349"/>
        <v>null</v>
      </c>
      <c r="AD2548" s="19" t="s">
        <v>0</v>
      </c>
      <c r="AE2548" s="18" t="str">
        <f t="shared" si="1345"/>
        <v>null</v>
      </c>
      <c r="AF2548" s="75" t="s">
        <v>0</v>
      </c>
      <c r="AG2548" s="38" t="s">
        <v>9404</v>
      </c>
    </row>
    <row r="2549" spans="1:33" ht="6" customHeight="1" x14ac:dyDescent="0.4">
      <c r="A2549" s="4">
        <f>ROW()</f>
        <v>2549</v>
      </c>
      <c r="B2549" s="9" t="s">
        <v>27</v>
      </c>
      <c r="C2549" s="44" t="str">
        <f t="shared" si="1347"/>
        <v>p.taxonomizar</v>
      </c>
      <c r="D2549" s="6" t="str">
        <f t="shared" si="1333"/>
        <v>é.explicado.em</v>
      </c>
      <c r="E2549" s="8" t="s">
        <v>28</v>
      </c>
      <c r="F2549" s="34" t="str">
        <f t="shared" si="1334"/>
        <v>d.taxonomizar</v>
      </c>
      <c r="G2549" s="37" t="s">
        <v>1738</v>
      </c>
      <c r="H2549" s="33" t="s">
        <v>1581</v>
      </c>
      <c r="I2549" s="92" t="str">
        <f t="shared" si="1346"/>
        <v>null</v>
      </c>
      <c r="J2549" s="82" t="s">
        <v>0</v>
      </c>
      <c r="K2549" s="82" t="s">
        <v>0</v>
      </c>
      <c r="L2549" s="82" t="s">
        <v>0</v>
      </c>
      <c r="M2549" s="82" t="s">
        <v>0</v>
      </c>
      <c r="N2549" s="82" t="s">
        <v>251</v>
      </c>
      <c r="O2549" s="82" t="s">
        <v>0</v>
      </c>
      <c r="P2549" s="82" t="s">
        <v>252</v>
      </c>
      <c r="Q2549" s="82" t="s">
        <v>1739</v>
      </c>
      <c r="R2549" s="84" t="s">
        <v>0</v>
      </c>
      <c r="S2549" s="10" t="s">
        <v>1</v>
      </c>
      <c r="T2549" s="10" t="s">
        <v>10221</v>
      </c>
      <c r="U2549" s="5" t="str">
        <f t="shared" ref="U2549:U2615" si="1350">_xlfn.CONCAT("Propriedade destinada a ",MID(C2549,FIND("p.",C2549,1)+2,100),": ",D2549)</f>
        <v>Propriedade destinada a taxonomizar: é.explicado.em</v>
      </c>
      <c r="V2549" s="5" t="str">
        <f t="shared" ref="V2549:V2615" si="1351">_xlfn.CONCAT("Dado para ",MID(F2549,FIND("d.",F2549,1)+2,100),":  ",G2549, "  Deve ser formatado como (",H2549, ")")</f>
        <v>Dado para taxonomizar:  explicado.em  Deve ser formatado como (rdfs:Literal  or  xsd:string)</v>
      </c>
      <c r="W2549" s="69" t="s">
        <v>6379</v>
      </c>
      <c r="X2549" s="17" t="str">
        <f t="shared" si="1324"/>
        <v>d.taxon.137</v>
      </c>
      <c r="Y2549" s="17" t="str">
        <f t="shared" si="1325"/>
        <v>Ação de taxonomizar</v>
      </c>
      <c r="Z2549" s="62" t="s">
        <v>2806</v>
      </c>
      <c r="AA2549" s="18" t="str">
        <f t="shared" si="1348"/>
        <v>null</v>
      </c>
      <c r="AB2549" s="19" t="s">
        <v>0</v>
      </c>
      <c r="AC2549" s="18" t="str">
        <f t="shared" si="1349"/>
        <v>null</v>
      </c>
      <c r="AD2549" s="19" t="s">
        <v>0</v>
      </c>
      <c r="AE2549" s="18" t="str">
        <f t="shared" si="1345"/>
        <v>null</v>
      </c>
      <c r="AF2549" s="75" t="s">
        <v>0</v>
      </c>
      <c r="AG2549" s="38" t="s">
        <v>9405</v>
      </c>
    </row>
    <row r="2550" spans="1:33" ht="6" customHeight="1" x14ac:dyDescent="0.4">
      <c r="A2550" s="4">
        <f>ROW()</f>
        <v>2550</v>
      </c>
      <c r="B2550" s="9" t="s">
        <v>27</v>
      </c>
      <c r="C2550" s="44" t="str">
        <f t="shared" si="1347"/>
        <v>p.taxonomizar</v>
      </c>
      <c r="D2550" s="6" t="str">
        <f t="shared" si="1333"/>
        <v>é.explicativa.de</v>
      </c>
      <c r="E2550" s="8" t="s">
        <v>28</v>
      </c>
      <c r="F2550" s="34" t="str">
        <f t="shared" si="1334"/>
        <v>d.taxonomizar</v>
      </c>
      <c r="G2550" s="37" t="s">
        <v>1737</v>
      </c>
      <c r="H2550" s="33" t="s">
        <v>1581</v>
      </c>
      <c r="I2550" s="92" t="str">
        <f t="shared" si="1346"/>
        <v>null</v>
      </c>
      <c r="J2550" s="82" t="s">
        <v>0</v>
      </c>
      <c r="K2550" s="82" t="s">
        <v>0</v>
      </c>
      <c r="L2550" s="82" t="s">
        <v>0</v>
      </c>
      <c r="M2550" s="82" t="s">
        <v>0</v>
      </c>
      <c r="N2550" s="82" t="s">
        <v>251</v>
      </c>
      <c r="O2550" s="82" t="s">
        <v>0</v>
      </c>
      <c r="P2550" s="82" t="s">
        <v>252</v>
      </c>
      <c r="Q2550" s="82" t="s">
        <v>1740</v>
      </c>
      <c r="R2550" s="84" t="s">
        <v>0</v>
      </c>
      <c r="S2550" s="10" t="s">
        <v>1</v>
      </c>
      <c r="T2550" s="10" t="s">
        <v>10221</v>
      </c>
      <c r="U2550" s="5" t="str">
        <f t="shared" si="1350"/>
        <v>Propriedade destinada a taxonomizar: é.explicativa.de</v>
      </c>
      <c r="V2550" s="5" t="str">
        <f t="shared" si="1351"/>
        <v>Dado para taxonomizar:  explicativa.de  Deve ser formatado como (rdfs:Literal  or  xsd:string)</v>
      </c>
      <c r="W2550" s="69" t="s">
        <v>6380</v>
      </c>
      <c r="X2550" s="17" t="str">
        <f t="shared" si="1324"/>
        <v>d.taxon.138</v>
      </c>
      <c r="Y2550" s="17" t="str">
        <f t="shared" si="1325"/>
        <v>Ação de taxonomizar</v>
      </c>
      <c r="Z2550" s="62" t="s">
        <v>2807</v>
      </c>
      <c r="AA2550" s="18" t="str">
        <f t="shared" si="1348"/>
        <v>null</v>
      </c>
      <c r="AB2550" s="19" t="s">
        <v>0</v>
      </c>
      <c r="AC2550" s="18" t="str">
        <f t="shared" si="1349"/>
        <v>null</v>
      </c>
      <c r="AD2550" s="19" t="s">
        <v>0</v>
      </c>
      <c r="AE2550" s="18" t="str">
        <f t="shared" si="1345"/>
        <v>null</v>
      </c>
      <c r="AF2550" s="75" t="s">
        <v>0</v>
      </c>
      <c r="AG2550" s="38" t="s">
        <v>9406</v>
      </c>
    </row>
    <row r="2551" spans="1:33" ht="6" customHeight="1" x14ac:dyDescent="0.4">
      <c r="A2551" s="4">
        <f>ROW()</f>
        <v>2551</v>
      </c>
      <c r="B2551" s="9" t="s">
        <v>27</v>
      </c>
      <c r="C2551" s="44" t="str">
        <f t="shared" si="1347"/>
        <v>p.taxonomizar</v>
      </c>
      <c r="D2551" s="6" t="str">
        <f t="shared" si="1333"/>
        <v>é.financiador</v>
      </c>
      <c r="E2551" s="8" t="s">
        <v>28</v>
      </c>
      <c r="F2551" s="34" t="str">
        <f t="shared" si="1334"/>
        <v>d.taxonomizar</v>
      </c>
      <c r="G2551" s="37" t="s">
        <v>1757</v>
      </c>
      <c r="H2551" s="33" t="s">
        <v>1581</v>
      </c>
      <c r="I2551" s="92" t="str">
        <f t="shared" si="1346"/>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50"/>
        <v>Propriedade destinada a taxonomizar: é.financiador</v>
      </c>
      <c r="V2551" s="5" t="str">
        <f t="shared" si="1351"/>
        <v>Dado para taxonomizar:  financiador  Deve ser formatado como (rdfs:Literal  or  xsd:string)</v>
      </c>
      <c r="W2551" s="69" t="s">
        <v>6381</v>
      </c>
      <c r="X2551" s="17" t="str">
        <f t="shared" si="1324"/>
        <v>d.taxon.139</v>
      </c>
      <c r="Y2551" s="17" t="str">
        <f t="shared" si="1325"/>
        <v>Ação de taxonomizar</v>
      </c>
      <c r="Z2551" s="62" t="s">
        <v>1979</v>
      </c>
      <c r="AA2551" s="18" t="str">
        <f t="shared" si="1348"/>
        <v>null</v>
      </c>
      <c r="AB2551" s="19" t="s">
        <v>0</v>
      </c>
      <c r="AC2551" s="18" t="str">
        <f t="shared" si="1349"/>
        <v>null</v>
      </c>
      <c r="AD2551" s="19" t="s">
        <v>0</v>
      </c>
      <c r="AE2551" s="18" t="str">
        <f t="shared" si="1345"/>
        <v>null</v>
      </c>
      <c r="AF2551" s="75" t="s">
        <v>0</v>
      </c>
      <c r="AG2551" s="38" t="s">
        <v>9407</v>
      </c>
    </row>
    <row r="2552" spans="1:33" ht="6" customHeight="1" x14ac:dyDescent="0.4">
      <c r="A2552" s="4">
        <f>ROW()</f>
        <v>2552</v>
      </c>
      <c r="B2552" s="9" t="s">
        <v>27</v>
      </c>
      <c r="C2552" s="44" t="str">
        <f t="shared" si="1347"/>
        <v>p.taxonomizar</v>
      </c>
      <c r="D2552" s="6" t="str">
        <f t="shared" si="1333"/>
        <v>é.fora.do.escopo</v>
      </c>
      <c r="E2552" s="8" t="s">
        <v>28</v>
      </c>
      <c r="F2552" s="34" t="str">
        <f t="shared" si="1334"/>
        <v>d.taxonomizar</v>
      </c>
      <c r="G2552" s="14" t="s">
        <v>1792</v>
      </c>
      <c r="H2552" s="33" t="s">
        <v>1581</v>
      </c>
      <c r="I2552" s="92" t="str">
        <f t="shared" si="1346"/>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50"/>
        <v>Propriedade destinada a taxonomizar: é.fora.do.escopo</v>
      </c>
      <c r="V2552" s="5" t="str">
        <f t="shared" si="1351"/>
        <v>Dado para taxonomizar:  fora.do.escopo  Deve ser formatado como (rdfs:Literal  or  xsd:string)</v>
      </c>
      <c r="W2552" s="69" t="s">
        <v>6382</v>
      </c>
      <c r="X2552" s="17" t="str">
        <f t="shared" si="1324"/>
        <v>d.taxon.140</v>
      </c>
      <c r="Y2552" s="17" t="str">
        <f t="shared" si="1325"/>
        <v>Ação de taxonomizar</v>
      </c>
      <c r="Z2552" s="62" t="s">
        <v>2808</v>
      </c>
      <c r="AA2552" s="18" t="str">
        <f t="shared" si="1348"/>
        <v>null</v>
      </c>
      <c r="AB2552" s="19" t="s">
        <v>0</v>
      </c>
      <c r="AC2552" s="18" t="str">
        <f t="shared" si="1349"/>
        <v>null</v>
      </c>
      <c r="AD2552" s="19" t="s">
        <v>0</v>
      </c>
      <c r="AE2552" s="18" t="str">
        <f t="shared" si="1345"/>
        <v>null</v>
      </c>
      <c r="AF2552" s="75" t="s">
        <v>0</v>
      </c>
      <c r="AG2552" s="38" t="s">
        <v>9408</v>
      </c>
    </row>
    <row r="2553" spans="1:33" ht="6" customHeight="1" x14ac:dyDescent="0.4">
      <c r="A2553" s="4">
        <f>ROW()</f>
        <v>2553</v>
      </c>
      <c r="B2553" s="9" t="s">
        <v>27</v>
      </c>
      <c r="C2553" s="44" t="str">
        <f t="shared" si="1347"/>
        <v>p.taxonomizar</v>
      </c>
      <c r="D2553" s="6" t="str">
        <f t="shared" si="1333"/>
        <v>é.fundamentado.em</v>
      </c>
      <c r="E2553" s="8" t="s">
        <v>28</v>
      </c>
      <c r="F2553" s="34" t="str">
        <f t="shared" si="1334"/>
        <v>d.taxonomizar</v>
      </c>
      <c r="G2553" s="37" t="s">
        <v>1752</v>
      </c>
      <c r="H2553" s="33" t="s">
        <v>1581</v>
      </c>
      <c r="I2553" s="92" t="str">
        <f t="shared" si="1346"/>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50"/>
        <v>Propriedade destinada a taxonomizar: é.fundamentado.em</v>
      </c>
      <c r="V2553" s="5" t="str">
        <f t="shared" si="1351"/>
        <v>Dado para taxonomizar:  fundamentado.em  Deve ser formatado como (rdfs:Literal  or  xsd:string)</v>
      </c>
      <c r="W2553" s="69" t="s">
        <v>6383</v>
      </c>
      <c r="X2553" s="17" t="str">
        <f t="shared" si="1324"/>
        <v>d.taxon.141</v>
      </c>
      <c r="Y2553" s="17" t="str">
        <f t="shared" si="1325"/>
        <v>Ação de taxonomizar</v>
      </c>
      <c r="Z2553" s="62" t="s">
        <v>1980</v>
      </c>
      <c r="AA2553" s="18" t="str">
        <f t="shared" si="1348"/>
        <v>null</v>
      </c>
      <c r="AB2553" s="19" t="s">
        <v>0</v>
      </c>
      <c r="AC2553" s="18" t="str">
        <f t="shared" si="1349"/>
        <v>null</v>
      </c>
      <c r="AD2553" s="19" t="s">
        <v>0</v>
      </c>
      <c r="AE2553" s="18" t="str">
        <f t="shared" si="1345"/>
        <v>null</v>
      </c>
      <c r="AF2553" s="75" t="s">
        <v>0</v>
      </c>
      <c r="AG2553" s="38" t="s">
        <v>9409</v>
      </c>
    </row>
    <row r="2554" spans="1:33" ht="6" customHeight="1" x14ac:dyDescent="0.4">
      <c r="A2554" s="4">
        <f>ROW()</f>
        <v>2554</v>
      </c>
      <c r="B2554" s="9" t="s">
        <v>27</v>
      </c>
      <c r="C2554" s="44" t="str">
        <f t="shared" si="1347"/>
        <v>p.taxonomizar</v>
      </c>
      <c r="D2554" s="6" t="str">
        <f t="shared" si="1333"/>
        <v>é.impacto</v>
      </c>
      <c r="E2554" s="8" t="s">
        <v>28</v>
      </c>
      <c r="F2554" s="34" t="str">
        <f t="shared" si="1334"/>
        <v>d.taxonomizar</v>
      </c>
      <c r="G2554" s="37" t="s">
        <v>1765</v>
      </c>
      <c r="H2554" s="33" t="s">
        <v>1581</v>
      </c>
      <c r="I2554" s="92" t="str">
        <f t="shared" si="1346"/>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50"/>
        <v>Propriedade destinada a taxonomizar: é.impacto</v>
      </c>
      <c r="V2554" s="5" t="str">
        <f t="shared" si="1351"/>
        <v>Dado para taxonomizar:  impacto  Deve ser formatado como (rdfs:Literal  or  xsd:string)</v>
      </c>
      <c r="W2554" s="69" t="s">
        <v>6384</v>
      </c>
      <c r="X2554" s="17" t="str">
        <f t="shared" si="1324"/>
        <v>d.taxon.142</v>
      </c>
      <c r="Y2554" s="17" t="str">
        <f t="shared" si="1325"/>
        <v>Ação de taxonomizar</v>
      </c>
      <c r="Z2554" s="62" t="s">
        <v>2810</v>
      </c>
      <c r="AA2554" s="18" t="str">
        <f t="shared" si="1348"/>
        <v>null</v>
      </c>
      <c r="AB2554" s="19" t="s">
        <v>0</v>
      </c>
      <c r="AC2554" s="18" t="str">
        <f t="shared" si="1349"/>
        <v>null</v>
      </c>
      <c r="AD2554" s="19" t="s">
        <v>0</v>
      </c>
      <c r="AE2554" s="18" t="str">
        <f t="shared" si="1345"/>
        <v>null</v>
      </c>
      <c r="AF2554" s="75" t="s">
        <v>0</v>
      </c>
      <c r="AG2554" s="38" t="s">
        <v>9410</v>
      </c>
    </row>
    <row r="2555" spans="1:33" ht="6" customHeight="1" x14ac:dyDescent="0.4">
      <c r="A2555" s="4">
        <f>ROW()</f>
        <v>2555</v>
      </c>
      <c r="B2555" s="9" t="s">
        <v>27</v>
      </c>
      <c r="C2555" s="44" t="str">
        <f t="shared" si="1347"/>
        <v>p.taxonomizar</v>
      </c>
      <c r="D2555" s="6" t="str">
        <f t="shared" si="1333"/>
        <v>é.indicador</v>
      </c>
      <c r="E2555" s="8" t="s">
        <v>28</v>
      </c>
      <c r="F2555" s="34" t="str">
        <f>F2553</f>
        <v>d.taxonomizar</v>
      </c>
      <c r="G2555" s="37" t="s">
        <v>1730</v>
      </c>
      <c r="H2555" s="33" t="s">
        <v>1581</v>
      </c>
      <c r="I2555" s="92" t="str">
        <f t="shared" si="1346"/>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50"/>
        <v>Propriedade destinada a taxonomizar: é.indicador</v>
      </c>
      <c r="V2555" s="5" t="str">
        <f t="shared" si="1351"/>
        <v>Dado para taxonomizar:  indicador  Deve ser formatado como (rdfs:Literal  or  xsd:string)</v>
      </c>
      <c r="W2555" s="69" t="s">
        <v>6385</v>
      </c>
      <c r="X2555" s="17" t="str">
        <f t="shared" si="1324"/>
        <v>d.taxon.143</v>
      </c>
      <c r="Y2555" s="17" t="str">
        <f t="shared" si="1325"/>
        <v>Ação de taxonomizar</v>
      </c>
      <c r="Z2555" s="62" t="s">
        <v>2809</v>
      </c>
      <c r="AA2555" s="18" t="str">
        <f t="shared" si="1348"/>
        <v>null</v>
      </c>
      <c r="AB2555" s="19" t="s">
        <v>0</v>
      </c>
      <c r="AC2555" s="18" t="str">
        <f t="shared" si="1349"/>
        <v>null</v>
      </c>
      <c r="AD2555" s="19" t="s">
        <v>0</v>
      </c>
      <c r="AE2555" s="18" t="str">
        <f t="shared" si="1345"/>
        <v>null</v>
      </c>
      <c r="AF2555" s="75" t="s">
        <v>0</v>
      </c>
      <c r="AG2555" s="38" t="s">
        <v>9411</v>
      </c>
    </row>
    <row r="2556" spans="1:33" ht="6" customHeight="1" x14ac:dyDescent="0.4">
      <c r="A2556" s="4">
        <f>ROW()</f>
        <v>2556</v>
      </c>
      <c r="B2556" s="9" t="s">
        <v>27</v>
      </c>
      <c r="C2556" s="44" t="str">
        <f t="shared" si="1347"/>
        <v>p.taxonomizar</v>
      </c>
      <c r="D2556" s="6" t="str">
        <f t="shared" si="1333"/>
        <v>é.introdução</v>
      </c>
      <c r="E2556" s="8" t="s">
        <v>28</v>
      </c>
      <c r="F2556" s="34" t="str">
        <f>F2554</f>
        <v>d.taxonomizar</v>
      </c>
      <c r="G2556" s="37" t="s">
        <v>1799</v>
      </c>
      <c r="H2556" s="33" t="s">
        <v>1581</v>
      </c>
      <c r="I2556" s="92" t="str">
        <f t="shared" si="1346"/>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50"/>
        <v>Propriedade destinada a taxonomizar: é.introdução</v>
      </c>
      <c r="V2556" s="5" t="str">
        <f t="shared" si="1351"/>
        <v>Dado para taxonomizar:  introdução  Deve ser formatado como (rdfs:Literal  or  xsd:string)</v>
      </c>
      <c r="W2556" s="69" t="s">
        <v>6386</v>
      </c>
      <c r="X2556" s="17" t="str">
        <f t="shared" si="1324"/>
        <v>d.taxon.144</v>
      </c>
      <c r="Y2556" s="17" t="str">
        <f t="shared" si="1325"/>
        <v>Ação de taxonomizar</v>
      </c>
      <c r="Z2556" s="62" t="s">
        <v>2811</v>
      </c>
      <c r="AA2556" s="18" t="str">
        <f t="shared" si="1348"/>
        <v>null</v>
      </c>
      <c r="AB2556" s="19" t="s">
        <v>0</v>
      </c>
      <c r="AC2556" s="18" t="str">
        <f t="shared" si="1349"/>
        <v>null</v>
      </c>
      <c r="AD2556" s="19" t="s">
        <v>0</v>
      </c>
      <c r="AE2556" s="18" t="str">
        <f t="shared" si="1345"/>
        <v>null</v>
      </c>
      <c r="AF2556" s="75" t="s">
        <v>0</v>
      </c>
      <c r="AG2556" s="38" t="s">
        <v>9412</v>
      </c>
    </row>
    <row r="2557" spans="1:33" ht="6" customHeight="1" x14ac:dyDescent="0.4">
      <c r="A2557" s="4">
        <f>ROW()</f>
        <v>2557</v>
      </c>
      <c r="B2557" s="9" t="s">
        <v>27</v>
      </c>
      <c r="C2557" s="44" t="str">
        <f t="shared" si="1347"/>
        <v>p.taxonomizar</v>
      </c>
      <c r="D2557" s="6" t="str">
        <f t="shared" si="1333"/>
        <v>é.medida.qualificada</v>
      </c>
      <c r="E2557" s="8" t="s">
        <v>28</v>
      </c>
      <c r="F2557" s="34" t="str">
        <f t="shared" ref="F2557:F2578" si="1352">F2556</f>
        <v>d.taxonomizar</v>
      </c>
      <c r="G2557" s="14" t="s">
        <v>1783</v>
      </c>
      <c r="H2557" s="33" t="s">
        <v>1581</v>
      </c>
      <c r="I2557" s="92" t="str">
        <f t="shared" si="1346"/>
        <v>null</v>
      </c>
      <c r="J2557" s="82" t="s">
        <v>0</v>
      </c>
      <c r="K2557" s="82" t="s">
        <v>0</v>
      </c>
      <c r="L2557" s="82" t="s">
        <v>0</v>
      </c>
      <c r="M2557" s="82" t="s">
        <v>0</v>
      </c>
      <c r="N2557" s="80" t="s">
        <v>0</v>
      </c>
      <c r="O2557" s="82" t="s">
        <v>0</v>
      </c>
      <c r="P2557" s="82" t="s">
        <v>0</v>
      </c>
      <c r="Q2557" s="82" t="s">
        <v>0</v>
      </c>
      <c r="R2557" s="84" t="s">
        <v>0</v>
      </c>
      <c r="S2557" s="10" t="s">
        <v>1</v>
      </c>
      <c r="T2557" s="10" t="s">
        <v>10221</v>
      </c>
      <c r="U2557" s="5" t="str">
        <f t="shared" si="1350"/>
        <v>Propriedade destinada a taxonomizar: é.medida.qualificada</v>
      </c>
      <c r="V2557" s="5" t="str">
        <f t="shared" si="1351"/>
        <v>Dado para taxonomizar:  medida.qualificada  Deve ser formatado como (rdfs:Literal  or  xsd:string)</v>
      </c>
      <c r="W2557" s="69" t="s">
        <v>6387</v>
      </c>
      <c r="X2557" s="17" t="str">
        <f t="shared" si="1324"/>
        <v>d.taxon.145</v>
      </c>
      <c r="Y2557" s="17" t="str">
        <f t="shared" si="1325"/>
        <v>Ação de taxonomizar</v>
      </c>
      <c r="Z2557" s="62" t="s">
        <v>2812</v>
      </c>
      <c r="AA2557" s="18" t="str">
        <f t="shared" si="1348"/>
        <v>null</v>
      </c>
      <c r="AB2557" s="19" t="s">
        <v>0</v>
      </c>
      <c r="AC2557" s="18" t="str">
        <f t="shared" si="1349"/>
        <v>null</v>
      </c>
      <c r="AD2557" s="19" t="s">
        <v>0</v>
      </c>
      <c r="AE2557" s="18" t="str">
        <f t="shared" si="1345"/>
        <v>null</v>
      </c>
      <c r="AF2557" s="75" t="s">
        <v>0</v>
      </c>
      <c r="AG2557" s="38" t="s">
        <v>9413</v>
      </c>
    </row>
    <row r="2558" spans="1:33" ht="6" customHeight="1" x14ac:dyDescent="0.4">
      <c r="A2558" s="4">
        <f>ROW()</f>
        <v>2558</v>
      </c>
      <c r="B2558" s="9" t="s">
        <v>27</v>
      </c>
      <c r="C2558" s="44" t="str">
        <f t="shared" si="1347"/>
        <v>p.taxonomizar</v>
      </c>
      <c r="D2558" s="6" t="str">
        <f t="shared" si="1333"/>
        <v>é.missão.principal</v>
      </c>
      <c r="E2558" s="8" t="s">
        <v>28</v>
      </c>
      <c r="F2558" s="34" t="str">
        <f t="shared" si="1352"/>
        <v>d.taxonomizar</v>
      </c>
      <c r="G2558" s="37" t="s">
        <v>1760</v>
      </c>
      <c r="H2558" s="33" t="s">
        <v>1581</v>
      </c>
      <c r="I2558" s="92" t="str">
        <f t="shared" si="1346"/>
        <v>null</v>
      </c>
      <c r="J2558" s="82" t="s">
        <v>0</v>
      </c>
      <c r="K2558" s="82" t="s">
        <v>0</v>
      </c>
      <c r="L2558" s="82" t="s">
        <v>0</v>
      </c>
      <c r="M2558" s="82" t="s">
        <v>0</v>
      </c>
      <c r="N2558" s="80" t="s">
        <v>0</v>
      </c>
      <c r="O2558" s="82" t="s">
        <v>0</v>
      </c>
      <c r="P2558" s="82" t="s">
        <v>0</v>
      </c>
      <c r="Q2558" s="82" t="s">
        <v>0</v>
      </c>
      <c r="R2558" s="84" t="s">
        <v>1762</v>
      </c>
      <c r="S2558" s="10" t="s">
        <v>1</v>
      </c>
      <c r="T2558" s="10" t="s">
        <v>10221</v>
      </c>
      <c r="U2558" s="5" t="str">
        <f t="shared" si="1350"/>
        <v>Propriedade destinada a taxonomizar: é.missão.principal</v>
      </c>
      <c r="V2558" s="5" t="str">
        <f t="shared" si="1351"/>
        <v>Dado para taxonomizar:  missão.principal  Deve ser formatado como (rdfs:Literal  or  xsd:string)</v>
      </c>
      <c r="W2558" s="69" t="s">
        <v>6388</v>
      </c>
      <c r="X2558" s="17" t="str">
        <f t="shared" si="1324"/>
        <v>d.taxon.146</v>
      </c>
      <c r="Y2558" s="17" t="str">
        <f t="shared" si="1325"/>
        <v>Ação de taxonomizar</v>
      </c>
      <c r="Z2558" s="62" t="s">
        <v>1981</v>
      </c>
      <c r="AA2558" s="18" t="str">
        <f t="shared" si="1348"/>
        <v>null</v>
      </c>
      <c r="AB2558" s="19" t="s">
        <v>0</v>
      </c>
      <c r="AC2558" s="18" t="str">
        <f t="shared" si="1349"/>
        <v>null</v>
      </c>
      <c r="AD2558" s="19" t="s">
        <v>0</v>
      </c>
      <c r="AE2558" s="18" t="str">
        <f t="shared" si="1345"/>
        <v>null</v>
      </c>
      <c r="AF2558" s="75" t="s">
        <v>0</v>
      </c>
      <c r="AG2558" s="38" t="s">
        <v>9414</v>
      </c>
    </row>
    <row r="2559" spans="1:33" ht="6" customHeight="1" x14ac:dyDescent="0.4">
      <c r="A2559" s="4">
        <f>ROW()</f>
        <v>2559</v>
      </c>
      <c r="B2559" s="9" t="s">
        <v>27</v>
      </c>
      <c r="C2559" s="44" t="str">
        <f t="shared" si="1347"/>
        <v>p.taxonomizar</v>
      </c>
      <c r="D2559" s="6" t="str">
        <f t="shared" si="1333"/>
        <v>é.não.prejudicar</v>
      </c>
      <c r="E2559" s="8" t="s">
        <v>28</v>
      </c>
      <c r="F2559" s="34" t="str">
        <f t="shared" si="1352"/>
        <v>d.taxonomizar</v>
      </c>
      <c r="G2559" s="14" t="s">
        <v>1788</v>
      </c>
      <c r="H2559" s="33" t="s">
        <v>1581</v>
      </c>
      <c r="I2559" s="92" t="str">
        <f t="shared" si="1346"/>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50"/>
        <v>Propriedade destinada a taxonomizar: é.não.prejudicar</v>
      </c>
      <c r="V2559" s="5" t="str">
        <f t="shared" si="1351"/>
        <v>Dado para taxonomizar:  não.prejudicar  Deve ser formatado como (rdfs:Literal  or  xsd:string)</v>
      </c>
      <c r="W2559" s="69" t="s">
        <v>6389</v>
      </c>
      <c r="X2559" s="17" t="str">
        <f t="shared" si="1324"/>
        <v>d.taxon.147</v>
      </c>
      <c r="Y2559" s="17" t="str">
        <f t="shared" si="1325"/>
        <v>Ação de taxonomizar</v>
      </c>
      <c r="Z2559" s="62" t="s">
        <v>1982</v>
      </c>
      <c r="AA2559" s="18" t="str">
        <f t="shared" si="1348"/>
        <v>null</v>
      </c>
      <c r="AB2559" s="19" t="s">
        <v>0</v>
      </c>
      <c r="AC2559" s="18" t="str">
        <f t="shared" si="1349"/>
        <v>null</v>
      </c>
      <c r="AD2559" s="19" t="s">
        <v>0</v>
      </c>
      <c r="AE2559" s="18" t="str">
        <f t="shared" si="1345"/>
        <v>null</v>
      </c>
      <c r="AF2559" s="75" t="s">
        <v>0</v>
      </c>
      <c r="AG2559" s="38" t="s">
        <v>9415</v>
      </c>
    </row>
    <row r="2560" spans="1:33" ht="6" customHeight="1" x14ac:dyDescent="0.4">
      <c r="A2560" s="4">
        <f>ROW()</f>
        <v>2560</v>
      </c>
      <c r="B2560" s="9" t="s">
        <v>27</v>
      </c>
      <c r="C2560" s="44" t="str">
        <f t="shared" si="1347"/>
        <v>p.taxonomizar</v>
      </c>
      <c r="D2560" s="6" t="str">
        <f t="shared" si="1333"/>
        <v>é.nível.de.atuação</v>
      </c>
      <c r="E2560" s="8" t="s">
        <v>28</v>
      </c>
      <c r="F2560" s="34" t="str">
        <f t="shared" si="1352"/>
        <v>d.taxonomizar</v>
      </c>
      <c r="G2560" s="37" t="s">
        <v>1723</v>
      </c>
      <c r="H2560" s="33" t="s">
        <v>1581</v>
      </c>
      <c r="I2560" s="92" t="str">
        <f t="shared" si="1346"/>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50"/>
        <v>Propriedade destinada a taxonomizar: é.nível.de.atuação</v>
      </c>
      <c r="V2560" s="5" t="str">
        <f t="shared" si="1351"/>
        <v>Dado para taxonomizar:  nível.de.atuação  Deve ser formatado como (rdfs:Literal  or  xsd:string)</v>
      </c>
      <c r="W2560" s="69" t="s">
        <v>6390</v>
      </c>
      <c r="X2560" s="17" t="str">
        <f t="shared" si="1324"/>
        <v>d.taxon.148</v>
      </c>
      <c r="Y2560" s="17" t="str">
        <f t="shared" si="1325"/>
        <v>Ação de taxonomizar</v>
      </c>
      <c r="Z2560" s="62" t="s">
        <v>2813</v>
      </c>
      <c r="AA2560" s="18" t="str">
        <f t="shared" si="1348"/>
        <v>null</v>
      </c>
      <c r="AB2560" s="19" t="s">
        <v>0</v>
      </c>
      <c r="AC2560" s="18" t="str">
        <f t="shared" si="1349"/>
        <v>null</v>
      </c>
      <c r="AD2560" s="19" t="s">
        <v>0</v>
      </c>
      <c r="AE2560" s="18" t="str">
        <f t="shared" si="1345"/>
        <v>null</v>
      </c>
      <c r="AF2560" s="75" t="s">
        <v>0</v>
      </c>
      <c r="AG2560" s="38" t="s">
        <v>9416</v>
      </c>
    </row>
    <row r="2561" spans="1:33" ht="6" customHeight="1" x14ac:dyDescent="0.4">
      <c r="A2561" s="4">
        <f>ROW()</f>
        <v>2561</v>
      </c>
      <c r="B2561" s="9" t="s">
        <v>27</v>
      </c>
      <c r="C2561" s="44" t="str">
        <f t="shared" si="1347"/>
        <v>p.taxonomizar</v>
      </c>
      <c r="D2561" s="6" t="str">
        <f t="shared" si="1333"/>
        <v>é.nota</v>
      </c>
      <c r="E2561" s="8" t="s">
        <v>28</v>
      </c>
      <c r="F2561" s="34" t="str">
        <f t="shared" si="1352"/>
        <v>d.taxonomizar</v>
      </c>
      <c r="G2561" s="37" t="s">
        <v>1717</v>
      </c>
      <c r="H2561" s="33" t="s">
        <v>1581</v>
      </c>
      <c r="I2561" s="92" t="str">
        <f t="shared" si="1346"/>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50"/>
        <v>Propriedade destinada a taxonomizar: é.nota</v>
      </c>
      <c r="V2561" s="5" t="str">
        <f t="shared" si="1351"/>
        <v>Dado para taxonomizar:  nota  Deve ser formatado como (rdfs:Literal  or  xsd:string)</v>
      </c>
      <c r="W2561" s="69" t="s">
        <v>6391</v>
      </c>
      <c r="X2561" s="17" t="str">
        <f t="shared" si="1324"/>
        <v>d.taxon.149</v>
      </c>
      <c r="Y2561" s="17" t="str">
        <f t="shared" si="1325"/>
        <v>Ação de taxonomizar</v>
      </c>
      <c r="Z2561" s="62" t="s">
        <v>2814</v>
      </c>
      <c r="AA2561" s="18" t="str">
        <f t="shared" si="1348"/>
        <v>null</v>
      </c>
      <c r="AB2561" s="19" t="s">
        <v>0</v>
      </c>
      <c r="AC2561" s="18" t="str">
        <f t="shared" si="1349"/>
        <v>null</v>
      </c>
      <c r="AD2561" s="19" t="s">
        <v>0</v>
      </c>
      <c r="AE2561" s="18" t="str">
        <f t="shared" si="1345"/>
        <v>null</v>
      </c>
      <c r="AF2561" s="75" t="s">
        <v>0</v>
      </c>
      <c r="AG2561" s="38" t="s">
        <v>9417</v>
      </c>
    </row>
    <row r="2562" spans="1:33" ht="6" customHeight="1" x14ac:dyDescent="0.4">
      <c r="A2562" s="4">
        <f>ROW()</f>
        <v>2562</v>
      </c>
      <c r="B2562" s="9" t="s">
        <v>27</v>
      </c>
      <c r="C2562" s="44" t="str">
        <f t="shared" si="1347"/>
        <v>p.taxonomizar</v>
      </c>
      <c r="D2562" s="6" t="str">
        <f t="shared" si="1333"/>
        <v>é.nota.aplicada</v>
      </c>
      <c r="E2562" s="8" t="s">
        <v>28</v>
      </c>
      <c r="F2562" s="34" t="str">
        <f t="shared" si="1352"/>
        <v>d.taxonomizar</v>
      </c>
      <c r="G2562" s="37" t="s">
        <v>1718</v>
      </c>
      <c r="H2562" s="33" t="s">
        <v>1581</v>
      </c>
      <c r="I2562" s="92" t="str">
        <f t="shared" si="1346"/>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50"/>
        <v>Propriedade destinada a taxonomizar: é.nota.aplicada</v>
      </c>
      <c r="V2562" s="5" t="str">
        <f t="shared" si="1351"/>
        <v>Dado para taxonomizar:  nota.aplicada  Deve ser formatado como (rdfs:Literal  or  xsd:string)</v>
      </c>
      <c r="W2562" s="69" t="s">
        <v>6392</v>
      </c>
      <c r="X2562" s="17" t="str">
        <f t="shared" si="1324"/>
        <v>d.taxon.150</v>
      </c>
      <c r="Y2562" s="17" t="str">
        <f t="shared" si="1325"/>
        <v>Ação de taxonomizar</v>
      </c>
      <c r="Z2562" s="62" t="s">
        <v>1983</v>
      </c>
      <c r="AA2562" s="18" t="str">
        <f t="shared" si="1348"/>
        <v>null</v>
      </c>
      <c r="AB2562" s="19" t="s">
        <v>0</v>
      </c>
      <c r="AC2562" s="18" t="str">
        <f t="shared" si="1349"/>
        <v>null</v>
      </c>
      <c r="AD2562" s="19" t="s">
        <v>0</v>
      </c>
      <c r="AE2562" s="18" t="str">
        <f t="shared" si="1345"/>
        <v>null</v>
      </c>
      <c r="AF2562" s="75" t="s">
        <v>0</v>
      </c>
      <c r="AG2562" s="38" t="s">
        <v>9418</v>
      </c>
    </row>
    <row r="2563" spans="1:33" ht="6" customHeight="1" x14ac:dyDescent="0.4">
      <c r="A2563" s="4">
        <f>ROW()</f>
        <v>2563</v>
      </c>
      <c r="B2563" s="9" t="s">
        <v>27</v>
      </c>
      <c r="C2563" s="44" t="str">
        <f t="shared" si="1347"/>
        <v>p.taxonomizar</v>
      </c>
      <c r="D2563" s="6" t="str">
        <f t="shared" si="1333"/>
        <v>é.orientação.de.preenchimento</v>
      </c>
      <c r="E2563" s="8" t="s">
        <v>28</v>
      </c>
      <c r="F2563" s="34" t="str">
        <f t="shared" si="1352"/>
        <v>d.taxonomizar</v>
      </c>
      <c r="G2563" s="37" t="s">
        <v>1724</v>
      </c>
      <c r="H2563" s="33" t="s">
        <v>1581</v>
      </c>
      <c r="I2563" s="92" t="str">
        <f t="shared" si="1346"/>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50"/>
        <v>Propriedade destinada a taxonomizar: é.orientação.de.preenchimento</v>
      </c>
      <c r="V2563" s="5" t="str">
        <f t="shared" si="1351"/>
        <v>Dado para taxonomizar:  orientação.de.preenchimento  Deve ser formatado como (rdfs:Literal  or  xsd:string)</v>
      </c>
      <c r="W2563" s="69" t="s">
        <v>6393</v>
      </c>
      <c r="X2563" s="17" t="str">
        <f t="shared" ref="X2563:X2626" si="1353">IF(F2562&lt;&gt;F2563,_xlfn.CONCAT(RIGHT(LEFT(F2563,7),7),".100"),_xlfn.CONCAT(RIGHT(LEFT(F2563,7),7),".",SUM(VALUE(RIGHT(X2562,3)),1)))</f>
        <v>d.taxon.151</v>
      </c>
      <c r="Y2563" s="17" t="str">
        <f t="shared" ref="Y2563:Y2626" si="1354">_xlfn.CONCAT("Ação de ", SUBSTITUTE(F2563, "d.",  ""))</f>
        <v>Ação de taxonomizar</v>
      </c>
      <c r="Z2563" s="62" t="s">
        <v>1984</v>
      </c>
      <c r="AA2563" s="18" t="str">
        <f t="shared" si="1348"/>
        <v>null</v>
      </c>
      <c r="AB2563" s="19" t="s">
        <v>0</v>
      </c>
      <c r="AC2563" s="18" t="str">
        <f t="shared" si="1349"/>
        <v>null</v>
      </c>
      <c r="AD2563" s="19" t="s">
        <v>0</v>
      </c>
      <c r="AE2563" s="18" t="str">
        <f t="shared" si="1345"/>
        <v>null</v>
      </c>
      <c r="AF2563" s="75" t="s">
        <v>0</v>
      </c>
      <c r="AG2563" s="38" t="s">
        <v>9419</v>
      </c>
    </row>
    <row r="2564" spans="1:33" ht="6" customHeight="1" x14ac:dyDescent="0.4">
      <c r="A2564" s="4">
        <f>ROW()</f>
        <v>2564</v>
      </c>
      <c r="B2564" s="9" t="s">
        <v>27</v>
      </c>
      <c r="C2564" s="44" t="str">
        <f t="shared" si="1347"/>
        <v>p.taxonomizar</v>
      </c>
      <c r="D2564" s="6" t="str">
        <f t="shared" si="1333"/>
        <v>é.para.certificar</v>
      </c>
      <c r="E2564" s="8" t="s">
        <v>28</v>
      </c>
      <c r="F2564" s="34" t="str">
        <f t="shared" si="1352"/>
        <v>d.taxonomizar</v>
      </c>
      <c r="G2564" s="37" t="s">
        <v>1719</v>
      </c>
      <c r="H2564" s="33" t="s">
        <v>1581</v>
      </c>
      <c r="I2564" s="92" t="str">
        <f t="shared" si="1346"/>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50"/>
        <v>Propriedade destinada a taxonomizar: é.para.certificar</v>
      </c>
      <c r="V2564" s="5" t="str">
        <f t="shared" si="1351"/>
        <v>Dado para taxonomizar:  para.certificar  Deve ser formatado como (rdfs:Literal  or  xsd:string)</v>
      </c>
      <c r="W2564" s="69" t="s">
        <v>6394</v>
      </c>
      <c r="X2564" s="17" t="str">
        <f t="shared" si="1353"/>
        <v>d.taxon.152</v>
      </c>
      <c r="Y2564" s="17" t="str">
        <f t="shared" si="1354"/>
        <v>Ação de taxonomizar</v>
      </c>
      <c r="Z2564" s="62" t="s">
        <v>1985</v>
      </c>
      <c r="AA2564" s="18" t="str">
        <f t="shared" si="1348"/>
        <v>null</v>
      </c>
      <c r="AB2564" s="19" t="s">
        <v>0</v>
      </c>
      <c r="AC2564" s="18" t="str">
        <f t="shared" si="1349"/>
        <v>null</v>
      </c>
      <c r="AD2564" s="19" t="s">
        <v>0</v>
      </c>
      <c r="AE2564" s="18" t="str">
        <f t="shared" si="1345"/>
        <v>null</v>
      </c>
      <c r="AF2564" s="75" t="s">
        <v>0</v>
      </c>
      <c r="AG2564" s="38" t="s">
        <v>9420</v>
      </c>
    </row>
    <row r="2565" spans="1:33" ht="6" customHeight="1" x14ac:dyDescent="0.4">
      <c r="A2565" s="4">
        <f>ROW()</f>
        <v>2565</v>
      </c>
      <c r="B2565" s="9" t="s">
        <v>27</v>
      </c>
      <c r="C2565" s="44" t="str">
        <f t="shared" si="1347"/>
        <v>p.taxonomizar</v>
      </c>
      <c r="D2565" s="6" t="str">
        <f t="shared" si="1333"/>
        <v>é.para.qualificar</v>
      </c>
      <c r="E2565" s="8" t="s">
        <v>28</v>
      </c>
      <c r="F2565" s="34" t="str">
        <f t="shared" si="1352"/>
        <v>d.taxonomizar</v>
      </c>
      <c r="G2565" s="14" t="s">
        <v>1785</v>
      </c>
      <c r="H2565" s="33" t="s">
        <v>1581</v>
      </c>
      <c r="I2565" s="92" t="str">
        <f t="shared" si="1346"/>
        <v>null</v>
      </c>
      <c r="J2565" s="82" t="s">
        <v>0</v>
      </c>
      <c r="K2565" s="82" t="s">
        <v>0</v>
      </c>
      <c r="L2565" s="82" t="s">
        <v>0</v>
      </c>
      <c r="M2565" s="82" t="s">
        <v>0</v>
      </c>
      <c r="N2565" s="80" t="s">
        <v>0</v>
      </c>
      <c r="O2565" s="82" t="s">
        <v>0</v>
      </c>
      <c r="P2565" s="82" t="s">
        <v>0</v>
      </c>
      <c r="Q2565" s="82" t="s">
        <v>1787</v>
      </c>
      <c r="R2565" s="84" t="s">
        <v>0</v>
      </c>
      <c r="S2565" s="10" t="s">
        <v>1</v>
      </c>
      <c r="T2565" s="10" t="s">
        <v>10221</v>
      </c>
      <c r="U2565" s="5" t="str">
        <f t="shared" si="1350"/>
        <v>Propriedade destinada a taxonomizar: é.para.qualificar</v>
      </c>
      <c r="V2565" s="5" t="str">
        <f t="shared" si="1351"/>
        <v>Dado para taxonomizar:  para.qualificar  Deve ser formatado como (rdfs:Literal  or  xsd:string)</v>
      </c>
      <c r="W2565" s="69" t="s">
        <v>6395</v>
      </c>
      <c r="X2565" s="17" t="str">
        <f t="shared" si="1353"/>
        <v>d.taxon.153</v>
      </c>
      <c r="Y2565" s="17" t="str">
        <f t="shared" si="1354"/>
        <v>Ação de taxonomizar</v>
      </c>
      <c r="Z2565" s="62" t="s">
        <v>1986</v>
      </c>
      <c r="AA2565" s="18" t="str">
        <f t="shared" si="1348"/>
        <v>null</v>
      </c>
      <c r="AB2565" s="19" t="s">
        <v>0</v>
      </c>
      <c r="AC2565" s="18" t="str">
        <f t="shared" si="1349"/>
        <v>null</v>
      </c>
      <c r="AD2565" s="19" t="s">
        <v>0</v>
      </c>
      <c r="AE2565" s="18" t="str">
        <f t="shared" si="1345"/>
        <v>null</v>
      </c>
      <c r="AF2565" s="75" t="s">
        <v>0</v>
      </c>
      <c r="AG2565" s="38" t="s">
        <v>9421</v>
      </c>
    </row>
    <row r="2566" spans="1:33" ht="6" customHeight="1" x14ac:dyDescent="0.4">
      <c r="A2566" s="4">
        <f>ROW()</f>
        <v>2566</v>
      </c>
      <c r="B2566" s="9" t="s">
        <v>27</v>
      </c>
      <c r="C2566" s="44" t="str">
        <f t="shared" si="1347"/>
        <v>p.taxonomizar</v>
      </c>
      <c r="D2566" s="6" t="str">
        <f t="shared" si="1333"/>
        <v>é.paradigma</v>
      </c>
      <c r="E2566" s="8" t="s">
        <v>28</v>
      </c>
      <c r="F2566" s="34" t="str">
        <f t="shared" si="1352"/>
        <v>d.taxonomizar</v>
      </c>
      <c r="G2566" s="37" t="s">
        <v>1736</v>
      </c>
      <c r="H2566" s="33" t="s">
        <v>1581</v>
      </c>
      <c r="I2566" s="92" t="str">
        <f t="shared" si="1346"/>
        <v>null</v>
      </c>
      <c r="J2566" s="82" t="s">
        <v>0</v>
      </c>
      <c r="K2566" s="82" t="s">
        <v>0</v>
      </c>
      <c r="L2566" s="82" t="s">
        <v>0</v>
      </c>
      <c r="M2566" s="82" t="s">
        <v>0</v>
      </c>
      <c r="N2566" s="80" t="s">
        <v>0</v>
      </c>
      <c r="O2566" s="82" t="s">
        <v>0</v>
      </c>
      <c r="P2566" s="82" t="s">
        <v>0</v>
      </c>
      <c r="Q2566" s="82" t="s">
        <v>0</v>
      </c>
      <c r="R2566" s="84" t="s">
        <v>0</v>
      </c>
      <c r="S2566" s="10" t="s">
        <v>1</v>
      </c>
      <c r="T2566" s="10" t="s">
        <v>10221</v>
      </c>
      <c r="U2566" s="5" t="str">
        <f t="shared" si="1350"/>
        <v>Propriedade destinada a taxonomizar: é.paradigma</v>
      </c>
      <c r="V2566" s="5" t="str">
        <f t="shared" si="1351"/>
        <v>Dado para taxonomizar:  paradigma  Deve ser formatado como (rdfs:Literal  or  xsd:string)</v>
      </c>
      <c r="W2566" s="69" t="s">
        <v>6396</v>
      </c>
      <c r="X2566" s="17" t="str">
        <f t="shared" si="1353"/>
        <v>d.taxon.154</v>
      </c>
      <c r="Y2566" s="17" t="str">
        <f t="shared" si="1354"/>
        <v>Ação de taxonomizar</v>
      </c>
      <c r="Z2566" s="62" t="s">
        <v>1987</v>
      </c>
      <c r="AA2566" s="18" t="str">
        <f t="shared" si="1348"/>
        <v>null</v>
      </c>
      <c r="AB2566" s="19" t="s">
        <v>0</v>
      </c>
      <c r="AC2566" s="18" t="str">
        <f t="shared" si="1349"/>
        <v>null</v>
      </c>
      <c r="AD2566" s="19" t="s">
        <v>0</v>
      </c>
      <c r="AE2566" s="18" t="str">
        <f t="shared" si="1345"/>
        <v>null</v>
      </c>
      <c r="AF2566" s="75" t="s">
        <v>0</v>
      </c>
      <c r="AG2566" s="38" t="s">
        <v>9422</v>
      </c>
    </row>
    <row r="2567" spans="1:33" ht="6" customHeight="1" x14ac:dyDescent="0.4">
      <c r="A2567" s="4">
        <f>ROW()</f>
        <v>2567</v>
      </c>
      <c r="B2567" s="9" t="s">
        <v>27</v>
      </c>
      <c r="C2567" s="44" t="str">
        <f t="shared" si="1347"/>
        <v>p.taxonomizar</v>
      </c>
      <c r="D2567" s="6" t="str">
        <f t="shared" si="1333"/>
        <v>é.percentual.do.pbi</v>
      </c>
      <c r="E2567" s="8" t="s">
        <v>28</v>
      </c>
      <c r="F2567" s="34" t="str">
        <f t="shared" si="1352"/>
        <v>d.taxonomizar</v>
      </c>
      <c r="G2567" s="37" t="s">
        <v>1743</v>
      </c>
      <c r="H2567" s="33" t="s">
        <v>1581</v>
      </c>
      <c r="I2567" s="92" t="str">
        <f t="shared" si="1346"/>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50"/>
        <v>Propriedade destinada a taxonomizar: é.percentual.do.pbi</v>
      </c>
      <c r="V2567" s="5" t="str">
        <f t="shared" si="1351"/>
        <v>Dado para taxonomizar:  percentual.do.pbi  Deve ser formatado como (rdfs:Literal  or  xsd:string)</v>
      </c>
      <c r="W2567" s="69" t="s">
        <v>6381</v>
      </c>
      <c r="X2567" s="17" t="str">
        <f t="shared" si="1353"/>
        <v>d.taxon.155</v>
      </c>
      <c r="Y2567" s="17" t="str">
        <f t="shared" si="1354"/>
        <v>Ação de taxonomizar</v>
      </c>
      <c r="Z2567" s="62" t="s">
        <v>1979</v>
      </c>
      <c r="AA2567" s="18" t="str">
        <f t="shared" si="1348"/>
        <v>null</v>
      </c>
      <c r="AB2567" s="19" t="s">
        <v>0</v>
      </c>
      <c r="AC2567" s="18" t="str">
        <f t="shared" si="1349"/>
        <v>null</v>
      </c>
      <c r="AD2567" s="19" t="s">
        <v>0</v>
      </c>
      <c r="AE2567" s="18" t="str">
        <f t="shared" si="1345"/>
        <v>null</v>
      </c>
      <c r="AF2567" s="75" t="s">
        <v>0</v>
      </c>
      <c r="AG2567" s="38" t="s">
        <v>9407</v>
      </c>
    </row>
    <row r="2568" spans="1:33" ht="6" customHeight="1" x14ac:dyDescent="0.4">
      <c r="A2568" s="4">
        <f>ROW()</f>
        <v>2568</v>
      </c>
      <c r="B2568" s="9" t="s">
        <v>27</v>
      </c>
      <c r="C2568" s="44" t="str">
        <f t="shared" si="1347"/>
        <v>p.taxonomizar</v>
      </c>
      <c r="D2568" s="6" t="str">
        <f t="shared" si="1333"/>
        <v>é.princípio</v>
      </c>
      <c r="E2568" s="8" t="s">
        <v>28</v>
      </c>
      <c r="F2568" s="34" t="str">
        <f t="shared" si="1352"/>
        <v>d.taxonomizar</v>
      </c>
      <c r="G2568" s="37" t="s">
        <v>1728</v>
      </c>
      <c r="H2568" s="33" t="s">
        <v>1581</v>
      </c>
      <c r="I2568" s="92" t="str">
        <f t="shared" si="1346"/>
        <v>null</v>
      </c>
      <c r="J2568" s="82" t="s">
        <v>0</v>
      </c>
      <c r="K2568" s="82" t="s">
        <v>0</v>
      </c>
      <c r="L2568" s="82" t="s">
        <v>0</v>
      </c>
      <c r="M2568" s="82" t="s">
        <v>0</v>
      </c>
      <c r="N2568" s="80" t="s">
        <v>0</v>
      </c>
      <c r="O2568" s="82" t="s">
        <v>0</v>
      </c>
      <c r="P2568" s="82" t="s">
        <v>0</v>
      </c>
      <c r="Q2568" s="82" t="s">
        <v>0</v>
      </c>
      <c r="R2568" s="84" t="s">
        <v>1761</v>
      </c>
      <c r="S2568" s="10" t="s">
        <v>1</v>
      </c>
      <c r="T2568" s="10" t="s">
        <v>10221</v>
      </c>
      <c r="U2568" s="5" t="str">
        <f t="shared" si="1350"/>
        <v>Propriedade destinada a taxonomizar: é.princípio</v>
      </c>
      <c r="V2568" s="5" t="str">
        <f t="shared" si="1351"/>
        <v>Dado para taxonomizar:  princípio  Deve ser formatado como (rdfs:Literal  or  xsd:string)</v>
      </c>
      <c r="W2568" s="69" t="s">
        <v>6397</v>
      </c>
      <c r="X2568" s="17" t="str">
        <f t="shared" si="1353"/>
        <v>d.taxon.156</v>
      </c>
      <c r="Y2568" s="17" t="str">
        <f t="shared" si="1354"/>
        <v>Ação de taxonomizar</v>
      </c>
      <c r="Z2568" s="62" t="s">
        <v>2777</v>
      </c>
      <c r="AA2568" s="18" t="str">
        <f t="shared" si="1348"/>
        <v>null</v>
      </c>
      <c r="AB2568" s="19" t="s">
        <v>0</v>
      </c>
      <c r="AC2568" s="18" t="str">
        <f t="shared" si="1349"/>
        <v>null</v>
      </c>
      <c r="AD2568" s="19" t="s">
        <v>0</v>
      </c>
      <c r="AE2568" s="18" t="str">
        <f t="shared" si="1345"/>
        <v>null</v>
      </c>
      <c r="AF2568" s="75" t="s">
        <v>0</v>
      </c>
      <c r="AG2568" s="38" t="s">
        <v>9423</v>
      </c>
    </row>
    <row r="2569" spans="1:33" ht="6" customHeight="1" x14ac:dyDescent="0.4">
      <c r="A2569" s="4">
        <f>ROW()</f>
        <v>2569</v>
      </c>
      <c r="B2569" s="9" t="s">
        <v>27</v>
      </c>
      <c r="C2569" s="44" t="str">
        <f t="shared" si="1347"/>
        <v>p.taxonomizar</v>
      </c>
      <c r="D2569" s="6" t="str">
        <f t="shared" si="1333"/>
        <v>é.qualificada.com</v>
      </c>
      <c r="E2569" s="8" t="s">
        <v>28</v>
      </c>
      <c r="F2569" s="34" t="str">
        <f t="shared" si="1352"/>
        <v>d.taxonomizar</v>
      </c>
      <c r="G2569" s="37" t="s">
        <v>1786</v>
      </c>
      <c r="H2569" s="33" t="s">
        <v>1581</v>
      </c>
      <c r="I2569" s="92" t="str">
        <f t="shared" si="1346"/>
        <v>null</v>
      </c>
      <c r="J2569" s="82" t="s">
        <v>0</v>
      </c>
      <c r="K2569" s="82" t="s">
        <v>0</v>
      </c>
      <c r="L2569" s="82" t="s">
        <v>0</v>
      </c>
      <c r="M2569" s="82" t="s">
        <v>0</v>
      </c>
      <c r="N2569" s="80" t="s">
        <v>0</v>
      </c>
      <c r="O2569" s="82" t="s">
        <v>0</v>
      </c>
      <c r="P2569" s="82" t="s">
        <v>0</v>
      </c>
      <c r="Q2569" s="82" t="s">
        <v>1795</v>
      </c>
      <c r="R2569" s="84" t="s">
        <v>0</v>
      </c>
      <c r="S2569" s="10" t="s">
        <v>1</v>
      </c>
      <c r="T2569" s="10" t="s">
        <v>10221</v>
      </c>
      <c r="U2569" s="5" t="str">
        <f t="shared" si="1350"/>
        <v>Propriedade destinada a taxonomizar: é.qualificada.com</v>
      </c>
      <c r="V2569" s="5" t="str">
        <f t="shared" si="1351"/>
        <v>Dado para taxonomizar:  qualificada.com  Deve ser formatado como (rdfs:Literal  or  xsd:string)</v>
      </c>
      <c r="W2569" s="69" t="s">
        <v>6398</v>
      </c>
      <c r="X2569" s="17" t="str">
        <f t="shared" si="1353"/>
        <v>d.taxon.157</v>
      </c>
      <c r="Y2569" s="17" t="str">
        <f t="shared" si="1354"/>
        <v>Ação de taxonomizar</v>
      </c>
      <c r="Z2569" s="62" t="s">
        <v>2815</v>
      </c>
      <c r="AA2569" s="18" t="str">
        <f t="shared" si="1348"/>
        <v>null</v>
      </c>
      <c r="AB2569" s="19" t="s">
        <v>0</v>
      </c>
      <c r="AC2569" s="18" t="str">
        <f t="shared" si="1349"/>
        <v>null</v>
      </c>
      <c r="AD2569" s="19" t="s">
        <v>0</v>
      </c>
      <c r="AE2569" s="18" t="str">
        <f t="shared" si="1345"/>
        <v>null</v>
      </c>
      <c r="AF2569" s="75" t="s">
        <v>0</v>
      </c>
      <c r="AG2569" s="38" t="s">
        <v>9424</v>
      </c>
    </row>
    <row r="2570" spans="1:33" ht="6" customHeight="1" x14ac:dyDescent="0.4">
      <c r="A2570" s="4">
        <f>ROW()</f>
        <v>2570</v>
      </c>
      <c r="B2570" s="9" t="s">
        <v>27</v>
      </c>
      <c r="C2570" s="44" t="str">
        <f t="shared" si="1347"/>
        <v>p.taxonomizar</v>
      </c>
      <c r="D2570" s="6" t="str">
        <f t="shared" si="1333"/>
        <v>é.qualificadora.de</v>
      </c>
      <c r="E2570" s="8" t="s">
        <v>28</v>
      </c>
      <c r="F2570" s="34" t="str">
        <f t="shared" si="1352"/>
        <v>d.taxonomizar</v>
      </c>
      <c r="G2570" s="37" t="s">
        <v>1794</v>
      </c>
      <c r="H2570" s="33" t="s">
        <v>1581</v>
      </c>
      <c r="I2570" s="92" t="str">
        <f t="shared" si="1346"/>
        <v>null</v>
      </c>
      <c r="J2570" s="82" t="s">
        <v>0</v>
      </c>
      <c r="K2570" s="82" t="s">
        <v>0</v>
      </c>
      <c r="L2570" s="82" t="s">
        <v>0</v>
      </c>
      <c r="M2570" s="82" t="s">
        <v>0</v>
      </c>
      <c r="N2570" s="80" t="s">
        <v>0</v>
      </c>
      <c r="O2570" s="82" t="s">
        <v>0</v>
      </c>
      <c r="P2570" s="82" t="s">
        <v>0</v>
      </c>
      <c r="Q2570" s="82" t="s">
        <v>1787</v>
      </c>
      <c r="R2570" s="84" t="s">
        <v>0</v>
      </c>
      <c r="S2570" s="10" t="s">
        <v>1</v>
      </c>
      <c r="T2570" s="10" t="s">
        <v>10221</v>
      </c>
      <c r="U2570" s="5" t="str">
        <f t="shared" si="1350"/>
        <v>Propriedade destinada a taxonomizar: é.qualificadora.de</v>
      </c>
      <c r="V2570" s="5" t="str">
        <f t="shared" si="1351"/>
        <v>Dado para taxonomizar:  qualificadora.de  Deve ser formatado como (rdfs:Literal  or  xsd:string)</v>
      </c>
      <c r="W2570" s="69" t="s">
        <v>6399</v>
      </c>
      <c r="X2570" s="17" t="str">
        <f t="shared" si="1353"/>
        <v>d.taxon.158</v>
      </c>
      <c r="Y2570" s="17" t="str">
        <f t="shared" si="1354"/>
        <v>Ação de taxonomizar</v>
      </c>
      <c r="Z2570" s="62" t="s">
        <v>2816</v>
      </c>
      <c r="AA2570" s="18" t="str">
        <f t="shared" si="1348"/>
        <v>null</v>
      </c>
      <c r="AB2570" s="19" t="s">
        <v>0</v>
      </c>
      <c r="AC2570" s="18" t="str">
        <f t="shared" si="1349"/>
        <v>null</v>
      </c>
      <c r="AD2570" s="19" t="s">
        <v>0</v>
      </c>
      <c r="AE2570" s="18" t="str">
        <f t="shared" si="1345"/>
        <v>null</v>
      </c>
      <c r="AF2570" s="75" t="s">
        <v>0</v>
      </c>
      <c r="AG2570" s="38" t="s">
        <v>9425</v>
      </c>
    </row>
    <row r="2571" spans="1:33" ht="6" customHeight="1" x14ac:dyDescent="0.4">
      <c r="A2571" s="4">
        <f>ROW()</f>
        <v>2571</v>
      </c>
      <c r="B2571" s="9" t="s">
        <v>27</v>
      </c>
      <c r="C2571" s="44" t="str">
        <f t="shared" si="1347"/>
        <v>p.taxonomizar</v>
      </c>
      <c r="D2571" s="6" t="str">
        <f t="shared" si="1333"/>
        <v>é.receita.alinhada</v>
      </c>
      <c r="E2571" s="8" t="s">
        <v>28</v>
      </c>
      <c r="F2571" s="34" t="str">
        <f t="shared" si="1352"/>
        <v>d.taxonomizar</v>
      </c>
      <c r="G2571" s="14" t="s">
        <v>1776</v>
      </c>
      <c r="H2571" s="34" t="s">
        <v>35</v>
      </c>
      <c r="I2571" s="92" t="str">
        <f t="shared" si="1346"/>
        <v>null</v>
      </c>
      <c r="J2571" s="82" t="s">
        <v>0</v>
      </c>
      <c r="K2571" s="82" t="s">
        <v>0</v>
      </c>
      <c r="L2571" s="82" t="s">
        <v>0</v>
      </c>
      <c r="M2571" s="82" t="s">
        <v>0</v>
      </c>
      <c r="N2571" s="80" t="s">
        <v>0</v>
      </c>
      <c r="O2571" s="82" t="s">
        <v>0</v>
      </c>
      <c r="P2571" s="82" t="s">
        <v>0</v>
      </c>
      <c r="Q2571" s="82" t="s">
        <v>1779</v>
      </c>
      <c r="R2571" s="84" t="s">
        <v>0</v>
      </c>
      <c r="S2571" s="10" t="s">
        <v>1</v>
      </c>
      <c r="T2571" s="10" t="s">
        <v>10221</v>
      </c>
      <c r="U2571" s="5" t="str">
        <f t="shared" si="1350"/>
        <v>Propriedade destinada a taxonomizar: é.receita.alinhada</v>
      </c>
      <c r="V2571" s="5" t="str">
        <f t="shared" si="1351"/>
        <v>Dado para taxonomizar:  receita.alinhada  Deve ser formatado como (xsd:double)</v>
      </c>
      <c r="W2571" s="69" t="s">
        <v>6400</v>
      </c>
      <c r="X2571" s="17" t="str">
        <f t="shared" si="1353"/>
        <v>d.taxon.159</v>
      </c>
      <c r="Y2571" s="17" t="str">
        <f t="shared" si="1354"/>
        <v>Ação de taxonomizar</v>
      </c>
      <c r="Z2571" s="62" t="s">
        <v>2817</v>
      </c>
      <c r="AA2571" s="18" t="str">
        <f t="shared" si="1348"/>
        <v>null</v>
      </c>
      <c r="AB2571" s="19" t="s">
        <v>0</v>
      </c>
      <c r="AC2571" s="18" t="str">
        <f t="shared" si="1349"/>
        <v>null</v>
      </c>
      <c r="AD2571" s="19" t="s">
        <v>0</v>
      </c>
      <c r="AE2571" s="18" t="str">
        <f t="shared" si="1345"/>
        <v>null</v>
      </c>
      <c r="AF2571" s="75" t="s">
        <v>0</v>
      </c>
      <c r="AG2571" s="38" t="s">
        <v>9426</v>
      </c>
    </row>
    <row r="2572" spans="1:33" ht="6" customHeight="1" x14ac:dyDescent="0.4">
      <c r="A2572" s="4">
        <f>ROW()</f>
        <v>2572</v>
      </c>
      <c r="B2572" s="9" t="s">
        <v>27</v>
      </c>
      <c r="C2572" s="44" t="str">
        <f t="shared" si="1347"/>
        <v>p.taxonomizar</v>
      </c>
      <c r="D2572" s="6" t="str">
        <f t="shared" si="1333"/>
        <v>é.receita.anual.gerada</v>
      </c>
      <c r="E2572" s="8" t="s">
        <v>28</v>
      </c>
      <c r="F2572" s="34" t="str">
        <f t="shared" si="1352"/>
        <v>d.taxonomizar</v>
      </c>
      <c r="G2572" s="37" t="s">
        <v>1741</v>
      </c>
      <c r="H2572" s="34" t="s">
        <v>35</v>
      </c>
      <c r="I2572" s="92" t="str">
        <f t="shared" si="1346"/>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50"/>
        <v>Propriedade destinada a taxonomizar: é.receita.anual.gerada</v>
      </c>
      <c r="V2572" s="5" t="str">
        <f t="shared" si="1351"/>
        <v>Dado para taxonomizar:  receita.anual.gerada  Deve ser formatado como (xsd:double)</v>
      </c>
      <c r="W2572" s="69" t="s">
        <v>6352</v>
      </c>
      <c r="X2572" s="17" t="str">
        <f t="shared" si="1353"/>
        <v>d.taxon.160</v>
      </c>
      <c r="Y2572" s="17" t="str">
        <f t="shared" si="1354"/>
        <v>Ação de taxonomizar</v>
      </c>
      <c r="Z2572" s="62" t="s">
        <v>1956</v>
      </c>
      <c r="AA2572" s="18" t="str">
        <f t="shared" si="1348"/>
        <v>null</v>
      </c>
      <c r="AB2572" s="19" t="s">
        <v>0</v>
      </c>
      <c r="AC2572" s="18" t="str">
        <f t="shared" si="1349"/>
        <v>null</v>
      </c>
      <c r="AD2572" s="19" t="s">
        <v>0</v>
      </c>
      <c r="AE2572" s="18" t="str">
        <f t="shared" si="1345"/>
        <v>null</v>
      </c>
      <c r="AF2572" s="75" t="s">
        <v>0</v>
      </c>
      <c r="AG2572" s="38" t="s">
        <v>9378</v>
      </c>
    </row>
    <row r="2573" spans="1:33" ht="6" customHeight="1" x14ac:dyDescent="0.4">
      <c r="A2573" s="4">
        <f>ROW()</f>
        <v>2573</v>
      </c>
      <c r="B2573" s="9" t="s">
        <v>27</v>
      </c>
      <c r="C2573" s="44" t="str">
        <f t="shared" si="1347"/>
        <v>p.taxonomizar</v>
      </c>
      <c r="D2573" s="6" t="str">
        <f t="shared" si="1333"/>
        <v>é.receita.percentual</v>
      </c>
      <c r="E2573" s="8" t="s">
        <v>28</v>
      </c>
      <c r="F2573" s="34" t="str">
        <f t="shared" si="1352"/>
        <v>d.taxonomizar</v>
      </c>
      <c r="G2573" s="14" t="s">
        <v>1769</v>
      </c>
      <c r="H2573" s="34" t="s">
        <v>35</v>
      </c>
      <c r="I2573" s="92" t="str">
        <f t="shared" si="1346"/>
        <v>null</v>
      </c>
      <c r="J2573" s="82" t="s">
        <v>0</v>
      </c>
      <c r="K2573" s="82" t="s">
        <v>0</v>
      </c>
      <c r="L2573" s="82" t="s">
        <v>0</v>
      </c>
      <c r="M2573" s="82" t="s">
        <v>0</v>
      </c>
      <c r="N2573" s="80" t="s">
        <v>0</v>
      </c>
      <c r="O2573" s="82" t="s">
        <v>0</v>
      </c>
      <c r="P2573" s="82" t="s">
        <v>0</v>
      </c>
      <c r="Q2573" s="82" t="s">
        <v>1771</v>
      </c>
      <c r="R2573" s="84" t="s">
        <v>0</v>
      </c>
      <c r="S2573" s="10" t="s">
        <v>1</v>
      </c>
      <c r="T2573" s="10" t="s">
        <v>10221</v>
      </c>
      <c r="U2573" s="5" t="str">
        <f t="shared" si="1350"/>
        <v>Propriedade destinada a taxonomizar: é.receita.percentual</v>
      </c>
      <c r="V2573" s="5" t="str">
        <f t="shared" si="1351"/>
        <v>Dado para taxonomizar:  receita.percentual  Deve ser formatado como (xsd:double)</v>
      </c>
      <c r="W2573" s="69" t="s">
        <v>6401</v>
      </c>
      <c r="X2573" s="17" t="str">
        <f t="shared" si="1353"/>
        <v>d.taxon.161</v>
      </c>
      <c r="Y2573" s="17" t="str">
        <f t="shared" si="1354"/>
        <v>Ação de taxonomizar</v>
      </c>
      <c r="Z2573" s="62" t="s">
        <v>4768</v>
      </c>
      <c r="AA2573" s="18" t="str">
        <f t="shared" si="1348"/>
        <v>null</v>
      </c>
      <c r="AB2573" s="19" t="s">
        <v>0</v>
      </c>
      <c r="AC2573" s="18" t="str">
        <f t="shared" si="1349"/>
        <v>null</v>
      </c>
      <c r="AD2573" s="19" t="s">
        <v>0</v>
      </c>
      <c r="AE2573" s="18" t="str">
        <f t="shared" si="1345"/>
        <v>null</v>
      </c>
      <c r="AF2573" s="75" t="s">
        <v>0</v>
      </c>
      <c r="AG2573" s="38" t="s">
        <v>9427</v>
      </c>
    </row>
    <row r="2574" spans="1:33" ht="6" customHeight="1" x14ac:dyDescent="0.4">
      <c r="A2574" s="4">
        <f>ROW()</f>
        <v>2574</v>
      </c>
      <c r="B2574" s="9" t="s">
        <v>27</v>
      </c>
      <c r="C2574" s="44" t="str">
        <f t="shared" si="1347"/>
        <v>p.taxonomizar</v>
      </c>
      <c r="D2574" s="6" t="str">
        <f t="shared" si="1333"/>
        <v>é.receita.semi.alinhada</v>
      </c>
      <c r="E2574" s="8" t="s">
        <v>28</v>
      </c>
      <c r="F2574" s="34" t="str">
        <f t="shared" si="1352"/>
        <v>d.taxonomizar</v>
      </c>
      <c r="G2574" s="14" t="s">
        <v>1777</v>
      </c>
      <c r="H2574" s="34" t="s">
        <v>35</v>
      </c>
      <c r="I2574" s="92" t="str">
        <f t="shared" si="1346"/>
        <v>null</v>
      </c>
      <c r="J2574" s="82" t="s">
        <v>0</v>
      </c>
      <c r="K2574" s="82" t="s">
        <v>0</v>
      </c>
      <c r="L2574" s="82" t="s">
        <v>0</v>
      </c>
      <c r="M2574" s="82" t="s">
        <v>0</v>
      </c>
      <c r="N2574" s="80" t="s">
        <v>0</v>
      </c>
      <c r="O2574" s="82" t="s">
        <v>0</v>
      </c>
      <c r="P2574" s="82" t="s">
        <v>0</v>
      </c>
      <c r="Q2574" s="82" t="s">
        <v>1778</v>
      </c>
      <c r="R2574" s="84" t="s">
        <v>0</v>
      </c>
      <c r="S2574" s="10" t="s">
        <v>1</v>
      </c>
      <c r="T2574" s="10" t="s">
        <v>10221</v>
      </c>
      <c r="U2574" s="5" t="str">
        <f t="shared" si="1350"/>
        <v>Propriedade destinada a taxonomizar: é.receita.semi.alinhada</v>
      </c>
      <c r="V2574" s="5" t="str">
        <f t="shared" si="1351"/>
        <v>Dado para taxonomizar:  receita.semi.alinhada  Deve ser formatado como (xsd:double)</v>
      </c>
      <c r="W2574" s="69" t="s">
        <v>6402</v>
      </c>
      <c r="X2574" s="17" t="str">
        <f t="shared" si="1353"/>
        <v>d.taxon.162</v>
      </c>
      <c r="Y2574" s="17" t="str">
        <f t="shared" si="1354"/>
        <v>Ação de taxonomizar</v>
      </c>
      <c r="Z2574" s="62" t="s">
        <v>1988</v>
      </c>
      <c r="AA2574" s="18" t="str">
        <f t="shared" si="1348"/>
        <v>null</v>
      </c>
      <c r="AB2574" s="19" t="s">
        <v>0</v>
      </c>
      <c r="AC2574" s="18" t="str">
        <f t="shared" si="1349"/>
        <v>null</v>
      </c>
      <c r="AD2574" s="19" t="s">
        <v>0</v>
      </c>
      <c r="AE2574" s="18" t="str">
        <f t="shared" si="1345"/>
        <v>null</v>
      </c>
      <c r="AF2574" s="75" t="s">
        <v>0</v>
      </c>
      <c r="AG2574" s="38" t="s">
        <v>9428</v>
      </c>
    </row>
    <row r="2575" spans="1:33" ht="6" customHeight="1" x14ac:dyDescent="0.4">
      <c r="A2575" s="4">
        <f>ROW()</f>
        <v>2575</v>
      </c>
      <c r="B2575" s="9" t="s">
        <v>27</v>
      </c>
      <c r="C2575" s="44" t="str">
        <f t="shared" si="1347"/>
        <v>p.taxonomizar</v>
      </c>
      <c r="D2575" s="6" t="str">
        <f t="shared" si="1333"/>
        <v>é.receita.total</v>
      </c>
      <c r="E2575" s="8" t="s">
        <v>28</v>
      </c>
      <c r="F2575" s="34" t="str">
        <f t="shared" si="1352"/>
        <v>d.taxonomizar</v>
      </c>
      <c r="G2575" s="14" t="s">
        <v>1766</v>
      </c>
      <c r="H2575" s="34" t="s">
        <v>35</v>
      </c>
      <c r="I2575" s="92" t="str">
        <f t="shared" si="1346"/>
        <v>null</v>
      </c>
      <c r="J2575" s="82" t="s">
        <v>0</v>
      </c>
      <c r="K2575" s="82" t="s">
        <v>0</v>
      </c>
      <c r="L2575" s="82" t="s">
        <v>0</v>
      </c>
      <c r="M2575" s="82" t="s">
        <v>0</v>
      </c>
      <c r="N2575" s="80" t="s">
        <v>0</v>
      </c>
      <c r="O2575" s="82" t="s">
        <v>0</v>
      </c>
      <c r="P2575" s="82" t="s">
        <v>0</v>
      </c>
      <c r="Q2575" s="82" t="s">
        <v>1770</v>
      </c>
      <c r="R2575" s="84" t="s">
        <v>0</v>
      </c>
      <c r="S2575" s="10" t="s">
        <v>1</v>
      </c>
      <c r="T2575" s="10" t="s">
        <v>10221</v>
      </c>
      <c r="U2575" s="5" t="str">
        <f t="shared" si="1350"/>
        <v>Propriedade destinada a taxonomizar: é.receita.total</v>
      </c>
      <c r="V2575" s="5" t="str">
        <f t="shared" si="1351"/>
        <v>Dado para taxonomizar:  receita.total  Deve ser formatado como (xsd:double)</v>
      </c>
      <c r="W2575" s="69" t="s">
        <v>6403</v>
      </c>
      <c r="X2575" s="17" t="str">
        <f t="shared" si="1353"/>
        <v>d.taxon.163</v>
      </c>
      <c r="Y2575" s="17" t="str">
        <f t="shared" si="1354"/>
        <v>Ação de taxonomizar</v>
      </c>
      <c r="Z2575" s="62" t="s">
        <v>1989</v>
      </c>
      <c r="AA2575" s="18" t="str">
        <f t="shared" si="1348"/>
        <v>null</v>
      </c>
      <c r="AB2575" s="19" t="s">
        <v>0</v>
      </c>
      <c r="AC2575" s="18" t="str">
        <f t="shared" si="1349"/>
        <v>null</v>
      </c>
      <c r="AD2575" s="19" t="s">
        <v>0</v>
      </c>
      <c r="AE2575" s="18" t="str">
        <f t="shared" si="1345"/>
        <v>null</v>
      </c>
      <c r="AF2575" s="75" t="s">
        <v>0</v>
      </c>
      <c r="AG2575" s="38" t="s">
        <v>9429</v>
      </c>
    </row>
    <row r="2576" spans="1:33" ht="6" customHeight="1" x14ac:dyDescent="0.4">
      <c r="A2576" s="4">
        <f>ROW()</f>
        <v>2576</v>
      </c>
      <c r="B2576" s="9" t="s">
        <v>27</v>
      </c>
      <c r="C2576" s="44" t="str">
        <f t="shared" si="1347"/>
        <v>p.taxonomizar</v>
      </c>
      <c r="D2576" s="6" t="str">
        <f t="shared" si="1333"/>
        <v>é.salvaguarda.mínima</v>
      </c>
      <c r="E2576" s="8" t="s">
        <v>28</v>
      </c>
      <c r="F2576" s="34" t="str">
        <f t="shared" si="1352"/>
        <v>d.taxonomizar</v>
      </c>
      <c r="G2576" s="37" t="s">
        <v>1729</v>
      </c>
      <c r="H2576" s="33" t="s">
        <v>1581</v>
      </c>
      <c r="I2576" s="92" t="str">
        <f t="shared" si="1346"/>
        <v>null</v>
      </c>
      <c r="J2576" s="82" t="s">
        <v>0</v>
      </c>
      <c r="K2576" s="82" t="s">
        <v>0</v>
      </c>
      <c r="L2576" s="82" t="s">
        <v>0</v>
      </c>
      <c r="M2576" s="82" t="s">
        <v>0</v>
      </c>
      <c r="N2576" s="80" t="s">
        <v>0</v>
      </c>
      <c r="O2576" s="82" t="s">
        <v>0</v>
      </c>
      <c r="P2576" s="82" t="s">
        <v>0</v>
      </c>
      <c r="Q2576" s="82" t="s">
        <v>0</v>
      </c>
      <c r="R2576" s="84" t="s">
        <v>0</v>
      </c>
      <c r="S2576" s="10" t="s">
        <v>1</v>
      </c>
      <c r="T2576" s="10" t="s">
        <v>10221</v>
      </c>
      <c r="U2576" s="5" t="str">
        <f t="shared" si="1350"/>
        <v>Propriedade destinada a taxonomizar: é.salvaguarda.mínima</v>
      </c>
      <c r="V2576" s="5" t="str">
        <f t="shared" si="1351"/>
        <v>Dado para taxonomizar:  salvaguarda.mínima  Deve ser formatado como (rdfs:Literal  or  xsd:string)</v>
      </c>
      <c r="W2576" s="69" t="s">
        <v>6404</v>
      </c>
      <c r="X2576" s="17" t="str">
        <f t="shared" si="1353"/>
        <v>d.taxon.164</v>
      </c>
      <c r="Y2576" s="17" t="str">
        <f t="shared" si="1354"/>
        <v>Ação de taxonomizar</v>
      </c>
      <c r="Z2576" s="62" t="s">
        <v>1990</v>
      </c>
      <c r="AA2576" s="18" t="str">
        <f t="shared" si="1348"/>
        <v>null</v>
      </c>
      <c r="AB2576" s="19" t="s">
        <v>0</v>
      </c>
      <c r="AC2576" s="18" t="str">
        <f t="shared" si="1349"/>
        <v>null</v>
      </c>
      <c r="AD2576" s="19" t="s">
        <v>0</v>
      </c>
      <c r="AE2576" s="18" t="str">
        <f t="shared" si="1345"/>
        <v>null</v>
      </c>
      <c r="AF2576" s="75" t="s">
        <v>0</v>
      </c>
      <c r="AG2576" s="38" t="s">
        <v>9430</v>
      </c>
    </row>
    <row r="2577" spans="1:33" ht="6" customHeight="1" x14ac:dyDescent="0.4">
      <c r="A2577" s="4">
        <f>ROW()</f>
        <v>2577</v>
      </c>
      <c r="B2577" s="9" t="s">
        <v>27</v>
      </c>
      <c r="C2577" s="44" t="str">
        <f t="shared" si="1347"/>
        <v>p.taxonomizar</v>
      </c>
      <c r="D2577" s="6" t="str">
        <f t="shared" si="1333"/>
        <v>é.solução</v>
      </c>
      <c r="E2577" s="8" t="s">
        <v>28</v>
      </c>
      <c r="F2577" s="34" t="str">
        <f t="shared" si="1352"/>
        <v>d.taxonomizar</v>
      </c>
      <c r="G2577" s="37" t="s">
        <v>1735</v>
      </c>
      <c r="H2577" s="33" t="s">
        <v>1581</v>
      </c>
      <c r="I2577" s="92" t="str">
        <f t="shared" si="1346"/>
        <v>null</v>
      </c>
      <c r="J2577" s="82" t="s">
        <v>0</v>
      </c>
      <c r="K2577" s="82" t="s">
        <v>0</v>
      </c>
      <c r="L2577" s="82" t="s">
        <v>0</v>
      </c>
      <c r="M2577" s="82" t="s">
        <v>0</v>
      </c>
      <c r="N2577" s="80" t="s">
        <v>0</v>
      </c>
      <c r="O2577" s="82" t="s">
        <v>0</v>
      </c>
      <c r="P2577" s="82" t="s">
        <v>0</v>
      </c>
      <c r="Q2577" s="82" t="s">
        <v>0</v>
      </c>
      <c r="R2577" s="84" t="s">
        <v>0</v>
      </c>
      <c r="S2577" s="10" t="s">
        <v>1</v>
      </c>
      <c r="T2577" s="10" t="s">
        <v>10221</v>
      </c>
      <c r="U2577" s="5" t="str">
        <f t="shared" si="1350"/>
        <v>Propriedade destinada a taxonomizar: é.solução</v>
      </c>
      <c r="V2577" s="5" t="str">
        <f t="shared" si="1351"/>
        <v>Dado para taxonomizar:  solução  Deve ser formatado como (rdfs:Literal  or  xsd:string)</v>
      </c>
      <c r="W2577" s="69" t="s">
        <v>6405</v>
      </c>
      <c r="X2577" s="17" t="str">
        <f t="shared" si="1353"/>
        <v>d.taxon.165</v>
      </c>
      <c r="Y2577" s="17" t="str">
        <f t="shared" si="1354"/>
        <v>Ação de taxonomizar</v>
      </c>
      <c r="Z2577" s="62" t="s">
        <v>1991</v>
      </c>
      <c r="AA2577" s="18" t="str">
        <f t="shared" si="1348"/>
        <v>null</v>
      </c>
      <c r="AB2577" s="19" t="s">
        <v>0</v>
      </c>
      <c r="AC2577" s="18" t="str">
        <f t="shared" si="1349"/>
        <v>null</v>
      </c>
      <c r="AD2577" s="19" t="s">
        <v>0</v>
      </c>
      <c r="AE2577" s="18" t="str">
        <f t="shared" si="1345"/>
        <v>null</v>
      </c>
      <c r="AF2577" s="75" t="s">
        <v>0</v>
      </c>
      <c r="AG2577" s="38" t="s">
        <v>9431</v>
      </c>
    </row>
    <row r="2578" spans="1:33" ht="6" customHeight="1" x14ac:dyDescent="0.4">
      <c r="A2578" s="4">
        <f>ROW()</f>
        <v>2578</v>
      </c>
      <c r="B2578" s="9" t="s">
        <v>27</v>
      </c>
      <c r="C2578" s="44" t="str">
        <f t="shared" si="1347"/>
        <v>p.taxonomizar</v>
      </c>
      <c r="D2578" s="6" t="str">
        <f t="shared" ref="D2578:D2652" si="1355">_xlfn.CONCAT("é.",G2578)</f>
        <v>é.tipo.de.atividade</v>
      </c>
      <c r="E2578" s="8" t="s">
        <v>28</v>
      </c>
      <c r="F2578" s="34" t="str">
        <f t="shared" si="1352"/>
        <v>d.taxonomizar</v>
      </c>
      <c r="G2578" s="37" t="s">
        <v>1782</v>
      </c>
      <c r="H2578" s="33" t="s">
        <v>1581</v>
      </c>
      <c r="I2578" s="92" t="str">
        <f t="shared" si="1346"/>
        <v>null</v>
      </c>
      <c r="J2578" s="82" t="s">
        <v>0</v>
      </c>
      <c r="K2578" s="82" t="s">
        <v>0</v>
      </c>
      <c r="L2578" s="82" t="s">
        <v>0</v>
      </c>
      <c r="M2578" s="82" t="s">
        <v>0</v>
      </c>
      <c r="N2578" s="80" t="s">
        <v>0</v>
      </c>
      <c r="O2578" s="82" t="s">
        <v>0</v>
      </c>
      <c r="P2578" s="82" t="s">
        <v>0</v>
      </c>
      <c r="Q2578" s="82" t="s">
        <v>0</v>
      </c>
      <c r="R2578" s="84" t="s">
        <v>0</v>
      </c>
      <c r="S2578" s="10" t="s">
        <v>1</v>
      </c>
      <c r="T2578" s="10" t="s">
        <v>10221</v>
      </c>
      <c r="U2578" s="5" t="str">
        <f t="shared" si="1350"/>
        <v>Propriedade destinada a taxonomizar: é.tipo.de.atividade</v>
      </c>
      <c r="V2578" s="5" t="str">
        <f t="shared" si="1351"/>
        <v>Dado para taxonomizar:  tipo.de.atividade  Deve ser formatado como (rdfs:Literal  or  xsd:string)</v>
      </c>
      <c r="W2578" s="69" t="s">
        <v>6406</v>
      </c>
      <c r="X2578" s="17" t="str">
        <f t="shared" si="1353"/>
        <v>d.taxon.166</v>
      </c>
      <c r="Y2578" s="17" t="str">
        <f t="shared" si="1354"/>
        <v>Ação de taxonomizar</v>
      </c>
      <c r="Z2578" s="62" t="s">
        <v>1992</v>
      </c>
      <c r="AA2578" s="18" t="str">
        <f t="shared" ref="AA2578:AA2579" si="1356">IF(AB2578="null", "null", "categoria.revit")</f>
        <v>null</v>
      </c>
      <c r="AB2578" s="19" t="s">
        <v>0</v>
      </c>
      <c r="AC2578" s="18" t="str">
        <f t="shared" ref="AC2578:AC2579" si="1357">IF(AD2578="null", "null", "classe.ifc")</f>
        <v>null</v>
      </c>
      <c r="AD2578" s="19" t="s">
        <v>0</v>
      </c>
      <c r="AE2578" s="18" t="str">
        <f t="shared" si="1345"/>
        <v>null</v>
      </c>
      <c r="AF2578" s="75" t="s">
        <v>0</v>
      </c>
      <c r="AG2578" s="38" t="s">
        <v>9432</v>
      </c>
    </row>
    <row r="2579" spans="1:33" ht="6" customHeight="1" x14ac:dyDescent="0.4">
      <c r="A2579" s="4">
        <f>ROW()</f>
        <v>2579</v>
      </c>
      <c r="B2579" s="9" t="s">
        <v>27</v>
      </c>
      <c r="C2579" s="43" t="str">
        <f t="shared" si="1347"/>
        <v>p.telhar</v>
      </c>
      <c r="D2579" s="6" t="str">
        <f t="shared" si="1355"/>
        <v>é.caibro</v>
      </c>
      <c r="E2579" s="8" t="s">
        <v>28</v>
      </c>
      <c r="F2579" s="41" t="s">
        <v>2324</v>
      </c>
      <c r="G2579" s="14" t="s">
        <v>2715</v>
      </c>
      <c r="H2579" s="33" t="s">
        <v>1581</v>
      </c>
      <c r="I2579" s="92" t="str">
        <f t="shared" si="1346"/>
        <v>null</v>
      </c>
      <c r="J2579" s="82" t="s">
        <v>0</v>
      </c>
      <c r="K2579" s="82" t="s">
        <v>0</v>
      </c>
      <c r="L2579" s="82" t="s">
        <v>0</v>
      </c>
      <c r="M2579" s="82" t="s">
        <v>0</v>
      </c>
      <c r="N2579" s="82" t="s">
        <v>0</v>
      </c>
      <c r="O2579" s="82" t="s">
        <v>0</v>
      </c>
      <c r="P2579" s="82" t="s">
        <v>0</v>
      </c>
      <c r="Q2579" s="82" t="s">
        <v>0</v>
      </c>
      <c r="R2579" s="84" t="s">
        <v>0</v>
      </c>
      <c r="S2579" s="10" t="s">
        <v>1</v>
      </c>
      <c r="T2579" s="10" t="s">
        <v>10221</v>
      </c>
      <c r="U2579" s="5" t="str">
        <f t="shared" si="1350"/>
        <v>Propriedade destinada a telhar: é.caibro</v>
      </c>
      <c r="V2579" s="5" t="str">
        <f t="shared" si="1351"/>
        <v>Dado para telhar:  caibro  Deve ser formatado como (rdfs:Literal  or  xsd:string)</v>
      </c>
      <c r="W2579" s="69" t="s">
        <v>6407</v>
      </c>
      <c r="X2579" s="17" t="str">
        <f t="shared" si="1353"/>
        <v>d.telha.100</v>
      </c>
      <c r="Y2579" s="17" t="str">
        <f t="shared" si="1354"/>
        <v>Ação de telhar</v>
      </c>
      <c r="Z2579" s="62" t="s">
        <v>2381</v>
      </c>
      <c r="AA2579" s="18" t="str">
        <f t="shared" si="1356"/>
        <v>categoria.revit</v>
      </c>
      <c r="AB2579" s="19" t="s">
        <v>9647</v>
      </c>
      <c r="AC2579" s="18" t="str">
        <f t="shared" si="1357"/>
        <v>classe.ifc</v>
      </c>
      <c r="AD2579" s="19" t="s">
        <v>9648</v>
      </c>
      <c r="AE2579" s="18" t="str">
        <f t="shared" si="1345"/>
        <v>null</v>
      </c>
      <c r="AF2579" s="75" t="s">
        <v>0</v>
      </c>
      <c r="AG2579" s="38" t="s">
        <v>9433</v>
      </c>
    </row>
    <row r="2580" spans="1:33" ht="6" customHeight="1" x14ac:dyDescent="0.4">
      <c r="A2580" s="4">
        <f>ROW()</f>
        <v>2580</v>
      </c>
      <c r="B2580" s="9" t="s">
        <v>27</v>
      </c>
      <c r="C2580" s="44" t="str">
        <f t="shared" ref="C2580:C2587" si="1358">SUBSTITUTE(F2580,"d.","p.")</f>
        <v>p.telhar</v>
      </c>
      <c r="D2580" s="6" t="str">
        <f t="shared" ref="D2580:D2587" si="1359">_xlfn.CONCAT("é.",G2580)</f>
        <v>é.cumeeira</v>
      </c>
      <c r="E2580" s="8" t="s">
        <v>28</v>
      </c>
      <c r="F2580" s="34" t="str">
        <f t="shared" ref="F2580:F2586" si="1360">F2579</f>
        <v>d.telhar</v>
      </c>
      <c r="G2580" s="14" t="s">
        <v>2712</v>
      </c>
      <c r="H2580" s="33" t="s">
        <v>1581</v>
      </c>
      <c r="I2580" s="92" t="str">
        <f t="shared" si="1346"/>
        <v>null</v>
      </c>
      <c r="J2580" s="82" t="s">
        <v>0</v>
      </c>
      <c r="K2580" s="82" t="s">
        <v>0</v>
      </c>
      <c r="L2580" s="82" t="s">
        <v>0</v>
      </c>
      <c r="M2580" s="82" t="s">
        <v>0</v>
      </c>
      <c r="N2580" s="82" t="s">
        <v>0</v>
      </c>
      <c r="O2580" s="82" t="s">
        <v>0</v>
      </c>
      <c r="P2580" s="82" t="s">
        <v>0</v>
      </c>
      <c r="Q2580" s="82" t="s">
        <v>0</v>
      </c>
      <c r="R2580" s="84" t="s">
        <v>0</v>
      </c>
      <c r="S2580" s="10" t="s">
        <v>1</v>
      </c>
      <c r="T2580" s="10" t="s">
        <v>10221</v>
      </c>
      <c r="U2580" s="5" t="str">
        <f t="shared" ref="U2580:U2587" si="1361">_xlfn.CONCAT("Propriedade destinada a ",MID(C2580,FIND("p.",C2580,1)+2,100),": ",D2580)</f>
        <v>Propriedade destinada a telhar: é.cumeeira</v>
      </c>
      <c r="V2580" s="5" t="str">
        <f t="shared" ref="V2580:V2587" si="1362">_xlfn.CONCAT("Dado para ",MID(F2580,FIND("d.",F2580,1)+2,100),":  ",G2580, "  Deve ser formatado como (",H2580, ")")</f>
        <v>Dado para telhar:  cumeeira  Deve ser formatado como (rdfs:Literal  or  xsd:string)</v>
      </c>
      <c r="W2580" s="69" t="s">
        <v>6408</v>
      </c>
      <c r="X2580" s="17" t="str">
        <f t="shared" si="1353"/>
        <v>d.telha.101</v>
      </c>
      <c r="Y2580" s="17" t="str">
        <f t="shared" si="1354"/>
        <v>Ação de telhar</v>
      </c>
      <c r="Z2580" s="62" t="s">
        <v>2382</v>
      </c>
      <c r="AA2580" s="18" t="str">
        <f t="shared" ref="AA2580:AA2587" si="1363">IF(AB2580="null", "null", "categoria.revit")</f>
        <v>categoria.revit</v>
      </c>
      <c r="AB2580" s="19" t="s">
        <v>9647</v>
      </c>
      <c r="AC2580" s="18" t="str">
        <f t="shared" ref="AC2580:AC2587" si="1364">IF(AD2580="null", "null", "classe.ifc")</f>
        <v>classe.ifc</v>
      </c>
      <c r="AD2580" s="19" t="s">
        <v>9648</v>
      </c>
      <c r="AE2580" s="18" t="str">
        <f t="shared" ref="AE2580:AE2587" si="1365">IF(AF2580="null", "null", "propriedade")</f>
        <v>propriedade</v>
      </c>
      <c r="AF2580" s="75" t="s">
        <v>9653</v>
      </c>
      <c r="AG2580" s="38" t="s">
        <v>8809</v>
      </c>
    </row>
    <row r="2581" spans="1:33" ht="6" customHeight="1" x14ac:dyDescent="0.4">
      <c r="A2581" s="4">
        <f>ROW()</f>
        <v>2581</v>
      </c>
      <c r="B2581" s="9" t="s">
        <v>27</v>
      </c>
      <c r="C2581" s="44" t="str">
        <f t="shared" si="1358"/>
        <v>p.telhar</v>
      </c>
      <c r="D2581" s="6" t="str">
        <f t="shared" si="1359"/>
        <v>é.rincão</v>
      </c>
      <c r="E2581" s="8" t="s">
        <v>28</v>
      </c>
      <c r="F2581" s="34" t="str">
        <f t="shared" si="1360"/>
        <v>d.telhar</v>
      </c>
      <c r="G2581" s="14" t="s">
        <v>2713</v>
      </c>
      <c r="H2581" s="33" t="s">
        <v>1581</v>
      </c>
      <c r="I2581" s="92" t="str">
        <f t="shared" si="1346"/>
        <v>null</v>
      </c>
      <c r="J2581" s="82" t="s">
        <v>0</v>
      </c>
      <c r="K2581" s="82" t="s">
        <v>0</v>
      </c>
      <c r="L2581" s="82" t="s">
        <v>0</v>
      </c>
      <c r="M2581" s="82" t="s">
        <v>0</v>
      </c>
      <c r="N2581" s="82" t="s">
        <v>0</v>
      </c>
      <c r="O2581" s="82" t="s">
        <v>0</v>
      </c>
      <c r="P2581" s="82" t="s">
        <v>0</v>
      </c>
      <c r="Q2581" s="82" t="s">
        <v>0</v>
      </c>
      <c r="R2581" s="84" t="s">
        <v>0</v>
      </c>
      <c r="S2581" s="10" t="s">
        <v>1</v>
      </c>
      <c r="T2581" s="10" t="s">
        <v>10221</v>
      </c>
      <c r="U2581" s="5" t="str">
        <f t="shared" si="1361"/>
        <v>Propriedade destinada a telhar: é.rincão</v>
      </c>
      <c r="V2581" s="5" t="str">
        <f t="shared" si="1362"/>
        <v>Dado para telhar:  rincão  Deve ser formatado como (rdfs:Literal  or  xsd:string)</v>
      </c>
      <c r="W2581" s="69" t="s">
        <v>6409</v>
      </c>
      <c r="X2581" s="17" t="str">
        <f t="shared" si="1353"/>
        <v>d.telha.102</v>
      </c>
      <c r="Y2581" s="17" t="str">
        <f t="shared" si="1354"/>
        <v>Ação de telhar</v>
      </c>
      <c r="Z2581" s="62" t="s">
        <v>2383</v>
      </c>
      <c r="AA2581" s="18" t="str">
        <f t="shared" si="1363"/>
        <v>categoria.revit</v>
      </c>
      <c r="AB2581" s="19" t="s">
        <v>9647</v>
      </c>
      <c r="AC2581" s="18" t="str">
        <f t="shared" si="1364"/>
        <v>classe.ifc</v>
      </c>
      <c r="AD2581" s="19" t="s">
        <v>9648</v>
      </c>
      <c r="AE2581" s="18" t="str">
        <f t="shared" si="1365"/>
        <v>propriedade</v>
      </c>
      <c r="AF2581" s="75" t="s">
        <v>9654</v>
      </c>
      <c r="AG2581" s="38" t="s">
        <v>9434</v>
      </c>
    </row>
    <row r="2582" spans="1:33" ht="6" customHeight="1" x14ac:dyDescent="0.4">
      <c r="A2582" s="4">
        <f>ROW()</f>
        <v>2582</v>
      </c>
      <c r="B2582" s="9" t="s">
        <v>27</v>
      </c>
      <c r="C2582" s="44" t="str">
        <f t="shared" si="1358"/>
        <v>p.telhar</v>
      </c>
      <c r="D2582" s="6" t="str">
        <f t="shared" si="1359"/>
        <v>é.ripa</v>
      </c>
      <c r="E2582" s="8" t="s">
        <v>28</v>
      </c>
      <c r="F2582" s="34" t="str">
        <f t="shared" si="1360"/>
        <v>d.telhar</v>
      </c>
      <c r="G2582" s="14" t="s">
        <v>2716</v>
      </c>
      <c r="H2582" s="33" t="s">
        <v>1581</v>
      </c>
      <c r="I2582" s="92" t="str">
        <f t="shared" si="1346"/>
        <v>null</v>
      </c>
      <c r="J2582" s="82" t="s">
        <v>0</v>
      </c>
      <c r="K2582" s="82" t="s">
        <v>0</v>
      </c>
      <c r="L2582" s="82" t="s">
        <v>0</v>
      </c>
      <c r="M2582" s="82" t="s">
        <v>0</v>
      </c>
      <c r="N2582" s="82" t="s">
        <v>0</v>
      </c>
      <c r="O2582" s="82" t="s">
        <v>0</v>
      </c>
      <c r="P2582" s="82" t="s">
        <v>0</v>
      </c>
      <c r="Q2582" s="82" t="s">
        <v>0</v>
      </c>
      <c r="R2582" s="84" t="s">
        <v>0</v>
      </c>
      <c r="S2582" s="10" t="s">
        <v>1</v>
      </c>
      <c r="T2582" s="10" t="s">
        <v>10221</v>
      </c>
      <c r="U2582" s="5" t="str">
        <f t="shared" si="1361"/>
        <v>Propriedade destinada a telhar: é.ripa</v>
      </c>
      <c r="V2582" s="5" t="str">
        <f t="shared" si="1362"/>
        <v>Dado para telhar:  ripa  Deve ser formatado como (rdfs:Literal  or  xsd:string)</v>
      </c>
      <c r="W2582" s="69" t="s">
        <v>6410</v>
      </c>
      <c r="X2582" s="17" t="str">
        <f t="shared" si="1353"/>
        <v>d.telha.103</v>
      </c>
      <c r="Y2582" s="17" t="str">
        <f t="shared" si="1354"/>
        <v>Ação de telhar</v>
      </c>
      <c r="Z2582" s="62" t="s">
        <v>2380</v>
      </c>
      <c r="AA2582" s="18" t="str">
        <f t="shared" si="1363"/>
        <v>categoria.revit</v>
      </c>
      <c r="AB2582" s="19" t="s">
        <v>9647</v>
      </c>
      <c r="AC2582" s="18" t="str">
        <f t="shared" si="1364"/>
        <v>classe.ifc</v>
      </c>
      <c r="AD2582" s="19" t="s">
        <v>9648</v>
      </c>
      <c r="AE2582" s="18" t="str">
        <f t="shared" si="1365"/>
        <v>null</v>
      </c>
      <c r="AF2582" s="75" t="s">
        <v>0</v>
      </c>
      <c r="AG2582" s="38" t="s">
        <v>9435</v>
      </c>
    </row>
    <row r="2583" spans="1:33" ht="6" customHeight="1" x14ac:dyDescent="0.4">
      <c r="A2583" s="4">
        <f>ROW()</f>
        <v>2583</v>
      </c>
      <c r="B2583" s="9" t="s">
        <v>27</v>
      </c>
      <c r="C2583" s="44" t="str">
        <f t="shared" si="1358"/>
        <v>p.telhar</v>
      </c>
      <c r="D2583" s="6" t="str">
        <f t="shared" si="1359"/>
        <v>é.telha</v>
      </c>
      <c r="E2583" s="8" t="s">
        <v>28</v>
      </c>
      <c r="F2583" s="34" t="str">
        <f t="shared" si="1360"/>
        <v>d.telhar</v>
      </c>
      <c r="G2583" s="13" t="s">
        <v>2717</v>
      </c>
      <c r="H2583" s="33" t="s">
        <v>1581</v>
      </c>
      <c r="I2583" s="92" t="str">
        <f t="shared" si="1346"/>
        <v>null</v>
      </c>
      <c r="J2583" s="82" t="s">
        <v>0</v>
      </c>
      <c r="K2583" s="82" t="s">
        <v>0</v>
      </c>
      <c r="L2583" s="82" t="s">
        <v>0</v>
      </c>
      <c r="M2583" s="82" t="s">
        <v>0</v>
      </c>
      <c r="N2583" s="82" t="s">
        <v>0</v>
      </c>
      <c r="O2583" s="82" t="s">
        <v>0</v>
      </c>
      <c r="P2583" s="82" t="s">
        <v>0</v>
      </c>
      <c r="Q2583" s="82" t="s">
        <v>0</v>
      </c>
      <c r="R2583" s="84" t="s">
        <v>0</v>
      </c>
      <c r="S2583" s="10" t="s">
        <v>1</v>
      </c>
      <c r="T2583" s="10" t="s">
        <v>10221</v>
      </c>
      <c r="U2583" s="5" t="str">
        <f t="shared" si="1361"/>
        <v>Propriedade destinada a telhar: é.telha</v>
      </c>
      <c r="V2583" s="5" t="str">
        <f t="shared" si="1362"/>
        <v>Dado para telhar:  telha  Deve ser formatado como (rdfs:Literal  or  xsd:string)</v>
      </c>
      <c r="W2583" s="69" t="s">
        <v>6411</v>
      </c>
      <c r="X2583" s="17" t="str">
        <f t="shared" si="1353"/>
        <v>d.telha.104</v>
      </c>
      <c r="Y2583" s="17" t="str">
        <f t="shared" si="1354"/>
        <v>Ação de telhar</v>
      </c>
      <c r="Z2583" s="62" t="s">
        <v>2377</v>
      </c>
      <c r="AA2583" s="18" t="str">
        <f t="shared" si="1363"/>
        <v>categoria.revit</v>
      </c>
      <c r="AB2583" s="19" t="s">
        <v>9647</v>
      </c>
      <c r="AC2583" s="18" t="str">
        <f t="shared" si="1364"/>
        <v>classe.ifc</v>
      </c>
      <c r="AD2583" s="19" t="s">
        <v>9648</v>
      </c>
      <c r="AE2583" s="18" t="str">
        <f t="shared" si="1365"/>
        <v>propriedade</v>
      </c>
      <c r="AF2583" s="75" t="s">
        <v>9646</v>
      </c>
      <c r="AG2583" s="38" t="s">
        <v>9436</v>
      </c>
    </row>
    <row r="2584" spans="1:33" ht="6" customHeight="1" x14ac:dyDescent="0.4">
      <c r="A2584" s="4">
        <f>ROW()</f>
        <v>2584</v>
      </c>
      <c r="B2584" s="9" t="s">
        <v>27</v>
      </c>
      <c r="C2584" s="44" t="str">
        <f t="shared" si="1358"/>
        <v>p.telhar</v>
      </c>
      <c r="D2584" s="6" t="str">
        <f t="shared" si="1359"/>
        <v>é.telha.w</v>
      </c>
      <c r="E2584" s="8" t="s">
        <v>28</v>
      </c>
      <c r="F2584" s="34" t="str">
        <f t="shared" si="1360"/>
        <v>d.telhar</v>
      </c>
      <c r="G2584" s="13" t="s">
        <v>9643</v>
      </c>
      <c r="H2584" s="34" t="s">
        <v>1581</v>
      </c>
      <c r="I2584" s="92" t="str">
        <f t="shared" si="1346"/>
        <v>null</v>
      </c>
      <c r="J2584" s="80" t="s">
        <v>0</v>
      </c>
      <c r="K2584" s="80" t="s">
        <v>0</v>
      </c>
      <c r="L2584" s="80" t="s">
        <v>0</v>
      </c>
      <c r="M2584" s="80" t="s">
        <v>0</v>
      </c>
      <c r="N2584" s="80" t="s">
        <v>0</v>
      </c>
      <c r="O2584" s="80" t="s">
        <v>0</v>
      </c>
      <c r="P2584" s="80" t="s">
        <v>0</v>
      </c>
      <c r="Q2584" s="80" t="s">
        <v>0</v>
      </c>
      <c r="R2584" s="84" t="s">
        <v>0</v>
      </c>
      <c r="S2584" s="10" t="s">
        <v>1</v>
      </c>
      <c r="T2584" s="10" t="s">
        <v>10221</v>
      </c>
      <c r="U2584" s="5" t="str">
        <f t="shared" si="1361"/>
        <v>Propriedade destinada a telhar: é.telha.w</v>
      </c>
      <c r="V2584" s="5" t="str">
        <f t="shared" si="1362"/>
        <v>Dado para telhar:  telha.w  Deve ser formatado como (rdfs:Literal  or  xsd:string)</v>
      </c>
      <c r="W2584" s="69" t="s">
        <v>9657</v>
      </c>
      <c r="X2584" s="17" t="str">
        <f t="shared" si="1353"/>
        <v>d.telha.105</v>
      </c>
      <c r="Y2584" s="17" t="str">
        <f t="shared" si="1354"/>
        <v>Ação de telhar</v>
      </c>
      <c r="Z2584" s="62" t="s">
        <v>9656</v>
      </c>
      <c r="AA2584" s="18" t="str">
        <f t="shared" si="1363"/>
        <v>categoria.revit</v>
      </c>
      <c r="AB2584" s="19" t="s">
        <v>9647</v>
      </c>
      <c r="AC2584" s="18" t="str">
        <f t="shared" si="1364"/>
        <v>classe.ifc</v>
      </c>
      <c r="AD2584" s="19" t="s">
        <v>9648</v>
      </c>
      <c r="AE2584" s="18" t="str">
        <f t="shared" si="1365"/>
        <v>propriedade</v>
      </c>
      <c r="AF2584" s="75" t="s">
        <v>9646</v>
      </c>
      <c r="AG2584" s="62" t="s">
        <v>9659</v>
      </c>
    </row>
    <row r="2585" spans="1:33" ht="6" customHeight="1" x14ac:dyDescent="0.4">
      <c r="A2585" s="4">
        <f>ROW()</f>
        <v>2585</v>
      </c>
      <c r="B2585" s="9" t="s">
        <v>27</v>
      </c>
      <c r="C2585" s="44" t="str">
        <f t="shared" si="1358"/>
        <v>p.telhar</v>
      </c>
      <c r="D2585" s="6" t="str">
        <f t="shared" si="1359"/>
        <v>é.terça</v>
      </c>
      <c r="E2585" s="8" t="s">
        <v>28</v>
      </c>
      <c r="F2585" s="34" t="str">
        <f t="shared" si="1360"/>
        <v>d.telhar</v>
      </c>
      <c r="G2585" s="14" t="s">
        <v>2714</v>
      </c>
      <c r="H2585" s="33" t="s">
        <v>1581</v>
      </c>
      <c r="I2585" s="92" t="str">
        <f t="shared" si="1346"/>
        <v>null</v>
      </c>
      <c r="J2585" s="82" t="s">
        <v>0</v>
      </c>
      <c r="K2585" s="82" t="s">
        <v>0</v>
      </c>
      <c r="L2585" s="82" t="s">
        <v>0</v>
      </c>
      <c r="M2585" s="82" t="s">
        <v>0</v>
      </c>
      <c r="N2585" s="82" t="s">
        <v>0</v>
      </c>
      <c r="O2585" s="82" t="s">
        <v>0</v>
      </c>
      <c r="P2585" s="82" t="s">
        <v>0</v>
      </c>
      <c r="Q2585" s="82" t="s">
        <v>0</v>
      </c>
      <c r="R2585" s="84" t="s">
        <v>0</v>
      </c>
      <c r="S2585" s="10" t="s">
        <v>1</v>
      </c>
      <c r="T2585" s="10" t="s">
        <v>10221</v>
      </c>
      <c r="U2585" s="5" t="str">
        <f t="shared" si="1361"/>
        <v>Propriedade destinada a telhar: é.terça</v>
      </c>
      <c r="V2585" s="5" t="str">
        <f t="shared" si="1362"/>
        <v>Dado para telhar:  terça  Deve ser formatado como (rdfs:Literal  or  xsd:string)</v>
      </c>
      <c r="W2585" s="69" t="s">
        <v>6412</v>
      </c>
      <c r="X2585" s="17" t="str">
        <f t="shared" si="1353"/>
        <v>d.telha.106</v>
      </c>
      <c r="Y2585" s="17" t="str">
        <f t="shared" si="1354"/>
        <v>Ação de telhar</v>
      </c>
      <c r="Z2585" s="62" t="s">
        <v>2379</v>
      </c>
      <c r="AA2585" s="18" t="str">
        <f t="shared" si="1363"/>
        <v>categoria.revit</v>
      </c>
      <c r="AB2585" s="19" t="s">
        <v>9649</v>
      </c>
      <c r="AC2585" s="18" t="str">
        <f t="shared" si="1364"/>
        <v>classe.ifc</v>
      </c>
      <c r="AD2585" s="19" t="s">
        <v>9650</v>
      </c>
      <c r="AE2585" s="18" t="str">
        <f t="shared" si="1365"/>
        <v>propriedade</v>
      </c>
      <c r="AF2585" s="75" t="s">
        <v>9633</v>
      </c>
      <c r="AG2585" s="38" t="s">
        <v>9437</v>
      </c>
    </row>
    <row r="2586" spans="1:33" ht="6" customHeight="1" x14ac:dyDescent="0.4">
      <c r="A2586" s="4">
        <f>ROW()</f>
        <v>2586</v>
      </c>
      <c r="B2586" s="9" t="s">
        <v>27</v>
      </c>
      <c r="C2586" s="44" t="str">
        <f t="shared" si="1358"/>
        <v>p.telhar</v>
      </c>
      <c r="D2586" s="6" t="str">
        <f t="shared" si="1359"/>
        <v>é.terça.w</v>
      </c>
      <c r="E2586" s="8" t="s">
        <v>28</v>
      </c>
      <c r="F2586" s="34" t="str">
        <f t="shared" si="1360"/>
        <v>d.telhar</v>
      </c>
      <c r="G2586" s="13" t="s">
        <v>9642</v>
      </c>
      <c r="H2586" s="34" t="s">
        <v>1581</v>
      </c>
      <c r="I2586" s="92" t="str">
        <f t="shared" si="1346"/>
        <v>null</v>
      </c>
      <c r="J2586" s="80" t="s">
        <v>0</v>
      </c>
      <c r="K2586" s="80" t="s">
        <v>0</v>
      </c>
      <c r="L2586" s="80" t="s">
        <v>0</v>
      </c>
      <c r="M2586" s="80" t="s">
        <v>0</v>
      </c>
      <c r="N2586" s="80" t="s">
        <v>0</v>
      </c>
      <c r="O2586" s="80" t="s">
        <v>0</v>
      </c>
      <c r="P2586" s="80" t="s">
        <v>0</v>
      </c>
      <c r="Q2586" s="80" t="s">
        <v>0</v>
      </c>
      <c r="R2586" s="84" t="s">
        <v>0</v>
      </c>
      <c r="S2586" s="10" t="s">
        <v>1</v>
      </c>
      <c r="T2586" s="10" t="s">
        <v>10221</v>
      </c>
      <c r="U2586" s="5" t="str">
        <f t="shared" si="1361"/>
        <v>Propriedade destinada a telhar: é.terça.w</v>
      </c>
      <c r="V2586" s="5" t="str">
        <f t="shared" si="1362"/>
        <v>Dado para telhar:  terça.w  Deve ser formatado como (rdfs:Literal  or  xsd:string)</v>
      </c>
      <c r="W2586" s="69" t="s">
        <v>9658</v>
      </c>
      <c r="X2586" s="17" t="str">
        <f t="shared" si="1353"/>
        <v>d.telha.107</v>
      </c>
      <c r="Y2586" s="17" t="str">
        <f t="shared" si="1354"/>
        <v>Ação de telhar</v>
      </c>
      <c r="Z2586" s="62" t="s">
        <v>9655</v>
      </c>
      <c r="AA2586" s="18" t="str">
        <f t="shared" si="1363"/>
        <v>categoria.revit</v>
      </c>
      <c r="AB2586" s="19" t="s">
        <v>9649</v>
      </c>
      <c r="AC2586" s="18" t="str">
        <f t="shared" si="1364"/>
        <v>classe.ifc</v>
      </c>
      <c r="AD2586" s="19" t="s">
        <v>9650</v>
      </c>
      <c r="AE2586" s="18" t="str">
        <f t="shared" si="1365"/>
        <v>propriedade</v>
      </c>
      <c r="AF2586" s="75" t="s">
        <v>9633</v>
      </c>
      <c r="AG2586" s="62" t="s">
        <v>9660</v>
      </c>
    </row>
    <row r="2587" spans="1:33" ht="6" customHeight="1" x14ac:dyDescent="0.4">
      <c r="A2587" s="4">
        <f>ROW()</f>
        <v>2587</v>
      </c>
      <c r="B2587" s="9" t="s">
        <v>27</v>
      </c>
      <c r="C2587" s="44" t="str">
        <f t="shared" si="1358"/>
        <v>p.telhar</v>
      </c>
      <c r="D2587" s="6" t="str">
        <f t="shared" si="1359"/>
        <v>é.tesoura</v>
      </c>
      <c r="E2587" s="8" t="s">
        <v>28</v>
      </c>
      <c r="F2587" s="34" t="str">
        <f>F2584</f>
        <v>d.telhar</v>
      </c>
      <c r="G2587" s="14" t="s">
        <v>2711</v>
      </c>
      <c r="H2587" s="33" t="s">
        <v>1581</v>
      </c>
      <c r="I2587" s="92" t="str">
        <f t="shared" si="1346"/>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61"/>
        <v>Propriedade destinada a telhar: é.tesoura</v>
      </c>
      <c r="V2587" s="5" t="str">
        <f t="shared" si="1362"/>
        <v>Dado para telhar:  tesoura  Deve ser formatado como (rdfs:Literal  or  xsd:string)</v>
      </c>
      <c r="W2587" s="69" t="s">
        <v>6413</v>
      </c>
      <c r="X2587" s="17" t="str">
        <f t="shared" si="1353"/>
        <v>d.telha.108</v>
      </c>
      <c r="Y2587" s="17" t="str">
        <f t="shared" si="1354"/>
        <v>Ação de telhar</v>
      </c>
      <c r="Z2587" s="62" t="s">
        <v>2378</v>
      </c>
      <c r="AA2587" s="18" t="str">
        <f t="shared" si="1363"/>
        <v>categoria.revit</v>
      </c>
      <c r="AB2587" s="19" t="s">
        <v>9652</v>
      </c>
      <c r="AC2587" s="18" t="str">
        <f t="shared" si="1364"/>
        <v>classe.ifc</v>
      </c>
      <c r="AD2587" s="19" t="s">
        <v>2095</v>
      </c>
      <c r="AE2587" s="18" t="str">
        <f t="shared" si="1365"/>
        <v>propriedade</v>
      </c>
      <c r="AF2587" s="75" t="s">
        <v>9651</v>
      </c>
      <c r="AG2587" s="38" t="s">
        <v>9438</v>
      </c>
    </row>
    <row r="2588" spans="1:33" ht="6" customHeight="1" x14ac:dyDescent="0.4">
      <c r="A2588" s="4">
        <f>ROW()</f>
        <v>2588</v>
      </c>
      <c r="B2588" s="9" t="s">
        <v>27</v>
      </c>
      <c r="C2588" s="43" t="str">
        <f t="shared" ref="C2588" si="1366">SUBSTITUTE(F2588,"d.","p.")</f>
        <v>p.temporalizar</v>
      </c>
      <c r="D2588" s="6" t="str">
        <f t="shared" si="1355"/>
        <v>é.ano</v>
      </c>
      <c r="E2588" s="8" t="s">
        <v>28</v>
      </c>
      <c r="F2588" s="41" t="s">
        <v>2240</v>
      </c>
      <c r="G2588" s="13" t="s">
        <v>183</v>
      </c>
      <c r="H2588" s="33" t="s">
        <v>304</v>
      </c>
      <c r="I2588" s="92" t="str">
        <f t="shared" si="1346"/>
        <v>null</v>
      </c>
      <c r="J2588" s="80" t="s">
        <v>0</v>
      </c>
      <c r="K2588" s="80" t="s">
        <v>0</v>
      </c>
      <c r="L2588" s="80" t="s">
        <v>0</v>
      </c>
      <c r="M2588" s="80" t="s">
        <v>0</v>
      </c>
      <c r="N2588" s="80" t="s">
        <v>0</v>
      </c>
      <c r="O2588" s="80" t="s">
        <v>0</v>
      </c>
      <c r="P2588" s="80" t="s">
        <v>0</v>
      </c>
      <c r="Q2588" s="80" t="s">
        <v>0</v>
      </c>
      <c r="R2588" s="84" t="s">
        <v>0</v>
      </c>
      <c r="S2588" s="10" t="s">
        <v>1</v>
      </c>
      <c r="T2588" s="10" t="s">
        <v>10221</v>
      </c>
      <c r="U2588" s="5" t="str">
        <f t="shared" si="1350"/>
        <v>Propriedade destinada a temporalizar: é.ano</v>
      </c>
      <c r="V2588" s="5" t="str">
        <f t="shared" si="1351"/>
        <v>Dado para temporalizar:  ano  Deve ser formatado como (xsd:gYear)</v>
      </c>
      <c r="W2588" s="69" t="s">
        <v>6414</v>
      </c>
      <c r="X2588" s="17" t="str">
        <f t="shared" si="1353"/>
        <v>d.tempo.100</v>
      </c>
      <c r="Y2588" s="17" t="str">
        <f t="shared" si="1354"/>
        <v>Ação de temporalizar</v>
      </c>
      <c r="Z2588" s="62" t="s">
        <v>1420</v>
      </c>
      <c r="AA2588" s="18" t="str">
        <f t="shared" ref="AA2588:AA2602" si="1367">IF(AB2588="null", "null", "categoria.revit")</f>
        <v>null</v>
      </c>
      <c r="AB2588" s="19" t="s">
        <v>0</v>
      </c>
      <c r="AC2588" s="18" t="str">
        <f t="shared" ref="AC2588:AC2602" si="1368">IF(AD2588="null", "null", "classe.ifc")</f>
        <v>null</v>
      </c>
      <c r="AD2588" s="19" t="s">
        <v>0</v>
      </c>
      <c r="AE2588" s="18" t="str">
        <f t="shared" si="1345"/>
        <v>null</v>
      </c>
      <c r="AF2588" s="75" t="s">
        <v>0</v>
      </c>
      <c r="AG2588" s="38" t="s">
        <v>9439</v>
      </c>
    </row>
    <row r="2589" spans="1:33" ht="6" customHeight="1" x14ac:dyDescent="0.4">
      <c r="A2589" s="4">
        <f>ROW()</f>
        <v>2589</v>
      </c>
      <c r="B2589" s="9" t="s">
        <v>27</v>
      </c>
      <c r="C2589" s="44" t="str">
        <f>SUBSTITUTE(F2589,"d.","p.")</f>
        <v>p.temporalizar</v>
      </c>
      <c r="D2589" s="6" t="str">
        <f t="shared" si="1355"/>
        <v>é.ano.fiscal</v>
      </c>
      <c r="E2589" s="8" t="s">
        <v>28</v>
      </c>
      <c r="F2589" s="34" t="str">
        <f>F2588</f>
        <v>d.temporalizar</v>
      </c>
      <c r="G2589" s="13" t="s">
        <v>957</v>
      </c>
      <c r="H2589" s="33" t="s">
        <v>304</v>
      </c>
      <c r="I2589" s="92" t="str">
        <f t="shared" si="1346"/>
        <v>Functional</v>
      </c>
      <c r="J2589" s="82" t="s">
        <v>29</v>
      </c>
      <c r="K2589" s="80" t="s">
        <v>0</v>
      </c>
      <c r="L2589" s="80" t="s">
        <v>0</v>
      </c>
      <c r="M2589" s="80" t="s">
        <v>0</v>
      </c>
      <c r="N2589" s="80" t="s">
        <v>0</v>
      </c>
      <c r="O2589" s="80" t="s">
        <v>0</v>
      </c>
      <c r="P2589" s="80" t="s">
        <v>0</v>
      </c>
      <c r="Q2589" s="80" t="s">
        <v>0</v>
      </c>
      <c r="R2589" s="84" t="s">
        <v>0</v>
      </c>
      <c r="S2589" s="10" t="s">
        <v>1</v>
      </c>
      <c r="T2589" s="10" t="s">
        <v>10221</v>
      </c>
      <c r="U2589" s="5" t="str">
        <f t="shared" si="1350"/>
        <v>Propriedade destinada a temporalizar: é.ano.fiscal</v>
      </c>
      <c r="V2589" s="5" t="str">
        <f t="shared" si="1351"/>
        <v>Dado para temporalizar:  ano.fiscal  Deve ser formatado como (xsd:gYear)</v>
      </c>
      <c r="W2589" s="69" t="s">
        <v>6415</v>
      </c>
      <c r="X2589" s="17" t="str">
        <f t="shared" si="1353"/>
        <v>d.tempo.101</v>
      </c>
      <c r="Y2589" s="17" t="str">
        <f t="shared" si="1354"/>
        <v>Ação de temporalizar</v>
      </c>
      <c r="Z2589" s="62" t="s">
        <v>1421</v>
      </c>
      <c r="AA2589" s="18" t="str">
        <f t="shared" si="1367"/>
        <v>null</v>
      </c>
      <c r="AB2589" s="19" t="s">
        <v>0</v>
      </c>
      <c r="AC2589" s="18" t="str">
        <f t="shared" si="1368"/>
        <v>null</v>
      </c>
      <c r="AD2589" s="19" t="s">
        <v>0</v>
      </c>
      <c r="AE2589" s="18" t="str">
        <f t="shared" si="1345"/>
        <v>null</v>
      </c>
      <c r="AF2589" s="75" t="s">
        <v>0</v>
      </c>
      <c r="AG2589" s="38" t="s">
        <v>9440</v>
      </c>
    </row>
    <row r="2590" spans="1:33" ht="6" customHeight="1" x14ac:dyDescent="0.4">
      <c r="A2590" s="4">
        <f>ROW()</f>
        <v>2590</v>
      </c>
      <c r="B2590" s="9" t="s">
        <v>27</v>
      </c>
      <c r="C2590" s="44" t="str">
        <f t="shared" ref="C2590:C2614" si="1369">SUBSTITUTE(F2590,"d.","p.")</f>
        <v>p.temporalizar</v>
      </c>
      <c r="D2590" s="6" t="str">
        <f t="shared" si="1355"/>
        <v>é.data</v>
      </c>
      <c r="E2590" s="8" t="s">
        <v>28</v>
      </c>
      <c r="F2590" s="34" t="str">
        <f t="shared" ref="F2590:F2603" si="1370">F2589</f>
        <v>d.temporalizar</v>
      </c>
      <c r="G2590" s="13" t="s">
        <v>1167</v>
      </c>
      <c r="H2590" s="33" t="s">
        <v>302</v>
      </c>
      <c r="I2590" s="92" t="str">
        <f t="shared" si="1346"/>
        <v>null</v>
      </c>
      <c r="J2590" s="80" t="s">
        <v>0</v>
      </c>
      <c r="K2590" s="80" t="s">
        <v>0</v>
      </c>
      <c r="L2590" s="80" t="s">
        <v>0</v>
      </c>
      <c r="M2590" s="80" t="s">
        <v>0</v>
      </c>
      <c r="N2590" s="80" t="s">
        <v>0</v>
      </c>
      <c r="O2590" s="80" t="s">
        <v>0</v>
      </c>
      <c r="P2590" s="80" t="s">
        <v>0</v>
      </c>
      <c r="Q2590" s="80" t="s">
        <v>0</v>
      </c>
      <c r="R2590" s="84" t="s">
        <v>0</v>
      </c>
      <c r="S2590" s="10" t="s">
        <v>1</v>
      </c>
      <c r="T2590" s="10" t="s">
        <v>10221</v>
      </c>
      <c r="U2590" s="5" t="str">
        <f t="shared" si="1350"/>
        <v>Propriedade destinada a temporalizar: é.data</v>
      </c>
      <c r="V2590" s="5" t="str">
        <f t="shared" si="1351"/>
        <v>Dado para temporalizar:  data  Deve ser formatado como (xsd:date)</v>
      </c>
      <c r="W2590" s="69" t="s">
        <v>6416</v>
      </c>
      <c r="X2590" s="17" t="str">
        <f t="shared" si="1353"/>
        <v>d.tempo.102</v>
      </c>
      <c r="Y2590" s="17" t="str">
        <f t="shared" si="1354"/>
        <v>Ação de temporalizar</v>
      </c>
      <c r="Z2590" s="62" t="s">
        <v>2765</v>
      </c>
      <c r="AA2590" s="18" t="str">
        <f t="shared" si="1367"/>
        <v>null</v>
      </c>
      <c r="AB2590" s="19" t="s">
        <v>0</v>
      </c>
      <c r="AC2590" s="18" t="str">
        <f t="shared" si="1368"/>
        <v>null</v>
      </c>
      <c r="AD2590" s="19" t="s">
        <v>0</v>
      </c>
      <c r="AE2590" s="18" t="str">
        <f t="shared" si="1345"/>
        <v>null</v>
      </c>
      <c r="AF2590" s="75" t="s">
        <v>0</v>
      </c>
      <c r="AG2590" s="38" t="s">
        <v>9441</v>
      </c>
    </row>
    <row r="2591" spans="1:33" ht="6" customHeight="1" x14ac:dyDescent="0.4">
      <c r="A2591" s="4">
        <f>ROW()</f>
        <v>2591</v>
      </c>
      <c r="B2591" s="9" t="s">
        <v>27</v>
      </c>
      <c r="C2591" s="44" t="str">
        <f t="shared" si="1369"/>
        <v>p.temporalizar</v>
      </c>
      <c r="D2591" s="6" t="str">
        <f t="shared" si="1355"/>
        <v>é.data.de.levantamento</v>
      </c>
      <c r="E2591" s="8" t="s">
        <v>28</v>
      </c>
      <c r="F2591" s="34" t="str">
        <f t="shared" si="1370"/>
        <v>d.temporalizar</v>
      </c>
      <c r="G2591" s="13" t="s">
        <v>956</v>
      </c>
      <c r="H2591" s="33" t="s">
        <v>302</v>
      </c>
      <c r="I2591" s="92" t="str">
        <f t="shared" si="1346"/>
        <v>null</v>
      </c>
      <c r="J2591" s="80" t="s">
        <v>0</v>
      </c>
      <c r="K2591" s="80" t="s">
        <v>0</v>
      </c>
      <c r="L2591" s="80" t="s">
        <v>0</v>
      </c>
      <c r="M2591" s="80" t="s">
        <v>0</v>
      </c>
      <c r="N2591" s="80" t="s">
        <v>0</v>
      </c>
      <c r="O2591" s="80" t="s">
        <v>0</v>
      </c>
      <c r="P2591" s="80" t="s">
        <v>0</v>
      </c>
      <c r="Q2591" s="80" t="s">
        <v>0</v>
      </c>
      <c r="R2591" s="84" t="s">
        <v>0</v>
      </c>
      <c r="S2591" s="10" t="s">
        <v>1</v>
      </c>
      <c r="T2591" s="10" t="s">
        <v>10221</v>
      </c>
      <c r="U2591" s="5" t="str">
        <f t="shared" si="1350"/>
        <v>Propriedade destinada a temporalizar: é.data.de.levantamento</v>
      </c>
      <c r="V2591" s="5" t="str">
        <f t="shared" si="1351"/>
        <v>Dado para temporalizar:  data.de.levantamento  Deve ser formatado como (xsd:date)</v>
      </c>
      <c r="W2591" s="69" t="s">
        <v>6417</v>
      </c>
      <c r="X2591" s="17" t="str">
        <f t="shared" si="1353"/>
        <v>d.tempo.103</v>
      </c>
      <c r="Y2591" s="17" t="str">
        <f t="shared" si="1354"/>
        <v>Ação de temporalizar</v>
      </c>
      <c r="Z2591" s="62" t="s">
        <v>2768</v>
      </c>
      <c r="AA2591" s="18" t="str">
        <f t="shared" si="1367"/>
        <v>null</v>
      </c>
      <c r="AB2591" s="19" t="s">
        <v>0</v>
      </c>
      <c r="AC2591" s="18" t="str">
        <f t="shared" si="1368"/>
        <v>null</v>
      </c>
      <c r="AD2591" s="19" t="s">
        <v>0</v>
      </c>
      <c r="AE2591" s="18" t="str">
        <f t="shared" si="1345"/>
        <v>null</v>
      </c>
      <c r="AF2591" s="75" t="s">
        <v>0</v>
      </c>
      <c r="AG2591" s="38" t="s">
        <v>9442</v>
      </c>
    </row>
    <row r="2592" spans="1:33" ht="6" customHeight="1" x14ac:dyDescent="0.4">
      <c r="A2592" s="4">
        <f>ROW()</f>
        <v>2592</v>
      </c>
      <c r="B2592" s="9" t="s">
        <v>27</v>
      </c>
      <c r="C2592" s="44" t="str">
        <f t="shared" si="1369"/>
        <v>p.temporalizar</v>
      </c>
      <c r="D2592" s="6" t="str">
        <f t="shared" si="1355"/>
        <v>é.data.de.validade</v>
      </c>
      <c r="E2592" s="8" t="s">
        <v>28</v>
      </c>
      <c r="F2592" s="34" t="str">
        <f t="shared" si="1370"/>
        <v>d.temporalizar</v>
      </c>
      <c r="G2592" s="13" t="s">
        <v>954</v>
      </c>
      <c r="H2592" s="33" t="s">
        <v>302</v>
      </c>
      <c r="I2592" s="92" t="str">
        <f t="shared" si="1346"/>
        <v>Functional</v>
      </c>
      <c r="J2592" s="82" t="s">
        <v>29</v>
      </c>
      <c r="K2592" s="80" t="s">
        <v>0</v>
      </c>
      <c r="L2592" s="80" t="s">
        <v>0</v>
      </c>
      <c r="M2592" s="80" t="s">
        <v>0</v>
      </c>
      <c r="N2592" s="80" t="s">
        <v>0</v>
      </c>
      <c r="O2592" s="80" t="s">
        <v>0</v>
      </c>
      <c r="P2592" s="80" t="s">
        <v>0</v>
      </c>
      <c r="Q2592" s="80" t="s">
        <v>0</v>
      </c>
      <c r="R2592" s="84" t="s">
        <v>0</v>
      </c>
      <c r="S2592" s="10" t="s">
        <v>1</v>
      </c>
      <c r="T2592" s="10" t="s">
        <v>10221</v>
      </c>
      <c r="U2592" s="5" t="str">
        <f t="shared" si="1350"/>
        <v>Propriedade destinada a temporalizar: é.data.de.validade</v>
      </c>
      <c r="V2592" s="5" t="str">
        <f t="shared" si="1351"/>
        <v>Dado para temporalizar:  data.de.validade  Deve ser formatado como (xsd:date)</v>
      </c>
      <c r="W2592" s="69" t="s">
        <v>6418</v>
      </c>
      <c r="X2592" s="17" t="str">
        <f t="shared" si="1353"/>
        <v>d.tempo.104</v>
      </c>
      <c r="Y2592" s="17" t="str">
        <f t="shared" si="1354"/>
        <v>Ação de temporalizar</v>
      </c>
      <c r="Z2592" s="62" t="s">
        <v>2766</v>
      </c>
      <c r="AA2592" s="18" t="str">
        <f t="shared" si="1367"/>
        <v>null</v>
      </c>
      <c r="AB2592" s="19" t="s">
        <v>0</v>
      </c>
      <c r="AC2592" s="18" t="str">
        <f t="shared" si="1368"/>
        <v>null</v>
      </c>
      <c r="AD2592" s="19" t="s">
        <v>0</v>
      </c>
      <c r="AE2592" s="18" t="str">
        <f t="shared" si="1345"/>
        <v>null</v>
      </c>
      <c r="AF2592" s="75" t="s">
        <v>0</v>
      </c>
      <c r="AG2592" s="38" t="s">
        <v>9443</v>
      </c>
    </row>
    <row r="2593" spans="1:33" ht="6" customHeight="1" x14ac:dyDescent="0.4">
      <c r="A2593" s="4">
        <f>ROW()</f>
        <v>2593</v>
      </c>
      <c r="B2593" s="9" t="s">
        <v>27</v>
      </c>
      <c r="C2593" s="44" t="str">
        <f t="shared" si="1369"/>
        <v>p.temporalizar</v>
      </c>
      <c r="D2593" s="6" t="str">
        <f t="shared" si="1355"/>
        <v>é.data.de.verificação</v>
      </c>
      <c r="E2593" s="8" t="s">
        <v>28</v>
      </c>
      <c r="F2593" s="34" t="str">
        <f t="shared" si="1370"/>
        <v>d.temporalizar</v>
      </c>
      <c r="G2593" s="13" t="s">
        <v>955</v>
      </c>
      <c r="H2593" s="33" t="s">
        <v>302</v>
      </c>
      <c r="I2593" s="92" t="str">
        <f t="shared" si="1346"/>
        <v>Functional</v>
      </c>
      <c r="J2593" s="82" t="s">
        <v>29</v>
      </c>
      <c r="K2593" s="80" t="s">
        <v>0</v>
      </c>
      <c r="L2593" s="80" t="s">
        <v>0</v>
      </c>
      <c r="M2593" s="80" t="s">
        <v>0</v>
      </c>
      <c r="N2593" s="80" t="s">
        <v>0</v>
      </c>
      <c r="O2593" s="80" t="s">
        <v>0</v>
      </c>
      <c r="P2593" s="80" t="s">
        <v>0</v>
      </c>
      <c r="Q2593" s="80" t="s">
        <v>0</v>
      </c>
      <c r="R2593" s="84" t="s">
        <v>0</v>
      </c>
      <c r="S2593" s="10" t="s">
        <v>1</v>
      </c>
      <c r="T2593" s="10" t="s">
        <v>10221</v>
      </c>
      <c r="U2593" s="5" t="str">
        <f t="shared" si="1350"/>
        <v>Propriedade destinada a temporalizar: é.data.de.verificação</v>
      </c>
      <c r="V2593" s="5" t="str">
        <f t="shared" si="1351"/>
        <v>Dado para temporalizar:  data.de.verificação  Deve ser formatado como (xsd:date)</v>
      </c>
      <c r="W2593" s="69" t="s">
        <v>6419</v>
      </c>
      <c r="X2593" s="17" t="str">
        <f t="shared" si="1353"/>
        <v>d.tempo.105</v>
      </c>
      <c r="Y2593" s="17" t="str">
        <f t="shared" si="1354"/>
        <v>Ação de temporalizar</v>
      </c>
      <c r="Z2593" s="62" t="s">
        <v>2767</v>
      </c>
      <c r="AA2593" s="18" t="str">
        <f t="shared" si="1367"/>
        <v>null</v>
      </c>
      <c r="AB2593" s="19" t="s">
        <v>0</v>
      </c>
      <c r="AC2593" s="18" t="str">
        <f t="shared" si="1368"/>
        <v>null</v>
      </c>
      <c r="AD2593" s="19" t="s">
        <v>0</v>
      </c>
      <c r="AE2593" s="18" t="str">
        <f t="shared" si="1345"/>
        <v>null</v>
      </c>
      <c r="AF2593" s="75" t="s">
        <v>0</v>
      </c>
      <c r="AG2593" s="38" t="s">
        <v>9444</v>
      </c>
    </row>
    <row r="2594" spans="1:33" ht="6" customHeight="1" x14ac:dyDescent="0.4">
      <c r="A2594" s="4">
        <f>ROW()</f>
        <v>2594</v>
      </c>
      <c r="B2594" s="9" t="s">
        <v>27</v>
      </c>
      <c r="C2594" s="44" t="str">
        <f t="shared" si="1369"/>
        <v>p.temporalizar</v>
      </c>
      <c r="D2594" s="6" t="str">
        <f t="shared" si="1355"/>
        <v>é.dia</v>
      </c>
      <c r="E2594" s="8" t="s">
        <v>28</v>
      </c>
      <c r="F2594" s="34" t="str">
        <f t="shared" si="1370"/>
        <v>d.temporalizar</v>
      </c>
      <c r="G2594" s="13" t="s">
        <v>181</v>
      </c>
      <c r="H2594" s="33" t="s">
        <v>302</v>
      </c>
      <c r="I2594" s="92" t="str">
        <f t="shared" si="1346"/>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0"/>
        <v>Propriedade destinada a temporalizar: é.dia</v>
      </c>
      <c r="V2594" s="5" t="str">
        <f t="shared" si="1351"/>
        <v>Dado para temporalizar:  dia  Deve ser formatado como (xsd:date)</v>
      </c>
      <c r="W2594" s="69" t="s">
        <v>6420</v>
      </c>
      <c r="X2594" s="17" t="str">
        <f t="shared" si="1353"/>
        <v>d.tempo.106</v>
      </c>
      <c r="Y2594" s="17" t="str">
        <f t="shared" si="1354"/>
        <v>Ação de temporalizar</v>
      </c>
      <c r="Z2594" s="62" t="s">
        <v>1418</v>
      </c>
      <c r="AA2594" s="18" t="str">
        <f t="shared" si="1367"/>
        <v>null</v>
      </c>
      <c r="AB2594" s="19" t="s">
        <v>0</v>
      </c>
      <c r="AC2594" s="18" t="str">
        <f t="shared" si="1368"/>
        <v>null</v>
      </c>
      <c r="AD2594" s="19" t="s">
        <v>0</v>
      </c>
      <c r="AE2594" s="18" t="str">
        <f t="shared" si="1345"/>
        <v>null</v>
      </c>
      <c r="AF2594" s="75" t="s">
        <v>0</v>
      </c>
      <c r="AG2594" s="38" t="s">
        <v>9445</v>
      </c>
    </row>
    <row r="2595" spans="1:33" ht="6" customHeight="1" x14ac:dyDescent="0.4">
      <c r="A2595" s="4">
        <f>ROW()</f>
        <v>2595</v>
      </c>
      <c r="B2595" s="9" t="s">
        <v>27</v>
      </c>
      <c r="C2595" s="44" t="str">
        <f t="shared" si="1369"/>
        <v>p.temporalizar</v>
      </c>
      <c r="D2595" s="6" t="str">
        <f t="shared" si="1355"/>
        <v>é.durabilidade</v>
      </c>
      <c r="E2595" s="8" t="s">
        <v>28</v>
      </c>
      <c r="F2595" s="34" t="str">
        <f t="shared" si="1370"/>
        <v>d.temporalizar</v>
      </c>
      <c r="G2595" s="14" t="s">
        <v>208</v>
      </c>
      <c r="H2595" s="33" t="s">
        <v>306</v>
      </c>
      <c r="I2595" s="92" t="str">
        <f t="shared" si="1346"/>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0"/>
        <v>Propriedade destinada a temporalizar: é.durabilidade</v>
      </c>
      <c r="V2595" s="5" t="str">
        <f t="shared" si="1351"/>
        <v>Dado para temporalizar:  durabilidade  Deve ser formatado como (xsd:duration)</v>
      </c>
      <c r="W2595" s="69" t="s">
        <v>6421</v>
      </c>
      <c r="X2595" s="17" t="str">
        <f t="shared" si="1353"/>
        <v>d.tempo.107</v>
      </c>
      <c r="Y2595" s="17" t="str">
        <f t="shared" si="1354"/>
        <v>Ação de temporalizar</v>
      </c>
      <c r="Z2595" s="62" t="s">
        <v>2800</v>
      </c>
      <c r="AA2595" s="18" t="str">
        <f t="shared" si="1367"/>
        <v>null</v>
      </c>
      <c r="AB2595" s="19" t="s">
        <v>0</v>
      </c>
      <c r="AC2595" s="18" t="str">
        <f t="shared" si="1368"/>
        <v>null</v>
      </c>
      <c r="AD2595" s="19" t="s">
        <v>0</v>
      </c>
      <c r="AE2595" s="18" t="str">
        <f t="shared" si="1345"/>
        <v>null</v>
      </c>
      <c r="AF2595" s="75" t="s">
        <v>0</v>
      </c>
      <c r="AG2595" s="38" t="s">
        <v>9446</v>
      </c>
    </row>
    <row r="2596" spans="1:33" ht="6" customHeight="1" x14ac:dyDescent="0.4">
      <c r="A2596" s="4">
        <f>ROW()</f>
        <v>2596</v>
      </c>
      <c r="B2596" s="9" t="s">
        <v>27</v>
      </c>
      <c r="C2596" s="44" t="str">
        <f t="shared" si="1369"/>
        <v>p.temporalizar</v>
      </c>
      <c r="D2596" s="6" t="str">
        <f t="shared" si="1355"/>
        <v>é.duração</v>
      </c>
      <c r="E2596" s="8" t="s">
        <v>28</v>
      </c>
      <c r="F2596" s="34" t="str">
        <f t="shared" si="1370"/>
        <v>d.temporalizar</v>
      </c>
      <c r="G2596" s="14" t="s">
        <v>110</v>
      </c>
      <c r="H2596" s="33" t="s">
        <v>306</v>
      </c>
      <c r="I2596" s="92" t="str">
        <f t="shared" si="1346"/>
        <v>Functional</v>
      </c>
      <c r="J2596" s="82" t="s">
        <v>29</v>
      </c>
      <c r="K2596" s="82" t="s">
        <v>0</v>
      </c>
      <c r="L2596" s="82" t="s">
        <v>0</v>
      </c>
      <c r="M2596" s="82" t="s">
        <v>0</v>
      </c>
      <c r="N2596" s="82" t="s">
        <v>0</v>
      </c>
      <c r="O2596" s="82" t="s">
        <v>0</v>
      </c>
      <c r="P2596" s="82" t="s">
        <v>0</v>
      </c>
      <c r="Q2596" s="82" t="s">
        <v>0</v>
      </c>
      <c r="R2596" s="84" t="s">
        <v>0</v>
      </c>
      <c r="S2596" s="10" t="s">
        <v>1</v>
      </c>
      <c r="T2596" s="10" t="s">
        <v>10221</v>
      </c>
      <c r="U2596" s="5" t="str">
        <f t="shared" si="1350"/>
        <v>Propriedade destinada a temporalizar: é.duração</v>
      </c>
      <c r="V2596" s="5" t="str">
        <f t="shared" si="1351"/>
        <v>Dado para temporalizar:  duração  Deve ser formatado como (xsd:duration)</v>
      </c>
      <c r="W2596" s="69" t="s">
        <v>6422</v>
      </c>
      <c r="X2596" s="17" t="str">
        <f t="shared" si="1353"/>
        <v>d.tempo.108</v>
      </c>
      <c r="Y2596" s="17" t="str">
        <f t="shared" si="1354"/>
        <v>Ação de temporalizar</v>
      </c>
      <c r="Z2596" s="62" t="s">
        <v>2763</v>
      </c>
      <c r="AA2596" s="18" t="str">
        <f t="shared" si="1367"/>
        <v>null</v>
      </c>
      <c r="AB2596" s="19" t="s">
        <v>0</v>
      </c>
      <c r="AC2596" s="18" t="str">
        <f t="shared" si="1368"/>
        <v>null</v>
      </c>
      <c r="AD2596" s="19" t="s">
        <v>0</v>
      </c>
      <c r="AE2596" s="18" t="str">
        <f t="shared" si="1345"/>
        <v>null</v>
      </c>
      <c r="AF2596" s="75" t="s">
        <v>0</v>
      </c>
      <c r="AG2596" s="38" t="s">
        <v>9447</v>
      </c>
    </row>
    <row r="2597" spans="1:33" ht="6" customHeight="1" x14ac:dyDescent="0.4">
      <c r="A2597" s="4">
        <f>ROW()</f>
        <v>2597</v>
      </c>
      <c r="B2597" s="9" t="s">
        <v>27</v>
      </c>
      <c r="C2597" s="44" t="str">
        <f t="shared" si="1369"/>
        <v>p.temporalizar</v>
      </c>
      <c r="D2597" s="6" t="str">
        <f t="shared" si="1355"/>
        <v>é.horário</v>
      </c>
      <c r="E2597" s="8" t="s">
        <v>28</v>
      </c>
      <c r="F2597" s="34" t="str">
        <f t="shared" si="1370"/>
        <v>d.temporalizar</v>
      </c>
      <c r="G2597" s="14" t="s">
        <v>111</v>
      </c>
      <c r="H2597" s="33" t="s">
        <v>303</v>
      </c>
      <c r="I2597" s="92" t="str">
        <f t="shared" si="1346"/>
        <v>Functional</v>
      </c>
      <c r="J2597" s="82" t="s">
        <v>29</v>
      </c>
      <c r="K2597" s="82" t="s">
        <v>0</v>
      </c>
      <c r="L2597" s="82" t="s">
        <v>0</v>
      </c>
      <c r="M2597" s="82" t="s">
        <v>0</v>
      </c>
      <c r="N2597" s="82" t="s">
        <v>0</v>
      </c>
      <c r="O2597" s="82" t="s">
        <v>0</v>
      </c>
      <c r="P2597" s="82" t="s">
        <v>0</v>
      </c>
      <c r="Q2597" s="82" t="s">
        <v>0</v>
      </c>
      <c r="R2597" s="84" t="s">
        <v>0</v>
      </c>
      <c r="S2597" s="10" t="s">
        <v>1</v>
      </c>
      <c r="T2597" s="10" t="s">
        <v>10221</v>
      </c>
      <c r="U2597" s="5" t="str">
        <f t="shared" si="1350"/>
        <v>Propriedade destinada a temporalizar: é.horário</v>
      </c>
      <c r="V2597" s="5" t="str">
        <f t="shared" si="1351"/>
        <v>Dado para temporalizar:  horário  Deve ser formatado como (xsd:time)</v>
      </c>
      <c r="W2597" s="69" t="s">
        <v>6423</v>
      </c>
      <c r="X2597" s="17" t="str">
        <f t="shared" si="1353"/>
        <v>d.tempo.109</v>
      </c>
      <c r="Y2597" s="17" t="str">
        <f t="shared" si="1354"/>
        <v>Ação de temporalizar</v>
      </c>
      <c r="Z2597" s="62" t="s">
        <v>2764</v>
      </c>
      <c r="AA2597" s="18" t="str">
        <f t="shared" si="1367"/>
        <v>null</v>
      </c>
      <c r="AB2597" s="19" t="s">
        <v>0</v>
      </c>
      <c r="AC2597" s="18" t="str">
        <f t="shared" si="1368"/>
        <v>null</v>
      </c>
      <c r="AD2597" s="19" t="s">
        <v>0</v>
      </c>
      <c r="AE2597" s="18" t="str">
        <f t="shared" si="1345"/>
        <v>null</v>
      </c>
      <c r="AF2597" s="75" t="s">
        <v>0</v>
      </c>
      <c r="AG2597" s="38" t="s">
        <v>9448</v>
      </c>
    </row>
    <row r="2598" spans="1:33" ht="6" customHeight="1" x14ac:dyDescent="0.4">
      <c r="A2598" s="4">
        <f>ROW()</f>
        <v>2598</v>
      </c>
      <c r="B2598" s="9" t="s">
        <v>27</v>
      </c>
      <c r="C2598" s="44" t="str">
        <f t="shared" si="1369"/>
        <v>p.temporalizar</v>
      </c>
      <c r="D2598" s="6" t="str">
        <f t="shared" si="1355"/>
        <v>é.instante</v>
      </c>
      <c r="E2598" s="8" t="s">
        <v>28</v>
      </c>
      <c r="F2598" s="34" t="str">
        <f t="shared" si="1370"/>
        <v>d.temporalizar</v>
      </c>
      <c r="G2598" s="14" t="s">
        <v>2315</v>
      </c>
      <c r="H2598" s="34" t="s">
        <v>32</v>
      </c>
      <c r="I2598" s="92" t="str">
        <f t="shared" si="1346"/>
        <v>null</v>
      </c>
      <c r="J2598" s="82" t="s">
        <v>0</v>
      </c>
      <c r="K2598" s="82" t="s">
        <v>0</v>
      </c>
      <c r="L2598" s="82" t="s">
        <v>0</v>
      </c>
      <c r="M2598" s="82" t="s">
        <v>0</v>
      </c>
      <c r="N2598" s="80" t="s">
        <v>0</v>
      </c>
      <c r="O2598" s="82" t="s">
        <v>0</v>
      </c>
      <c r="P2598" s="82" t="s">
        <v>0</v>
      </c>
      <c r="Q2598" s="82" t="s">
        <v>0</v>
      </c>
      <c r="R2598" s="87" t="s">
        <v>0</v>
      </c>
      <c r="S2598" s="10" t="s">
        <v>1</v>
      </c>
      <c r="T2598" s="10" t="s">
        <v>10221</v>
      </c>
      <c r="U2598" s="5" t="str">
        <f t="shared" si="1350"/>
        <v>Propriedade destinada a temporalizar: é.instante</v>
      </c>
      <c r="V2598" s="5" t="str">
        <f t="shared" si="1351"/>
        <v>Dado para temporalizar:  instante  Deve ser formatado como (xsd:integer)</v>
      </c>
      <c r="W2598" s="69" t="s">
        <v>6424</v>
      </c>
      <c r="X2598" s="17" t="str">
        <f t="shared" si="1353"/>
        <v>d.tempo.110</v>
      </c>
      <c r="Y2598" s="17" t="str">
        <f t="shared" si="1354"/>
        <v>Ação de temporalizar</v>
      </c>
      <c r="Z2598" s="62" t="s">
        <v>4836</v>
      </c>
      <c r="AA2598" s="18" t="str">
        <f t="shared" si="1367"/>
        <v>null</v>
      </c>
      <c r="AB2598" s="19" t="s">
        <v>0</v>
      </c>
      <c r="AC2598" s="18" t="str">
        <f t="shared" si="1368"/>
        <v>null</v>
      </c>
      <c r="AD2598" s="19" t="s">
        <v>0</v>
      </c>
      <c r="AE2598" s="18" t="str">
        <f t="shared" si="1345"/>
        <v>null</v>
      </c>
      <c r="AF2598" s="75" t="s">
        <v>0</v>
      </c>
      <c r="AG2598" s="38" t="s">
        <v>9449</v>
      </c>
    </row>
    <row r="2599" spans="1:33" ht="6" customHeight="1" x14ac:dyDescent="0.4">
      <c r="A2599" s="4">
        <f>ROW()</f>
        <v>2599</v>
      </c>
      <c r="B2599" s="9" t="s">
        <v>27</v>
      </c>
      <c r="C2599" s="44" t="str">
        <f t="shared" si="1369"/>
        <v>p.temporalizar</v>
      </c>
      <c r="D2599" s="6" t="str">
        <f>_xlfn.CONCAT("é.",G2599)</f>
        <v>é.latência</v>
      </c>
      <c r="E2599" s="8" t="s">
        <v>28</v>
      </c>
      <c r="F2599" s="34" t="str">
        <f>F2597</f>
        <v>d.temporalizar</v>
      </c>
      <c r="G2599" s="14" t="s">
        <v>6589</v>
      </c>
      <c r="H2599" s="33" t="s">
        <v>306</v>
      </c>
      <c r="I2599" s="92" t="str">
        <f t="shared" si="1346"/>
        <v>null</v>
      </c>
      <c r="J2599" s="82" t="s">
        <v>0</v>
      </c>
      <c r="K2599" s="82" t="s">
        <v>0</v>
      </c>
      <c r="L2599" s="82" t="s">
        <v>0</v>
      </c>
      <c r="M2599" s="82" t="s">
        <v>0</v>
      </c>
      <c r="N2599" s="80" t="s">
        <v>0</v>
      </c>
      <c r="O2599" s="82" t="s">
        <v>0</v>
      </c>
      <c r="P2599" s="82" t="s">
        <v>0</v>
      </c>
      <c r="Q2599" s="82" t="s">
        <v>0</v>
      </c>
      <c r="R2599" s="84" t="s">
        <v>0</v>
      </c>
      <c r="S2599" s="10" t="s">
        <v>1</v>
      </c>
      <c r="T2599" s="10" t="s">
        <v>10221</v>
      </c>
      <c r="U2599" s="5" t="str">
        <f>_xlfn.CONCAT("Propriedade destinada a ",MID(C2599,FIND("p.",C2599,1)+2,100),": ",D2599)</f>
        <v>Propriedade destinada a temporalizar: é.latência</v>
      </c>
      <c r="V2599" s="5" t="str">
        <f>_xlfn.CONCAT("Dado para ",MID(F2599,FIND("d.",F2599,1)+2,100),":  ",G2599, "  Deve ser formatado como (",H2599, ")")</f>
        <v>Dado para temporalizar:  latência  Deve ser formatado como (xsd:duration)</v>
      </c>
      <c r="W2599" s="69" t="s">
        <v>6591</v>
      </c>
      <c r="X2599" s="17" t="str">
        <f t="shared" si="1353"/>
        <v>d.tempo.111</v>
      </c>
      <c r="Y2599" s="17" t="str">
        <f t="shared" si="1354"/>
        <v>Ação de temporalizar</v>
      </c>
      <c r="Z2599" s="62" t="s">
        <v>6590</v>
      </c>
      <c r="AA2599" s="18" t="str">
        <f>IF(AB2599="null", "null", "categoria.revit")</f>
        <v>null</v>
      </c>
      <c r="AB2599" s="19" t="s">
        <v>0</v>
      </c>
      <c r="AC2599" s="18" t="str">
        <f>IF(AD2599="null", "null", "classe.ifc")</f>
        <v>null</v>
      </c>
      <c r="AD2599" s="19" t="s">
        <v>0</v>
      </c>
      <c r="AE2599" s="18" t="str">
        <f t="shared" ref="AE2599" si="1371">IF(AF2599="null", "null", "propriedade")</f>
        <v>null</v>
      </c>
      <c r="AF2599" s="75" t="s">
        <v>0</v>
      </c>
      <c r="AG2599" s="38" t="s">
        <v>9450</v>
      </c>
    </row>
    <row r="2600" spans="1:33" ht="6" customHeight="1" x14ac:dyDescent="0.4">
      <c r="A2600" s="4">
        <f>ROW()</f>
        <v>2600</v>
      </c>
      <c r="B2600" s="9" t="s">
        <v>27</v>
      </c>
      <c r="C2600" s="44" t="str">
        <f t="shared" si="1369"/>
        <v>p.temporalizar</v>
      </c>
      <c r="D2600" s="6" t="str">
        <f t="shared" si="1355"/>
        <v>é.mês</v>
      </c>
      <c r="E2600" s="8" t="s">
        <v>28</v>
      </c>
      <c r="F2600" s="34" t="str">
        <f>F2598</f>
        <v>d.temporalizar</v>
      </c>
      <c r="G2600" s="13" t="s">
        <v>182</v>
      </c>
      <c r="H2600" s="33" t="s">
        <v>1498</v>
      </c>
      <c r="I2600" s="92" t="str">
        <f t="shared" si="1346"/>
        <v>null</v>
      </c>
      <c r="J2600" s="80" t="s">
        <v>0</v>
      </c>
      <c r="K2600" s="80" t="s">
        <v>0</v>
      </c>
      <c r="L2600" s="80" t="s">
        <v>0</v>
      </c>
      <c r="M2600" s="80" t="s">
        <v>0</v>
      </c>
      <c r="N2600" s="80" t="s">
        <v>0</v>
      </c>
      <c r="O2600" s="80" t="s">
        <v>0</v>
      </c>
      <c r="P2600" s="80" t="s">
        <v>0</v>
      </c>
      <c r="Q2600" s="80" t="s">
        <v>0</v>
      </c>
      <c r="R2600" s="84" t="s">
        <v>0</v>
      </c>
      <c r="S2600" s="10" t="s">
        <v>1</v>
      </c>
      <c r="T2600" s="10" t="s">
        <v>10221</v>
      </c>
      <c r="U2600" s="5" t="str">
        <f t="shared" si="1350"/>
        <v>Propriedade destinada a temporalizar: é.mês</v>
      </c>
      <c r="V2600" s="5" t="str">
        <f t="shared" si="1351"/>
        <v>Dado para temporalizar:  mês  Deve ser formatado como (xsd:gYearMonth)</v>
      </c>
      <c r="W2600" s="69" t="s">
        <v>6425</v>
      </c>
      <c r="X2600" s="17" t="str">
        <f t="shared" si="1353"/>
        <v>d.tempo.112</v>
      </c>
      <c r="Y2600" s="17" t="str">
        <f t="shared" si="1354"/>
        <v>Ação de temporalizar</v>
      </c>
      <c r="Z2600" s="62" t="s">
        <v>1419</v>
      </c>
      <c r="AA2600" s="18" t="str">
        <f t="shared" si="1367"/>
        <v>null</v>
      </c>
      <c r="AB2600" s="19" t="s">
        <v>0</v>
      </c>
      <c r="AC2600" s="18" t="str">
        <f t="shared" si="1368"/>
        <v>null</v>
      </c>
      <c r="AD2600" s="19" t="s">
        <v>0</v>
      </c>
      <c r="AE2600" s="18" t="str">
        <f t="shared" si="1345"/>
        <v>null</v>
      </c>
      <c r="AF2600" s="75" t="s">
        <v>0</v>
      </c>
      <c r="AG2600" s="38" t="s">
        <v>9451</v>
      </c>
    </row>
    <row r="2601" spans="1:33" ht="6" customHeight="1" x14ac:dyDescent="0.4">
      <c r="A2601" s="4">
        <f>ROW()</f>
        <v>2601</v>
      </c>
      <c r="B2601" s="9" t="s">
        <v>27</v>
      </c>
      <c r="C2601" s="44" t="str">
        <f t="shared" si="1369"/>
        <v>p.temporalizar</v>
      </c>
      <c r="D2601" s="6" t="str">
        <f t="shared" si="1355"/>
        <v>é.momento</v>
      </c>
      <c r="E2601" s="8" t="s">
        <v>28</v>
      </c>
      <c r="F2601" s="34" t="str">
        <f t="shared" si="1370"/>
        <v>d.temporalizar</v>
      </c>
      <c r="G2601" s="14" t="s">
        <v>163</v>
      </c>
      <c r="H2601" s="33" t="s">
        <v>305</v>
      </c>
      <c r="I2601" s="92" t="str">
        <f t="shared" si="1346"/>
        <v>Functional</v>
      </c>
      <c r="J2601" s="82" t="s">
        <v>29</v>
      </c>
      <c r="K2601" s="82" t="s">
        <v>0</v>
      </c>
      <c r="L2601" s="82" t="s">
        <v>0</v>
      </c>
      <c r="M2601" s="82" t="s">
        <v>0</v>
      </c>
      <c r="N2601" s="82" t="s">
        <v>0</v>
      </c>
      <c r="O2601" s="82" t="s">
        <v>0</v>
      </c>
      <c r="P2601" s="82" t="s">
        <v>0</v>
      </c>
      <c r="Q2601" s="82" t="s">
        <v>0</v>
      </c>
      <c r="R2601" s="84" t="s">
        <v>0</v>
      </c>
      <c r="S2601" s="10" t="s">
        <v>1</v>
      </c>
      <c r="T2601" s="10" t="s">
        <v>10221</v>
      </c>
      <c r="U2601" s="5" t="str">
        <f t="shared" si="1350"/>
        <v>Propriedade destinada a temporalizar: é.momento</v>
      </c>
      <c r="V2601" s="5" t="str">
        <f t="shared" si="1351"/>
        <v>Dado para temporalizar:  momento  Deve ser formatado como (xsd:dayTimeDuration)</v>
      </c>
      <c r="W2601" s="69" t="s">
        <v>6426</v>
      </c>
      <c r="X2601" s="17" t="str">
        <f t="shared" si="1353"/>
        <v>d.tempo.113</v>
      </c>
      <c r="Y2601" s="17" t="str">
        <f t="shared" si="1354"/>
        <v>Ação de temporalizar</v>
      </c>
      <c r="Z2601" s="62" t="s">
        <v>2761</v>
      </c>
      <c r="AA2601" s="18" t="str">
        <f t="shared" si="1367"/>
        <v>null</v>
      </c>
      <c r="AB2601" s="19" t="s">
        <v>0</v>
      </c>
      <c r="AC2601" s="18" t="str">
        <f t="shared" si="1368"/>
        <v>null</v>
      </c>
      <c r="AD2601" s="19" t="s">
        <v>0</v>
      </c>
      <c r="AE2601" s="18" t="str">
        <f t="shared" si="1345"/>
        <v>null</v>
      </c>
      <c r="AF2601" s="75" t="s">
        <v>0</v>
      </c>
      <c r="AG2601" s="38" t="s">
        <v>9452</v>
      </c>
    </row>
    <row r="2602" spans="1:33" ht="6" customHeight="1" x14ac:dyDescent="0.4">
      <c r="A2602" s="4">
        <f>ROW()</f>
        <v>2602</v>
      </c>
      <c r="B2602" s="9" t="s">
        <v>27</v>
      </c>
      <c r="C2602" s="44" t="str">
        <f t="shared" si="1369"/>
        <v>p.temporalizar</v>
      </c>
      <c r="D2602" s="6" t="str">
        <f t="shared" si="1355"/>
        <v>é.momento.final</v>
      </c>
      <c r="E2602" s="8" t="s">
        <v>28</v>
      </c>
      <c r="F2602" s="34" t="str">
        <f t="shared" si="1370"/>
        <v>d.temporalizar</v>
      </c>
      <c r="G2602" s="14" t="s">
        <v>953</v>
      </c>
      <c r="H2602" s="33" t="s">
        <v>305</v>
      </c>
      <c r="I2602" s="92" t="str">
        <f t="shared" si="1346"/>
        <v>Functional</v>
      </c>
      <c r="J2602" s="82" t="s">
        <v>29</v>
      </c>
      <c r="K2602" s="82" t="s">
        <v>0</v>
      </c>
      <c r="L2602" s="82" t="s">
        <v>0</v>
      </c>
      <c r="M2602" s="82" t="s">
        <v>0</v>
      </c>
      <c r="N2602" s="82" t="s">
        <v>0</v>
      </c>
      <c r="O2602" s="82" t="s">
        <v>0</v>
      </c>
      <c r="P2602" s="82" t="s">
        <v>0</v>
      </c>
      <c r="Q2602" s="82" t="s">
        <v>0</v>
      </c>
      <c r="R2602" s="84" t="s">
        <v>0</v>
      </c>
      <c r="S2602" s="10" t="s">
        <v>1</v>
      </c>
      <c r="T2602" s="10" t="s">
        <v>10221</v>
      </c>
      <c r="U2602" s="5" t="str">
        <f t="shared" si="1350"/>
        <v>Propriedade destinada a temporalizar: é.momento.final</v>
      </c>
      <c r="V2602" s="5" t="str">
        <f t="shared" si="1351"/>
        <v>Dado para temporalizar:  momento.final  Deve ser formatado como (xsd:dayTimeDuration)</v>
      </c>
      <c r="W2602" s="69" t="s">
        <v>6427</v>
      </c>
      <c r="X2602" s="17" t="str">
        <f t="shared" si="1353"/>
        <v>d.tempo.114</v>
      </c>
      <c r="Y2602" s="17" t="str">
        <f t="shared" si="1354"/>
        <v>Ação de temporalizar</v>
      </c>
      <c r="Z2602" s="62" t="s">
        <v>2762</v>
      </c>
      <c r="AA2602" s="18" t="str">
        <f t="shared" si="1367"/>
        <v>null</v>
      </c>
      <c r="AB2602" s="19" t="s">
        <v>0</v>
      </c>
      <c r="AC2602" s="18" t="str">
        <f t="shared" si="1368"/>
        <v>null</v>
      </c>
      <c r="AD2602" s="19" t="s">
        <v>0</v>
      </c>
      <c r="AE2602" s="18" t="str">
        <f t="shared" si="1345"/>
        <v>null</v>
      </c>
      <c r="AF2602" s="75" t="s">
        <v>0</v>
      </c>
      <c r="AG2602" s="38" t="s">
        <v>9453</v>
      </c>
    </row>
    <row r="2603" spans="1:33" ht="6" customHeight="1" x14ac:dyDescent="0.4">
      <c r="A2603" s="4">
        <f>ROW()</f>
        <v>2603</v>
      </c>
      <c r="B2603" s="9" t="s">
        <v>27</v>
      </c>
      <c r="C2603" s="44" t="str">
        <f t="shared" si="1369"/>
        <v>p.temporalizar</v>
      </c>
      <c r="D2603" s="6" t="str">
        <f t="shared" si="1355"/>
        <v>é.momento.inicial</v>
      </c>
      <c r="E2603" s="8" t="s">
        <v>28</v>
      </c>
      <c r="F2603" s="34" t="str">
        <f t="shared" si="1370"/>
        <v>d.temporalizar</v>
      </c>
      <c r="G2603" s="14" t="s">
        <v>952</v>
      </c>
      <c r="H2603" s="33" t="s">
        <v>305</v>
      </c>
      <c r="I2603" s="92" t="str">
        <f t="shared" si="1346"/>
        <v>Functional</v>
      </c>
      <c r="J2603" s="82" t="s">
        <v>29</v>
      </c>
      <c r="K2603" s="82" t="s">
        <v>0</v>
      </c>
      <c r="L2603" s="82" t="s">
        <v>0</v>
      </c>
      <c r="M2603" s="82" t="s">
        <v>0</v>
      </c>
      <c r="N2603" s="82" t="s">
        <v>0</v>
      </c>
      <c r="O2603" s="82" t="s">
        <v>0</v>
      </c>
      <c r="P2603" s="82" t="s">
        <v>0</v>
      </c>
      <c r="Q2603" s="82" t="s">
        <v>0</v>
      </c>
      <c r="R2603" s="84" t="s">
        <v>0</v>
      </c>
      <c r="S2603" s="10" t="s">
        <v>1</v>
      </c>
      <c r="T2603" s="10" t="s">
        <v>10221</v>
      </c>
      <c r="U2603" s="5" t="str">
        <f t="shared" si="1350"/>
        <v>Propriedade destinada a temporalizar: é.momento.inicial</v>
      </c>
      <c r="V2603" s="5" t="str">
        <f t="shared" si="1351"/>
        <v>Dado para temporalizar:  momento.inicial  Deve ser formatado como (xsd:dayTimeDuration)</v>
      </c>
      <c r="W2603" s="69" t="s">
        <v>6428</v>
      </c>
      <c r="X2603" s="17" t="str">
        <f t="shared" si="1353"/>
        <v>d.tempo.115</v>
      </c>
      <c r="Y2603" s="17" t="str">
        <f t="shared" si="1354"/>
        <v>Ação de temporalizar</v>
      </c>
      <c r="Z2603" s="62" t="s">
        <v>2760</v>
      </c>
      <c r="AA2603" s="18" t="str">
        <f t="shared" ref="AA2603:AA2606" si="1372">IF(AB2603="null", "null", "categoria.revit")</f>
        <v>null</v>
      </c>
      <c r="AB2603" s="19" t="s">
        <v>0</v>
      </c>
      <c r="AC2603" s="18" t="str">
        <f t="shared" ref="AC2603:AC2606" si="1373">IF(AD2603="null", "null", "classe.ifc")</f>
        <v>null</v>
      </c>
      <c r="AD2603" s="19" t="s">
        <v>0</v>
      </c>
      <c r="AE2603" s="18" t="str">
        <f t="shared" ref="AE2603:AE2669" si="1374">IF(AF2603="null", "null", "propriedade")</f>
        <v>null</v>
      </c>
      <c r="AF2603" s="75" t="s">
        <v>0</v>
      </c>
      <c r="AG2603" s="38" t="s">
        <v>9454</v>
      </c>
    </row>
    <row r="2604" spans="1:33" ht="6" customHeight="1" x14ac:dyDescent="0.4">
      <c r="A2604" s="4">
        <f>ROW()</f>
        <v>2604</v>
      </c>
      <c r="B2604" s="9" t="s">
        <v>27</v>
      </c>
      <c r="C2604" s="44" t="str">
        <f t="shared" ref="C2604:C2606" si="1375">SUBSTITUTE(F2604,"d.","p.")</f>
        <v>p.temporalizar</v>
      </c>
      <c r="D2604" s="6" t="str">
        <f t="shared" si="1355"/>
        <v>é.periodicidade</v>
      </c>
      <c r="E2604" s="8" t="s">
        <v>28</v>
      </c>
      <c r="F2604" s="34" t="str">
        <f>F2602</f>
        <v>d.temporalizar</v>
      </c>
      <c r="G2604" s="14" t="s">
        <v>61</v>
      </c>
      <c r="H2604" s="33" t="s">
        <v>1581</v>
      </c>
      <c r="I2604" s="92" t="str">
        <f t="shared" si="1346"/>
        <v>null</v>
      </c>
      <c r="J2604" s="82" t="s">
        <v>0</v>
      </c>
      <c r="K2604" s="82" t="s">
        <v>0</v>
      </c>
      <c r="L2604" s="80" t="s">
        <v>0</v>
      </c>
      <c r="M2604" s="82" t="s">
        <v>0</v>
      </c>
      <c r="N2604" s="80" t="s">
        <v>0</v>
      </c>
      <c r="O2604" s="82" t="s">
        <v>0</v>
      </c>
      <c r="P2604" s="82" t="s">
        <v>0</v>
      </c>
      <c r="Q2604" s="82" t="s">
        <v>0</v>
      </c>
      <c r="R2604" s="84" t="s">
        <v>0</v>
      </c>
      <c r="S2604" s="10" t="s">
        <v>1</v>
      </c>
      <c r="T2604" s="10" t="s">
        <v>10221</v>
      </c>
      <c r="U2604" s="5" t="str">
        <f t="shared" si="1350"/>
        <v>Propriedade destinada a temporalizar: é.periodicidade</v>
      </c>
      <c r="V2604" s="5" t="str">
        <f t="shared" si="1351"/>
        <v>Dado para temporalizar:  periodicidade  Deve ser formatado como (rdfs:Literal  or  xsd:string)</v>
      </c>
      <c r="W2604" s="69" t="s">
        <v>6429</v>
      </c>
      <c r="X2604" s="17" t="str">
        <f t="shared" si="1353"/>
        <v>d.tempo.116</v>
      </c>
      <c r="Y2604" s="17" t="str">
        <f t="shared" si="1354"/>
        <v>Ação de temporalizar</v>
      </c>
      <c r="Z2604" s="62" t="s">
        <v>2769</v>
      </c>
      <c r="AA2604" s="18" t="str">
        <f t="shared" si="1372"/>
        <v>null</v>
      </c>
      <c r="AB2604" s="19" t="s">
        <v>0</v>
      </c>
      <c r="AC2604" s="18" t="str">
        <f t="shared" si="1373"/>
        <v>null</v>
      </c>
      <c r="AD2604" s="19" t="s">
        <v>0</v>
      </c>
      <c r="AE2604" s="18" t="str">
        <f t="shared" ref="AE2604:AE2606" si="1376">IF(AF2604="null", "null", "propriedade")</f>
        <v>null</v>
      </c>
      <c r="AF2604" s="75" t="s">
        <v>0</v>
      </c>
      <c r="AG2604" s="38" t="s">
        <v>9455</v>
      </c>
    </row>
    <row r="2605" spans="1:33" ht="6" customHeight="1" x14ac:dyDescent="0.4">
      <c r="A2605" s="4">
        <f>ROW()</f>
        <v>2605</v>
      </c>
      <c r="B2605" s="9" t="s">
        <v>27</v>
      </c>
      <c r="C2605" s="44" t="str">
        <f t="shared" ref="C2605" si="1377">SUBSTITUTE(F2605,"d.","p.")</f>
        <v>p.temporalizar</v>
      </c>
      <c r="D2605" s="6" t="str">
        <f t="shared" si="1355"/>
        <v>é.tempo.de.cura.inicial</v>
      </c>
      <c r="E2605" s="8" t="s">
        <v>28</v>
      </c>
      <c r="F2605" s="34" t="str">
        <f t="shared" ref="F2605:F2608" si="1378">F2603</f>
        <v>d.temporalizar</v>
      </c>
      <c r="G2605" s="14" t="s">
        <v>3393</v>
      </c>
      <c r="H2605" s="33" t="s">
        <v>305</v>
      </c>
      <c r="I2605" s="92" t="str">
        <f t="shared" si="1346"/>
        <v>null</v>
      </c>
      <c r="J2605" s="82" t="s">
        <v>0</v>
      </c>
      <c r="K2605" s="82" t="s">
        <v>0</v>
      </c>
      <c r="L2605" s="80" t="s">
        <v>0</v>
      </c>
      <c r="M2605" s="82" t="s">
        <v>0</v>
      </c>
      <c r="N2605" s="80" t="s">
        <v>0</v>
      </c>
      <c r="O2605" s="82" t="s">
        <v>0</v>
      </c>
      <c r="P2605" s="82" t="s">
        <v>0</v>
      </c>
      <c r="Q2605" s="82" t="s">
        <v>0</v>
      </c>
      <c r="R2605" s="84" t="s">
        <v>0</v>
      </c>
      <c r="S2605" s="10" t="s">
        <v>1</v>
      </c>
      <c r="T2605" s="10" t="s">
        <v>10221</v>
      </c>
      <c r="U2605" s="5" t="str">
        <f t="shared" si="1350"/>
        <v>Propriedade destinada a temporalizar: é.tempo.de.cura.inicial</v>
      </c>
      <c r="V2605" s="5" t="str">
        <f t="shared" si="1351"/>
        <v>Dado para temporalizar:  tempo.de.cura.inicial  Deve ser formatado como (xsd:dayTimeDuration)</v>
      </c>
      <c r="W2605" s="69" t="s">
        <v>6430</v>
      </c>
      <c r="X2605" s="17" t="str">
        <f t="shared" si="1353"/>
        <v>d.tempo.117</v>
      </c>
      <c r="Y2605" s="17" t="str">
        <f t="shared" si="1354"/>
        <v>Ação de temporalizar</v>
      </c>
      <c r="Z2605" s="62" t="s">
        <v>3396</v>
      </c>
      <c r="AA2605" s="18" t="str">
        <f t="shared" ref="AA2605" si="1379">IF(AB2605="null", "null", "categoria.revit")</f>
        <v>null</v>
      </c>
      <c r="AB2605" s="19" t="s">
        <v>0</v>
      </c>
      <c r="AC2605" s="18" t="str">
        <f t="shared" ref="AC2605" si="1380">IF(AD2605="null", "null", "classe.ifc")</f>
        <v>null</v>
      </c>
      <c r="AD2605" s="19" t="s">
        <v>0</v>
      </c>
      <c r="AE2605" s="18" t="str">
        <f t="shared" ref="AE2605" si="1381">IF(AF2605="null", "null", "propriedade")</f>
        <v>propriedade</v>
      </c>
      <c r="AF2605" s="75" t="s">
        <v>3398</v>
      </c>
      <c r="AG2605" s="38" t="s">
        <v>9456</v>
      </c>
    </row>
    <row r="2606" spans="1:33" ht="6" customHeight="1" x14ac:dyDescent="0.4">
      <c r="A2606" s="4">
        <f>ROW()</f>
        <v>2606</v>
      </c>
      <c r="B2606" s="9" t="s">
        <v>27</v>
      </c>
      <c r="C2606" s="44" t="str">
        <f t="shared" si="1375"/>
        <v>p.temporalizar</v>
      </c>
      <c r="D2606" s="6" t="str">
        <f t="shared" si="1355"/>
        <v>é.tempo.de.cura.total</v>
      </c>
      <c r="E2606" s="8" t="s">
        <v>28</v>
      </c>
      <c r="F2606" s="34" t="str">
        <f t="shared" si="1378"/>
        <v>d.temporalizar</v>
      </c>
      <c r="G2606" s="14" t="s">
        <v>3392</v>
      </c>
      <c r="H2606" s="33" t="s">
        <v>305</v>
      </c>
      <c r="I2606" s="92" t="str">
        <f t="shared" si="1346"/>
        <v>null</v>
      </c>
      <c r="J2606" s="82" t="s">
        <v>0</v>
      </c>
      <c r="K2606" s="82" t="s">
        <v>0</v>
      </c>
      <c r="L2606" s="80" t="s">
        <v>0</v>
      </c>
      <c r="M2606" s="82" t="s">
        <v>0</v>
      </c>
      <c r="N2606" s="80" t="s">
        <v>0</v>
      </c>
      <c r="O2606" s="82" t="s">
        <v>0</v>
      </c>
      <c r="P2606" s="82" t="s">
        <v>0</v>
      </c>
      <c r="Q2606" s="82" t="s">
        <v>0</v>
      </c>
      <c r="R2606" s="84" t="s">
        <v>0</v>
      </c>
      <c r="S2606" s="10" t="s">
        <v>1</v>
      </c>
      <c r="T2606" s="10" t="s">
        <v>10221</v>
      </c>
      <c r="U2606" s="5" t="str">
        <f t="shared" si="1350"/>
        <v>Propriedade destinada a temporalizar: é.tempo.de.cura.total</v>
      </c>
      <c r="V2606" s="5" t="str">
        <f t="shared" si="1351"/>
        <v>Dado para temporalizar:  tempo.de.cura.total  Deve ser formatado como (xsd:dayTimeDuration)</v>
      </c>
      <c r="W2606" s="69" t="s">
        <v>6431</v>
      </c>
      <c r="X2606" s="17" t="str">
        <f t="shared" si="1353"/>
        <v>d.tempo.118</v>
      </c>
      <c r="Y2606" s="17" t="str">
        <f t="shared" si="1354"/>
        <v>Ação de temporalizar</v>
      </c>
      <c r="Z2606" s="62" t="s">
        <v>3397</v>
      </c>
      <c r="AA2606" s="18" t="str">
        <f t="shared" si="1372"/>
        <v>null</v>
      </c>
      <c r="AB2606" s="19" t="s">
        <v>0</v>
      </c>
      <c r="AC2606" s="18" t="str">
        <f t="shared" si="1373"/>
        <v>null</v>
      </c>
      <c r="AD2606" s="19" t="s">
        <v>0</v>
      </c>
      <c r="AE2606" s="18" t="str">
        <f t="shared" si="1376"/>
        <v>propriedade</v>
      </c>
      <c r="AF2606" s="75" t="s">
        <v>3398</v>
      </c>
      <c r="AG2606" s="38" t="s">
        <v>9457</v>
      </c>
    </row>
    <row r="2607" spans="1:33" ht="6" customHeight="1" x14ac:dyDescent="0.4">
      <c r="A2607" s="4">
        <f>ROW()</f>
        <v>2607</v>
      </c>
      <c r="B2607" s="9" t="s">
        <v>27</v>
      </c>
      <c r="C2607" s="44" t="str">
        <f t="shared" ref="C2607" si="1382">SUBSTITUTE(F2607,"d.","p.")</f>
        <v>p.temporalizar</v>
      </c>
      <c r="D2607" s="6" t="str">
        <f t="shared" si="1355"/>
        <v>é.tempo.de.espera</v>
      </c>
      <c r="E2607" s="8" t="s">
        <v>28</v>
      </c>
      <c r="F2607" s="34" t="str">
        <f t="shared" si="1378"/>
        <v>d.temporalizar</v>
      </c>
      <c r="G2607" s="14" t="s">
        <v>3390</v>
      </c>
      <c r="H2607" s="33" t="s">
        <v>305</v>
      </c>
      <c r="I2607" s="92" t="str">
        <f t="shared" si="1346"/>
        <v>null</v>
      </c>
      <c r="J2607" s="82" t="s">
        <v>0</v>
      </c>
      <c r="K2607" s="82" t="s">
        <v>0</v>
      </c>
      <c r="L2607" s="80" t="s">
        <v>0</v>
      </c>
      <c r="M2607" s="82" t="s">
        <v>0</v>
      </c>
      <c r="N2607" s="80" t="s">
        <v>0</v>
      </c>
      <c r="O2607" s="82" t="s">
        <v>0</v>
      </c>
      <c r="P2607" s="82" t="s">
        <v>0</v>
      </c>
      <c r="Q2607" s="82" t="s">
        <v>0</v>
      </c>
      <c r="R2607" s="84" t="s">
        <v>0</v>
      </c>
      <c r="S2607" s="10" t="s">
        <v>1</v>
      </c>
      <c r="T2607" s="10" t="s">
        <v>10221</v>
      </c>
      <c r="U2607" s="5" t="str">
        <f t="shared" si="1350"/>
        <v>Propriedade destinada a temporalizar: é.tempo.de.espera</v>
      </c>
      <c r="V2607" s="5" t="str">
        <f t="shared" si="1351"/>
        <v>Dado para temporalizar:  tempo.de.espera  Deve ser formatado como (xsd:dayTimeDuration)</v>
      </c>
      <c r="W2607" s="69" t="s">
        <v>6432</v>
      </c>
      <c r="X2607" s="17" t="str">
        <f t="shared" si="1353"/>
        <v>d.tempo.119</v>
      </c>
      <c r="Y2607" s="17" t="str">
        <f t="shared" si="1354"/>
        <v>Ação de temporalizar</v>
      </c>
      <c r="Z2607" s="62" t="s">
        <v>3394</v>
      </c>
      <c r="AA2607" s="18" t="str">
        <f t="shared" ref="AA2607" si="1383">IF(AB2607="null", "null", "categoria.revit")</f>
        <v>null</v>
      </c>
      <c r="AB2607" s="19" t="s">
        <v>0</v>
      </c>
      <c r="AC2607" s="18" t="str">
        <f t="shared" ref="AC2607" si="1384">IF(AD2607="null", "null", "classe.ifc")</f>
        <v>null</v>
      </c>
      <c r="AD2607" s="19" t="s">
        <v>0</v>
      </c>
      <c r="AE2607" s="18" t="str">
        <f t="shared" ref="AE2607" si="1385">IF(AF2607="null", "null", "propriedade")</f>
        <v>propriedade</v>
      </c>
      <c r="AF2607" s="75" t="s">
        <v>3400</v>
      </c>
      <c r="AG2607" s="38" t="s">
        <v>9458</v>
      </c>
    </row>
    <row r="2608" spans="1:33" ht="6" customHeight="1" x14ac:dyDescent="0.4">
      <c r="A2608" s="4">
        <f>ROW()</f>
        <v>2608</v>
      </c>
      <c r="B2608" s="9" t="s">
        <v>27</v>
      </c>
      <c r="C2608" s="44" t="str">
        <f t="shared" si="1369"/>
        <v>p.temporalizar</v>
      </c>
      <c r="D2608" s="6" t="str">
        <f t="shared" si="1355"/>
        <v>é.tempo.de.secagem</v>
      </c>
      <c r="E2608" s="8" t="s">
        <v>28</v>
      </c>
      <c r="F2608" s="34" t="str">
        <f t="shared" si="1378"/>
        <v>d.temporalizar</v>
      </c>
      <c r="G2608" s="14" t="s">
        <v>3391</v>
      </c>
      <c r="H2608" s="33" t="s">
        <v>305</v>
      </c>
      <c r="I2608" s="92" t="str">
        <f t="shared" ref="I2608:I2671" si="1386">IF(OR(J2608="Functional",K2608="InverseFunctional"),"Functional","null")</f>
        <v>null</v>
      </c>
      <c r="J2608" s="82" t="s">
        <v>0</v>
      </c>
      <c r="K2608" s="82" t="s">
        <v>0</v>
      </c>
      <c r="L2608" s="80" t="s">
        <v>0</v>
      </c>
      <c r="M2608" s="82" t="s">
        <v>0</v>
      </c>
      <c r="N2608" s="80" t="s">
        <v>0</v>
      </c>
      <c r="O2608" s="82" t="s">
        <v>0</v>
      </c>
      <c r="P2608" s="82" t="s">
        <v>0</v>
      </c>
      <c r="Q2608" s="82" t="s">
        <v>0</v>
      </c>
      <c r="R2608" s="84" t="s">
        <v>0</v>
      </c>
      <c r="S2608" s="10" t="s">
        <v>1</v>
      </c>
      <c r="T2608" s="10" t="s">
        <v>10221</v>
      </c>
      <c r="U2608" s="5" t="str">
        <f t="shared" si="1350"/>
        <v>Propriedade destinada a temporalizar: é.tempo.de.secagem</v>
      </c>
      <c r="V2608" s="5" t="str">
        <f t="shared" si="1351"/>
        <v>Dado para temporalizar:  tempo.de.secagem  Deve ser formatado como (xsd:dayTimeDuration)</v>
      </c>
      <c r="W2608" s="69" t="s">
        <v>6433</v>
      </c>
      <c r="X2608" s="17" t="str">
        <f t="shared" si="1353"/>
        <v>d.tempo.120</v>
      </c>
      <c r="Y2608" s="17" t="str">
        <f t="shared" si="1354"/>
        <v>Ação de temporalizar</v>
      </c>
      <c r="Z2608" s="62" t="s">
        <v>3395</v>
      </c>
      <c r="AA2608" s="18" t="str">
        <f t="shared" ref="AA2608:AA2611" si="1387">IF(AB2608="null", "null", "categoria.revit")</f>
        <v>null</v>
      </c>
      <c r="AB2608" s="19" t="s">
        <v>0</v>
      </c>
      <c r="AC2608" s="18" t="str">
        <f t="shared" ref="AC2608:AC2611" si="1388">IF(AD2608="null", "null", "classe.ifc")</f>
        <v>null</v>
      </c>
      <c r="AD2608" s="19" t="s">
        <v>0</v>
      </c>
      <c r="AE2608" s="18" t="str">
        <f t="shared" si="1374"/>
        <v>propriedade</v>
      </c>
      <c r="AF2608" s="75" t="s">
        <v>3399</v>
      </c>
      <c r="AG2608" s="38" t="s">
        <v>9459</v>
      </c>
    </row>
    <row r="2609" spans="1:33" ht="6" customHeight="1" x14ac:dyDescent="0.4">
      <c r="A2609" s="4">
        <f>ROW()</f>
        <v>2609</v>
      </c>
      <c r="B2609" s="9" t="s">
        <v>27</v>
      </c>
      <c r="C2609" s="43" t="str">
        <f t="shared" si="1369"/>
        <v>p.transitar</v>
      </c>
      <c r="D2609" s="6" t="str">
        <f t="shared" si="1355"/>
        <v>é.caminho</v>
      </c>
      <c r="E2609" s="8" t="s">
        <v>28</v>
      </c>
      <c r="F2609" s="41" t="s">
        <v>2241</v>
      </c>
      <c r="G2609" s="16" t="s">
        <v>2889</v>
      </c>
      <c r="H2609" s="33" t="s">
        <v>1581</v>
      </c>
      <c r="I2609" s="92" t="str">
        <f t="shared" si="1386"/>
        <v>null</v>
      </c>
      <c r="J2609" s="80" t="s">
        <v>0</v>
      </c>
      <c r="K2609" s="82" t="s">
        <v>0</v>
      </c>
      <c r="L2609" s="82" t="s">
        <v>0</v>
      </c>
      <c r="M2609" s="82" t="s">
        <v>0</v>
      </c>
      <c r="N2609" s="82" t="s">
        <v>0</v>
      </c>
      <c r="O2609" s="82" t="s">
        <v>0</v>
      </c>
      <c r="P2609" s="82" t="s">
        <v>0</v>
      </c>
      <c r="Q2609" s="82" t="s">
        <v>0</v>
      </c>
      <c r="R2609" s="84" t="s">
        <v>0</v>
      </c>
      <c r="S2609" s="10" t="s">
        <v>1</v>
      </c>
      <c r="T2609" s="10" t="s">
        <v>10221</v>
      </c>
      <c r="U2609" s="5" t="str">
        <f t="shared" si="1350"/>
        <v>Propriedade destinada a transitar: é.caminho</v>
      </c>
      <c r="V2609" s="5" t="str">
        <f t="shared" si="1351"/>
        <v>Dado para transitar:  caminho  Deve ser formatado como (rdfs:Literal  or  xsd:string)</v>
      </c>
      <c r="W2609" s="69" t="s">
        <v>4728</v>
      </c>
      <c r="X2609" s="17" t="str">
        <f t="shared" si="1353"/>
        <v>d.trans.100</v>
      </c>
      <c r="Y2609" s="17" t="str">
        <f t="shared" si="1354"/>
        <v>Ação de transitar</v>
      </c>
      <c r="Z2609" s="62" t="s">
        <v>4812</v>
      </c>
      <c r="AA2609" s="18" t="str">
        <f t="shared" si="1387"/>
        <v>categoria.revit</v>
      </c>
      <c r="AB2609" s="19" t="s">
        <v>2132</v>
      </c>
      <c r="AC2609" s="18" t="str">
        <f t="shared" si="1388"/>
        <v>classe.ifc</v>
      </c>
      <c r="AD2609" s="19" t="s">
        <v>2072</v>
      </c>
      <c r="AE2609" s="18" t="str">
        <f t="shared" si="1374"/>
        <v>null</v>
      </c>
      <c r="AF2609" s="75" t="s">
        <v>0</v>
      </c>
      <c r="AG2609" s="38" t="s">
        <v>9460</v>
      </c>
    </row>
    <row r="2610" spans="1:33" ht="6" customHeight="1" x14ac:dyDescent="0.4">
      <c r="A2610" s="4">
        <f>ROW()</f>
        <v>2610</v>
      </c>
      <c r="B2610" s="9" t="s">
        <v>27</v>
      </c>
      <c r="C2610" s="44" t="str">
        <f t="shared" si="1369"/>
        <v>p.transitar</v>
      </c>
      <c r="D2610" s="6" t="str">
        <f t="shared" si="1355"/>
        <v>é.eixo.de.carga</v>
      </c>
      <c r="E2610" s="8" t="s">
        <v>28</v>
      </c>
      <c r="F2610" s="34" t="str">
        <f t="shared" ref="F2610:F2613" si="1389">F2609</f>
        <v>d.transitar</v>
      </c>
      <c r="G2610" s="16" t="s">
        <v>1525</v>
      </c>
      <c r="H2610" s="33" t="s">
        <v>1581</v>
      </c>
      <c r="I2610" s="92" t="str">
        <f t="shared" si="1386"/>
        <v>null</v>
      </c>
      <c r="J2610" s="80" t="s">
        <v>0</v>
      </c>
      <c r="K2610" s="82" t="s">
        <v>0</v>
      </c>
      <c r="L2610" s="82" t="s">
        <v>0</v>
      </c>
      <c r="M2610" s="82" t="s">
        <v>0</v>
      </c>
      <c r="N2610" s="82" t="s">
        <v>0</v>
      </c>
      <c r="O2610" s="82" t="s">
        <v>0</v>
      </c>
      <c r="P2610" s="82" t="s">
        <v>0</v>
      </c>
      <c r="Q2610" s="82" t="s">
        <v>0</v>
      </c>
      <c r="R2610" s="84" t="s">
        <v>0</v>
      </c>
      <c r="S2610" s="10" t="s">
        <v>1</v>
      </c>
      <c r="T2610" s="10" t="s">
        <v>10221</v>
      </c>
      <c r="U2610" s="5" t="str">
        <f t="shared" si="1350"/>
        <v>Propriedade destinada a transitar: é.eixo.de.carga</v>
      </c>
      <c r="V2610" s="5" t="str">
        <f t="shared" si="1351"/>
        <v>Dado para transitar:  eixo.de.carga  Deve ser formatado como (rdfs:Literal  or  xsd:string)</v>
      </c>
      <c r="W2610" s="69" t="s">
        <v>6434</v>
      </c>
      <c r="X2610" s="17" t="str">
        <f t="shared" si="1353"/>
        <v>d.trans.101</v>
      </c>
      <c r="Y2610" s="17" t="str">
        <f t="shared" si="1354"/>
        <v>Ação de transitar</v>
      </c>
      <c r="Z2610" s="62" t="s">
        <v>4813</v>
      </c>
      <c r="AA2610" s="18" t="str">
        <f t="shared" si="1387"/>
        <v>categoria.revit</v>
      </c>
      <c r="AB2610" s="19" t="s">
        <v>2132</v>
      </c>
      <c r="AC2610" s="18" t="str">
        <f t="shared" si="1388"/>
        <v>classe.ifc</v>
      </c>
      <c r="AD2610" s="19" t="s">
        <v>2072</v>
      </c>
      <c r="AE2610" s="18" t="str">
        <f t="shared" si="1374"/>
        <v>null</v>
      </c>
      <c r="AF2610" s="75" t="s">
        <v>0</v>
      </c>
      <c r="AG2610" s="38" t="s">
        <v>9461</v>
      </c>
    </row>
    <row r="2611" spans="1:33" ht="6" customHeight="1" x14ac:dyDescent="0.4">
      <c r="A2611" s="4">
        <f>ROW()</f>
        <v>2611</v>
      </c>
      <c r="B2611" s="9" t="s">
        <v>27</v>
      </c>
      <c r="C2611" s="44" t="str">
        <f t="shared" si="1369"/>
        <v>p.transitar</v>
      </c>
      <c r="D2611" s="6" t="str">
        <f t="shared" si="1355"/>
        <v>é.largura.efetiva</v>
      </c>
      <c r="E2611" s="8" t="s">
        <v>28</v>
      </c>
      <c r="F2611" s="34" t="str">
        <f t="shared" si="1389"/>
        <v>d.transitar</v>
      </c>
      <c r="G2611" s="16" t="s">
        <v>1526</v>
      </c>
      <c r="H2611" s="33" t="s">
        <v>35</v>
      </c>
      <c r="I2611" s="92" t="str">
        <f t="shared" si="1386"/>
        <v>null</v>
      </c>
      <c r="J2611" s="80" t="s">
        <v>0</v>
      </c>
      <c r="K2611" s="82" t="s">
        <v>0</v>
      </c>
      <c r="L2611" s="82" t="s">
        <v>0</v>
      </c>
      <c r="M2611" s="82" t="s">
        <v>0</v>
      </c>
      <c r="N2611" s="82" t="s">
        <v>0</v>
      </c>
      <c r="O2611" s="82" t="s">
        <v>0</v>
      </c>
      <c r="P2611" s="82" t="s">
        <v>0</v>
      </c>
      <c r="Q2611" s="82" t="s">
        <v>0</v>
      </c>
      <c r="R2611" s="84" t="s">
        <v>0</v>
      </c>
      <c r="S2611" s="10" t="s">
        <v>1</v>
      </c>
      <c r="T2611" s="10" t="s">
        <v>10221</v>
      </c>
      <c r="U2611" s="5" t="str">
        <f t="shared" si="1350"/>
        <v>Propriedade destinada a transitar: é.largura.efetiva</v>
      </c>
      <c r="V2611" s="5" t="str">
        <f t="shared" si="1351"/>
        <v>Dado para transitar:  largura.efetiva  Deve ser formatado como (xsd:double)</v>
      </c>
      <c r="W2611" s="69" t="s">
        <v>6435</v>
      </c>
      <c r="X2611" s="17" t="str">
        <f t="shared" si="1353"/>
        <v>d.trans.102</v>
      </c>
      <c r="Y2611" s="17" t="str">
        <f t="shared" si="1354"/>
        <v>Ação de transitar</v>
      </c>
      <c r="Z2611" s="62" t="s">
        <v>4814</v>
      </c>
      <c r="AA2611" s="18" t="str">
        <f t="shared" si="1387"/>
        <v>categoria.revit</v>
      </c>
      <c r="AB2611" s="19" t="s">
        <v>2132</v>
      </c>
      <c r="AC2611" s="18" t="str">
        <f t="shared" si="1388"/>
        <v>classe.ifc</v>
      </c>
      <c r="AD2611" s="19" t="s">
        <v>2072</v>
      </c>
      <c r="AE2611" s="18" t="str">
        <f t="shared" si="1374"/>
        <v>null</v>
      </c>
      <c r="AF2611" s="75" t="s">
        <v>0</v>
      </c>
      <c r="AG2611" s="38" t="s">
        <v>9462</v>
      </c>
    </row>
    <row r="2612" spans="1:33" ht="6" customHeight="1" x14ac:dyDescent="0.4">
      <c r="A2612" s="4">
        <f>ROW()</f>
        <v>2612</v>
      </c>
      <c r="B2612" s="9" t="s">
        <v>27</v>
      </c>
      <c r="C2612" s="44" t="str">
        <f t="shared" si="1369"/>
        <v>p.transitar</v>
      </c>
      <c r="D2612" s="6" t="str">
        <f t="shared" si="1355"/>
        <v>é.vão</v>
      </c>
      <c r="E2612" s="8" t="s">
        <v>28</v>
      </c>
      <c r="F2612" s="34" t="str">
        <f t="shared" si="1389"/>
        <v>d.transitar</v>
      </c>
      <c r="G2612" s="16" t="s">
        <v>1529</v>
      </c>
      <c r="H2612" s="33" t="s">
        <v>35</v>
      </c>
      <c r="I2612" s="92" t="str">
        <f t="shared" si="1386"/>
        <v>null</v>
      </c>
      <c r="J2612" s="80" t="s">
        <v>0</v>
      </c>
      <c r="K2612" s="82" t="s">
        <v>0</v>
      </c>
      <c r="L2612" s="82" t="s">
        <v>0</v>
      </c>
      <c r="M2612" s="82" t="s">
        <v>0</v>
      </c>
      <c r="N2612" s="82" t="s">
        <v>0</v>
      </c>
      <c r="O2612" s="82" t="s">
        <v>0</v>
      </c>
      <c r="P2612" s="82" t="s">
        <v>0</v>
      </c>
      <c r="Q2612" s="82" t="s">
        <v>0</v>
      </c>
      <c r="R2612" s="84" t="s">
        <v>0</v>
      </c>
      <c r="S2612" s="10" t="s">
        <v>1</v>
      </c>
      <c r="T2612" s="10" t="s">
        <v>10221</v>
      </c>
      <c r="U2612" s="5" t="str">
        <f t="shared" si="1350"/>
        <v>Propriedade destinada a transitar: é.vão</v>
      </c>
      <c r="V2612" s="5" t="str">
        <f t="shared" si="1351"/>
        <v>Dado para transitar:  vão  Deve ser formatado como (xsd:double)</v>
      </c>
      <c r="W2612" s="69" t="s">
        <v>6436</v>
      </c>
      <c r="X2612" s="17" t="str">
        <f t="shared" si="1353"/>
        <v>d.trans.103</v>
      </c>
      <c r="Y2612" s="17" t="str">
        <f t="shared" si="1354"/>
        <v>Ação de transitar</v>
      </c>
      <c r="Z2612" s="62" t="s">
        <v>4815</v>
      </c>
      <c r="AA2612" s="18" t="str">
        <f t="shared" ref="AA2612" si="1390">IF(AB2612="null", "null", "categoria.revit")</f>
        <v>categoria.revit</v>
      </c>
      <c r="AB2612" s="19" t="s">
        <v>2132</v>
      </c>
      <c r="AC2612" s="18" t="str">
        <f t="shared" ref="AC2612" si="1391">IF(AD2612="null", "null", "classe.ifc")</f>
        <v>classe.ifc</v>
      </c>
      <c r="AD2612" s="19" t="s">
        <v>2072</v>
      </c>
      <c r="AE2612" s="18" t="str">
        <f t="shared" si="1374"/>
        <v>null</v>
      </c>
      <c r="AF2612" s="75" t="s">
        <v>0</v>
      </c>
      <c r="AG2612" s="38" t="s">
        <v>9463</v>
      </c>
    </row>
    <row r="2613" spans="1:33" ht="6" customHeight="1" x14ac:dyDescent="0.4">
      <c r="A2613" s="4">
        <f>ROW()</f>
        <v>2613</v>
      </c>
      <c r="B2613" s="9" t="s">
        <v>27</v>
      </c>
      <c r="C2613" s="44" t="str">
        <f t="shared" si="1369"/>
        <v>p.transitar</v>
      </c>
      <c r="D2613" s="6" t="str">
        <f t="shared" si="1355"/>
        <v>é.vão.livre</v>
      </c>
      <c r="E2613" s="8" t="s">
        <v>28</v>
      </c>
      <c r="F2613" s="34" t="str">
        <f t="shared" si="1389"/>
        <v>d.transitar</v>
      </c>
      <c r="G2613" s="16" t="s">
        <v>1528</v>
      </c>
      <c r="H2613" s="33" t="s">
        <v>35</v>
      </c>
      <c r="I2613" s="92" t="str">
        <f t="shared" si="1386"/>
        <v>null</v>
      </c>
      <c r="J2613" s="80" t="s">
        <v>0</v>
      </c>
      <c r="K2613" s="82" t="s">
        <v>0</v>
      </c>
      <c r="L2613" s="82" t="s">
        <v>0</v>
      </c>
      <c r="M2613" s="82" t="s">
        <v>0</v>
      </c>
      <c r="N2613" s="82" t="s">
        <v>0</v>
      </c>
      <c r="O2613" s="82" t="s">
        <v>0</v>
      </c>
      <c r="P2613" s="82" t="s">
        <v>0</v>
      </c>
      <c r="Q2613" s="82" t="s">
        <v>0</v>
      </c>
      <c r="R2613" s="84" t="s">
        <v>0</v>
      </c>
      <c r="S2613" s="10" t="s">
        <v>1</v>
      </c>
      <c r="T2613" s="10" t="s">
        <v>10221</v>
      </c>
      <c r="U2613" s="5" t="str">
        <f t="shared" si="1350"/>
        <v>Propriedade destinada a transitar: é.vão.livre</v>
      </c>
      <c r="V2613" s="5" t="str">
        <f t="shared" si="1351"/>
        <v>Dado para transitar:  vão.livre  Deve ser formatado como (xsd:double)</v>
      </c>
      <c r="W2613" s="69" t="s">
        <v>6437</v>
      </c>
      <c r="X2613" s="17" t="str">
        <f t="shared" si="1353"/>
        <v>d.trans.104</v>
      </c>
      <c r="Y2613" s="17" t="str">
        <f t="shared" si="1354"/>
        <v>Ação de transitar</v>
      </c>
      <c r="Z2613" s="62" t="s">
        <v>4816</v>
      </c>
      <c r="AA2613" s="18" t="str">
        <f>IF(AB2613="null", "null", "categoria.revit")</f>
        <v>categoria.revit</v>
      </c>
      <c r="AB2613" s="19" t="s">
        <v>2132</v>
      </c>
      <c r="AC2613" s="18" t="str">
        <f>IF(AD2613="null", "null", "classe.ifc")</f>
        <v>classe.ifc</v>
      </c>
      <c r="AD2613" s="19" t="s">
        <v>2072</v>
      </c>
      <c r="AE2613" s="18" t="str">
        <f t="shared" si="1374"/>
        <v>null</v>
      </c>
      <c r="AF2613" s="75" t="s">
        <v>0</v>
      </c>
      <c r="AG2613" s="38" t="s">
        <v>9464</v>
      </c>
    </row>
    <row r="2614" spans="1:33" ht="6" customHeight="1" x14ac:dyDescent="0.4">
      <c r="A2614" s="4">
        <f>ROW()</f>
        <v>2614</v>
      </c>
      <c r="B2614" s="9" t="s">
        <v>27</v>
      </c>
      <c r="C2614" s="44" t="str">
        <f t="shared" si="1369"/>
        <v>p.transitar</v>
      </c>
      <c r="D2614" s="6" t="str">
        <f t="shared" si="1355"/>
        <v>é.veículo.tipo</v>
      </c>
      <c r="E2614" s="8" t="s">
        <v>28</v>
      </c>
      <c r="F2614" s="34" t="str">
        <f>F2613</f>
        <v>d.transitar</v>
      </c>
      <c r="G2614" s="16" t="s">
        <v>1527</v>
      </c>
      <c r="H2614" s="33" t="s">
        <v>1581</v>
      </c>
      <c r="I2614" s="92" t="str">
        <f t="shared" si="1386"/>
        <v>null</v>
      </c>
      <c r="J2614" s="80" t="s">
        <v>0</v>
      </c>
      <c r="K2614" s="82" t="s">
        <v>0</v>
      </c>
      <c r="L2614" s="82" t="s">
        <v>0</v>
      </c>
      <c r="M2614" s="82" t="s">
        <v>0</v>
      </c>
      <c r="N2614" s="82" t="s">
        <v>0</v>
      </c>
      <c r="O2614" s="82" t="s">
        <v>0</v>
      </c>
      <c r="P2614" s="82" t="s">
        <v>0</v>
      </c>
      <c r="Q2614" s="82" t="s">
        <v>0</v>
      </c>
      <c r="R2614" s="84" t="s">
        <v>0</v>
      </c>
      <c r="S2614" s="10" t="s">
        <v>1</v>
      </c>
      <c r="T2614" s="10" t="s">
        <v>10221</v>
      </c>
      <c r="U2614" s="5" t="str">
        <f t="shared" si="1350"/>
        <v>Propriedade destinada a transitar: é.veículo.tipo</v>
      </c>
      <c r="V2614" s="5" t="str">
        <f t="shared" si="1351"/>
        <v>Dado para transitar:  veículo.tipo  Deve ser formatado como (rdfs:Literal  or  xsd:string)</v>
      </c>
      <c r="W2614" s="69" t="s">
        <v>6438</v>
      </c>
      <c r="X2614" s="17" t="str">
        <f t="shared" si="1353"/>
        <v>d.trans.105</v>
      </c>
      <c r="Y2614" s="17" t="str">
        <f t="shared" si="1354"/>
        <v>Ação de transitar</v>
      </c>
      <c r="Z2614" s="62" t="s">
        <v>4817</v>
      </c>
      <c r="AA2614" s="18" t="str">
        <f>IF(AB2614="null", "null", "categoria.revit")</f>
        <v>categoria.revit</v>
      </c>
      <c r="AB2614" s="19" t="s">
        <v>2132</v>
      </c>
      <c r="AC2614" s="18" t="str">
        <f>IF(AD2614="null", "null", "classe.ifc")</f>
        <v>classe.ifc</v>
      </c>
      <c r="AD2614" s="19" t="s">
        <v>2072</v>
      </c>
      <c r="AE2614" s="18" t="str">
        <f t="shared" si="1374"/>
        <v>null</v>
      </c>
      <c r="AF2614" s="75" t="s">
        <v>0</v>
      </c>
      <c r="AG2614" s="38" t="s">
        <v>9465</v>
      </c>
    </row>
    <row r="2615" spans="1:33" ht="6" customHeight="1" x14ac:dyDescent="0.4">
      <c r="A2615" s="4">
        <f>ROW()</f>
        <v>2615</v>
      </c>
      <c r="B2615" s="9" t="s">
        <v>27</v>
      </c>
      <c r="C2615" s="43" t="str">
        <f t="shared" ref="C2615:C2676" si="1392">SUBSTITUTE(F2615,"d.","p.")</f>
        <v>p.urbanizar</v>
      </c>
      <c r="D2615" s="6" t="str">
        <f t="shared" si="1355"/>
        <v>é.afastamento.lateral</v>
      </c>
      <c r="E2615" s="8" t="s">
        <v>28</v>
      </c>
      <c r="F2615" s="41" t="s">
        <v>2242</v>
      </c>
      <c r="G2615" s="14" t="s">
        <v>962</v>
      </c>
      <c r="H2615" s="33" t="s">
        <v>35</v>
      </c>
      <c r="I2615" s="92" t="str">
        <f t="shared" si="1386"/>
        <v>null</v>
      </c>
      <c r="J2615" s="82" t="s">
        <v>0</v>
      </c>
      <c r="K2615" s="82" t="s">
        <v>0</v>
      </c>
      <c r="L2615" s="82" t="s">
        <v>0</v>
      </c>
      <c r="M2615" s="82" t="s">
        <v>0</v>
      </c>
      <c r="N2615" s="82" t="s">
        <v>0</v>
      </c>
      <c r="O2615" s="82" t="s">
        <v>0</v>
      </c>
      <c r="P2615" s="82" t="s">
        <v>0</v>
      </c>
      <c r="Q2615" s="82" t="s">
        <v>0</v>
      </c>
      <c r="R2615" s="84" t="s">
        <v>0</v>
      </c>
      <c r="S2615" s="10" t="s">
        <v>1</v>
      </c>
      <c r="T2615" s="10" t="s">
        <v>10221</v>
      </c>
      <c r="U2615" s="5" t="str">
        <f t="shared" si="1350"/>
        <v>Propriedade destinada a urbanizar: é.afastamento.lateral</v>
      </c>
      <c r="V2615" s="5" t="str">
        <f t="shared" si="1351"/>
        <v>Dado para urbanizar:  afastamento.lateral  Deve ser formatado como (xsd:double)</v>
      </c>
      <c r="W2615" s="69" t="s">
        <v>6439</v>
      </c>
      <c r="X2615" s="17" t="str">
        <f t="shared" si="1353"/>
        <v>d.urban.100</v>
      </c>
      <c r="Y2615" s="17" t="str">
        <f t="shared" si="1354"/>
        <v>Ação de urbanizar</v>
      </c>
      <c r="Z2615" s="62" t="s">
        <v>7298</v>
      </c>
      <c r="AA2615" s="18" t="str">
        <f t="shared" ref="AA2615:AA2698" si="1393">IF(AB2615="null", "null", "categoria.revit")</f>
        <v>null</v>
      </c>
      <c r="AB2615" s="19" t="s">
        <v>0</v>
      </c>
      <c r="AC2615" s="18" t="str">
        <f t="shared" ref="AC2615:AC2698" si="1394">IF(AD2615="null", "null", "classe.ifc")</f>
        <v>null</v>
      </c>
      <c r="AD2615" s="19" t="s">
        <v>0</v>
      </c>
      <c r="AE2615" s="18" t="str">
        <f t="shared" si="1374"/>
        <v>null</v>
      </c>
      <c r="AF2615" s="75" t="s">
        <v>0</v>
      </c>
      <c r="AG2615" s="38" t="s">
        <v>9466</v>
      </c>
    </row>
    <row r="2616" spans="1:33" ht="6" customHeight="1" x14ac:dyDescent="0.4">
      <c r="A2616" s="4">
        <f>ROW()</f>
        <v>2616</v>
      </c>
      <c r="B2616" s="9" t="s">
        <v>27</v>
      </c>
      <c r="C2616" s="44" t="str">
        <f t="shared" si="1392"/>
        <v>p.urbanizar</v>
      </c>
      <c r="D2616" s="6" t="str">
        <f t="shared" si="1355"/>
        <v>é.altura.média.predial</v>
      </c>
      <c r="E2616" s="8" t="s">
        <v>28</v>
      </c>
      <c r="F2616" s="34" t="str">
        <f t="shared" ref="F2616:F2634" si="1395">F2615</f>
        <v>d.urbanizar</v>
      </c>
      <c r="G2616" s="14" t="s">
        <v>7288</v>
      </c>
      <c r="H2616" s="33" t="s">
        <v>35</v>
      </c>
      <c r="I2616" s="92" t="str">
        <f t="shared" si="1386"/>
        <v>null</v>
      </c>
      <c r="J2616" s="82" t="s">
        <v>0</v>
      </c>
      <c r="K2616" s="82" t="s">
        <v>0</v>
      </c>
      <c r="L2616" s="82" t="s">
        <v>0</v>
      </c>
      <c r="M2616" s="82" t="s">
        <v>0</v>
      </c>
      <c r="N2616" s="82" t="s">
        <v>0</v>
      </c>
      <c r="O2616" s="82" t="s">
        <v>0</v>
      </c>
      <c r="P2616" s="82" t="s">
        <v>0</v>
      </c>
      <c r="Q2616" s="82" t="s">
        <v>0</v>
      </c>
      <c r="R2616" s="84" t="s">
        <v>0</v>
      </c>
      <c r="S2616" s="10" t="s">
        <v>1</v>
      </c>
      <c r="T2616" s="10" t="s">
        <v>10221</v>
      </c>
      <c r="U2616" s="5" t="str">
        <f t="shared" ref="U2616:U2688" si="1396">_xlfn.CONCAT("Propriedade destinada a ",MID(C2616,FIND("p.",C2616,1)+2,100),": ",D2616)</f>
        <v>Propriedade destinada a urbanizar: é.altura.média.predial</v>
      </c>
      <c r="V2616" s="5" t="str">
        <f t="shared" ref="V2616:V2688" si="1397">_xlfn.CONCAT("Dado para ",MID(F2616,FIND("d.",F2616,1)+2,100),":  ",G2616, "  Deve ser formatado como (",H2616, ")")</f>
        <v>Dado para urbanizar:  altura.média.predial  Deve ser formatado como (xsd:double)</v>
      </c>
      <c r="W2616" s="69" t="s">
        <v>7289</v>
      </c>
      <c r="X2616" s="17" t="str">
        <f t="shared" si="1353"/>
        <v>d.urban.101</v>
      </c>
      <c r="Y2616" s="17" t="str">
        <f t="shared" si="1354"/>
        <v>Ação de urbanizar</v>
      </c>
      <c r="Z2616" s="62" t="s">
        <v>7294</v>
      </c>
      <c r="AA2616" s="18" t="str">
        <f t="shared" si="1393"/>
        <v>null</v>
      </c>
      <c r="AB2616" s="19" t="s">
        <v>0</v>
      </c>
      <c r="AC2616" s="18" t="str">
        <f t="shared" si="1394"/>
        <v>null</v>
      </c>
      <c r="AD2616" s="19" t="s">
        <v>0</v>
      </c>
      <c r="AE2616" s="18" t="str">
        <f t="shared" si="1374"/>
        <v>null</v>
      </c>
      <c r="AF2616" s="75" t="s">
        <v>0</v>
      </c>
      <c r="AG2616" s="38" t="s">
        <v>9467</v>
      </c>
    </row>
    <row r="2617" spans="1:33" ht="6" customHeight="1" x14ac:dyDescent="0.4">
      <c r="A2617" s="4">
        <f>ROW()</f>
        <v>2617</v>
      </c>
      <c r="B2617" s="9" t="s">
        <v>27</v>
      </c>
      <c r="C2617" s="44" t="str">
        <f t="shared" si="1392"/>
        <v>p.urbanizar</v>
      </c>
      <c r="D2617" s="6" t="str">
        <f t="shared" si="1355"/>
        <v>é.área.de.planejamento</v>
      </c>
      <c r="E2617" s="8" t="s">
        <v>28</v>
      </c>
      <c r="F2617" s="34" t="str">
        <f t="shared" si="1395"/>
        <v>d.urbanizar</v>
      </c>
      <c r="G2617" s="14" t="s">
        <v>3054</v>
      </c>
      <c r="H2617" s="33" t="s">
        <v>1581</v>
      </c>
      <c r="I2617" s="92" t="str">
        <f t="shared" si="1386"/>
        <v>Functional</v>
      </c>
      <c r="J2617" s="82" t="s">
        <v>29</v>
      </c>
      <c r="K2617" s="82" t="s">
        <v>0</v>
      </c>
      <c r="L2617" s="82" t="s">
        <v>0</v>
      </c>
      <c r="M2617" s="82" t="s">
        <v>0</v>
      </c>
      <c r="N2617" s="80" t="s">
        <v>0</v>
      </c>
      <c r="O2617" s="82" t="s">
        <v>0</v>
      </c>
      <c r="P2617" s="82" t="s">
        <v>0</v>
      </c>
      <c r="Q2617" s="82" t="s">
        <v>0</v>
      </c>
      <c r="R2617" s="84" t="s">
        <v>0</v>
      </c>
      <c r="S2617" s="10" t="s">
        <v>1</v>
      </c>
      <c r="T2617" s="10" t="s">
        <v>10221</v>
      </c>
      <c r="U2617" s="5" t="str">
        <f t="shared" si="1396"/>
        <v>Propriedade destinada a urbanizar: é.área.de.planejamento</v>
      </c>
      <c r="V2617" s="5" t="str">
        <f t="shared" si="1397"/>
        <v>Dado para urbanizar:  área.de.planejamento  Deve ser formatado como (rdfs:Literal  or  xsd:string)</v>
      </c>
      <c r="W2617" s="69" t="s">
        <v>6440</v>
      </c>
      <c r="X2617" s="17" t="str">
        <f t="shared" si="1353"/>
        <v>d.urban.102</v>
      </c>
      <c r="Y2617" s="17" t="str">
        <f t="shared" si="1354"/>
        <v>Ação de urbanizar</v>
      </c>
      <c r="Z2617" s="62" t="s">
        <v>7293</v>
      </c>
      <c r="AA2617" s="18" t="str">
        <f t="shared" si="1393"/>
        <v>null</v>
      </c>
      <c r="AB2617" s="19" t="s">
        <v>0</v>
      </c>
      <c r="AC2617" s="18" t="str">
        <f t="shared" si="1394"/>
        <v>null</v>
      </c>
      <c r="AD2617" s="19" t="s">
        <v>0</v>
      </c>
      <c r="AE2617" s="18" t="str">
        <f t="shared" si="1374"/>
        <v>propriedade</v>
      </c>
      <c r="AF2617" s="75" t="s">
        <v>1846</v>
      </c>
      <c r="AG2617" s="38" t="s">
        <v>9468</v>
      </c>
    </row>
    <row r="2618" spans="1:33" ht="6" customHeight="1" x14ac:dyDescent="0.4">
      <c r="A2618" s="4">
        <f>ROW()</f>
        <v>2618</v>
      </c>
      <c r="B2618" s="9" t="s">
        <v>27</v>
      </c>
      <c r="C2618" s="44" t="str">
        <f t="shared" si="1392"/>
        <v>p.urbanizar</v>
      </c>
      <c r="D2618" s="6" t="str">
        <f t="shared" si="1355"/>
        <v>é.calor.antropogênico</v>
      </c>
      <c r="E2618" s="8" t="s">
        <v>28</v>
      </c>
      <c r="F2618" s="34" t="str">
        <f t="shared" si="1395"/>
        <v>d.urbanizar</v>
      </c>
      <c r="G2618" s="14" t="s">
        <v>3053</v>
      </c>
      <c r="H2618" s="33" t="s">
        <v>35</v>
      </c>
      <c r="I2618" s="92" t="str">
        <f t="shared" si="1386"/>
        <v>null</v>
      </c>
      <c r="J2618" s="82" t="s">
        <v>0</v>
      </c>
      <c r="K2618" s="82" t="s">
        <v>0</v>
      </c>
      <c r="L2618" s="82" t="s">
        <v>0</v>
      </c>
      <c r="M2618" s="82" t="s">
        <v>0</v>
      </c>
      <c r="N2618" s="82" t="s">
        <v>0</v>
      </c>
      <c r="O2618" s="82" t="s">
        <v>0</v>
      </c>
      <c r="P2618" s="82" t="s">
        <v>0</v>
      </c>
      <c r="Q2618" s="82" t="s">
        <v>0</v>
      </c>
      <c r="R2618" s="84" t="s">
        <v>0</v>
      </c>
      <c r="S2618" s="10" t="s">
        <v>1</v>
      </c>
      <c r="T2618" s="10" t="s">
        <v>10221</v>
      </c>
      <c r="U2618" s="5" t="str">
        <f t="shared" si="1396"/>
        <v>Propriedade destinada a urbanizar: é.calor.antropogênico</v>
      </c>
      <c r="V2618" s="5" t="str">
        <f t="shared" si="1397"/>
        <v>Dado para urbanizar:  calor.antropogênico  Deve ser formatado como (xsd:double)</v>
      </c>
      <c r="W2618" s="69" t="s">
        <v>7290</v>
      </c>
      <c r="X2618" s="17" t="str">
        <f t="shared" si="1353"/>
        <v>d.urban.103</v>
      </c>
      <c r="Y2618" s="17" t="str">
        <f t="shared" si="1354"/>
        <v>Ação de urbanizar</v>
      </c>
      <c r="Z2618" s="62" t="s">
        <v>7297</v>
      </c>
      <c r="AA2618" s="18" t="str">
        <f t="shared" si="1393"/>
        <v>null</v>
      </c>
      <c r="AB2618" s="19" t="s">
        <v>0</v>
      </c>
      <c r="AC2618" s="18" t="str">
        <f t="shared" si="1394"/>
        <v>null</v>
      </c>
      <c r="AD2618" s="19" t="s">
        <v>0</v>
      </c>
      <c r="AE2618" s="18" t="str">
        <f t="shared" si="1374"/>
        <v>null</v>
      </c>
      <c r="AF2618" s="75" t="s">
        <v>0</v>
      </c>
      <c r="AG2618" s="38" t="s">
        <v>9469</v>
      </c>
    </row>
    <row r="2619" spans="1:33" ht="6" customHeight="1" x14ac:dyDescent="0.4">
      <c r="A2619" s="4">
        <f>ROW()</f>
        <v>2619</v>
      </c>
      <c r="B2619" s="9" t="s">
        <v>27</v>
      </c>
      <c r="C2619" s="44" t="str">
        <f t="shared" si="1392"/>
        <v>p.urbanizar</v>
      </c>
      <c r="D2619" s="6" t="str">
        <f t="shared" si="1355"/>
        <v>é.cobertura.impermeável</v>
      </c>
      <c r="E2619" s="8" t="s">
        <v>28</v>
      </c>
      <c r="F2619" s="34" t="str">
        <f t="shared" si="1395"/>
        <v>d.urbanizar</v>
      </c>
      <c r="G2619" s="14" t="s">
        <v>963</v>
      </c>
      <c r="H2619" s="33" t="s">
        <v>1581</v>
      </c>
      <c r="I2619" s="92" t="str">
        <f t="shared" si="1386"/>
        <v>null</v>
      </c>
      <c r="J2619" s="82" t="s">
        <v>0</v>
      </c>
      <c r="K2619" s="82" t="s">
        <v>0</v>
      </c>
      <c r="L2619" s="82" t="s">
        <v>0</v>
      </c>
      <c r="M2619" s="82" t="s">
        <v>0</v>
      </c>
      <c r="N2619" s="82" t="s">
        <v>0</v>
      </c>
      <c r="O2619" s="82" t="s">
        <v>0</v>
      </c>
      <c r="P2619" s="82" t="s">
        <v>0</v>
      </c>
      <c r="Q2619" s="82" t="s">
        <v>0</v>
      </c>
      <c r="R2619" s="84" t="s">
        <v>0</v>
      </c>
      <c r="S2619" s="10" t="s">
        <v>1</v>
      </c>
      <c r="T2619" s="10" t="s">
        <v>10221</v>
      </c>
      <c r="U2619" s="5" t="str">
        <f t="shared" si="1396"/>
        <v>Propriedade destinada a urbanizar: é.cobertura.impermeável</v>
      </c>
      <c r="V2619" s="5" t="str">
        <f t="shared" si="1397"/>
        <v>Dado para urbanizar:  cobertura.impermeável  Deve ser formatado como (rdfs:Literal  or  xsd:string)</v>
      </c>
      <c r="W2619" s="69" t="s">
        <v>7291</v>
      </c>
      <c r="X2619" s="17" t="str">
        <f t="shared" si="1353"/>
        <v>d.urban.104</v>
      </c>
      <c r="Y2619" s="17" t="str">
        <f t="shared" si="1354"/>
        <v>Ação de urbanizar</v>
      </c>
      <c r="Z2619" s="62" t="s">
        <v>7295</v>
      </c>
      <c r="AA2619" s="18" t="str">
        <f t="shared" si="1393"/>
        <v>null</v>
      </c>
      <c r="AB2619" s="19" t="s">
        <v>0</v>
      </c>
      <c r="AC2619" s="18" t="str">
        <f t="shared" si="1394"/>
        <v>null</v>
      </c>
      <c r="AD2619" s="19" t="s">
        <v>0</v>
      </c>
      <c r="AE2619" s="18" t="str">
        <f t="shared" si="1374"/>
        <v>null</v>
      </c>
      <c r="AF2619" s="75" t="s">
        <v>0</v>
      </c>
      <c r="AG2619" s="38" t="s">
        <v>9470</v>
      </c>
    </row>
    <row r="2620" spans="1:33" ht="6" customHeight="1" x14ac:dyDescent="0.4">
      <c r="A2620" s="4">
        <f>ROW()</f>
        <v>2620</v>
      </c>
      <c r="B2620" s="9" t="s">
        <v>27</v>
      </c>
      <c r="C2620" s="44" t="str">
        <f t="shared" si="1392"/>
        <v>p.urbanizar</v>
      </c>
      <c r="D2620" s="6" t="str">
        <f t="shared" si="1355"/>
        <v>é.divisa</v>
      </c>
      <c r="E2620" s="8" t="s">
        <v>28</v>
      </c>
      <c r="F2620" s="34" t="str">
        <f t="shared" si="1395"/>
        <v>d.urbanizar</v>
      </c>
      <c r="G2620" s="14" t="s">
        <v>406</v>
      </c>
      <c r="H2620" s="33" t="s">
        <v>1581</v>
      </c>
      <c r="I2620" s="92" t="str">
        <f t="shared" si="1386"/>
        <v>null</v>
      </c>
      <c r="J2620" s="82" t="s">
        <v>0</v>
      </c>
      <c r="K2620" s="82" t="s">
        <v>0</v>
      </c>
      <c r="L2620" s="82" t="s">
        <v>0</v>
      </c>
      <c r="M2620" s="82" t="s">
        <v>0</v>
      </c>
      <c r="N2620" s="80" t="s">
        <v>0</v>
      </c>
      <c r="O2620" s="82" t="s">
        <v>0</v>
      </c>
      <c r="P2620" s="82" t="s">
        <v>0</v>
      </c>
      <c r="Q2620" s="82" t="s">
        <v>0</v>
      </c>
      <c r="R2620" s="84" t="s">
        <v>0</v>
      </c>
      <c r="S2620" s="10" t="s">
        <v>1</v>
      </c>
      <c r="T2620" s="10" t="s">
        <v>10221</v>
      </c>
      <c r="U2620" s="5" t="str">
        <f t="shared" si="1396"/>
        <v>Propriedade destinada a urbanizar: é.divisa</v>
      </c>
      <c r="V2620" s="5" t="str">
        <f t="shared" si="1397"/>
        <v>Dado para urbanizar:  divisa  Deve ser formatado como (rdfs:Literal  or  xsd:string)</v>
      </c>
      <c r="W2620" s="69" t="s">
        <v>6441</v>
      </c>
      <c r="X2620" s="17" t="str">
        <f t="shared" si="1353"/>
        <v>d.urban.105</v>
      </c>
      <c r="Y2620" s="17" t="str">
        <f t="shared" si="1354"/>
        <v>Ação de urbanizar</v>
      </c>
      <c r="Z2620" s="62" t="s">
        <v>2759</v>
      </c>
      <c r="AA2620" s="18" t="str">
        <f t="shared" si="1393"/>
        <v>categoria.revit</v>
      </c>
      <c r="AB2620" s="19" t="s">
        <v>2149</v>
      </c>
      <c r="AC2620" s="18" t="str">
        <f t="shared" si="1394"/>
        <v>classe.ifc</v>
      </c>
      <c r="AD2620" s="19" t="s">
        <v>2100</v>
      </c>
      <c r="AE2620" s="18" t="str">
        <f t="shared" si="1374"/>
        <v>null</v>
      </c>
      <c r="AF2620" s="75" t="s">
        <v>0</v>
      </c>
      <c r="AG2620" s="38" t="s">
        <v>9471</v>
      </c>
    </row>
    <row r="2621" spans="1:33" ht="6" customHeight="1" x14ac:dyDescent="0.4">
      <c r="A2621" s="4">
        <f>ROW()</f>
        <v>2621</v>
      </c>
      <c r="B2621" s="9" t="s">
        <v>27</v>
      </c>
      <c r="C2621" s="44" t="str">
        <f t="shared" si="1392"/>
        <v>p.urbanizar</v>
      </c>
      <c r="D2621" s="6" t="str">
        <f t="shared" si="1355"/>
        <v>é.fator.de.forma</v>
      </c>
      <c r="E2621" s="8" t="s">
        <v>28</v>
      </c>
      <c r="F2621" s="34" t="str">
        <f t="shared" si="1395"/>
        <v>d.urbanizar</v>
      </c>
      <c r="G2621" s="14" t="s">
        <v>964</v>
      </c>
      <c r="H2621" s="33" t="s">
        <v>1581</v>
      </c>
      <c r="I2621" s="92" t="str">
        <f t="shared" si="1386"/>
        <v>null</v>
      </c>
      <c r="J2621" s="82" t="s">
        <v>0</v>
      </c>
      <c r="K2621" s="82" t="s">
        <v>0</v>
      </c>
      <c r="L2621" s="82" t="s">
        <v>0</v>
      </c>
      <c r="M2621" s="82" t="s">
        <v>0</v>
      </c>
      <c r="N2621" s="82" t="s">
        <v>0</v>
      </c>
      <c r="O2621" s="82" t="s">
        <v>0</v>
      </c>
      <c r="P2621" s="82" t="s">
        <v>0</v>
      </c>
      <c r="Q2621" s="82" t="s">
        <v>0</v>
      </c>
      <c r="R2621" s="84" t="s">
        <v>0</v>
      </c>
      <c r="S2621" s="10" t="s">
        <v>1</v>
      </c>
      <c r="T2621" s="10" t="s">
        <v>10221</v>
      </c>
      <c r="U2621" s="5" t="str">
        <f t="shared" si="1396"/>
        <v>Propriedade destinada a urbanizar: é.fator.de.forma</v>
      </c>
      <c r="V2621" s="5" t="str">
        <f t="shared" si="1397"/>
        <v>Dado para urbanizar:  fator.de.forma  Deve ser formatado como (rdfs:Literal  or  xsd:string)</v>
      </c>
      <c r="W2621" s="69" t="s">
        <v>7292</v>
      </c>
      <c r="X2621" s="17" t="str">
        <f t="shared" si="1353"/>
        <v>d.urban.106</v>
      </c>
      <c r="Y2621" s="17" t="str">
        <f t="shared" si="1354"/>
        <v>Ação de urbanizar</v>
      </c>
      <c r="Z2621" s="62" t="s">
        <v>7296</v>
      </c>
      <c r="AA2621" s="18" t="str">
        <f t="shared" si="1393"/>
        <v>null</v>
      </c>
      <c r="AB2621" s="19" t="s">
        <v>0</v>
      </c>
      <c r="AC2621" s="18" t="str">
        <f t="shared" si="1394"/>
        <v>null</v>
      </c>
      <c r="AD2621" s="19" t="s">
        <v>0</v>
      </c>
      <c r="AE2621" s="18" t="str">
        <f t="shared" si="1374"/>
        <v>null</v>
      </c>
      <c r="AF2621" s="75" t="s">
        <v>0</v>
      </c>
      <c r="AG2621" s="38" t="s">
        <v>9472</v>
      </c>
    </row>
    <row r="2622" spans="1:33" ht="6" customHeight="1" x14ac:dyDescent="0.4">
      <c r="A2622" s="4">
        <f>ROW()</f>
        <v>2622</v>
      </c>
      <c r="B2622" s="9" t="s">
        <v>27</v>
      </c>
      <c r="C2622" s="44" t="str">
        <f t="shared" si="1392"/>
        <v>p.urbanizar</v>
      </c>
      <c r="D2622" s="6" t="str">
        <f t="shared" si="1355"/>
        <v>é.gabarito</v>
      </c>
      <c r="E2622" s="8" t="s">
        <v>28</v>
      </c>
      <c r="F2622" s="34" t="str">
        <f t="shared" si="1395"/>
        <v>d.urbanizar</v>
      </c>
      <c r="G2622" s="14" t="s">
        <v>206</v>
      </c>
      <c r="H2622" s="33" t="s">
        <v>35</v>
      </c>
      <c r="I2622" s="92" t="str">
        <f t="shared" si="1386"/>
        <v>null</v>
      </c>
      <c r="J2622" s="82" t="s">
        <v>0</v>
      </c>
      <c r="K2622" s="82" t="s">
        <v>0</v>
      </c>
      <c r="L2622" s="82" t="s">
        <v>0</v>
      </c>
      <c r="M2622" s="82" t="s">
        <v>0</v>
      </c>
      <c r="N2622" s="82" t="s">
        <v>0</v>
      </c>
      <c r="O2622" s="82" t="s">
        <v>0</v>
      </c>
      <c r="P2622" s="82" t="s">
        <v>0</v>
      </c>
      <c r="Q2622" s="82" t="s">
        <v>0</v>
      </c>
      <c r="R2622" s="84" t="s">
        <v>0</v>
      </c>
      <c r="S2622" s="10" t="s">
        <v>1</v>
      </c>
      <c r="T2622" s="10" t="s">
        <v>10221</v>
      </c>
      <c r="U2622" s="5" t="str">
        <f t="shared" si="1396"/>
        <v>Propriedade destinada a urbanizar: é.gabarito</v>
      </c>
      <c r="V2622" s="5" t="str">
        <f t="shared" si="1397"/>
        <v>Dado para urbanizar:  gabarito  Deve ser formatado como (xsd:double)</v>
      </c>
      <c r="W2622" s="69" t="s">
        <v>6442</v>
      </c>
      <c r="X2622" s="17" t="str">
        <f t="shared" si="1353"/>
        <v>d.urban.107</v>
      </c>
      <c r="Y2622" s="17" t="str">
        <f t="shared" si="1354"/>
        <v>Ação de urbanizar</v>
      </c>
      <c r="Z2622" s="62" t="s">
        <v>2758</v>
      </c>
      <c r="AA2622" s="18" t="str">
        <f t="shared" si="1393"/>
        <v>null</v>
      </c>
      <c r="AB2622" s="19" t="s">
        <v>0</v>
      </c>
      <c r="AC2622" s="18" t="str">
        <f t="shared" si="1394"/>
        <v>null</v>
      </c>
      <c r="AD2622" s="19" t="s">
        <v>0</v>
      </c>
      <c r="AE2622" s="18" t="str">
        <f t="shared" si="1374"/>
        <v>null</v>
      </c>
      <c r="AF2622" s="75" t="s">
        <v>0</v>
      </c>
      <c r="AG2622" s="38" t="s">
        <v>9473</v>
      </c>
    </row>
    <row r="2623" spans="1:33" ht="6" customHeight="1" x14ac:dyDescent="0.4">
      <c r="A2623" s="4">
        <f>ROW()</f>
        <v>2623</v>
      </c>
      <c r="B2623" s="9" t="s">
        <v>27</v>
      </c>
      <c r="C2623" s="44" t="str">
        <f t="shared" si="1392"/>
        <v>p.urbanizar</v>
      </c>
      <c r="D2623" s="6" t="str">
        <f t="shared" si="1355"/>
        <v>é.índice.de.aproveitamento</v>
      </c>
      <c r="E2623" s="8" t="s">
        <v>28</v>
      </c>
      <c r="F2623" s="34" t="str">
        <f t="shared" si="1395"/>
        <v>d.urbanizar</v>
      </c>
      <c r="G2623" s="14" t="s">
        <v>965</v>
      </c>
      <c r="H2623" s="33" t="s">
        <v>35</v>
      </c>
      <c r="I2623" s="92" t="str">
        <f t="shared" si="1386"/>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96"/>
        <v>Propriedade destinada a urbanizar: é.índice.de.aproveitamento</v>
      </c>
      <c r="V2623" s="5" t="str">
        <f t="shared" si="1397"/>
        <v>Dado para urbanizar:  índice.de.aproveitamento  Deve ser formatado como (xsd:double)</v>
      </c>
      <c r="W2623" s="69" t="s">
        <v>6443</v>
      </c>
      <c r="X2623" s="17" t="str">
        <f t="shared" si="1353"/>
        <v>d.urban.108</v>
      </c>
      <c r="Y2623" s="17" t="str">
        <f t="shared" si="1354"/>
        <v>Ação de urbanizar</v>
      </c>
      <c r="Z2623" s="62" t="s">
        <v>2757</v>
      </c>
      <c r="AA2623" s="18" t="str">
        <f t="shared" si="1393"/>
        <v>null</v>
      </c>
      <c r="AB2623" s="19" t="s">
        <v>0</v>
      </c>
      <c r="AC2623" s="18" t="str">
        <f t="shared" si="1394"/>
        <v>null</v>
      </c>
      <c r="AD2623" s="19" t="s">
        <v>0</v>
      </c>
      <c r="AE2623" s="18" t="str">
        <f t="shared" si="1374"/>
        <v>null</v>
      </c>
      <c r="AF2623" s="75" t="s">
        <v>0</v>
      </c>
      <c r="AG2623" s="38" t="s">
        <v>9474</v>
      </c>
    </row>
    <row r="2624" spans="1:33" ht="6" customHeight="1" x14ac:dyDescent="0.4">
      <c r="A2624" s="4">
        <f>ROW()</f>
        <v>2624</v>
      </c>
      <c r="B2624" s="9" t="s">
        <v>27</v>
      </c>
      <c r="C2624" s="44" t="str">
        <f t="shared" si="1392"/>
        <v>p.urbanizar</v>
      </c>
      <c r="D2624" s="6" t="str">
        <f t="shared" si="1355"/>
        <v>é.lote.urbano</v>
      </c>
      <c r="E2624" s="8" t="s">
        <v>28</v>
      </c>
      <c r="F2624" s="34" t="str">
        <f t="shared" si="1395"/>
        <v>d.urbanizar</v>
      </c>
      <c r="G2624" s="14" t="s">
        <v>966</v>
      </c>
      <c r="H2624" s="33" t="s">
        <v>1581</v>
      </c>
      <c r="I2624" s="92" t="str">
        <f t="shared" si="1386"/>
        <v>null</v>
      </c>
      <c r="J2624" s="82" t="s">
        <v>0</v>
      </c>
      <c r="K2624" s="82" t="s">
        <v>0</v>
      </c>
      <c r="L2624" s="82" t="s">
        <v>0</v>
      </c>
      <c r="M2624" s="82" t="s">
        <v>0</v>
      </c>
      <c r="N2624" s="80" t="s">
        <v>0</v>
      </c>
      <c r="O2624" s="82" t="s">
        <v>0</v>
      </c>
      <c r="P2624" s="82" t="s">
        <v>0</v>
      </c>
      <c r="Q2624" s="82" t="s">
        <v>0</v>
      </c>
      <c r="R2624" s="84" t="s">
        <v>0</v>
      </c>
      <c r="S2624" s="10" t="s">
        <v>1</v>
      </c>
      <c r="T2624" s="10" t="s">
        <v>10221</v>
      </c>
      <c r="U2624" s="5" t="str">
        <f t="shared" si="1396"/>
        <v>Propriedade destinada a urbanizar: é.lote.urbano</v>
      </c>
      <c r="V2624" s="5" t="str">
        <f t="shared" si="1397"/>
        <v>Dado para urbanizar:  lote.urbano  Deve ser formatado como (rdfs:Literal  or  xsd:string)</v>
      </c>
      <c r="W2624" s="69" t="s">
        <v>6444</v>
      </c>
      <c r="X2624" s="17" t="str">
        <f t="shared" si="1353"/>
        <v>d.urban.109</v>
      </c>
      <c r="Y2624" s="17" t="str">
        <f t="shared" si="1354"/>
        <v>Ação de urbanizar</v>
      </c>
      <c r="Z2624" s="62" t="s">
        <v>1425</v>
      </c>
      <c r="AA2624" s="18" t="str">
        <f t="shared" si="1393"/>
        <v>categoria.revit</v>
      </c>
      <c r="AB2624" s="19" t="s">
        <v>2149</v>
      </c>
      <c r="AC2624" s="18" t="str">
        <f t="shared" si="1394"/>
        <v>classe.ifc</v>
      </c>
      <c r="AD2624" s="19" t="s">
        <v>2100</v>
      </c>
      <c r="AE2624" s="18" t="str">
        <f t="shared" si="1374"/>
        <v>null</v>
      </c>
      <c r="AF2624" s="75" t="s">
        <v>0</v>
      </c>
      <c r="AG2624" s="38" t="s">
        <v>9475</v>
      </c>
    </row>
    <row r="2625" spans="1:33" ht="6" customHeight="1" x14ac:dyDescent="0.4">
      <c r="A2625" s="4">
        <f>ROW()</f>
        <v>2625</v>
      </c>
      <c r="B2625" s="9" t="s">
        <v>27</v>
      </c>
      <c r="C2625" s="44" t="str">
        <f t="shared" si="1392"/>
        <v>p.urbanizar</v>
      </c>
      <c r="D2625" s="6" t="str">
        <f t="shared" si="1355"/>
        <v>é.meio.fio</v>
      </c>
      <c r="E2625" s="8" t="s">
        <v>28</v>
      </c>
      <c r="F2625" s="34" t="str">
        <f t="shared" si="1395"/>
        <v>d.urbanizar</v>
      </c>
      <c r="G2625" s="14" t="s">
        <v>967</v>
      </c>
      <c r="H2625" s="33" t="s">
        <v>1581</v>
      </c>
      <c r="I2625" s="92" t="str">
        <f t="shared" si="1386"/>
        <v>null</v>
      </c>
      <c r="J2625" s="82" t="s">
        <v>0</v>
      </c>
      <c r="K2625" s="82" t="s">
        <v>0</v>
      </c>
      <c r="L2625" s="82" t="s">
        <v>0</v>
      </c>
      <c r="M2625" s="82" t="s">
        <v>0</v>
      </c>
      <c r="N2625" s="80" t="s">
        <v>0</v>
      </c>
      <c r="O2625" s="82" t="s">
        <v>0</v>
      </c>
      <c r="P2625" s="82" t="s">
        <v>0</v>
      </c>
      <c r="Q2625" s="82" t="s">
        <v>0</v>
      </c>
      <c r="R2625" s="84" t="s">
        <v>0</v>
      </c>
      <c r="S2625" s="10" t="s">
        <v>1</v>
      </c>
      <c r="T2625" s="10" t="s">
        <v>10221</v>
      </c>
      <c r="U2625" s="5" t="str">
        <f t="shared" si="1396"/>
        <v>Propriedade destinada a urbanizar: é.meio.fio</v>
      </c>
      <c r="V2625" s="5" t="str">
        <f t="shared" si="1397"/>
        <v>Dado para urbanizar:  meio.fio  Deve ser formatado como (rdfs:Literal  or  xsd:string)</v>
      </c>
      <c r="W2625" s="69" t="s">
        <v>6445</v>
      </c>
      <c r="X2625" s="17" t="str">
        <f t="shared" si="1353"/>
        <v>d.urban.110</v>
      </c>
      <c r="Y2625" s="17" t="str">
        <f t="shared" si="1354"/>
        <v>Ação de urbanizar</v>
      </c>
      <c r="Z2625" s="62" t="s">
        <v>1426</v>
      </c>
      <c r="AA2625" s="18" t="str">
        <f t="shared" si="1393"/>
        <v>categoria.revit</v>
      </c>
      <c r="AB2625" s="19" t="s">
        <v>2150</v>
      </c>
      <c r="AC2625" s="18" t="str">
        <f t="shared" si="1394"/>
        <v>classe.ifc</v>
      </c>
      <c r="AD2625" s="19" t="s">
        <v>2101</v>
      </c>
      <c r="AE2625" s="18" t="str">
        <f t="shared" si="1374"/>
        <v>null</v>
      </c>
      <c r="AF2625" s="75" t="s">
        <v>0</v>
      </c>
      <c r="AG2625" s="38" t="s">
        <v>9476</v>
      </c>
    </row>
    <row r="2626" spans="1:33" ht="6" customHeight="1" x14ac:dyDescent="0.4">
      <c r="A2626" s="4">
        <f>ROW()</f>
        <v>2626</v>
      </c>
      <c r="B2626" s="9" t="s">
        <v>27</v>
      </c>
      <c r="C2626" s="44" t="str">
        <f t="shared" si="1392"/>
        <v>p.urbanizar</v>
      </c>
      <c r="D2626" s="6" t="str">
        <f t="shared" si="1355"/>
        <v>é.operação.urbana</v>
      </c>
      <c r="E2626" s="8" t="s">
        <v>28</v>
      </c>
      <c r="F2626" s="34" t="str">
        <f t="shared" si="1395"/>
        <v>d.urbanizar</v>
      </c>
      <c r="G2626" s="14" t="s">
        <v>968</v>
      </c>
      <c r="H2626" s="33" t="s">
        <v>1581</v>
      </c>
      <c r="I2626" s="92" t="str">
        <f t="shared" si="1386"/>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96"/>
        <v>Propriedade destinada a urbanizar: é.operação.urbana</v>
      </c>
      <c r="V2626" s="5" t="str">
        <f t="shared" si="1397"/>
        <v>Dado para urbanizar:  operação.urbana  Deve ser formatado como (rdfs:Literal  or  xsd:string)</v>
      </c>
      <c r="W2626" s="69" t="s">
        <v>6446</v>
      </c>
      <c r="X2626" s="17" t="str">
        <f t="shared" si="1353"/>
        <v>d.urban.111</v>
      </c>
      <c r="Y2626" s="17" t="str">
        <f t="shared" si="1354"/>
        <v>Ação de urbanizar</v>
      </c>
      <c r="Z2626" s="62" t="s">
        <v>1427</v>
      </c>
      <c r="AA2626" s="18" t="str">
        <f t="shared" si="1393"/>
        <v>null</v>
      </c>
      <c r="AB2626" s="19" t="s">
        <v>0</v>
      </c>
      <c r="AC2626" s="18" t="str">
        <f t="shared" si="1394"/>
        <v>null</v>
      </c>
      <c r="AD2626" s="19" t="s">
        <v>0</v>
      </c>
      <c r="AE2626" s="18" t="str">
        <f t="shared" si="1374"/>
        <v>null</v>
      </c>
      <c r="AF2626" s="75" t="s">
        <v>0</v>
      </c>
      <c r="AG2626" s="38" t="s">
        <v>9477</v>
      </c>
    </row>
    <row r="2627" spans="1:33" ht="6" customHeight="1" x14ac:dyDescent="0.4">
      <c r="A2627" s="4">
        <f>ROW()</f>
        <v>2627</v>
      </c>
      <c r="B2627" s="9" t="s">
        <v>27</v>
      </c>
      <c r="C2627" s="44" t="str">
        <f t="shared" ref="C2627:C2628" si="1398">SUBSTITUTE(F2627,"d.","p.")</f>
        <v>p.urbanizar</v>
      </c>
      <c r="D2627" s="6" t="str">
        <f t="shared" ref="D2627:D2628" si="1399">_xlfn.CONCAT("é.",G2627)</f>
        <v>é.prisma.pv</v>
      </c>
      <c r="E2627" s="8" t="s">
        <v>28</v>
      </c>
      <c r="F2627" s="34" t="str">
        <f>F2623</f>
        <v>d.urbanizar</v>
      </c>
      <c r="G2627" s="13" t="s">
        <v>7283</v>
      </c>
      <c r="H2627" s="34" t="s">
        <v>1581</v>
      </c>
      <c r="I2627" s="92" t="str">
        <f t="shared" si="1386"/>
        <v>null</v>
      </c>
      <c r="J2627" s="80" t="s">
        <v>0</v>
      </c>
      <c r="K2627" s="80" t="s">
        <v>0</v>
      </c>
      <c r="L2627" s="80" t="s">
        <v>0</v>
      </c>
      <c r="M2627" s="80" t="s">
        <v>0</v>
      </c>
      <c r="N2627" s="80" t="s">
        <v>0</v>
      </c>
      <c r="O2627" s="80" t="s">
        <v>0</v>
      </c>
      <c r="P2627" s="80" t="s">
        <v>0</v>
      </c>
      <c r="Q2627" s="80" t="s">
        <v>0</v>
      </c>
      <c r="R2627" s="84" t="s">
        <v>0</v>
      </c>
      <c r="S2627" s="10" t="s">
        <v>1</v>
      </c>
      <c r="T2627" s="10" t="s">
        <v>10221</v>
      </c>
      <c r="U2627" s="5" t="str">
        <f t="shared" ref="U2627:U2628" si="1400">_xlfn.CONCAT("Propriedade destinada a ",MID(C2627,FIND("p.",C2627,1)+2,100),": ",D2627)</f>
        <v>Propriedade destinada a urbanizar: é.prisma.pv</v>
      </c>
      <c r="V2627" s="5" t="str">
        <f t="shared" ref="V2627:V2628" si="1401">_xlfn.CONCAT("Dado para ",MID(F2627,FIND("d.",F2627,1)+2,100),":  ",G2627, "  Deve ser formatado como (",H2627, ")")</f>
        <v>Dado para urbanizar:  prisma.pv  Deve ser formatado como (rdfs:Literal  or  xsd:string)</v>
      </c>
      <c r="W2627" s="69" t="s">
        <v>7286</v>
      </c>
      <c r="X2627" s="17" t="str">
        <f t="shared" ref="X2627:X2690" si="1402">IF(F2626&lt;&gt;F2627,_xlfn.CONCAT(RIGHT(LEFT(F2627,7),7),".100"),_xlfn.CONCAT(RIGHT(LEFT(F2627,7),7),".",SUM(VALUE(RIGHT(X2626,3)),1)))</f>
        <v>d.urban.112</v>
      </c>
      <c r="Y2627" s="17" t="str">
        <f t="shared" ref="Y2627:Y2690" si="1403">_xlfn.CONCAT("Ação de ", SUBSTITUTE(F2627, "d.",  ""))</f>
        <v>Ação de urbanizar</v>
      </c>
      <c r="Z2627" s="62" t="s">
        <v>7284</v>
      </c>
      <c r="AA2627" s="18" t="str">
        <f t="shared" ref="AA2627:AA2628" si="1404">IF(AB2627="null", "null", "categoria.revit")</f>
        <v>null</v>
      </c>
      <c r="AB2627" s="19" t="s">
        <v>0</v>
      </c>
      <c r="AC2627" s="18" t="str">
        <f t="shared" ref="AC2627:AC2628" si="1405">IF(AD2627="null", "null", "classe.ifc")</f>
        <v>null</v>
      </c>
      <c r="AD2627" s="19" t="s">
        <v>0</v>
      </c>
      <c r="AE2627" s="18" t="str">
        <f t="shared" ref="AE2627:AE2628" si="1406">IF(AF2627="null", "null", "propriedade")</f>
        <v>null</v>
      </c>
      <c r="AF2627" s="75" t="s">
        <v>0</v>
      </c>
      <c r="AG2627" s="62" t="s">
        <v>9478</v>
      </c>
    </row>
    <row r="2628" spans="1:33" ht="6" customHeight="1" x14ac:dyDescent="0.4">
      <c r="A2628" s="4">
        <f>ROW()</f>
        <v>2628</v>
      </c>
      <c r="B2628" s="9" t="s">
        <v>27</v>
      </c>
      <c r="C2628" s="44" t="str">
        <f t="shared" si="1398"/>
        <v>p.urbanizar</v>
      </c>
      <c r="D2628" s="6" t="str">
        <f t="shared" si="1399"/>
        <v>é.prisma.pvi</v>
      </c>
      <c r="E2628" s="8" t="s">
        <v>28</v>
      </c>
      <c r="F2628" s="34" t="str">
        <f>F2624</f>
        <v>d.urbanizar</v>
      </c>
      <c r="G2628" s="13" t="s">
        <v>7282</v>
      </c>
      <c r="H2628" s="34" t="s">
        <v>1581</v>
      </c>
      <c r="I2628" s="92" t="str">
        <f t="shared" si="1386"/>
        <v>null</v>
      </c>
      <c r="J2628" s="80" t="s">
        <v>0</v>
      </c>
      <c r="K2628" s="80" t="s">
        <v>0</v>
      </c>
      <c r="L2628" s="80" t="s">
        <v>0</v>
      </c>
      <c r="M2628" s="80" t="s">
        <v>0</v>
      </c>
      <c r="N2628" s="80" t="s">
        <v>0</v>
      </c>
      <c r="O2628" s="80" t="s">
        <v>0</v>
      </c>
      <c r="P2628" s="80" t="s">
        <v>0</v>
      </c>
      <c r="Q2628" s="80" t="s">
        <v>0</v>
      </c>
      <c r="R2628" s="84" t="s">
        <v>0</v>
      </c>
      <c r="S2628" s="10" t="s">
        <v>1</v>
      </c>
      <c r="T2628" s="10" t="s">
        <v>10221</v>
      </c>
      <c r="U2628" s="5" t="str">
        <f t="shared" si="1400"/>
        <v>Propriedade destinada a urbanizar: é.prisma.pvi</v>
      </c>
      <c r="V2628" s="5" t="str">
        <f t="shared" si="1401"/>
        <v>Dado para urbanizar:  prisma.pvi  Deve ser formatado como (rdfs:Literal  or  xsd:string)</v>
      </c>
      <c r="W2628" s="69" t="s">
        <v>7287</v>
      </c>
      <c r="X2628" s="17" t="str">
        <f t="shared" si="1402"/>
        <v>d.urban.113</v>
      </c>
      <c r="Y2628" s="17" t="str">
        <f t="shared" si="1403"/>
        <v>Ação de urbanizar</v>
      </c>
      <c r="Z2628" s="62" t="s">
        <v>7285</v>
      </c>
      <c r="AA2628" s="18" t="str">
        <f t="shared" si="1404"/>
        <v>null</v>
      </c>
      <c r="AB2628" s="19" t="s">
        <v>0</v>
      </c>
      <c r="AC2628" s="18" t="str">
        <f t="shared" si="1405"/>
        <v>null</v>
      </c>
      <c r="AD2628" s="19" t="s">
        <v>0</v>
      </c>
      <c r="AE2628" s="18" t="str">
        <f t="shared" si="1406"/>
        <v>null</v>
      </c>
      <c r="AF2628" s="75" t="s">
        <v>0</v>
      </c>
      <c r="AG2628" s="62" t="s">
        <v>9479</v>
      </c>
    </row>
    <row r="2629" spans="1:33" ht="6" customHeight="1" x14ac:dyDescent="0.4">
      <c r="A2629" s="4">
        <f>ROW()</f>
        <v>2629</v>
      </c>
      <c r="B2629" s="9" t="s">
        <v>27</v>
      </c>
      <c r="C2629" s="44" t="str">
        <f t="shared" si="1392"/>
        <v>p.urbanizar</v>
      </c>
      <c r="D2629" s="6" t="str">
        <f t="shared" si="1355"/>
        <v>é.recuo.frontal</v>
      </c>
      <c r="E2629" s="8" t="s">
        <v>28</v>
      </c>
      <c r="F2629" s="34" t="str">
        <f>F2626</f>
        <v>d.urbanizar</v>
      </c>
      <c r="G2629" s="14" t="s">
        <v>969</v>
      </c>
      <c r="H2629" s="33" t="s">
        <v>35</v>
      </c>
      <c r="I2629" s="92" t="str">
        <f t="shared" si="1386"/>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96"/>
        <v>Propriedade destinada a urbanizar: é.recuo.frontal</v>
      </c>
      <c r="V2629" s="5" t="str">
        <f t="shared" si="1397"/>
        <v>Dado para urbanizar:  recuo.frontal  Deve ser formatado como (xsd:double)</v>
      </c>
      <c r="W2629" s="69" t="s">
        <v>6447</v>
      </c>
      <c r="X2629" s="17" t="str">
        <f t="shared" si="1402"/>
        <v>d.urban.114</v>
      </c>
      <c r="Y2629" s="17" t="str">
        <f t="shared" si="1403"/>
        <v>Ação de urbanizar</v>
      </c>
      <c r="Z2629" s="62" t="s">
        <v>6755</v>
      </c>
      <c r="AA2629" s="18" t="str">
        <f t="shared" si="1393"/>
        <v>null</v>
      </c>
      <c r="AB2629" s="19" t="s">
        <v>0</v>
      </c>
      <c r="AC2629" s="18" t="str">
        <f t="shared" si="1394"/>
        <v>null</v>
      </c>
      <c r="AD2629" s="19" t="s">
        <v>0</v>
      </c>
      <c r="AE2629" s="18" t="str">
        <f t="shared" si="1374"/>
        <v>null</v>
      </c>
      <c r="AF2629" s="75" t="s">
        <v>0</v>
      </c>
      <c r="AG2629" s="38" t="s">
        <v>9480</v>
      </c>
    </row>
    <row r="2630" spans="1:33" ht="6" customHeight="1" x14ac:dyDescent="0.4">
      <c r="A2630" s="4">
        <f>ROW()</f>
        <v>2630</v>
      </c>
      <c r="B2630" s="9" t="s">
        <v>27</v>
      </c>
      <c r="C2630" s="44" t="str">
        <f t="shared" si="1392"/>
        <v>p.urbanizar</v>
      </c>
      <c r="D2630" s="6" t="str">
        <f t="shared" si="1355"/>
        <v>é.região.administrativa</v>
      </c>
      <c r="E2630" s="8" t="s">
        <v>28</v>
      </c>
      <c r="F2630" s="34" t="str">
        <f t="shared" si="1395"/>
        <v>d.urbanizar</v>
      </c>
      <c r="G2630" s="14" t="s">
        <v>970</v>
      </c>
      <c r="H2630" s="33" t="s">
        <v>1581</v>
      </c>
      <c r="I2630" s="92" t="str">
        <f t="shared" si="1386"/>
        <v>Functional</v>
      </c>
      <c r="J2630" s="82" t="s">
        <v>29</v>
      </c>
      <c r="K2630" s="82" t="s">
        <v>0</v>
      </c>
      <c r="L2630" s="82" t="s">
        <v>0</v>
      </c>
      <c r="M2630" s="82" t="s">
        <v>0</v>
      </c>
      <c r="N2630" s="80" t="s">
        <v>0</v>
      </c>
      <c r="O2630" s="82" t="s">
        <v>0</v>
      </c>
      <c r="P2630" s="82" t="s">
        <v>0</v>
      </c>
      <c r="Q2630" s="82" t="s">
        <v>0</v>
      </c>
      <c r="R2630" s="84" t="s">
        <v>0</v>
      </c>
      <c r="S2630" s="10" t="s">
        <v>1</v>
      </c>
      <c r="T2630" s="10" t="s">
        <v>10221</v>
      </c>
      <c r="U2630" s="5" t="str">
        <f t="shared" si="1396"/>
        <v>Propriedade destinada a urbanizar: é.região.administrativa</v>
      </c>
      <c r="V2630" s="5" t="str">
        <f t="shared" si="1397"/>
        <v>Dado para urbanizar:  região.administrativa  Deve ser formatado como (rdfs:Literal  or  xsd:string)</v>
      </c>
      <c r="W2630" s="69" t="s">
        <v>6448</v>
      </c>
      <c r="X2630" s="17" t="str">
        <f t="shared" si="1402"/>
        <v>d.urban.115</v>
      </c>
      <c r="Y2630" s="17" t="str">
        <f t="shared" si="1403"/>
        <v>Ação de urbanizar</v>
      </c>
      <c r="Z2630" s="62" t="s">
        <v>6756</v>
      </c>
      <c r="AA2630" s="18" t="str">
        <f t="shared" si="1393"/>
        <v>null</v>
      </c>
      <c r="AB2630" s="19" t="s">
        <v>0</v>
      </c>
      <c r="AC2630" s="18" t="str">
        <f t="shared" si="1394"/>
        <v>null</v>
      </c>
      <c r="AD2630" s="19" t="s">
        <v>0</v>
      </c>
      <c r="AE2630" s="18" t="str">
        <f t="shared" si="1374"/>
        <v>propriedade</v>
      </c>
      <c r="AF2630" s="75" t="s">
        <v>1882</v>
      </c>
      <c r="AG2630" s="38" t="s">
        <v>9481</v>
      </c>
    </row>
    <row r="2631" spans="1:33" ht="6" customHeight="1" x14ac:dyDescent="0.4">
      <c r="A2631" s="4">
        <f>ROW()</f>
        <v>2631</v>
      </c>
      <c r="B2631" s="9" t="s">
        <v>27</v>
      </c>
      <c r="C2631" s="44" t="str">
        <f t="shared" si="1392"/>
        <v>p.urbanizar</v>
      </c>
      <c r="D2631" s="6" t="str">
        <f t="shared" si="1355"/>
        <v>é.setor.urbano</v>
      </c>
      <c r="E2631" s="8" t="s">
        <v>28</v>
      </c>
      <c r="F2631" s="34" t="str">
        <f>F2626</f>
        <v>d.urbanizar</v>
      </c>
      <c r="G2631" s="14" t="s">
        <v>6617</v>
      </c>
      <c r="H2631" s="33" t="s">
        <v>1581</v>
      </c>
      <c r="I2631" s="92" t="str">
        <f t="shared" si="1386"/>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96"/>
        <v>Propriedade destinada a urbanizar: é.setor.urbano</v>
      </c>
      <c r="V2631" s="5" t="str">
        <f t="shared" si="1397"/>
        <v>Dado para urbanizar:  setor.urbano  Deve ser formatado como (rdfs:Literal  or  xsd:string)</v>
      </c>
      <c r="W2631" s="69" t="s">
        <v>6618</v>
      </c>
      <c r="X2631" s="17" t="str">
        <f t="shared" si="1402"/>
        <v>d.urban.116</v>
      </c>
      <c r="Y2631" s="17" t="str">
        <f t="shared" si="1403"/>
        <v>Ação de urbanizar</v>
      </c>
      <c r="Z2631" s="62" t="s">
        <v>6757</v>
      </c>
      <c r="AA2631" s="18" t="str">
        <f t="shared" si="1393"/>
        <v>null</v>
      </c>
      <c r="AB2631" s="19" t="s">
        <v>0</v>
      </c>
      <c r="AC2631" s="18" t="str">
        <f t="shared" si="1394"/>
        <v>null</v>
      </c>
      <c r="AD2631" s="19" t="s">
        <v>0</v>
      </c>
      <c r="AE2631" s="18" t="str">
        <f t="shared" si="1374"/>
        <v>propriedade</v>
      </c>
      <c r="AF2631" s="75" t="s">
        <v>1847</v>
      </c>
      <c r="AG2631" s="38" t="s">
        <v>9482</v>
      </c>
    </row>
    <row r="2632" spans="1:33" ht="6" customHeight="1" x14ac:dyDescent="0.4">
      <c r="A2632" s="4">
        <f>ROW()</f>
        <v>2632</v>
      </c>
      <c r="B2632" s="9" t="s">
        <v>27</v>
      </c>
      <c r="C2632" s="44" t="str">
        <f t="shared" ref="C2632" si="1407">SUBSTITUTE(F2632,"d.","p.")</f>
        <v>p.urbanizar</v>
      </c>
      <c r="D2632" s="6" t="str">
        <f t="shared" ref="D2632" si="1408">_xlfn.CONCAT("é.",G2632)</f>
        <v>é.taxa.de.ocupação</v>
      </c>
      <c r="E2632" s="8" t="s">
        <v>28</v>
      </c>
      <c r="F2632" s="34" t="str">
        <f>F2630</f>
        <v>d.urbanizar</v>
      </c>
      <c r="G2632" s="14" t="s">
        <v>971</v>
      </c>
      <c r="H2632" s="33" t="s">
        <v>35</v>
      </c>
      <c r="I2632" s="92" t="str">
        <f t="shared" si="1386"/>
        <v>null</v>
      </c>
      <c r="J2632" s="82" t="s">
        <v>0</v>
      </c>
      <c r="K2632" s="82" t="s">
        <v>0</v>
      </c>
      <c r="L2632" s="82" t="s">
        <v>0</v>
      </c>
      <c r="M2632" s="82" t="s">
        <v>0</v>
      </c>
      <c r="N2632" s="82" t="s">
        <v>0</v>
      </c>
      <c r="O2632" s="82" t="s">
        <v>0</v>
      </c>
      <c r="P2632" s="82" t="s">
        <v>0</v>
      </c>
      <c r="Q2632" s="82" t="s">
        <v>0</v>
      </c>
      <c r="R2632" s="84" t="s">
        <v>0</v>
      </c>
      <c r="S2632" s="10" t="s">
        <v>1</v>
      </c>
      <c r="T2632" s="10" t="s">
        <v>10221</v>
      </c>
      <c r="U2632" s="5" t="str">
        <f t="shared" ref="U2632" si="1409">_xlfn.CONCAT("Propriedade destinada a ",MID(C2632,FIND("p.",C2632,1)+2,100),": ",D2632)</f>
        <v>Propriedade destinada a urbanizar: é.taxa.de.ocupação</v>
      </c>
      <c r="V2632" s="5" t="str">
        <f t="shared" ref="V2632" si="1410">_xlfn.CONCAT("Dado para ",MID(F2632,FIND("d.",F2632,1)+2,100),":  ",G2632, "  Deve ser formatado como (",H2632, ")")</f>
        <v>Dado para urbanizar:  taxa.de.ocupação  Deve ser formatado como (xsd:double)</v>
      </c>
      <c r="W2632" s="69" t="s">
        <v>6449</v>
      </c>
      <c r="X2632" s="17" t="str">
        <f t="shared" si="1402"/>
        <v>d.urban.117</v>
      </c>
      <c r="Y2632" s="17" t="str">
        <f t="shared" si="1403"/>
        <v>Ação de urbanizar</v>
      </c>
      <c r="Z2632" s="62" t="s">
        <v>6758</v>
      </c>
      <c r="AA2632" s="18" t="str">
        <f t="shared" ref="AA2632" si="1411">IF(AB2632="null", "null", "categoria.revit")</f>
        <v>null</v>
      </c>
      <c r="AB2632" s="19" t="s">
        <v>0</v>
      </c>
      <c r="AC2632" s="18" t="str">
        <f t="shared" ref="AC2632" si="1412">IF(AD2632="null", "null", "classe.ifc")</f>
        <v>null</v>
      </c>
      <c r="AD2632" s="19" t="s">
        <v>0</v>
      </c>
      <c r="AE2632" s="18" t="str">
        <f t="shared" ref="AE2632" si="1413">IF(AF2632="null", "null", "propriedade")</f>
        <v>null</v>
      </c>
      <c r="AF2632" s="75" t="s">
        <v>0</v>
      </c>
      <c r="AG2632" s="38" t="s">
        <v>9483</v>
      </c>
    </row>
    <row r="2633" spans="1:33" ht="6" customHeight="1" x14ac:dyDescent="0.4">
      <c r="A2633" s="4">
        <f>ROW()</f>
        <v>2633</v>
      </c>
      <c r="B2633" s="9" t="s">
        <v>27</v>
      </c>
      <c r="C2633" s="44" t="str">
        <f t="shared" si="1392"/>
        <v>p.urbanizar</v>
      </c>
      <c r="D2633" s="6" t="str">
        <f t="shared" si="1355"/>
        <v>é.taxa.de.permeabilidade</v>
      </c>
      <c r="E2633" s="8" t="s">
        <v>28</v>
      </c>
      <c r="F2633" s="34" t="str">
        <f t="shared" si="1395"/>
        <v>d.urbanizar</v>
      </c>
      <c r="G2633" s="14" t="s">
        <v>6613</v>
      </c>
      <c r="H2633" s="33" t="s">
        <v>35</v>
      </c>
      <c r="I2633" s="92" t="str">
        <f t="shared" si="1386"/>
        <v>null</v>
      </c>
      <c r="J2633" s="82" t="s">
        <v>0</v>
      </c>
      <c r="K2633" s="82" t="s">
        <v>0</v>
      </c>
      <c r="L2633" s="82" t="s">
        <v>0</v>
      </c>
      <c r="M2633" s="82" t="s">
        <v>0</v>
      </c>
      <c r="N2633" s="82" t="s">
        <v>0</v>
      </c>
      <c r="O2633" s="82" t="s">
        <v>0</v>
      </c>
      <c r="P2633" s="82" t="s">
        <v>0</v>
      </c>
      <c r="Q2633" s="82" t="s">
        <v>0</v>
      </c>
      <c r="R2633" s="84" t="s">
        <v>0</v>
      </c>
      <c r="S2633" s="10" t="s">
        <v>1</v>
      </c>
      <c r="T2633" s="10" t="s">
        <v>10221</v>
      </c>
      <c r="U2633" s="5" t="str">
        <f t="shared" si="1396"/>
        <v>Propriedade destinada a urbanizar: é.taxa.de.permeabilidade</v>
      </c>
      <c r="V2633" s="5" t="str">
        <f t="shared" si="1397"/>
        <v>Dado para urbanizar:  taxa.de.permeabilidade  Deve ser formatado como (xsd:double)</v>
      </c>
      <c r="W2633" s="69" t="s">
        <v>6614</v>
      </c>
      <c r="X2633" s="17" t="str">
        <f t="shared" si="1402"/>
        <v>d.urban.118</v>
      </c>
      <c r="Y2633" s="17" t="str">
        <f t="shared" si="1403"/>
        <v>Ação de urbanizar</v>
      </c>
      <c r="Z2633" s="62" t="s">
        <v>6759</v>
      </c>
      <c r="AA2633" s="18" t="str">
        <f t="shared" si="1393"/>
        <v>null</v>
      </c>
      <c r="AB2633" s="19" t="s">
        <v>0</v>
      </c>
      <c r="AC2633" s="18" t="str">
        <f t="shared" si="1394"/>
        <v>null</v>
      </c>
      <c r="AD2633" s="19" t="s">
        <v>0</v>
      </c>
      <c r="AE2633" s="18" t="str">
        <f t="shared" si="1374"/>
        <v>null</v>
      </c>
      <c r="AF2633" s="75" t="s">
        <v>0</v>
      </c>
      <c r="AG2633" s="38" t="s">
        <v>9484</v>
      </c>
    </row>
    <row r="2634" spans="1:33" ht="6" customHeight="1" x14ac:dyDescent="0.4">
      <c r="A2634" s="4">
        <f>ROW()</f>
        <v>2634</v>
      </c>
      <c r="B2634" s="9" t="s">
        <v>27</v>
      </c>
      <c r="C2634" s="44" t="str">
        <f t="shared" ref="C2634" si="1414">SUBSTITUTE(F2634,"d.","p.")</f>
        <v>p.urbanizar</v>
      </c>
      <c r="D2634" s="6" t="str">
        <f t="shared" ref="D2634" si="1415">_xlfn.CONCAT("é.",G2634)</f>
        <v>é.testada.mínima</v>
      </c>
      <c r="E2634" s="8" t="s">
        <v>28</v>
      </c>
      <c r="F2634" s="34" t="str">
        <f t="shared" si="1395"/>
        <v>d.urbanizar</v>
      </c>
      <c r="G2634" s="14" t="s">
        <v>6611</v>
      </c>
      <c r="H2634" s="33" t="s">
        <v>35</v>
      </c>
      <c r="I2634" s="92" t="str">
        <f t="shared" si="1386"/>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ref="U2634" si="1416">_xlfn.CONCAT("Propriedade destinada a ",MID(C2634,FIND("p.",C2634,1)+2,100),": ",D2634)</f>
        <v>Propriedade destinada a urbanizar: é.testada.mínima</v>
      </c>
      <c r="V2634" s="5" t="str">
        <f t="shared" ref="V2634" si="1417">_xlfn.CONCAT("Dado para ",MID(F2634,FIND("d.",F2634,1)+2,100),":  ",G2634, "  Deve ser formatado como (",H2634, ")")</f>
        <v>Dado para urbanizar:  testada.mínima  Deve ser formatado como (xsd:double)</v>
      </c>
      <c r="W2634" s="69" t="s">
        <v>6612</v>
      </c>
      <c r="X2634" s="17" t="str">
        <f t="shared" si="1402"/>
        <v>d.urban.119</v>
      </c>
      <c r="Y2634" s="17" t="str">
        <f t="shared" si="1403"/>
        <v>Ação de urbanizar</v>
      </c>
      <c r="Z2634" s="62" t="s">
        <v>6760</v>
      </c>
      <c r="AA2634" s="18" t="str">
        <f t="shared" ref="AA2634" si="1418">IF(AB2634="null", "null", "categoria.revit")</f>
        <v>null</v>
      </c>
      <c r="AB2634" s="19" t="s">
        <v>0</v>
      </c>
      <c r="AC2634" s="18" t="str">
        <f t="shared" ref="AC2634" si="1419">IF(AD2634="null", "null", "classe.ifc")</f>
        <v>null</v>
      </c>
      <c r="AD2634" s="19" t="s">
        <v>0</v>
      </c>
      <c r="AE2634" s="18" t="str">
        <f t="shared" ref="AE2634" si="1420">IF(AF2634="null", "null", "propriedade")</f>
        <v>propriedade</v>
      </c>
      <c r="AF2634" s="75" t="s">
        <v>1847</v>
      </c>
      <c r="AG2634" s="38" t="s">
        <v>9485</v>
      </c>
    </row>
    <row r="2635" spans="1:33" ht="6" customHeight="1" x14ac:dyDescent="0.4">
      <c r="A2635" s="4">
        <f>ROW()</f>
        <v>2635</v>
      </c>
      <c r="B2635" s="9" t="s">
        <v>27</v>
      </c>
      <c r="C2635" s="44" t="str">
        <f t="shared" ref="C2635" si="1421">SUBSTITUTE(F2635,"d.","p.")</f>
        <v>p.urbanizar</v>
      </c>
      <c r="D2635" s="6" t="str">
        <f t="shared" ref="D2635" si="1422">_xlfn.CONCAT("é.",G2635)</f>
        <v>é.uso.permitido</v>
      </c>
      <c r="E2635" s="8" t="s">
        <v>28</v>
      </c>
      <c r="F2635" s="34" t="str">
        <f>F2632</f>
        <v>d.urbanizar</v>
      </c>
      <c r="G2635" s="14" t="s">
        <v>6615</v>
      </c>
      <c r="H2635" s="33" t="s">
        <v>1581</v>
      </c>
      <c r="I2635" s="92" t="str">
        <f t="shared" si="1386"/>
        <v>null</v>
      </c>
      <c r="J2635" s="82" t="s">
        <v>0</v>
      </c>
      <c r="K2635" s="82" t="s">
        <v>0</v>
      </c>
      <c r="L2635" s="82" t="s">
        <v>0</v>
      </c>
      <c r="M2635" s="82" t="s">
        <v>0</v>
      </c>
      <c r="N2635" s="82" t="s">
        <v>0</v>
      </c>
      <c r="O2635" s="82" t="s">
        <v>0</v>
      </c>
      <c r="P2635" s="82" t="s">
        <v>0</v>
      </c>
      <c r="Q2635" s="82" t="s">
        <v>0</v>
      </c>
      <c r="R2635" s="84" t="s">
        <v>0</v>
      </c>
      <c r="S2635" s="10" t="s">
        <v>1</v>
      </c>
      <c r="T2635" s="10" t="s">
        <v>10221</v>
      </c>
      <c r="U2635" s="5" t="str">
        <f t="shared" ref="U2635" si="1423">_xlfn.CONCAT("Propriedade destinada a ",MID(C2635,FIND("p.",C2635,1)+2,100),": ",D2635)</f>
        <v>Propriedade destinada a urbanizar: é.uso.permitido</v>
      </c>
      <c r="V2635" s="5" t="str">
        <f t="shared" ref="V2635" si="1424">_xlfn.CONCAT("Dado para ",MID(F2635,FIND("d.",F2635,1)+2,100),":  ",G2635, "  Deve ser formatado como (",H2635, ")")</f>
        <v>Dado para urbanizar:  uso.permitido  Deve ser formatado como (rdfs:Literal  or  xsd:string)</v>
      </c>
      <c r="W2635" s="69" t="s">
        <v>6616</v>
      </c>
      <c r="X2635" s="17" t="str">
        <f t="shared" si="1402"/>
        <v>d.urban.120</v>
      </c>
      <c r="Y2635" s="17" t="str">
        <f t="shared" si="1403"/>
        <v>Ação de urbanizar</v>
      </c>
      <c r="Z2635" s="62" t="s">
        <v>7280</v>
      </c>
      <c r="AA2635" s="18" t="str">
        <f t="shared" ref="AA2635" si="1425">IF(AB2635="null", "null", "categoria.revit")</f>
        <v>null</v>
      </c>
      <c r="AB2635" s="19" t="s">
        <v>0</v>
      </c>
      <c r="AC2635" s="18" t="str">
        <f t="shared" ref="AC2635" si="1426">IF(AD2635="null", "null", "classe.ifc")</f>
        <v>null</v>
      </c>
      <c r="AD2635" s="19" t="s">
        <v>0</v>
      </c>
      <c r="AE2635" s="18" t="str">
        <f t="shared" ref="AE2635" si="1427">IF(AF2635="null", "null", "propriedade")</f>
        <v>propriedade</v>
      </c>
      <c r="AF2635" s="75" t="s">
        <v>1847</v>
      </c>
      <c r="AG2635" s="38" t="s">
        <v>9486</v>
      </c>
    </row>
    <row r="2636" spans="1:33" ht="6" customHeight="1" x14ac:dyDescent="0.4">
      <c r="A2636" s="4">
        <f>ROW()</f>
        <v>2636</v>
      </c>
      <c r="B2636" s="9" t="s">
        <v>27</v>
      </c>
      <c r="C2636" s="44" t="str">
        <f t="shared" si="1392"/>
        <v>p.urbanizar</v>
      </c>
      <c r="D2636" s="6" t="str">
        <f t="shared" si="1355"/>
        <v>é.zoneamento</v>
      </c>
      <c r="E2636" s="8" t="s">
        <v>28</v>
      </c>
      <c r="F2636" s="34" t="str">
        <f>F2634</f>
        <v>d.urbanizar</v>
      </c>
      <c r="G2636" s="14" t="s">
        <v>207</v>
      </c>
      <c r="H2636" s="33" t="s">
        <v>1581</v>
      </c>
      <c r="I2636" s="92" t="str">
        <f t="shared" si="1386"/>
        <v>null</v>
      </c>
      <c r="J2636" s="82" t="s">
        <v>0</v>
      </c>
      <c r="K2636" s="82" t="s">
        <v>0</v>
      </c>
      <c r="L2636" s="82" t="s">
        <v>0</v>
      </c>
      <c r="M2636" s="82" t="s">
        <v>0</v>
      </c>
      <c r="N2636" s="82" t="s">
        <v>0</v>
      </c>
      <c r="O2636" s="82" t="s">
        <v>0</v>
      </c>
      <c r="P2636" s="82" t="s">
        <v>0</v>
      </c>
      <c r="Q2636" s="82" t="s">
        <v>0</v>
      </c>
      <c r="R2636" s="84" t="s">
        <v>0</v>
      </c>
      <c r="S2636" s="10" t="s">
        <v>1</v>
      </c>
      <c r="T2636" s="10" t="s">
        <v>10221</v>
      </c>
      <c r="U2636" s="5" t="str">
        <f t="shared" si="1396"/>
        <v>Propriedade destinada a urbanizar: é.zoneamento</v>
      </c>
      <c r="V2636" s="5" t="str">
        <f t="shared" si="1397"/>
        <v>Dado para urbanizar:  zoneamento  Deve ser formatado como (rdfs:Literal  or  xsd:string)</v>
      </c>
      <c r="W2636" s="69" t="s">
        <v>6450</v>
      </c>
      <c r="X2636" s="17" t="str">
        <f t="shared" si="1402"/>
        <v>d.urban.121</v>
      </c>
      <c r="Y2636" s="17" t="str">
        <f t="shared" si="1403"/>
        <v>Ação de urbanizar</v>
      </c>
      <c r="Z2636" s="62" t="s">
        <v>6761</v>
      </c>
      <c r="AA2636" s="18" t="str">
        <f t="shared" si="1393"/>
        <v>null</v>
      </c>
      <c r="AB2636" s="19" t="s">
        <v>0</v>
      </c>
      <c r="AC2636" s="18" t="str">
        <f t="shared" si="1394"/>
        <v>null</v>
      </c>
      <c r="AD2636" s="19" t="s">
        <v>0</v>
      </c>
      <c r="AE2636" s="18" t="str">
        <f t="shared" si="1374"/>
        <v>propriedade</v>
      </c>
      <c r="AF2636" s="75" t="s">
        <v>1847</v>
      </c>
      <c r="AG2636" s="38" t="s">
        <v>9487</v>
      </c>
    </row>
    <row r="2637" spans="1:33" ht="6" customHeight="1" x14ac:dyDescent="0.4">
      <c r="A2637" s="4">
        <f>ROW()</f>
        <v>2637</v>
      </c>
      <c r="B2637" s="9" t="s">
        <v>27</v>
      </c>
      <c r="C2637" s="44" t="str">
        <f t="shared" si="1392"/>
        <v>p.urbanizar</v>
      </c>
      <c r="D2637" s="6" t="str">
        <f t="shared" si="1355"/>
        <v>é.zoneamento.paa</v>
      </c>
      <c r="E2637" s="8" t="s">
        <v>28</v>
      </c>
      <c r="F2637" s="34" t="str">
        <f>F2633</f>
        <v>d.urbanizar</v>
      </c>
      <c r="G2637" s="13" t="s">
        <v>7275</v>
      </c>
      <c r="H2637" s="34" t="s">
        <v>1581</v>
      </c>
      <c r="I2637" s="92" t="str">
        <f t="shared" si="1386"/>
        <v>null</v>
      </c>
      <c r="J2637" s="80" t="s">
        <v>0</v>
      </c>
      <c r="K2637" s="80" t="s">
        <v>0</v>
      </c>
      <c r="L2637" s="80" t="s">
        <v>0</v>
      </c>
      <c r="M2637" s="80" t="s">
        <v>0</v>
      </c>
      <c r="N2637" s="80" t="s">
        <v>0</v>
      </c>
      <c r="O2637" s="80" t="s">
        <v>0</v>
      </c>
      <c r="P2637" s="80" t="s">
        <v>0</v>
      </c>
      <c r="Q2637" s="80" t="s">
        <v>0</v>
      </c>
      <c r="R2637" s="84" t="s">
        <v>0</v>
      </c>
      <c r="S2637" s="10" t="s">
        <v>1</v>
      </c>
      <c r="T2637" s="10" t="s">
        <v>10221</v>
      </c>
      <c r="U2637" s="5" t="str">
        <f t="shared" si="1396"/>
        <v>Propriedade destinada a urbanizar: é.zoneamento.paa</v>
      </c>
      <c r="V2637" s="5" t="str">
        <f t="shared" si="1397"/>
        <v>Dado para urbanizar:  zoneamento.paa  Deve ser formatado como (rdfs:Literal  or  xsd:string)</v>
      </c>
      <c r="W2637" s="69" t="s">
        <v>7277</v>
      </c>
      <c r="X2637" s="17" t="str">
        <f t="shared" si="1402"/>
        <v>d.urban.122</v>
      </c>
      <c r="Y2637" s="17" t="str">
        <f t="shared" si="1403"/>
        <v>Ação de urbanizar</v>
      </c>
      <c r="Z2637" s="62" t="s">
        <v>7279</v>
      </c>
      <c r="AA2637" s="18" t="str">
        <f t="shared" si="1393"/>
        <v>null</v>
      </c>
      <c r="AB2637" s="19" t="s">
        <v>0</v>
      </c>
      <c r="AC2637" s="18" t="str">
        <f t="shared" si="1394"/>
        <v>null</v>
      </c>
      <c r="AD2637" s="19" t="s">
        <v>0</v>
      </c>
      <c r="AE2637" s="18" t="str">
        <f t="shared" si="1374"/>
        <v>null</v>
      </c>
      <c r="AF2637" s="75" t="s">
        <v>0</v>
      </c>
      <c r="AG2637" s="62" t="s">
        <v>9488</v>
      </c>
    </row>
    <row r="2638" spans="1:33" ht="6" customHeight="1" x14ac:dyDescent="0.4">
      <c r="A2638" s="4">
        <f>ROW()</f>
        <v>2638</v>
      </c>
      <c r="B2638" s="9" t="s">
        <v>27</v>
      </c>
      <c r="C2638" s="44" t="str">
        <f t="shared" si="1392"/>
        <v>p.urbanizar</v>
      </c>
      <c r="D2638" s="6" t="str">
        <f t="shared" si="1355"/>
        <v>é.zoneamento.pal</v>
      </c>
      <c r="E2638" s="8" t="s">
        <v>28</v>
      </c>
      <c r="F2638" s="34" t="str">
        <f>F2634</f>
        <v>d.urbanizar</v>
      </c>
      <c r="G2638" s="13" t="s">
        <v>7276</v>
      </c>
      <c r="H2638" s="33" t="s">
        <v>36</v>
      </c>
      <c r="I2638" s="92" t="str">
        <f t="shared" si="1386"/>
        <v>null</v>
      </c>
      <c r="J2638" s="80" t="s">
        <v>0</v>
      </c>
      <c r="K2638" s="80" t="s">
        <v>0</v>
      </c>
      <c r="L2638" s="80" t="s">
        <v>0</v>
      </c>
      <c r="M2638" s="80" t="s">
        <v>0</v>
      </c>
      <c r="N2638" s="80" t="s">
        <v>0</v>
      </c>
      <c r="O2638" s="80" t="s">
        <v>0</v>
      </c>
      <c r="P2638" s="80" t="s">
        <v>0</v>
      </c>
      <c r="Q2638" s="80" t="s">
        <v>0</v>
      </c>
      <c r="R2638" s="84" t="s">
        <v>0</v>
      </c>
      <c r="S2638" s="10" t="s">
        <v>1</v>
      </c>
      <c r="T2638" s="10" t="s">
        <v>10221</v>
      </c>
      <c r="U2638" s="5" t="str">
        <f t="shared" si="1396"/>
        <v>Propriedade destinada a urbanizar: é.zoneamento.pal</v>
      </c>
      <c r="V2638" s="5" t="str">
        <f t="shared" si="1397"/>
        <v>Dado para urbanizar:  zoneamento.pal  Deve ser formatado como (xsd:boolean)</v>
      </c>
      <c r="W2638" s="69" t="s">
        <v>7278</v>
      </c>
      <c r="X2638" s="17" t="str">
        <f t="shared" si="1402"/>
        <v>d.urban.123</v>
      </c>
      <c r="Y2638" s="17" t="str">
        <f t="shared" si="1403"/>
        <v>Ação de urbanizar</v>
      </c>
      <c r="Z2638" s="62" t="s">
        <v>7281</v>
      </c>
      <c r="AA2638" s="18" t="str">
        <f t="shared" si="1393"/>
        <v>null</v>
      </c>
      <c r="AB2638" s="19" t="s">
        <v>0</v>
      </c>
      <c r="AC2638" s="18" t="str">
        <f t="shared" si="1394"/>
        <v>null</v>
      </c>
      <c r="AD2638" s="19" t="s">
        <v>0</v>
      </c>
      <c r="AE2638" s="18" t="str">
        <f t="shared" si="1374"/>
        <v>null</v>
      </c>
      <c r="AF2638" s="75" t="s">
        <v>0</v>
      </c>
      <c r="AG2638" s="62" t="s">
        <v>9489</v>
      </c>
    </row>
    <row r="2639" spans="1:33" ht="6" customHeight="1" x14ac:dyDescent="0.4">
      <c r="A2639" s="4">
        <f>ROW()</f>
        <v>2639</v>
      </c>
      <c r="B2639" s="9" t="s">
        <v>27</v>
      </c>
      <c r="C2639" s="43" t="str">
        <f t="shared" si="1392"/>
        <v>p.ver</v>
      </c>
      <c r="D2639" s="6" t="str">
        <f t="shared" si="1355"/>
        <v>é.campo.visual.id</v>
      </c>
      <c r="E2639" s="8" t="s">
        <v>28</v>
      </c>
      <c r="F2639" s="41" t="s">
        <v>3744</v>
      </c>
      <c r="G2639" s="14" t="s">
        <v>3758</v>
      </c>
      <c r="H2639" s="33" t="s">
        <v>1581</v>
      </c>
      <c r="I2639" s="92" t="str">
        <f t="shared" si="1386"/>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96"/>
        <v>Propriedade destinada a ver: é.campo.visual.id</v>
      </c>
      <c r="V2639" s="5" t="str">
        <f t="shared" si="1397"/>
        <v>Dado para ver:  campo.visual.id  Deve ser formatado como (rdfs:Literal  or  xsd:string)</v>
      </c>
      <c r="W2639" s="69" t="s">
        <v>3757</v>
      </c>
      <c r="X2639" s="17" t="str">
        <f t="shared" si="1402"/>
        <v>d.ver.100</v>
      </c>
      <c r="Y2639" s="17" t="str">
        <f t="shared" si="1403"/>
        <v>Ação de ver</v>
      </c>
      <c r="Z2639" s="62" t="s">
        <v>3835</v>
      </c>
      <c r="AA2639" s="18" t="str">
        <f t="shared" si="1393"/>
        <v>null</v>
      </c>
      <c r="AB2639" s="19" t="s">
        <v>0</v>
      </c>
      <c r="AC2639" s="18" t="str">
        <f t="shared" si="1394"/>
        <v>null</v>
      </c>
      <c r="AD2639" s="19" t="s">
        <v>0</v>
      </c>
      <c r="AE2639" s="18" t="str">
        <f t="shared" si="1374"/>
        <v>null</v>
      </c>
      <c r="AF2639" s="75" t="s">
        <v>0</v>
      </c>
      <c r="AG2639" s="38" t="s">
        <v>9490</v>
      </c>
    </row>
    <row r="2640" spans="1:33" ht="6" customHeight="1" x14ac:dyDescent="0.4">
      <c r="A2640" s="4">
        <f>ROW()</f>
        <v>2640</v>
      </c>
      <c r="B2640" s="9" t="s">
        <v>27</v>
      </c>
      <c r="C2640" s="44" t="str">
        <f>SUBSTITUTE(F2640,"d.","p.")</f>
        <v>p.ver</v>
      </c>
      <c r="D2640" s="6" t="str">
        <f t="shared" si="1355"/>
        <v>é.campo.visual.ângulo</v>
      </c>
      <c r="E2640" s="8" t="s">
        <v>28</v>
      </c>
      <c r="F2640" s="34" t="str">
        <f>F2639</f>
        <v>d.ver</v>
      </c>
      <c r="G2640" s="14" t="s">
        <v>3756</v>
      </c>
      <c r="H2640" s="34" t="s">
        <v>35</v>
      </c>
      <c r="I2640" s="92" t="str">
        <f t="shared" si="1386"/>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si="1396"/>
        <v>Propriedade destinada a ver: é.campo.visual.ângulo</v>
      </c>
      <c r="V2640" s="5" t="str">
        <f t="shared" si="1397"/>
        <v>Dado para ver:  campo.visual.ângulo  Deve ser formatado como (xsd:double)</v>
      </c>
      <c r="W2640" s="69" t="s">
        <v>3748</v>
      </c>
      <c r="X2640" s="17" t="str">
        <f t="shared" si="1402"/>
        <v>d.ver.101</v>
      </c>
      <c r="Y2640" s="17" t="str">
        <f t="shared" si="1403"/>
        <v>Ação de ver</v>
      </c>
      <c r="Z2640" s="62" t="s">
        <v>3836</v>
      </c>
      <c r="AA2640" s="18" t="str">
        <f t="shared" si="1393"/>
        <v>null</v>
      </c>
      <c r="AB2640" s="19" t="s">
        <v>0</v>
      </c>
      <c r="AC2640" s="18" t="str">
        <f t="shared" si="1394"/>
        <v>null</v>
      </c>
      <c r="AD2640" s="19" t="s">
        <v>0</v>
      </c>
      <c r="AE2640" s="18" t="str">
        <f t="shared" si="1374"/>
        <v>null</v>
      </c>
      <c r="AF2640" s="75" t="s">
        <v>0</v>
      </c>
      <c r="AG2640" s="38" t="s">
        <v>9491</v>
      </c>
    </row>
    <row r="2641" spans="1:33" ht="6" customHeight="1" x14ac:dyDescent="0.4">
      <c r="A2641" s="4">
        <f>ROW()</f>
        <v>2641</v>
      </c>
      <c r="B2641" s="9" t="s">
        <v>27</v>
      </c>
      <c r="C2641" s="44" t="str">
        <f t="shared" ref="C2641:C2657" si="1428">SUBSTITUTE(F2641,"d.","p.")</f>
        <v>p.ver</v>
      </c>
      <c r="D2641" s="6" t="str">
        <f t="shared" si="1355"/>
        <v>é.campo.visual.área</v>
      </c>
      <c r="E2641" s="8" t="s">
        <v>28</v>
      </c>
      <c r="F2641" s="34" t="str">
        <f>F2639</f>
        <v>d.ver</v>
      </c>
      <c r="G2641" s="14" t="s">
        <v>3755</v>
      </c>
      <c r="H2641" s="34" t="s">
        <v>35</v>
      </c>
      <c r="I2641" s="92" t="str">
        <f t="shared" si="1386"/>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96"/>
        <v>Propriedade destinada a ver: é.campo.visual.área</v>
      </c>
      <c r="V2641" s="5" t="str">
        <f t="shared" si="1397"/>
        <v>Dado para ver:  campo.visual.área  Deve ser formatado como (xsd:double)</v>
      </c>
      <c r="W2641" s="69" t="s">
        <v>3762</v>
      </c>
      <c r="X2641" s="17" t="str">
        <f t="shared" si="1402"/>
        <v>d.ver.102</v>
      </c>
      <c r="Y2641" s="17" t="str">
        <f t="shared" si="1403"/>
        <v>Ação de ver</v>
      </c>
      <c r="Z2641" s="62" t="s">
        <v>3837</v>
      </c>
      <c r="AA2641" s="18" t="str">
        <f t="shared" si="1393"/>
        <v>null</v>
      </c>
      <c r="AB2641" s="19" t="s">
        <v>0</v>
      </c>
      <c r="AC2641" s="18" t="str">
        <f t="shared" si="1394"/>
        <v>null</v>
      </c>
      <c r="AD2641" s="19" t="s">
        <v>0</v>
      </c>
      <c r="AE2641" s="18" t="str">
        <f t="shared" si="1374"/>
        <v>null</v>
      </c>
      <c r="AF2641" s="75" t="s">
        <v>0</v>
      </c>
      <c r="AG2641" s="38" t="s">
        <v>9492</v>
      </c>
    </row>
    <row r="2642" spans="1:33" ht="6" customHeight="1" x14ac:dyDescent="0.4">
      <c r="A2642" s="4">
        <f>ROW()</f>
        <v>2642</v>
      </c>
      <c r="B2642" s="9" t="s">
        <v>27</v>
      </c>
      <c r="C2642" s="44" t="str">
        <f t="shared" si="1428"/>
        <v>p.ver</v>
      </c>
      <c r="D2642" s="6" t="str">
        <f t="shared" si="1355"/>
        <v>é.campo.visual.característica</v>
      </c>
      <c r="E2642" s="8" t="s">
        <v>28</v>
      </c>
      <c r="F2642" s="34" t="str">
        <f t="shared" ref="F2642:F2648" si="1429">F2640</f>
        <v>d.ver</v>
      </c>
      <c r="G2642" s="14" t="s">
        <v>3760</v>
      </c>
      <c r="H2642" s="33" t="s">
        <v>1581</v>
      </c>
      <c r="I2642" s="92" t="str">
        <f t="shared" si="1386"/>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si="1396"/>
        <v>Propriedade destinada a ver: é.campo.visual.característica</v>
      </c>
      <c r="V2642" s="5" t="str">
        <f t="shared" si="1397"/>
        <v>Dado para ver:  campo.visual.característica  Deve ser formatado como (rdfs:Literal  or  xsd:string)</v>
      </c>
      <c r="W2642" s="69" t="s">
        <v>3761</v>
      </c>
      <c r="X2642" s="17" t="str">
        <f t="shared" si="1402"/>
        <v>d.ver.103</v>
      </c>
      <c r="Y2642" s="17" t="str">
        <f t="shared" si="1403"/>
        <v>Ação de ver</v>
      </c>
      <c r="Z2642" s="62" t="s">
        <v>3838</v>
      </c>
      <c r="AA2642" s="18" t="str">
        <f t="shared" si="1393"/>
        <v>null</v>
      </c>
      <c r="AB2642" s="19" t="s">
        <v>0</v>
      </c>
      <c r="AC2642" s="18" t="str">
        <f t="shared" si="1394"/>
        <v>null</v>
      </c>
      <c r="AD2642" s="19" t="s">
        <v>0</v>
      </c>
      <c r="AE2642" s="18" t="str">
        <f t="shared" si="1374"/>
        <v>null</v>
      </c>
      <c r="AF2642" s="75" t="s">
        <v>0</v>
      </c>
      <c r="AG2642" s="38" t="s">
        <v>9493</v>
      </c>
    </row>
    <row r="2643" spans="1:33" ht="6" customHeight="1" x14ac:dyDescent="0.4">
      <c r="A2643" s="4">
        <f>ROW()</f>
        <v>2643</v>
      </c>
      <c r="B2643" s="9" t="s">
        <v>27</v>
      </c>
      <c r="C2643" s="44" t="str">
        <f t="shared" si="1428"/>
        <v>p.ver</v>
      </c>
      <c r="D2643" s="6" t="str">
        <f t="shared" si="1355"/>
        <v>é.campo.visual.profundidade</v>
      </c>
      <c r="E2643" s="8" t="s">
        <v>28</v>
      </c>
      <c r="F2643" s="34" t="str">
        <f t="shared" si="1429"/>
        <v>d.ver</v>
      </c>
      <c r="G2643" s="14" t="s">
        <v>3759</v>
      </c>
      <c r="H2643" s="34" t="s">
        <v>35</v>
      </c>
      <c r="I2643" s="92" t="str">
        <f t="shared" si="1386"/>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si="1396"/>
        <v>Propriedade destinada a ver: é.campo.visual.profundidade</v>
      </c>
      <c r="V2643" s="5" t="str">
        <f t="shared" si="1397"/>
        <v>Dado para ver:  campo.visual.profundidade  Deve ser formatado como (xsd:double)</v>
      </c>
      <c r="W2643" s="69" t="s">
        <v>3749</v>
      </c>
      <c r="X2643" s="17" t="str">
        <f t="shared" si="1402"/>
        <v>d.ver.104</v>
      </c>
      <c r="Y2643" s="17" t="str">
        <f t="shared" si="1403"/>
        <v>Ação de ver</v>
      </c>
      <c r="Z2643" s="62" t="s">
        <v>3839</v>
      </c>
      <c r="AA2643" s="18" t="str">
        <f t="shared" si="1393"/>
        <v>null</v>
      </c>
      <c r="AB2643" s="19" t="s">
        <v>0</v>
      </c>
      <c r="AC2643" s="18" t="str">
        <f t="shared" si="1394"/>
        <v>null</v>
      </c>
      <c r="AD2643" s="19" t="s">
        <v>0</v>
      </c>
      <c r="AE2643" s="18" t="str">
        <f t="shared" si="1374"/>
        <v>null</v>
      </c>
      <c r="AF2643" s="75" t="s">
        <v>0</v>
      </c>
      <c r="AG2643" s="38" t="s">
        <v>9494</v>
      </c>
    </row>
    <row r="2644" spans="1:33" ht="6" customHeight="1" x14ac:dyDescent="0.4">
      <c r="A2644" s="4">
        <f>ROW()</f>
        <v>2644</v>
      </c>
      <c r="B2644" s="9" t="s">
        <v>27</v>
      </c>
      <c r="C2644" s="44" t="str">
        <f t="shared" si="1428"/>
        <v>p.ver</v>
      </c>
      <c r="D2644" s="6" t="str">
        <f t="shared" si="1355"/>
        <v>é.imagem.histórica</v>
      </c>
      <c r="E2644" s="8" t="s">
        <v>28</v>
      </c>
      <c r="F2644" s="34" t="str">
        <f t="shared" si="1429"/>
        <v>d.ver</v>
      </c>
      <c r="G2644" s="14" t="s">
        <v>3752</v>
      </c>
      <c r="H2644" s="33" t="s">
        <v>1581</v>
      </c>
      <c r="I2644" s="92" t="str">
        <f t="shared" si="1386"/>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96"/>
        <v>Propriedade destinada a ver: é.imagem.histórica</v>
      </c>
      <c r="V2644" s="5" t="str">
        <f t="shared" si="1397"/>
        <v>Dado para ver:  imagem.histórica  Deve ser formatado como (rdfs:Literal  or  xsd:string)</v>
      </c>
      <c r="W2644" s="69" t="s">
        <v>3753</v>
      </c>
      <c r="X2644" s="17" t="str">
        <f t="shared" si="1402"/>
        <v>d.ver.105</v>
      </c>
      <c r="Y2644" s="17" t="str">
        <f t="shared" si="1403"/>
        <v>Ação de ver</v>
      </c>
      <c r="Z2644" s="62" t="s">
        <v>3840</v>
      </c>
      <c r="AA2644" s="18" t="str">
        <f>IF(AB2644="null", "null", "categoria.revit")</f>
        <v>null</v>
      </c>
      <c r="AB2644" s="19" t="s">
        <v>0</v>
      </c>
      <c r="AC2644" s="18" t="str">
        <f>IF(AD2644="null", "null", "classe.ifc")</f>
        <v>null</v>
      </c>
      <c r="AD2644" s="19" t="s">
        <v>0</v>
      </c>
      <c r="AE2644" s="18" t="str">
        <f>IF(AF2644="null", "null", "propriedade")</f>
        <v>null</v>
      </c>
      <c r="AF2644" s="75" t="s">
        <v>0</v>
      </c>
      <c r="AG2644" s="38" t="s">
        <v>9495</v>
      </c>
    </row>
    <row r="2645" spans="1:33" ht="6" customHeight="1" x14ac:dyDescent="0.4">
      <c r="A2645" s="4">
        <f>ROW()</f>
        <v>2645</v>
      </c>
      <c r="B2645" s="9" t="s">
        <v>27</v>
      </c>
      <c r="C2645" s="44" t="str">
        <f t="shared" si="1428"/>
        <v>p.ver</v>
      </c>
      <c r="D2645" s="6" t="str">
        <f t="shared" si="1355"/>
        <v>é.intervisível.com</v>
      </c>
      <c r="E2645" s="8" t="s">
        <v>28</v>
      </c>
      <c r="F2645" s="34" t="str">
        <f t="shared" si="1429"/>
        <v>d.ver</v>
      </c>
      <c r="G2645" s="14" t="s">
        <v>3845</v>
      </c>
      <c r="H2645" s="34" t="s">
        <v>1581</v>
      </c>
      <c r="I2645" s="92" t="str">
        <f t="shared" si="1386"/>
        <v>null</v>
      </c>
      <c r="J2645" s="82" t="s">
        <v>0</v>
      </c>
      <c r="K2645" s="82" t="s">
        <v>0</v>
      </c>
      <c r="L2645" s="82" t="s">
        <v>0</v>
      </c>
      <c r="M2645" s="82" t="s">
        <v>0</v>
      </c>
      <c r="N2645" s="82" t="s">
        <v>0</v>
      </c>
      <c r="O2645" s="82" t="s">
        <v>0</v>
      </c>
      <c r="P2645" s="82" t="s">
        <v>0</v>
      </c>
      <c r="Q2645" s="82" t="s">
        <v>0</v>
      </c>
      <c r="R2645" s="84" t="s">
        <v>0</v>
      </c>
      <c r="S2645" s="10" t="s">
        <v>1</v>
      </c>
      <c r="T2645" s="10" t="s">
        <v>10221</v>
      </c>
      <c r="U2645" s="5" t="str">
        <f t="shared" si="1396"/>
        <v>Propriedade destinada a ver: é.intervisível.com</v>
      </c>
      <c r="V2645" s="5" t="str">
        <f t="shared" si="1397"/>
        <v>Dado para ver:  intervisível.com  Deve ser formatado como (rdfs:Literal  or  xsd:string)</v>
      </c>
      <c r="W2645" s="69" t="s">
        <v>3754</v>
      </c>
      <c r="X2645" s="17" t="str">
        <f t="shared" si="1402"/>
        <v>d.ver.106</v>
      </c>
      <c r="Y2645" s="17" t="str">
        <f t="shared" si="1403"/>
        <v>Ação de ver</v>
      </c>
      <c r="Z2645" s="62" t="s">
        <v>3844</v>
      </c>
      <c r="AA2645" s="18" t="str">
        <f>IF(AB2645="null", "null", "categoria.revit")</f>
        <v>null</v>
      </c>
      <c r="AB2645" s="19" t="s">
        <v>0</v>
      </c>
      <c r="AC2645" s="18" t="str">
        <f>IF(AD2645="null", "null", "classe.ifc")</f>
        <v>null</v>
      </c>
      <c r="AD2645" s="19" t="s">
        <v>0</v>
      </c>
      <c r="AE2645" s="18" t="str">
        <f>IF(AF2645="null", "null", "propriedade")</f>
        <v>null</v>
      </c>
      <c r="AF2645" s="75" t="s">
        <v>0</v>
      </c>
      <c r="AG2645" s="38" t="s">
        <v>9496</v>
      </c>
    </row>
    <row r="2646" spans="1:33" ht="6" customHeight="1" x14ac:dyDescent="0.4">
      <c r="A2646" s="4">
        <f>ROW()</f>
        <v>2646</v>
      </c>
      <c r="B2646" s="9" t="s">
        <v>27</v>
      </c>
      <c r="C2646" s="44" t="str">
        <f t="shared" si="1428"/>
        <v>p.ver</v>
      </c>
      <c r="D2646" s="6" t="str">
        <f t="shared" si="1355"/>
        <v>é.polígono.isovista</v>
      </c>
      <c r="E2646" s="8" t="s">
        <v>28</v>
      </c>
      <c r="F2646" s="34" t="str">
        <f t="shared" si="1429"/>
        <v>d.ver</v>
      </c>
      <c r="G2646" s="14" t="s">
        <v>3751</v>
      </c>
      <c r="H2646" s="33" t="s">
        <v>1581</v>
      </c>
      <c r="I2646" s="92" t="str">
        <f t="shared" si="1386"/>
        <v>null</v>
      </c>
      <c r="J2646" s="82" t="s">
        <v>0</v>
      </c>
      <c r="K2646" s="82" t="s">
        <v>0</v>
      </c>
      <c r="L2646" s="82" t="s">
        <v>0</v>
      </c>
      <c r="M2646" s="82" t="s">
        <v>0</v>
      </c>
      <c r="N2646" s="82" t="s">
        <v>0</v>
      </c>
      <c r="O2646" s="82" t="s">
        <v>0</v>
      </c>
      <c r="P2646" s="82" t="s">
        <v>0</v>
      </c>
      <c r="Q2646" s="82" t="s">
        <v>0</v>
      </c>
      <c r="R2646" s="84" t="s">
        <v>0</v>
      </c>
      <c r="S2646" s="10" t="s">
        <v>1</v>
      </c>
      <c r="T2646" s="10" t="s">
        <v>10221</v>
      </c>
      <c r="U2646" s="5" t="str">
        <f t="shared" si="1396"/>
        <v>Propriedade destinada a ver: é.polígono.isovista</v>
      </c>
      <c r="V2646" s="5" t="str">
        <f t="shared" si="1397"/>
        <v>Dado para ver:  polígono.isovista  Deve ser formatado como (rdfs:Literal  or  xsd:string)</v>
      </c>
      <c r="W2646" s="69" t="s">
        <v>3750</v>
      </c>
      <c r="X2646" s="17" t="str">
        <f t="shared" si="1402"/>
        <v>d.ver.107</v>
      </c>
      <c r="Y2646" s="17" t="str">
        <f t="shared" si="1403"/>
        <v>Ação de ver</v>
      </c>
      <c r="Z2646" s="62" t="s">
        <v>3841</v>
      </c>
      <c r="AA2646" s="18" t="str">
        <f>IF(AB2646="null", "null", "categoria.revit")</f>
        <v>null</v>
      </c>
      <c r="AB2646" s="19" t="s">
        <v>0</v>
      </c>
      <c r="AC2646" s="18" t="str">
        <f>IF(AD2646="null", "null", "classe.ifc")</f>
        <v>null</v>
      </c>
      <c r="AD2646" s="19" t="s">
        <v>0</v>
      </c>
      <c r="AE2646" s="18" t="str">
        <f>IF(AF2646="null", "null", "propriedade")</f>
        <v>null</v>
      </c>
      <c r="AF2646" s="75" t="s">
        <v>0</v>
      </c>
      <c r="AG2646" s="38" t="s">
        <v>9497</v>
      </c>
    </row>
    <row r="2647" spans="1:33" ht="6" customHeight="1" x14ac:dyDescent="0.4">
      <c r="A2647" s="4">
        <f>ROW()</f>
        <v>2647</v>
      </c>
      <c r="B2647" s="9" t="s">
        <v>27</v>
      </c>
      <c r="C2647" s="44" t="str">
        <f t="shared" si="1428"/>
        <v>p.ver</v>
      </c>
      <c r="D2647" s="6" t="str">
        <f t="shared" si="1355"/>
        <v>é.ponto.de.isovista.parcial</v>
      </c>
      <c r="E2647" s="8" t="s">
        <v>28</v>
      </c>
      <c r="F2647" s="34" t="str">
        <f t="shared" si="1429"/>
        <v>d.ver</v>
      </c>
      <c r="G2647" s="14" t="s">
        <v>3746</v>
      </c>
      <c r="H2647" s="33" t="s">
        <v>1581</v>
      </c>
      <c r="I2647" s="92" t="str">
        <f t="shared" si="1386"/>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96"/>
        <v>Propriedade destinada a ver: é.ponto.de.isovista.parcial</v>
      </c>
      <c r="V2647" s="5" t="str">
        <f t="shared" si="1397"/>
        <v>Dado para ver:  ponto.de.isovista.parcial  Deve ser formatado como (rdfs:Literal  or  xsd:string)</v>
      </c>
      <c r="W2647" s="69" t="s">
        <v>6451</v>
      </c>
      <c r="X2647" s="17" t="str">
        <f t="shared" si="1402"/>
        <v>d.ver.108</v>
      </c>
      <c r="Y2647" s="17" t="str">
        <f t="shared" si="1403"/>
        <v>Ação de ver</v>
      </c>
      <c r="Z2647" s="62" t="s">
        <v>3842</v>
      </c>
      <c r="AA2647" s="18" t="str">
        <f>IF(AB2647="null", "null", "categoria.revit")</f>
        <v>null</v>
      </c>
      <c r="AB2647" s="19" t="s">
        <v>0</v>
      </c>
      <c r="AC2647" s="18" t="str">
        <f>IF(AD2647="null", "null", "classe.ifc")</f>
        <v>null</v>
      </c>
      <c r="AD2647" s="19" t="s">
        <v>0</v>
      </c>
      <c r="AE2647" s="18" t="str">
        <f>IF(AF2647="null", "null", "propriedade")</f>
        <v>null</v>
      </c>
      <c r="AF2647" s="75" t="s">
        <v>0</v>
      </c>
      <c r="AG2647" s="38" t="s">
        <v>9498</v>
      </c>
    </row>
    <row r="2648" spans="1:33" ht="6" customHeight="1" x14ac:dyDescent="0.4">
      <c r="A2648" s="4">
        <f>ROW()</f>
        <v>2648</v>
      </c>
      <c r="B2648" s="9" t="s">
        <v>27</v>
      </c>
      <c r="C2648" s="44" t="str">
        <f t="shared" si="1428"/>
        <v>p.ver</v>
      </c>
      <c r="D2648" s="6" t="str">
        <f t="shared" si="1355"/>
        <v>é.ponto.de.isovista.total</v>
      </c>
      <c r="E2648" s="8" t="s">
        <v>28</v>
      </c>
      <c r="F2648" s="34" t="str">
        <f t="shared" si="1429"/>
        <v>d.ver</v>
      </c>
      <c r="G2648" s="14" t="s">
        <v>3745</v>
      </c>
      <c r="H2648" s="33" t="s">
        <v>1581</v>
      </c>
      <c r="I2648" s="92" t="str">
        <f t="shared" si="1386"/>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96"/>
        <v>Propriedade destinada a ver: é.ponto.de.isovista.total</v>
      </c>
      <c r="V2648" s="5" t="str">
        <f t="shared" si="1397"/>
        <v>Dado para ver:  ponto.de.isovista.total  Deve ser formatado como (rdfs:Literal  or  xsd:string)</v>
      </c>
      <c r="W2648" s="69" t="s">
        <v>3747</v>
      </c>
      <c r="X2648" s="17" t="str">
        <f t="shared" si="1402"/>
        <v>d.ver.109</v>
      </c>
      <c r="Y2648" s="17" t="str">
        <f t="shared" si="1403"/>
        <v>Ação de ver</v>
      </c>
      <c r="Z2648" s="62" t="s">
        <v>3843</v>
      </c>
      <c r="AA2648" s="18" t="str">
        <f>IF(AB2648="null", "null", "categoria.revit")</f>
        <v>null</v>
      </c>
      <c r="AB2648" s="19" t="s">
        <v>0</v>
      </c>
      <c r="AC2648" s="18" t="str">
        <f>IF(AD2648="null", "null", "classe.ifc")</f>
        <v>null</v>
      </c>
      <c r="AD2648" s="19" t="s">
        <v>0</v>
      </c>
      <c r="AE2648" s="18" t="str">
        <f>IF(AF2648="null", "null", "propriedade")</f>
        <v>null</v>
      </c>
      <c r="AF2648" s="75" t="s">
        <v>0</v>
      </c>
      <c r="AG2648" s="38" t="s">
        <v>9499</v>
      </c>
    </row>
    <row r="2649" spans="1:33" ht="6" customHeight="1" x14ac:dyDescent="0.4">
      <c r="A2649" s="4">
        <f>ROW()</f>
        <v>2649</v>
      </c>
      <c r="B2649" s="9" t="s">
        <v>27</v>
      </c>
      <c r="C2649" s="43" t="str">
        <f t="shared" si="1428"/>
        <v>p.vestir</v>
      </c>
      <c r="D2649" s="6" t="str">
        <f t="shared" si="1355"/>
        <v>é.calçado.especial</v>
      </c>
      <c r="E2649" s="8" t="s">
        <v>28</v>
      </c>
      <c r="F2649" s="41" t="s">
        <v>2243</v>
      </c>
      <c r="G2649" s="14" t="s">
        <v>7299</v>
      </c>
      <c r="H2649" s="33" t="s">
        <v>36</v>
      </c>
      <c r="I2649" s="92" t="str">
        <f t="shared" si="1386"/>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96"/>
        <v>Propriedade destinada a vestir: é.calçado.especial</v>
      </c>
      <c r="V2649" s="5" t="str">
        <f t="shared" si="1397"/>
        <v>Dado para vestir:  calçado.especial  Deve ser formatado como (xsd:boolean)</v>
      </c>
      <c r="W2649" s="69" t="s">
        <v>7315</v>
      </c>
      <c r="X2649" s="17" t="str">
        <f t="shared" si="1402"/>
        <v>d.vesti.100</v>
      </c>
      <c r="Y2649" s="17" t="str">
        <f t="shared" si="1403"/>
        <v>Ação de vestir</v>
      </c>
      <c r="Z2649" s="62" t="s">
        <v>7300</v>
      </c>
      <c r="AA2649" s="18" t="str">
        <f t="shared" ref="AA2649:AA2657" si="1430">IF(AB2649="null", "null", "categoria.revit")</f>
        <v>null</v>
      </c>
      <c r="AB2649" s="19" t="s">
        <v>0</v>
      </c>
      <c r="AC2649" s="18" t="str">
        <f t="shared" ref="AC2649:AC2657" si="1431">IF(AD2649="null", "null", "classe.ifc")</f>
        <v>null</v>
      </c>
      <c r="AD2649" s="19" t="s">
        <v>0</v>
      </c>
      <c r="AE2649" s="18" t="str">
        <f t="shared" ref="AE2649:AE2657" si="1432">IF(AF2649="null", "null", "propriedade")</f>
        <v>propriedade</v>
      </c>
      <c r="AF2649" s="75" t="s">
        <v>9814</v>
      </c>
      <c r="AG2649" s="38" t="s">
        <v>9500</v>
      </c>
    </row>
    <row r="2650" spans="1:33" ht="6" customHeight="1" x14ac:dyDescent="0.4">
      <c r="A2650" s="4">
        <f>ROW()</f>
        <v>2650</v>
      </c>
      <c r="B2650" s="9" t="s">
        <v>27</v>
      </c>
      <c r="C2650" s="44" t="str">
        <f t="shared" si="1428"/>
        <v>p.vestir</v>
      </c>
      <c r="D2650" s="6" t="str">
        <f t="shared" si="1355"/>
        <v>é.capacete</v>
      </c>
      <c r="E2650" s="8" t="s">
        <v>28</v>
      </c>
      <c r="F2650" s="34" t="str">
        <f t="shared" ref="F2650:F2655" si="1433">F2649</f>
        <v>d.vestir</v>
      </c>
      <c r="G2650" s="14" t="s">
        <v>301</v>
      </c>
      <c r="H2650" s="33" t="s">
        <v>36</v>
      </c>
      <c r="I2650" s="92" t="str">
        <f t="shared" si="1386"/>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96"/>
        <v>Propriedade destinada a vestir: é.capacete</v>
      </c>
      <c r="V2650" s="5" t="str">
        <f t="shared" si="1397"/>
        <v>Dado para vestir:  capacete  Deve ser formatado como (xsd:boolean)</v>
      </c>
      <c r="W2650" s="69" t="s">
        <v>7316</v>
      </c>
      <c r="X2650" s="17" t="str">
        <f t="shared" si="1402"/>
        <v>d.vesti.101</v>
      </c>
      <c r="Y2650" s="17" t="str">
        <f t="shared" si="1403"/>
        <v>Ação de vestir</v>
      </c>
      <c r="Z2650" s="62" t="s">
        <v>7301</v>
      </c>
      <c r="AA2650" s="18" t="str">
        <f t="shared" si="1430"/>
        <v>null</v>
      </c>
      <c r="AB2650" s="19" t="s">
        <v>0</v>
      </c>
      <c r="AC2650" s="18" t="str">
        <f t="shared" si="1431"/>
        <v>null</v>
      </c>
      <c r="AD2650" s="19" t="s">
        <v>0</v>
      </c>
      <c r="AE2650" s="18" t="str">
        <f t="shared" si="1432"/>
        <v>propriedade</v>
      </c>
      <c r="AF2650" s="75" t="s">
        <v>9814</v>
      </c>
      <c r="AG2650" s="38" t="s">
        <v>9501</v>
      </c>
    </row>
    <row r="2651" spans="1:33" ht="6" customHeight="1" x14ac:dyDescent="0.4">
      <c r="A2651" s="4">
        <f>ROW()</f>
        <v>2651</v>
      </c>
      <c r="B2651" s="9" t="s">
        <v>27</v>
      </c>
      <c r="C2651" s="44" t="str">
        <f t="shared" si="1428"/>
        <v>p.vestir</v>
      </c>
      <c r="D2651" s="6" t="str">
        <f t="shared" si="1355"/>
        <v>é.cinto.de.segurança</v>
      </c>
      <c r="E2651" s="8" t="s">
        <v>28</v>
      </c>
      <c r="F2651" s="34" t="str">
        <f t="shared" si="1433"/>
        <v>d.vestir</v>
      </c>
      <c r="G2651" s="14" t="s">
        <v>7308</v>
      </c>
      <c r="H2651" s="33" t="s">
        <v>36</v>
      </c>
      <c r="I2651" s="92" t="str">
        <f t="shared" si="1386"/>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96"/>
        <v>Propriedade destinada a vestir: é.cinto.de.segurança</v>
      </c>
      <c r="V2651" s="5" t="str">
        <f t="shared" si="1397"/>
        <v>Dado para vestir:  cinto.de.segurança  Deve ser formatado como (xsd:boolean)</v>
      </c>
      <c r="W2651" s="69" t="s">
        <v>7313</v>
      </c>
      <c r="X2651" s="17" t="str">
        <f t="shared" si="1402"/>
        <v>d.vesti.102</v>
      </c>
      <c r="Y2651" s="17" t="str">
        <f t="shared" si="1403"/>
        <v>Ação de vestir</v>
      </c>
      <c r="Z2651" s="62" t="s">
        <v>7302</v>
      </c>
      <c r="AA2651" s="18" t="str">
        <f t="shared" si="1430"/>
        <v>null</v>
      </c>
      <c r="AB2651" s="19" t="s">
        <v>0</v>
      </c>
      <c r="AC2651" s="18" t="str">
        <f t="shared" si="1431"/>
        <v>null</v>
      </c>
      <c r="AD2651" s="19" t="s">
        <v>0</v>
      </c>
      <c r="AE2651" s="18" t="str">
        <f t="shared" si="1432"/>
        <v>propriedade</v>
      </c>
      <c r="AF2651" s="75" t="s">
        <v>9814</v>
      </c>
      <c r="AG2651" s="38" t="s">
        <v>9502</v>
      </c>
    </row>
    <row r="2652" spans="1:33" ht="6" customHeight="1" x14ac:dyDescent="0.4">
      <c r="A2652" s="4">
        <f>ROW()</f>
        <v>2652</v>
      </c>
      <c r="B2652" s="9" t="s">
        <v>27</v>
      </c>
      <c r="C2652" s="44" t="str">
        <f t="shared" si="1428"/>
        <v>p.vestir</v>
      </c>
      <c r="D2652" s="6" t="str">
        <f t="shared" si="1355"/>
        <v>é.luvas</v>
      </c>
      <c r="E2652" s="8" t="s">
        <v>28</v>
      </c>
      <c r="F2652" s="34" t="str">
        <f t="shared" si="1433"/>
        <v>d.vestir</v>
      </c>
      <c r="G2652" s="14" t="s">
        <v>7309</v>
      </c>
      <c r="H2652" s="33" t="s">
        <v>36</v>
      </c>
      <c r="I2652" s="92" t="str">
        <f t="shared" si="1386"/>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96"/>
        <v>Propriedade destinada a vestir: é.luvas</v>
      </c>
      <c r="V2652" s="5" t="str">
        <f t="shared" si="1397"/>
        <v>Dado para vestir:  luvas  Deve ser formatado como (xsd:boolean)</v>
      </c>
      <c r="W2652" s="69" t="s">
        <v>7317</v>
      </c>
      <c r="X2652" s="17" t="str">
        <f t="shared" si="1402"/>
        <v>d.vesti.103</v>
      </c>
      <c r="Y2652" s="17" t="str">
        <f t="shared" si="1403"/>
        <v>Ação de vestir</v>
      </c>
      <c r="Z2652" s="62" t="s">
        <v>7303</v>
      </c>
      <c r="AA2652" s="18" t="str">
        <f t="shared" si="1430"/>
        <v>null</v>
      </c>
      <c r="AB2652" s="19" t="s">
        <v>0</v>
      </c>
      <c r="AC2652" s="18" t="str">
        <f t="shared" si="1431"/>
        <v>null</v>
      </c>
      <c r="AD2652" s="19" t="s">
        <v>0</v>
      </c>
      <c r="AE2652" s="18" t="str">
        <f t="shared" si="1432"/>
        <v>propriedade</v>
      </c>
      <c r="AF2652" s="75" t="s">
        <v>9814</v>
      </c>
      <c r="AG2652" s="38" t="s">
        <v>9503</v>
      </c>
    </row>
    <row r="2653" spans="1:33" ht="6" customHeight="1" x14ac:dyDescent="0.4">
      <c r="A2653" s="4">
        <f>ROW()</f>
        <v>2653</v>
      </c>
      <c r="B2653" s="9" t="s">
        <v>27</v>
      </c>
      <c r="C2653" s="44" t="str">
        <f t="shared" si="1428"/>
        <v>p.vestir</v>
      </c>
      <c r="D2653" s="6" t="str">
        <f t="shared" ref="D2653:D2657" si="1434">_xlfn.CONCAT("é.",G2653)</f>
        <v>é.epi</v>
      </c>
      <c r="E2653" s="8" t="s">
        <v>28</v>
      </c>
      <c r="F2653" s="34" t="str">
        <f t="shared" si="1433"/>
        <v>d.vestir</v>
      </c>
      <c r="G2653" s="14" t="s">
        <v>293</v>
      </c>
      <c r="H2653" s="33" t="s">
        <v>36</v>
      </c>
      <c r="I2653" s="92" t="str">
        <f t="shared" si="1386"/>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96"/>
        <v>Propriedade destinada a vestir: é.epi</v>
      </c>
      <c r="V2653" s="5" t="str">
        <f t="shared" si="1397"/>
        <v>Dado para vestir:  epi  Deve ser formatado como (xsd:boolean)</v>
      </c>
      <c r="W2653" s="69" t="s">
        <v>7318</v>
      </c>
      <c r="X2653" s="17" t="str">
        <f t="shared" si="1402"/>
        <v>d.vesti.104</v>
      </c>
      <c r="Y2653" s="17" t="str">
        <f t="shared" si="1403"/>
        <v>Ação de vestir</v>
      </c>
      <c r="Z2653" s="62" t="s">
        <v>7304</v>
      </c>
      <c r="AA2653" s="18" t="str">
        <f t="shared" si="1430"/>
        <v>null</v>
      </c>
      <c r="AB2653" s="19" t="s">
        <v>0</v>
      </c>
      <c r="AC2653" s="18" t="str">
        <f t="shared" si="1431"/>
        <v>null</v>
      </c>
      <c r="AD2653" s="19" t="s">
        <v>0</v>
      </c>
      <c r="AE2653" s="18" t="str">
        <f t="shared" si="1432"/>
        <v>propriedade</v>
      </c>
      <c r="AF2653" s="75" t="s">
        <v>9814</v>
      </c>
      <c r="AG2653" s="38" t="s">
        <v>9504</v>
      </c>
    </row>
    <row r="2654" spans="1:33" ht="6" customHeight="1" x14ac:dyDescent="0.4">
      <c r="A2654" s="4">
        <f>ROW()</f>
        <v>2654</v>
      </c>
      <c r="B2654" s="9" t="s">
        <v>27</v>
      </c>
      <c r="C2654" s="44" t="str">
        <f t="shared" si="1428"/>
        <v>p.vestir</v>
      </c>
      <c r="D2654" s="6" t="str">
        <f t="shared" si="1434"/>
        <v>é.máscara</v>
      </c>
      <c r="E2654" s="8" t="s">
        <v>28</v>
      </c>
      <c r="F2654" s="34" t="str">
        <f t="shared" si="1433"/>
        <v>d.vestir</v>
      </c>
      <c r="G2654" s="14" t="s">
        <v>7310</v>
      </c>
      <c r="H2654" s="33" t="s">
        <v>36</v>
      </c>
      <c r="I2654" s="92" t="str">
        <f t="shared" si="1386"/>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96"/>
        <v>Propriedade destinada a vestir: é.máscara</v>
      </c>
      <c r="V2654" s="5" t="str">
        <f t="shared" si="1397"/>
        <v>Dado para vestir:  máscara  Deve ser formatado como (xsd:boolean)</v>
      </c>
      <c r="W2654" s="69" t="s">
        <v>7319</v>
      </c>
      <c r="X2654" s="17" t="str">
        <f t="shared" si="1402"/>
        <v>d.vesti.105</v>
      </c>
      <c r="Y2654" s="17" t="str">
        <f t="shared" si="1403"/>
        <v>Ação de vestir</v>
      </c>
      <c r="Z2654" s="62" t="s">
        <v>7305</v>
      </c>
      <c r="AA2654" s="18" t="str">
        <f t="shared" si="1430"/>
        <v>null</v>
      </c>
      <c r="AB2654" s="19" t="s">
        <v>0</v>
      </c>
      <c r="AC2654" s="18" t="str">
        <f t="shared" si="1431"/>
        <v>null</v>
      </c>
      <c r="AD2654" s="19" t="s">
        <v>0</v>
      </c>
      <c r="AE2654" s="18" t="str">
        <f t="shared" si="1432"/>
        <v>propriedade</v>
      </c>
      <c r="AF2654" s="75" t="s">
        <v>9814</v>
      </c>
      <c r="AG2654" s="38" t="s">
        <v>9505</v>
      </c>
    </row>
    <row r="2655" spans="1:33" ht="6" customHeight="1" x14ac:dyDescent="0.4">
      <c r="A2655" s="4">
        <f>ROW()</f>
        <v>2655</v>
      </c>
      <c r="B2655" s="9" t="s">
        <v>27</v>
      </c>
      <c r="C2655" s="44" t="str">
        <f t="shared" si="1428"/>
        <v>p.vestir</v>
      </c>
      <c r="D2655" s="6" t="str">
        <f t="shared" si="1434"/>
        <v>é.paramento.biológico</v>
      </c>
      <c r="E2655" s="8" t="s">
        <v>28</v>
      </c>
      <c r="F2655" s="34" t="str">
        <f t="shared" si="1433"/>
        <v>d.vestir</v>
      </c>
      <c r="G2655" s="14" t="s">
        <v>7311</v>
      </c>
      <c r="H2655" s="33" t="s">
        <v>36</v>
      </c>
      <c r="I2655" s="92" t="str">
        <f t="shared" si="1386"/>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96"/>
        <v>Propriedade destinada a vestir: é.paramento.biológico</v>
      </c>
      <c r="V2655" s="5" t="str">
        <f t="shared" si="1397"/>
        <v>Dado para vestir:  paramento.biológico  Deve ser formatado como (xsd:boolean)</v>
      </c>
      <c r="W2655" s="69" t="s">
        <v>7314</v>
      </c>
      <c r="X2655" s="17" t="str">
        <f t="shared" si="1402"/>
        <v>d.vesti.106</v>
      </c>
      <c r="Y2655" s="17" t="str">
        <f t="shared" si="1403"/>
        <v>Ação de vestir</v>
      </c>
      <c r="Z2655" s="62" t="s">
        <v>7306</v>
      </c>
      <c r="AA2655" s="18" t="str">
        <f t="shared" si="1430"/>
        <v>null</v>
      </c>
      <c r="AB2655" s="19" t="s">
        <v>0</v>
      </c>
      <c r="AC2655" s="18" t="str">
        <f t="shared" si="1431"/>
        <v>null</v>
      </c>
      <c r="AD2655" s="19" t="s">
        <v>0</v>
      </c>
      <c r="AE2655" s="18" t="str">
        <f t="shared" si="1432"/>
        <v>propriedade</v>
      </c>
      <c r="AF2655" s="75" t="s">
        <v>9815</v>
      </c>
      <c r="AG2655" s="38" t="s">
        <v>9506</v>
      </c>
    </row>
    <row r="2656" spans="1:33" ht="6" customHeight="1" x14ac:dyDescent="0.4">
      <c r="A2656" s="4">
        <f>ROW()</f>
        <v>2656</v>
      </c>
      <c r="B2656" s="9" t="s">
        <v>27</v>
      </c>
      <c r="C2656" s="44" t="str">
        <f t="shared" si="1428"/>
        <v>p.vestir</v>
      </c>
      <c r="D2656" s="6" t="str">
        <f t="shared" si="1434"/>
        <v>é.uniforme</v>
      </c>
      <c r="E2656" s="8" t="s">
        <v>28</v>
      </c>
      <c r="F2656" s="34" t="str">
        <f>F2654</f>
        <v>d.vestir</v>
      </c>
      <c r="G2656" s="14" t="s">
        <v>7312</v>
      </c>
      <c r="H2656" s="33" t="s">
        <v>36</v>
      </c>
      <c r="I2656" s="92" t="str">
        <f t="shared" si="1386"/>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96"/>
        <v>Propriedade destinada a vestir: é.uniforme</v>
      </c>
      <c r="V2656" s="5" t="str">
        <f t="shared" si="1397"/>
        <v>Dado para vestir:  uniforme  Deve ser formatado como (xsd:boolean)</v>
      </c>
      <c r="W2656" s="69" t="s">
        <v>7320</v>
      </c>
      <c r="X2656" s="17" t="str">
        <f t="shared" si="1402"/>
        <v>d.vesti.107</v>
      </c>
      <c r="Y2656" s="17" t="str">
        <f t="shared" si="1403"/>
        <v>Ação de vestir</v>
      </c>
      <c r="Z2656" s="62" t="s">
        <v>7307</v>
      </c>
      <c r="AA2656" s="18" t="str">
        <f t="shared" si="1430"/>
        <v>null</v>
      </c>
      <c r="AB2656" s="19" t="s">
        <v>0</v>
      </c>
      <c r="AC2656" s="18" t="str">
        <f t="shared" si="1431"/>
        <v>null</v>
      </c>
      <c r="AD2656" s="19" t="s">
        <v>0</v>
      </c>
      <c r="AE2656" s="18" t="str">
        <f t="shared" si="1432"/>
        <v>propriedade</v>
      </c>
      <c r="AF2656" s="75" t="s">
        <v>9814</v>
      </c>
      <c r="AG2656" s="38" t="s">
        <v>9507</v>
      </c>
    </row>
    <row r="2657" spans="1:33" ht="6" customHeight="1" x14ac:dyDescent="0.4">
      <c r="A2657" s="4">
        <f>ROW()</f>
        <v>2657</v>
      </c>
      <c r="B2657" s="9" t="s">
        <v>27</v>
      </c>
      <c r="C2657" s="44" t="str">
        <f t="shared" si="1428"/>
        <v>p.vestir</v>
      </c>
      <c r="D2657" s="6" t="str">
        <f t="shared" si="1434"/>
        <v>é.quem.veste</v>
      </c>
      <c r="E2657" s="8" t="s">
        <v>28</v>
      </c>
      <c r="F2657" s="34" t="str">
        <f>F2655</f>
        <v>d.vestir</v>
      </c>
      <c r="G2657" s="14" t="s">
        <v>9812</v>
      </c>
      <c r="H2657" s="33" t="s">
        <v>1581</v>
      </c>
      <c r="I2657" s="92" t="str">
        <f t="shared" si="1386"/>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96"/>
        <v>Propriedade destinada a vestir: é.quem.veste</v>
      </c>
      <c r="V2657" s="5" t="str">
        <f t="shared" si="1397"/>
        <v>Dado para vestir:  quem.veste  Deve ser formatado como (rdfs:Literal  or  xsd:string)</v>
      </c>
      <c r="W2657" s="69" t="s">
        <v>9817</v>
      </c>
      <c r="X2657" s="17" t="str">
        <f t="shared" si="1402"/>
        <v>d.vesti.108</v>
      </c>
      <c r="Y2657" s="17" t="str">
        <f t="shared" si="1403"/>
        <v>Ação de vestir</v>
      </c>
      <c r="Z2657" s="62" t="s">
        <v>9816</v>
      </c>
      <c r="AA2657" s="18" t="str">
        <f t="shared" si="1430"/>
        <v>null</v>
      </c>
      <c r="AB2657" s="19" t="s">
        <v>0</v>
      </c>
      <c r="AC2657" s="18" t="str">
        <f t="shared" si="1431"/>
        <v>null</v>
      </c>
      <c r="AD2657" s="19" t="s">
        <v>0</v>
      </c>
      <c r="AE2657" s="18" t="str">
        <f t="shared" si="1432"/>
        <v>null</v>
      </c>
      <c r="AF2657" s="75" t="s">
        <v>0</v>
      </c>
      <c r="AG2657" s="38" t="s">
        <v>9813</v>
      </c>
    </row>
    <row r="2658" spans="1:33" ht="6" customHeight="1" x14ac:dyDescent="0.4">
      <c r="A2658" s="4">
        <f>ROW()</f>
        <v>2658</v>
      </c>
      <c r="B2658" s="9" t="s">
        <v>27</v>
      </c>
      <c r="C2658" s="43" t="str">
        <f t="shared" si="1392"/>
        <v>p.vigiar</v>
      </c>
      <c r="D2658" s="6" t="str">
        <f t="shared" ref="D2658:D2702" si="1435">_xlfn.CONCAT("é.",G2658)</f>
        <v>é.blitz.eletrônica</v>
      </c>
      <c r="E2658" s="8" t="s">
        <v>28</v>
      </c>
      <c r="F2658" s="41" t="s">
        <v>3196</v>
      </c>
      <c r="G2658" s="14" t="s">
        <v>3214</v>
      </c>
      <c r="H2658" s="33" t="s">
        <v>1581</v>
      </c>
      <c r="I2658" s="92" t="str">
        <f t="shared" si="1386"/>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96"/>
        <v>Propriedade destinada a vigiar: é.blitz.eletrônica</v>
      </c>
      <c r="V2658" s="5" t="str">
        <f t="shared" si="1397"/>
        <v>Dado para vigiar:  blitz.eletrônica  Deve ser formatado como (rdfs:Literal  or  xsd:string)</v>
      </c>
      <c r="W2658" s="69" t="s">
        <v>3215</v>
      </c>
      <c r="X2658" s="17" t="str">
        <f t="shared" si="1402"/>
        <v>d.vigia.100</v>
      </c>
      <c r="Y2658" s="17" t="str">
        <f t="shared" si="1403"/>
        <v>Ação de vigiar</v>
      </c>
      <c r="Z2658" s="62" t="s">
        <v>3316</v>
      </c>
      <c r="AA2658" s="18" t="str">
        <f t="shared" si="1393"/>
        <v>categoria.revit</v>
      </c>
      <c r="AB2658" s="19" t="s">
        <v>2138</v>
      </c>
      <c r="AC2658" s="18" t="str">
        <f t="shared" si="1394"/>
        <v>classe.ifc</v>
      </c>
      <c r="AD2658" s="19" t="s">
        <v>2090</v>
      </c>
      <c r="AE2658" s="18" t="str">
        <f t="shared" si="1374"/>
        <v>null</v>
      </c>
      <c r="AF2658" s="75" t="s">
        <v>0</v>
      </c>
      <c r="AG2658" s="38" t="s">
        <v>9508</v>
      </c>
    </row>
    <row r="2659" spans="1:33" ht="6" customHeight="1" x14ac:dyDescent="0.4">
      <c r="A2659" s="4">
        <f>ROW()</f>
        <v>2659</v>
      </c>
      <c r="B2659" s="9" t="s">
        <v>27</v>
      </c>
      <c r="C2659" s="44" t="str">
        <f t="shared" si="1392"/>
        <v>p.vigiar</v>
      </c>
      <c r="D2659" s="6" t="str">
        <f t="shared" si="1435"/>
        <v>é.câmera</v>
      </c>
      <c r="E2659" s="8" t="s">
        <v>28</v>
      </c>
      <c r="F2659" s="34" t="str">
        <f>F2658</f>
        <v>d.vigiar</v>
      </c>
      <c r="G2659" s="14" t="s">
        <v>2718</v>
      </c>
      <c r="H2659" s="33" t="s">
        <v>1581</v>
      </c>
      <c r="I2659" s="92" t="str">
        <f t="shared" si="1386"/>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96"/>
        <v>Propriedade destinada a vigiar: é.câmera</v>
      </c>
      <c r="V2659" s="5" t="str">
        <f t="shared" si="1397"/>
        <v>Dado para vigiar:  câmera  Deve ser formatado como (rdfs:Literal  or  xsd:string)</v>
      </c>
      <c r="W2659" s="69" t="s">
        <v>6452</v>
      </c>
      <c r="X2659" s="17" t="str">
        <f t="shared" si="1402"/>
        <v>d.vigia.101</v>
      </c>
      <c r="Y2659" s="17" t="str">
        <f t="shared" si="1403"/>
        <v>Ação de vigiar</v>
      </c>
      <c r="Z2659" s="62" t="s">
        <v>3317</v>
      </c>
      <c r="AA2659" s="18" t="str">
        <f t="shared" si="1393"/>
        <v>categoria.revit</v>
      </c>
      <c r="AB2659" s="19" t="s">
        <v>2138</v>
      </c>
      <c r="AC2659" s="18" t="str">
        <f t="shared" si="1394"/>
        <v>classe.ifc</v>
      </c>
      <c r="AD2659" s="19" t="s">
        <v>2090</v>
      </c>
      <c r="AE2659" s="18" t="str">
        <f t="shared" si="1374"/>
        <v>null</v>
      </c>
      <c r="AF2659" s="75" t="s">
        <v>0</v>
      </c>
      <c r="AG2659" s="38" t="s">
        <v>9509</v>
      </c>
    </row>
    <row r="2660" spans="1:33" ht="6" customHeight="1" x14ac:dyDescent="0.4">
      <c r="A2660" s="4">
        <f>ROW()</f>
        <v>2660</v>
      </c>
      <c r="B2660" s="9" t="s">
        <v>27</v>
      </c>
      <c r="C2660" s="44" t="str">
        <f t="shared" si="1392"/>
        <v>p.vigiar</v>
      </c>
      <c r="D2660" s="6" t="str">
        <f t="shared" si="1435"/>
        <v>é.câmera.hdcvi</v>
      </c>
      <c r="E2660" s="8" t="s">
        <v>28</v>
      </c>
      <c r="F2660" s="34" t="str">
        <f t="shared" ref="F2660:F2673" si="1436">F2659</f>
        <v>d.vigiar</v>
      </c>
      <c r="G2660" s="14" t="s">
        <v>1499</v>
      </c>
      <c r="H2660" s="33" t="s">
        <v>1581</v>
      </c>
      <c r="I2660" s="92" t="str">
        <f t="shared" si="1386"/>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96"/>
        <v>Propriedade destinada a vigiar: é.câmera.hdcvi</v>
      </c>
      <c r="V2660" s="5" t="str">
        <f t="shared" si="1397"/>
        <v>Dado para vigiar:  câmera.hdcvi  Deve ser formatado como (rdfs:Literal  or  xsd:string)</v>
      </c>
      <c r="W2660" s="69" t="s">
        <v>6453</v>
      </c>
      <c r="X2660" s="17" t="str">
        <f t="shared" si="1402"/>
        <v>d.vigia.102</v>
      </c>
      <c r="Y2660" s="17" t="str">
        <f t="shared" si="1403"/>
        <v>Ação de vigiar</v>
      </c>
      <c r="Z2660" s="62" t="s">
        <v>3318</v>
      </c>
      <c r="AA2660" s="18" t="str">
        <f t="shared" si="1393"/>
        <v>categoria.revit</v>
      </c>
      <c r="AB2660" s="19" t="s">
        <v>2138</v>
      </c>
      <c r="AC2660" s="18" t="str">
        <f t="shared" si="1394"/>
        <v>classe.ifc</v>
      </c>
      <c r="AD2660" s="19" t="s">
        <v>2090</v>
      </c>
      <c r="AE2660" s="18" t="str">
        <f t="shared" si="1374"/>
        <v>null</v>
      </c>
      <c r="AF2660" s="75" t="s">
        <v>0</v>
      </c>
      <c r="AG2660" s="38" t="s">
        <v>9510</v>
      </c>
    </row>
    <row r="2661" spans="1:33" ht="6" customHeight="1" x14ac:dyDescent="0.4">
      <c r="A2661" s="4">
        <f>ROW()</f>
        <v>2661</v>
      </c>
      <c r="B2661" s="9" t="s">
        <v>27</v>
      </c>
      <c r="C2661" s="44" t="str">
        <f t="shared" si="1392"/>
        <v>p.vigiar</v>
      </c>
      <c r="D2661" s="6" t="str">
        <f t="shared" si="1435"/>
        <v>é.câmera.multi.hd</v>
      </c>
      <c r="E2661" s="8" t="s">
        <v>28</v>
      </c>
      <c r="F2661" s="34" t="str">
        <f t="shared" si="1436"/>
        <v>d.vigiar</v>
      </c>
      <c r="G2661" s="14" t="s">
        <v>1500</v>
      </c>
      <c r="H2661" s="33" t="s">
        <v>1581</v>
      </c>
      <c r="I2661" s="92" t="str">
        <f t="shared" si="1386"/>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96"/>
        <v>Propriedade destinada a vigiar: é.câmera.multi.hd</v>
      </c>
      <c r="V2661" s="5" t="str">
        <f t="shared" si="1397"/>
        <v>Dado para vigiar:  câmera.multi.hd  Deve ser formatado como (rdfs:Literal  or  xsd:string)</v>
      </c>
      <c r="W2661" s="69" t="s">
        <v>6454</v>
      </c>
      <c r="X2661" s="17" t="str">
        <f t="shared" si="1402"/>
        <v>d.vigia.103</v>
      </c>
      <c r="Y2661" s="17" t="str">
        <f t="shared" si="1403"/>
        <v>Ação de vigiar</v>
      </c>
      <c r="Z2661" s="62" t="s">
        <v>3319</v>
      </c>
      <c r="AA2661" s="18" t="str">
        <f t="shared" si="1393"/>
        <v>categoria.revit</v>
      </c>
      <c r="AB2661" s="19" t="s">
        <v>2138</v>
      </c>
      <c r="AC2661" s="18" t="str">
        <f t="shared" si="1394"/>
        <v>classe.ifc</v>
      </c>
      <c r="AD2661" s="19" t="s">
        <v>2090</v>
      </c>
      <c r="AE2661" s="18" t="str">
        <f t="shared" si="1374"/>
        <v>null</v>
      </c>
      <c r="AF2661" s="75" t="s">
        <v>0</v>
      </c>
      <c r="AG2661" s="38" t="s">
        <v>9511</v>
      </c>
    </row>
    <row r="2662" spans="1:33" ht="6" customHeight="1" x14ac:dyDescent="0.4">
      <c r="A2662" s="4">
        <f>ROW()</f>
        <v>2662</v>
      </c>
      <c r="B2662" s="9" t="s">
        <v>27</v>
      </c>
      <c r="C2662" s="44" t="str">
        <f t="shared" si="1392"/>
        <v>p.vigiar</v>
      </c>
      <c r="D2662" s="6" t="str">
        <f t="shared" si="1435"/>
        <v>é.gabriel.cam.plus</v>
      </c>
      <c r="E2662" s="8" t="s">
        <v>28</v>
      </c>
      <c r="F2662" s="34" t="str">
        <f t="shared" si="1436"/>
        <v>d.vigiar</v>
      </c>
      <c r="G2662" s="14" t="s">
        <v>3220</v>
      </c>
      <c r="H2662" s="33" t="s">
        <v>1581</v>
      </c>
      <c r="I2662" s="92" t="str">
        <f t="shared" si="1386"/>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96"/>
        <v>Propriedade destinada a vigiar: é.gabriel.cam.plus</v>
      </c>
      <c r="V2662" s="5" t="str">
        <f t="shared" si="1397"/>
        <v>Dado para vigiar:  gabriel.cam.plus  Deve ser formatado como (rdfs:Literal  or  xsd:string)</v>
      </c>
      <c r="W2662" s="69" t="s">
        <v>3211</v>
      </c>
      <c r="X2662" s="17" t="str">
        <f t="shared" si="1402"/>
        <v>d.vigia.104</v>
      </c>
      <c r="Y2662" s="17" t="str">
        <f t="shared" si="1403"/>
        <v>Ação de vigiar</v>
      </c>
      <c r="Z2662" s="62" t="s">
        <v>4837</v>
      </c>
      <c r="AA2662" s="18" t="str">
        <f t="shared" si="1393"/>
        <v>categoria.revit</v>
      </c>
      <c r="AB2662" s="19" t="s">
        <v>2138</v>
      </c>
      <c r="AC2662" s="18" t="str">
        <f t="shared" si="1394"/>
        <v>classe.ifc</v>
      </c>
      <c r="AD2662" s="19" t="s">
        <v>2090</v>
      </c>
      <c r="AE2662" s="18" t="str">
        <f t="shared" si="1374"/>
        <v>null</v>
      </c>
      <c r="AF2662" s="75" t="s">
        <v>0</v>
      </c>
      <c r="AG2662" s="38" t="s">
        <v>9512</v>
      </c>
    </row>
    <row r="2663" spans="1:33" ht="6" customHeight="1" x14ac:dyDescent="0.4">
      <c r="A2663" s="4">
        <f>ROW()</f>
        <v>2663</v>
      </c>
      <c r="B2663" s="9" t="s">
        <v>27</v>
      </c>
      <c r="C2663" s="44" t="str">
        <f t="shared" si="1392"/>
        <v>p.vigiar</v>
      </c>
      <c r="D2663" s="6" t="str">
        <f t="shared" si="1435"/>
        <v>é.gabriel.cam.max</v>
      </c>
      <c r="E2663" s="8" t="s">
        <v>28</v>
      </c>
      <c r="F2663" s="34" t="str">
        <f t="shared" si="1436"/>
        <v>d.vigiar</v>
      </c>
      <c r="G2663" s="14" t="s">
        <v>3219</v>
      </c>
      <c r="H2663" s="33" t="s">
        <v>1581</v>
      </c>
      <c r="I2663" s="92" t="str">
        <f t="shared" si="1386"/>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96"/>
        <v>Propriedade destinada a vigiar: é.gabriel.cam.max</v>
      </c>
      <c r="V2663" s="5" t="str">
        <f t="shared" si="1397"/>
        <v>Dado para vigiar:  gabriel.cam.max  Deve ser formatado como (rdfs:Literal  or  xsd:string)</v>
      </c>
      <c r="W2663" s="69" t="s">
        <v>3211</v>
      </c>
      <c r="X2663" s="17" t="str">
        <f t="shared" si="1402"/>
        <v>d.vigia.105</v>
      </c>
      <c r="Y2663" s="17" t="str">
        <f t="shared" si="1403"/>
        <v>Ação de vigiar</v>
      </c>
      <c r="Z2663" s="62" t="s">
        <v>4837</v>
      </c>
      <c r="AA2663" s="18" t="str">
        <f t="shared" si="1393"/>
        <v>categoria.revit</v>
      </c>
      <c r="AB2663" s="19" t="s">
        <v>2138</v>
      </c>
      <c r="AC2663" s="18" t="str">
        <f t="shared" si="1394"/>
        <v>classe.ifc</v>
      </c>
      <c r="AD2663" s="19" t="s">
        <v>2090</v>
      </c>
      <c r="AE2663" s="18" t="str">
        <f t="shared" si="1374"/>
        <v>null</v>
      </c>
      <c r="AF2663" s="75" t="s">
        <v>0</v>
      </c>
      <c r="AG2663" s="38" t="s">
        <v>9512</v>
      </c>
    </row>
    <row r="2664" spans="1:33" ht="6" customHeight="1" x14ac:dyDescent="0.4">
      <c r="A2664" s="4">
        <f>ROW()</f>
        <v>2664</v>
      </c>
      <c r="B2664" s="9" t="s">
        <v>27</v>
      </c>
      <c r="C2664" s="44" t="str">
        <f t="shared" si="1392"/>
        <v>p.vigiar</v>
      </c>
      <c r="D2664" s="6" t="str">
        <f t="shared" si="1435"/>
        <v>é.gabriel.cam.360</v>
      </c>
      <c r="E2664" s="8" t="s">
        <v>28</v>
      </c>
      <c r="F2664" s="34" t="str">
        <f t="shared" si="1436"/>
        <v>d.vigiar</v>
      </c>
      <c r="G2664" s="14" t="s">
        <v>3221</v>
      </c>
      <c r="H2664" s="33" t="s">
        <v>1581</v>
      </c>
      <c r="I2664" s="92" t="str">
        <f t="shared" si="1386"/>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96"/>
        <v>Propriedade destinada a vigiar: é.gabriel.cam.360</v>
      </c>
      <c r="V2664" s="5" t="str">
        <f t="shared" si="1397"/>
        <v>Dado para vigiar:  gabriel.cam.360  Deve ser formatado como (rdfs:Literal  or  xsd:string)</v>
      </c>
      <c r="W2664" s="69" t="s">
        <v>3213</v>
      </c>
      <c r="X2664" s="17" t="str">
        <f t="shared" si="1402"/>
        <v>d.vigia.106</v>
      </c>
      <c r="Y2664" s="17" t="str">
        <f t="shared" si="1403"/>
        <v>Ação de vigiar</v>
      </c>
      <c r="Z2664" s="62" t="s">
        <v>3320</v>
      </c>
      <c r="AA2664" s="18" t="str">
        <f t="shared" si="1393"/>
        <v>categoria.revit</v>
      </c>
      <c r="AB2664" s="19" t="s">
        <v>2138</v>
      </c>
      <c r="AC2664" s="18" t="str">
        <f t="shared" si="1394"/>
        <v>classe.ifc</v>
      </c>
      <c r="AD2664" s="19" t="s">
        <v>2090</v>
      </c>
      <c r="AE2664" s="18" t="str">
        <f t="shared" si="1374"/>
        <v>null</v>
      </c>
      <c r="AF2664" s="75" t="s">
        <v>0</v>
      </c>
      <c r="AG2664" s="38" t="s">
        <v>9513</v>
      </c>
    </row>
    <row r="2665" spans="1:33" ht="6" customHeight="1" x14ac:dyDescent="0.4">
      <c r="A2665" s="4">
        <f>ROW()</f>
        <v>2665</v>
      </c>
      <c r="B2665" s="9" t="s">
        <v>27</v>
      </c>
      <c r="C2665" s="44" t="str">
        <f t="shared" si="1392"/>
        <v>p.vigiar</v>
      </c>
      <c r="D2665" s="6" t="str">
        <f t="shared" si="1435"/>
        <v>é.gabriel.cam.mini</v>
      </c>
      <c r="E2665" s="8" t="s">
        <v>28</v>
      </c>
      <c r="F2665" s="34" t="str">
        <f t="shared" si="1436"/>
        <v>d.vigiar</v>
      </c>
      <c r="G2665" s="14" t="s">
        <v>3218</v>
      </c>
      <c r="H2665" s="33" t="s">
        <v>1581</v>
      </c>
      <c r="I2665" s="92" t="str">
        <f t="shared" si="1386"/>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96"/>
        <v>Propriedade destinada a vigiar: é.gabriel.cam.mini</v>
      </c>
      <c r="V2665" s="5" t="str">
        <f t="shared" si="1397"/>
        <v>Dado para vigiar:  gabriel.cam.mini  Deve ser formatado como (rdfs:Literal  or  xsd:string)</v>
      </c>
      <c r="W2665" s="69" t="s">
        <v>3212</v>
      </c>
      <c r="X2665" s="17" t="str">
        <f t="shared" si="1402"/>
        <v>d.vigia.107</v>
      </c>
      <c r="Y2665" s="17" t="str">
        <f t="shared" si="1403"/>
        <v>Ação de vigiar</v>
      </c>
      <c r="Z2665" s="62" t="s">
        <v>4838</v>
      </c>
      <c r="AA2665" s="18" t="str">
        <f t="shared" si="1393"/>
        <v>categoria.revit</v>
      </c>
      <c r="AB2665" s="19" t="s">
        <v>2138</v>
      </c>
      <c r="AC2665" s="18" t="str">
        <f t="shared" si="1394"/>
        <v>classe.ifc</v>
      </c>
      <c r="AD2665" s="19" t="s">
        <v>2090</v>
      </c>
      <c r="AE2665" s="18" t="str">
        <f t="shared" si="1374"/>
        <v>null</v>
      </c>
      <c r="AF2665" s="75" t="s">
        <v>0</v>
      </c>
      <c r="AG2665" s="38" t="s">
        <v>9514</v>
      </c>
    </row>
    <row r="2666" spans="1:33" ht="6" customHeight="1" x14ac:dyDescent="0.4">
      <c r="A2666" s="4">
        <f>ROW()</f>
        <v>2666</v>
      </c>
      <c r="B2666" s="9" t="s">
        <v>27</v>
      </c>
      <c r="C2666" s="44" t="str">
        <f t="shared" si="1392"/>
        <v>p.vigiar</v>
      </c>
      <c r="D2666" s="6" t="str">
        <f t="shared" si="1435"/>
        <v>é.gabriel.totem</v>
      </c>
      <c r="E2666" s="8" t="s">
        <v>28</v>
      </c>
      <c r="F2666" s="34" t="str">
        <f t="shared" si="1436"/>
        <v>d.vigiar</v>
      </c>
      <c r="G2666" s="14" t="s">
        <v>3217</v>
      </c>
      <c r="H2666" s="33" t="s">
        <v>1581</v>
      </c>
      <c r="I2666" s="92" t="str">
        <f t="shared" si="1386"/>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96"/>
        <v>Propriedade destinada a vigiar: é.gabriel.totem</v>
      </c>
      <c r="V2666" s="5" t="str">
        <f t="shared" si="1397"/>
        <v>Dado para vigiar:  gabriel.totem  Deve ser formatado como (rdfs:Literal  or  xsd:string)</v>
      </c>
      <c r="W2666" s="69" t="s">
        <v>3211</v>
      </c>
      <c r="X2666" s="17" t="str">
        <f t="shared" si="1402"/>
        <v>d.vigia.108</v>
      </c>
      <c r="Y2666" s="17" t="str">
        <f t="shared" si="1403"/>
        <v>Ação de vigiar</v>
      </c>
      <c r="Z2666" s="62" t="s">
        <v>4837</v>
      </c>
      <c r="AA2666" s="18" t="str">
        <f t="shared" si="1393"/>
        <v>categoria.revit</v>
      </c>
      <c r="AB2666" s="19" t="s">
        <v>2138</v>
      </c>
      <c r="AC2666" s="18" t="str">
        <f t="shared" si="1394"/>
        <v>classe.ifc</v>
      </c>
      <c r="AD2666" s="19" t="s">
        <v>2090</v>
      </c>
      <c r="AE2666" s="18" t="str">
        <f t="shared" si="1374"/>
        <v>null</v>
      </c>
      <c r="AF2666" s="75" t="s">
        <v>0</v>
      </c>
      <c r="AG2666" s="38" t="s">
        <v>9512</v>
      </c>
    </row>
    <row r="2667" spans="1:33" ht="6" customHeight="1" x14ac:dyDescent="0.4">
      <c r="A2667" s="4">
        <f>ROW()</f>
        <v>2667</v>
      </c>
      <c r="B2667" s="9" t="s">
        <v>27</v>
      </c>
      <c r="C2667" s="44" t="str">
        <f t="shared" si="1392"/>
        <v>p.vigiar</v>
      </c>
      <c r="D2667" s="6" t="str">
        <f t="shared" si="1435"/>
        <v>é.monitor.de.infração</v>
      </c>
      <c r="E2667" s="8" t="s">
        <v>28</v>
      </c>
      <c r="F2667" s="34" t="str">
        <f t="shared" si="1436"/>
        <v>d.vigiar</v>
      </c>
      <c r="G2667" s="14" t="s">
        <v>3209</v>
      </c>
      <c r="H2667" s="33" t="s">
        <v>1581</v>
      </c>
      <c r="I2667" s="92" t="str">
        <f t="shared" si="1386"/>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96"/>
        <v>Propriedade destinada a vigiar: é.monitor.de.infração</v>
      </c>
      <c r="V2667" s="5" t="str">
        <f t="shared" si="1397"/>
        <v>Dado para vigiar:  monitor.de.infração  Deve ser formatado como (rdfs:Literal  or  xsd:string)</v>
      </c>
      <c r="W2667" s="69" t="s">
        <v>3206</v>
      </c>
      <c r="X2667" s="17" t="str">
        <f t="shared" si="1402"/>
        <v>d.vigia.109</v>
      </c>
      <c r="Y2667" s="17" t="str">
        <f t="shared" si="1403"/>
        <v>Ação de vigiar</v>
      </c>
      <c r="Z2667" s="62" t="s">
        <v>3321</v>
      </c>
      <c r="AA2667" s="18" t="str">
        <f t="shared" si="1393"/>
        <v>categoria.revit</v>
      </c>
      <c r="AB2667" s="19" t="s">
        <v>2138</v>
      </c>
      <c r="AC2667" s="18" t="str">
        <f t="shared" si="1394"/>
        <v>classe.ifc</v>
      </c>
      <c r="AD2667" s="19" t="s">
        <v>2090</v>
      </c>
      <c r="AE2667" s="18" t="str">
        <f t="shared" si="1374"/>
        <v>null</v>
      </c>
      <c r="AF2667" s="75" t="s">
        <v>0</v>
      </c>
      <c r="AG2667" s="38" t="s">
        <v>9515</v>
      </c>
    </row>
    <row r="2668" spans="1:33" ht="6" customHeight="1" x14ac:dyDescent="0.4">
      <c r="A2668" s="4">
        <f>ROW()</f>
        <v>2668</v>
      </c>
      <c r="B2668" s="9" t="s">
        <v>27</v>
      </c>
      <c r="C2668" s="44" t="str">
        <f t="shared" si="1392"/>
        <v>p.vigiar</v>
      </c>
      <c r="D2668" s="6" t="str">
        <f t="shared" si="1435"/>
        <v>é.monitor.de.pedágio</v>
      </c>
      <c r="E2668" s="8" t="s">
        <v>28</v>
      </c>
      <c r="F2668" s="34" t="str">
        <f t="shared" si="1436"/>
        <v>d.vigiar</v>
      </c>
      <c r="G2668" s="14" t="s">
        <v>3199</v>
      </c>
      <c r="H2668" s="33" t="s">
        <v>1581</v>
      </c>
      <c r="I2668" s="92" t="str">
        <f t="shared" si="1386"/>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96"/>
        <v>Propriedade destinada a vigiar: é.monitor.de.pedágio</v>
      </c>
      <c r="V2668" s="5" t="str">
        <f t="shared" si="1397"/>
        <v>Dado para vigiar:  monitor.de.pedágio  Deve ser formatado como (rdfs:Literal  or  xsd:string)</v>
      </c>
      <c r="W2668" s="69" t="s">
        <v>3200</v>
      </c>
      <c r="X2668" s="17" t="str">
        <f t="shared" si="1402"/>
        <v>d.vigia.110</v>
      </c>
      <c r="Y2668" s="17" t="str">
        <f t="shared" si="1403"/>
        <v>Ação de vigiar</v>
      </c>
      <c r="Z2668" s="62" t="s">
        <v>3322</v>
      </c>
      <c r="AA2668" s="18" t="str">
        <f t="shared" si="1393"/>
        <v>categoria.revit</v>
      </c>
      <c r="AB2668" s="19" t="s">
        <v>2138</v>
      </c>
      <c r="AC2668" s="18" t="str">
        <f t="shared" si="1394"/>
        <v>classe.ifc</v>
      </c>
      <c r="AD2668" s="19" t="s">
        <v>2090</v>
      </c>
      <c r="AE2668" s="18" t="str">
        <f t="shared" si="1374"/>
        <v>null</v>
      </c>
      <c r="AF2668" s="75" t="s">
        <v>0</v>
      </c>
      <c r="AG2668" s="38" t="s">
        <v>9516</v>
      </c>
    </row>
    <row r="2669" spans="1:33" ht="6" customHeight="1" x14ac:dyDescent="0.4">
      <c r="A2669" s="4">
        <f>ROW()</f>
        <v>2669</v>
      </c>
      <c r="B2669" s="9" t="s">
        <v>27</v>
      </c>
      <c r="C2669" s="44" t="str">
        <f t="shared" si="1392"/>
        <v>p.vigiar</v>
      </c>
      <c r="D2669" s="6" t="str">
        <f t="shared" si="1435"/>
        <v>é.leitor.de.placa</v>
      </c>
      <c r="E2669" s="8" t="s">
        <v>28</v>
      </c>
      <c r="F2669" s="34" t="str">
        <f t="shared" si="1436"/>
        <v>d.vigiar</v>
      </c>
      <c r="G2669" s="14" t="s">
        <v>3208</v>
      </c>
      <c r="H2669" s="33" t="s">
        <v>1581</v>
      </c>
      <c r="I2669" s="92" t="str">
        <f t="shared" si="1386"/>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96"/>
        <v>Propriedade destinada a vigiar: é.leitor.de.placa</v>
      </c>
      <c r="V2669" s="5" t="str">
        <f t="shared" si="1397"/>
        <v>Dado para vigiar:  leitor.de.placa  Deve ser formatado como (rdfs:Literal  or  xsd:string)</v>
      </c>
      <c r="W2669" s="69" t="s">
        <v>3207</v>
      </c>
      <c r="X2669" s="17" t="str">
        <f t="shared" si="1402"/>
        <v>d.vigia.111</v>
      </c>
      <c r="Y2669" s="17" t="str">
        <f t="shared" si="1403"/>
        <v>Ação de vigiar</v>
      </c>
      <c r="Z2669" s="62" t="s">
        <v>3323</v>
      </c>
      <c r="AA2669" s="18" t="str">
        <f t="shared" si="1393"/>
        <v>categoria.revit</v>
      </c>
      <c r="AB2669" s="19" t="s">
        <v>2138</v>
      </c>
      <c r="AC2669" s="18" t="str">
        <f t="shared" si="1394"/>
        <v>classe.ifc</v>
      </c>
      <c r="AD2669" s="19" t="s">
        <v>2090</v>
      </c>
      <c r="AE2669" s="18" t="str">
        <f t="shared" si="1374"/>
        <v>null</v>
      </c>
      <c r="AF2669" s="75" t="s">
        <v>0</v>
      </c>
      <c r="AG2669" s="38" t="s">
        <v>9517</v>
      </c>
    </row>
    <row r="2670" spans="1:33" ht="6" customHeight="1" x14ac:dyDescent="0.4">
      <c r="A2670" s="4">
        <f>ROW()</f>
        <v>2670</v>
      </c>
      <c r="B2670" s="9" t="s">
        <v>27</v>
      </c>
      <c r="C2670" s="44" t="str">
        <f t="shared" si="1392"/>
        <v>p.vigiar</v>
      </c>
      <c r="D2670" s="6" t="str">
        <f t="shared" si="1435"/>
        <v>é.lombada.eletrônica</v>
      </c>
      <c r="E2670" s="8" t="s">
        <v>28</v>
      </c>
      <c r="F2670" s="34" t="str">
        <f t="shared" si="1436"/>
        <v>d.vigiar</v>
      </c>
      <c r="G2670" s="14" t="s">
        <v>3201</v>
      </c>
      <c r="H2670" s="33" t="s">
        <v>1581</v>
      </c>
      <c r="I2670" s="92" t="str">
        <f t="shared" si="1386"/>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96"/>
        <v>Propriedade destinada a vigiar: é.lombada.eletrônica</v>
      </c>
      <c r="V2670" s="5" t="str">
        <f t="shared" si="1397"/>
        <v>Dado para vigiar:  lombada.eletrônica  Deve ser formatado como (rdfs:Literal  or  xsd:string)</v>
      </c>
      <c r="W2670" s="69" t="s">
        <v>3210</v>
      </c>
      <c r="X2670" s="17" t="str">
        <f t="shared" si="1402"/>
        <v>d.vigia.112</v>
      </c>
      <c r="Y2670" s="17" t="str">
        <f t="shared" si="1403"/>
        <v>Ação de vigiar</v>
      </c>
      <c r="Z2670" s="62" t="s">
        <v>3324</v>
      </c>
      <c r="AA2670" s="18" t="str">
        <f t="shared" si="1393"/>
        <v>categoria.revit</v>
      </c>
      <c r="AB2670" s="19" t="s">
        <v>2138</v>
      </c>
      <c r="AC2670" s="18" t="str">
        <f t="shared" si="1394"/>
        <v>classe.ifc</v>
      </c>
      <c r="AD2670" s="19" t="s">
        <v>2090</v>
      </c>
      <c r="AE2670" s="18" t="str">
        <f t="shared" ref="AE2670:AE2702" si="1437">IF(AF2670="null", "null", "propriedade")</f>
        <v>null</v>
      </c>
      <c r="AF2670" s="75" t="s">
        <v>0</v>
      </c>
      <c r="AG2670" s="38" t="s">
        <v>9518</v>
      </c>
    </row>
    <row r="2671" spans="1:33" ht="6" customHeight="1" x14ac:dyDescent="0.4">
      <c r="A2671" s="4">
        <f>ROW()</f>
        <v>2671</v>
      </c>
      <c r="B2671" s="9" t="s">
        <v>27</v>
      </c>
      <c r="C2671" s="44" t="str">
        <f t="shared" si="1392"/>
        <v>p.vigiar</v>
      </c>
      <c r="D2671" s="6" t="str">
        <f t="shared" si="1435"/>
        <v>é.radar.semafórico</v>
      </c>
      <c r="E2671" s="8" t="s">
        <v>28</v>
      </c>
      <c r="F2671" s="34" t="str">
        <f t="shared" si="1436"/>
        <v>d.vigiar</v>
      </c>
      <c r="G2671" s="14" t="s">
        <v>3197</v>
      </c>
      <c r="H2671" s="33" t="s">
        <v>1581</v>
      </c>
      <c r="I2671" s="92" t="str">
        <f t="shared" si="1386"/>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96"/>
        <v>Propriedade destinada a vigiar: é.radar.semafórico</v>
      </c>
      <c r="V2671" s="5" t="str">
        <f t="shared" si="1397"/>
        <v>Dado para vigiar:  radar.semafórico  Deve ser formatado como (rdfs:Literal  or  xsd:string)</v>
      </c>
      <c r="W2671" s="69" t="s">
        <v>3198</v>
      </c>
      <c r="X2671" s="17" t="str">
        <f t="shared" si="1402"/>
        <v>d.vigia.113</v>
      </c>
      <c r="Y2671" s="17" t="str">
        <f t="shared" si="1403"/>
        <v>Ação de vigiar</v>
      </c>
      <c r="Z2671" s="62" t="s">
        <v>3325</v>
      </c>
      <c r="AA2671" s="18" t="str">
        <f t="shared" si="1393"/>
        <v>categoria.revit</v>
      </c>
      <c r="AB2671" s="19" t="s">
        <v>2138</v>
      </c>
      <c r="AC2671" s="18" t="str">
        <f t="shared" si="1394"/>
        <v>classe.ifc</v>
      </c>
      <c r="AD2671" s="19" t="s">
        <v>2090</v>
      </c>
      <c r="AE2671" s="18" t="str">
        <f t="shared" si="1437"/>
        <v>null</v>
      </c>
      <c r="AF2671" s="75" t="s">
        <v>0</v>
      </c>
      <c r="AG2671" s="38" t="s">
        <v>9519</v>
      </c>
    </row>
    <row r="2672" spans="1:33" ht="6" customHeight="1" x14ac:dyDescent="0.4">
      <c r="A2672" s="4">
        <f>ROW()</f>
        <v>2672</v>
      </c>
      <c r="B2672" s="9" t="s">
        <v>27</v>
      </c>
      <c r="C2672" s="44" t="str">
        <f t="shared" si="1392"/>
        <v>p.vigiar</v>
      </c>
      <c r="D2672" s="6" t="str">
        <f t="shared" si="1435"/>
        <v>é.sistema.get</v>
      </c>
      <c r="E2672" s="8" t="s">
        <v>28</v>
      </c>
      <c r="F2672" s="34" t="str">
        <f t="shared" si="1436"/>
        <v>d.vigiar</v>
      </c>
      <c r="G2672" s="14" t="s">
        <v>3204</v>
      </c>
      <c r="H2672" s="33" t="s">
        <v>1581</v>
      </c>
      <c r="I2672" s="92" t="str">
        <f t="shared" ref="I2672:I2702" si="1438">IF(OR(J2672="Functional",K2672="InverseFunctional"),"Functional","null")</f>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96"/>
        <v>Propriedade destinada a vigiar: é.sistema.get</v>
      </c>
      <c r="V2672" s="5" t="str">
        <f t="shared" si="1397"/>
        <v>Dado para vigiar:  sistema.get  Deve ser formatado como (rdfs:Literal  or  xsd:string)</v>
      </c>
      <c r="W2672" s="69" t="s">
        <v>3205</v>
      </c>
      <c r="X2672" s="17" t="str">
        <f t="shared" si="1402"/>
        <v>d.vigia.114</v>
      </c>
      <c r="Y2672" s="17" t="str">
        <f t="shared" si="1403"/>
        <v>Ação de vigiar</v>
      </c>
      <c r="Z2672" s="62" t="s">
        <v>3326</v>
      </c>
      <c r="AA2672" s="18" t="str">
        <f t="shared" si="1393"/>
        <v>categoria.revit</v>
      </c>
      <c r="AB2672" s="19" t="s">
        <v>2138</v>
      </c>
      <c r="AC2672" s="18" t="str">
        <f t="shared" si="1394"/>
        <v>classe.ifc</v>
      </c>
      <c r="AD2672" s="19" t="s">
        <v>2090</v>
      </c>
      <c r="AE2672" s="18" t="str">
        <f t="shared" si="1437"/>
        <v>null</v>
      </c>
      <c r="AF2672" s="75" t="s">
        <v>0</v>
      </c>
      <c r="AG2672" s="38" t="s">
        <v>9520</v>
      </c>
    </row>
    <row r="2673" spans="1:33" ht="6" customHeight="1" x14ac:dyDescent="0.4">
      <c r="A2673" s="4">
        <f>ROW()</f>
        <v>2673</v>
      </c>
      <c r="B2673" s="9" t="s">
        <v>27</v>
      </c>
      <c r="C2673" s="44" t="str">
        <f t="shared" si="1392"/>
        <v>p.vigiar</v>
      </c>
      <c r="D2673" s="6" t="str">
        <f t="shared" si="1435"/>
        <v>é.sistema.gitweb</v>
      </c>
      <c r="E2673" s="8" t="s">
        <v>28</v>
      </c>
      <c r="F2673" s="34" t="str">
        <f t="shared" si="1436"/>
        <v>d.vigiar</v>
      </c>
      <c r="G2673" s="14" t="s">
        <v>3202</v>
      </c>
      <c r="H2673" s="33" t="s">
        <v>1581</v>
      </c>
      <c r="I2673" s="92" t="str">
        <f t="shared" si="1438"/>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96"/>
        <v>Propriedade destinada a vigiar: é.sistema.gitweb</v>
      </c>
      <c r="V2673" s="5" t="str">
        <f t="shared" si="1397"/>
        <v>Dado para vigiar:  sistema.gitweb  Deve ser formatado como (rdfs:Literal  or  xsd:string)</v>
      </c>
      <c r="W2673" s="69" t="s">
        <v>3203</v>
      </c>
      <c r="X2673" s="17" t="str">
        <f t="shared" si="1402"/>
        <v>d.vigia.115</v>
      </c>
      <c r="Y2673" s="17" t="str">
        <f t="shared" si="1403"/>
        <v>Ação de vigiar</v>
      </c>
      <c r="Z2673" s="62" t="s">
        <v>3327</v>
      </c>
      <c r="AA2673" s="18" t="str">
        <f t="shared" si="1393"/>
        <v>categoria.revit</v>
      </c>
      <c r="AB2673" s="19" t="s">
        <v>2138</v>
      </c>
      <c r="AC2673" s="18" t="str">
        <f t="shared" si="1394"/>
        <v>classe.ifc</v>
      </c>
      <c r="AD2673" s="19" t="s">
        <v>2090</v>
      </c>
      <c r="AE2673" s="18" t="str">
        <f t="shared" si="1437"/>
        <v>null</v>
      </c>
      <c r="AF2673" s="75" t="s">
        <v>0</v>
      </c>
      <c r="AG2673" s="38" t="s">
        <v>9521</v>
      </c>
    </row>
    <row r="2674" spans="1:33" ht="6" customHeight="1" x14ac:dyDescent="0.4">
      <c r="A2674" s="4">
        <f>ROW()</f>
        <v>2674</v>
      </c>
      <c r="B2674" s="9" t="s">
        <v>27</v>
      </c>
      <c r="C2674" s="43" t="str">
        <f t="shared" ref="C2674:C2675" si="1439">SUBSTITUTE(F2674,"d.","p.")</f>
        <v>p.vincular</v>
      </c>
      <c r="D2674" s="6" t="str">
        <f t="shared" si="1435"/>
        <v>é.linkada</v>
      </c>
      <c r="E2674" s="8" t="s">
        <v>28</v>
      </c>
      <c r="F2674" s="41" t="s">
        <v>3329</v>
      </c>
      <c r="G2674" s="14" t="s">
        <v>3331</v>
      </c>
      <c r="H2674" s="33" t="s">
        <v>1581</v>
      </c>
      <c r="I2674" s="92" t="str">
        <f t="shared" si="1438"/>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96"/>
        <v>Propriedade destinada a vincular: é.linkada</v>
      </c>
      <c r="V2674" s="5" t="str">
        <f t="shared" si="1397"/>
        <v>Dado para vincular:  linkada  Deve ser formatado como (rdfs:Literal  or  xsd:string)</v>
      </c>
      <c r="W2674" s="69" t="s">
        <v>3335</v>
      </c>
      <c r="X2674" s="17" t="str">
        <f t="shared" si="1402"/>
        <v>d.vincu.100</v>
      </c>
      <c r="Y2674" s="17" t="str">
        <f t="shared" si="1403"/>
        <v>Ação de vincular</v>
      </c>
      <c r="Z2674" s="62" t="s">
        <v>3334</v>
      </c>
      <c r="AA2674" s="18" t="str">
        <f t="shared" ref="AA2674:AA2675" si="1440">IF(AB2674="null", "null", "categoria.revit")</f>
        <v>categoria.revit</v>
      </c>
      <c r="AB2674" s="19" t="s">
        <v>3333</v>
      </c>
      <c r="AC2674" s="18" t="str">
        <f t="shared" ref="AC2674:AC2675" si="1441">IF(AD2674="null", "null", "classe.ifc")</f>
        <v>classe.ifc</v>
      </c>
      <c r="AD2674" s="19" t="s">
        <v>3332</v>
      </c>
      <c r="AE2674" s="18" t="str">
        <f t="shared" si="1437"/>
        <v>null</v>
      </c>
      <c r="AF2674" s="75" t="s">
        <v>0</v>
      </c>
      <c r="AG2674" s="38" t="s">
        <v>9522</v>
      </c>
    </row>
    <row r="2675" spans="1:33" ht="6" customHeight="1" x14ac:dyDescent="0.4">
      <c r="A2675" s="4">
        <f>ROW()</f>
        <v>2675</v>
      </c>
      <c r="B2675" s="9" t="s">
        <v>27</v>
      </c>
      <c r="C2675" s="44" t="str">
        <f t="shared" si="1439"/>
        <v>p.vincular</v>
      </c>
      <c r="D2675" s="6" t="str">
        <f t="shared" si="1435"/>
        <v>é.linkado</v>
      </c>
      <c r="E2675" s="8" t="s">
        <v>28</v>
      </c>
      <c r="F2675" s="34" t="str">
        <f>F2674</f>
        <v>d.vincular</v>
      </c>
      <c r="G2675" s="14" t="s">
        <v>3330</v>
      </c>
      <c r="H2675" s="33" t="s">
        <v>1581</v>
      </c>
      <c r="I2675" s="92" t="str">
        <f t="shared" si="1438"/>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96"/>
        <v>Propriedade destinada a vincular: é.linkado</v>
      </c>
      <c r="V2675" s="5" t="str">
        <f t="shared" si="1397"/>
        <v>Dado para vincular:  linkado  Deve ser formatado como (rdfs:Literal  or  xsd:string)</v>
      </c>
      <c r="W2675" s="69" t="s">
        <v>3335</v>
      </c>
      <c r="X2675" s="17" t="str">
        <f t="shared" si="1402"/>
        <v>d.vincu.101</v>
      </c>
      <c r="Y2675" s="17" t="str">
        <f t="shared" si="1403"/>
        <v>Ação de vincular</v>
      </c>
      <c r="Z2675" s="62" t="s">
        <v>3334</v>
      </c>
      <c r="AA2675" s="18" t="str">
        <f t="shared" si="1440"/>
        <v>categoria.revit</v>
      </c>
      <c r="AB2675" s="19" t="s">
        <v>3333</v>
      </c>
      <c r="AC2675" s="18" t="str">
        <f t="shared" si="1441"/>
        <v>classe.ifc</v>
      </c>
      <c r="AD2675" s="19" t="s">
        <v>3332</v>
      </c>
      <c r="AE2675" s="18" t="str">
        <f t="shared" si="1437"/>
        <v>null</v>
      </c>
      <c r="AF2675" s="75" t="s">
        <v>0</v>
      </c>
      <c r="AG2675" s="38" t="s">
        <v>9522</v>
      </c>
    </row>
    <row r="2676" spans="1:33" ht="6" customHeight="1" x14ac:dyDescent="0.4">
      <c r="A2676" s="4">
        <f>ROW()</f>
        <v>2676</v>
      </c>
      <c r="B2676" s="9" t="s">
        <v>27</v>
      </c>
      <c r="C2676" s="43" t="str">
        <f t="shared" si="1392"/>
        <v>p.vistoriar</v>
      </c>
      <c r="D2676" s="6" t="str">
        <f t="shared" si="1435"/>
        <v>é.banco.de.imagens</v>
      </c>
      <c r="E2676" s="8" t="s">
        <v>28</v>
      </c>
      <c r="F2676" s="41" t="s">
        <v>2244</v>
      </c>
      <c r="G2676" s="14" t="s">
        <v>1168</v>
      </c>
      <c r="H2676" s="33" t="s">
        <v>1581</v>
      </c>
      <c r="I2676" s="92" t="str">
        <f t="shared" si="1438"/>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96"/>
        <v>Propriedade destinada a vistoriar: é.banco.de.imagens</v>
      </c>
      <c r="V2676" s="5" t="str">
        <f t="shared" si="1397"/>
        <v>Dado para vistoriar:  banco.de.imagens  Deve ser formatado como (rdfs:Literal  or  xsd:string)</v>
      </c>
      <c r="W2676" s="69" t="s">
        <v>6455</v>
      </c>
      <c r="X2676" s="17" t="str">
        <f t="shared" si="1402"/>
        <v>d.visto.100</v>
      </c>
      <c r="Y2676" s="17" t="str">
        <f t="shared" si="1403"/>
        <v>Ação de vistoriar</v>
      </c>
      <c r="Z2676" s="62" t="s">
        <v>2756</v>
      </c>
      <c r="AA2676" s="18" t="str">
        <f>IF(AB2676="null", "null", "categoria.revit")</f>
        <v>null</v>
      </c>
      <c r="AB2676" s="19" t="s">
        <v>0</v>
      </c>
      <c r="AC2676" s="18" t="str">
        <f>IF(AD2676="null", "null", "classe.ifc")</f>
        <v>null</v>
      </c>
      <c r="AD2676" s="19" t="s">
        <v>0</v>
      </c>
      <c r="AE2676" s="18" t="str">
        <f t="shared" si="1437"/>
        <v>null</v>
      </c>
      <c r="AF2676" s="75" t="s">
        <v>0</v>
      </c>
      <c r="AG2676" s="38" t="s">
        <v>9523</v>
      </c>
    </row>
    <row r="2677" spans="1:33" ht="6" customHeight="1" x14ac:dyDescent="0.4">
      <c r="A2677" s="4">
        <f>ROW()</f>
        <v>2677</v>
      </c>
      <c r="B2677" s="9" t="s">
        <v>27</v>
      </c>
      <c r="C2677" s="44" t="str">
        <f>SUBSTITUTE(F2677,"d.","p.")</f>
        <v>p.vistoriar</v>
      </c>
      <c r="D2677" s="6" t="str">
        <f t="shared" si="1435"/>
        <v>é.clausurado</v>
      </c>
      <c r="E2677" s="8" t="s">
        <v>28</v>
      </c>
      <c r="F2677" s="34" t="str">
        <f t="shared" ref="F2677:F2689" si="1442">F2676</f>
        <v>d.vistoriar</v>
      </c>
      <c r="G2677" s="14" t="s">
        <v>222</v>
      </c>
      <c r="H2677" s="33" t="s">
        <v>36</v>
      </c>
      <c r="I2677" s="92" t="str">
        <f t="shared" si="1438"/>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96"/>
        <v>Propriedade destinada a vistoriar: é.clausurado</v>
      </c>
      <c r="V2677" s="5" t="str">
        <f t="shared" si="1397"/>
        <v>Dado para vistoriar:  clausurado  Deve ser formatado como (xsd:boolean)</v>
      </c>
      <c r="W2677" s="69" t="s">
        <v>4729</v>
      </c>
      <c r="X2677" s="17" t="str">
        <f t="shared" si="1402"/>
        <v>d.visto.101</v>
      </c>
      <c r="Y2677" s="17" t="str">
        <f t="shared" si="1403"/>
        <v>Ação de vistoriar</v>
      </c>
      <c r="Z2677" s="62" t="s">
        <v>1431</v>
      </c>
      <c r="AA2677" s="18" t="str">
        <f>IF(AB2677="null", "null", "categoria.revit")</f>
        <v>null</v>
      </c>
      <c r="AB2677" s="19" t="s">
        <v>0</v>
      </c>
      <c r="AC2677" s="18" t="str">
        <f>IF(AD2677="null", "null", "classe.ifc")</f>
        <v>null</v>
      </c>
      <c r="AD2677" s="19" t="s">
        <v>0</v>
      </c>
      <c r="AE2677" s="18" t="str">
        <f t="shared" si="1437"/>
        <v>null</v>
      </c>
      <c r="AF2677" s="75" t="s">
        <v>0</v>
      </c>
      <c r="AG2677" s="38" t="s">
        <v>9524</v>
      </c>
    </row>
    <row r="2678" spans="1:33" ht="6" customHeight="1" x14ac:dyDescent="0.4">
      <c r="A2678" s="4">
        <f>ROW()</f>
        <v>2678</v>
      </c>
      <c r="B2678" s="9" t="s">
        <v>27</v>
      </c>
      <c r="C2678" s="44" t="str">
        <f t="shared" ref="C2678:C2690" si="1443">SUBSTITUTE(F2678,"d.","p.")</f>
        <v>p.vistoriar</v>
      </c>
      <c r="D2678" s="6" t="str">
        <f t="shared" si="1435"/>
        <v>é.conforme</v>
      </c>
      <c r="E2678" s="8" t="s">
        <v>28</v>
      </c>
      <c r="F2678" s="34" t="str">
        <f t="shared" si="1442"/>
        <v>d.vistoriar</v>
      </c>
      <c r="G2678" s="14" t="s">
        <v>187</v>
      </c>
      <c r="H2678" s="33" t="s">
        <v>36</v>
      </c>
      <c r="I2678" s="92" t="str">
        <f t="shared" si="1438"/>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96"/>
        <v>Propriedade destinada a vistoriar: é.conforme</v>
      </c>
      <c r="V2678" s="5" t="str">
        <f t="shared" si="1397"/>
        <v>Dado para vistoriar:  conforme  Deve ser formatado como (xsd:boolean)</v>
      </c>
      <c r="W2678" s="69" t="s">
        <v>6456</v>
      </c>
      <c r="X2678" s="17" t="str">
        <f t="shared" si="1402"/>
        <v>d.visto.102</v>
      </c>
      <c r="Y2678" s="17" t="str">
        <f t="shared" si="1403"/>
        <v>Ação de vistoriar</v>
      </c>
      <c r="Z2678" s="62" t="s">
        <v>1429</v>
      </c>
      <c r="AA2678" s="18" t="str">
        <f>IF(AB2678="null", "null", "categoria.revit")</f>
        <v>null</v>
      </c>
      <c r="AB2678" s="19" t="s">
        <v>0</v>
      </c>
      <c r="AC2678" s="18" t="str">
        <f>IF(AD2678="null", "null", "classe.ifc")</f>
        <v>null</v>
      </c>
      <c r="AD2678" s="19" t="s">
        <v>0</v>
      </c>
      <c r="AE2678" s="18" t="str">
        <f t="shared" si="1437"/>
        <v>null</v>
      </c>
      <c r="AF2678" s="75" t="s">
        <v>0</v>
      </c>
      <c r="AG2678" s="38" t="s">
        <v>9525</v>
      </c>
    </row>
    <row r="2679" spans="1:33" ht="6" customHeight="1" x14ac:dyDescent="0.4">
      <c r="A2679" s="4">
        <f>ROW()</f>
        <v>2679</v>
      </c>
      <c r="B2679" s="9" t="s">
        <v>27</v>
      </c>
      <c r="C2679" s="44" t="str">
        <f t="shared" si="1443"/>
        <v>p.vistoriar</v>
      </c>
      <c r="D2679" s="6" t="str">
        <f t="shared" si="1435"/>
        <v>é.conservado</v>
      </c>
      <c r="E2679" s="8" t="s">
        <v>28</v>
      </c>
      <c r="F2679" s="34" t="str">
        <f t="shared" si="1442"/>
        <v>d.vistoriar</v>
      </c>
      <c r="G2679" s="14" t="s">
        <v>186</v>
      </c>
      <c r="H2679" s="33" t="s">
        <v>36</v>
      </c>
      <c r="I2679" s="92" t="str">
        <f t="shared" si="1438"/>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96"/>
        <v>Propriedade destinada a vistoriar: é.conservado</v>
      </c>
      <c r="V2679" s="5" t="str">
        <f t="shared" si="1397"/>
        <v>Dado para vistoriar:  conservado  Deve ser formatado como (xsd:boolean)</v>
      </c>
      <c r="W2679" s="69" t="s">
        <v>6457</v>
      </c>
      <c r="X2679" s="17" t="str">
        <f t="shared" si="1402"/>
        <v>d.visto.103</v>
      </c>
      <c r="Y2679" s="17" t="str">
        <f t="shared" si="1403"/>
        <v>Ação de vistoriar</v>
      </c>
      <c r="Z2679" s="62" t="s">
        <v>1428</v>
      </c>
      <c r="AA2679" s="18" t="str">
        <f t="shared" ref="AA2679" si="1444">IF(AB2679="null", "null", "categoria.revit")</f>
        <v>null</v>
      </c>
      <c r="AB2679" s="19" t="s">
        <v>0</v>
      </c>
      <c r="AC2679" s="18" t="str">
        <f t="shared" ref="AC2679" si="1445">IF(AD2679="null", "null", "classe.ifc")</f>
        <v>null</v>
      </c>
      <c r="AD2679" s="19" t="s">
        <v>0</v>
      </c>
      <c r="AE2679" s="18" t="str">
        <f t="shared" si="1437"/>
        <v>null</v>
      </c>
      <c r="AF2679" s="75" t="s">
        <v>0</v>
      </c>
      <c r="AG2679" s="38" t="s">
        <v>9526</v>
      </c>
    </row>
    <row r="2680" spans="1:33" ht="6" customHeight="1" x14ac:dyDescent="0.4">
      <c r="A2680" s="4">
        <f>ROW()</f>
        <v>2680</v>
      </c>
      <c r="B2680" s="9" t="s">
        <v>27</v>
      </c>
      <c r="C2680" s="44" t="str">
        <f t="shared" si="1443"/>
        <v>p.vistoriar</v>
      </c>
      <c r="D2680" s="6" t="str">
        <f t="shared" si="1435"/>
        <v>é.drone</v>
      </c>
      <c r="E2680" s="8" t="s">
        <v>28</v>
      </c>
      <c r="F2680" s="34" t="str">
        <f t="shared" si="1442"/>
        <v>d.vistoriar</v>
      </c>
      <c r="G2680" s="14" t="s">
        <v>1157</v>
      </c>
      <c r="H2680" s="33" t="s">
        <v>1581</v>
      </c>
      <c r="I2680" s="92" t="str">
        <f t="shared" si="1438"/>
        <v>null</v>
      </c>
      <c r="J2680" s="82" t="s">
        <v>0</v>
      </c>
      <c r="K2680" s="82" t="s">
        <v>0</v>
      </c>
      <c r="L2680" s="82" t="s">
        <v>0</v>
      </c>
      <c r="M2680" s="82" t="s">
        <v>0</v>
      </c>
      <c r="N2680" s="82" t="s">
        <v>0</v>
      </c>
      <c r="O2680" s="82" t="s">
        <v>0</v>
      </c>
      <c r="P2680" s="82" t="s">
        <v>0</v>
      </c>
      <c r="Q2680" s="82" t="s">
        <v>0</v>
      </c>
      <c r="R2680" s="84" t="s">
        <v>1163</v>
      </c>
      <c r="S2680" s="10" t="s">
        <v>1</v>
      </c>
      <c r="T2680" s="10" t="s">
        <v>10221</v>
      </c>
      <c r="U2680" s="5" t="str">
        <f t="shared" si="1396"/>
        <v>Propriedade destinada a vistoriar: é.drone</v>
      </c>
      <c r="V2680" s="5" t="str">
        <f t="shared" si="1397"/>
        <v>Dado para vistoriar:  drone  Deve ser formatado como (rdfs:Literal  or  xsd:string)</v>
      </c>
      <c r="W2680" s="69" t="s">
        <v>6458</v>
      </c>
      <c r="X2680" s="17" t="str">
        <f t="shared" si="1402"/>
        <v>d.visto.104</v>
      </c>
      <c r="Y2680" s="17" t="str">
        <f t="shared" si="1403"/>
        <v>Ação de vistoriar</v>
      </c>
      <c r="Z2680" s="62" t="s">
        <v>1434</v>
      </c>
      <c r="AA2680" s="18" t="str">
        <f t="shared" ref="AA2680:AA2689" si="1446">IF(AB2680="null", "null", "categoria.revit")</f>
        <v>null</v>
      </c>
      <c r="AB2680" s="19" t="s">
        <v>0</v>
      </c>
      <c r="AC2680" s="18" t="str">
        <f t="shared" ref="AC2680:AC2690" si="1447">IF(AD2680="null", "null", "classe.ifc")</f>
        <v>null</v>
      </c>
      <c r="AD2680" s="19" t="s">
        <v>0</v>
      </c>
      <c r="AE2680" s="18" t="str">
        <f t="shared" si="1437"/>
        <v>null</v>
      </c>
      <c r="AF2680" s="75" t="s">
        <v>0</v>
      </c>
      <c r="AG2680" s="38" t="s">
        <v>9527</v>
      </c>
    </row>
    <row r="2681" spans="1:33" ht="6" customHeight="1" x14ac:dyDescent="0.4">
      <c r="A2681" s="4">
        <f>ROW()</f>
        <v>2681</v>
      </c>
      <c r="B2681" s="9" t="s">
        <v>27</v>
      </c>
      <c r="C2681" s="44" t="str">
        <f t="shared" si="1443"/>
        <v>p.vistoriar</v>
      </c>
      <c r="D2681" s="6" t="str">
        <f t="shared" si="1435"/>
        <v>é.fotografia</v>
      </c>
      <c r="E2681" s="8" t="s">
        <v>28</v>
      </c>
      <c r="F2681" s="34" t="str">
        <f t="shared" si="1442"/>
        <v>d.vistoriar</v>
      </c>
      <c r="G2681" s="14" t="s">
        <v>1164</v>
      </c>
      <c r="H2681" s="33" t="s">
        <v>1581</v>
      </c>
      <c r="I2681" s="92" t="str">
        <f t="shared" si="1438"/>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96"/>
        <v>Propriedade destinada a vistoriar: é.fotografia</v>
      </c>
      <c r="V2681" s="5" t="str">
        <f t="shared" si="1397"/>
        <v>Dado para vistoriar:  fotografia  Deve ser formatado como (rdfs:Literal  or  xsd:string)</v>
      </c>
      <c r="W2681" s="69" t="s">
        <v>6459</v>
      </c>
      <c r="X2681" s="17" t="str">
        <f t="shared" si="1402"/>
        <v>d.visto.105</v>
      </c>
      <c r="Y2681" s="17" t="str">
        <f t="shared" si="1403"/>
        <v>Ação de vistoriar</v>
      </c>
      <c r="Z2681" s="62" t="s">
        <v>1438</v>
      </c>
      <c r="AA2681" s="18" t="str">
        <f t="shared" si="1446"/>
        <v>null</v>
      </c>
      <c r="AB2681" s="19" t="s">
        <v>0</v>
      </c>
      <c r="AC2681" s="18" t="str">
        <f t="shared" si="1447"/>
        <v>null</v>
      </c>
      <c r="AD2681" s="19" t="s">
        <v>0</v>
      </c>
      <c r="AE2681" s="18" t="str">
        <f t="shared" si="1437"/>
        <v>null</v>
      </c>
      <c r="AF2681" s="75" t="s">
        <v>0</v>
      </c>
      <c r="AG2681" s="38" t="s">
        <v>9528</v>
      </c>
    </row>
    <row r="2682" spans="1:33" ht="6" customHeight="1" x14ac:dyDescent="0.4">
      <c r="A2682" s="4">
        <f>ROW()</f>
        <v>2682</v>
      </c>
      <c r="B2682" s="9" t="s">
        <v>27</v>
      </c>
      <c r="C2682" s="44" t="str">
        <f t="shared" si="1443"/>
        <v>p.vistoriar</v>
      </c>
      <c r="D2682" s="6" t="str">
        <f t="shared" si="1435"/>
        <v>é.interditado</v>
      </c>
      <c r="E2682" s="8" t="s">
        <v>28</v>
      </c>
      <c r="F2682" s="34" t="str">
        <f t="shared" si="1442"/>
        <v>d.vistoriar</v>
      </c>
      <c r="G2682" s="14" t="s">
        <v>223</v>
      </c>
      <c r="H2682" s="33" t="s">
        <v>36</v>
      </c>
      <c r="I2682" s="92" t="str">
        <f t="shared" si="1438"/>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96"/>
        <v>Propriedade destinada a vistoriar: é.interditado</v>
      </c>
      <c r="V2682" s="5" t="str">
        <f t="shared" si="1397"/>
        <v>Dado para vistoriar:  interditado  Deve ser formatado como (xsd:boolean)</v>
      </c>
      <c r="W2682" s="69" t="s">
        <v>3275</v>
      </c>
      <c r="X2682" s="17" t="str">
        <f t="shared" si="1402"/>
        <v>d.visto.106</v>
      </c>
      <c r="Y2682" s="17" t="str">
        <f t="shared" si="1403"/>
        <v>Ação de vistoriar</v>
      </c>
      <c r="Z2682" s="62" t="s">
        <v>1432</v>
      </c>
      <c r="AA2682" s="18" t="str">
        <f t="shared" si="1446"/>
        <v>null</v>
      </c>
      <c r="AB2682" s="19" t="s">
        <v>0</v>
      </c>
      <c r="AC2682" s="18" t="str">
        <f t="shared" si="1447"/>
        <v>null</v>
      </c>
      <c r="AD2682" s="19" t="s">
        <v>0</v>
      </c>
      <c r="AE2682" s="18" t="str">
        <f t="shared" si="1437"/>
        <v>null</v>
      </c>
      <c r="AF2682" s="75" t="s">
        <v>0</v>
      </c>
      <c r="AG2682" s="38" t="s">
        <v>9529</v>
      </c>
    </row>
    <row r="2683" spans="1:33" ht="6" customHeight="1" x14ac:dyDescent="0.4">
      <c r="A2683" s="4">
        <f>ROW()</f>
        <v>2683</v>
      </c>
      <c r="B2683" s="9" t="s">
        <v>27</v>
      </c>
      <c r="C2683" s="44" t="str">
        <f t="shared" si="1443"/>
        <v>p.vistoriar</v>
      </c>
      <c r="D2683" s="6" t="str">
        <f t="shared" si="1435"/>
        <v>é.operacional</v>
      </c>
      <c r="E2683" s="8" t="s">
        <v>28</v>
      </c>
      <c r="F2683" s="34" t="str">
        <f t="shared" si="1442"/>
        <v>d.vistoriar</v>
      </c>
      <c r="G2683" s="14" t="s">
        <v>189</v>
      </c>
      <c r="H2683" s="33" t="s">
        <v>36</v>
      </c>
      <c r="I2683" s="92" t="str">
        <f t="shared" si="1438"/>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96"/>
        <v>Propriedade destinada a vistoriar: é.operacional</v>
      </c>
      <c r="V2683" s="5" t="str">
        <f t="shared" si="1397"/>
        <v>Dado para vistoriar:  operacional  Deve ser formatado como (xsd:boolean)</v>
      </c>
      <c r="W2683" s="69" t="s">
        <v>6460</v>
      </c>
      <c r="X2683" s="17" t="str">
        <f t="shared" si="1402"/>
        <v>d.visto.107</v>
      </c>
      <c r="Y2683" s="17" t="str">
        <f t="shared" si="1403"/>
        <v>Ação de vistoriar</v>
      </c>
      <c r="Z2683" s="62" t="s">
        <v>1430</v>
      </c>
      <c r="AA2683" s="18" t="str">
        <f t="shared" si="1446"/>
        <v>null</v>
      </c>
      <c r="AB2683" s="19" t="s">
        <v>0</v>
      </c>
      <c r="AC2683" s="18" t="str">
        <f t="shared" si="1447"/>
        <v>null</v>
      </c>
      <c r="AD2683" s="19" t="s">
        <v>0</v>
      </c>
      <c r="AE2683" s="18" t="str">
        <f t="shared" si="1437"/>
        <v>null</v>
      </c>
      <c r="AF2683" s="75" t="s">
        <v>0</v>
      </c>
      <c r="AG2683" s="38" t="s">
        <v>9530</v>
      </c>
    </row>
    <row r="2684" spans="1:33" ht="6" customHeight="1" x14ac:dyDescent="0.4">
      <c r="A2684" s="4">
        <f>ROW()</f>
        <v>2684</v>
      </c>
      <c r="B2684" s="9" t="s">
        <v>27</v>
      </c>
      <c r="C2684" s="44" t="str">
        <f t="shared" si="1443"/>
        <v>p.vistoriar</v>
      </c>
      <c r="D2684" s="6" t="str">
        <f t="shared" si="1435"/>
        <v>é.plano.de.voo</v>
      </c>
      <c r="E2684" s="8" t="s">
        <v>28</v>
      </c>
      <c r="F2684" s="34" t="str">
        <f t="shared" si="1442"/>
        <v>d.vistoriar</v>
      </c>
      <c r="G2684" s="14" t="s">
        <v>1159</v>
      </c>
      <c r="H2684" s="33" t="s">
        <v>1581</v>
      </c>
      <c r="I2684" s="92" t="str">
        <f t="shared" si="1438"/>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96"/>
        <v>Propriedade destinada a vistoriar: é.plano.de.voo</v>
      </c>
      <c r="V2684" s="5" t="str">
        <f t="shared" si="1397"/>
        <v>Dado para vistoriar:  plano.de.voo  Deve ser formatado como (rdfs:Literal  or  xsd:string)</v>
      </c>
      <c r="W2684" s="69" t="s">
        <v>6461</v>
      </c>
      <c r="X2684" s="17" t="str">
        <f t="shared" si="1402"/>
        <v>d.visto.108</v>
      </c>
      <c r="Y2684" s="17" t="str">
        <f t="shared" si="1403"/>
        <v>Ação de vistoriar</v>
      </c>
      <c r="Z2684" s="62" t="s">
        <v>1436</v>
      </c>
      <c r="AA2684" s="18" t="str">
        <f t="shared" si="1446"/>
        <v>null</v>
      </c>
      <c r="AB2684" s="19" t="s">
        <v>0</v>
      </c>
      <c r="AC2684" s="18" t="str">
        <f t="shared" si="1447"/>
        <v>null</v>
      </c>
      <c r="AD2684" s="19" t="s">
        <v>0</v>
      </c>
      <c r="AE2684" s="18" t="str">
        <f t="shared" si="1437"/>
        <v>null</v>
      </c>
      <c r="AF2684" s="75" t="s">
        <v>0</v>
      </c>
      <c r="AG2684" s="38" t="s">
        <v>9531</v>
      </c>
    </row>
    <row r="2685" spans="1:33" ht="6" customHeight="1" x14ac:dyDescent="0.4">
      <c r="A2685" s="4">
        <f>ROW()</f>
        <v>2685</v>
      </c>
      <c r="B2685" s="9" t="s">
        <v>27</v>
      </c>
      <c r="C2685" s="44" t="str">
        <f t="shared" si="1443"/>
        <v>p.vistoriar</v>
      </c>
      <c r="D2685" s="6" t="str">
        <f t="shared" si="1435"/>
        <v>é.uas</v>
      </c>
      <c r="E2685" s="8" t="s">
        <v>28</v>
      </c>
      <c r="F2685" s="34" t="str">
        <f t="shared" si="1442"/>
        <v>d.vistoriar</v>
      </c>
      <c r="G2685" s="14" t="s">
        <v>1156</v>
      </c>
      <c r="H2685" s="33" t="s">
        <v>1581</v>
      </c>
      <c r="I2685" s="92" t="str">
        <f t="shared" si="1438"/>
        <v>null</v>
      </c>
      <c r="J2685" s="82" t="s">
        <v>0</v>
      </c>
      <c r="K2685" s="82" t="s">
        <v>0</v>
      </c>
      <c r="L2685" s="82" t="s">
        <v>0</v>
      </c>
      <c r="M2685" s="82" t="s">
        <v>0</v>
      </c>
      <c r="N2685" s="82" t="s">
        <v>0</v>
      </c>
      <c r="O2685" s="82" t="s">
        <v>0</v>
      </c>
      <c r="P2685" s="82" t="s">
        <v>0</v>
      </c>
      <c r="Q2685" s="82" t="s">
        <v>0</v>
      </c>
      <c r="R2685" s="84" t="s">
        <v>1161</v>
      </c>
      <c r="S2685" s="10" t="s">
        <v>1</v>
      </c>
      <c r="T2685" s="10" t="s">
        <v>10221</v>
      </c>
      <c r="U2685" s="5" t="str">
        <f t="shared" si="1396"/>
        <v>Propriedade destinada a vistoriar: é.uas</v>
      </c>
      <c r="V2685" s="5" t="str">
        <f t="shared" si="1397"/>
        <v>Dado para vistoriar:  uas  Deve ser formatado como (rdfs:Literal  or  xsd:string)</v>
      </c>
      <c r="W2685" s="69" t="s">
        <v>6462</v>
      </c>
      <c r="X2685" s="17" t="str">
        <f t="shared" si="1402"/>
        <v>d.visto.109</v>
      </c>
      <c r="Y2685" s="17" t="str">
        <f t="shared" si="1403"/>
        <v>Ação de vistoriar</v>
      </c>
      <c r="Z2685" s="62" t="s">
        <v>1433</v>
      </c>
      <c r="AA2685" s="18" t="str">
        <f t="shared" si="1446"/>
        <v>null</v>
      </c>
      <c r="AB2685" s="19" t="s">
        <v>0</v>
      </c>
      <c r="AC2685" s="18" t="str">
        <f t="shared" si="1447"/>
        <v>null</v>
      </c>
      <c r="AD2685" s="19" t="s">
        <v>0</v>
      </c>
      <c r="AE2685" s="18" t="str">
        <f t="shared" si="1437"/>
        <v>null</v>
      </c>
      <c r="AF2685" s="75" t="s">
        <v>0</v>
      </c>
      <c r="AG2685" s="38" t="s">
        <v>9532</v>
      </c>
    </row>
    <row r="2686" spans="1:33" ht="6" customHeight="1" x14ac:dyDescent="0.4">
      <c r="A2686" s="4">
        <f>ROW()</f>
        <v>2686</v>
      </c>
      <c r="B2686" s="9" t="s">
        <v>27</v>
      </c>
      <c r="C2686" s="44" t="str">
        <f t="shared" si="1443"/>
        <v>p.vistoriar</v>
      </c>
      <c r="D2686" s="6" t="str">
        <f t="shared" si="1435"/>
        <v>é.vant</v>
      </c>
      <c r="E2686" s="8" t="s">
        <v>28</v>
      </c>
      <c r="F2686" s="34" t="str">
        <f t="shared" si="1442"/>
        <v>d.vistoriar</v>
      </c>
      <c r="G2686" s="14" t="s">
        <v>1158</v>
      </c>
      <c r="H2686" s="33" t="s">
        <v>1581</v>
      </c>
      <c r="I2686" s="92" t="str">
        <f t="shared" si="1438"/>
        <v>null</v>
      </c>
      <c r="J2686" s="82" t="s">
        <v>0</v>
      </c>
      <c r="K2686" s="82" t="s">
        <v>0</v>
      </c>
      <c r="L2686" s="82" t="s">
        <v>0</v>
      </c>
      <c r="M2686" s="82" t="s">
        <v>0</v>
      </c>
      <c r="N2686" s="82" t="s">
        <v>0</v>
      </c>
      <c r="O2686" s="82" t="s">
        <v>0</v>
      </c>
      <c r="P2686" s="82" t="s">
        <v>0</v>
      </c>
      <c r="Q2686" s="82" t="s">
        <v>0</v>
      </c>
      <c r="R2686" s="84" t="s">
        <v>1162</v>
      </c>
      <c r="S2686" s="10" t="s">
        <v>1</v>
      </c>
      <c r="T2686" s="10" t="s">
        <v>10221</v>
      </c>
      <c r="U2686" s="5" t="str">
        <f t="shared" si="1396"/>
        <v>Propriedade destinada a vistoriar: é.vant</v>
      </c>
      <c r="V2686" s="5" t="str">
        <f t="shared" si="1397"/>
        <v>Dado para vistoriar:  vant  Deve ser formatado como (rdfs:Literal  or  xsd:string)</v>
      </c>
      <c r="W2686" s="69" t="s">
        <v>6463</v>
      </c>
      <c r="X2686" s="17" t="str">
        <f t="shared" si="1402"/>
        <v>d.visto.110</v>
      </c>
      <c r="Y2686" s="17" t="str">
        <f t="shared" si="1403"/>
        <v>Ação de vistoriar</v>
      </c>
      <c r="Z2686" s="62" t="s">
        <v>1435</v>
      </c>
      <c r="AA2686" s="18" t="str">
        <f t="shared" si="1446"/>
        <v>null</v>
      </c>
      <c r="AB2686" s="19" t="s">
        <v>0</v>
      </c>
      <c r="AC2686" s="18" t="str">
        <f t="shared" si="1447"/>
        <v>null</v>
      </c>
      <c r="AD2686" s="19" t="s">
        <v>0</v>
      </c>
      <c r="AE2686" s="18" t="str">
        <f t="shared" si="1437"/>
        <v>null</v>
      </c>
      <c r="AF2686" s="75" t="s">
        <v>0</v>
      </c>
      <c r="AG2686" s="38" t="s">
        <v>9533</v>
      </c>
    </row>
    <row r="2687" spans="1:33" ht="6" customHeight="1" x14ac:dyDescent="0.4">
      <c r="A2687" s="4">
        <f>ROW()</f>
        <v>2687</v>
      </c>
      <c r="B2687" s="9" t="s">
        <v>27</v>
      </c>
      <c r="C2687" s="44" t="str">
        <f t="shared" si="1443"/>
        <v>p.vistoriar</v>
      </c>
      <c r="D2687" s="6" t="str">
        <f t="shared" si="1435"/>
        <v>é.video</v>
      </c>
      <c r="E2687" s="8" t="s">
        <v>28</v>
      </c>
      <c r="F2687" s="34" t="str">
        <f t="shared" si="1442"/>
        <v>d.vistoriar</v>
      </c>
      <c r="G2687" s="14" t="s">
        <v>1165</v>
      </c>
      <c r="H2687" s="33" t="s">
        <v>1581</v>
      </c>
      <c r="I2687" s="92" t="str">
        <f t="shared" si="1438"/>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96"/>
        <v>Propriedade destinada a vistoriar: é.video</v>
      </c>
      <c r="V2687" s="5" t="str">
        <f t="shared" si="1397"/>
        <v>Dado para vistoriar:  video  Deve ser formatado como (rdfs:Literal  or  xsd:string)</v>
      </c>
      <c r="W2687" s="69" t="s">
        <v>6464</v>
      </c>
      <c r="X2687" s="17" t="str">
        <f t="shared" si="1402"/>
        <v>d.visto.111</v>
      </c>
      <c r="Y2687" s="17" t="str">
        <f t="shared" si="1403"/>
        <v>Ação de vistoriar</v>
      </c>
      <c r="Z2687" s="62" t="s">
        <v>1439</v>
      </c>
      <c r="AA2687" s="18" t="str">
        <f t="shared" si="1446"/>
        <v>null</v>
      </c>
      <c r="AB2687" s="19" t="s">
        <v>0</v>
      </c>
      <c r="AC2687" s="18" t="str">
        <f t="shared" si="1447"/>
        <v>null</v>
      </c>
      <c r="AD2687" s="19" t="s">
        <v>0</v>
      </c>
      <c r="AE2687" s="18" t="str">
        <f t="shared" si="1437"/>
        <v>null</v>
      </c>
      <c r="AF2687" s="75" t="s">
        <v>0</v>
      </c>
      <c r="AG2687" s="38" t="s">
        <v>9534</v>
      </c>
    </row>
    <row r="2688" spans="1:33" ht="6" customHeight="1" x14ac:dyDescent="0.4">
      <c r="A2688" s="4">
        <f>ROW()</f>
        <v>2688</v>
      </c>
      <c r="B2688" s="9" t="s">
        <v>27</v>
      </c>
      <c r="C2688" s="44" t="str">
        <f t="shared" si="1443"/>
        <v>p.vistoriar</v>
      </c>
      <c r="D2688" s="6" t="str">
        <f t="shared" si="1435"/>
        <v>é.voo.realizado</v>
      </c>
      <c r="E2688" s="8" t="s">
        <v>28</v>
      </c>
      <c r="F2688" s="34" t="str">
        <f t="shared" si="1442"/>
        <v>d.vistoriar</v>
      </c>
      <c r="G2688" s="14" t="s">
        <v>1160</v>
      </c>
      <c r="H2688" s="33" t="s">
        <v>1581</v>
      </c>
      <c r="I2688" s="92" t="str">
        <f t="shared" si="1438"/>
        <v>null</v>
      </c>
      <c r="J2688" s="82" t="s">
        <v>0</v>
      </c>
      <c r="K2688" s="82" t="s">
        <v>0</v>
      </c>
      <c r="L2688" s="82" t="s">
        <v>0</v>
      </c>
      <c r="M2688" s="82" t="s">
        <v>0</v>
      </c>
      <c r="N2688" s="82" t="s">
        <v>0</v>
      </c>
      <c r="O2688" s="82" t="s">
        <v>0</v>
      </c>
      <c r="P2688" s="82" t="s">
        <v>0</v>
      </c>
      <c r="Q2688" s="82" t="s">
        <v>0</v>
      </c>
      <c r="R2688" s="84" t="s">
        <v>0</v>
      </c>
      <c r="S2688" s="10" t="s">
        <v>1</v>
      </c>
      <c r="T2688" s="10" t="s">
        <v>10221</v>
      </c>
      <c r="U2688" s="5" t="str">
        <f t="shared" si="1396"/>
        <v>Propriedade destinada a vistoriar: é.voo.realizado</v>
      </c>
      <c r="V2688" s="5" t="str">
        <f t="shared" si="1397"/>
        <v>Dado para vistoriar:  voo.realizado  Deve ser formatado como (rdfs:Literal  or  xsd:string)</v>
      </c>
      <c r="W2688" s="69" t="s">
        <v>6465</v>
      </c>
      <c r="X2688" s="17" t="str">
        <f t="shared" si="1402"/>
        <v>d.visto.112</v>
      </c>
      <c r="Y2688" s="17" t="str">
        <f t="shared" si="1403"/>
        <v>Ação de vistoriar</v>
      </c>
      <c r="Z2688" s="62" t="s">
        <v>1437</v>
      </c>
      <c r="AA2688" s="18" t="str">
        <f t="shared" si="1446"/>
        <v>null</v>
      </c>
      <c r="AB2688" s="19" t="s">
        <v>0</v>
      </c>
      <c r="AC2688" s="18" t="str">
        <f t="shared" si="1447"/>
        <v>null</v>
      </c>
      <c r="AD2688" s="19" t="s">
        <v>0</v>
      </c>
      <c r="AE2688" s="18" t="str">
        <f t="shared" si="1437"/>
        <v>null</v>
      </c>
      <c r="AF2688" s="75" t="s">
        <v>0</v>
      </c>
      <c r="AG2688" s="38" t="s">
        <v>9535</v>
      </c>
    </row>
    <row r="2689" spans="1:33" ht="6" customHeight="1" x14ac:dyDescent="0.4">
      <c r="A2689" s="4">
        <f>ROW()</f>
        <v>2689</v>
      </c>
      <c r="B2689" s="9" t="s">
        <v>27</v>
      </c>
      <c r="C2689" s="44" t="str">
        <f t="shared" si="1443"/>
        <v>p.vistoriar</v>
      </c>
      <c r="D2689" s="6" t="str">
        <f t="shared" si="1435"/>
        <v>é.waypoint</v>
      </c>
      <c r="E2689" s="8" t="s">
        <v>28</v>
      </c>
      <c r="F2689" s="34" t="str">
        <f t="shared" si="1442"/>
        <v>d.vistoriar</v>
      </c>
      <c r="G2689" s="14" t="s">
        <v>1166</v>
      </c>
      <c r="H2689" s="33" t="s">
        <v>1581</v>
      </c>
      <c r="I2689" s="92" t="str">
        <f t="shared" si="1438"/>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ref="U2689:U2702" si="1448">_xlfn.CONCAT("Propriedade destinada a ",MID(C2689,FIND("p.",C2689,1)+2,100),": ",D2689)</f>
        <v>Propriedade destinada a vistoriar: é.waypoint</v>
      </c>
      <c r="V2689" s="5" t="str">
        <f t="shared" ref="V2689:V2702" si="1449">_xlfn.CONCAT("Dado para ",MID(F2689,FIND("d.",F2689,1)+2,100),":  ",G2689, "  Deve ser formatado como (",H2689, ")")</f>
        <v>Dado para vistoriar:  waypoint  Deve ser formatado como (rdfs:Literal  or  xsd:string)</v>
      </c>
      <c r="W2689" s="69" t="s">
        <v>6466</v>
      </c>
      <c r="X2689" s="17" t="str">
        <f t="shared" si="1402"/>
        <v>d.visto.113</v>
      </c>
      <c r="Y2689" s="17" t="str">
        <f t="shared" si="1403"/>
        <v>Ação de vistoriar</v>
      </c>
      <c r="Z2689" s="62" t="s">
        <v>1440</v>
      </c>
      <c r="AA2689" s="18" t="str">
        <f t="shared" si="1446"/>
        <v>null</v>
      </c>
      <c r="AB2689" s="19" t="s">
        <v>0</v>
      </c>
      <c r="AC2689" s="18" t="str">
        <f t="shared" si="1447"/>
        <v>null</v>
      </c>
      <c r="AD2689" s="19" t="s">
        <v>0</v>
      </c>
      <c r="AE2689" s="18" t="str">
        <f t="shared" si="1437"/>
        <v>null</v>
      </c>
      <c r="AF2689" s="75" t="s">
        <v>0</v>
      </c>
      <c r="AG2689" s="38" t="s">
        <v>9536</v>
      </c>
    </row>
    <row r="2690" spans="1:33" ht="6" customHeight="1" x14ac:dyDescent="0.4">
      <c r="A2690" s="4">
        <f>ROW()</f>
        <v>2690</v>
      </c>
      <c r="B2690" s="9" t="s">
        <v>27</v>
      </c>
      <c r="C2690" s="43" t="str">
        <f t="shared" si="1443"/>
        <v>p.votar</v>
      </c>
      <c r="D2690" s="6" t="str">
        <f t="shared" ref="D2690:D2695" si="1450">_xlfn.CONCAT("é.",G2690)</f>
        <v>é.cabine.de.votação</v>
      </c>
      <c r="E2690" s="8" t="s">
        <v>28</v>
      </c>
      <c r="F2690" s="41" t="s">
        <v>3188</v>
      </c>
      <c r="G2690" s="14" t="s">
        <v>3195</v>
      </c>
      <c r="H2690" s="33" t="s">
        <v>1581</v>
      </c>
      <c r="I2690" s="92" t="str">
        <f t="shared" si="1438"/>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ref="U2690:U2695" si="1451">_xlfn.CONCAT("Propriedade destinada a ",MID(C2690,FIND("p.",C2690,1)+2,100),": ",D2690)</f>
        <v>Propriedade destinada a votar: é.cabine.de.votação</v>
      </c>
      <c r="V2690" s="5" t="str">
        <f t="shared" ref="V2690:V2695" si="1452">_xlfn.CONCAT("Dado para ",MID(F2690,FIND("d.",F2690,1)+2,100),":  ",G2690, "  Deve ser formatado como (",H2690, ")")</f>
        <v>Dado para votar:  cabine.de.votação  Deve ser formatado como (rdfs:Literal  or  xsd:string)</v>
      </c>
      <c r="W2690" s="69" t="s">
        <v>4730</v>
      </c>
      <c r="X2690" s="17" t="str">
        <f t="shared" si="1402"/>
        <v>d.votar.100</v>
      </c>
      <c r="Y2690" s="17" t="str">
        <f t="shared" si="1403"/>
        <v>Ação de votar</v>
      </c>
      <c r="Z2690" s="62" t="s">
        <v>4818</v>
      </c>
      <c r="AA2690" s="18" t="str">
        <f t="shared" ref="AA2690:AA2695" si="1453">IF(AB2690="null", "null", "categoria.revit")</f>
        <v>categoria.revit</v>
      </c>
      <c r="AB2690" s="19" t="s">
        <v>2130</v>
      </c>
      <c r="AC2690" s="18" t="str">
        <f t="shared" si="1447"/>
        <v>classe.ifc</v>
      </c>
      <c r="AD2690" s="19" t="s">
        <v>2081</v>
      </c>
      <c r="AE2690" s="18" t="str">
        <f t="shared" ref="AE2690:AE2695" si="1454">IF(AF2690="null", "null", "propriedade")</f>
        <v>null</v>
      </c>
      <c r="AF2690" s="75" t="s">
        <v>0</v>
      </c>
      <c r="AG2690" s="38" t="s">
        <v>9539</v>
      </c>
    </row>
    <row r="2691" spans="1:33" ht="6" customHeight="1" x14ac:dyDescent="0.4">
      <c r="A2691" s="4">
        <f>ROW()</f>
        <v>2691</v>
      </c>
      <c r="B2691" s="9" t="s">
        <v>27</v>
      </c>
      <c r="C2691" s="44" t="str">
        <f>SUBSTITUTE(F2691,"d.","p.")</f>
        <v>p.votar</v>
      </c>
      <c r="D2691" s="6" t="str">
        <f t="shared" si="1450"/>
        <v>é.cadeira.de.votação</v>
      </c>
      <c r="E2691" s="8" t="s">
        <v>28</v>
      </c>
      <c r="F2691" s="34" t="str">
        <f>F2690</f>
        <v>d.votar</v>
      </c>
      <c r="G2691" s="14" t="s">
        <v>9625</v>
      </c>
      <c r="H2691" s="33" t="s">
        <v>1581</v>
      </c>
      <c r="I2691" s="92" t="str">
        <f t="shared" si="1438"/>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451"/>
        <v>Propriedade destinada a votar: é.cadeira.de.votação</v>
      </c>
      <c r="V2691" s="5" t="str">
        <f t="shared" si="1452"/>
        <v>Dado para votar:  cadeira.de.votação  Deve ser formatado como (rdfs:Literal  or  xsd:string)</v>
      </c>
      <c r="W2691" s="69" t="s">
        <v>6470</v>
      </c>
      <c r="X2691" s="17" t="str">
        <f t="shared" ref="X2691:X2702" si="1455">IF(F2690&lt;&gt;F2691,_xlfn.CONCAT(RIGHT(LEFT(F2691,7),7),".100"),_xlfn.CONCAT(RIGHT(LEFT(F2691,7),7),".",SUM(VALUE(RIGHT(X2690,3)),1)))</f>
        <v>d.votar.101</v>
      </c>
      <c r="Y2691" s="17" t="str">
        <f t="shared" ref="Y2691:Y2702" si="1456">_xlfn.CONCAT("Ação de ", SUBSTITUTE(F2691, "d.",  ""))</f>
        <v>Ação de votar</v>
      </c>
      <c r="Z2691" s="62" t="s">
        <v>3194</v>
      </c>
      <c r="AA2691" s="18" t="str">
        <f t="shared" si="1453"/>
        <v>categoria.revit</v>
      </c>
      <c r="AB2691" s="19" t="s">
        <v>2133</v>
      </c>
      <c r="AC2691" s="18" t="str">
        <f t="shared" ref="AC2691:AC2693" si="1457">IF(AD2691="null", "null", "classe.ifc")</f>
        <v>classe.ifc</v>
      </c>
      <c r="AD2691" s="19" t="s">
        <v>2085</v>
      </c>
      <c r="AE2691" s="18" t="str">
        <f t="shared" si="1454"/>
        <v>null</v>
      </c>
      <c r="AF2691" s="75" t="s">
        <v>0</v>
      </c>
      <c r="AG2691" s="38" t="s">
        <v>9541</v>
      </c>
    </row>
    <row r="2692" spans="1:33" ht="6" customHeight="1" x14ac:dyDescent="0.4">
      <c r="A2692" s="4">
        <f>ROW()</f>
        <v>2692</v>
      </c>
      <c r="B2692" s="9" t="s">
        <v>27</v>
      </c>
      <c r="C2692" s="44" t="str">
        <f>SUBSTITUTE(F2692,"d.","p.")</f>
        <v>p.votar</v>
      </c>
      <c r="D2692" s="6" t="str">
        <f t="shared" si="1450"/>
        <v>é.mesa.de.votação</v>
      </c>
      <c r="E2692" s="8" t="s">
        <v>28</v>
      </c>
      <c r="F2692" s="34" t="str">
        <f>F2691</f>
        <v>d.votar</v>
      </c>
      <c r="G2692" s="14" t="s">
        <v>9624</v>
      </c>
      <c r="H2692" s="33" t="s">
        <v>1581</v>
      </c>
      <c r="I2692" s="92" t="str">
        <f t="shared" si="1438"/>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451"/>
        <v>Propriedade destinada a votar: é.mesa.de.votação</v>
      </c>
      <c r="V2692" s="5" t="str">
        <f t="shared" si="1452"/>
        <v>Dado para votar:  mesa.de.votação  Deve ser formatado como (rdfs:Literal  or  xsd:string)</v>
      </c>
      <c r="W2692" s="69" t="s">
        <v>6469</v>
      </c>
      <c r="X2692" s="17" t="str">
        <f t="shared" si="1455"/>
        <v>d.votar.102</v>
      </c>
      <c r="Y2692" s="17" t="str">
        <f t="shared" si="1456"/>
        <v>Ação de votar</v>
      </c>
      <c r="Z2692" s="62" t="s">
        <v>3193</v>
      </c>
      <c r="AA2692" s="18" t="str">
        <f t="shared" si="1453"/>
        <v>categoria.revit</v>
      </c>
      <c r="AB2692" s="19" t="s">
        <v>2133</v>
      </c>
      <c r="AC2692" s="18" t="str">
        <f t="shared" si="1457"/>
        <v>classe.ifc</v>
      </c>
      <c r="AD2692" s="19" t="s">
        <v>2085</v>
      </c>
      <c r="AE2692" s="18" t="str">
        <f t="shared" si="1454"/>
        <v>null</v>
      </c>
      <c r="AF2692" s="75" t="s">
        <v>0</v>
      </c>
      <c r="AG2692" s="38" t="s">
        <v>9540</v>
      </c>
    </row>
    <row r="2693" spans="1:33" ht="6" customHeight="1" x14ac:dyDescent="0.4">
      <c r="A2693" s="4">
        <f>ROW()</f>
        <v>2693</v>
      </c>
      <c r="B2693" s="9" t="s">
        <v>27</v>
      </c>
      <c r="C2693" s="44" t="str">
        <f>SUBSTITUTE(F2693,"d.","p.")</f>
        <v>p.votar</v>
      </c>
      <c r="D2693" s="6" t="str">
        <f t="shared" si="1450"/>
        <v>é.urna.eletrônica</v>
      </c>
      <c r="E2693" s="8" t="s">
        <v>28</v>
      </c>
      <c r="F2693" s="34" t="str">
        <f>F2692</f>
        <v>d.votar</v>
      </c>
      <c r="G2693" s="14" t="s">
        <v>3190</v>
      </c>
      <c r="H2693" s="33" t="s">
        <v>1581</v>
      </c>
      <c r="I2693" s="92" t="str">
        <f t="shared" si="1438"/>
        <v>null</v>
      </c>
      <c r="J2693" s="82" t="s">
        <v>0</v>
      </c>
      <c r="K2693" s="82" t="s">
        <v>0</v>
      </c>
      <c r="L2693" s="82" t="s">
        <v>0</v>
      </c>
      <c r="M2693" s="82" t="s">
        <v>0</v>
      </c>
      <c r="N2693" s="82" t="s">
        <v>0</v>
      </c>
      <c r="O2693" s="82" t="s">
        <v>0</v>
      </c>
      <c r="P2693" s="82" t="s">
        <v>0</v>
      </c>
      <c r="Q2693" s="82" t="s">
        <v>0</v>
      </c>
      <c r="R2693" s="84" t="s">
        <v>0</v>
      </c>
      <c r="S2693" s="10" t="s">
        <v>1</v>
      </c>
      <c r="T2693" s="10" t="s">
        <v>10221</v>
      </c>
      <c r="U2693" s="5" t="str">
        <f t="shared" si="1451"/>
        <v>Propriedade destinada a votar: é.urna.eletrônica</v>
      </c>
      <c r="V2693" s="5" t="str">
        <f t="shared" si="1452"/>
        <v>Dado para votar:  urna.eletrônica  Deve ser formatado como (rdfs:Literal  or  xsd:string)</v>
      </c>
      <c r="W2693" s="69" t="s">
        <v>6468</v>
      </c>
      <c r="X2693" s="17" t="str">
        <f t="shared" si="1455"/>
        <v>d.votar.103</v>
      </c>
      <c r="Y2693" s="17" t="str">
        <f t="shared" si="1456"/>
        <v>Ação de votar</v>
      </c>
      <c r="Z2693" s="62" t="s">
        <v>3192</v>
      </c>
      <c r="AA2693" s="18" t="str">
        <f t="shared" si="1453"/>
        <v>categoria.revit</v>
      </c>
      <c r="AB2693" s="19" t="s">
        <v>2132</v>
      </c>
      <c r="AC2693" s="18" t="str">
        <f t="shared" si="1457"/>
        <v>classe.ifc</v>
      </c>
      <c r="AD2693" s="19" t="s">
        <v>2072</v>
      </c>
      <c r="AE2693" s="18" t="str">
        <f t="shared" si="1454"/>
        <v>null</v>
      </c>
      <c r="AF2693" s="75" t="s">
        <v>0</v>
      </c>
      <c r="AG2693" s="38" t="s">
        <v>9538</v>
      </c>
    </row>
    <row r="2694" spans="1:33" ht="6" customHeight="1" x14ac:dyDescent="0.4">
      <c r="A2694" s="4">
        <f>ROW()</f>
        <v>2694</v>
      </c>
      <c r="B2694" s="9" t="s">
        <v>27</v>
      </c>
      <c r="C2694" s="44" t="str">
        <f>SUBSTITUTE(F2694,"d.","p.")</f>
        <v>p.votar</v>
      </c>
      <c r="D2694" s="6" t="str">
        <f t="shared" si="1450"/>
        <v>é.urna.identificação</v>
      </c>
      <c r="E2694" s="8" t="s">
        <v>28</v>
      </c>
      <c r="F2694" s="34" t="str">
        <f>F2693</f>
        <v>d.votar</v>
      </c>
      <c r="G2694" s="14" t="s">
        <v>9626</v>
      </c>
      <c r="H2694" s="33" t="s">
        <v>1581</v>
      </c>
      <c r="I2694" s="92" t="str">
        <f t="shared" si="1438"/>
        <v>null</v>
      </c>
      <c r="J2694" s="82" t="s">
        <v>0</v>
      </c>
      <c r="K2694" s="82" t="s">
        <v>0</v>
      </c>
      <c r="L2694" s="82" t="s">
        <v>0</v>
      </c>
      <c r="M2694" s="82" t="s">
        <v>0</v>
      </c>
      <c r="N2694" s="82" t="s">
        <v>0</v>
      </c>
      <c r="O2694" s="82" t="s">
        <v>0</v>
      </c>
      <c r="P2694" s="82" t="s">
        <v>0</v>
      </c>
      <c r="Q2694" s="82" t="s">
        <v>0</v>
      </c>
      <c r="R2694" s="84" t="s">
        <v>0</v>
      </c>
      <c r="S2694" s="10" t="s">
        <v>1</v>
      </c>
      <c r="T2694" s="10" t="s">
        <v>10221</v>
      </c>
      <c r="U2694" s="5" t="str">
        <f t="shared" si="1451"/>
        <v>Propriedade destinada a votar: é.urna.identificação</v>
      </c>
      <c r="V2694" s="5" t="str">
        <f t="shared" si="1452"/>
        <v>Dado para votar:  urna.identificação  Deve ser formatado como (rdfs:Literal  or  xsd:string)</v>
      </c>
      <c r="W2694" s="69" t="s">
        <v>9627</v>
      </c>
      <c r="X2694" s="17" t="str">
        <f t="shared" si="1455"/>
        <v>d.votar.104</v>
      </c>
      <c r="Y2694" s="17" t="str">
        <f t="shared" si="1456"/>
        <v>Ação de votar</v>
      </c>
      <c r="Z2694" s="62" t="s">
        <v>9628</v>
      </c>
      <c r="AA2694" s="18" t="str">
        <f t="shared" si="1453"/>
        <v>null</v>
      </c>
      <c r="AB2694" s="19" t="s">
        <v>0</v>
      </c>
      <c r="AC2694" s="18" t="str">
        <f>IF(AD2694="null", "null", "classe.ifc")</f>
        <v>null</v>
      </c>
      <c r="AD2694" s="19" t="s">
        <v>0</v>
      </c>
      <c r="AE2694" s="18" t="str">
        <f t="shared" si="1454"/>
        <v>null</v>
      </c>
      <c r="AF2694" s="75" t="s">
        <v>0</v>
      </c>
      <c r="AG2694" s="62" t="s">
        <v>9811</v>
      </c>
    </row>
    <row r="2695" spans="1:33" ht="6" customHeight="1" x14ac:dyDescent="0.4">
      <c r="A2695" s="4">
        <f>ROW()</f>
        <v>2695</v>
      </c>
      <c r="B2695" s="9" t="s">
        <v>27</v>
      </c>
      <c r="C2695" s="44" t="str">
        <f>SUBSTITUTE(F2695,"d.","p.")</f>
        <v>p.votar</v>
      </c>
      <c r="D2695" s="6" t="str">
        <f t="shared" si="1450"/>
        <v>é.urna.papel</v>
      </c>
      <c r="E2695" s="8" t="s">
        <v>28</v>
      </c>
      <c r="F2695" s="34" t="str">
        <f>F2694</f>
        <v>d.votar</v>
      </c>
      <c r="G2695" s="14" t="s">
        <v>3189</v>
      </c>
      <c r="H2695" s="33" t="s">
        <v>1581</v>
      </c>
      <c r="I2695" s="92" t="str">
        <f t="shared" si="1438"/>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451"/>
        <v>Propriedade destinada a votar: é.urna.papel</v>
      </c>
      <c r="V2695" s="5" t="str">
        <f t="shared" si="1452"/>
        <v>Dado para votar:  urna.papel  Deve ser formatado como (rdfs:Literal  or  xsd:string)</v>
      </c>
      <c r="W2695" s="69" t="s">
        <v>6467</v>
      </c>
      <c r="X2695" s="17" t="str">
        <f t="shared" si="1455"/>
        <v>d.votar.105</v>
      </c>
      <c r="Y2695" s="17" t="str">
        <f t="shared" si="1456"/>
        <v>Ação de votar</v>
      </c>
      <c r="Z2695" s="62" t="s">
        <v>3191</v>
      </c>
      <c r="AA2695" s="18" t="str">
        <f t="shared" si="1453"/>
        <v>categoria.revit</v>
      </c>
      <c r="AB2695" s="19" t="s">
        <v>2133</v>
      </c>
      <c r="AC2695" s="18" t="str">
        <f>IF(AD2695="null", "null", "classe.ifc")</f>
        <v>classe.ifc</v>
      </c>
      <c r="AD2695" s="19" t="s">
        <v>2085</v>
      </c>
      <c r="AE2695" s="18" t="str">
        <f t="shared" si="1454"/>
        <v>null</v>
      </c>
      <c r="AF2695" s="75" t="s">
        <v>0</v>
      </c>
      <c r="AG2695" s="38" t="s">
        <v>9537</v>
      </c>
    </row>
    <row r="2696" spans="1:33" ht="6" customHeight="1" x14ac:dyDescent="0.4">
      <c r="A2696" s="4">
        <f>ROW()</f>
        <v>2696</v>
      </c>
      <c r="B2696" s="9" t="s">
        <v>27</v>
      </c>
      <c r="C2696" s="43" t="str">
        <f t="shared" ref="C2696:C2702" si="1458">SUBSTITUTE(F2696,"d.","p.")</f>
        <v>p.zonificar</v>
      </c>
      <c r="D2696" s="6" t="str">
        <f t="shared" si="1435"/>
        <v>é.zona</v>
      </c>
      <c r="E2696" s="8" t="s">
        <v>28</v>
      </c>
      <c r="F2696" s="40" t="s">
        <v>2245</v>
      </c>
      <c r="G2696" s="14" t="s">
        <v>125</v>
      </c>
      <c r="H2696" s="33" t="s">
        <v>1581</v>
      </c>
      <c r="I2696" s="92" t="str">
        <f t="shared" si="1438"/>
        <v>null</v>
      </c>
      <c r="J2696" s="82" t="s">
        <v>0</v>
      </c>
      <c r="K2696" s="82" t="s">
        <v>0</v>
      </c>
      <c r="L2696" s="82" t="s">
        <v>0</v>
      </c>
      <c r="M2696" s="82" t="s">
        <v>0</v>
      </c>
      <c r="N2696" s="80" t="s">
        <v>0</v>
      </c>
      <c r="O2696" s="82" t="s">
        <v>0</v>
      </c>
      <c r="P2696" s="82" t="s">
        <v>0</v>
      </c>
      <c r="Q2696" s="82" t="s">
        <v>0</v>
      </c>
      <c r="R2696" s="84" t="s">
        <v>0</v>
      </c>
      <c r="S2696" s="10" t="s">
        <v>1</v>
      </c>
      <c r="T2696" s="10" t="s">
        <v>10221</v>
      </c>
      <c r="U2696" s="5" t="str">
        <f t="shared" si="1448"/>
        <v>Propriedade destinada a zonificar: é.zona</v>
      </c>
      <c r="V2696" s="5" t="str">
        <f t="shared" si="1449"/>
        <v>Dado para zonificar:  zona  Deve ser formatado como (rdfs:Literal  or  xsd:string)</v>
      </c>
      <c r="W2696" s="69" t="s">
        <v>6471</v>
      </c>
      <c r="X2696" s="17" t="str">
        <f t="shared" si="1455"/>
        <v>d.zonif.100</v>
      </c>
      <c r="Y2696" s="17" t="str">
        <f t="shared" si="1456"/>
        <v>Ação de zonificar</v>
      </c>
      <c r="Z2696" s="62" t="s">
        <v>2770</v>
      </c>
      <c r="AA2696" s="18" t="str">
        <f t="shared" si="1393"/>
        <v>categoria.revit</v>
      </c>
      <c r="AB2696" s="19" t="s">
        <v>2151</v>
      </c>
      <c r="AC2696" s="18" t="str">
        <f t="shared" si="1394"/>
        <v>classe.ifc</v>
      </c>
      <c r="AD2696" s="19" t="s">
        <v>2102</v>
      </c>
      <c r="AE2696" s="18" t="str">
        <f t="shared" si="1437"/>
        <v>null</v>
      </c>
      <c r="AF2696" s="75" t="s">
        <v>0</v>
      </c>
      <c r="AG2696" s="38" t="s">
        <v>9542</v>
      </c>
    </row>
    <row r="2697" spans="1:33" ht="6" customHeight="1" x14ac:dyDescent="0.4">
      <c r="A2697" s="4">
        <f>ROW()</f>
        <v>2697</v>
      </c>
      <c r="B2697" s="9" t="s">
        <v>27</v>
      </c>
      <c r="C2697" s="44" t="str">
        <f t="shared" si="1458"/>
        <v>p.zonificar</v>
      </c>
      <c r="D2697" s="6" t="str">
        <f t="shared" si="1435"/>
        <v>é.zona.avac</v>
      </c>
      <c r="E2697" s="8" t="s">
        <v>28</v>
      </c>
      <c r="F2697" s="34" t="str">
        <f t="shared" ref="F2697:F2702" si="1459">F2696</f>
        <v>d.zonificar</v>
      </c>
      <c r="G2697" s="14" t="s">
        <v>972</v>
      </c>
      <c r="H2697" s="33" t="s">
        <v>1581</v>
      </c>
      <c r="I2697" s="92" t="str">
        <f t="shared" si="1438"/>
        <v>null</v>
      </c>
      <c r="J2697" s="82" t="s">
        <v>0</v>
      </c>
      <c r="K2697" s="82" t="s">
        <v>0</v>
      </c>
      <c r="L2697" s="82" t="s">
        <v>0</v>
      </c>
      <c r="M2697" s="82" t="s">
        <v>0</v>
      </c>
      <c r="N2697" s="80" t="s">
        <v>0</v>
      </c>
      <c r="O2697" s="82" t="s">
        <v>0</v>
      </c>
      <c r="P2697" s="82" t="s">
        <v>0</v>
      </c>
      <c r="Q2697" s="82" t="s">
        <v>0</v>
      </c>
      <c r="R2697" s="84" t="s">
        <v>0</v>
      </c>
      <c r="S2697" s="10" t="s">
        <v>1</v>
      </c>
      <c r="T2697" s="10" t="s">
        <v>10221</v>
      </c>
      <c r="U2697" s="5" t="str">
        <f t="shared" si="1448"/>
        <v>Propriedade destinada a zonificar: é.zona.avac</v>
      </c>
      <c r="V2697" s="5" t="str">
        <f t="shared" si="1449"/>
        <v>Dado para zonificar:  zona.avac  Deve ser formatado como (rdfs:Literal  or  xsd:string)</v>
      </c>
      <c r="W2697" s="69" t="s">
        <v>6472</v>
      </c>
      <c r="X2697" s="17" t="str">
        <f t="shared" si="1455"/>
        <v>d.zonif.101</v>
      </c>
      <c r="Y2697" s="17" t="str">
        <f t="shared" si="1456"/>
        <v>Ação de zonificar</v>
      </c>
      <c r="Z2697" s="62" t="s">
        <v>2771</v>
      </c>
      <c r="AA2697" s="18" t="str">
        <f t="shared" si="1393"/>
        <v>categoria.revit</v>
      </c>
      <c r="AB2697" s="19" t="s">
        <v>2151</v>
      </c>
      <c r="AC2697" s="18" t="str">
        <f t="shared" si="1394"/>
        <v>classe.ifc</v>
      </c>
      <c r="AD2697" s="19" t="s">
        <v>2102</v>
      </c>
      <c r="AE2697" s="18" t="str">
        <f t="shared" si="1437"/>
        <v>null</v>
      </c>
      <c r="AF2697" s="75" t="s">
        <v>0</v>
      </c>
      <c r="AG2697" s="38" t="s">
        <v>9543</v>
      </c>
    </row>
    <row r="2698" spans="1:33" ht="6" customHeight="1" x14ac:dyDescent="0.4">
      <c r="A2698" s="4">
        <f>ROW()</f>
        <v>2698</v>
      </c>
      <c r="B2698" s="9" t="s">
        <v>27</v>
      </c>
      <c r="C2698" s="44" t="str">
        <f t="shared" si="1458"/>
        <v>p.zonificar</v>
      </c>
      <c r="D2698" s="6" t="str">
        <f t="shared" si="1435"/>
        <v>é.zona.isolada</v>
      </c>
      <c r="E2698" s="8" t="s">
        <v>28</v>
      </c>
      <c r="F2698" s="34" t="str">
        <f t="shared" si="1459"/>
        <v>d.zonificar</v>
      </c>
      <c r="G2698" s="14" t="s">
        <v>973</v>
      </c>
      <c r="H2698" s="33" t="s">
        <v>1581</v>
      </c>
      <c r="I2698" s="92" t="str">
        <f t="shared" si="1438"/>
        <v>null</v>
      </c>
      <c r="J2698" s="82" t="s">
        <v>0</v>
      </c>
      <c r="K2698" s="82" t="s">
        <v>0</v>
      </c>
      <c r="L2698" s="82" t="s">
        <v>0</v>
      </c>
      <c r="M2698" s="82" t="s">
        <v>0</v>
      </c>
      <c r="N2698" s="80" t="s">
        <v>0</v>
      </c>
      <c r="O2698" s="82" t="s">
        <v>0</v>
      </c>
      <c r="P2698" s="82" t="s">
        <v>0</v>
      </c>
      <c r="Q2698" s="82" t="s">
        <v>0</v>
      </c>
      <c r="R2698" s="84" t="s">
        <v>0</v>
      </c>
      <c r="S2698" s="10" t="s">
        <v>1</v>
      </c>
      <c r="T2698" s="10" t="s">
        <v>10221</v>
      </c>
      <c r="U2698" s="5" t="str">
        <f t="shared" si="1448"/>
        <v>Propriedade destinada a zonificar: é.zona.isolada</v>
      </c>
      <c r="V2698" s="5" t="str">
        <f t="shared" si="1449"/>
        <v>Dado para zonificar:  zona.isolada  Deve ser formatado como (rdfs:Literal  or  xsd:string)</v>
      </c>
      <c r="W2698" s="69" t="s">
        <v>6473</v>
      </c>
      <c r="X2698" s="17" t="str">
        <f t="shared" si="1455"/>
        <v>d.zonif.102</v>
      </c>
      <c r="Y2698" s="17" t="str">
        <f t="shared" si="1456"/>
        <v>Ação de zonificar</v>
      </c>
      <c r="Z2698" s="62" t="s">
        <v>2772</v>
      </c>
      <c r="AA2698" s="18" t="str">
        <f t="shared" si="1393"/>
        <v>categoria.revit</v>
      </c>
      <c r="AB2698" s="19" t="s">
        <v>2151</v>
      </c>
      <c r="AC2698" s="18" t="str">
        <f t="shared" si="1394"/>
        <v>classe.ifc</v>
      </c>
      <c r="AD2698" s="19" t="s">
        <v>2102</v>
      </c>
      <c r="AE2698" s="18" t="str">
        <f t="shared" si="1437"/>
        <v>null</v>
      </c>
      <c r="AF2698" s="75" t="s">
        <v>0</v>
      </c>
      <c r="AG2698" s="38" t="s">
        <v>9544</v>
      </c>
    </row>
    <row r="2699" spans="1:33" ht="6" customHeight="1" x14ac:dyDescent="0.4">
      <c r="A2699" s="4">
        <f>ROW()</f>
        <v>2699</v>
      </c>
      <c r="B2699" s="9" t="s">
        <v>27</v>
      </c>
      <c r="C2699" s="44" t="str">
        <f t="shared" si="1458"/>
        <v>p.zonificar</v>
      </c>
      <c r="D2699" s="6" t="str">
        <f t="shared" si="1435"/>
        <v>é.zona.de.máquinas</v>
      </c>
      <c r="E2699" s="8" t="s">
        <v>28</v>
      </c>
      <c r="F2699" s="34" t="str">
        <f t="shared" si="1459"/>
        <v>d.zonificar</v>
      </c>
      <c r="G2699" s="14" t="s">
        <v>6902</v>
      </c>
      <c r="H2699" s="33" t="s">
        <v>1581</v>
      </c>
      <c r="I2699" s="92" t="str">
        <f t="shared" si="1438"/>
        <v>null</v>
      </c>
      <c r="J2699" s="82" t="s">
        <v>0</v>
      </c>
      <c r="K2699" s="82" t="s">
        <v>0</v>
      </c>
      <c r="L2699" s="82" t="s">
        <v>0</v>
      </c>
      <c r="M2699" s="82" t="s">
        <v>0</v>
      </c>
      <c r="N2699" s="80" t="s">
        <v>0</v>
      </c>
      <c r="O2699" s="82" t="s">
        <v>0</v>
      </c>
      <c r="P2699" s="82" t="s">
        <v>0</v>
      </c>
      <c r="Q2699" s="82" t="s">
        <v>0</v>
      </c>
      <c r="R2699" s="84" t="s">
        <v>0</v>
      </c>
      <c r="S2699" s="10" t="s">
        <v>1</v>
      </c>
      <c r="T2699" s="10" t="s">
        <v>10221</v>
      </c>
      <c r="U2699" s="5" t="str">
        <f t="shared" si="1448"/>
        <v>Propriedade destinada a zonificar: é.zona.de.máquinas</v>
      </c>
      <c r="V2699" s="5" t="str">
        <f t="shared" si="1449"/>
        <v>Dado para zonificar:  zona.de.máquinas  Deve ser formatado como (rdfs:Literal  or  xsd:string)</v>
      </c>
      <c r="W2699" s="69" t="s">
        <v>6474</v>
      </c>
      <c r="X2699" s="17" t="str">
        <f t="shared" si="1455"/>
        <v>d.zonif.103</v>
      </c>
      <c r="Y2699" s="17" t="str">
        <f t="shared" si="1456"/>
        <v>Ação de zonificar</v>
      </c>
      <c r="Z2699" s="62" t="s">
        <v>2773</v>
      </c>
      <c r="AA2699" s="18" t="str">
        <f t="shared" ref="AA2699:AA2702" si="1460">IF(AB2699="null", "null", "categoria.revit")</f>
        <v>categoria.revit</v>
      </c>
      <c r="AB2699" s="19" t="s">
        <v>2151</v>
      </c>
      <c r="AC2699" s="18" t="str">
        <f t="shared" ref="AC2699:AC2702" si="1461">IF(AD2699="null", "null", "classe.ifc")</f>
        <v>classe.ifc</v>
      </c>
      <c r="AD2699" s="19" t="s">
        <v>2102</v>
      </c>
      <c r="AE2699" s="18" t="str">
        <f t="shared" si="1437"/>
        <v>null</v>
      </c>
      <c r="AF2699" s="75" t="s">
        <v>0</v>
      </c>
      <c r="AG2699" s="38" t="s">
        <v>9545</v>
      </c>
    </row>
    <row r="2700" spans="1:33" ht="6" customHeight="1" x14ac:dyDescent="0.4">
      <c r="A2700" s="4">
        <f>ROW()</f>
        <v>2700</v>
      </c>
      <c r="B2700" s="9" t="s">
        <v>27</v>
      </c>
      <c r="C2700" s="44" t="str">
        <f t="shared" si="1458"/>
        <v>p.zonificar</v>
      </c>
      <c r="D2700" s="6" t="str">
        <f t="shared" si="1435"/>
        <v>é.zona.pública</v>
      </c>
      <c r="E2700" s="8" t="s">
        <v>28</v>
      </c>
      <c r="F2700" s="34" t="str">
        <f t="shared" si="1459"/>
        <v>d.zonificar</v>
      </c>
      <c r="G2700" s="14" t="s">
        <v>974</v>
      </c>
      <c r="H2700" s="33" t="s">
        <v>1581</v>
      </c>
      <c r="I2700" s="92" t="str">
        <f t="shared" si="1438"/>
        <v>null</v>
      </c>
      <c r="J2700" s="82" t="s">
        <v>0</v>
      </c>
      <c r="K2700" s="82" t="s">
        <v>0</v>
      </c>
      <c r="L2700" s="82" t="s">
        <v>0</v>
      </c>
      <c r="M2700" s="82" t="s">
        <v>0</v>
      </c>
      <c r="N2700" s="80" t="s">
        <v>0</v>
      </c>
      <c r="O2700" s="82" t="s">
        <v>0</v>
      </c>
      <c r="P2700" s="82" t="s">
        <v>0</v>
      </c>
      <c r="Q2700" s="82" t="s">
        <v>0</v>
      </c>
      <c r="R2700" s="84" t="s">
        <v>0</v>
      </c>
      <c r="S2700" s="10" t="s">
        <v>1</v>
      </c>
      <c r="T2700" s="10" t="s">
        <v>10221</v>
      </c>
      <c r="U2700" s="5" t="str">
        <f t="shared" si="1448"/>
        <v>Propriedade destinada a zonificar: é.zona.pública</v>
      </c>
      <c r="V2700" s="5" t="str">
        <f t="shared" si="1449"/>
        <v>Dado para zonificar:  zona.pública  Deve ser formatado como (rdfs:Literal  or  xsd:string)</v>
      </c>
      <c r="W2700" s="69" t="s">
        <v>6475</v>
      </c>
      <c r="X2700" s="17" t="str">
        <f t="shared" si="1455"/>
        <v>d.zonif.104</v>
      </c>
      <c r="Y2700" s="17" t="str">
        <f t="shared" si="1456"/>
        <v>Ação de zonificar</v>
      </c>
      <c r="Z2700" s="62" t="s">
        <v>2774</v>
      </c>
      <c r="AA2700" s="18" t="str">
        <f t="shared" si="1460"/>
        <v>categoria.revit</v>
      </c>
      <c r="AB2700" s="19" t="s">
        <v>2151</v>
      </c>
      <c r="AC2700" s="18" t="str">
        <f t="shared" si="1461"/>
        <v>classe.ifc</v>
      </c>
      <c r="AD2700" s="19" t="s">
        <v>2102</v>
      </c>
      <c r="AE2700" s="18" t="str">
        <f t="shared" si="1437"/>
        <v>null</v>
      </c>
      <c r="AF2700" s="75" t="s">
        <v>0</v>
      </c>
      <c r="AG2700" s="38" t="s">
        <v>9546</v>
      </c>
    </row>
    <row r="2701" spans="1:33" ht="6" customHeight="1" x14ac:dyDescent="0.4">
      <c r="A2701" s="4">
        <f>ROW()</f>
        <v>2701</v>
      </c>
      <c r="B2701" s="9" t="s">
        <v>27</v>
      </c>
      <c r="C2701" s="44" t="str">
        <f t="shared" si="1458"/>
        <v>p.zonificar</v>
      </c>
      <c r="D2701" s="6" t="str">
        <f t="shared" si="1435"/>
        <v>é.zona.privada</v>
      </c>
      <c r="E2701" s="8" t="s">
        <v>28</v>
      </c>
      <c r="F2701" s="34" t="str">
        <f t="shared" si="1459"/>
        <v>d.zonificar</v>
      </c>
      <c r="G2701" s="14" t="s">
        <v>975</v>
      </c>
      <c r="H2701" s="33" t="s">
        <v>1581</v>
      </c>
      <c r="I2701" s="92" t="str">
        <f t="shared" si="1438"/>
        <v>null</v>
      </c>
      <c r="J2701" s="82" t="s">
        <v>0</v>
      </c>
      <c r="K2701" s="82" t="s">
        <v>0</v>
      </c>
      <c r="L2701" s="82" t="s">
        <v>0</v>
      </c>
      <c r="M2701" s="82" t="s">
        <v>0</v>
      </c>
      <c r="N2701" s="80" t="s">
        <v>0</v>
      </c>
      <c r="O2701" s="82" t="s">
        <v>0</v>
      </c>
      <c r="P2701" s="82" t="s">
        <v>0</v>
      </c>
      <c r="Q2701" s="82" t="s">
        <v>0</v>
      </c>
      <c r="R2701" s="84" t="s">
        <v>0</v>
      </c>
      <c r="S2701" s="10" t="s">
        <v>1</v>
      </c>
      <c r="T2701" s="10" t="s">
        <v>10221</v>
      </c>
      <c r="U2701" s="5" t="str">
        <f t="shared" si="1448"/>
        <v>Propriedade destinada a zonificar: é.zona.privada</v>
      </c>
      <c r="V2701" s="5" t="str">
        <f t="shared" si="1449"/>
        <v>Dado para zonificar:  zona.privada  Deve ser formatado como (rdfs:Literal  or  xsd:string)</v>
      </c>
      <c r="W2701" s="69" t="s">
        <v>6476</v>
      </c>
      <c r="X2701" s="17" t="str">
        <f t="shared" si="1455"/>
        <v>d.zonif.105</v>
      </c>
      <c r="Y2701" s="17" t="str">
        <f t="shared" si="1456"/>
        <v>Ação de zonificar</v>
      </c>
      <c r="Z2701" s="62" t="s">
        <v>2775</v>
      </c>
      <c r="AA2701" s="18" t="str">
        <f t="shared" si="1460"/>
        <v>categoria.revit</v>
      </c>
      <c r="AB2701" s="19" t="s">
        <v>2151</v>
      </c>
      <c r="AC2701" s="18" t="str">
        <f t="shared" si="1461"/>
        <v>classe.ifc</v>
      </c>
      <c r="AD2701" s="19" t="s">
        <v>2102</v>
      </c>
      <c r="AE2701" s="18" t="str">
        <f t="shared" si="1437"/>
        <v>null</v>
      </c>
      <c r="AF2701" s="75" t="s">
        <v>0</v>
      </c>
      <c r="AG2701" s="38" t="s">
        <v>9547</v>
      </c>
    </row>
    <row r="2702" spans="1:33" ht="6" customHeight="1" x14ac:dyDescent="0.4">
      <c r="A2702" s="4">
        <f>ROW()</f>
        <v>2702</v>
      </c>
      <c r="B2702" s="9" t="s">
        <v>27</v>
      </c>
      <c r="C2702" s="44" t="str">
        <f t="shared" si="1458"/>
        <v>p.zonificar</v>
      </c>
      <c r="D2702" s="6" t="str">
        <f t="shared" si="1435"/>
        <v>é.zona.protegida</v>
      </c>
      <c r="E2702" s="8" t="s">
        <v>28</v>
      </c>
      <c r="F2702" s="34" t="str">
        <f t="shared" si="1459"/>
        <v>d.zonificar</v>
      </c>
      <c r="G2702" s="14" t="s">
        <v>976</v>
      </c>
      <c r="H2702" s="33" t="s">
        <v>1581</v>
      </c>
      <c r="I2702" s="92" t="str">
        <f t="shared" si="1438"/>
        <v>null</v>
      </c>
      <c r="J2702" s="82" t="s">
        <v>0</v>
      </c>
      <c r="K2702" s="82" t="s">
        <v>0</v>
      </c>
      <c r="L2702" s="82" t="s">
        <v>0</v>
      </c>
      <c r="M2702" s="82" t="s">
        <v>0</v>
      </c>
      <c r="N2702" s="80" t="s">
        <v>0</v>
      </c>
      <c r="O2702" s="82" t="s">
        <v>0</v>
      </c>
      <c r="P2702" s="82" t="s">
        <v>0</v>
      </c>
      <c r="Q2702" s="82" t="s">
        <v>0</v>
      </c>
      <c r="R2702" s="84" t="s">
        <v>0</v>
      </c>
      <c r="S2702" s="10" t="s">
        <v>1</v>
      </c>
      <c r="T2702" s="10" t="s">
        <v>10221</v>
      </c>
      <c r="U2702" s="5" t="str">
        <f t="shared" si="1448"/>
        <v>Propriedade destinada a zonificar: é.zona.protegida</v>
      </c>
      <c r="V2702" s="5" t="str">
        <f t="shared" si="1449"/>
        <v>Dado para zonificar:  zona.protegida  Deve ser formatado como (rdfs:Literal  or  xsd:string)</v>
      </c>
      <c r="W2702" s="69" t="s">
        <v>6477</v>
      </c>
      <c r="X2702" s="17" t="str">
        <f t="shared" si="1455"/>
        <v>d.zonif.106</v>
      </c>
      <c r="Y2702" s="17" t="str">
        <f t="shared" si="1456"/>
        <v>Ação de zonificar</v>
      </c>
      <c r="Z2702" s="62" t="s">
        <v>2776</v>
      </c>
      <c r="AA2702" s="18" t="str">
        <f t="shared" si="1460"/>
        <v>null</v>
      </c>
      <c r="AB2702" s="19" t="s">
        <v>0</v>
      </c>
      <c r="AC2702" s="18" t="str">
        <f t="shared" si="1461"/>
        <v>null</v>
      </c>
      <c r="AD2702" s="19" t="s">
        <v>0</v>
      </c>
      <c r="AE2702" s="18" t="str">
        <f t="shared" si="1437"/>
        <v>null</v>
      </c>
      <c r="AF2702" s="75" t="s">
        <v>0</v>
      </c>
      <c r="AG2702" s="38" t="s">
        <v>9548</v>
      </c>
    </row>
  </sheetData>
  <autoFilter ref="F1:F2702" xr:uid="{F84E98E2-D495-4DD0-8499-3FFEA5DEAE25}"/>
  <sortState xmlns:xlrd2="http://schemas.microsoft.com/office/spreadsheetml/2017/richdata2" ref="A2:AG2702">
    <sortCondition ref="F1:F2702"/>
  </sortState>
  <phoneticPr fontId="6" type="noConversion"/>
  <conditionalFormatting sqref="G545">
    <cfRule type="duplicateValues" dxfId="14" priority="47"/>
  </conditionalFormatting>
  <conditionalFormatting sqref="G1611:G1615">
    <cfRule type="duplicateValues" dxfId="13" priority="31"/>
  </conditionalFormatting>
  <conditionalFormatting sqref="G1616:G1693 G1:G889 G1880:G1048576 G919:G1610">
    <cfRule type="duplicateValues" dxfId="12" priority="34"/>
  </conditionalFormatting>
  <conditionalFormatting sqref="G1694:G1879">
    <cfRule type="duplicateValues" dxfId="11" priority="19"/>
    <cfRule type="duplicateValues" dxfId="10" priority="20"/>
    <cfRule type="duplicateValues" dxfId="9" priority="21"/>
    <cfRule type="duplicateValues" dxfId="8" priority="23"/>
    <cfRule type="duplicateValues" dxfId="7" priority="24"/>
  </conditionalFormatting>
  <conditionalFormatting sqref="G1955">
    <cfRule type="duplicateValues" dxfId="6" priority="28"/>
  </conditionalFormatting>
  <conditionalFormatting sqref="G1974:G1048576 G1616:G1693 G1:G544 G564:G889 G1880:G1954 G919:G1610">
    <cfRule type="duplicateValues" dxfId="5" priority="48"/>
  </conditionalFormatting>
  <conditionalFormatting sqref="I1:R544 I545:Q563">
    <cfRule type="cellIs" dxfId="4" priority="29" operator="equal">
      <formula>"null"</formula>
    </cfRule>
  </conditionalFormatting>
  <conditionalFormatting sqref="I564:R1048576">
    <cfRule type="cellIs" dxfId="3" priority="1" operator="equal">
      <formula>"null"</formula>
    </cfRule>
  </conditionalFormatting>
  <conditionalFormatting sqref="R545">
    <cfRule type="duplicateValues" dxfId="2" priority="26"/>
  </conditionalFormatting>
  <conditionalFormatting sqref="R545:R563">
    <cfRule type="duplicateValues" dxfId="1" priority="27"/>
  </conditionalFormatting>
  <conditionalFormatting sqref="X1:X1048576">
    <cfRule type="duplicateValues" dxfId="0" priority="3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2026-07-17T18:37:35Z</dcterms:modified>
</cp:coreProperties>
</file>