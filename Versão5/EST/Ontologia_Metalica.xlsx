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166925"/>
  <mc:AlternateContent xmlns:mc="http://schemas.openxmlformats.org/markup-compatibility/2006">
    <mc:Choice Requires="x15">
      <x15ac:absPath xmlns:x15ac="http://schemas.microsoft.com/office/spreadsheetml/2010/11/ac" url="C:\Construtor_Onto\EST\"/>
    </mc:Choice>
  </mc:AlternateContent>
  <xr:revisionPtr revIDLastSave="0" documentId="13_ncr:1_{EC1C7D08-B6F4-415F-9ED3-129EF53759B7}" xr6:coauthVersionLast="47" xr6:coauthVersionMax="47" xr10:uidLastSave="{00000000-0000-0000-0000-000000000000}"/>
  <bookViews>
    <workbookView xWindow="-120" yWindow="-120" windowWidth="24240" windowHeight="13290" tabRatio="527" activeTab="1" xr2:uid="{6AA21774-678E-47D1-B8DD-6444A2CEB00E}"/>
  </bookViews>
  <sheets>
    <sheet name="Projeto" sheetId="31" r:id="rId1"/>
    <sheet name="Classes" sheetId="39" r:id="rId2"/>
    <sheet name="Disjunt" sheetId="36" r:id="rId3"/>
    <sheet name="Interop" sheetId="37" r:id="rId4"/>
    <sheet name="FatosIn" sheetId="4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39" l="1"/>
  <c r="X4" i="39"/>
  <c r="X5" i="39"/>
  <c r="X6" i="39"/>
  <c r="X7" i="39"/>
  <c r="X8" i="39"/>
  <c r="X9" i="39"/>
  <c r="X10" i="39"/>
  <c r="X11" i="39"/>
  <c r="X12" i="39"/>
  <c r="X13" i="39"/>
  <c r="X14" i="39"/>
  <c r="X15" i="39"/>
  <c r="X16" i="39"/>
  <c r="X17" i="39"/>
  <c r="X18" i="39"/>
  <c r="X19" i="39"/>
  <c r="X20" i="39"/>
  <c r="X21" i="39"/>
  <c r="X22" i="39"/>
  <c r="X23" i="39"/>
  <c r="X24" i="39"/>
  <c r="X25" i="39"/>
  <c r="X26" i="39"/>
  <c r="X27" i="39"/>
  <c r="X28" i="39"/>
  <c r="X29" i="39"/>
  <c r="X30" i="39"/>
  <c r="X31" i="39"/>
  <c r="X32" i="39"/>
  <c r="X33" i="39"/>
  <c r="X34" i="39"/>
  <c r="X35" i="39"/>
  <c r="X36" i="39"/>
  <c r="X37" i="39"/>
  <c r="X38" i="39"/>
  <c r="X39" i="39"/>
  <c r="X40" i="39"/>
  <c r="X41" i="39"/>
  <c r="X42" i="39"/>
  <c r="X43" i="39"/>
  <c r="X44" i="39"/>
  <c r="X45" i="39"/>
  <c r="X46" i="39"/>
  <c r="X47" i="39"/>
  <c r="X48" i="39"/>
  <c r="X49" i="39"/>
  <c r="X50" i="39"/>
  <c r="X51" i="39"/>
  <c r="X52" i="39"/>
  <c r="X53" i="39"/>
  <c r="X54" i="39"/>
  <c r="X55" i="39"/>
  <c r="X56" i="39"/>
  <c r="X57" i="39"/>
  <c r="X58" i="39"/>
  <c r="X59" i="39"/>
  <c r="X60" i="39"/>
  <c r="X61" i="39"/>
  <c r="X62" i="39"/>
  <c r="X63" i="39"/>
  <c r="X64" i="39"/>
  <c r="X65" i="39"/>
  <c r="X66" i="39"/>
  <c r="X67" i="39"/>
  <c r="X68" i="39"/>
  <c r="X69" i="39"/>
  <c r="X70" i="39"/>
  <c r="X71" i="39"/>
  <c r="X72" i="39"/>
  <c r="X73" i="39"/>
  <c r="X74" i="39"/>
  <c r="X75" i="39"/>
  <c r="X76" i="39"/>
  <c r="X77" i="39"/>
  <c r="X78" i="39"/>
  <c r="X79" i="39"/>
  <c r="X80" i="39"/>
  <c r="X81" i="39"/>
  <c r="X82" i="39"/>
  <c r="X83" i="39"/>
  <c r="X84" i="39"/>
  <c r="X85" i="39"/>
  <c r="X86" i="39"/>
  <c r="X87" i="39"/>
  <c r="X88" i="39"/>
  <c r="X89" i="39"/>
  <c r="X90" i="39"/>
  <c r="X91" i="39"/>
  <c r="X92" i="39"/>
  <c r="X93" i="39"/>
  <c r="X94" i="39"/>
  <c r="X95" i="39"/>
  <c r="X96" i="39"/>
  <c r="X97" i="39"/>
  <c r="X98" i="39"/>
  <c r="X99" i="39"/>
  <c r="X100" i="39"/>
  <c r="X101" i="39"/>
  <c r="X102" i="39"/>
  <c r="X103" i="39"/>
  <c r="X104" i="39"/>
  <c r="X105" i="39"/>
  <c r="X106" i="39"/>
  <c r="X107" i="39"/>
  <c r="X108" i="39"/>
  <c r="X109" i="39"/>
  <c r="X110" i="39"/>
  <c r="X111" i="39"/>
  <c r="X112" i="39"/>
  <c r="X113" i="39"/>
  <c r="X114" i="39"/>
  <c r="X115" i="39"/>
  <c r="X116" i="39"/>
  <c r="X117" i="39"/>
  <c r="X118" i="39"/>
  <c r="X119" i="39"/>
  <c r="X120" i="39"/>
  <c r="X121" i="39"/>
  <c r="X122" i="39"/>
  <c r="X123" i="39"/>
  <c r="X124" i="39"/>
  <c r="X125" i="39"/>
  <c r="X126" i="39"/>
  <c r="X127" i="39"/>
  <c r="X128" i="39"/>
  <c r="X129" i="39"/>
  <c r="X130" i="39"/>
  <c r="X131" i="39"/>
  <c r="X132" i="39"/>
  <c r="X133" i="39"/>
  <c r="X134" i="39"/>
  <c r="X135" i="39"/>
  <c r="X136" i="39"/>
  <c r="X137" i="39"/>
  <c r="X138" i="39"/>
  <c r="X139" i="39"/>
  <c r="X140" i="39"/>
  <c r="X141" i="39"/>
  <c r="X142" i="39"/>
  <c r="X143" i="39"/>
  <c r="X144" i="39"/>
  <c r="X145" i="39"/>
  <c r="X146" i="39"/>
  <c r="X147" i="39"/>
  <c r="X148" i="39"/>
  <c r="X149" i="39"/>
  <c r="X150" i="39"/>
  <c r="X151" i="39"/>
  <c r="X152" i="39"/>
  <c r="X153" i="39"/>
  <c r="X154" i="39"/>
  <c r="X155" i="39"/>
  <c r="X156" i="39"/>
  <c r="X157" i="39"/>
  <c r="X158" i="39"/>
  <c r="X159" i="39"/>
  <c r="X160" i="39"/>
  <c r="X161" i="39"/>
  <c r="X162" i="39"/>
  <c r="X163" i="39"/>
  <c r="X164" i="39"/>
  <c r="X165" i="39"/>
  <c r="X166" i="39"/>
  <c r="X167" i="39"/>
  <c r="X168" i="39"/>
  <c r="X169" i="39"/>
  <c r="X170" i="39"/>
  <c r="X171" i="39"/>
  <c r="X172" i="39"/>
  <c r="X173" i="39"/>
  <c r="X174" i="39"/>
  <c r="X175" i="39"/>
  <c r="X176" i="39"/>
  <c r="X177" i="39"/>
  <c r="X178" i="39"/>
  <c r="X179" i="39"/>
  <c r="X180" i="39"/>
  <c r="X181" i="39"/>
  <c r="X182" i="39"/>
  <c r="X183" i="39"/>
  <c r="X184" i="39"/>
  <c r="X185" i="39"/>
  <c r="X186" i="39"/>
  <c r="X187" i="39"/>
  <c r="X188" i="39"/>
  <c r="X189" i="39"/>
  <c r="X190" i="39"/>
  <c r="X191" i="39"/>
  <c r="X192" i="39"/>
  <c r="X193" i="39"/>
  <c r="X194" i="39"/>
  <c r="X195" i="39"/>
  <c r="X196" i="39"/>
  <c r="X197" i="39"/>
  <c r="X198" i="39"/>
  <c r="X199" i="39"/>
  <c r="X200" i="39"/>
  <c r="X201" i="39"/>
  <c r="X202" i="39"/>
  <c r="X203" i="39"/>
  <c r="X204" i="39"/>
  <c r="X205" i="39"/>
  <c r="X206" i="39"/>
  <c r="X207" i="39"/>
  <c r="X208" i="39"/>
  <c r="X209" i="39"/>
  <c r="X210" i="39"/>
  <c r="X211" i="39"/>
  <c r="X212" i="39"/>
  <c r="X213" i="39"/>
  <c r="X214" i="39"/>
  <c r="X215" i="39"/>
  <c r="X216" i="39"/>
  <c r="X217" i="39"/>
  <c r="X218" i="39"/>
  <c r="X219" i="39"/>
  <c r="X220" i="39"/>
  <c r="X221" i="39"/>
  <c r="X222" i="39"/>
  <c r="X223" i="39"/>
  <c r="X224" i="39"/>
  <c r="X225" i="39"/>
  <c r="X226" i="39"/>
  <c r="X227" i="39"/>
  <c r="X228" i="39"/>
  <c r="X229" i="39"/>
  <c r="X2" i="39"/>
  <c r="V82" i="39" l="1"/>
  <c r="U82" i="39"/>
  <c r="T82" i="39"/>
  <c r="O82" i="39"/>
  <c r="N82" i="39"/>
  <c r="M82" i="39"/>
  <c r="L82" i="39"/>
  <c r="V81" i="39"/>
  <c r="U81" i="39"/>
  <c r="T81" i="39"/>
  <c r="O81" i="39"/>
  <c r="N81" i="39"/>
  <c r="M81" i="39"/>
  <c r="L81" i="39"/>
  <c r="V80" i="39"/>
  <c r="U80" i="39"/>
  <c r="T80" i="39"/>
  <c r="O80" i="39"/>
  <c r="N80" i="39"/>
  <c r="M80" i="39"/>
  <c r="L80" i="39"/>
  <c r="V79" i="39"/>
  <c r="U79" i="39"/>
  <c r="T79" i="39"/>
  <c r="O79" i="39"/>
  <c r="N79" i="39"/>
  <c r="M79" i="39"/>
  <c r="L79" i="39"/>
  <c r="V78" i="39"/>
  <c r="U78" i="39"/>
  <c r="T78" i="39"/>
  <c r="O78" i="39"/>
  <c r="N78" i="39"/>
  <c r="M78" i="39"/>
  <c r="L78" i="39"/>
  <c r="V77" i="39"/>
  <c r="U77" i="39"/>
  <c r="T77" i="39"/>
  <c r="O77" i="39"/>
  <c r="N77" i="39"/>
  <c r="M77" i="39"/>
  <c r="L77" i="39"/>
  <c r="V76" i="39"/>
  <c r="U76" i="39"/>
  <c r="T76" i="39"/>
  <c r="O76" i="39"/>
  <c r="N76" i="39"/>
  <c r="M76" i="39"/>
  <c r="L76" i="39"/>
  <c r="V75" i="39"/>
  <c r="U75" i="39"/>
  <c r="T75" i="39"/>
  <c r="O75" i="39"/>
  <c r="N75" i="39"/>
  <c r="M75" i="39"/>
  <c r="L75" i="39"/>
  <c r="V74" i="39"/>
  <c r="U74" i="39"/>
  <c r="T74" i="39"/>
  <c r="O74" i="39"/>
  <c r="N74" i="39"/>
  <c r="M74" i="39"/>
  <c r="L74" i="39"/>
  <c r="V73" i="39"/>
  <c r="U73" i="39"/>
  <c r="T73" i="39"/>
  <c r="O73" i="39"/>
  <c r="N73" i="39"/>
  <c r="M73" i="39"/>
  <c r="L73" i="39"/>
  <c r="V72" i="39"/>
  <c r="U72" i="39"/>
  <c r="T72" i="39"/>
  <c r="O72" i="39"/>
  <c r="N72" i="39"/>
  <c r="M72" i="39"/>
  <c r="L72" i="39"/>
  <c r="V71" i="39"/>
  <c r="U71" i="39"/>
  <c r="T71" i="39"/>
  <c r="O71" i="39"/>
  <c r="N71" i="39"/>
  <c r="M71" i="39"/>
  <c r="L71" i="39"/>
  <c r="V70" i="39"/>
  <c r="U70" i="39"/>
  <c r="T70" i="39"/>
  <c r="O70" i="39"/>
  <c r="N70" i="39"/>
  <c r="M70" i="39"/>
  <c r="L70" i="39"/>
  <c r="V69" i="39"/>
  <c r="U69" i="39"/>
  <c r="T69" i="39"/>
  <c r="O69" i="39"/>
  <c r="N69" i="39"/>
  <c r="M69" i="39"/>
  <c r="L69" i="39"/>
  <c r="V68" i="39"/>
  <c r="U68" i="39"/>
  <c r="T68" i="39"/>
  <c r="O68" i="39"/>
  <c r="N68" i="39"/>
  <c r="M68" i="39"/>
  <c r="L68" i="39"/>
  <c r="V67" i="39"/>
  <c r="U67" i="39"/>
  <c r="T67" i="39"/>
  <c r="O67" i="39"/>
  <c r="N67" i="39"/>
  <c r="M67" i="39"/>
  <c r="L67" i="39"/>
  <c r="V66" i="39"/>
  <c r="U66" i="39"/>
  <c r="T66" i="39"/>
  <c r="O66" i="39"/>
  <c r="N66" i="39"/>
  <c r="M66" i="39"/>
  <c r="L66" i="39"/>
  <c r="V65" i="39"/>
  <c r="U65" i="39"/>
  <c r="T65" i="39"/>
  <c r="O65" i="39"/>
  <c r="N65" i="39"/>
  <c r="M65" i="39"/>
  <c r="L65" i="39"/>
  <c r="V64" i="39"/>
  <c r="U64" i="39"/>
  <c r="T64" i="39"/>
  <c r="O64" i="39"/>
  <c r="N64" i="39"/>
  <c r="M64" i="39"/>
  <c r="L64" i="39"/>
  <c r="V63" i="39"/>
  <c r="U63" i="39"/>
  <c r="T63" i="39"/>
  <c r="O63" i="39"/>
  <c r="N63" i="39"/>
  <c r="M63" i="39"/>
  <c r="L63" i="39"/>
  <c r="V62" i="39"/>
  <c r="U62" i="39"/>
  <c r="T62" i="39"/>
  <c r="O62" i="39"/>
  <c r="N62" i="39"/>
  <c r="M62" i="39"/>
  <c r="L62" i="39"/>
  <c r="V61" i="39"/>
  <c r="U61" i="39"/>
  <c r="T61" i="39"/>
  <c r="O61" i="39"/>
  <c r="N61" i="39"/>
  <c r="M61" i="39"/>
  <c r="L61" i="39"/>
  <c r="V60" i="39"/>
  <c r="U60" i="39"/>
  <c r="T60" i="39"/>
  <c r="O60" i="39"/>
  <c r="N60" i="39"/>
  <c r="M60" i="39"/>
  <c r="L60" i="39"/>
  <c r="V59" i="39"/>
  <c r="U59" i="39"/>
  <c r="T59" i="39"/>
  <c r="O59" i="39"/>
  <c r="N59" i="39"/>
  <c r="M59" i="39"/>
  <c r="L59" i="39"/>
  <c r="V58" i="39"/>
  <c r="U58" i="39"/>
  <c r="T58" i="39"/>
  <c r="O58" i="39"/>
  <c r="N58" i="39"/>
  <c r="M58" i="39"/>
  <c r="L58" i="39"/>
  <c r="V57" i="39"/>
  <c r="U57" i="39"/>
  <c r="T57" i="39"/>
  <c r="O57" i="39"/>
  <c r="N57" i="39"/>
  <c r="M57" i="39"/>
  <c r="L57" i="39"/>
  <c r="V56" i="39"/>
  <c r="U56" i="39"/>
  <c r="T56" i="39"/>
  <c r="O56" i="39"/>
  <c r="N56" i="39"/>
  <c r="M56" i="39"/>
  <c r="L56" i="39"/>
  <c r="V55" i="39"/>
  <c r="U55" i="39"/>
  <c r="T55" i="39"/>
  <c r="O55" i="39"/>
  <c r="N55" i="39"/>
  <c r="M55" i="39"/>
  <c r="L55" i="39"/>
  <c r="V54" i="39"/>
  <c r="U54" i="39"/>
  <c r="T54" i="39"/>
  <c r="O54" i="39"/>
  <c r="N54" i="39"/>
  <c r="M54" i="39"/>
  <c r="L54" i="39"/>
  <c r="V53" i="39"/>
  <c r="U53" i="39"/>
  <c r="T53" i="39"/>
  <c r="O53" i="39"/>
  <c r="N53" i="39"/>
  <c r="M53" i="39"/>
  <c r="L53" i="39"/>
  <c r="V52" i="39"/>
  <c r="U52" i="39"/>
  <c r="T52" i="39"/>
  <c r="O52" i="39"/>
  <c r="N52" i="39"/>
  <c r="M52" i="39"/>
  <c r="L52" i="39"/>
  <c r="V51" i="39"/>
  <c r="U51" i="39"/>
  <c r="T51" i="39"/>
  <c r="O51" i="39"/>
  <c r="N51" i="39"/>
  <c r="M51" i="39"/>
  <c r="L51" i="39"/>
  <c r="V50" i="39"/>
  <c r="U50" i="39"/>
  <c r="T50" i="39"/>
  <c r="O50" i="39"/>
  <c r="N50" i="39"/>
  <c r="M50" i="39"/>
  <c r="L50" i="39"/>
  <c r="V49" i="39"/>
  <c r="U49" i="39"/>
  <c r="T49" i="39"/>
  <c r="O49" i="39"/>
  <c r="N49" i="39"/>
  <c r="M49" i="39"/>
  <c r="L49" i="39"/>
  <c r="V48" i="39"/>
  <c r="U48" i="39"/>
  <c r="T48" i="39"/>
  <c r="O48" i="39"/>
  <c r="N48" i="39"/>
  <c r="M48" i="39"/>
  <c r="L48" i="39"/>
  <c r="V47" i="39"/>
  <c r="U47" i="39"/>
  <c r="T47" i="39"/>
  <c r="O47" i="39"/>
  <c r="N47" i="39"/>
  <c r="M47" i="39"/>
  <c r="L47" i="39"/>
  <c r="V46" i="39"/>
  <c r="U46" i="39"/>
  <c r="T46" i="39"/>
  <c r="O46" i="39"/>
  <c r="N46" i="39"/>
  <c r="M46" i="39"/>
  <c r="L46" i="39"/>
  <c r="V45" i="39"/>
  <c r="U45" i="39"/>
  <c r="T45" i="39"/>
  <c r="O45" i="39"/>
  <c r="N45" i="39"/>
  <c r="M45" i="39"/>
  <c r="L45" i="39"/>
  <c r="V44" i="39"/>
  <c r="U44" i="39"/>
  <c r="T44" i="39"/>
  <c r="O44" i="39"/>
  <c r="N44" i="39"/>
  <c r="M44" i="39"/>
  <c r="L44" i="39"/>
  <c r="V43" i="39"/>
  <c r="U43" i="39"/>
  <c r="T43" i="39"/>
  <c r="O43" i="39"/>
  <c r="N43" i="39"/>
  <c r="M43" i="39"/>
  <c r="L43" i="39"/>
  <c r="V42" i="39"/>
  <c r="U42" i="39"/>
  <c r="T42" i="39"/>
  <c r="O42" i="39"/>
  <c r="N42" i="39"/>
  <c r="M42" i="39"/>
  <c r="L42" i="39"/>
  <c r="V41" i="39"/>
  <c r="U41" i="39"/>
  <c r="T41" i="39"/>
  <c r="O41" i="39"/>
  <c r="N41" i="39"/>
  <c r="M41" i="39"/>
  <c r="L41" i="39"/>
  <c r="V40" i="39"/>
  <c r="U40" i="39"/>
  <c r="T40" i="39"/>
  <c r="O40" i="39"/>
  <c r="N40" i="39"/>
  <c r="M40" i="39"/>
  <c r="L40" i="39"/>
  <c r="V39" i="39"/>
  <c r="U39" i="39"/>
  <c r="T39" i="39"/>
  <c r="O39" i="39"/>
  <c r="N39" i="39"/>
  <c r="M39" i="39"/>
  <c r="L39" i="39"/>
  <c r="V38" i="39"/>
  <c r="U38" i="39"/>
  <c r="T38" i="39"/>
  <c r="O38" i="39"/>
  <c r="N38" i="39"/>
  <c r="M38" i="39"/>
  <c r="L38" i="39"/>
  <c r="V37" i="39"/>
  <c r="U37" i="39"/>
  <c r="T37" i="39"/>
  <c r="O37" i="39"/>
  <c r="N37" i="39"/>
  <c r="M37" i="39"/>
  <c r="L37" i="39"/>
  <c r="V36" i="39"/>
  <c r="U36" i="39"/>
  <c r="T36" i="39"/>
  <c r="O36" i="39"/>
  <c r="N36" i="39"/>
  <c r="M36" i="39"/>
  <c r="L36" i="39"/>
  <c r="V35" i="39"/>
  <c r="U35" i="39"/>
  <c r="T35" i="39"/>
  <c r="O35" i="39"/>
  <c r="N35" i="39"/>
  <c r="M35" i="39"/>
  <c r="L35" i="39"/>
  <c r="V34" i="39"/>
  <c r="U34" i="39"/>
  <c r="T34" i="39"/>
  <c r="O34" i="39"/>
  <c r="N34" i="39"/>
  <c r="M34" i="39"/>
  <c r="L34" i="39"/>
  <c r="V33" i="39"/>
  <c r="U33" i="39"/>
  <c r="T33" i="39"/>
  <c r="O33" i="39"/>
  <c r="N33" i="39"/>
  <c r="M33" i="39"/>
  <c r="L33" i="39"/>
  <c r="V32" i="39"/>
  <c r="U32" i="39"/>
  <c r="T32" i="39"/>
  <c r="O32" i="39"/>
  <c r="N32" i="39"/>
  <c r="M32" i="39"/>
  <c r="L32" i="39"/>
  <c r="V31" i="39"/>
  <c r="U31" i="39"/>
  <c r="T31" i="39"/>
  <c r="O31" i="39"/>
  <c r="N31" i="39"/>
  <c r="M31" i="39"/>
  <c r="L31" i="39"/>
  <c r="V30" i="39"/>
  <c r="U30" i="39"/>
  <c r="T30" i="39"/>
  <c r="O30" i="39"/>
  <c r="N30" i="39"/>
  <c r="M30" i="39"/>
  <c r="L30" i="39"/>
  <c r="V29" i="39"/>
  <c r="U29" i="39"/>
  <c r="T29" i="39"/>
  <c r="O29" i="39"/>
  <c r="N29" i="39"/>
  <c r="M29" i="39"/>
  <c r="L29" i="39"/>
  <c r="V28" i="39"/>
  <c r="U28" i="39"/>
  <c r="T28" i="39"/>
  <c r="O28" i="39"/>
  <c r="N28" i="39"/>
  <c r="M28" i="39"/>
  <c r="L28" i="39"/>
  <c r="V27" i="39"/>
  <c r="U27" i="39"/>
  <c r="T27" i="39"/>
  <c r="O27" i="39"/>
  <c r="N27" i="39"/>
  <c r="M27" i="39"/>
  <c r="L27" i="39"/>
  <c r="V26" i="39"/>
  <c r="U26" i="39"/>
  <c r="T26" i="39"/>
  <c r="O26" i="39"/>
  <c r="N26" i="39"/>
  <c r="M26" i="39"/>
  <c r="L26" i="39"/>
  <c r="V25" i="39"/>
  <c r="U25" i="39"/>
  <c r="T25" i="39"/>
  <c r="O25" i="39"/>
  <c r="N25" i="39"/>
  <c r="M25" i="39"/>
  <c r="L25" i="39"/>
  <c r="V24" i="39"/>
  <c r="U24" i="39"/>
  <c r="T24" i="39"/>
  <c r="O24" i="39"/>
  <c r="N24" i="39"/>
  <c r="M24" i="39"/>
  <c r="L24" i="39"/>
  <c r="V23" i="39"/>
  <c r="U23" i="39"/>
  <c r="T23" i="39"/>
  <c r="O23" i="39"/>
  <c r="N23" i="39"/>
  <c r="M23" i="39"/>
  <c r="L23" i="39"/>
  <c r="V22" i="39"/>
  <c r="U22" i="39"/>
  <c r="T22" i="39"/>
  <c r="O22" i="39"/>
  <c r="N22" i="39"/>
  <c r="M22" i="39"/>
  <c r="L22" i="39"/>
  <c r="V21" i="39"/>
  <c r="U21" i="39"/>
  <c r="T21" i="39"/>
  <c r="O21" i="39"/>
  <c r="N21" i="39"/>
  <c r="M21" i="39"/>
  <c r="L21" i="39"/>
  <c r="V20" i="39"/>
  <c r="U20" i="39"/>
  <c r="T20" i="39"/>
  <c r="O20" i="39"/>
  <c r="N20" i="39"/>
  <c r="M20" i="39"/>
  <c r="L20" i="39"/>
  <c r="V19" i="39"/>
  <c r="U19" i="39"/>
  <c r="T19" i="39"/>
  <c r="O19" i="39"/>
  <c r="N19" i="39"/>
  <c r="M19" i="39"/>
  <c r="L19" i="39"/>
  <c r="V18" i="39"/>
  <c r="U18" i="39"/>
  <c r="T18" i="39"/>
  <c r="O18" i="39"/>
  <c r="N18" i="39"/>
  <c r="M18" i="39"/>
  <c r="L18" i="39"/>
  <c r="V17" i="39"/>
  <c r="U17" i="39"/>
  <c r="T17" i="39"/>
  <c r="O17" i="39"/>
  <c r="N17" i="39"/>
  <c r="M17" i="39"/>
  <c r="L17" i="39"/>
  <c r="V16" i="39"/>
  <c r="U16" i="39"/>
  <c r="T16" i="39"/>
  <c r="O16" i="39"/>
  <c r="N16" i="39"/>
  <c r="M16" i="39"/>
  <c r="L16" i="39"/>
  <c r="V15" i="39"/>
  <c r="U15" i="39"/>
  <c r="T15" i="39"/>
  <c r="O15" i="39"/>
  <c r="N15" i="39"/>
  <c r="M15" i="39"/>
  <c r="L15" i="39"/>
  <c r="V14" i="39"/>
  <c r="U14" i="39"/>
  <c r="T14" i="39"/>
  <c r="O14" i="39"/>
  <c r="N14" i="39"/>
  <c r="M14" i="39"/>
  <c r="L14" i="39"/>
  <c r="V13" i="39"/>
  <c r="U13" i="39"/>
  <c r="T13" i="39"/>
  <c r="O13" i="39"/>
  <c r="N13" i="39"/>
  <c r="M13" i="39"/>
  <c r="L13" i="39"/>
  <c r="V12" i="39"/>
  <c r="U12" i="39"/>
  <c r="T12" i="39"/>
  <c r="O12" i="39"/>
  <c r="N12" i="39"/>
  <c r="M12" i="39"/>
  <c r="L12" i="39"/>
  <c r="V11" i="39"/>
  <c r="U11" i="39"/>
  <c r="T11" i="39"/>
  <c r="O11" i="39"/>
  <c r="N11" i="39"/>
  <c r="M11" i="39"/>
  <c r="L11" i="39"/>
  <c r="V10" i="39"/>
  <c r="U10" i="39"/>
  <c r="T10" i="39"/>
  <c r="O10" i="39"/>
  <c r="N10" i="39"/>
  <c r="M10" i="39"/>
  <c r="L10" i="39"/>
  <c r="V9" i="39"/>
  <c r="U9" i="39"/>
  <c r="T9" i="39"/>
  <c r="O9" i="39"/>
  <c r="N9" i="39"/>
  <c r="M9" i="39"/>
  <c r="L9" i="39"/>
  <c r="V8" i="39"/>
  <c r="U8" i="39"/>
  <c r="T8" i="39"/>
  <c r="O8" i="39"/>
  <c r="N8" i="39"/>
  <c r="M8" i="39"/>
  <c r="L8" i="39"/>
  <c r="V7" i="39"/>
  <c r="U7" i="39"/>
  <c r="T7" i="39"/>
  <c r="O7" i="39"/>
  <c r="N7" i="39"/>
  <c r="M7" i="39"/>
  <c r="L7" i="39"/>
  <c r="V6" i="39"/>
  <c r="U6" i="39"/>
  <c r="T6" i="39"/>
  <c r="O6" i="39"/>
  <c r="N6" i="39"/>
  <c r="M6" i="39"/>
  <c r="L6" i="39"/>
  <c r="V5" i="39"/>
  <c r="U5" i="39"/>
  <c r="T5" i="39"/>
  <c r="O5" i="39"/>
  <c r="N5" i="39"/>
  <c r="M5" i="39"/>
  <c r="L5" i="39"/>
  <c r="V4" i="39"/>
  <c r="U4" i="39"/>
  <c r="T4" i="39"/>
  <c r="O4" i="39"/>
  <c r="N4" i="39"/>
  <c r="M4" i="39"/>
  <c r="L4" i="39"/>
  <c r="V3" i="39"/>
  <c r="U3" i="39"/>
  <c r="T3" i="39"/>
  <c r="O3" i="39"/>
  <c r="N3" i="39"/>
  <c r="M3" i="39"/>
  <c r="L3" i="39"/>
  <c r="V2" i="39"/>
  <c r="U2" i="39"/>
  <c r="T2" i="39"/>
  <c r="O2" i="39"/>
  <c r="N2" i="39"/>
  <c r="M2" i="39"/>
  <c r="L2" i="39"/>
  <c r="B26" i="31"/>
  <c r="R50" i="39"/>
  <c r="R45" i="39"/>
  <c r="V229" i="39" l="1"/>
  <c r="U229" i="39"/>
  <c r="T229" i="39"/>
  <c r="O229" i="39"/>
  <c r="N229" i="39"/>
  <c r="M229" i="39"/>
  <c r="L229" i="39"/>
  <c r="V228" i="39"/>
  <c r="U228" i="39"/>
  <c r="T228" i="39"/>
  <c r="O228" i="39"/>
  <c r="N228" i="39"/>
  <c r="M228" i="39"/>
  <c r="L228" i="39"/>
  <c r="V227" i="39"/>
  <c r="U227" i="39"/>
  <c r="T227" i="39"/>
  <c r="O227" i="39"/>
  <c r="N227" i="39"/>
  <c r="M227" i="39"/>
  <c r="L227" i="39"/>
  <c r="V226" i="39"/>
  <c r="U226" i="39"/>
  <c r="T226" i="39"/>
  <c r="O226" i="39"/>
  <c r="N226" i="39"/>
  <c r="M226" i="39"/>
  <c r="L226" i="39"/>
  <c r="V225" i="39"/>
  <c r="U225" i="39"/>
  <c r="T225" i="39"/>
  <c r="O225" i="39"/>
  <c r="N225" i="39"/>
  <c r="M225" i="39"/>
  <c r="L225" i="39"/>
  <c r="AP162" i="41" l="1"/>
  <c r="AP161" i="41"/>
  <c r="AP160" i="41"/>
  <c r="AP159" i="41"/>
  <c r="AP158" i="41"/>
  <c r="V224" i="39"/>
  <c r="U224" i="39"/>
  <c r="T224" i="39"/>
  <c r="O224" i="39"/>
  <c r="N224" i="39"/>
  <c r="M224" i="39"/>
  <c r="L224" i="39"/>
  <c r="V223" i="39"/>
  <c r="U223" i="39"/>
  <c r="T223" i="39"/>
  <c r="O223" i="39"/>
  <c r="N223" i="39"/>
  <c r="M223" i="39"/>
  <c r="L223" i="39"/>
  <c r="V222" i="39"/>
  <c r="U222" i="39"/>
  <c r="T222" i="39"/>
  <c r="O222" i="39"/>
  <c r="N222" i="39"/>
  <c r="M222" i="39"/>
  <c r="L222" i="39"/>
  <c r="V218" i="39"/>
  <c r="U218" i="39"/>
  <c r="T218" i="39"/>
  <c r="O218" i="39"/>
  <c r="N218" i="39"/>
  <c r="M218" i="39"/>
  <c r="L218" i="39"/>
  <c r="V217" i="39"/>
  <c r="U217" i="39"/>
  <c r="T217" i="39"/>
  <c r="O217" i="39"/>
  <c r="N217" i="39"/>
  <c r="M217" i="39"/>
  <c r="L217" i="39"/>
  <c r="V216" i="39"/>
  <c r="U216" i="39"/>
  <c r="T216" i="39"/>
  <c r="O216" i="39"/>
  <c r="N216" i="39"/>
  <c r="M216" i="39"/>
  <c r="L216" i="39"/>
  <c r="V209" i="39"/>
  <c r="U209" i="39"/>
  <c r="T209" i="39"/>
  <c r="O209" i="39"/>
  <c r="N209" i="39"/>
  <c r="M209" i="39"/>
  <c r="L209" i="39"/>
  <c r="V208" i="39"/>
  <c r="U208" i="39"/>
  <c r="T208" i="39"/>
  <c r="O208" i="39"/>
  <c r="N208" i="39"/>
  <c r="M208" i="39"/>
  <c r="L208" i="39"/>
  <c r="V207" i="39"/>
  <c r="U207" i="39"/>
  <c r="T207" i="39"/>
  <c r="O207" i="39"/>
  <c r="N207" i="39"/>
  <c r="M207" i="39"/>
  <c r="L207" i="39"/>
  <c r="V212" i="39"/>
  <c r="U212" i="39"/>
  <c r="T212" i="39"/>
  <c r="O212" i="39"/>
  <c r="N212" i="39"/>
  <c r="M212" i="39"/>
  <c r="L212" i="39"/>
  <c r="V211" i="39"/>
  <c r="U211" i="39"/>
  <c r="T211" i="39"/>
  <c r="O211" i="39"/>
  <c r="N211" i="39"/>
  <c r="M211" i="39"/>
  <c r="L211" i="39"/>
  <c r="V210" i="39"/>
  <c r="U210" i="39"/>
  <c r="T210" i="39"/>
  <c r="O210" i="39"/>
  <c r="N210" i="39"/>
  <c r="M210" i="39"/>
  <c r="L210" i="39"/>
  <c r="V221" i="39"/>
  <c r="U221" i="39"/>
  <c r="T221" i="39"/>
  <c r="O221" i="39"/>
  <c r="N221" i="39"/>
  <c r="M221" i="39"/>
  <c r="L221" i="39"/>
  <c r="V220" i="39"/>
  <c r="U220" i="39"/>
  <c r="T220" i="39"/>
  <c r="O220" i="39"/>
  <c r="N220" i="39"/>
  <c r="M220" i="39"/>
  <c r="L220" i="39"/>
  <c r="V219" i="39"/>
  <c r="U219" i="39"/>
  <c r="T219" i="39"/>
  <c r="O219" i="39"/>
  <c r="N219" i="39"/>
  <c r="M219" i="39"/>
  <c r="L219" i="39"/>
  <c r="V214" i="39"/>
  <c r="U214" i="39"/>
  <c r="T214" i="39"/>
  <c r="O214" i="39"/>
  <c r="N214" i="39"/>
  <c r="M214" i="39"/>
  <c r="L214" i="39"/>
  <c r="V213" i="39"/>
  <c r="U213" i="39"/>
  <c r="T213" i="39"/>
  <c r="O213" i="39"/>
  <c r="N213" i="39"/>
  <c r="M213" i="39"/>
  <c r="L213" i="39"/>
  <c r="V215" i="39"/>
  <c r="U215" i="39"/>
  <c r="T215" i="39"/>
  <c r="O215" i="39"/>
  <c r="N215" i="39"/>
  <c r="M215" i="39"/>
  <c r="L215" i="39"/>
  <c r="V206" i="39"/>
  <c r="U206" i="39"/>
  <c r="T206" i="39"/>
  <c r="O206" i="39"/>
  <c r="N206" i="39"/>
  <c r="M206" i="39"/>
  <c r="L206" i="39"/>
  <c r="Q216" i="39"/>
  <c r="R220" i="39"/>
  <c r="R217" i="39"/>
  <c r="Q219" i="39"/>
  <c r="R218" i="39"/>
  <c r="R224" i="39"/>
  <c r="R222" i="39"/>
  <c r="Q221" i="39"/>
  <c r="Q218" i="39"/>
  <c r="R221" i="39"/>
  <c r="Q217" i="39"/>
  <c r="R223" i="39"/>
  <c r="Q224" i="39"/>
  <c r="Q220" i="39"/>
  <c r="R216" i="39"/>
  <c r="Q222" i="39"/>
  <c r="R219" i="39"/>
  <c r="Q223" i="39"/>
  <c r="V205" i="39" l="1"/>
  <c r="U205" i="39"/>
  <c r="T205" i="39"/>
  <c r="O205" i="39"/>
  <c r="N205" i="39"/>
  <c r="M205" i="39"/>
  <c r="L205" i="39"/>
  <c r="V204" i="39"/>
  <c r="U204" i="39"/>
  <c r="T204" i="39"/>
  <c r="O204" i="39"/>
  <c r="N204" i="39"/>
  <c r="M204" i="39"/>
  <c r="L204" i="39"/>
  <c r="V203" i="39"/>
  <c r="U203" i="39"/>
  <c r="T203" i="39"/>
  <c r="O203" i="39"/>
  <c r="N203" i="39"/>
  <c r="M203" i="39"/>
  <c r="L203" i="39"/>
  <c r="V91" i="39"/>
  <c r="U91" i="39"/>
  <c r="T91" i="39"/>
  <c r="O91" i="39"/>
  <c r="N91" i="39"/>
  <c r="M91" i="39"/>
  <c r="L91" i="39"/>
  <c r="V93" i="39"/>
  <c r="U93" i="39"/>
  <c r="T93" i="39"/>
  <c r="O93" i="39"/>
  <c r="N93" i="39"/>
  <c r="M93" i="39"/>
  <c r="L93" i="39"/>
  <c r="V92" i="39"/>
  <c r="U92" i="39"/>
  <c r="T92" i="39"/>
  <c r="O92" i="39"/>
  <c r="N92" i="39"/>
  <c r="M92" i="39"/>
  <c r="L92" i="39"/>
  <c r="V90" i="39"/>
  <c r="U90" i="39"/>
  <c r="T90" i="39"/>
  <c r="O90" i="39"/>
  <c r="N90" i="39"/>
  <c r="M90" i="39"/>
  <c r="L90" i="39"/>
  <c r="V94" i="39"/>
  <c r="U94" i="39"/>
  <c r="T94" i="39"/>
  <c r="O94" i="39"/>
  <c r="N94" i="39"/>
  <c r="M94" i="39"/>
  <c r="L94" i="39"/>
  <c r="V89" i="39"/>
  <c r="U89" i="39"/>
  <c r="T89" i="39"/>
  <c r="O89" i="39"/>
  <c r="N89" i="39"/>
  <c r="M89" i="39"/>
  <c r="L89" i="39"/>
  <c r="V88" i="39"/>
  <c r="U88" i="39"/>
  <c r="T88" i="39"/>
  <c r="O88" i="39"/>
  <c r="N88" i="39"/>
  <c r="M88" i="39"/>
  <c r="L88" i="39"/>
  <c r="V87" i="39"/>
  <c r="U87" i="39"/>
  <c r="T87" i="39"/>
  <c r="O87" i="39"/>
  <c r="N87" i="39"/>
  <c r="M87" i="39"/>
  <c r="L87" i="39"/>
  <c r="V86" i="39"/>
  <c r="U86" i="39"/>
  <c r="T86" i="39"/>
  <c r="O86" i="39"/>
  <c r="N86" i="39"/>
  <c r="M86" i="39"/>
  <c r="L86" i="39"/>
  <c r="V85" i="39"/>
  <c r="U85" i="39"/>
  <c r="T85" i="39"/>
  <c r="O85" i="39"/>
  <c r="N85" i="39"/>
  <c r="M85" i="39"/>
  <c r="L85" i="39"/>
  <c r="V84" i="39"/>
  <c r="U84" i="39"/>
  <c r="T84" i="39"/>
  <c r="O84" i="39"/>
  <c r="N84" i="39"/>
  <c r="M84" i="39"/>
  <c r="L84" i="39"/>
  <c r="V83" i="39"/>
  <c r="U83" i="39"/>
  <c r="T83" i="39"/>
  <c r="O83" i="39"/>
  <c r="N83" i="39"/>
  <c r="M83" i="39"/>
  <c r="L83" i="39"/>
  <c r="T95" i="39" l="1"/>
  <c r="U95" i="39"/>
  <c r="V95" i="39"/>
  <c r="T96" i="39"/>
  <c r="U96" i="39"/>
  <c r="V96" i="39"/>
  <c r="T97" i="39"/>
  <c r="U97" i="39"/>
  <c r="V97" i="39"/>
  <c r="T98" i="39"/>
  <c r="U98" i="39"/>
  <c r="V98" i="39"/>
  <c r="T99" i="39"/>
  <c r="U99" i="39"/>
  <c r="V99" i="39"/>
  <c r="T100" i="39"/>
  <c r="U100" i="39"/>
  <c r="V100" i="39"/>
  <c r="T101" i="39"/>
  <c r="U101" i="39"/>
  <c r="V101" i="39"/>
  <c r="T102" i="39"/>
  <c r="U102" i="39"/>
  <c r="V102" i="39"/>
  <c r="T103" i="39"/>
  <c r="U103" i="39"/>
  <c r="V103" i="39"/>
  <c r="T104" i="39"/>
  <c r="U104" i="39"/>
  <c r="V104" i="39"/>
  <c r="T105" i="39"/>
  <c r="U105" i="39"/>
  <c r="V105" i="39"/>
  <c r="T106" i="39"/>
  <c r="U106" i="39"/>
  <c r="V106" i="39"/>
  <c r="T107" i="39"/>
  <c r="U107" i="39"/>
  <c r="V107" i="39"/>
  <c r="T108" i="39"/>
  <c r="U108" i="39"/>
  <c r="V108" i="39"/>
  <c r="T109" i="39"/>
  <c r="U109" i="39"/>
  <c r="V109" i="39"/>
  <c r="T110" i="39"/>
  <c r="U110" i="39"/>
  <c r="V110" i="39"/>
  <c r="T111" i="39"/>
  <c r="U111" i="39"/>
  <c r="V111" i="39"/>
  <c r="T112" i="39"/>
  <c r="U112" i="39"/>
  <c r="V112" i="39"/>
  <c r="T113" i="39"/>
  <c r="U113" i="39"/>
  <c r="V113" i="39"/>
  <c r="T114" i="39"/>
  <c r="U114" i="39"/>
  <c r="V114" i="39"/>
  <c r="T115" i="39"/>
  <c r="U115" i="39"/>
  <c r="V115" i="39"/>
  <c r="T116" i="39"/>
  <c r="U116" i="39"/>
  <c r="V116" i="39"/>
  <c r="T117" i="39"/>
  <c r="U117" i="39"/>
  <c r="V117" i="39"/>
  <c r="T118" i="39"/>
  <c r="U118" i="39"/>
  <c r="V118" i="39"/>
  <c r="T119" i="39"/>
  <c r="U119" i="39"/>
  <c r="V119" i="39"/>
  <c r="T120" i="39"/>
  <c r="U120" i="39"/>
  <c r="V120" i="39"/>
  <c r="T121" i="39"/>
  <c r="U121" i="39"/>
  <c r="V121" i="39"/>
  <c r="T122" i="39"/>
  <c r="U122" i="39"/>
  <c r="V122" i="39"/>
  <c r="T123" i="39"/>
  <c r="U123" i="39"/>
  <c r="V123" i="39"/>
  <c r="T124" i="39"/>
  <c r="U124" i="39"/>
  <c r="V124" i="39"/>
  <c r="T125" i="39"/>
  <c r="U125" i="39"/>
  <c r="V125" i="39"/>
  <c r="T126" i="39"/>
  <c r="U126" i="39"/>
  <c r="V126" i="39"/>
  <c r="T127" i="39"/>
  <c r="U127" i="39"/>
  <c r="V127" i="39"/>
  <c r="T128" i="39"/>
  <c r="U128" i="39"/>
  <c r="V128" i="39"/>
  <c r="T129" i="39"/>
  <c r="U129" i="39"/>
  <c r="V129" i="39"/>
  <c r="T130" i="39"/>
  <c r="U130" i="39"/>
  <c r="V130" i="39"/>
  <c r="T131" i="39"/>
  <c r="U131" i="39"/>
  <c r="V131" i="39"/>
  <c r="T132" i="39"/>
  <c r="U132" i="39"/>
  <c r="V132" i="39"/>
  <c r="T133" i="39"/>
  <c r="U133" i="39"/>
  <c r="V133" i="39"/>
  <c r="T134" i="39"/>
  <c r="U134" i="39"/>
  <c r="V134" i="39"/>
  <c r="T135" i="39"/>
  <c r="U135" i="39"/>
  <c r="V135" i="39"/>
  <c r="T136" i="39"/>
  <c r="U136" i="39"/>
  <c r="V136" i="39"/>
  <c r="T137" i="39"/>
  <c r="U137" i="39"/>
  <c r="V137" i="39"/>
  <c r="T138" i="39"/>
  <c r="U138" i="39"/>
  <c r="V138" i="39"/>
  <c r="T139" i="39"/>
  <c r="U139" i="39"/>
  <c r="V139" i="39"/>
  <c r="T140" i="39"/>
  <c r="U140" i="39"/>
  <c r="V140" i="39"/>
  <c r="T141" i="39"/>
  <c r="U141" i="39"/>
  <c r="V141" i="39"/>
  <c r="T142" i="39"/>
  <c r="U142" i="39"/>
  <c r="V142" i="39"/>
  <c r="T143" i="39"/>
  <c r="U143" i="39"/>
  <c r="V143" i="39"/>
  <c r="T144" i="39"/>
  <c r="U144" i="39"/>
  <c r="V144" i="39"/>
  <c r="T145" i="39"/>
  <c r="U145" i="39"/>
  <c r="V145" i="39"/>
  <c r="T146" i="39"/>
  <c r="U146" i="39"/>
  <c r="V146" i="39"/>
  <c r="T147" i="39"/>
  <c r="U147" i="39"/>
  <c r="V147" i="39"/>
  <c r="T148" i="39"/>
  <c r="U148" i="39"/>
  <c r="V148" i="39"/>
  <c r="T149" i="39"/>
  <c r="U149" i="39"/>
  <c r="V149" i="39"/>
  <c r="T150" i="39"/>
  <c r="U150" i="39"/>
  <c r="V150" i="39"/>
  <c r="T151" i="39"/>
  <c r="U151" i="39"/>
  <c r="V151" i="39"/>
  <c r="T152" i="39"/>
  <c r="U152" i="39"/>
  <c r="V152" i="39"/>
  <c r="T153" i="39"/>
  <c r="U153" i="39"/>
  <c r="V153" i="39"/>
  <c r="T154" i="39"/>
  <c r="U154" i="39"/>
  <c r="V154" i="39"/>
  <c r="T155" i="39"/>
  <c r="U155" i="39"/>
  <c r="V155" i="39"/>
  <c r="T156" i="39"/>
  <c r="U156" i="39"/>
  <c r="V156" i="39"/>
  <c r="T157" i="39"/>
  <c r="U157" i="39"/>
  <c r="V157" i="39"/>
  <c r="T158" i="39"/>
  <c r="U158" i="39"/>
  <c r="V158" i="39"/>
  <c r="T159" i="39"/>
  <c r="U159" i="39"/>
  <c r="V159" i="39"/>
  <c r="T160" i="39"/>
  <c r="U160" i="39"/>
  <c r="V160" i="39"/>
  <c r="T161" i="39"/>
  <c r="U161" i="39"/>
  <c r="V161" i="39"/>
  <c r="T162" i="39"/>
  <c r="U162" i="39"/>
  <c r="V162" i="39"/>
  <c r="T163" i="39"/>
  <c r="U163" i="39"/>
  <c r="V163" i="39"/>
  <c r="T164" i="39"/>
  <c r="U164" i="39"/>
  <c r="V164" i="39"/>
  <c r="T165" i="39"/>
  <c r="U165" i="39"/>
  <c r="V165" i="39"/>
  <c r="T166" i="39"/>
  <c r="U166" i="39"/>
  <c r="V166" i="39"/>
  <c r="T167" i="39"/>
  <c r="U167" i="39"/>
  <c r="V167" i="39"/>
  <c r="T168" i="39"/>
  <c r="U168" i="39"/>
  <c r="V168" i="39"/>
  <c r="T169" i="39"/>
  <c r="U169" i="39"/>
  <c r="V169" i="39"/>
  <c r="T170" i="39"/>
  <c r="U170" i="39"/>
  <c r="V170" i="39"/>
  <c r="T171" i="39"/>
  <c r="U171" i="39"/>
  <c r="V171" i="39"/>
  <c r="T172" i="39"/>
  <c r="U172" i="39"/>
  <c r="V172" i="39"/>
  <c r="T173" i="39"/>
  <c r="U173" i="39"/>
  <c r="V173" i="39"/>
  <c r="T174" i="39"/>
  <c r="U174" i="39"/>
  <c r="V174" i="39"/>
  <c r="T175" i="39"/>
  <c r="U175" i="39"/>
  <c r="V175" i="39"/>
  <c r="T176" i="39"/>
  <c r="U176" i="39"/>
  <c r="V176" i="39"/>
  <c r="T177" i="39"/>
  <c r="U177" i="39"/>
  <c r="V177" i="39"/>
  <c r="T178" i="39"/>
  <c r="U178" i="39"/>
  <c r="V178" i="39"/>
  <c r="T179" i="39"/>
  <c r="U179" i="39"/>
  <c r="V179" i="39"/>
  <c r="T180" i="39"/>
  <c r="U180" i="39"/>
  <c r="V180" i="39"/>
  <c r="T181" i="39"/>
  <c r="U181" i="39"/>
  <c r="V181" i="39"/>
  <c r="T182" i="39"/>
  <c r="U182" i="39"/>
  <c r="V182" i="39"/>
  <c r="T183" i="39"/>
  <c r="U183" i="39"/>
  <c r="V183" i="39"/>
  <c r="T184" i="39"/>
  <c r="U184" i="39"/>
  <c r="V184" i="39"/>
  <c r="T185" i="39"/>
  <c r="U185" i="39"/>
  <c r="V185" i="39"/>
  <c r="T186" i="39"/>
  <c r="U186" i="39"/>
  <c r="V186" i="39"/>
  <c r="T187" i="39"/>
  <c r="U187" i="39"/>
  <c r="V187" i="39"/>
  <c r="T188" i="39"/>
  <c r="U188" i="39"/>
  <c r="V188" i="39"/>
  <c r="T189" i="39"/>
  <c r="U189" i="39"/>
  <c r="V189" i="39"/>
  <c r="T190" i="39"/>
  <c r="U190" i="39"/>
  <c r="V190" i="39"/>
  <c r="T191" i="39"/>
  <c r="U191" i="39"/>
  <c r="V191" i="39"/>
  <c r="T192" i="39"/>
  <c r="U192" i="39"/>
  <c r="V192" i="39"/>
  <c r="T193" i="39"/>
  <c r="U193" i="39"/>
  <c r="V193" i="39"/>
  <c r="T194" i="39"/>
  <c r="U194" i="39"/>
  <c r="V194" i="39"/>
  <c r="T195" i="39"/>
  <c r="U195" i="39"/>
  <c r="V195" i="39"/>
  <c r="T196" i="39"/>
  <c r="U196" i="39"/>
  <c r="V196" i="39"/>
  <c r="T197" i="39"/>
  <c r="U197" i="39"/>
  <c r="V197" i="39"/>
  <c r="T198" i="39"/>
  <c r="U198" i="39"/>
  <c r="V198" i="39"/>
  <c r="T199" i="39"/>
  <c r="U199" i="39"/>
  <c r="V199" i="39"/>
  <c r="T200" i="39"/>
  <c r="U200" i="39"/>
  <c r="V200" i="39"/>
  <c r="T201" i="39"/>
  <c r="U201" i="39"/>
  <c r="V201" i="39"/>
  <c r="T202" i="39"/>
  <c r="U202" i="39"/>
  <c r="V202" i="39"/>
  <c r="O166" i="39"/>
  <c r="N166" i="39"/>
  <c r="M166" i="39"/>
  <c r="L166" i="39"/>
  <c r="O183" i="39"/>
  <c r="N183" i="39"/>
  <c r="M183" i="39"/>
  <c r="L183" i="39"/>
  <c r="O182" i="39"/>
  <c r="N182" i="39"/>
  <c r="M182" i="39"/>
  <c r="L182" i="39"/>
  <c r="O184" i="39"/>
  <c r="N184" i="39"/>
  <c r="M184" i="39"/>
  <c r="L184" i="39"/>
  <c r="O118" i="39" l="1"/>
  <c r="N118" i="39"/>
  <c r="M118" i="39"/>
  <c r="L118" i="39"/>
  <c r="O190" i="39" l="1"/>
  <c r="N190" i="39"/>
  <c r="M190" i="39"/>
  <c r="L190" i="39"/>
  <c r="O189" i="39"/>
  <c r="N189" i="39"/>
  <c r="M189" i="39"/>
  <c r="L189" i="39"/>
  <c r="O188" i="39"/>
  <c r="N188" i="39"/>
  <c r="M188" i="39"/>
  <c r="L188" i="39"/>
  <c r="O191" i="39"/>
  <c r="N191" i="39"/>
  <c r="M191" i="39"/>
  <c r="L191" i="39"/>
  <c r="O186" i="39"/>
  <c r="N186" i="39"/>
  <c r="M186" i="39"/>
  <c r="L186" i="39"/>
  <c r="O108" i="39"/>
  <c r="N108" i="39"/>
  <c r="M108" i="39"/>
  <c r="L108" i="39"/>
  <c r="O109" i="39"/>
  <c r="N109" i="39"/>
  <c r="M109" i="39"/>
  <c r="L109" i="39"/>
  <c r="O110" i="39"/>
  <c r="N110" i="39"/>
  <c r="M110" i="39"/>
  <c r="L110" i="39"/>
  <c r="O107" i="39"/>
  <c r="N107" i="39"/>
  <c r="M107" i="39"/>
  <c r="L107" i="39"/>
  <c r="O193" i="39"/>
  <c r="N193" i="39"/>
  <c r="M193" i="39"/>
  <c r="L193" i="39"/>
  <c r="O192" i="39"/>
  <c r="N192" i="39"/>
  <c r="M192" i="39"/>
  <c r="L192" i="39"/>
  <c r="O187" i="39"/>
  <c r="N187" i="39"/>
  <c r="M187" i="39"/>
  <c r="L187" i="39"/>
  <c r="O185" i="39"/>
  <c r="N185" i="39"/>
  <c r="M185" i="39"/>
  <c r="L185" i="39"/>
  <c r="O181" i="39"/>
  <c r="N181" i="39"/>
  <c r="M181" i="39"/>
  <c r="L181" i="39"/>
  <c r="O102" i="39"/>
  <c r="N102" i="39"/>
  <c r="M102" i="39"/>
  <c r="L102" i="39"/>
  <c r="O101" i="39"/>
  <c r="N101" i="39"/>
  <c r="M101" i="39"/>
  <c r="L101" i="39"/>
  <c r="O103" i="39"/>
  <c r="N103" i="39"/>
  <c r="M103" i="39"/>
  <c r="L103" i="39"/>
  <c r="O180" i="39"/>
  <c r="N180" i="39"/>
  <c r="M180" i="39"/>
  <c r="L180" i="39"/>
  <c r="O194" i="39"/>
  <c r="N194" i="39"/>
  <c r="M194" i="39"/>
  <c r="L194" i="39"/>
  <c r="O179" i="39"/>
  <c r="N179" i="39"/>
  <c r="M179" i="39"/>
  <c r="L179" i="39"/>
  <c r="O106" i="39"/>
  <c r="N106" i="39"/>
  <c r="M106" i="39"/>
  <c r="L106" i="39"/>
  <c r="O144" i="39"/>
  <c r="N144" i="39"/>
  <c r="M144" i="39"/>
  <c r="L144" i="39"/>
  <c r="O138" i="39"/>
  <c r="N138" i="39"/>
  <c r="M138" i="39"/>
  <c r="L138" i="39"/>
  <c r="O139" i="39"/>
  <c r="N139" i="39"/>
  <c r="M139" i="39"/>
  <c r="L139" i="39"/>
  <c r="O137" i="39"/>
  <c r="N137" i="39"/>
  <c r="M137" i="39"/>
  <c r="L137" i="39"/>
  <c r="O136" i="39"/>
  <c r="N136" i="39"/>
  <c r="M136" i="39"/>
  <c r="L136" i="39"/>
  <c r="O135" i="39"/>
  <c r="N135" i="39"/>
  <c r="M135" i="39"/>
  <c r="L135" i="39"/>
  <c r="O134" i="39"/>
  <c r="N134" i="39"/>
  <c r="M134" i="39"/>
  <c r="L134" i="39"/>
  <c r="O145" i="39"/>
  <c r="N145" i="39"/>
  <c r="M145" i="39"/>
  <c r="L145" i="39"/>
  <c r="O143" i="39"/>
  <c r="N143" i="39"/>
  <c r="M143" i="39"/>
  <c r="L143" i="39"/>
  <c r="O133" i="39" l="1"/>
  <c r="N133" i="39"/>
  <c r="M133" i="39"/>
  <c r="L133" i="39"/>
  <c r="O132" i="39"/>
  <c r="N132" i="39"/>
  <c r="M132" i="39"/>
  <c r="L132" i="39"/>
  <c r="O131" i="39"/>
  <c r="N131" i="39"/>
  <c r="M131" i="39"/>
  <c r="L131" i="39"/>
  <c r="O130" i="39"/>
  <c r="N130" i="39"/>
  <c r="M130" i="39"/>
  <c r="L130" i="39"/>
  <c r="O146" i="39"/>
  <c r="N146" i="39"/>
  <c r="M146" i="39"/>
  <c r="L146" i="39"/>
  <c r="O142" i="39"/>
  <c r="N142" i="39"/>
  <c r="M142" i="39"/>
  <c r="L142" i="39"/>
  <c r="O141" i="39"/>
  <c r="N141" i="39"/>
  <c r="M141" i="39"/>
  <c r="L141" i="39"/>
  <c r="O140" i="39"/>
  <c r="N140" i="39"/>
  <c r="M140" i="39"/>
  <c r="L140" i="39"/>
  <c r="O127" i="39" l="1"/>
  <c r="N127" i="39"/>
  <c r="M127" i="39"/>
  <c r="L127" i="39"/>
  <c r="O129" i="39"/>
  <c r="N129" i="39"/>
  <c r="M129" i="39"/>
  <c r="L129" i="39"/>
  <c r="O128" i="39"/>
  <c r="N128" i="39"/>
  <c r="M128" i="39"/>
  <c r="L128" i="39"/>
  <c r="O117" i="39"/>
  <c r="N117" i="39"/>
  <c r="M117" i="39"/>
  <c r="L117" i="39"/>
  <c r="O116" i="39"/>
  <c r="N116" i="39"/>
  <c r="M116" i="39"/>
  <c r="L116" i="39"/>
  <c r="O115" i="39"/>
  <c r="N115" i="39"/>
  <c r="M115" i="39"/>
  <c r="L115" i="39"/>
  <c r="O155" i="39"/>
  <c r="N155" i="39"/>
  <c r="M155" i="39"/>
  <c r="L155" i="39"/>
  <c r="O158" i="39"/>
  <c r="N158" i="39"/>
  <c r="M158" i="39"/>
  <c r="L158" i="39"/>
  <c r="O157" i="39"/>
  <c r="N157" i="39"/>
  <c r="M157" i="39"/>
  <c r="L157" i="39"/>
  <c r="O156" i="39"/>
  <c r="N156" i="39"/>
  <c r="M156" i="39"/>
  <c r="L156" i="39"/>
  <c r="O154" i="39"/>
  <c r="N154" i="39"/>
  <c r="M154" i="39"/>
  <c r="L154" i="39"/>
  <c r="O111" i="39" l="1"/>
  <c r="N111" i="39"/>
  <c r="M111" i="39"/>
  <c r="L111" i="39"/>
  <c r="O119" i="39"/>
  <c r="N119" i="39"/>
  <c r="M119" i="39"/>
  <c r="L119" i="39"/>
  <c r="O114" i="39"/>
  <c r="N114" i="39"/>
  <c r="M114" i="39"/>
  <c r="L114" i="39"/>
  <c r="O113" i="39"/>
  <c r="N113" i="39"/>
  <c r="M113" i="39"/>
  <c r="L113" i="39"/>
  <c r="O112" i="39"/>
  <c r="N112" i="39"/>
  <c r="M112" i="39"/>
  <c r="L112" i="39"/>
  <c r="O124" i="39"/>
  <c r="N124" i="39"/>
  <c r="M124" i="39"/>
  <c r="L124" i="39"/>
  <c r="O123" i="39"/>
  <c r="N123" i="39"/>
  <c r="M123" i="39"/>
  <c r="L123" i="39"/>
  <c r="O120" i="39"/>
  <c r="N120" i="39"/>
  <c r="M120" i="39"/>
  <c r="L120" i="39"/>
  <c r="O125" i="39"/>
  <c r="N125" i="39"/>
  <c r="M125" i="39"/>
  <c r="L125" i="39"/>
  <c r="O150" i="39"/>
  <c r="N150" i="39"/>
  <c r="M150" i="39"/>
  <c r="L150" i="39"/>
  <c r="O149" i="39"/>
  <c r="N149" i="39"/>
  <c r="M149" i="39"/>
  <c r="L149" i="39"/>
  <c r="O148" i="39"/>
  <c r="N148" i="39"/>
  <c r="M148" i="39"/>
  <c r="L148" i="39"/>
  <c r="O151" i="39"/>
  <c r="N151" i="39"/>
  <c r="M151" i="39"/>
  <c r="L151" i="39"/>
  <c r="O147" i="39"/>
  <c r="N147" i="39"/>
  <c r="M147" i="39"/>
  <c r="L147" i="39"/>
  <c r="O159" i="39"/>
  <c r="N159" i="39"/>
  <c r="M159" i="39"/>
  <c r="L159" i="39"/>
  <c r="O97" i="39"/>
  <c r="N97" i="39"/>
  <c r="M97" i="39"/>
  <c r="L97" i="39"/>
  <c r="O96" i="39"/>
  <c r="N96" i="39"/>
  <c r="M96" i="39"/>
  <c r="L96" i="39"/>
  <c r="O95" i="39"/>
  <c r="N95" i="39"/>
  <c r="M95" i="39"/>
  <c r="L95" i="39"/>
  <c r="O176" i="39"/>
  <c r="N176" i="39"/>
  <c r="M176" i="39"/>
  <c r="L176" i="39"/>
  <c r="O175" i="39"/>
  <c r="N175" i="39"/>
  <c r="M175" i="39"/>
  <c r="L175" i="39"/>
  <c r="O174" i="39"/>
  <c r="N174" i="39"/>
  <c r="M174" i="39"/>
  <c r="L174" i="39"/>
  <c r="O173" i="39"/>
  <c r="N173" i="39"/>
  <c r="M173" i="39"/>
  <c r="L173" i="39"/>
  <c r="O172" i="39"/>
  <c r="N172" i="39"/>
  <c r="M172" i="39"/>
  <c r="L172" i="39"/>
  <c r="O171" i="39"/>
  <c r="N171" i="39"/>
  <c r="M171" i="39"/>
  <c r="L171" i="39"/>
  <c r="O170" i="39"/>
  <c r="N170" i="39"/>
  <c r="M170" i="39"/>
  <c r="L170" i="39"/>
  <c r="O169" i="39"/>
  <c r="N169" i="39"/>
  <c r="M169" i="39"/>
  <c r="L169" i="39"/>
  <c r="O168" i="39"/>
  <c r="N168" i="39"/>
  <c r="M168" i="39"/>
  <c r="L168" i="39"/>
  <c r="O167" i="39"/>
  <c r="N167" i="39"/>
  <c r="M167" i="39"/>
  <c r="L167" i="39"/>
  <c r="O165" i="39"/>
  <c r="N165" i="39"/>
  <c r="M165" i="39"/>
  <c r="L165" i="39"/>
  <c r="O164" i="39"/>
  <c r="N164" i="39"/>
  <c r="M164" i="39"/>
  <c r="L164" i="39"/>
  <c r="O163" i="39"/>
  <c r="N163" i="39"/>
  <c r="M163" i="39"/>
  <c r="L163" i="39"/>
  <c r="O162" i="39"/>
  <c r="N162" i="39"/>
  <c r="M162" i="39"/>
  <c r="L162" i="39"/>
  <c r="O152" i="39"/>
  <c r="N152" i="39"/>
  <c r="M152" i="39"/>
  <c r="L152" i="39"/>
  <c r="O202" i="39"/>
  <c r="N202" i="39"/>
  <c r="M202" i="39"/>
  <c r="L202" i="39"/>
  <c r="O161" i="39" l="1"/>
  <c r="N161" i="39"/>
  <c r="M161" i="39"/>
  <c r="L161" i="39"/>
  <c r="O177" i="39"/>
  <c r="N177" i="39"/>
  <c r="M177" i="39"/>
  <c r="L177" i="39"/>
  <c r="O195" i="39"/>
  <c r="N195" i="39"/>
  <c r="M195" i="39"/>
  <c r="L195" i="39"/>
  <c r="O160" i="39"/>
  <c r="N160" i="39"/>
  <c r="M160" i="39"/>
  <c r="L160" i="39"/>
  <c r="O196" i="39" l="1"/>
  <c r="N196" i="39"/>
  <c r="M196" i="39"/>
  <c r="L196" i="39"/>
  <c r="O197" i="39"/>
  <c r="N197" i="39"/>
  <c r="M197" i="39"/>
  <c r="L197" i="39"/>
  <c r="O178" i="39"/>
  <c r="O199" i="39"/>
  <c r="N199" i="39"/>
  <c r="M199" i="39"/>
  <c r="L199" i="39"/>
  <c r="O198" i="39"/>
  <c r="N198" i="39"/>
  <c r="M198" i="39"/>
  <c r="L198" i="39"/>
  <c r="L200" i="39"/>
  <c r="M200" i="39"/>
  <c r="N200" i="39"/>
  <c r="O200" i="39"/>
  <c r="L201" i="39"/>
  <c r="M201" i="39"/>
  <c r="N201" i="39"/>
  <c r="O201" i="39"/>
  <c r="N178" i="39"/>
  <c r="M178" i="39"/>
  <c r="L178" i="39"/>
  <c r="L126" i="39" l="1"/>
  <c r="M126" i="39"/>
  <c r="N126" i="39"/>
  <c r="O126" i="39"/>
  <c r="O122" i="39"/>
  <c r="N122" i="39"/>
  <c r="M122" i="39"/>
  <c r="L122" i="39"/>
  <c r="O121" i="39"/>
  <c r="N121" i="39"/>
  <c r="M121" i="39"/>
  <c r="L121" i="39"/>
  <c r="O153" i="39"/>
  <c r="N153" i="39"/>
  <c r="M153" i="39"/>
  <c r="L153" i="39"/>
  <c r="O104" i="39"/>
  <c r="N104" i="39"/>
  <c r="M104" i="39"/>
  <c r="L104" i="39"/>
  <c r="O105" i="39"/>
  <c r="N105" i="39"/>
  <c r="M105" i="39"/>
  <c r="L105" i="39"/>
  <c r="O100" i="39"/>
  <c r="N100" i="39"/>
  <c r="M100" i="39"/>
  <c r="L100" i="39"/>
  <c r="O99" i="39"/>
  <c r="N99" i="39"/>
  <c r="M99" i="39"/>
  <c r="L99" i="39"/>
  <c r="O98" i="39"/>
  <c r="N98" i="39"/>
  <c r="M98" i="39"/>
  <c r="L98" i="39"/>
  <c r="B18" i="31" l="1"/>
  <c r="B6" i="31" l="1"/>
  <c r="B5" i="31"/>
</calcChain>
</file>

<file path=xl/sharedStrings.xml><?xml version="1.0" encoding="utf-8"?>
<sst xmlns="http://schemas.openxmlformats.org/spreadsheetml/2006/main" count="12983" uniqueCount="1727">
  <si>
    <t>Valor</t>
  </si>
  <si>
    <t>Chave</t>
  </si>
  <si>
    <t>URI</t>
  </si>
  <si>
    <t>Autor</t>
  </si>
  <si>
    <t>RaizProp</t>
  </si>
  <si>
    <t>RaizClass</t>
  </si>
  <si>
    <t>RaizData</t>
  </si>
  <si>
    <t>null</t>
  </si>
  <si>
    <t>Observações</t>
  </si>
  <si>
    <t>Cidade</t>
  </si>
  <si>
    <t>-</t>
  </si>
  <si>
    <t>Indivíduo</t>
  </si>
  <si>
    <t>Classe</t>
  </si>
  <si>
    <t>Fato</t>
  </si>
  <si>
    <t>descrição</t>
  </si>
  <si>
    <t>OntologiaPrefixo</t>
  </si>
  <si>
    <t>OntologiaTema</t>
  </si>
  <si>
    <t>BIM</t>
  </si>
  <si>
    <t>Organização</t>
  </si>
  <si>
    <t>Escola Politécnica da UFRJ</t>
  </si>
  <si>
    <t>DataHora</t>
  </si>
  <si>
    <t>Prédio</t>
  </si>
  <si>
    <t>N°</t>
  </si>
  <si>
    <t>https://github.com/JLMenegotto/RepoOnto#</t>
  </si>
  <si>
    <t>Explicação</t>
  </si>
  <si>
    <t>Explicación</t>
  </si>
  <si>
    <t>Natureza</t>
  </si>
  <si>
    <t>Disciplina</t>
  </si>
  <si>
    <t>Tema</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</si>
  <si>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</si>
  <si>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</si>
  <si>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</si>
  <si>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</si>
  <si>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</si>
  <si>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</si>
  <si>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</si>
  <si>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</si>
  <si>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</si>
  <si>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</si>
  <si>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</si>
  <si>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</si>
  <si>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</si>
  <si>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</si>
  <si>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</si>
  <si>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</si>
  <si>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</si>
  <si>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</si>
  <si>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</si>
  <si>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</si>
  <si>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Key</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</si>
  <si>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</si>
  <si>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</si>
  <si>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</si>
  <si>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</si>
  <si>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</si>
  <si>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</si>
  <si>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</si>
  <si>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</si>
  <si>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</si>
  <si>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1</t>
  </si>
  <si>
    <t>Anotações 
de ajuda
Classe 2</t>
  </si>
  <si>
    <t>Anotações 
de ajuda
Classe 3</t>
  </si>
  <si>
    <t>Anotações 
de ajuda
Classe 5</t>
  </si>
  <si>
    <t>000 Tradução Classe 5</t>
  </si>
  <si>
    <t>000 Traducción Classe 5</t>
  </si>
  <si>
    <t>Interop</t>
  </si>
  <si>
    <t>Especie</t>
  </si>
  <si>
    <t>Equivalente a</t>
  </si>
  <si>
    <t>bim:</t>
  </si>
  <si>
    <t>Dados de perfis metálicos</t>
  </si>
  <si>
    <t>Formalizar dados de elementos estruturais metálicos.</t>
  </si>
  <si>
    <t>Formalizar dados de elementos estructurales metálicos.</t>
  </si>
  <si>
    <t>Perfil.U</t>
  </si>
  <si>
    <t>Perfil.T</t>
  </si>
  <si>
    <t>bitola</t>
  </si>
  <si>
    <t>"W150x13"</t>
  </si>
  <si>
    <t>altura</t>
  </si>
  <si>
    <t>largura</t>
  </si>
  <si>
    <t>Estrutura.Principal</t>
  </si>
  <si>
    <t>Estrutura.Secundária</t>
  </si>
  <si>
    <t>5.8</t>
  </si>
  <si>
    <t>6.6</t>
  </si>
  <si>
    <t>4.1</t>
  </si>
  <si>
    <t>22.5</t>
  </si>
  <si>
    <t>9.3</t>
  </si>
  <si>
    <t>4.18</t>
  </si>
  <si>
    <t>29.8</t>
  </si>
  <si>
    <t>8.1</t>
  </si>
  <si>
    <t>11.6</t>
  </si>
  <si>
    <t>4.22</t>
  </si>
  <si>
    <t>37.1</t>
  </si>
  <si>
    <t>6.2</t>
  </si>
  <si>
    <t>10.2</t>
  </si>
  <si>
    <t>4.5</t>
  </si>
  <si>
    <t>35.9</t>
  </si>
  <si>
    <t>7.2</t>
  </si>
  <si>
    <t>11.8</t>
  </si>
  <si>
    <t>4.53</t>
  </si>
  <si>
    <t>41.7</t>
  </si>
  <si>
    <t>5.58</t>
  </si>
  <si>
    <t>46.1</t>
  </si>
  <si>
    <t>7.9</t>
  </si>
  <si>
    <t>12.6</t>
  </si>
  <si>
    <t>5.61</t>
  </si>
  <si>
    <t>11.3</t>
  </si>
  <si>
    <t>5.57</t>
  </si>
  <si>
    <t>9.1</t>
  </si>
  <si>
    <t>14.2</t>
  </si>
  <si>
    <t>5.64</t>
  </si>
  <si>
    <t>17.4</t>
  </si>
  <si>
    <t>5.7</t>
  </si>
  <si>
    <t>20.6</t>
  </si>
  <si>
    <t>5.77</t>
  </si>
  <si>
    <t>10.5</t>
  </si>
  <si>
    <t>10.7</t>
  </si>
  <si>
    <t>6.89</t>
  </si>
  <si>
    <t>8.6</t>
  </si>
  <si>
    <t>7.01</t>
  </si>
  <si>
    <t>9.4</t>
  </si>
  <si>
    <t>15.6</t>
  </si>
  <si>
    <t>7.04</t>
  </si>
  <si>
    <t>14.4</t>
  </si>
  <si>
    <t>17.3</t>
  </si>
  <si>
    <t>7.06</t>
  </si>
  <si>
    <t>11.9</t>
  </si>
  <si>
    <t>19.6</t>
  </si>
  <si>
    <t>7.1</t>
  </si>
  <si>
    <t>13.5</t>
  </si>
  <si>
    <t>22.1</t>
  </si>
  <si>
    <t>7.16</t>
  </si>
  <si>
    <t>8.2</t>
  </si>
  <si>
    <t>13.1</t>
  </si>
  <si>
    <t>8.26</t>
  </si>
  <si>
    <t>9.9</t>
  </si>
  <si>
    <t>15.4</t>
  </si>
  <si>
    <t>8.38</t>
  </si>
  <si>
    <t>10.9</t>
  </si>
  <si>
    <t>8.41</t>
  </si>
  <si>
    <t>15.5</t>
  </si>
  <si>
    <t>8.33</t>
  </si>
  <si>
    <t>18.7</t>
  </si>
  <si>
    <t>8.44</t>
  </si>
  <si>
    <t>9.5</t>
  </si>
  <si>
    <t>16.4</t>
  </si>
  <si>
    <t>6.9</t>
  </si>
  <si>
    <t>18.3</t>
  </si>
  <si>
    <t>6.93</t>
  </si>
  <si>
    <t>11.4</t>
  </si>
  <si>
    <t>19.9</t>
  </si>
  <si>
    <t>6.96</t>
  </si>
  <si>
    <t>21.7</t>
  </si>
  <si>
    <t>6.98</t>
  </si>
  <si>
    <t>"HP150x22"</t>
  </si>
  <si>
    <t>"HP150x29"</t>
  </si>
  <si>
    <t>"HP150x37"</t>
  </si>
  <si>
    <t>"HP200x35"</t>
  </si>
  <si>
    <t>"HP200x41"</t>
  </si>
  <si>
    <t>"HP200x46"</t>
  </si>
  <si>
    <t>"HP200x52"</t>
  </si>
  <si>
    <t>"HP200x53"</t>
  </si>
  <si>
    <t>"HP200x59"</t>
  </si>
  <si>
    <t>"HP200x71"</t>
  </si>
  <si>
    <t>"HP200x86"</t>
  </si>
  <si>
    <t>"HP250x62"</t>
  </si>
  <si>
    <t>"HP250x73"</t>
  </si>
  <si>
    <t>"HP250x80"</t>
  </si>
  <si>
    <t>"HP250x85"</t>
  </si>
  <si>
    <t>"HP250x89"</t>
  </si>
  <si>
    <t>"HP250x101"</t>
  </si>
  <si>
    <t>"HP250x115"</t>
  </si>
  <si>
    <t>"HP310x79"</t>
  </si>
  <si>
    <t>"HP310x93"</t>
  </si>
  <si>
    <t>"HP310x97"</t>
  </si>
  <si>
    <t>"HP310x107"</t>
  </si>
  <si>
    <t>"HP310x110"</t>
  </si>
  <si>
    <t>"HP310x117"</t>
  </si>
  <si>
    <t>"HP310x125"</t>
  </si>
  <si>
    <t>"HP360x91"</t>
  </si>
  <si>
    <t>"HP360x101"</t>
  </si>
  <si>
    <t>"HP360x110"</t>
  </si>
  <si>
    <t>"HP360x122"</t>
  </si>
  <si>
    <t>t.w</t>
  </si>
  <si>
    <t>t.f</t>
  </si>
  <si>
    <t>"Gerdau"</t>
  </si>
  <si>
    <t>raio</t>
  </si>
  <si>
    <t>4.32</t>
  </si>
  <si>
    <t>4.95</t>
  </si>
  <si>
    <t>6.35</t>
  </si>
  <si>
    <t>5.84</t>
  </si>
  <si>
    <t>7.11</t>
  </si>
  <si>
    <t>6.39</t>
  </si>
  <si>
    <t>6.4</t>
  </si>
  <si>
    <t>10.3</t>
  </si>
  <si>
    <t>6.3</t>
  </si>
  <si>
    <t>9.27</t>
  </si>
  <si>
    <t>6.33</t>
  </si>
  <si>
    <t>8.13</t>
  </si>
  <si>
    <t>14.5</t>
  </si>
  <si>
    <t>23.7</t>
  </si>
  <si>
    <t>10.1</t>
  </si>
  <si>
    <t>5.21</t>
  </si>
  <si>
    <t>7.59</t>
  </si>
  <si>
    <t>6.48</t>
  </si>
  <si>
    <t>7.62</t>
  </si>
  <si>
    <t>6.22</t>
  </si>
  <si>
    <t>7.6</t>
  </si>
  <si>
    <t>7.24</t>
  </si>
  <si>
    <t>7.87</t>
  </si>
  <si>
    <t>9.14</t>
  </si>
  <si>
    <t>12.7</t>
  </si>
  <si>
    <t>25.1</t>
  </si>
  <si>
    <t>28.4</t>
  </si>
  <si>
    <t>19.2</t>
  </si>
  <si>
    <t>31.8</t>
  </si>
  <si>
    <t>4.83</t>
  </si>
  <si>
    <t>5.33</t>
  </si>
  <si>
    <t>7.67</t>
  </si>
  <si>
    <t>6.86</t>
  </si>
  <si>
    <t>7.64</t>
  </si>
  <si>
    <t>6.1</t>
  </si>
  <si>
    <t>7.7</t>
  </si>
  <si>
    <t>7.66</t>
  </si>
  <si>
    <t>11.2</t>
  </si>
  <si>
    <t>8.64</t>
  </si>
  <si>
    <t>12.8</t>
  </si>
  <si>
    <t>15.3</t>
  </si>
  <si>
    <t>15.1</t>
  </si>
  <si>
    <t>15.2</t>
  </si>
  <si>
    <t>22.9</t>
  </si>
  <si>
    <t>28.2</t>
  </si>
  <si>
    <t>20.1</t>
  </si>
  <si>
    <t>5.08</t>
  </si>
  <si>
    <t>5.72</t>
  </si>
  <si>
    <t>7.58</t>
  </si>
  <si>
    <t>5.59</t>
  </si>
  <si>
    <t>6.73</t>
  </si>
  <si>
    <t>5.97</t>
  </si>
  <si>
    <t>8.89</t>
  </si>
  <si>
    <t>7.61</t>
  </si>
  <si>
    <t>10.8</t>
  </si>
  <si>
    <t>9.65</t>
  </si>
  <si>
    <t>7.65</t>
  </si>
  <si>
    <t>13.2</t>
  </si>
  <si>
    <t>7.5</t>
  </si>
  <si>
    <t>8.5</t>
  </si>
  <si>
    <t>14.6</t>
  </si>
  <si>
    <t>16.3</t>
  </si>
  <si>
    <t>9.91</t>
  </si>
  <si>
    <t>8.51</t>
  </si>
  <si>
    <t>10.19</t>
  </si>
  <si>
    <t>9.78</t>
  </si>
  <si>
    <t>10.12</t>
  </si>
  <si>
    <t>7.75</t>
  </si>
  <si>
    <t>14.9</t>
  </si>
  <si>
    <t>16.8</t>
  </si>
  <si>
    <t>9.53</t>
  </si>
  <si>
    <t>8.76</t>
  </si>
  <si>
    <t>10.24</t>
  </si>
  <si>
    <t>6.99</t>
  </si>
  <si>
    <t>7.49</t>
  </si>
  <si>
    <t>18.2</t>
  </si>
  <si>
    <t>13.3</t>
  </si>
  <si>
    <t>9.02</t>
  </si>
  <si>
    <t>17.7</t>
  </si>
  <si>
    <t>19.1</t>
  </si>
  <si>
    <t>18.8</t>
  </si>
  <si>
    <t>21.2</t>
  </si>
  <si>
    <t>14.7</t>
  </si>
  <si>
    <t>23.6</t>
  </si>
  <si>
    <t>13.6</t>
  </si>
  <si>
    <t>16.5</t>
  </si>
  <si>
    <t>22.2</t>
  </si>
  <si>
    <t>12.9</t>
  </si>
  <si>
    <t>24.9</t>
  </si>
  <si>
    <t>21.6</t>
  </si>
  <si>
    <t>24.4</t>
  </si>
  <si>
    <t>27.7</t>
  </si>
  <si>
    <t>"W150x18"</t>
  </si>
  <si>
    <t>"W150x22"</t>
  </si>
  <si>
    <t>"W150x24"</t>
  </si>
  <si>
    <t>"W150x29"</t>
  </si>
  <si>
    <t>"W150x37"</t>
  </si>
  <si>
    <t>"W200x100"</t>
  </si>
  <si>
    <t>"W200x15"</t>
  </si>
  <si>
    <t>"W200x19"</t>
  </si>
  <si>
    <t>"W200x22"</t>
  </si>
  <si>
    <t>"W200x26"</t>
  </si>
  <si>
    <t>"W200x31"</t>
  </si>
  <si>
    <t>"W200x35"</t>
  </si>
  <si>
    <t>"W200x41"</t>
  </si>
  <si>
    <t>"W200x46"</t>
  </si>
  <si>
    <t>"W200x52"</t>
  </si>
  <si>
    <t>"W200x59"</t>
  </si>
  <si>
    <t>"W200x71"</t>
  </si>
  <si>
    <t>"W200x86"</t>
  </si>
  <si>
    <t>"W250x101"</t>
  </si>
  <si>
    <t>"W250x115"</t>
  </si>
  <si>
    <t>"W250x131"</t>
  </si>
  <si>
    <t>"W250x149"</t>
  </si>
  <si>
    <t>"W250x167"</t>
  </si>
  <si>
    <t>"W250x17"</t>
  </si>
  <si>
    <t>"W250x22"</t>
  </si>
  <si>
    <t>"W250x25"</t>
  </si>
  <si>
    <t>"W250x28"</t>
  </si>
  <si>
    <t>"W250x32"</t>
  </si>
  <si>
    <t>"W250x38"</t>
  </si>
  <si>
    <t>"W250x44"</t>
  </si>
  <si>
    <t>"W250x73"</t>
  </si>
  <si>
    <t>"W250x80"</t>
  </si>
  <si>
    <t>"W250x89"</t>
  </si>
  <si>
    <t>"W310x107"</t>
  </si>
  <si>
    <t>"W310x117"</t>
  </si>
  <si>
    <t>"W310x129"</t>
  </si>
  <si>
    <t>"W310x143"</t>
  </si>
  <si>
    <t>"W310x158"</t>
  </si>
  <si>
    <t>"W310x179"</t>
  </si>
  <si>
    <t>"W310x202"</t>
  </si>
  <si>
    <t>"W310x21"</t>
  </si>
  <si>
    <t>"W310x23"</t>
  </si>
  <si>
    <t>"W310x28"</t>
  </si>
  <si>
    <t>"W310x32"</t>
  </si>
  <si>
    <t>"W310x38"</t>
  </si>
  <si>
    <t>"W310x44"</t>
  </si>
  <si>
    <t>"W310x52"</t>
  </si>
  <si>
    <t>"W310x60*"</t>
  </si>
  <si>
    <t>"W310x67*"</t>
  </si>
  <si>
    <t>"W310x74*"</t>
  </si>
  <si>
    <t>"W310x97"</t>
  </si>
  <si>
    <t>"W360x101"</t>
  </si>
  <si>
    <t>"W360x110"</t>
  </si>
  <si>
    <t>"W360x122"</t>
  </si>
  <si>
    <t>"W360x32"</t>
  </si>
  <si>
    <t>"W360x39"</t>
  </si>
  <si>
    <t>"W360x44"</t>
  </si>
  <si>
    <t>"W360x51"</t>
  </si>
  <si>
    <t>"W360x57"</t>
  </si>
  <si>
    <t>"W360x64"</t>
  </si>
  <si>
    <t>"W360x72"</t>
  </si>
  <si>
    <t>"W360x79"</t>
  </si>
  <si>
    <t>"W360x91"</t>
  </si>
  <si>
    <t>"W410x38"</t>
  </si>
  <si>
    <t>"W410x46"</t>
  </si>
  <si>
    <t>"W410x53"</t>
  </si>
  <si>
    <t>"W410x60"</t>
  </si>
  <si>
    <t>"W410x67"</t>
  </si>
  <si>
    <t>"W410x75"</t>
  </si>
  <si>
    <t>"W410x85"</t>
  </si>
  <si>
    <t>"W460x106"</t>
  </si>
  <si>
    <t>"W460x52"</t>
  </si>
  <si>
    <t>"W460x60"</t>
  </si>
  <si>
    <t>"W460x68"</t>
  </si>
  <si>
    <t>"W460x74"</t>
  </si>
  <si>
    <t>"W460x82"</t>
  </si>
  <si>
    <t>"W460x89"</t>
  </si>
  <si>
    <t>"W460x97"</t>
  </si>
  <si>
    <t>"W530x101"</t>
  </si>
  <si>
    <t>"W530x109"</t>
  </si>
  <si>
    <t>"W530x123"</t>
  </si>
  <si>
    <t>"W530x138"</t>
  </si>
  <si>
    <t>"W530x66"</t>
  </si>
  <si>
    <t>"W530x72"</t>
  </si>
  <si>
    <t>"W530x74"</t>
  </si>
  <si>
    <t>"W530x82"</t>
  </si>
  <si>
    <t>"W530x85"</t>
  </si>
  <si>
    <t>"W530x92"</t>
  </si>
  <si>
    <t>"W610x101"</t>
  </si>
  <si>
    <t>"W610x113"</t>
  </si>
  <si>
    <t>"W610x125"</t>
  </si>
  <si>
    <t>"W610x140"</t>
  </si>
  <si>
    <t>"W610x153"</t>
  </si>
  <si>
    <t>"W610x155"</t>
  </si>
  <si>
    <t>"W610x174"</t>
  </si>
  <si>
    <t>"W610x195"</t>
  </si>
  <si>
    <t>"W610x82"</t>
  </si>
  <si>
    <t>"W610x92"</t>
  </si>
  <si>
    <t>"W610x217"</t>
  </si>
  <si>
    <t>Estrutura.de.Apoio</t>
  </si>
  <si>
    <t>HP150x22</t>
  </si>
  <si>
    <t>HP150x29</t>
  </si>
  <si>
    <t>HP150x37</t>
  </si>
  <si>
    <t>HP200x35</t>
  </si>
  <si>
    <t>HP200x41</t>
  </si>
  <si>
    <t>HP200x46</t>
  </si>
  <si>
    <t>HP200x52</t>
  </si>
  <si>
    <t>HP200x53</t>
  </si>
  <si>
    <t>HP200x59</t>
  </si>
  <si>
    <t>HP200x71</t>
  </si>
  <si>
    <t>HP200x86</t>
  </si>
  <si>
    <t>HP250x62</t>
  </si>
  <si>
    <t>HP250x73</t>
  </si>
  <si>
    <t>HP250x80</t>
  </si>
  <si>
    <t>HP250x85</t>
  </si>
  <si>
    <t>HP250x89</t>
  </si>
  <si>
    <t>HP250x101</t>
  </si>
  <si>
    <t>HP250x115</t>
  </si>
  <si>
    <t>HP310x79</t>
  </si>
  <si>
    <t>HP310x93</t>
  </si>
  <si>
    <t>HP310x97</t>
  </si>
  <si>
    <t>HP310x107</t>
  </si>
  <si>
    <t>HP310x110</t>
  </si>
  <si>
    <t>HP310x117</t>
  </si>
  <si>
    <t>HP310x125</t>
  </si>
  <si>
    <t>HP360x91</t>
  </si>
  <si>
    <t>HP360x101</t>
  </si>
  <si>
    <t>HP360x110</t>
  </si>
  <si>
    <t>HP360x122</t>
  </si>
  <si>
    <t>W150x13</t>
  </si>
  <si>
    <t>W150x18</t>
  </si>
  <si>
    <t>W150x22</t>
  </si>
  <si>
    <t>W150x24</t>
  </si>
  <si>
    <t>W150x29</t>
  </si>
  <si>
    <t>W150x37</t>
  </si>
  <si>
    <t>W200x100</t>
  </si>
  <si>
    <t>W200x15</t>
  </si>
  <si>
    <t>W200x19</t>
  </si>
  <si>
    <t>W200x22</t>
  </si>
  <si>
    <t>W200x26</t>
  </si>
  <si>
    <t>W200x31</t>
  </si>
  <si>
    <t>W200x35</t>
  </si>
  <si>
    <t>W200x41</t>
  </si>
  <si>
    <t>W200x46</t>
  </si>
  <si>
    <t>W200x52</t>
  </si>
  <si>
    <t>W200x59</t>
  </si>
  <si>
    <t>W200x71</t>
  </si>
  <si>
    <t>W200x86</t>
  </si>
  <si>
    <t>W250x101</t>
  </si>
  <si>
    <t>W250x115</t>
  </si>
  <si>
    <t>W250x131</t>
  </si>
  <si>
    <t>W250x149</t>
  </si>
  <si>
    <t>W250x167</t>
  </si>
  <si>
    <t>W250x17</t>
  </si>
  <si>
    <t>W250x22</t>
  </si>
  <si>
    <t>W250x25</t>
  </si>
  <si>
    <t>W250x28</t>
  </si>
  <si>
    <t>W250x32</t>
  </si>
  <si>
    <t>W250x38</t>
  </si>
  <si>
    <t>W250x44</t>
  </si>
  <si>
    <t>W250x73</t>
  </si>
  <si>
    <t>W250x80</t>
  </si>
  <si>
    <t>W250x89</t>
  </si>
  <si>
    <t>W310x107</t>
  </si>
  <si>
    <t>W310x117</t>
  </si>
  <si>
    <t>W310x129</t>
  </si>
  <si>
    <t>W310x143</t>
  </si>
  <si>
    <t>W310x158</t>
  </si>
  <si>
    <t>W310x179</t>
  </si>
  <si>
    <t>W310x202</t>
  </si>
  <si>
    <t>W310x21</t>
  </si>
  <si>
    <t>W310x23</t>
  </si>
  <si>
    <t>W310x28</t>
  </si>
  <si>
    <t>W310x32</t>
  </si>
  <si>
    <t>W310x38</t>
  </si>
  <si>
    <t>W310x44</t>
  </si>
  <si>
    <t>W310x52</t>
  </si>
  <si>
    <t>W310x97</t>
  </si>
  <si>
    <t>W360x101</t>
  </si>
  <si>
    <t>W360x110</t>
  </si>
  <si>
    <t>W360x122</t>
  </si>
  <si>
    <t>W360x32</t>
  </si>
  <si>
    <t>W360x39</t>
  </si>
  <si>
    <t>W360x44</t>
  </si>
  <si>
    <t>W360x51</t>
  </si>
  <si>
    <t>W360x57</t>
  </si>
  <si>
    <t>W360x64</t>
  </si>
  <si>
    <t>W360x72</t>
  </si>
  <si>
    <t>W360x79</t>
  </si>
  <si>
    <t>W360x91</t>
  </si>
  <si>
    <t>W410x38</t>
  </si>
  <si>
    <t>W410x46</t>
  </si>
  <si>
    <t>W410x53</t>
  </si>
  <si>
    <t>W410x60</t>
  </si>
  <si>
    <t>W410x67</t>
  </si>
  <si>
    <t>W410x75</t>
  </si>
  <si>
    <t>W410x85</t>
  </si>
  <si>
    <t>W460x106</t>
  </si>
  <si>
    <t>W460x52</t>
  </si>
  <si>
    <t>W460x60</t>
  </si>
  <si>
    <t>W460x68</t>
  </si>
  <si>
    <t>W460x74</t>
  </si>
  <si>
    <t>W460x82</t>
  </si>
  <si>
    <t>W460x89</t>
  </si>
  <si>
    <t>W460x97</t>
  </si>
  <si>
    <t>W530x101</t>
  </si>
  <si>
    <t>W530x109</t>
  </si>
  <si>
    <t>W530x123</t>
  </si>
  <si>
    <t>W530x138</t>
  </si>
  <si>
    <t>W530x66</t>
  </si>
  <si>
    <t>W530x72</t>
  </si>
  <si>
    <t>W530x74</t>
  </si>
  <si>
    <t>W530x82</t>
  </si>
  <si>
    <t>W530x85</t>
  </si>
  <si>
    <t>W530x92</t>
  </si>
  <si>
    <t>W610x101</t>
  </si>
  <si>
    <t>W610x113</t>
  </si>
  <si>
    <t>W610x125</t>
  </si>
  <si>
    <t>W610x140</t>
  </si>
  <si>
    <t>W610x153</t>
  </si>
  <si>
    <t>W610x155</t>
  </si>
  <si>
    <t>W610x174</t>
  </si>
  <si>
    <t>W610x195</t>
  </si>
  <si>
    <t>W610x82</t>
  </si>
  <si>
    <t>W610x92</t>
  </si>
  <si>
    <t>W610x217</t>
  </si>
  <si>
    <t>W310x60</t>
  </si>
  <si>
    <t>W310x67</t>
  </si>
  <si>
    <t>W310x74</t>
  </si>
  <si>
    <t>Sustentação</t>
  </si>
  <si>
    <t>VP.01</t>
  </si>
  <si>
    <t>VP.02</t>
  </si>
  <si>
    <t>VP.03</t>
  </si>
  <si>
    <t>VP.04</t>
  </si>
  <si>
    <t>"Viga perimetral da fachada"</t>
  </si>
  <si>
    <t>VI.01</t>
  </si>
  <si>
    <t>VI.02</t>
  </si>
  <si>
    <t>VI.03</t>
  </si>
  <si>
    <t>VI.04</t>
  </si>
  <si>
    <t>é.bitola</t>
  </si>
  <si>
    <t>"Viga interior"</t>
  </si>
  <si>
    <t>Parafuso_01</t>
  </si>
  <si>
    <t>Parafuso_02</t>
  </si>
  <si>
    <t>Parafuso_03</t>
  </si>
  <si>
    <t>Parafuso_04</t>
  </si>
  <si>
    <t>Parafuso.Brocante</t>
  </si>
  <si>
    <t>Parafuso.Drywall</t>
  </si>
  <si>
    <t>Parafuso Drywall</t>
  </si>
  <si>
    <t>Parafuso Brocante</t>
  </si>
  <si>
    <t>Parafuso Autoatarraxante</t>
  </si>
  <si>
    <t>Parafuso.ASTM</t>
  </si>
  <si>
    <t>nome</t>
  </si>
  <si>
    <t>"ASTM A325"</t>
  </si>
  <si>
    <t>"ASTM A490"</t>
  </si>
  <si>
    <t>"ASTM A307B"</t>
  </si>
  <si>
    <t>"ASTM A394TO"</t>
  </si>
  <si>
    <t>"Parafuso estrutural de alta resistência ASTM A325"</t>
  </si>
  <si>
    <t>"Parafuso estrutural resistente a oxidação ASTM A307B"</t>
  </si>
  <si>
    <t>"Parafuso estrutural de alta resistência ASTM A394TO"</t>
  </si>
  <si>
    <t>"Parafuso estrutural de alta resistência ASTM A490"</t>
  </si>
  <si>
    <t>Parafuso estrutural ASTM linha pesada</t>
  </si>
  <si>
    <t>Parafuso.Auto.Atarraxante</t>
  </si>
  <si>
    <t>Placa de base</t>
  </si>
  <si>
    <t>Parafuso estrutural norma DIN</t>
  </si>
  <si>
    <t>Placa de interface aço-concreto</t>
  </si>
  <si>
    <t>"Perfil estrutural de aço W de abas paralelas iguais"</t>
  </si>
  <si>
    <t>"Perfil estrutural de aço HP de abas paralelas iguais"</t>
  </si>
  <si>
    <t>A572-50</t>
  </si>
  <si>
    <t>A572-60</t>
  </si>
  <si>
    <t>A36</t>
  </si>
  <si>
    <t>categoria.revit</t>
  </si>
  <si>
    <t>classe.ifc</t>
  </si>
  <si>
    <t xml:space="preserve">Placa para fechamento </t>
  </si>
  <si>
    <t>"Liga de aço carbono de baixa liga"</t>
  </si>
  <si>
    <t>"Liga de aço estrutural de alta resistência e baixa liga"</t>
  </si>
  <si>
    <t>limite.de.escoamento</t>
  </si>
  <si>
    <t>é.classe.de.aço</t>
  </si>
  <si>
    <t>Aço.da.Estrutura</t>
  </si>
  <si>
    <t>Aço.da.Fachada</t>
  </si>
  <si>
    <t>A242</t>
  </si>
  <si>
    <t>A588-A</t>
  </si>
  <si>
    <t>WS350-Gerdau</t>
  </si>
  <si>
    <t>Parafuso.DIN</t>
  </si>
  <si>
    <t>Estai</t>
  </si>
  <si>
    <t>"Aço utilizado na fachada do projeto"</t>
  </si>
  <si>
    <t>"Aço utilizado na estrutura do projeto"</t>
  </si>
  <si>
    <t>"Aço utilizado na estrutura principal do projeto"</t>
  </si>
  <si>
    <t>"Aço utilizado na estrutura secundária do projeto"</t>
  </si>
  <si>
    <t>"Aço utilizado nas estruturas de apoio do projeto"</t>
  </si>
  <si>
    <t>Chumbador.Interno</t>
  </si>
  <si>
    <t>Chumbador.Externo</t>
  </si>
  <si>
    <t>Chumbadores</t>
  </si>
  <si>
    <t>Chumbador localizado na região interna da placa de base</t>
  </si>
  <si>
    <t>Chumbador localizado na região externa da placa de base</t>
  </si>
  <si>
    <t>Elemento de acoragem</t>
  </si>
  <si>
    <t>Elemento de conector</t>
  </si>
  <si>
    <t>Membrana de fechamento</t>
  </si>
  <si>
    <t>Tensionadas</t>
  </si>
  <si>
    <t>Alumínio_7075</t>
  </si>
  <si>
    <t>Alumínio_6060</t>
  </si>
  <si>
    <t>"Liga de alumínio com média resistência mecânica, alta resistência à corrosão e excelente acabamento para anodização ou pintura eletrostática"</t>
  </si>
  <si>
    <t>"Liga de alumínio de alta resistência mecânica com teores maiores de de zinco e magnésio"</t>
  </si>
  <si>
    <t>CategoriaRvt</t>
  </si>
  <si>
    <t>Aço.Estrutural</t>
  </si>
  <si>
    <t>Alumínio.Estrutural</t>
  </si>
  <si>
    <t>Pinos</t>
  </si>
  <si>
    <t>Treliça.Ponte</t>
  </si>
  <si>
    <t>Tensores</t>
  </si>
  <si>
    <t>Ancoragem.de.Estai</t>
  </si>
  <si>
    <t>Ancoragem.Acoplador</t>
  </si>
  <si>
    <t>Tensor.Barra</t>
  </si>
  <si>
    <t>Tensor.Bainha</t>
  </si>
  <si>
    <t>Tensor.Corda</t>
  </si>
  <si>
    <t>Tensor.Fio</t>
  </si>
  <si>
    <t>Tensor.Bainha.Acoplador</t>
  </si>
  <si>
    <t>Tensor.Trombeta</t>
  </si>
  <si>
    <t>Tensor.Injetor</t>
  </si>
  <si>
    <t>Tensor.Revestido</t>
  </si>
  <si>
    <t>Tensor.Bainha.Diabolo</t>
  </si>
  <si>
    <t>Tensor.Bainha.Cabo</t>
  </si>
  <si>
    <t>Parafusos</t>
  </si>
  <si>
    <t>Pino.de.Cisalhamento</t>
  </si>
  <si>
    <t>Fixações</t>
  </si>
  <si>
    <t>00.Super
Class
5</t>
  </si>
  <si>
    <t>Coluna.Soldada</t>
  </si>
  <si>
    <t>Viga.Soldada</t>
  </si>
  <si>
    <t>Coluna.Viga.Soldada</t>
  </si>
  <si>
    <t>Perfil metálico soldado para Vigas (VS). São perfis metálicos estruturais formados pela união de chapas de aço conectadas com soldagem.</t>
  </si>
  <si>
    <t>Perfil metálico soldado para Coluna e Viga  (CVS). São perfis metálicos estruturais formados pela união de chapas de aço conectadas com soldagem.</t>
  </si>
  <si>
    <t>Perfil metálico soldado para Coluna  (CS). São perfis metálicos estruturais formados pela união de chapas de aço conectadas com soldagem.</t>
  </si>
  <si>
    <t>Perfil.Laminado.I</t>
  </si>
  <si>
    <t>Perfil.Laminado.HP</t>
  </si>
  <si>
    <t>Perfil.Laminado.W</t>
  </si>
  <si>
    <t>Laminados</t>
  </si>
  <si>
    <t>Soldados</t>
  </si>
  <si>
    <t>Barras</t>
  </si>
  <si>
    <t>Treliçados</t>
  </si>
  <si>
    <t>Placas</t>
  </si>
  <si>
    <t>Placa.de.Base</t>
  </si>
  <si>
    <t>Placa.de.Interface</t>
  </si>
  <si>
    <t>Placa.de.Emenda</t>
  </si>
  <si>
    <t>Placa.de.Fechamento</t>
  </si>
  <si>
    <t>Placa.Enrijecedora</t>
  </si>
  <si>
    <t>Tesoura</t>
  </si>
  <si>
    <t>Treliça.Pratt</t>
  </si>
  <si>
    <t>Treliça de banzos paralelos com diagonais inclinadas para baixo no sentido do centro.</t>
  </si>
  <si>
    <t>Treliça.Howe</t>
  </si>
  <si>
    <t>Treliça de banzos paralelos com diagonais inclinadas para cima no sentido do centro.</t>
  </si>
  <si>
    <t>Treliça.Warren</t>
  </si>
  <si>
    <t>Treliça.Vierendeel</t>
  </si>
  <si>
    <t>Treliça de banzos paralelos com diagonais formando triângulos equiláteros ou isósceles.</t>
  </si>
  <si>
    <t>Treliça.Fink</t>
  </si>
  <si>
    <t>Treliças.Planas</t>
  </si>
  <si>
    <t>Treliça de banzos inclinados com diagonais em W ou M.</t>
  </si>
  <si>
    <t>Treliça de maior altura e sem diagonais. Formada por retânculos ou quadrados rígidos.</t>
  </si>
  <si>
    <t>Treliça plana de banzos inclinados para telhados residenciais.</t>
  </si>
  <si>
    <t>Barra.Hexagonal</t>
  </si>
  <si>
    <t>Barra.Redonda</t>
  </si>
  <si>
    <t>Perfil laminado a quente de aço aquecido e moldado por rolos industriais em formato I de abas paralelas com comprimentos de 6 a 12 m.</t>
  </si>
  <si>
    <t>Perfil laminado a quente de aço aquecido e moldado por rolos industriais em formato HP de abas paralelas com comprimentos de 6 a 12 m.</t>
  </si>
  <si>
    <t>Perfil laminado a quente de aço aquecido e moldado por rolos industriais em formato W de abas paralelas com comprimentos de 6 a 12 m.</t>
  </si>
  <si>
    <t>Treliça plana de banzos paralelos para pontes.</t>
  </si>
  <si>
    <t>Placa de emenda para unir peças metálicas</t>
  </si>
  <si>
    <t>Barra.Chata</t>
  </si>
  <si>
    <t>Barra chata</t>
  </si>
  <si>
    <t>Barras.Laminadas</t>
  </si>
  <si>
    <t>Barra.Quadrada</t>
  </si>
  <si>
    <t>Barras.Trefiladas</t>
  </si>
  <si>
    <t>Barra.Trefilada.Quadrada</t>
  </si>
  <si>
    <t>Barra.Trefilada.Redonda</t>
  </si>
  <si>
    <t>Barra.Trefilada.Hexagonal</t>
  </si>
  <si>
    <t>Barra redonda trefilada</t>
  </si>
  <si>
    <t>Barra quadrada trefilada</t>
  </si>
  <si>
    <t>Perfis.T</t>
  </si>
  <si>
    <t>Perfis.U</t>
  </si>
  <si>
    <t>Ancoragem.Extremo.Fixo</t>
  </si>
  <si>
    <t>Ancoragem.Extremo.Tensionado</t>
  </si>
  <si>
    <t>Estrutura</t>
  </si>
  <si>
    <t>Mastro.Estrutural</t>
  </si>
  <si>
    <t>Membrana.Estrutural</t>
  </si>
  <si>
    <t>Conector.Estrutural</t>
  </si>
  <si>
    <t>Ancora.Estrutural</t>
  </si>
  <si>
    <t>Treliça.Espacial.Reticulada</t>
  </si>
  <si>
    <t>Treliça.Espacial.Geodésica</t>
  </si>
  <si>
    <t>Treliça.Espacial.Piramidal</t>
  </si>
  <si>
    <t>Treliça espacial formada por duas ou mais camadas de barras iguais dispostas em malha quadrada ou retangular.</t>
  </si>
  <si>
    <t>Treliça.Espacial.Octaédrica</t>
  </si>
  <si>
    <t>Treliça de módulos espaciais de formação mista de barras iguais.</t>
  </si>
  <si>
    <t>Treliça espacial formada por módulos espaciais de octaedros de barras iguais.</t>
  </si>
  <si>
    <t>Treliça espacial formada por módulos espaciais piramidais de barras iguais.</t>
  </si>
  <si>
    <t>Treliça espacial formada como uma cúpula geodésica de triânculos equiláteros ou quase equiláteros.</t>
  </si>
  <si>
    <t>Treliças.Espaciais</t>
  </si>
  <si>
    <t>Treliça.Espacial.Arqueada</t>
  </si>
  <si>
    <t>Treliça espacial formada como uma abóbada ou curvaturas de triânculos equiláteros ou quase equiláteros.</t>
  </si>
  <si>
    <t>Treliça.Espacial.Híbrida</t>
  </si>
  <si>
    <t>Perfil metálico soldado para columna y viga (CVS). Son perfiles metálicos estructurales formados por la unión de placas de acero conectadas con soldadura.</t>
  </si>
  <si>
    <t>Perfil metálico soldado para columna (CS). Son perfiles metálicos estructurales formados por la unión de placas de acero conectadas con soldadura.</t>
  </si>
  <si>
    <t>Perfil metálico soldado para vigas (VS). Son perfiles metálicos estructurales formados por la unión de placas de acero conectadas con soldadura.</t>
  </si>
  <si>
    <t>Perfil laminado en caliente fabricado en acero calentado y conformado por rodillos industriales en forma de I con láminas paralelas con longitudes de 6 a 12 m.</t>
  </si>
  <si>
    <t>Perfil laminado en caliente fabricado en acero calentado y conformado por rodillos industriales en formato HP con láminas paralelas con longitudes de 6 a 12 m.</t>
  </si>
  <si>
    <t>Perfil laminado en caliente fabricado en acero calentado y conformado por rodillos industriales en forma de W con láminas paralelas con longitudes de 6 a 12 m.</t>
  </si>
  <si>
    <t>Placa base</t>
  </si>
  <si>
    <t>Placa de interfaz acero-hormigón</t>
  </si>
  <si>
    <t>Placa de empalme para unir piezas metálicas</t>
  </si>
  <si>
    <t>Placa para cierre</t>
  </si>
  <si>
    <t>Barra plana</t>
  </si>
  <si>
    <t>Cercha de bridas paralelas con diagonales inclinadas hacia abajo hacia el centro.</t>
  </si>
  <si>
    <t>Cercha de bridas paralelas con diagonales inclinadas hacia arriba hacia el centro.</t>
  </si>
  <si>
    <t>Entramado de bridas paralelas con diagonales formando triángulos equiláteros o isósceles.</t>
  </si>
  <si>
    <t>Cercha con bridas inclinadas con diagonales W o M.</t>
  </si>
  <si>
    <t>Cercha con mayor altura y sin diagonales. Formado por rectáculos rígidos o cuadrados.</t>
  </si>
  <si>
    <t>Cercha plana de bridas inclinadas para techos residenciales.</t>
  </si>
  <si>
    <t>Cercha plana con bridas paralelas para puentes.</t>
  </si>
  <si>
    <t>Cercha espacial formada por dos o más capas de barras iguales dispuestas en una malla cuadrada o rectangular.</t>
  </si>
  <si>
    <t>Cercha espacial formada como una cúpula geodésica de triángulos equiláteros o casi equiláteros.</t>
  </si>
  <si>
    <t>Cercha espacial formada como bóveda o curvaturas de tricculles equiláteros o casi equiláteros.</t>
  </si>
  <si>
    <t>Cercha espacial formada por módulos espaciales piramidales de barras iguales.</t>
  </si>
  <si>
    <t>Cercha espacial formada por módulos espaciales de octaedros de barras iguales.</t>
  </si>
  <si>
    <t>Armadura de módulos espaciales de formación mixta de barras iguales.</t>
  </si>
  <si>
    <t>Elemento de anclaje</t>
  </si>
  <si>
    <t>Elemento conector</t>
  </si>
  <si>
    <t>Membrana de cierre</t>
  </si>
  <si>
    <t>Perno de anclaje ubicado en la región interior de la placa base</t>
  </si>
  <si>
    <t>Perno de anclaje ubicado en la región exterior de la placa base</t>
  </si>
  <si>
    <t>Perno estructural estándar DIN</t>
  </si>
  <si>
    <t>Perno estructural de rosca de servicio pesado ASTM</t>
  </si>
  <si>
    <t>Tornillo para paneles de yeso</t>
  </si>
  <si>
    <t>Tornillo de perforación</t>
  </si>
  <si>
    <t>Tornillo autorroscante</t>
  </si>
  <si>
    <t>Perfil laminado en caliente de acero calentado y conformado por rodillos industriales en forma de T.</t>
  </si>
  <si>
    <t>Perfil de acero laminado en caliente calentado y moldeado por rodillos industriales en forma de U.</t>
  </si>
  <si>
    <t>Perfil de acero laminado en caliente calentado y moldeado por rodillos industriales en forma de U endurecida.</t>
  </si>
  <si>
    <t>Perfil laminado en caliente de acero calentado y conformado por rodillos industriales en forma de L con láminas iguales.</t>
  </si>
  <si>
    <t>Perfil laminado en caliente de acero calentado y conformado por rodillos industriales en forma de L con láminas irregulares.</t>
  </si>
  <si>
    <t>Perfil laminado a quente de aço aquecido e moldado por rolos industriais em formato T.</t>
  </si>
  <si>
    <t>Perfil laminado a quente de aço aquecido e moldado  por rolos industriais em formato U.</t>
  </si>
  <si>
    <t>Perfil laminado a quente de aço aquecido e  moldado  por rolos industriais em formato U enrijecido.</t>
  </si>
  <si>
    <t>Perfil laminado a quente de aço aquecido e  moldado  por rolos industriais em formato L de abas iguais.</t>
  </si>
  <si>
    <t>Perfil laminado a quente de aço aquecido e  moldado  por rolos industriais em formato L de abas desiguais.</t>
  </si>
  <si>
    <t>Barra laminada redonda</t>
  </si>
  <si>
    <t>Barra laminada hexagonal</t>
  </si>
  <si>
    <t>Barra laminada quadrada</t>
  </si>
  <si>
    <t>Barra laminada cuadrada</t>
  </si>
  <si>
    <t>Barra trefilada redonda</t>
  </si>
  <si>
    <t>Barra trefilada hexagonal</t>
  </si>
  <si>
    <t>Barra trefilada cuadrada</t>
  </si>
  <si>
    <t>Emplacados</t>
  </si>
  <si>
    <t>Placa.de.Cumeeira</t>
  </si>
  <si>
    <t>Placa para conectar a coluna e a viga do pórtico de um galpão metálico.</t>
  </si>
  <si>
    <t>Placa para conectar as vigas do pórtico de um galpão metálico.</t>
  </si>
  <si>
    <t>Placa para conectar la columna y la viga del pórtico de un cobertizo metálico.</t>
  </si>
  <si>
    <t>Placa para conectar las vigas de pórtico de un cobertizo metálico.</t>
  </si>
  <si>
    <t>Placa.de.Mísula</t>
  </si>
  <si>
    <t>Galpões</t>
  </si>
  <si>
    <t>Barra.Contraventamento</t>
  </si>
  <si>
    <t>Barra.Comprimida</t>
  </si>
  <si>
    <t>Barra.Tracionada</t>
  </si>
  <si>
    <t>Barra comprimida de um contraventamento.</t>
  </si>
  <si>
    <t>Barra tracionada de um contraventamento.</t>
  </si>
  <si>
    <t>Barra de um contraventamento.</t>
  </si>
  <si>
    <t>Barra de um arriostramiento.</t>
  </si>
  <si>
    <t>Barra comprimida de um arriostramiento.</t>
  </si>
  <si>
    <t>Barra tracionada de um arriostramiento.</t>
  </si>
  <si>
    <t>Barras.Montantes</t>
  </si>
  <si>
    <t>Barras.Diagonais</t>
  </si>
  <si>
    <t>Barra.Diagonal</t>
  </si>
  <si>
    <t>Barra.Montante</t>
  </si>
  <si>
    <t>Banzos</t>
  </si>
  <si>
    <t>Banzo.Superior</t>
  </si>
  <si>
    <t>Banzo.Inferior</t>
  </si>
  <si>
    <t>Banzo superior de uma treliça.</t>
  </si>
  <si>
    <t>Banzo inferior de uma treliça.</t>
  </si>
  <si>
    <t>Barra diagonal uma estrutura.</t>
  </si>
  <si>
    <t>Barra montante uma estrutura.</t>
  </si>
  <si>
    <t>Barra montante de una cercha.</t>
  </si>
  <si>
    <t>Barra diagonal de una estructura.</t>
  </si>
  <si>
    <t>Banzo superior de na estructura.</t>
  </si>
  <si>
    <t>Banzo inferior de una estructura.</t>
  </si>
  <si>
    <t>ContraVentamento.Horizontal.X</t>
  </si>
  <si>
    <t>ContraVentamento.Vertical</t>
  </si>
  <si>
    <t>ContraVentamento.Vertical.X</t>
  </si>
  <si>
    <t>ContraVentamento.Vertical.K</t>
  </si>
  <si>
    <t>ContraVentamento.Vertical.V</t>
  </si>
  <si>
    <t>Barras.Contraventamentos</t>
  </si>
  <si>
    <t>ContraVentamentos</t>
  </si>
  <si>
    <t>ContraVentamentos.Horizontais</t>
  </si>
  <si>
    <t>ContraVentamentos.Verticais</t>
  </si>
  <si>
    <t>ContraVentamento.Vertical.VI</t>
  </si>
  <si>
    <t>é.membro.de some ContraVentamentos</t>
  </si>
  <si>
    <t>é.membro.de some Treliçados</t>
  </si>
  <si>
    <t>é.montante.de some Treliçados</t>
  </si>
  <si>
    <t>é.diagonal.de some Treliçados</t>
  </si>
  <si>
    <t>é.banzo.superior.de some Treliçados</t>
  </si>
  <si>
    <t>é.banzo.inferior.de some Treliçados</t>
  </si>
  <si>
    <t>ContraVentamentos.Cabos</t>
  </si>
  <si>
    <t>ContraVentamento.Cabo</t>
  </si>
  <si>
    <t>ContraVentamento.Horizontal.K</t>
  </si>
  <si>
    <t>ContraVentamento.Horizontal.V</t>
  </si>
  <si>
    <t>ContraVentamento.Horizontal.VI</t>
  </si>
  <si>
    <t>Arriostramiento con cable tensado. El refuerzo aumenta la rigidez general de la estructura metálica y ayuda a reducir el peso y la eficiencia de las piezas.</t>
  </si>
  <si>
    <t xml:space="preserve"> Contraventamento com cabo tensionado. Contraventamentos aumentam a rigidez global da estrutura metálica e ajudam a reduzir o peso e a eficiência das peças.</t>
  </si>
  <si>
    <t>Arriostramiento diagonal horizontal. El refuerzo aumenta la rigidez general de la estructura metálica y ayuda a reducir el peso y la eficiencia de las piezas.</t>
  </si>
  <si>
    <t>Arriostramiento diagonal vertical. El refuerzo aumenta la rigidez general de la estructura metálica y ayuda a reducir el peso y la eficiencia de las piezas.</t>
  </si>
  <si>
    <t>ContraVentamento.Horizontal.Diagonal</t>
  </si>
  <si>
    <t>ContraVentamento.Horizontal.Delta</t>
  </si>
  <si>
    <t>ContraVentamento.Vertical.Delta</t>
  </si>
  <si>
    <t>Contraventamento Delta horizontal. Contraventamentos aumentam a rigidez global da estrutura metálica e ajudam a reduzir o peso e a eficiência das peças.</t>
  </si>
  <si>
    <t>Contraventamento V invertido horizontal. Contraventamentos aumentam a rigidez global da estrutura metálica e ajudam a reduzir o peso e a eficiência das peças.</t>
  </si>
  <si>
    <t>Contraventamento V horizontal. Contraventamentos aumentam a rigidez global da estrutura metálica e ajudam a reduzir o peso e a eficiência das peças.</t>
  </si>
  <si>
    <t>Contraventamento K horizontal. Contraventamentos aumentam a rigidez global da estrutura metálica e ajudam a reduzir o peso e a eficiência das peças.</t>
  </si>
  <si>
    <t>Contraventamento Diagonal horizontal. Contraventamentos aumentam a rigidez global da estrutura metálica e ajudam a reduzir o peso e a eficiência das peças.</t>
  </si>
  <si>
    <t>Contraventamento Cruzado horizontal. Contraventamentos aumentam a rigidez global da estrutura metálica e ajudam a reduzir o peso e a eficiência das peças.</t>
  </si>
  <si>
    <t>Contraventamento Diagonal vertical. Contraventamentos aumentam a rigidez global da estrutura metálica e ajudam a reduzir o peso e a eficiência das peças.</t>
  </si>
  <si>
    <t>Contraventamento Cruzado vertical. Contraventamentos aumentam a rigidez global da estrutura metálica e ajudam a reduzir o peso e a eficiência das peças.</t>
  </si>
  <si>
    <t>Contraventamento K vertical. Contraventamentos aumentam a rigidez global da estrutura metálica e ajudam a reduzir o peso e a eficiência das peças.</t>
  </si>
  <si>
    <t>Contraventamento V vertical. Contraventamentos aumentam a rigidez global da estrutura metálica e ajudam a reduzir o peso e a eficiência das peças.</t>
  </si>
  <si>
    <t>Contraventamento V invertido vertical. Contraventamentos aumentam a rigidez global da estrutura metálica e ajudam a reduzir o peso e a eficiência das peças.</t>
  </si>
  <si>
    <t>Arriostramiento horizontal K. El refuerzo aumenta la rigidez general de la estructura metálica y ayuda a reducir el peso y la eficiencia de las piezas.</t>
  </si>
  <si>
    <t>Arriostramiento horizontal en V. El refuerzo aumenta la rigidez general de la estructura metálica y ayuda a reducir el peso y la eficiencia de las piezas.</t>
  </si>
  <si>
    <t>Arriostramiento horizontal en V invertido. El refuerzo aumenta la rigidez general de la estructura metálica y ayuda a reducir el peso y la eficiencia de las piezas.</t>
  </si>
  <si>
    <t>Arriostramiento Delta horizontal. El refuerzo aumenta la rigidez general de la estructura metálica y ayuda a reducir el peso y la eficiencia de las piezas.</t>
  </si>
  <si>
    <t>Arriostramiento vertical K. El refuerzo aumenta la rigidez general de la estructura metálica y ayuda a reducir el peso y la eficiencia de las piezas.</t>
  </si>
  <si>
    <t>Arriostramiento vertical en V. El refuerzo aumenta la rigidez general de la estructura metálica y ayuda a reducir el peso y la eficiencia de las piezas.</t>
  </si>
  <si>
    <t>Arriostramiento vertical en V invertido. El refuerzo aumenta la rigidez general de la estructura metálica y ayuda a reducir el peso y la eficiencia de las piezas.</t>
  </si>
  <si>
    <t>Arriostramiento transversal X horizontal. El refuerzo aumenta la rigidez general de la estructura metálica y ayuda a reducir el peso y la eficiencia de las piezas.</t>
  </si>
  <si>
    <t>Arriostramiento transversal X vertical. El refuerzo aumenta la rigidez general de la estructura metálica y ayuda a reducir el peso y la eficiencia de las piezas.</t>
  </si>
  <si>
    <t>Perfis.Z</t>
  </si>
  <si>
    <t>Perfil.Z</t>
  </si>
  <si>
    <t>Perfil laminado a quente de aço aquecido e  moldado  por rolos industriais em formato Z.</t>
  </si>
  <si>
    <t>Perfil de acero laminado en caliente calentado y moldeado por rodillos industriales en forma de Z.</t>
  </si>
  <si>
    <t>Perfil.UE</t>
  </si>
  <si>
    <t>Terças</t>
  </si>
  <si>
    <t>Terça.Fachada</t>
  </si>
  <si>
    <t>Terça.Cobertura</t>
  </si>
  <si>
    <t>Terças para cobertura de estrutura metálica colocadas a 1,50 m para suportar o telhado.</t>
  </si>
  <si>
    <t>Terças para suporte de elementos de fachada colocadas a 1,50 m para suportar paineis verticais.</t>
  </si>
  <si>
    <t>Terça.Cartola</t>
  </si>
  <si>
    <t>Perfis.S</t>
  </si>
  <si>
    <t>Perfis.L</t>
  </si>
  <si>
    <t>Cantoneira.Abas.Desiguais</t>
  </si>
  <si>
    <t>Perfil.Sigma</t>
  </si>
  <si>
    <t>Cantoneira</t>
  </si>
  <si>
    <t>Perfil laminado a quente de aço aquecido e moldado por rolos industriais em formato S (Sigma).</t>
  </si>
  <si>
    <t>Perfil laminado en caliente de acero calentado y conformado por rodillos industriales en forma de S (Sigma).</t>
  </si>
  <si>
    <t>Estrutura.Fechamento</t>
  </si>
  <si>
    <t>Telhas.Perfiladas</t>
  </si>
  <si>
    <t>Telha.Ondulada</t>
  </si>
  <si>
    <t>Sistemas.Perfilados</t>
  </si>
  <si>
    <t>Telha.Zipada</t>
  </si>
  <si>
    <t>Frechal de alinhamento de terças.</t>
  </si>
  <si>
    <t>Correas para cubiertas de estructura metálica colocadas a 1,50 m para soportar la cubierta.</t>
  </si>
  <si>
    <t>Correas para soportar elementos de fachada colocados a 1,50 m para soportar paneles verticales.</t>
  </si>
  <si>
    <t>Alineación de las correas.</t>
  </si>
  <si>
    <t>Perfis.LSTUZ</t>
  </si>
  <si>
    <t>Conexão.Estrutural</t>
  </si>
  <si>
    <t>Perfis.Tubulares</t>
  </si>
  <si>
    <t>Perfil tubular de seção circular.</t>
  </si>
  <si>
    <t>Perfil tubular de seção quadrada.</t>
  </si>
  <si>
    <t>Perfil tubular de sección cuadrada.</t>
  </si>
  <si>
    <t>Perfil tubular de sección circular.</t>
  </si>
  <si>
    <t>Perfil tubular de sección rectangular.</t>
  </si>
  <si>
    <t>Perfil tubular de seção retangular.</t>
  </si>
  <si>
    <t>Seção.Quadrada</t>
  </si>
  <si>
    <t>Seção.Retangular</t>
  </si>
  <si>
    <t>Seção.Circular</t>
  </si>
  <si>
    <t>é.membro.de some Terças</t>
  </si>
  <si>
    <t>Frechal.Alinhamento</t>
  </si>
  <si>
    <t>Terças.de.Suporte</t>
  </si>
  <si>
    <t>Frechais</t>
  </si>
  <si>
    <t>Painel Térmico com núcleo EPS atende demandas de isolamento térmico em ambientes que exigem controle de temperatura rigoroso, como frigoríficos e câmaras frias.</t>
  </si>
  <si>
    <t>Sistema de telha zipada sanduíche é aplicado em coberturas com baixa inclinação e grandes áreas, oferecendo isolamento térmico e estanqueidade sem a necessidade de furações.</t>
  </si>
  <si>
    <t>Sistemas.Sanduíches</t>
  </si>
  <si>
    <t>Paineis.Sanduíches</t>
  </si>
  <si>
    <t>Telhas.Sanduíches</t>
  </si>
  <si>
    <t>Painel.Sanduíche.Térmico</t>
  </si>
  <si>
    <t>Telha.Sanduíche.Zipada</t>
  </si>
  <si>
    <t>Sistema de telha sanduíche zipada é aplicado em coberturas com baixa inclinação e grandes áreas, oferecendo isolamento térmico e estanqueidade sem a necessidade de furações.</t>
  </si>
  <si>
    <t>Telha.Trapezoidal</t>
  </si>
  <si>
    <t>Telha.Sanduíche.Trapezoidal</t>
  </si>
  <si>
    <t>Telha sanduíche trapezoidal isotérmica oferece conforto térmico e economia de energia. Com três trapézios tem grande resistência mecânica, ideal para coberturas que demandam maior espaçamento entre terças ajundando a reduzir a estrutura de sustentação.</t>
  </si>
  <si>
    <t>Telha Ondulada composta por camadas de aço Galvalume e núcleo de PIR, com excelente isolamento térmico e resistência a intempéries, para projetos residenciais e comerciais.</t>
  </si>
  <si>
    <t>Telha.Sanduíche.Ondulada</t>
  </si>
  <si>
    <t>Telha Trapezoidal</t>
  </si>
  <si>
    <t>Telha.Sanduíche.Solar</t>
  </si>
  <si>
    <t>Telha sanduíche trapezoidal isotérmica oferece conforto térmico e economia de energia. Com trapézios de formato adaptado para colocação de paineis solares integrados à cobertura.</t>
  </si>
  <si>
    <t>Painel.Sanduíche.Fachada</t>
  </si>
  <si>
    <t>Painel Sandwich para fachadas de núcleos em PIR AP revestidos por chapas de aço pré-pintad. Proporcionam acabamento arquitetônico com sistema de encaixe oculto. Fabricados com injeção de espuma em alta pressão garantem uniformidade de isolamento.</t>
  </si>
  <si>
    <t>Placa.Gusset</t>
  </si>
  <si>
    <t>Chapas</t>
  </si>
  <si>
    <t>SteelDecks</t>
  </si>
  <si>
    <t>SteelDeck.Trapezoidal</t>
  </si>
  <si>
    <t>Sistema SteelDeck para laje de alta resistência, composto por uma chapa de aço perfilada trapezoidal como fôrma para concretagem. Aço ZAR 280. Espessuras de 0,8 mm, 0,95 e 1,25 mm. Comprimento 12 m, Largura de cobertura 0,85 m.</t>
  </si>
  <si>
    <t>Sistema SteelDeck para losa de alta resistencia, compuesto por una chapa de acero perfilada trapezoidal a modo de encofrado de hormigón. Acero ZAR 280. Espesores de 0,8 mm, 0,95 y 1,25 mm. Longitud 12 m, Ancho de cubierta 0,85 m.</t>
  </si>
  <si>
    <t>Placa Gusset é usada para conectar barras diagonais, montantes e banzos em nós de treliças metálicas.</t>
  </si>
  <si>
    <t>Placa Gusset é usada para conectar barras diagonales, montantes y bridas en nudos de cerchas metálicas.</t>
  </si>
  <si>
    <t>Galpão metálico</t>
  </si>
  <si>
    <t>Galpão metálico de múltiples módulos.</t>
  </si>
  <si>
    <t xml:space="preserve">Galpão metálico com anexo adjacente. </t>
  </si>
  <si>
    <t>Ancoragem de Estai</t>
  </si>
  <si>
    <t>Ancoragem Acoplador</t>
  </si>
  <si>
    <t>Ancoragem Extremo Fixo</t>
  </si>
  <si>
    <t>Ancoragem Extremo Tensionado</t>
  </si>
  <si>
    <t>Tensor Barra</t>
  </si>
  <si>
    <t>Tensor Revestido</t>
  </si>
  <si>
    <t>Tensor Bainha</t>
  </si>
  <si>
    <t>Tensor Bainha Acoplador</t>
  </si>
  <si>
    <t>Tensor Bainha Diabolo</t>
  </si>
  <si>
    <t>Tensor Bainha Cabo</t>
  </si>
  <si>
    <t>Tensor Injetor</t>
  </si>
  <si>
    <t>Tensor Trombeta</t>
  </si>
  <si>
    <t>Tensor Corda</t>
  </si>
  <si>
    <t>Tensor Fio</t>
  </si>
  <si>
    <t>Mastro Estrutural</t>
  </si>
  <si>
    <t>Cobertizo de metal</t>
  </si>
  <si>
    <t>Cobertizo metálico de múltiples módulos.</t>
  </si>
  <si>
    <t>Cobertizo de metal con anexo adyacente.</t>
  </si>
  <si>
    <t>Acoplador de anclaje</t>
  </si>
  <si>
    <t>Anclaje extremo fijo</t>
  </si>
  <si>
    <t>Anclaje tensado extremo</t>
  </si>
  <si>
    <t>Barra tensora</t>
  </si>
  <si>
    <t>Tensor recubierto</t>
  </si>
  <si>
    <t>Funda del tensor</t>
  </si>
  <si>
    <t>Acoplador de vaina tensora</t>
  </si>
  <si>
    <t>Tensor de funda Diabolo</t>
  </si>
  <si>
    <t>Cable de funda tensor</t>
  </si>
  <si>
    <t>Tensor del inyector</t>
  </si>
  <si>
    <t>Tensor de trompeta</t>
  </si>
  <si>
    <t>Tensor de cuerda</t>
  </si>
  <si>
    <t>Tensor de alambre</t>
  </si>
  <si>
    <t>Mástil estructural</t>
  </si>
  <si>
    <t>Panel sándwich para fachadas con núcleos PIR AP recubiertos de chapas de acero prepintadas. Proporcionan un acabado arquitectónico con un sistema de herrajes oculto. Fabricados con inyección de espuma a alta presión, garantizan la uniformidad del aislamiento.</t>
  </si>
  <si>
    <t>El panel térmico con núcleo de EPS cumple con las demandas de aislamiento térmico en entornos que requieren un estricto control de temperatura, como refrigeradores y cámaras frigoríficas.</t>
  </si>
  <si>
    <t>El sistema de teja sándwich con cremallera se aplica a cubiertas con baja pendiente y grandes superficies, ofreciendo aislamiento térmico y estanqueidad sin necesidad de perforación.</t>
  </si>
  <si>
    <t>Lámina Corrugada para Techos compuesta por capas de acero Galvalume y núcleo PIR, con excelente aislamiento térmico y resistencia a la intemperie, para proyectos residenciales y comerciales.</t>
  </si>
  <si>
    <t>La baldosa sándwich trapezoidal isotérmica ofrece confort térmico y ahorro energético. Con tres trapecios, tiene una gran resistencia mecánica, ideal para cubiertas que requieren un mayor espacio entre correas, ayudando a reducir la estructura de soporte.</t>
  </si>
  <si>
    <t>La baldosa sándwich trapezoidal isotérmica ofrece confort térmico y ahorro energético. Con trapecios de forma adaptada para la colocación de paneles solares integrados en el techo.</t>
  </si>
  <si>
    <t>Teja trapezoidal</t>
  </si>
  <si>
    <t>Cabo de sustentación o suspensión.</t>
  </si>
  <si>
    <t>Anclaje del cabo de sustentación o suspensión.</t>
  </si>
  <si>
    <t>Pórtico.Galpão</t>
  </si>
  <si>
    <t>Pórtico.Galpão.e.Anexo</t>
  </si>
  <si>
    <t>Pórtico.Galpão.Vãos.Múltiplos</t>
  </si>
  <si>
    <t>Tirantes</t>
  </si>
  <si>
    <t>Tirante.Beiral</t>
  </si>
  <si>
    <t>Tirante.Terça</t>
  </si>
  <si>
    <t>Tirante.Cumeeira</t>
  </si>
  <si>
    <t>Conexão metálica na junção entre a viga inclinada (rafter) e a coluna vertical no ponto onde o telhado encontra a parede latera.</t>
  </si>
  <si>
    <t>Conexão metálica na junção entre a viga inclinada (rafter) e a terça.</t>
  </si>
  <si>
    <t>Conexão metálica na junção entre as vigas inclinadas do pórtico.</t>
  </si>
  <si>
    <t>Conexión metálica en la unión entre las vigas inclinadas del pórtico.</t>
  </si>
  <si>
    <t>Conexión metálica en la unión entre la viga inclinada y la columna vertical en el punto donde el techo se encuentra con la pared lateral.</t>
  </si>
  <si>
    <t>Conexión metálica en la unión entre la viga inclinada y la correa.</t>
  </si>
  <si>
    <t>Ancoras</t>
  </si>
  <si>
    <t>Armaduras</t>
  </si>
  <si>
    <t>Vergalhão</t>
  </si>
  <si>
    <t>Vergalhão.Nervurado</t>
  </si>
  <si>
    <t>Vergalhão.Liso</t>
  </si>
  <si>
    <t>Vergalhões</t>
  </si>
  <si>
    <t>Vergalhão.GG70</t>
  </si>
  <si>
    <t>Estribos</t>
  </si>
  <si>
    <t>Vergalhão produzido pela Gerdau. O GG 70 se destaca como uma solução de alta performance que redefine os padrões estruturais, oferecendo mais resistência, produtividade e racionalização de recursos. É produzido em Aço CA-70.</t>
  </si>
  <si>
    <t>Vergalhão para concreto armado.</t>
  </si>
  <si>
    <t>Vergalhão liso para concreto armado. Geralmente usado quando a aderência não é uma preocupação primordial, como em lajes e pisos. Pode ser em Aço CA-25.</t>
  </si>
  <si>
    <t>Vergalhão nervurado para concreto armado. Apresentam saliências ao longo de sua superfície, com aderência superior ao concreto. Usados em elementos estruturais sujeitos a cargas elevadas, como vigas e pilares. Podem ser produzidos em Aço CA-50, CA-60 e CA-70.</t>
  </si>
  <si>
    <t>Barras de refuerzo para hormigón armado.</t>
  </si>
  <si>
    <t>Barras de refuerzo lisas para hormigón armado. Generalmente se usa cuando la adhesión no es una preocupación principal, como en losas y pisos. Puede ser de acero CA-25.</t>
  </si>
  <si>
    <t>Barras de refuerzo nervadas para hormigón armado. Tienen protuberancias a lo largo de su superficie, con una adhesión superior al hormigón. Se utiliza en elementos estructurales sometidos a altas cargas, como vigas y pilares. Se pueden producir en acero CA-50, CA-60 y CA-70.</t>
  </si>
  <si>
    <t>Barras de refuerzo producidas por Gerdau. El GG 70 se destaca como una solución de alto rendimiento que redefine los estándares estructurales, ofreciendo más resistencia, productividad y racionalización de recursos. Está fabricado en acero CA-70.</t>
  </si>
  <si>
    <t>Estribo.Retangular</t>
  </si>
  <si>
    <t>Estribo.Circular</t>
  </si>
  <si>
    <t>Estribo.Diagonal</t>
  </si>
  <si>
    <t>Estribo.Helicoidal</t>
  </si>
  <si>
    <t>Estribo que aumenta a resistência contra esforços diagonais em vigas e pilares.</t>
  </si>
  <si>
    <t>Estribo para resistir esforços cortantes e manter vergalhões na posição. Garantem distribuição uniforme dos esforços.</t>
  </si>
  <si>
    <t>Estribo usado em fôrmas circulares e tubulões.</t>
  </si>
  <si>
    <t>Estribo utilizado em estruturas sujeitas a grandes esforços de torção.</t>
  </si>
  <si>
    <t>Estribo para resistir las fuerzas de corte y mantener las barras de refuerzo en su posición. Aseguran una distribución uniforme de los esfuerzos.</t>
  </si>
  <si>
    <t>Estribo utilizado en encofrados circulares y tuberías.</t>
  </si>
  <si>
    <t>Estribo que aumenta la resistencia a los esfuerzos diagonales en vigas y pilares.</t>
  </si>
  <si>
    <t>Estribo utilizado en estructuras sometidas a altos esfuerzos de torsión.</t>
  </si>
  <si>
    <t>Pino de cisalhamento para lajes Steel Deck</t>
  </si>
  <si>
    <t>Studs de anclaje para resistir fuerzas cortantes.</t>
  </si>
  <si>
    <t>Prontas</t>
  </si>
  <si>
    <t>Armadura.APS</t>
  </si>
  <si>
    <t>Armadura pronta soldada (APS). Entregue pronta no canteiro, de acordo com o projeto da obra. As peças são entregues identificadas e de acordo com o cronograma de execução da obra.</t>
  </si>
  <si>
    <t>Fôrma.Incorporada</t>
  </si>
  <si>
    <t>Fôrma incorporada é produzida com painéis de aço galvanizado de 0,5 mm de espessura com perfurações, entregues com espaçadores plásticos e grampos galvanizados para aplicação permanente que substitui à fôrma convencional temporária, eliminando a etapa de desfôrma.</t>
  </si>
  <si>
    <t>Fôrma.Incorporada.APS</t>
  </si>
  <si>
    <t>Fôrma incorporada montada com armadura pronta soldada (APS).</t>
  </si>
  <si>
    <t>Refuerzo listo soldado (APS). Entregado listo en el sitio, de acuerdo con el proyecto de la obra. Las piezas se entregan identificadas y de acuerdo al cronograma de ejecución de la obra.</t>
  </si>
  <si>
    <t>El encofrado empotrado se produce con paneles de acero galvanizado de 0,5 mm de espesor con perforaciones, entregados con espaciadores de plástico y abrazaderas galvanizadas para aplicación permanente que reemplaza el encofrado convencional temporal, eliminando el paso de encofrado.</t>
  </si>
  <si>
    <t>Encofrado empotrado montado con armadura soldada (APS).</t>
  </si>
  <si>
    <t>Tela.Soldada</t>
  </si>
  <si>
    <t>Produzida em aço CA-60 nervurado e aço GG-50. Tela Soldada Nervurada é fornecida em painéis e formada por fios ou barras soldadas em todos os pontos de cruzamento configurando a malha de controle de fissuramento e resistência mecânica.</t>
  </si>
  <si>
    <t>Fabricado en acero CA-60 acanalado y acero GG-50. La malla soldada acanalada se suministra en paneles y está formada por alambres o barras soldadas en todos los puntos de cruce, configurando la malla de control de agrietamiento y la resistencia mecánica.</t>
  </si>
  <si>
    <t>Tipos.Estruturais</t>
  </si>
  <si>
    <t>Corten-A</t>
  </si>
  <si>
    <t>SameAs</t>
  </si>
  <si>
    <t>"Liga de aço de alta resistência composto por carbono, cobre, crómo, níquel, fósforo, enxofre, manganês, silício e vanádio. É um aço que cria uma pátina de ferrugem estável e resiste à corrosão atmosférica"</t>
  </si>
  <si>
    <t>"Em aplicação arquitetônica não estrutural como revestimentos de fachada, por exemplo."</t>
  </si>
  <si>
    <t>usado.em</t>
  </si>
  <si>
    <t>limite.de.resistência</t>
  </si>
  <si>
    <t>"Liga de aço patinável resistente à intempérie produzida pela Gerdau. Cumpre índice de corrosión ASTM G101 (6.3.1) ≥ 6,0"</t>
  </si>
  <si>
    <t>"Usar elementos de ligação de alta resistência, como parafusos, porcas e arruelas que cumpram à composição química prescrita em ASTM A325, Tipo 3, Grau A ou equivalente."</t>
  </si>
  <si>
    <t>ABNT</t>
  </si>
  <si>
    <t>000 Translate Classe 5</t>
  </si>
  <si>
    <t>Prof. José Luis Menegotto DEG/POLI/UFRJ</t>
  </si>
  <si>
    <t>Explanation</t>
  </si>
  <si>
    <t>Idioma</t>
  </si>
  <si>
    <t>pt</t>
  </si>
  <si>
    <t>es</t>
  </si>
  <si>
    <t>en</t>
  </si>
  <si>
    <t>[ IfcMaterial ]</t>
  </si>
  <si>
    <t>[ OST_Rebar ]</t>
  </si>
  <si>
    <t>[ IfcReinforcingBar ]</t>
  </si>
  <si>
    <t>[ OST_StructuralColumns ]</t>
  </si>
  <si>
    <t>[ IfcColumn ]</t>
  </si>
  <si>
    <t>[ OST_StructuralFraming ]</t>
  </si>
  <si>
    <t>[ IfcBeam ]</t>
  </si>
  <si>
    <t>[ OST_StructConnectionPlates ]</t>
  </si>
  <si>
    <t>[ IfcMemberPLATE ]</t>
  </si>
  <si>
    <t>[ OST_StructuralStiffener ]</t>
  </si>
  <si>
    <t>[ IfcMemberSTIFFENING_RIB ]</t>
  </si>
  <si>
    <t>[ OST_Floors ]</t>
  </si>
  <si>
    <t>[ IfcSlab ]</t>
  </si>
  <si>
    <t>[ IfcMemberBRACE ]</t>
  </si>
  <si>
    <t>[ IfcMemberMULLION ]</t>
  </si>
  <si>
    <t>[ IfcMemberCHORD ]</t>
  </si>
  <si>
    <t>[ OST_HorizontalBracing ]</t>
  </si>
  <si>
    <t>[ OST_VerticalBracing ]</t>
  </si>
  <si>
    <t>[ OST_StructuralTendons ]</t>
  </si>
  <si>
    <t>[ OST_StructuralTruss ]</t>
  </si>
  <si>
    <t>[ IfcElementAssemblyTRUSS ]</t>
  </si>
  <si>
    <t>[ OST_StructConnectionAnchors ]</t>
  </si>
  <si>
    <t>[ IfcMechanicalFastenerBOLT ]</t>
  </si>
  <si>
    <t>[ IfcTendonAnchor ]</t>
  </si>
  <si>
    <t>[ IfcTendonAnchorCOUPLER ]</t>
  </si>
  <si>
    <t>[ IfcTendonAnchorFIXED_END ]</t>
  </si>
  <si>
    <t>[ IfcTendonAnchorTENSIONING_END ]</t>
  </si>
  <si>
    <t>[ IfcTendon ]</t>
  </si>
  <si>
    <t>[ IfcTendonBAR ]</t>
  </si>
  <si>
    <t>[ IfcTendonCOATED ]</t>
  </si>
  <si>
    <t>[ IfcTendonConduit ]</t>
  </si>
  <si>
    <t>[ IfcTendonConduitCOUPLER ]</t>
  </si>
  <si>
    <t>[ IfcTendonConduitDIABOLO ]</t>
  </si>
  <si>
    <t>[ IfcTendonConduitDUCT ]</t>
  </si>
  <si>
    <t>[ IfcTendonConduitGROUTING_DUCT ]</t>
  </si>
  <si>
    <t>[ IfcTendonConduitTRUMPET ]</t>
  </si>
  <si>
    <t>[ IfcTendonSTRAND ]</t>
  </si>
  <si>
    <t>[ IfcTendonWIRE ]</t>
  </si>
  <si>
    <t>[ OST_AreaRein ]</t>
  </si>
  <si>
    <t>[ IfcStructuralSurfaceMember ]</t>
  </si>
  <si>
    <t>[ OST_KickerBracing ]</t>
  </si>
  <si>
    <t>[ IfcWall ]</t>
  </si>
  <si>
    <t>[ OST_Roofs ]</t>
  </si>
  <si>
    <t>[ IfcRoof ]</t>
  </si>
  <si>
    <t>[ OST_StructConnectionBolts ]</t>
  </si>
  <si>
    <t>[ IfcMechanicalFastenerANCHORBOLT ]</t>
  </si>
  <si>
    <t>[ OST_StructConnectionShearStuds ]</t>
  </si>
  <si>
    <t>massa.linear</t>
  </si>
  <si>
    <t>quem.fabricou</t>
  </si>
  <si>
    <t>código.abnt</t>
  </si>
  <si>
    <t>"[ 3E ]"</t>
  </si>
  <si>
    <t>"[ 0M.20.20.01.01 ]"</t>
  </si>
  <si>
    <t>"[ 0M.20.20.03 ]"</t>
  </si>
  <si>
    <t>https://brasil.un.org/pt-br/sdgs</t>
  </si>
  <si>
    <t>https://eaesp.fgv.br/centros/centro-estudos-sustentabilidade/projetos/programa-brasileiro-ghg-protocol</t>
  </si>
  <si>
    <t>https://www.gov.br/fazenda/pt-br/acesso-a-informacao/acoes-e-programas/transformacao-ecologica/transformacao-ecologica</t>
  </si>
  <si>
    <t>Conceitos</t>
  </si>
  <si>
    <t>"[ OST_Material ]"</t>
  </si>
  <si>
    <t>"[ OST_StructuralColumns ]"</t>
  </si>
  <si>
    <t>"[ OST_StructuralFraming ]"</t>
  </si>
  <si>
    <t>"[ OST_StructConnectionBolts ]"</t>
  </si>
  <si>
    <t>"[ IfcMaterial ]"</t>
  </si>
  <si>
    <t>"[ IfcColumn ]"</t>
  </si>
  <si>
    <t>"[ IfcBeam ]"</t>
  </si>
  <si>
    <t>"[ IfcStructuralConnection ]"</t>
  </si>
  <si>
    <t>Rebar for reinforced concrete.</t>
  </si>
  <si>
    <t>Smooth rebar for reinforced concrete. Generally used when adhesion is not a primary concern, such as on slabs and floors. Can be in CA-25 Steel.</t>
  </si>
  <si>
    <t>Ribbed rebar for reinforced concrete. They have protrusions along their surface, with superior adhesion to concrete. Used in structural elements subject to high loads, such as beams and columns. They can be produced in CA-50, CA-60 and CA-70 Steel.</t>
  </si>
  <si>
    <t>Rebar produced by Gerdau. The GG 70 stands out as a high-performance solution that redefines structural standards, offering more strength, productivity and resource rationalization. It is made of CA-70 Steel.</t>
  </si>
  <si>
    <t>Stirrup to resist cutting forces and keep rebar in position. They ensure even distribution of efforts.</t>
  </si>
  <si>
    <t>Stirrup used in circular formwork and pipes.</t>
  </si>
  <si>
    <t>Stirrup that increases resistance against diagonal forces in beams and columns.</t>
  </si>
  <si>
    <t>Stirrup used in structures subject to high torsional stress.</t>
  </si>
  <si>
    <t>Made of ribbed CA-60 steel and GG-50 steel. Ribbed Welded Mesh is supplied in panels and formed by welded wires or bars at all crossing points configuring the cracking control mesh and mechanical resistance.</t>
  </si>
  <si>
    <t>Welded ready reinforcement (APS). Delivered ready at the site, according to the project of the work. The pieces are delivered identified and according to the schedule of execution of the work.</t>
  </si>
  <si>
    <t>Built-in formwork is produced with 0.5 mm thick galvanized steel panels with perforations, delivered with plastic spacers and galvanized clamps for permanent application that replaces the temporary conventional formwork, eliminating the formwork step.</t>
  </si>
  <si>
    <t>Built-in formwork mounted with welded ready reinforcement (APS).</t>
  </si>
  <si>
    <t>Welded metal profile for Column and Beam (CVS). They are structural metal profiles formed by joining steel plates connected with welding.</t>
  </si>
  <si>
    <t>Welded metal profile for Column (CS). They are structural metal profiles formed by joining steel plates connected with welding.</t>
  </si>
  <si>
    <t>Welded metal profile for Beams (VS). They are structural metal profiles formed by joining steel plates connected with welding.</t>
  </si>
  <si>
    <t>Hot-rolled profile made of heated steel and shaped by industrial rollers in I-shape with parallel flaps with lengths from 6 to 12 m.</t>
  </si>
  <si>
    <t>Hot-rolled profile made of heated steel and shaped by industrial rollers in HP format with parallel flaps with lengths from 6 to 12 m.</t>
  </si>
  <si>
    <t>Hot-rolled profile made of heated steel and shaped by W-shaped industrial rollers with parallel flaps with lengths from 6 to 12 m.</t>
  </si>
  <si>
    <t>Hot-rolled profile of heated steel and shaped by industrial rollers in L shape with equal flaps.</t>
  </si>
  <si>
    <t>Hot-rolled profile of heated steel and shaped by industrial rollers in L shape with uneven flaps.</t>
  </si>
  <si>
    <t>Hot-rolled profile of steel heated and shaped by industrial rollers in S-format (Sigma).</t>
  </si>
  <si>
    <t>Hot-rolled profile of heated steel and shaped by industrial T-shaped rollers.</t>
  </si>
  <si>
    <t>Hot-rolled profile of steel heated and molded by industrial U-shaped rollers.</t>
  </si>
  <si>
    <t>Hot-rolled profile of heated steel and shaped by hardened U-shaped industrial rollers.</t>
  </si>
  <si>
    <t>Hot-rolled profile of heated steel and shaped by industrial rollers in Z shape.</t>
  </si>
  <si>
    <t>Circular section tubular profile.</t>
  </si>
  <si>
    <t>Square section tubular profile.</t>
  </si>
  <si>
    <t>Tubular profile with rectangular section.</t>
  </si>
  <si>
    <t>Base Plate</t>
  </si>
  <si>
    <t>Steel-concrete interface plate</t>
  </si>
  <si>
    <t>Splice plate for joining metal parts</t>
  </si>
  <si>
    <t>Plate for closure</t>
  </si>
  <si>
    <t>Plate to connect the column and the girder of the gantry of a metal shed.</t>
  </si>
  <si>
    <t>Plate to connect the gantry beams of a metal shed.</t>
  </si>
  <si>
    <t>Gusset plate is used to connect diagonal bars, uprights and flanges in metal truss nodes.</t>
  </si>
  <si>
    <t>SteelDeck system for high-strength slab, consisting of a trapezoidal profiled steel sheet as a concrete formwork. ZAR 280 steel. Thicknesses of 0.8 mm, 0.95 and 1.25 mm. Length 12 m, Cover width 0.85 m.</t>
  </si>
  <si>
    <t>Round Rolled Bar</t>
  </si>
  <si>
    <t>Square Rolled Bar</t>
  </si>
  <si>
    <t>Hexagonal Rolled Bar</t>
  </si>
  <si>
    <t>Flat bar</t>
  </si>
  <si>
    <t>Drawn round bar</t>
  </si>
  <si>
    <t>Drawn square bar</t>
  </si>
  <si>
    <t>Bar of a bracing.</t>
  </si>
  <si>
    <t>Compressed bar of a bracing.</t>
  </si>
  <si>
    <t>Traction bar of a bracing.</t>
  </si>
  <si>
    <t>Slash upstream a structure.</t>
  </si>
  <si>
    <t>Diagonal bar a structure.</t>
  </si>
  <si>
    <t>Top sting of a truss.</t>
  </si>
  <si>
    <t>Lower flange of a truss.</t>
  </si>
  <si>
    <t>Horizontal Diagonal Bracing. Bracing increases the overall rigidity of the metal structure and helps reduce the weight and efficiency of the parts.</t>
  </si>
  <si>
    <t>Horizontal Cross Bracing. Bracing increases the overall rigidity of the metal structure and helps reduce the weight and efficiency of the parts.</t>
  </si>
  <si>
    <t>Horizontal bracing K. Bracing increases the overall rigidity of the metal structure and helps reduce the weight and efficiency of the parts.</t>
  </si>
  <si>
    <t>Horizontal V bracing. Bracing increases the overall rigidity of the metal structure and helps reduce the weight and efficiency of the parts.</t>
  </si>
  <si>
    <t>Horizontal inverted V bracing. Bracing increases the overall rigidity of the metal structure and helps reduce the weight and efficiency of the parts.</t>
  </si>
  <si>
    <t>Horizontal Delta bracing. Bracing increases the overall rigidity of the metal structure and helps reduce the weight and efficiency of the parts.</t>
  </si>
  <si>
    <t>Vertical Diagonal Bracing. Bracing increases the overall rigidity of the metal structure and helps reduce the weight and efficiency of the parts.</t>
  </si>
  <si>
    <t>Vertical Cross Bracing. Bracing increases the overall rigidity of the metal structure and helps reduce the weight and efficiency of the parts.</t>
  </si>
  <si>
    <t>Vertical K bracing. Bracing increases the overall rigidity of the metal structure and helps reduce the weight and efficiency of the parts.</t>
  </si>
  <si>
    <t>Vertical V bracing. Bracing increases the overall rigidity of the metal structure and helps reduce the weight and efficiency of the parts.</t>
  </si>
  <si>
    <t>Vertical inverted V bracing. Bracing increases the overall rigidity of the metal structure and helps reduce the weight and efficiency of the parts.</t>
  </si>
  <si>
    <t>Bracing with tensioned cable. Bracing increases the overall rigidity of the metal structure and helps reduce the weight and efficiency of the parts.</t>
  </si>
  <si>
    <t>Truss of parallel flanges with diagonals sloping downwards towards the center.</t>
  </si>
  <si>
    <t>Truss of parallel flanges with diagonals sloping upwards towards the center.</t>
  </si>
  <si>
    <t>Lattice of parallel flanges with diagonals forming equilateral or isosceles triangles.</t>
  </si>
  <si>
    <t>Truss with sloping flanges with W or M diagonals.</t>
  </si>
  <si>
    <t>Truss with greater height and no diagonals. Formed by rigid rectacles or squares.</t>
  </si>
  <si>
    <t>Flat truss of sloping flanges for residential roofs.</t>
  </si>
  <si>
    <t>Flat truss with parallel flanges for bridges.</t>
  </si>
  <si>
    <t>Spatial truss formed by two or more layers of equal bars arranged in a square or rectangular mesh.</t>
  </si>
  <si>
    <t>Spatial truss formed as a geodesic dome of equilateral or near-equilateral triangles.</t>
  </si>
  <si>
    <t>Spatial truss formed as a vault or curvatures of equilateral or near-equilateral tricculles.</t>
  </si>
  <si>
    <t>Spatial truss formed by pyramidal spatial modules of equal bars.</t>
  </si>
  <si>
    <t>Spatial truss formed by spatial modules of octahedra of equal bars.</t>
  </si>
  <si>
    <t>Truss of space modules of mixed formation of equal bars.</t>
  </si>
  <si>
    <t>Anchoring element</t>
  </si>
  <si>
    <t>Connector element</t>
  </si>
  <si>
    <t>Estai Anchoring</t>
  </si>
  <si>
    <t>Anchor Coupler</t>
  </si>
  <si>
    <t>Fixed Extreme Anchorage</t>
  </si>
  <si>
    <t>Extreme Tensioned Anchor</t>
  </si>
  <si>
    <t>Stay</t>
  </si>
  <si>
    <t>Tensioner Bar</t>
  </si>
  <si>
    <t>Coated Tensioner</t>
  </si>
  <si>
    <t>Tensioner Sheath</t>
  </si>
  <si>
    <t>Tensioner Sheath Coupler</t>
  </si>
  <si>
    <t>Diabolo Sheath Tensioner</t>
  </si>
  <si>
    <t>Tensioner Sheath Cable</t>
  </si>
  <si>
    <t>Injector Tensioner</t>
  </si>
  <si>
    <t>Trumpet Tensor</t>
  </si>
  <si>
    <t>Rope Tensioner</t>
  </si>
  <si>
    <t>Wire Tensioner</t>
  </si>
  <si>
    <t>Structural Mast</t>
  </si>
  <si>
    <t>Closure membrane</t>
  </si>
  <si>
    <t>Purlins for metal structure roofing placed at 1.50 m to support the roof.</t>
  </si>
  <si>
    <t>Purlins to support façade elements placed at 1.50 m to support vertical panels.</t>
  </si>
  <si>
    <t>Metal connection at the junction between the inclined beam (rafter) and the vertical column at the point where the roof meets the side wall.</t>
  </si>
  <si>
    <t>Metal connection at the junction between the inclined beam (rafter) and the purlin.</t>
  </si>
  <si>
    <t>Metal connection at the junction between the inclined beams of the gantry.</t>
  </si>
  <si>
    <t>Alignment of purliners.</t>
  </si>
  <si>
    <t>Sandwich panel for facades with PIR AP cores covered by pre-painted steel sheets. They provide architectural finish with a concealed fitting system. Manufactured with high-pressure foam injection, they ensure uniformity of insulation.</t>
  </si>
  <si>
    <t>Thermal Panel with EPS core meets thermal insulation demands in environments that require strict temperature control, such as refrigerators and cold rooms.</t>
  </si>
  <si>
    <t>Zipped sandwich tile system is applied to roofs with low slope and large areas, offering thermal insulation and watertightness without the need for drilling.</t>
  </si>
  <si>
    <t>Corrugated Roofing Sheet composed of layers of Galvalume steel and PIR core, with excellent thermal insulation and weather resistance, for residential and commercial projects.</t>
  </si>
  <si>
    <t>Isothermal trapezoidal sandwich tile offers thermal comfort and energy saving. With three trapezoids, it has great mechanical resistance, ideal for roofs that require greater spacing between purlins, helping to reduce the support structure.</t>
  </si>
  <si>
    <t>Isothermal trapezoidal sandwich tile offers thermal comfort and energy saving. With trapezoids of adapted shape for the placement of solar panels integrated into the roof.</t>
  </si>
  <si>
    <t>Trapezoidal Tile</t>
  </si>
  <si>
    <t>Sandwich zipped tile system is applied to roofs with low slope and large areas, offering thermal insulation and watertightness without the need for drilling.</t>
  </si>
  <si>
    <t>Anchor bolt located in the inner region of the base plate</t>
  </si>
  <si>
    <t>Anchor bolt located in the outer region of the base plate</t>
  </si>
  <si>
    <t>DIN standard structural bolt</t>
  </si>
  <si>
    <t>ASTM Heavy Duty Thread Structural Bolt</t>
  </si>
  <si>
    <t>Drywall Screw</t>
  </si>
  <si>
    <t>Drilling Screw</t>
  </si>
  <si>
    <t>Self-tapping screw</t>
  </si>
  <si>
    <t>Shear Pin for Steel Deck Slabs</t>
  </si>
  <si>
    <t>Metal shed</t>
  </si>
  <si>
    <t>Metal shed of multiple modules.</t>
  </si>
  <si>
    <t>Metal shed with adjacent annex.</t>
  </si>
  <si>
    <t>Atributo Ifc</t>
  </si>
  <si>
    <t>Classe Ifc</t>
  </si>
  <si>
    <t>Parâmetro Rvt</t>
  </si>
  <si>
    <t>Projeto</t>
  </si>
  <si>
    <t>API_Ambiente</t>
  </si>
  <si>
    <t>"Individuo indicador de método API para selecionar ambientes do projeto"</t>
  </si>
  <si>
    <t>tema</t>
  </si>
  <si>
    <t>"API"</t>
  </si>
  <si>
    <t>subtema</t>
  </si>
  <si>
    <t>"Elementos Ambientes"</t>
  </si>
  <si>
    <t>"[ Ambientes ]"</t>
  </si>
  <si>
    <t>API_Andar</t>
  </si>
  <si>
    <t>"Individuo indicador de método API para selecionar andares do projeto"</t>
  </si>
  <si>
    <t>"Elementos Andares"</t>
  </si>
  <si>
    <t>"[ Pavimentos ]"</t>
  </si>
  <si>
    <t>API_Instância</t>
  </si>
  <si>
    <t>"Individuo indicador de método API para selecionar instâncias do projeto"</t>
  </si>
  <si>
    <t>"Elementos Instanciados"</t>
  </si>
  <si>
    <t>"[ Elementos ]"</t>
  </si>
  <si>
    <t>API_Simbolo</t>
  </si>
  <si>
    <t>"Individuo indicador de método API para selecionar elementos tipificados do projeto"</t>
  </si>
  <si>
    <t>"Elementos Tipificados"</t>
  </si>
  <si>
    <t>"[ Tipos ]"</t>
  </si>
  <si>
    <t>API_Material</t>
  </si>
  <si>
    <t>"Individuo indicador de método API para selecionar materiais do projeto"</t>
  </si>
  <si>
    <t>"Elementos Materiais"</t>
  </si>
  <si>
    <t>"[ Materiais ]"</t>
  </si>
  <si>
    <t>Aço.Coluna.Canto</t>
  </si>
  <si>
    <t>Aço.Coluna.Perimetral</t>
  </si>
  <si>
    <t>Aço.Coluna.Interna</t>
  </si>
  <si>
    <t>Aço.Viga.Perimetral</t>
  </si>
  <si>
    <t>Aço.Viga.Interna</t>
  </si>
  <si>
    <t>Aço.Viga.Canto</t>
  </si>
  <si>
    <t>Aço.Placa.deBase</t>
  </si>
  <si>
    <t>Aço.Fundações</t>
  </si>
  <si>
    <t>Aço.Colunas</t>
  </si>
  <si>
    <t>Aço.Vigas</t>
  </si>
  <si>
    <t>Aço.Treliças</t>
  </si>
  <si>
    <t>Placa de base de aço.</t>
  </si>
  <si>
    <t>Coluna de aço, posicionada no perímetro do prédio (fachadas ou lateriais).</t>
  </si>
  <si>
    <t>Coluna de aço, posicionada nos cantos ou quinas do prédio (fachadas ou lateriais).</t>
  </si>
  <si>
    <t>Coluna de aço, posicionada internamente no prédio.</t>
  </si>
  <si>
    <t>Viga de aço, posicionada nos cantos ou quinas do prédio (fachadas ou lateriais).</t>
  </si>
  <si>
    <t>Viga de aço, posicionada internamente no prédio.</t>
  </si>
  <si>
    <t>Viga de aço, posicionada no perímetro do prédio (fachadas ou lateriais).</t>
  </si>
  <si>
    <t>Aço.Fundação.Canto</t>
  </si>
  <si>
    <t>Aço.Fundação.Interna</t>
  </si>
  <si>
    <t>Aço.Fundação.Perimetral</t>
  </si>
  <si>
    <t>Fundação de aço, posicionada nos cantos ou quinas do prédio (fachadas ou lateriais).</t>
  </si>
  <si>
    <t>Fundação de aço, posicionada internamente no prédio.</t>
  </si>
  <si>
    <t>Fundação de aço, posicionada no perímetro do prédio (fachadas ou lateriais).</t>
  </si>
  <si>
    <t>Steel base plate.</t>
  </si>
  <si>
    <t>Steel foundation, positioned in the corners or corners of the building (facades or sides).</t>
  </si>
  <si>
    <t>Steel foundation, positioned internally in the building.</t>
  </si>
  <si>
    <t>Steel foundation, positioned on the perimeter of the building (facades or sides).</t>
  </si>
  <si>
    <t>Steel column, positioned in the corners or corners of the building (facades or sides).</t>
  </si>
  <si>
    <t>Steel column, positioned internally in the building.</t>
  </si>
  <si>
    <t>Steel column, positioned on the perimeter of the building (facades or sides).</t>
  </si>
  <si>
    <t>Steel beam, positioned at the corners or corners of the building (facades or sides).</t>
  </si>
  <si>
    <t>Steel beam, positioned internally in the building.</t>
  </si>
  <si>
    <t>Steel beam, positioned on the perimeter of the building (facades or sides).</t>
  </si>
  <si>
    <t>Placa base de acero.</t>
  </si>
  <si>
    <t>Cimentación de acero, situada en las esquinas o esquinas del edificio (fachadas o laterales).</t>
  </si>
  <si>
    <t>Cimentación de acero, situada internamente en el edificio.</t>
  </si>
  <si>
    <t>Cimentación de acero, situada en el perímetro del edificio (fachadas o laterales).</t>
  </si>
  <si>
    <t>Columna de acero, situada en las esquinas o esquinas del edificio (fachadas o laterales).</t>
  </si>
  <si>
    <t>Columna de acero, situada en el interior del edificio.</t>
  </si>
  <si>
    <t>Columna de acero, situada en el perímetro del edificio (fachadas o laterales).</t>
  </si>
  <si>
    <t>Viga de acero, situada en las esquinas o esquinas del edificio (fachadas o laterales).</t>
  </si>
  <si>
    <t>Viga de acero, situada en el interior del edificio.</t>
  </si>
  <si>
    <t>Viga de acero, situada en el perímetro del edificio (fachadas o laterales).</t>
  </si>
  <si>
    <t>[ OST_StructuralFoundation ]</t>
  </si>
  <si>
    <t>[ IfcFooting : IfcBeam ]</t>
  </si>
  <si>
    <t>[ IfcFooting : IfcMemberPLATE ]</t>
  </si>
  <si>
    <t>[ IfcColumn : IfcMemberPLATE ]</t>
  </si>
  <si>
    <t>[ IfcBeam : IfcMemberPLATE ]</t>
  </si>
  <si>
    <t>[ IfcColumn : IfcBeam ]</t>
  </si>
  <si>
    <t>[ OST_StructuralColumns : OST_StructuralFraming ]</t>
  </si>
  <si>
    <t>[ OST_HorizontalBracing : OST_VerticalBracing ]</t>
  </si>
  <si>
    <t>[ OST_Walls : OST_CurtainWallPanels ]</t>
  </si>
  <si>
    <t>Aço.Pórticos</t>
  </si>
  <si>
    <t>Aço.Pórtico</t>
  </si>
  <si>
    <t>Aço.Treliça.Plana.Cobertura</t>
  </si>
  <si>
    <t>Aço.Treliça.Plana.Suporte</t>
  </si>
  <si>
    <t>Aço.Treliça.Plana.Ponte</t>
  </si>
  <si>
    <t>Aço.Treliça.Espacial.Cobertura</t>
  </si>
  <si>
    <t>Aço.Treliça.Espacial.Suporte</t>
  </si>
  <si>
    <t>Aço.Treliça.Espacial.Ponte</t>
  </si>
  <si>
    <t>Aço.Pórtico.Alma.Cheia</t>
  </si>
  <si>
    <t>Aço.Pórtico.Vierendeel</t>
  </si>
  <si>
    <t>Pórtico.</t>
  </si>
  <si>
    <t>Pórtico de viga Vierendeel, composto por quadros retangulares ou quadrados com conexões totalmente rígidas.</t>
  </si>
  <si>
    <t>Pórtico de alma cheia para galpões e grandes vãos.</t>
  </si>
  <si>
    <t>Treliça plana de cobertura de aço.</t>
  </si>
  <si>
    <t>Treliça plana de suporte de aço.</t>
  </si>
  <si>
    <t>Treliça plana de ponte de aço.</t>
  </si>
  <si>
    <t>Treliça espacial de cobertura de aço.</t>
  </si>
  <si>
    <t>Treliça espacial de suporte de aço.</t>
  </si>
  <si>
    <t>Treliça espacial de ponte de aço.</t>
  </si>
  <si>
    <t>é.selecionado.por</t>
  </si>
  <si>
    <t>De.Estrutura</t>
  </si>
  <si>
    <t>é.membro.de</t>
  </si>
  <si>
    <t>"[ 3E.12.06.02 ]"</t>
  </si>
  <si>
    <t>Pórticos.de.Galpão</t>
  </si>
  <si>
    <t>é.mísula.de some Pórticos.de.Galpão</t>
  </si>
  <si>
    <t>é.cumeeira.de some Pórticos.de.Galpão</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</si>
  <si>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</si>
  <si>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</si>
  <si>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</si>
  <si>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</si>
  <si>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</si>
  <si>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</si>
  <si>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</si>
  <si>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</si>
  <si>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</si>
  <si>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</si>
  <si>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</si>
  <si>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</si>
  <si>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</si>
  <si>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</si>
  <si>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</si>
  <si>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</si>
  <si>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</si>
  <si>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</si>
  <si>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</si>
  <si>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</si>
  <si>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</si>
  <si>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</si>
  <si>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</si>
  <si>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</si>
  <si>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</si>
  <si>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API.Macros.Visuais</t>
  </si>
  <si>
    <t>API.Método.Visual</t>
  </si>
  <si>
    <t>Cola.Espuma</t>
  </si>
  <si>
    <t>Material construtivo usado para aderir espumas.</t>
  </si>
  <si>
    <t>Material de construcción utilizado para adherir espumas.</t>
  </si>
  <si>
    <t>Construction material used to adhere foams.</t>
  </si>
  <si>
    <t>[ OST_Materials : OST_Parts : OST_FloorsSubstrate : OST_WallsSubstrate : OST_CeilingsSubstrate  ]</t>
  </si>
  <si>
    <t>[ IfcMaterial : IfcFastener ]</t>
  </si>
  <si>
    <t>[ 0M ]</t>
  </si>
  <si>
    <t>Cola.Louça</t>
  </si>
  <si>
    <t>Material construtivo usado para aderir louças.</t>
  </si>
  <si>
    <t>Material de construcción utilizado para adherir la vajilla.</t>
  </si>
  <si>
    <t>Construction material used to adhere crockery.</t>
  </si>
  <si>
    <t>Cola.Madeira</t>
  </si>
  <si>
    <t>Material construtivo usado para aderir madeiras.</t>
  </si>
  <si>
    <t>Material de construcción utilizado para adherir madera.</t>
  </si>
  <si>
    <t>Construction material used to adhere wood.</t>
  </si>
  <si>
    <t>Cola.Metal</t>
  </si>
  <si>
    <t>Material construtivo usado para aderir metais.</t>
  </si>
  <si>
    <t>Material de construcción utilizado para adherir metales.</t>
  </si>
  <si>
    <t>Construction material used to adhere metals.</t>
  </si>
  <si>
    <t>Cola.Textil</t>
  </si>
  <si>
    <t>Material construtivo usado para aderir texteis.</t>
  </si>
  <si>
    <t>Material de construcción utilizado para unir textiles.</t>
  </si>
  <si>
    <t>Construction material used to bond textiles.</t>
  </si>
  <si>
    <t>Argamassa.Baritada</t>
  </si>
  <si>
    <t>Material construtivo usado para proteger da emissão de radiação em salas radiológicas de ambientes hospitalares (salas de radioterapia, radiologia, medicina nuclear de centros de saúde).</t>
  </si>
  <si>
    <t>Material de construcción utilizado para proteger contra la emisión de radiación en salas radiológicas en entornos hospitalarios (radioterapia, radiología, salas de medicina nuclear de centros de salud).</t>
  </si>
  <si>
    <t>Construction material used to protect from radiation emission in radiological rooms in hospital environments (radiotherapy, radiology, nuclear medicine rooms of health centers).</t>
  </si>
  <si>
    <t>[ OST_Materials : OST_Parts : OST_WallsSubstrate : OST_FloorsSubstrate : OST_WallsInsulation : OST_FloorsInsulation ]</t>
  </si>
  <si>
    <t>[ IfcMaterial : IfcCoveringINSULATION ]</t>
  </si>
  <si>
    <t>Argamassa.Colante</t>
  </si>
  <si>
    <t>Material construtivo usado para colar peças cerámicas ou porcelanatos em paredes ou pisos.</t>
  </si>
  <si>
    <t>Material de construcción utilizado para pegar azulejos cerámicos o de porcelana a paredes o suelos.</t>
  </si>
  <si>
    <t>Construction material used to glue ceramic or porcelain tiles to walls or floors.</t>
  </si>
  <si>
    <t>[ IfcMaterial : IfcCoveringMEMBRANE ]</t>
  </si>
  <si>
    <t>Argamassa.Isolante</t>
  </si>
  <si>
    <t>Material construtivo usado para as camadas com isolamento polimérico.</t>
  </si>
  <si>
    <t>Material de construcción utilizado para las capas con aislamiento polimérico.</t>
  </si>
  <si>
    <t>Construction material used for the layers with polymeric insulation.</t>
  </si>
  <si>
    <t>Argamassa.Lastro</t>
  </si>
  <si>
    <t>Material construtivo usado para a formação de contrapisos ou camadas de lastro em pisos ou nas vias de tránsito e tráfego.</t>
  </si>
  <si>
    <t>Material de construcción utilizado para la formación de subsuelos o capas de lastre en suelos o en tráfico y rutas de tráfico.</t>
  </si>
  <si>
    <t>Construction material used for the formation of subfloors or ballast layers on floors or on traffic and traffic routes.</t>
  </si>
  <si>
    <t>Argamassa.Reguladora</t>
  </si>
  <si>
    <t>Material construtivo usado para regularizar e acabar as alvenarias. Incluem os chapiscos, emboços e rebocos.</t>
  </si>
  <si>
    <t>Material de construcción utilizado para regularizar y acabar la mampostería. Incluyen fundiciones en bruto, yesos y yesos.</t>
  </si>
  <si>
    <t>Construction material used to regularize and finish the masonry. They include roughcasts, plasters and plasters.</t>
  </si>
  <si>
    <t>Tubo.de.Multicamada</t>
  </si>
  <si>
    <t>Material construtivo usado para conduzir água. Tubos compostos por uma camada interna de plástico (PEX), uma camada intermediária de alumínio contínuo (Al) e uma camada externa de plástico protetor. Tubo flexível conectado por crimpagem.</t>
  </si>
  <si>
    <t>Material de construcción utilizado para conducir agua. Tubos compuestos por una capa interior de plástico (PEX), una capa intermedia de aluminio continuo (Al) y una capa exterior de plástico protector. Tubo flexible conectado mediante crimping.</t>
  </si>
  <si>
    <t>Construction material used to conduct water. Tubes composed of an inner layer of plastic (PEX), an intermediate layer of continuous aluminium (Al) and an outer layer of protective plastic. Flexible tube connected by crimping.</t>
  </si>
  <si>
    <t>[ OST_Materials : OST_PipeMaterials : OST_DuctInsulations : OST_DuctLinings : OST_FabricationDuctwork ]</t>
  </si>
  <si>
    <t>[ IfcMaterial : IfcPipeSegmentRIGIDSEGMENT : IfcPipeFitting ]</t>
  </si>
  <si>
    <t>[ 0M.20.60.07.09 ]</t>
  </si>
  <si>
    <t>Concreto.C10</t>
  </si>
  <si>
    <t>Material construtivo usado como concreto magro para lastro de regularização não estrutural.</t>
  </si>
  <si>
    <t>Material de construcción utilizado como hormigón pobre para lastre de regularización no estructural.</t>
  </si>
  <si>
    <t>Construction material used as lean concrete for non-structural regularization ballast.</t>
  </si>
  <si>
    <t>Concreto.C15</t>
  </si>
  <si>
    <t>Material construtivo usado como concreto de contrapiso, enchimento, calçadas não permitido em armado estrutural.</t>
  </si>
  <si>
    <t>Material de construcción utilizado como hormigón de contrapiso, relleno y aceras sin resistencia para refuerzo estructural.</t>
  </si>
  <si>
    <t>Construction material used as subfloor concrete, filling, sidewalks not allowed in structural reinforcement.</t>
  </si>
  <si>
    <t>Concreto.C20</t>
  </si>
  <si>
    <t>Material construtivo usado como concreto mínimo para concreto armado em ambientes pouco agressivos.</t>
  </si>
  <si>
    <t>Material de construcción utilizado como hormigón armado mínimo en entornos de baja agresividad.</t>
  </si>
  <si>
    <t>Construction material used as minimum concrete for reinforced concrete in low aggressive environments.</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</si>
  <si>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</si>
  <si>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t>
  </si>
  <si>
    <t>Concreto.C25</t>
  </si>
  <si>
    <t>Material construtivo usado como concreto estrutural em obras correntes: sapatas, vigas, pilares, lajes</t>
  </si>
  <si>
    <t>Material de construcción utilizado como hormigón estructural en obras de: zapatas, vigas, columnas, losas.</t>
  </si>
  <si>
    <t>Construction material used as structural concrete in current works: footings, beams, columns, slabs</t>
  </si>
  <si>
    <t>Concreto.C30</t>
  </si>
  <si>
    <t>Material construtivo usado como concreto de ambientes urbanos agressivos, pisos industriais, cargas elevadas.</t>
  </si>
  <si>
    <t>Material de construcción utilizado como hormigón para entornos urbanos agresivos, suelos industriales, cargas elevadas.</t>
  </si>
  <si>
    <t>Construction material used as concrete for aggressive urban environments, industrial floors, high loads.</t>
  </si>
  <si>
    <t>Concreto.C35</t>
  </si>
  <si>
    <t>Material construtivo usado como concreto de estruturas solicitadas, pré-moldados, elementos esbeltos.</t>
  </si>
  <si>
    <t>Material de construcción utilizado como hormigón para estructuras solicitadas, elementos prefabricados, delgados.</t>
  </si>
  <si>
    <t>Construction material used as concrete for requested structures, precast, slender elements.</t>
  </si>
  <si>
    <t>Concreto.C40</t>
  </si>
  <si>
    <t>Material construtivo usado como concreto de ambientes marinhos/industriais agressivos, edifícios altos.</t>
  </si>
  <si>
    <t>Material de construcción utilizado como hormigón para entornos marinos/industriales hostiles, edificios altos.</t>
  </si>
  <si>
    <t>Construction material used as concrete for harsh marine/industrial environments, tall buildings.</t>
  </si>
  <si>
    <t>Concreto.C45</t>
  </si>
  <si>
    <t>Material construtivo usado como concreto de protendidos e pré-moldados de maior desempenho.</t>
  </si>
  <si>
    <t>Material de construcción utilizado como hormigón pretenado y prefabricado con mayor rendimiento.</t>
  </si>
  <si>
    <t>Construction material used as prestressed and precast concrete with higher performance.</t>
  </si>
  <si>
    <t>Concreto.C50</t>
  </si>
  <si>
    <t>Material construtivo usado como concreto de protendidos e obras especiais.</t>
  </si>
  <si>
    <t>Material de construcción utilizado como hormigón pretensado y obras especiales.</t>
  </si>
  <si>
    <t>Construction material used as prestressed concrete and special works.</t>
  </si>
  <si>
    <t>Concreto.C55</t>
  </si>
  <si>
    <t>Material construtivo usado como concreto de concretos de alto desempenho (pontes, túneis e Obras de Arte Especial OAE).</t>
  </si>
  <si>
    <t>Material de construcción utilizado como hormigón para hormigones de alto rendimiento (puentes, túneles y obras especiales de arte de la OAE).</t>
  </si>
  <si>
    <t>Construction material used as concrete for high-performance concretes (bridges, tunnels and OAE Special Works of Art).</t>
  </si>
  <si>
    <t>Concreto.C100</t>
  </si>
  <si>
    <t>Tubo.de.Concreto.Armado</t>
  </si>
  <si>
    <t>Material construtivo usado para conduzir água de drenagem pluvial, sob vias públicas e grandes aterros</t>
  </si>
  <si>
    <t>Material de construcción utilizado para conducir el drenaje de aguas pluviales bajo carreteras públicas y grandes terraplenes</t>
  </si>
  <si>
    <t>Construction material used to conduct rainwater drainage, under public roads and large embankments</t>
  </si>
  <si>
    <t>[ IfcMaterial : IfcPipeSegmentCULVERT : IfcPipeFitting ]</t>
  </si>
  <si>
    <t>Tubo.de.Concreto.Simples</t>
  </si>
  <si>
    <t>Material construtivo usado para conduzir água de drenagem pluvial superficial e galerias leves.</t>
  </si>
  <si>
    <t>Material de construcción utilizado para realizar el drenaje superficial de aguas pluviales y las galerías de iluminación.</t>
  </si>
  <si>
    <t>Construction material used to conduct surface rainwater drainage and light galleries.</t>
  </si>
  <si>
    <t>Tubo.de.Concreto.Perfurado</t>
  </si>
  <si>
    <t>Material construtivo usado para conduzir água de drenagem, com aberturas ao longo da peça.</t>
  </si>
  <si>
    <t>Material de construcción utilizado para conducir el agua de drenaje, con aberturas a lo largo de la pieza.</t>
  </si>
  <si>
    <t>Construction material used to conduct drainage water, with openings along the piece.</t>
  </si>
  <si>
    <t>Tubo.de.Concreto.Cravação</t>
  </si>
  <si>
    <t>Material construtivo usado para instalação subterrânea por método não destrutivo.</t>
  </si>
  <si>
    <t>Material de construcción utilizado para la instalación subterránea mediante métodos no destructivos.</t>
  </si>
  <si>
    <t>Construction material used for underground installation by non-destructive method.</t>
  </si>
  <si>
    <t>Espuma.Expandida</t>
  </si>
  <si>
    <t>Material construtivo usado para tampar as frestas ou cobrir em tubulações pré-isoladas e impedir a troca de calor.</t>
  </si>
  <si>
    <t>Material de construcción utilizado para tapar huecos o cubrir tuberías preaisladas y evitar el intercambio de calor.</t>
  </si>
  <si>
    <t>Construction material used to plug gaps or cover in pre-insulated pipes and prevent heat exchange.</t>
  </si>
  <si>
    <t>Espuma.MPU</t>
  </si>
  <si>
    <t>Material construtivo usado para fazer placas rígidas pré-fabricadas e montadas para formar os dutos de AVAC. Substituem o duto metálico tradicional, agregando isolamento térmico no próprio painel e reduzindo o peso estrutural.</t>
  </si>
  <si>
    <t>Material de construcción utilizado para fabricar placas rígidas prefabricadas y ensambladas para formar conductos HVAC. Sustituyen al conducto metálico tradicional, añadiendo aislamiento térmico al propio panel y reduciendo el peso estructural.</t>
  </si>
  <si>
    <t>Construction material used to make prefabricated and assembled rigid plates to form HVAC ducts. They replace the traditional metal duct, adding thermal insulation to the panel itself and reducing structural weight.</t>
  </si>
  <si>
    <t>Espuma.PIR</t>
  </si>
  <si>
    <t>Material construtivo usado para fazer placas rígidas por poliisocianurato revestidas por lâminas de alumínio em ambas as faces. Para fechamentos como paredes e coberturas.</t>
  </si>
  <si>
    <t>Material de construcción utilizado para fabricar placas rígidas de poliisocianurato recubiertas con láminas de aluminio en ambos lados. Para recintos como paredes y tejados.</t>
  </si>
  <si>
    <t>Construction material used to make rigid polyisocyanurate plates coated with aluminum sheets on both sides. For enclosures such as walls and roofs.</t>
  </si>
  <si>
    <t>Espuma.PUR</t>
  </si>
  <si>
    <t>Material construtivo usado para fazer placas rígidas por poliuretano revestidas por lâminas de alumínio em ambas as faces. Para fechamentos como paredes e coberturas.</t>
  </si>
  <si>
    <t>Material de construcción utilizado para fabricar placas rígidas de poliuretano recubiertas con láminas de aluminio en ambos lados. Para cierres como paredes y tejados.</t>
  </si>
  <si>
    <t>Construction material used to make rigid polyurethane plates coated with aluminum sheets on both sides. For closures such as walls and roofs.</t>
  </si>
  <si>
    <t>Conduíte.Flex.de.Elétrica</t>
  </si>
  <si>
    <t>Material construtivo usado para conduzir a fiação elétrica em eletrodutos flexíveis.</t>
  </si>
  <si>
    <t>Material de construcción utilizado para conducir el cableado eléctrico en conductos flexibles.</t>
  </si>
  <si>
    <t>Construction material used to conduct electrical wiring in flexible conduits.</t>
  </si>
  <si>
    <t>[ IfcMaterial : IfcPipeSegmentFLEXIBLESEGMENT : IfcPipeFitting ]</t>
  </si>
  <si>
    <t>[ 0M.20.20 ]</t>
  </si>
  <si>
    <t>Conduíte.Flex.de.Telecom</t>
  </si>
  <si>
    <t>Material construtivo usado para conduzir a fiação da rede de dados e telecomunicações em condutos flexíveis.</t>
  </si>
  <si>
    <t>Material de construcción utilizado para conducir el cableado de la red de datos y telecomunicaciones en conductos flexibles.</t>
  </si>
  <si>
    <t>Construction material used to conduct the wiring of the data and telecommunications network in flexible conduits.</t>
  </si>
  <si>
    <t xml:space="preserve">Lã.de.Rocha </t>
  </si>
  <si>
    <t>Material construtivo usado para fazer mantas rígidas ou flexíveis aplicadas ao redor de dutos metálicos ou tubulações de grande porte para isolamento térmico e acústico, resistência ao fogo.</t>
  </si>
  <si>
    <t>Material de construcción utilizado para fabricar mantas rígidas o flexibles que se aplican alrededor de conductos metálicos o tuberías grandes para aislamiento térmico y acústico, resistencia al fuego.</t>
  </si>
  <si>
    <t>Construction material used to make rigid or flexible blankets applied around metal ducts or large pipes for thermal and acoustic insulation, fire resistance.</t>
  </si>
  <si>
    <t xml:space="preserve">Lã.de.Vidro </t>
  </si>
  <si>
    <t>Material construtivo usado para cobrir serpentinas de alumínio com lã de vidro e filme plástico externo. Utilizadas nas conexões finais entre os dutos rígidos e os difusores de ar.</t>
  </si>
  <si>
    <t>Material de construcción utilizado para cubrir bobinas de aluminio con lana de vidrio y película plástica externa. Utilizado en las conexiones finales entre conductos rígidos y difusores de aire.</t>
  </si>
  <si>
    <t>Construction material used to cover aluminum coils with glass wool and external plastic film. Used in the final connections between rigid ducts and air diffusers.</t>
  </si>
  <si>
    <t>Borracha.Antivibratória</t>
  </si>
  <si>
    <t>Material construtivo usado para absorver vibrações  dos compressores e ventiladores. Colocado em cantoneiras, tirantes e suportes de fixação impedindo a transmissão de ruído para a estrutura do edifício.</t>
  </si>
  <si>
    <t>Material de construcción utilizado para absorber las vibraciones de compresores y ventiladores. Se colocan en ángulos, barras de dirección y soportes de fijación para evitar la transmisión de ruido a la estructura del edificio.</t>
  </si>
  <si>
    <t>Construction material used to absorb vibrations from compressors and fans. Placed on angles, tie rods and fixing brackets preventing the transmission of noise to the building structure.</t>
  </si>
  <si>
    <t>Borracha.Elastomérica</t>
  </si>
  <si>
    <t>Material construtivo usado para isolar tubulações de refrigerante e água gelada. Material de estrutura celular fechada flexível. Evita a condensação superficial e a perda de eficiência.</t>
  </si>
  <si>
    <t>Material de construcción utilizado para aislar tuberías de refrigerante y agua fría. Material flexible de estructura de celda cerrada. Evita la condensación superficial y la pérdida de eficiencia.</t>
  </si>
  <si>
    <t>Construction material used to insulate refrigerant and chilled water pipes. Flexible closed cell structure material. Avoids surface condensation and loss of efficiency.</t>
  </si>
  <si>
    <t>Material construtivo usado para a estrutura são ligas de aços estruturais.</t>
  </si>
  <si>
    <t>Material de construcción utilizado para la estructura. Son aleaciones de aceros estructurales.</t>
  </si>
  <si>
    <t>Construction material used for the structure are structural steel alloys.</t>
  </si>
  <si>
    <t>[ IfcMaterial : IfcReinforcingBar : IfcStructuralSurfaceMember : IfcFooting : IfcColumn : IfcBeam : IfcMember : IfcElementAssembly  : IfcMechanicalFastener ]</t>
  </si>
  <si>
    <t>Material construtivo usado para a estrutura são ligas de alumínios estruturais.</t>
  </si>
  <si>
    <t>Material de construcción utilizado para la estructura. Son aleaciones de aluminios estructurales.</t>
  </si>
  <si>
    <t>Construction material used for the structure are structural aluminum alloys.</t>
  </si>
  <si>
    <t>Caixa.Metálica.de.Elétrica</t>
  </si>
  <si>
    <t>Material construtivo usado para terminais metálicos ou caixas metálicas de distribuição de elétrica.</t>
  </si>
  <si>
    <t>Material de construcción utilizado para terminales metálicos o cajas metálicas de distribución eléctrica.</t>
  </si>
  <si>
    <t>Construction material used for metal terminals or metal electrical distribution boxes.</t>
  </si>
  <si>
    <t>Caixa.Metálica.de.Telecom</t>
  </si>
  <si>
    <t>Material construtivo usado para terminais metálicos ou caixas metálicas de distribuição de redes de dados e telecomunicações.</t>
  </si>
  <si>
    <t>Material de construcción utilizado para terminales metálicos o cajas metálicas para la distribución de redes de datos y telecomunicaciones.</t>
  </si>
  <si>
    <t>Construction material used for metal terminals or metal boxes for distribution of data and telecommunications networks.</t>
  </si>
  <si>
    <t>Calha.de.Elétrica</t>
  </si>
  <si>
    <t>Material construtivo usado para conduzir a fiação dentro de calhas de calhas de elétrica.</t>
  </si>
  <si>
    <t>Material de construcción utilizado para conducir el cableado dentro de canalones eléctricos.</t>
  </si>
  <si>
    <t>Construction material used to conduct wiring inside electrical gutters.</t>
  </si>
  <si>
    <t>Calha.de.Telecom</t>
  </si>
  <si>
    <t>Material construtivo usado para conduzir a fiação dentro de calhas de rede de dados e telecomunicações.</t>
  </si>
  <si>
    <t>Material de construcción utilizado para realizar cableado dentro de las vías de la red de datos y telecomunicaciones.</t>
  </si>
  <si>
    <t>Construction material used to conduct wiring within data and telecommunications network rails.</t>
  </si>
  <si>
    <t>Calha.Leito.de.Elétrica</t>
  </si>
  <si>
    <t>Material construtivo usado para conduzir a fiação de elétrica.</t>
  </si>
  <si>
    <t>Material de construcción utilizado para conducir el cableado eléctrico.</t>
  </si>
  <si>
    <t>Construction material used to conduct electrical wiring.</t>
  </si>
  <si>
    <t>Calha.Leito.de.Telecom</t>
  </si>
  <si>
    <t>Material construtivo usado para conduzir a fiação das redes de dados e telecomunicações.</t>
  </si>
  <si>
    <t>Material de construcción utilizado para realizar el cableado de redes de datos y telecomunicaciones.</t>
  </si>
  <si>
    <t>Construction material used to conduct the wiring of data and telecommunications networks.</t>
  </si>
  <si>
    <t>Fiação.de.Elétrica</t>
  </si>
  <si>
    <t>Material construtivo usado para a fiação nos cabos de elétrica.</t>
  </si>
  <si>
    <t>Material de construcción utilizado para cablear cables eléctricos.</t>
  </si>
  <si>
    <t>Construction material used for wiring in electrical cables.</t>
  </si>
  <si>
    <t>[ OST_Materials : OST_WireMaterials ]</t>
  </si>
  <si>
    <t>Fiação.de.Telecom</t>
  </si>
  <si>
    <t>Material construtivo usado para a fiação nos cabos de rede de dados e telecomunicações.</t>
  </si>
  <si>
    <t>Material de construcción utilizado para cablear cables de redes de datos y telecomunicaciones.</t>
  </si>
  <si>
    <t>Construction material used for wiring in data network and telecommunications cables.</t>
  </si>
  <si>
    <t>Grelha.Alumínio</t>
  </si>
  <si>
    <t>Material construtivo usado para fazer grelhas.</t>
  </si>
  <si>
    <t>Material de construcción utilizado para fabricar rejillas.</t>
  </si>
  <si>
    <t>Construction material used to make grilles.</t>
  </si>
  <si>
    <t>Difusor.Alumínio</t>
  </si>
  <si>
    <t>Material construtivo usado para fazer difusores de ar.</t>
  </si>
  <si>
    <t>Material de construcción utilizado para fabricar difusores de aire.</t>
  </si>
  <si>
    <t>Construction material used to make ar diffusers.</t>
  </si>
  <si>
    <t>Quadro.Metálico.Elétrica</t>
  </si>
  <si>
    <t>Material construtivo usado para quadros de passagem ou distribuição metálicos para elétrica.</t>
  </si>
  <si>
    <t>Material de construcción utilizado para pasadizos metálicos a eléctricos o tableros de distribución.</t>
  </si>
  <si>
    <t>Construction material used for metallic to electrical passage or distribution boards.</t>
  </si>
  <si>
    <t>Quadro.Metálico.Telecom</t>
  </si>
  <si>
    <t>Material construtivo usado para quadros de passagem ou distribuição metálicos para rede de dados e telecomunicações.</t>
  </si>
  <si>
    <t>Material de construcción utilizado para pasos metálicos o paneles de distribución para redes de datos y telecomunicaciones.</t>
  </si>
  <si>
    <t>Construction material used for metal passage or distribution boards for data and telecommunications network.</t>
  </si>
  <si>
    <t>Tubo.de.Aço.Carbono</t>
  </si>
  <si>
    <t>Material construtivo usado para conduzir água gelada e água de condensação em diâmetros maiores, devido ao baixo custo em larga escala e alta resistência mecânica em sistemas de AVAC centralizados e chillers.</t>
  </si>
  <si>
    <t>Material de construcción utilizado para conducir agua fría y agua de condensación en diámetros mayores, debido al bajo coste a gran escala y la alta resistencia mecánica en sistemas centralizados de climatización y enfriadores.</t>
  </si>
  <si>
    <t>Construction material used to conduct chilled water and condensation water in larger diameters, due to the low large-scale cost and high mechanical strength in centralized HVAC systems and chillers.</t>
  </si>
  <si>
    <t>Tubo.de.Aço.Costura</t>
  </si>
  <si>
    <t>Material construtivo usado para canalizações de aço com costura (especificações NBR 5580 ou NBR 5590).</t>
  </si>
  <si>
    <t>Material de construcción utilizado para tuberías de acero soldadas (especificaciones NBR 5580 o NBR 5590).</t>
  </si>
  <si>
    <t>Construction material used for welded steel pipes (NBR 5580 or NBR 5590 specifications).</t>
  </si>
  <si>
    <t>[ 0M.20.20.01.01 ]</t>
  </si>
  <si>
    <t>Tubo.de.Aço.Galvanizado</t>
  </si>
  <si>
    <t>Material construtivo usado para fazer as chapas metálicas para fabricar dutos de distribuição de ar. O revestimento de zinco protege o aço contra ferrugem em ambientes internos padrão.</t>
  </si>
  <si>
    <t>Material de construcción utilizado para fabricar las chapas metálicas para fabricar conductos de distribución de aire. El recubrimiento de zinc protege el acero del óxido en ambientes interiores estándar.</t>
  </si>
  <si>
    <t>Construction material used to make the metal sheets to manufacture air distribution ducts. The zinc coating protects the steel from rust in standard indoor environments.</t>
  </si>
  <si>
    <t>Tubo.de.Aço.Inoxidável</t>
  </si>
  <si>
    <t>Material construtivo usado para as instalações industriais, farmacêuticas ou alimentícias que exigem extrema resistência à corrosão, além de alta higiene e longa durabilidade.</t>
  </si>
  <si>
    <t>Material de construcción utilizado en instalaciones industriales, farmacéuticas o alimentarias que requieren una resistencia extrema a la corrosión, así como alta higiene y larga durabilidad.</t>
  </si>
  <si>
    <t>Construction material used for industrial, pharmaceutical or food facilities that require extreme resistance to corrosion, as well as high hygiene and long durability.</t>
  </si>
  <si>
    <t>Tubo.de.Alumínio</t>
  </si>
  <si>
    <t>Material construtivo usado para proteger os tubos e dutos leves das condições ambientais de maior umidade ou presença de agentes corrosivos (como regiões litorâneas ou laboratórios).</t>
  </si>
  <si>
    <t>Material de construcción utilizado para proteger tuberías y conductos de luz de condiciones ambientales de mayor humedad o de la presencia de agentes corrosivos (como regiones costeras o laboratorios).</t>
  </si>
  <si>
    <t>Construction material used to protect light pipes and ducts from environmental conditions of greater humidity or the presence of corrosive agents (such as coastal regions or laboratories).</t>
  </si>
  <si>
    <t>Tubo.de.Cobre</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</si>
  <si>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</si>
  <si>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</si>
  <si>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</si>
  <si>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[ 0M.20.20.05 ]</t>
  </si>
  <si>
    <t>Tubo.de.FoFo</t>
  </si>
  <si>
    <t>Material construtivo usado para canalizações de saneamento básico de ferro fundido.</t>
  </si>
  <si>
    <t>Material de construcción utilizado para tuberías básicas de hierro fundido.</t>
  </si>
  <si>
    <t>Construction material used for cast iron basic sanitation pipes.</t>
  </si>
  <si>
    <t>[ 0M.20.20.01.07.03 ]</t>
  </si>
  <si>
    <t>Tubo.de.Latão</t>
  </si>
  <si>
    <t>Material construtivo usado para as redes de água o latão.</t>
  </si>
  <si>
    <t>Material de construcción utilizado en redes de agua: latón.</t>
  </si>
  <si>
    <t>Construction material used for water networks: brass.</t>
  </si>
  <si>
    <t>[ 0M.20.20.05.01 ]</t>
  </si>
  <si>
    <t>Caixa.PVC.de.Elétrica</t>
  </si>
  <si>
    <t>Material construtivo usado para terminais plásticos ou caixas de plásticos de distribuição de elétrica.</t>
  </si>
  <si>
    <t>Material de construcción utilizado para terminales de plástico o cajas de distribución eléctrica de plástico.</t>
  </si>
  <si>
    <t>Construction material used for plastic terminals or plastic electrical distribution boxes.</t>
  </si>
  <si>
    <t>Caixa.PVC.de.Telecom</t>
  </si>
  <si>
    <t>Material construtivo usado para terminais plásticos ou caixas de plásticos de distribuição de redes de dados e telecomunicações.</t>
  </si>
  <si>
    <t>Material de construcción utilizado para terminales o cajas de plástico para la distribución de redes de datos y telecomunicaciones.</t>
  </si>
  <si>
    <t>Construction material used for plastic terminals or plastic boxes for distribution of data and telecommunications networks.</t>
  </si>
  <si>
    <t>Canaleta.de.Elétrica</t>
  </si>
  <si>
    <t>Material construtivo usado para conduzir canaletas de elétrica.</t>
  </si>
  <si>
    <t>Material de construcción utilizado para accionar canales eléctricos.</t>
  </si>
  <si>
    <t>Construction material used to drive electric channels.</t>
  </si>
  <si>
    <t>Canaleta.de.Telecom</t>
  </si>
  <si>
    <t>Material construtivo usado para conduzir canaletas de rede de dados e telecomunicações.</t>
  </si>
  <si>
    <t>Material de construcción utilizado para realizar canales de datos y redes de telecomunicaciones.</t>
  </si>
  <si>
    <t>Construction material used to conduct data and telecommunications network channels.</t>
  </si>
  <si>
    <t>Quadro.PVC.Elétrica</t>
  </si>
  <si>
    <t>Material construtivo usado para quadros de passagem ou distribuição em PVC para elétrica.</t>
  </si>
  <si>
    <t>Material de construcción utilizado para pasajes de PVC o paneles de distribución para electricidad.</t>
  </si>
  <si>
    <t>Construction material used for PVC passage or distribution boards for electrical.</t>
  </si>
  <si>
    <t>Quadro.PVC.Telecom</t>
  </si>
  <si>
    <t>Material construtivo usado para quadros de passagem ou distribuição em PVC para rede de dados e telecomunicações.</t>
  </si>
  <si>
    <t>Material de construcción utilizado para pasaportes de PVC o placas de distribución para redes de datos y telecomunicaciones.</t>
  </si>
  <si>
    <t>Construction material used for PVC passage or distribution boards for data and telecommunications network.</t>
  </si>
  <si>
    <t>Tubo.de.PVC</t>
  </si>
  <si>
    <t>Material construtivo usado para conduzir as redes de agua e esgoto doméstica. PVC (Policloreto de Vinila).</t>
  </si>
  <si>
    <t>Material de construcción utilizado para conducir redes domésticas de agua y alcantarillado. PVC (cloruro de polivinilo).</t>
  </si>
  <si>
    <t>Construction material used to conduct domestic water and sewage networks. PVC (Polyvinyl Chloride).</t>
  </si>
  <si>
    <t>[ 0M.20.60.07.16 ]</t>
  </si>
  <si>
    <t>Tubo.de.PVCO</t>
  </si>
  <si>
    <t>Material construtivo usado para conduzir as redes de agua e esgoto doméstica. PVC Orientado (Policloreto de Vinila). Material mais resistente que PVC.</t>
  </si>
  <si>
    <t>Material de construcción utilizado para conducir redes de agua y alcantarillado domésticas. PVC orientado (cloruro de polivinilo). Material más resistente que el PVC.</t>
  </si>
  <si>
    <t>Construction material used to conduct domestic water and sewage networks. Oriented PVC (Polyvinyl Chloride). Material more resistant than PVC.</t>
  </si>
  <si>
    <t>Conduíte.Rígido.de.Elétrica</t>
  </si>
  <si>
    <t>Material construtivo usado para conduzir a fiação elétrica em eletrodutos rígidos.</t>
  </si>
  <si>
    <t>Material de construcción utilizado para conducir el cableado eléctrico en conductos rígidos.</t>
  </si>
  <si>
    <t>Construction material used to conduct electrical wiring in rigid conduits.</t>
  </si>
  <si>
    <t>Conduíte.Rígido.de.Telecom</t>
  </si>
  <si>
    <t>Material construtivo usado para conduzir a fiação de rede de dados e telecomunicações em condutos rígidos.</t>
  </si>
  <si>
    <t>Material de construcción utilizado para realizar el cableado de redes de datos y telecomunicaciones en conductos rígidos.</t>
  </si>
  <si>
    <t>Construction material used to conduct data and telecommunications network wiring in rigid conduits.</t>
  </si>
  <si>
    <t>Vedante.Mastique</t>
  </si>
  <si>
    <t>Material construtivo usado para selar e ser flexível, resistente a temperatura e umidade. Aplicados em junção de dutos e passagens de tubulações para evitar vazamentos de ar.</t>
  </si>
  <si>
    <t>Material de construcción utilizado para sellar y ser flexible, resistente a la temperatura y la humedad. Se aplica en la unión de conductos y conductos de tubería para evitar fugas de aire.</t>
  </si>
  <si>
    <t>Construction material used to seal and be flexible, resistant to temperature and humidity. Applied at the junction of ducts and pipe passages to prevent air leaks.</t>
  </si>
  <si>
    <t>Vedante.Plástico.ABS</t>
  </si>
  <si>
    <t>Material construtivo usado para fabricar grelhas, difusores e tomadas de ar externo pela durabilidade e facilidade de acabamento.</t>
  </si>
  <si>
    <t>Material de construcción utilizado para fabricar rejillas, difusores y tomas de aire externas debido a su durabilidad y facilidad de acabado.</t>
  </si>
  <si>
    <t>Construction material used to manufacture grilles, diffusers and external air intakes due to its durability and ease of finishing.</t>
  </si>
  <si>
    <t>Vedante.de.Silicone</t>
  </si>
  <si>
    <t>Tubo.de.PEAD</t>
  </si>
  <si>
    <t>Material construtivo usado para conduzir redes de água, gás, saneamento, irrigação. Termofusão PEAD (Polietileno de Alta Densidade) é um polímero termoplástico derivado do petróleo.</t>
  </si>
  <si>
    <t>Material de construcción utilizado para conducir agua, gas, saneamiento y redes de riego. La termofusión de HDPE (polietileno de alta densidad) es un polímero termoplástico derivado del petróleo.</t>
  </si>
  <si>
    <t>Construction material used to conduct water, gas, sanitation, irrigation networks. HDPE (High Density Polyethylene) thermofusion is a thermoplastic polymer derived from petroleum.</t>
  </si>
  <si>
    <t>Tubo.de.PEX</t>
  </si>
  <si>
    <t>Material construtivo usado para conduzir água gelada ou quente e em linhas de drenagem de condensado, pois são imunes à corrosão e evitam o incrustamento interno.</t>
  </si>
  <si>
    <t>Material de construcción utilizado para conducir agua fría o caliente y en las tuberías de drenaje de condensados, ya que son inmunes a la corrosión y evitan el ensuciamiento interno.</t>
  </si>
  <si>
    <t>Construction material used to conduct chilled or hot water and in condensate drainage lines, as they are immune to corrosion and prevent internal fouling.</t>
  </si>
  <si>
    <t>Tubo.de.PPR</t>
  </si>
  <si>
    <t>Catálogo.de.Fabricante</t>
  </si>
  <si>
    <t>Catálogo de materiais e produtos construtivos usado para explicar os modelos ou produtos produzidos por um fabricante. Normalmente com dados de propriedades técnicas dos produtos.</t>
  </si>
  <si>
    <t>Catálogo de construcción utilizado para explicar los modelos o productos fabricados por un fabricante. Normalmente con datos sobre las propiedades técnicas de los productos.</t>
  </si>
  <si>
    <t>Catalog of material used to explain the models or products produced by a manufacturer. Usually with data on the technical properties of the products.</t>
  </si>
  <si>
    <t>[ IfcMaterial : IfcPipeSegment : IfcPipeFitting ]</t>
  </si>
  <si>
    <t>[ 5I ]</t>
  </si>
  <si>
    <t>Catálogo.de.Fornecedor</t>
  </si>
  <si>
    <t>Catálogo de materiais e produtos construtivos usado para explicar os modelos ou produtos vendidos por um fornecedor. Pode misturar produtos de vários fabricantes e ter finalidade ilustrativa comercial.</t>
  </si>
  <si>
    <t>Catálogo de construcción utilizado para explicar los modelos o productos vendidos por un proveedor. Puede mezclar productos de varios fabricantes y tener un propósito ilustrativo comercial.</t>
  </si>
  <si>
    <t>Catalog of material used to explain the models or products sold by a supplier. It can mix products from several manufacturers and have a commercial illustrative purpose.</t>
  </si>
  <si>
    <t>Catálogo.de.Construtor</t>
  </si>
  <si>
    <t>Catálogo de materiais e produtos construtivos criado pelo construtor para cadastrar os produtos.</t>
  </si>
  <si>
    <t>Catálogo de materiales y productos constructivos creado por el constructor para cadastrar los productos usados en la obra.</t>
  </si>
  <si>
    <t>Catalog of construction materials and products prepared by the contractor to record all items used in the construction work.</t>
  </si>
  <si>
    <t>Projeto_A</t>
  </si>
  <si>
    <t>"Projeto estrutural de aço"</t>
  </si>
  <si>
    <t>é.pertencente.a</t>
  </si>
  <si>
    <t>Estrutura.Aço</t>
  </si>
  <si>
    <t>Norma-Número</t>
  </si>
  <si>
    <t>Norma-Edição</t>
  </si>
  <si>
    <t>Norma-ISBN</t>
  </si>
  <si>
    <t>Norma-Escopo</t>
  </si>
  <si>
    <t>Norma-Referência-01</t>
  </si>
  <si>
    <t>Norma-Referência-02</t>
  </si>
  <si>
    <t>Norma-Referência-03</t>
  </si>
  <si>
    <t>Advertência</t>
  </si>
  <si>
    <t>Aviso</t>
  </si>
  <si>
    <t>Alert</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</si>
  <si>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</si>
  <si>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</si>
  <si>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</si>
  <si>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</si>
  <si>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</si>
  <si>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</si>
  <si>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</si>
  <si>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</si>
  <si>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</si>
  <si>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</si>
  <si>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</si>
  <si>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</si>
  <si>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</si>
  <si>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</si>
  <si>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</si>
  <si>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</si>
  <si>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</si>
  <si>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</si>
  <si>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</si>
  <si>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</si>
  <si>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</si>
  <si>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</si>
  <si>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</si>
  <si>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</si>
  <si>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</si>
  <si>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</si>
  <si>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</si>
  <si>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</si>
  <si>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</si>
  <si>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</si>
  <si>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</si>
  <si>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</si>
  <si>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</si>
  <si>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</si>
  <si>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</si>
  <si>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</si>
  <si>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</si>
  <si>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</si>
  <si>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</si>
  <si>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</si>
  <si>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</si>
  <si>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</si>
  <si>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</si>
  <si>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Estrutura_Metálica</t>
  </si>
  <si>
    <t>Adesivos</t>
  </si>
  <si>
    <t>Aditivos</t>
  </si>
  <si>
    <t>Defloculante</t>
  </si>
  <si>
    <t>Usado para melhorar a trabalhabilidade do material.</t>
  </si>
  <si>
    <t>Se usa para mejorar la manifiabilidad del material.</t>
  </si>
  <si>
    <t>Used to improve the workability of the material.</t>
  </si>
  <si>
    <t>[ OST_Materials : OST_MaterialTags ]</t>
  </si>
  <si>
    <t>[ IfcMaterial : IfcText : IfcLabel : IfcMaterialRelationship ]</t>
  </si>
  <si>
    <t>Pigmento</t>
  </si>
  <si>
    <t>Usado para alterar as propriedades cromáticas.</t>
  </si>
  <si>
    <t>Se usaba para cambiar propiedades cromáticas.</t>
  </si>
  <si>
    <t>Used to change chromatic properties.</t>
  </si>
  <si>
    <t>Argamassas</t>
  </si>
  <si>
    <t>Concretos.Reguladores</t>
  </si>
  <si>
    <t>Concretos.Estruturais</t>
  </si>
  <si>
    <t>Concretos.Formados</t>
  </si>
  <si>
    <t>Espumados</t>
  </si>
  <si>
    <t>Isolantes</t>
  </si>
  <si>
    <t>Caixas.Metálicas</t>
  </si>
  <si>
    <t>Caixas.Plásticas</t>
  </si>
  <si>
    <t>Calhas.Metálicas</t>
  </si>
  <si>
    <t>Calhas.Plásticas</t>
  </si>
  <si>
    <t>Conduítes.Flex</t>
  </si>
  <si>
    <t>Conduítes.Rígidos</t>
  </si>
  <si>
    <t>Fiações.Metálicas</t>
  </si>
  <si>
    <t>Peças.Metálicas</t>
  </si>
  <si>
    <t>Quadros.Metálicos</t>
  </si>
  <si>
    <t>Quadros.Plásticos</t>
  </si>
  <si>
    <t>Tubos.Metálicos</t>
  </si>
  <si>
    <t>Tubos.Multicamadas</t>
  </si>
  <si>
    <t>Tubos.Plásticos</t>
  </si>
  <si>
    <t>Tubos.Termoplásticos</t>
  </si>
  <si>
    <t>De.Construção</t>
  </si>
  <si>
    <t>Produtos.Construtivos</t>
  </si>
  <si>
    <t>Ligas.Estruturais</t>
  </si>
  <si>
    <t>Calha.de.Pluvial</t>
  </si>
  <si>
    <t>Material construtivo usado para coletar de água de telhados.</t>
  </si>
  <si>
    <t>Material de construcción para colectar agua pluvial en tejados.</t>
  </si>
  <si>
    <t>[ OST_Materials : OST_PipeMaterials : OST_DuctInsulations : OST_DuctLinings : OST_FabricationDuctwork : OST_Roofs ]</t>
  </si>
  <si>
    <t>[ IfcMaterial : IfcPipeSegmentRIGIDSEGMENT : IfcPipeFitting : IfcRoof]</t>
  </si>
  <si>
    <t>Canaleta.de.Pluvial</t>
  </si>
  <si>
    <t>Vedantes</t>
  </si>
  <si>
    <t>Produtos.Catalogados</t>
  </si>
  <si>
    <t>Catálogos.de.Produtos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</si>
</sst>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i/>
      <sz val="6"/>
      <name val="Arial Nova Cond Light"/>
      <family val="2"/>
    </font>
    <font>
      <sz val="6"/>
      <name val="Arial Nova Cond Light"/>
      <family val="2"/>
    </font>
    <font>
      <b/>
      <sz val="6"/>
      <color rgb="FF000000"/>
      <name val="Arial Nova Cond Light"/>
      <family val="2"/>
    </font>
    <font>
      <sz val="8"/>
      <name val="Calibri"/>
      <family val="2"/>
      <scheme val="minor"/>
    </font>
    <font>
      <b/>
      <sz val="5"/>
      <color rgb="FF000000"/>
      <name val="Arial Nova Cond Light"/>
      <family val="2"/>
    </font>
    <font>
      <sz val="8"/>
      <color theme="1"/>
      <name val="Arial Nova Cond"/>
      <family val="2"/>
    </font>
    <font>
      <sz val="8"/>
      <color theme="1"/>
      <name val="Arial Nova Cond Light"/>
      <family val="2"/>
    </font>
    <font>
      <u/>
      <sz val="11"/>
      <color theme="10"/>
      <name val="Calibri"/>
      <family val="2"/>
      <scheme val="minor"/>
    </font>
  </fonts>
  <fills count="30">
    <fill>
      <patternFill patternType="none"/>
    </fill>
    <fill>
      <patternFill patternType="gray125"/>
    </fill>
    <fill>
      <patternFill patternType="solid">
        <fgColor rgb="FFFFFFFF"/>
        <bgColor rgb="FF000000"/>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99FF"/>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CCFF"/>
        <bgColor indexed="64"/>
      </patternFill>
    </fill>
    <fill>
      <patternFill patternType="solid">
        <fgColor theme="2"/>
        <bgColor indexed="64"/>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theme="0" tint="-0.14999847407452621"/>
        <bgColor indexed="64"/>
      </patternFill>
    </fill>
    <fill>
      <patternFill patternType="solid">
        <fgColor rgb="FFFFC000"/>
        <bgColor indexed="64"/>
      </patternFill>
    </fill>
    <fill>
      <patternFill patternType="solid">
        <fgColor rgb="FFFFC000"/>
        <bgColor rgb="FFFF9900"/>
      </patternFill>
    </fill>
    <fill>
      <patternFill patternType="solid">
        <fgColor rgb="FFFFC000"/>
        <bgColor rgb="FFD9F2D0"/>
      </patternFill>
    </fill>
    <fill>
      <patternFill patternType="solid">
        <fgColor theme="7" tint="0.79998168889431442"/>
        <bgColor rgb="FFD9F2D0"/>
      </patternFill>
    </fill>
    <fill>
      <patternFill patternType="solid">
        <fgColor theme="5" tint="0.79998168889431442"/>
        <bgColor indexed="64"/>
      </patternFill>
    </fill>
    <fill>
      <patternFill patternType="solid">
        <fgColor theme="5" tint="0.79998168889431442"/>
        <bgColor rgb="FFD9F2D0"/>
      </patternFill>
    </fill>
    <fill>
      <patternFill patternType="solid">
        <fgColor theme="5" tint="0.79998168889431442"/>
        <bgColor rgb="FFFFC7CE"/>
      </patternFill>
    </fill>
    <fill>
      <patternFill patternType="solid">
        <fgColor theme="5" tint="0.79998168889431442"/>
        <bgColor rgb="FFFEF2CB"/>
      </patternFill>
    </fill>
    <fill>
      <patternFill patternType="solid">
        <fgColor rgb="FFFF99FF"/>
        <bgColor rgb="FFFFFFCC"/>
      </patternFill>
    </fill>
    <fill>
      <patternFill patternType="solid">
        <fgColor theme="9" tint="0.59999389629810485"/>
        <bgColor rgb="FFFEF2CB"/>
      </patternFill>
    </fill>
    <fill>
      <patternFill patternType="solid">
        <fgColor theme="9" tint="0.59999389629810485"/>
        <bgColor rgb="FF000000"/>
      </patternFill>
    </fill>
    <fill>
      <patternFill patternType="solid">
        <fgColor theme="9" tint="0.79998168889431442"/>
        <bgColor rgb="FF000000"/>
      </patternFill>
    </fill>
    <fill>
      <patternFill patternType="solid">
        <fgColor rgb="FFFBE79D"/>
        <bgColor indexed="64"/>
      </patternFill>
    </fill>
    <fill>
      <patternFill patternType="solid">
        <fgColor rgb="FFAEAAAA"/>
        <bgColor rgb="FF00000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3" fillId="0" borderId="0" applyNumberFormat="0" applyFill="0" applyBorder="0" applyAlignment="0" applyProtection="0"/>
  </cellStyleXfs>
  <cellXfs count="100">
    <xf numFmtId="0" fontId="0" fillId="0" borderId="0" xfId="0"/>
    <xf numFmtId="0" fontId="1" fillId="11" borderId="1" xfId="0" applyFont="1" applyFill="1" applyBorder="1" applyAlignment="1">
      <alignment horizontal="left" vertical="center"/>
    </xf>
    <xf numFmtId="0" fontId="2" fillId="0" borderId="1" xfId="0" applyFont="1" applyBorder="1" applyAlignment="1">
      <alignment horizontal="left" vertical="center"/>
    </xf>
    <xf numFmtId="0" fontId="3" fillId="2" borderId="1" xfId="0" applyFont="1" applyFill="1" applyBorder="1" applyAlignment="1">
      <alignment vertical="center"/>
    </xf>
    <xf numFmtId="0" fontId="2" fillId="0" borderId="1" xfId="0" applyFont="1" applyBorder="1" applyAlignment="1">
      <alignment vertical="center"/>
    </xf>
    <xf numFmtId="22" fontId="2" fillId="0" borderId="1" xfId="0" applyNumberFormat="1" applyFont="1" applyBorder="1" applyAlignment="1">
      <alignment horizontal="left" vertical="center"/>
    </xf>
    <xf numFmtId="0" fontId="2" fillId="0" borderId="1" xfId="0" applyFont="1" applyBorder="1" applyAlignment="1">
      <alignment vertical="center" wrapText="1"/>
    </xf>
    <xf numFmtId="0" fontId="4" fillId="12"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2" fillId="0" borderId="0" xfId="0" applyFont="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2" fillId="0" borderId="0" xfId="0" applyFont="1"/>
    <xf numFmtId="0" fontId="1" fillId="7" borderId="1" xfId="0" applyFont="1" applyFill="1" applyBorder="1" applyAlignment="1">
      <alignment horizontal="center" vertical="center"/>
    </xf>
    <xf numFmtId="0" fontId="1" fillId="7" borderId="1" xfId="0" applyFont="1" applyFill="1" applyBorder="1" applyAlignment="1">
      <alignment horizontal="left" vertical="center"/>
    </xf>
    <xf numFmtId="0" fontId="7" fillId="10" borderId="1" xfId="0" applyFont="1" applyFill="1" applyBorder="1" applyAlignment="1">
      <alignment horizontal="center" vertical="center"/>
    </xf>
    <xf numFmtId="0" fontId="7" fillId="5" borderId="1" xfId="0" applyFont="1" applyFill="1" applyBorder="1" applyAlignment="1">
      <alignment horizontal="left" vertical="center"/>
    </xf>
    <xf numFmtId="0" fontId="2" fillId="6" borderId="1" xfId="0" applyFont="1" applyFill="1" applyBorder="1" applyAlignment="1">
      <alignment vertical="center"/>
    </xf>
    <xf numFmtId="0" fontId="7" fillId="8" borderId="1" xfId="0" applyFont="1" applyFill="1" applyBorder="1" applyAlignment="1">
      <alignment horizontal="left" vertical="center"/>
    </xf>
    <xf numFmtId="0" fontId="4" fillId="14" borderId="1" xfId="0" applyFont="1" applyFill="1" applyBorder="1" applyAlignment="1">
      <alignment horizontal="center" vertical="center" wrapText="1"/>
    </xf>
    <xf numFmtId="0" fontId="5" fillId="14" borderId="1" xfId="0" applyFont="1" applyFill="1" applyBorder="1" applyAlignment="1">
      <alignment vertical="center" wrapText="1"/>
    </xf>
    <xf numFmtId="0" fontId="7" fillId="0" borderId="0" xfId="0" applyFont="1"/>
    <xf numFmtId="0" fontId="7" fillId="15" borderId="1" xfId="0" applyFont="1" applyFill="1" applyBorder="1" applyAlignment="1">
      <alignment vertical="center"/>
    </xf>
    <xf numFmtId="0" fontId="8" fillId="16" borderId="3" xfId="0" applyFont="1" applyFill="1" applyBorder="1" applyAlignment="1">
      <alignment horizontal="center" vertical="center" wrapText="1"/>
    </xf>
    <xf numFmtId="0" fontId="8" fillId="13" borderId="3"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1" fillId="7" borderId="1" xfId="0" applyFont="1" applyFill="1" applyBorder="1" applyAlignment="1">
      <alignment vertical="center"/>
    </xf>
    <xf numFmtId="0" fontId="7" fillId="4" borderId="1" xfId="0" applyFont="1" applyFill="1" applyBorder="1" applyAlignment="1">
      <alignment vertical="center"/>
    </xf>
    <xf numFmtId="0" fontId="7" fillId="9" borderId="1" xfId="0" applyFont="1" applyFill="1" applyBorder="1" applyAlignment="1">
      <alignment vertical="center"/>
    </xf>
    <xf numFmtId="0" fontId="2" fillId="3" borderId="1" xfId="0" applyFont="1" applyFill="1" applyBorder="1" applyAlignment="1">
      <alignment horizontal="left" vertical="center"/>
    </xf>
    <xf numFmtId="0" fontId="2" fillId="8" borderId="1" xfId="0" applyFont="1" applyFill="1" applyBorder="1" applyAlignment="1">
      <alignment horizontal="left" vertical="center"/>
    </xf>
    <xf numFmtId="0" fontId="7" fillId="4" borderId="1" xfId="0" applyFont="1" applyFill="1" applyBorder="1" applyAlignment="1">
      <alignment horizontal="left" vertical="center"/>
    </xf>
    <xf numFmtId="0" fontId="7" fillId="9" borderId="1" xfId="0" applyFont="1" applyFill="1" applyBorder="1" applyAlignment="1">
      <alignment horizontal="left" vertical="center"/>
    </xf>
    <xf numFmtId="0" fontId="0" fillId="0" borderId="0" xfId="0" applyAlignment="1">
      <alignment horizontal="left"/>
    </xf>
    <xf numFmtId="0" fontId="7" fillId="6" borderId="1" xfId="0" applyFont="1" applyFill="1" applyBorder="1" applyAlignment="1">
      <alignment horizontal="left" vertical="center" wrapText="1"/>
    </xf>
    <xf numFmtId="0" fontId="2" fillId="6" borderId="1" xfId="0" applyFont="1" applyFill="1" applyBorder="1" applyAlignment="1">
      <alignment horizontal="left" vertical="center"/>
    </xf>
    <xf numFmtId="0" fontId="7" fillId="3" borderId="1" xfId="0" applyFont="1" applyFill="1" applyBorder="1" applyAlignment="1">
      <alignment horizontal="left" vertical="center"/>
    </xf>
    <xf numFmtId="0" fontId="7" fillId="8" borderId="1" xfId="0" applyFont="1" applyFill="1" applyBorder="1" applyAlignment="1">
      <alignment vertical="center"/>
    </xf>
    <xf numFmtId="0" fontId="2" fillId="3" borderId="1" xfId="0" applyFont="1" applyFill="1" applyBorder="1" applyAlignment="1">
      <alignment vertical="center"/>
    </xf>
    <xf numFmtId="0" fontId="1" fillId="7" borderId="1" xfId="0" applyFont="1" applyFill="1" applyBorder="1" applyAlignment="1">
      <alignment horizontal="left" vertical="center" wrapText="1"/>
    </xf>
    <xf numFmtId="0" fontId="7" fillId="5" borderId="1" xfId="0" applyFont="1" applyFill="1" applyBorder="1" applyAlignment="1">
      <alignment vertical="center" wrapText="1"/>
    </xf>
    <xf numFmtId="0" fontId="10" fillId="13" borderId="1" xfId="0" applyFont="1" applyFill="1" applyBorder="1" applyAlignment="1">
      <alignment horizontal="left" vertical="center" wrapText="1"/>
    </xf>
    <xf numFmtId="0" fontId="3" fillId="19" borderId="1" xfId="0" applyFont="1" applyFill="1" applyBorder="1" applyAlignment="1">
      <alignment horizontal="left" vertical="center"/>
    </xf>
    <xf numFmtId="0" fontId="11" fillId="0" borderId="0" xfId="0" applyFont="1" applyAlignment="1">
      <alignment vertical="center"/>
    </xf>
    <xf numFmtId="0" fontId="1" fillId="11" borderId="1" xfId="0" applyFont="1" applyFill="1" applyBorder="1" applyAlignment="1">
      <alignment horizontal="center" vertical="center"/>
    </xf>
    <xf numFmtId="0" fontId="2" fillId="0" borderId="1" xfId="0" applyFont="1" applyBorder="1" applyAlignment="1">
      <alignment horizontal="center" vertical="center"/>
    </xf>
    <xf numFmtId="0" fontId="12" fillId="0" borderId="0" xfId="0" applyFont="1" applyAlignment="1">
      <alignment vertical="center"/>
    </xf>
    <xf numFmtId="0" fontId="2" fillId="19" borderId="1" xfId="0" applyFont="1" applyFill="1" applyBorder="1" applyAlignment="1">
      <alignment horizontal="left" vertical="center"/>
    </xf>
    <xf numFmtId="0" fontId="3" fillId="19" borderId="1" xfId="0" applyFont="1" applyFill="1" applyBorder="1" applyAlignment="1">
      <alignment horizontal="left" vertical="center" wrapText="1"/>
    </xf>
    <xf numFmtId="0" fontId="8" fillId="16" borderId="2" xfId="0" applyFont="1" applyFill="1" applyBorder="1" applyAlignment="1">
      <alignment horizontal="left" vertical="center" wrapText="1"/>
    </xf>
    <xf numFmtId="0" fontId="3" fillId="20" borderId="1" xfId="0" applyFont="1" applyFill="1" applyBorder="1" applyAlignment="1">
      <alignment horizontal="left" vertical="center"/>
    </xf>
    <xf numFmtId="2" fontId="7" fillId="8" borderId="1" xfId="0" applyNumberFormat="1" applyFont="1" applyFill="1" applyBorder="1" applyAlignment="1">
      <alignment horizontal="left" vertical="center"/>
    </xf>
    <xf numFmtId="0" fontId="3" fillId="14" borderId="1" xfId="0" applyFont="1" applyFill="1" applyBorder="1" applyAlignment="1">
      <alignment horizontal="right" vertical="center"/>
    </xf>
    <xf numFmtId="0" fontId="7" fillId="16" borderId="1" xfId="0" applyFont="1" applyFill="1" applyBorder="1" applyAlignment="1">
      <alignment horizontal="left" vertical="center"/>
    </xf>
    <xf numFmtId="0" fontId="8" fillId="16" borderId="3" xfId="0" applyFont="1" applyFill="1" applyBorder="1" applyAlignment="1">
      <alignment horizontal="left" vertical="center" wrapText="1"/>
    </xf>
    <xf numFmtId="0" fontId="5" fillId="16" borderId="3" xfId="0" applyFont="1" applyFill="1" applyBorder="1" applyAlignment="1">
      <alignment horizontal="left" vertical="center" wrapText="1"/>
    </xf>
    <xf numFmtId="0" fontId="4" fillId="15" borderId="1" xfId="0" applyFont="1" applyFill="1" applyBorder="1" applyAlignment="1">
      <alignment horizontal="left" vertical="center"/>
    </xf>
    <xf numFmtId="0" fontId="3" fillId="21" borderId="1" xfId="0" applyFont="1" applyFill="1" applyBorder="1" applyAlignment="1">
      <alignment horizontal="left" vertical="center"/>
    </xf>
    <xf numFmtId="0" fontId="3" fillId="19" borderId="1" xfId="0" applyFont="1" applyFill="1" applyBorder="1" applyAlignment="1">
      <alignment vertical="center"/>
    </xf>
    <xf numFmtId="0" fontId="7" fillId="22" borderId="1" xfId="0" applyFont="1" applyFill="1" applyBorder="1" applyAlignment="1">
      <alignment horizontal="left" vertical="center"/>
    </xf>
    <xf numFmtId="0" fontId="3" fillId="23" borderId="1" xfId="0" applyFont="1" applyFill="1" applyBorder="1" applyAlignment="1">
      <alignment vertical="center"/>
    </xf>
    <xf numFmtId="0" fontId="7" fillId="24" borderId="1" xfId="0" applyFont="1" applyFill="1" applyBorder="1" applyAlignment="1">
      <alignment horizontal="left" vertical="center"/>
    </xf>
    <xf numFmtId="0" fontId="7" fillId="25" borderId="1" xfId="0" applyFont="1" applyFill="1" applyBorder="1" applyAlignment="1">
      <alignment horizontal="left" vertical="center"/>
    </xf>
    <xf numFmtId="0" fontId="7" fillId="26" borderId="1" xfId="0" applyFont="1" applyFill="1" applyBorder="1" applyAlignment="1">
      <alignment horizontal="left" vertical="center"/>
    </xf>
    <xf numFmtId="0" fontId="2" fillId="8" borderId="1" xfId="0" applyFont="1" applyFill="1" applyBorder="1" applyAlignment="1">
      <alignment vertical="center"/>
    </xf>
    <xf numFmtId="2" fontId="2" fillId="8" borderId="1" xfId="0" applyNumberFormat="1" applyFont="1" applyFill="1" applyBorder="1" applyAlignment="1">
      <alignment horizontal="left" vertical="center"/>
    </xf>
    <xf numFmtId="0" fontId="3" fillId="6" borderId="4" xfId="0" applyFont="1" applyFill="1" applyBorder="1" applyAlignment="1">
      <alignment vertical="center"/>
    </xf>
    <xf numFmtId="0" fontId="3" fillId="6" borderId="1" xfId="0" applyFont="1" applyFill="1" applyBorder="1" applyAlignment="1">
      <alignment vertical="center" wrapText="1"/>
    </xf>
    <xf numFmtId="0" fontId="3" fillId="21" borderId="1" xfId="0" applyFont="1" applyFill="1" applyBorder="1" applyAlignment="1">
      <alignment vertical="center"/>
    </xf>
    <xf numFmtId="0" fontId="3" fillId="19" borderId="1" xfId="0" applyFont="1" applyFill="1" applyBorder="1" applyAlignment="1">
      <alignment vertical="center" wrapText="1"/>
    </xf>
    <xf numFmtId="0" fontId="3" fillId="19" borderId="1" xfId="0" quotePrefix="1" applyFont="1" applyFill="1" applyBorder="1" applyAlignment="1">
      <alignment vertical="center" wrapText="1"/>
    </xf>
    <xf numFmtId="0" fontId="3" fillId="27" borderId="1" xfId="0" applyFont="1" applyFill="1" applyBorder="1" applyAlignment="1">
      <alignment horizontal="left" vertical="center"/>
    </xf>
    <xf numFmtId="0" fontId="2" fillId="27" borderId="1" xfId="0" applyFont="1" applyFill="1" applyBorder="1" applyAlignment="1">
      <alignment horizontal="left" vertical="center"/>
    </xf>
    <xf numFmtId="0" fontId="3" fillId="19" borderId="1" xfId="0" applyFont="1" applyFill="1" applyBorder="1" applyAlignment="1">
      <alignment horizontal="center" vertical="center"/>
    </xf>
    <xf numFmtId="0" fontId="12" fillId="0" borderId="0" xfId="0" applyFont="1" applyAlignment="1">
      <alignment horizontal="left" vertical="center"/>
    </xf>
    <xf numFmtId="0" fontId="3" fillId="27" borderId="1" xfId="0" applyFont="1" applyFill="1" applyBorder="1" applyAlignment="1">
      <alignment horizontal="left" vertical="center" wrapText="1"/>
    </xf>
    <xf numFmtId="0" fontId="7" fillId="27" borderId="1" xfId="0" applyFont="1" applyFill="1" applyBorder="1" applyAlignment="1">
      <alignment horizontal="left" vertical="center" wrapText="1"/>
    </xf>
    <xf numFmtId="0" fontId="3" fillId="27" borderId="1" xfId="0" applyFont="1" applyFill="1" applyBorder="1" applyAlignment="1">
      <alignment vertical="center"/>
    </xf>
    <xf numFmtId="0" fontId="3" fillId="27" borderId="4" xfId="0" applyFont="1" applyFill="1" applyBorder="1" applyAlignment="1">
      <alignment vertical="center"/>
    </xf>
    <xf numFmtId="0" fontId="3" fillId="27" borderId="1" xfId="0" applyFont="1" applyFill="1" applyBorder="1" applyAlignment="1">
      <alignment vertical="center" wrapText="1"/>
    </xf>
    <xf numFmtId="0" fontId="8" fillId="13" borderId="3" xfId="0" applyFont="1" applyFill="1" applyBorder="1" applyAlignment="1">
      <alignment horizontal="center" vertical="center" wrapText="1"/>
    </xf>
    <xf numFmtId="0" fontId="0" fillId="0" borderId="0" xfId="0" applyAlignment="1">
      <alignment horizontal="center"/>
    </xf>
    <xf numFmtId="0" fontId="7" fillId="16" borderId="1" xfId="0" applyFont="1" applyFill="1" applyBorder="1" applyAlignment="1">
      <alignment vertical="center"/>
    </xf>
    <xf numFmtId="0" fontId="0" fillId="0" borderId="0" xfId="0" applyAlignment="1">
      <alignment horizontal="left" vertical="center"/>
    </xf>
    <xf numFmtId="0" fontId="3" fillId="21" borderId="5" xfId="0" applyFont="1" applyFill="1" applyBorder="1" applyAlignment="1">
      <alignment horizontal="left" vertical="center"/>
    </xf>
    <xf numFmtId="0" fontId="3" fillId="0" borderId="0" xfId="0" applyFont="1" applyAlignment="1">
      <alignment vertical="center"/>
    </xf>
    <xf numFmtId="0" fontId="0" fillId="0" borderId="0" xfId="0" applyAlignment="1">
      <alignment vertical="center"/>
    </xf>
    <xf numFmtId="0" fontId="8" fillId="28" borderId="1" xfId="0" applyFont="1" applyFill="1" applyBorder="1" applyAlignment="1">
      <alignment vertical="center"/>
    </xf>
    <xf numFmtId="0" fontId="7" fillId="0" borderId="1" xfId="1" applyFont="1" applyBorder="1" applyAlignment="1">
      <alignment horizontal="left" vertical="center"/>
    </xf>
    <xf numFmtId="0" fontId="7" fillId="0" borderId="1" xfId="1" applyFont="1" applyFill="1" applyBorder="1" applyAlignment="1">
      <alignment vertical="center"/>
    </xf>
    <xf numFmtId="0" fontId="7" fillId="0" borderId="1" xfId="1" applyFont="1" applyBorder="1" applyAlignment="1">
      <alignment vertical="center" wrapText="1"/>
    </xf>
    <xf numFmtId="0" fontId="7" fillId="0" borderId="1" xfId="0" applyFont="1" applyBorder="1" applyAlignment="1">
      <alignment vertical="center"/>
    </xf>
    <xf numFmtId="0" fontId="7" fillId="29" borderId="1" xfId="0" applyFont="1" applyFill="1" applyBorder="1" applyAlignment="1">
      <alignment vertical="center"/>
    </xf>
    <xf numFmtId="22" fontId="7" fillId="0" borderId="1" xfId="1" applyNumberFormat="1" applyFont="1" applyBorder="1" applyAlignment="1">
      <alignment horizontal="left" vertical="center"/>
    </xf>
    <xf numFmtId="0" fontId="7" fillId="0" borderId="1" xfId="1" applyFont="1" applyBorder="1" applyAlignment="1">
      <alignment vertical="center"/>
    </xf>
    <xf numFmtId="0" fontId="2" fillId="29" borderId="1" xfId="0" applyFont="1" applyFill="1" applyBorder="1" applyAlignment="1">
      <alignment vertical="center" wrapText="1"/>
    </xf>
    <xf numFmtId="0" fontId="2" fillId="27" borderId="1" xfId="0" applyFont="1" applyFill="1" applyBorder="1" applyAlignment="1">
      <alignment horizontal="left" vertical="center" wrapText="1"/>
    </xf>
    <xf numFmtId="0" fontId="2" fillId="0" borderId="0" xfId="0" applyFont="1" applyAlignment="1">
      <alignment horizontal="left" vertical="center"/>
    </xf>
  </cellXfs>
  <cellStyles count="2">
    <cellStyle name="Hiperlink" xfId="1" builtinId="8"/>
    <cellStyle name="Normal" xfId="0" builtinId="0"/>
  </cellStyles>
  <dxfs count="40">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theme="0" tint="-0.499984740745262"/>
      </font>
    </dxf>
  </dxfs>
  <tableStyles count="0" defaultTableStyle="TableStyleMedium2" defaultPivotStyle="PivotStyleLight16"/>
  <colors>
    <mruColors>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724F-B8C4-4B86-9028-743FC73CDDB0}">
  <sheetPr codeName="Planilha1"/>
  <dimension ref="A1:C49"/>
  <sheetViews>
    <sheetView zoomScale="205" zoomScaleNormal="205" workbookViewId="0">
      <pane ySplit="1" topLeftCell="A2" activePane="bottomLeft" state="frozen"/>
      <selection pane="bottomLeft" activeCell="B1" sqref="B1"/>
    </sheetView>
  </sheetViews>
  <sheetFormatPr defaultColWidth="9.140625" defaultRowHeight="7.5" customHeight="1" x14ac:dyDescent="0.25"/>
  <cols>
    <col min="1" max="1" width="12.85546875" bestFit="1" customWidth="1"/>
    <col min="2" max="2" width="51" style="13" customWidth="1"/>
    <col min="3" max="3" width="3.42578125" style="48" bestFit="1" customWidth="1"/>
    <col min="4" max="16384" width="9.140625" style="13"/>
  </cols>
  <sheetData>
    <row r="1" spans="1:3" s="10" customFormat="1" ht="21.75" customHeight="1" x14ac:dyDescent="0.25">
      <c r="A1" s="89" t="s">
        <v>1</v>
      </c>
      <c r="B1" s="1" t="s">
        <v>0</v>
      </c>
      <c r="C1" s="46" t="s">
        <v>985</v>
      </c>
    </row>
    <row r="2" spans="1:3" ht="7.5" customHeight="1" x14ac:dyDescent="0.15">
      <c r="A2" s="3" t="s">
        <v>15</v>
      </c>
      <c r="B2" s="2" t="s">
        <v>68</v>
      </c>
      <c r="C2" s="47" t="s">
        <v>986</v>
      </c>
    </row>
    <row r="3" spans="1:3" ht="7.5" customHeight="1" x14ac:dyDescent="0.15">
      <c r="A3" s="3" t="s">
        <v>16</v>
      </c>
      <c r="B3" s="3" t="s">
        <v>1682</v>
      </c>
      <c r="C3" s="47" t="s">
        <v>986</v>
      </c>
    </row>
    <row r="4" spans="1:3" ht="7.5" customHeight="1" x14ac:dyDescent="0.15">
      <c r="A4" s="4" t="s">
        <v>5</v>
      </c>
      <c r="B4" s="2" t="s">
        <v>17</v>
      </c>
      <c r="C4" s="47" t="s">
        <v>986</v>
      </c>
    </row>
    <row r="5" spans="1:3" ht="7.5" customHeight="1" x14ac:dyDescent="0.15">
      <c r="A5" s="4" t="s">
        <v>4</v>
      </c>
      <c r="B5" s="2" t="str">
        <f>_xlfn.CONCAT(B4,"Prop")</f>
        <v>BIMProp</v>
      </c>
      <c r="C5" s="47" t="s">
        <v>986</v>
      </c>
    </row>
    <row r="6" spans="1:3" ht="7.5" customHeight="1" x14ac:dyDescent="0.15">
      <c r="A6" s="4" t="s">
        <v>6</v>
      </c>
      <c r="B6" s="2" t="str">
        <f>_xlfn.CONCAT(B4,"Data")</f>
        <v>BIMData</v>
      </c>
      <c r="C6" s="47" t="s">
        <v>986</v>
      </c>
    </row>
    <row r="7" spans="1:3" ht="7.5" customHeight="1" x14ac:dyDescent="0.15">
      <c r="A7" s="4" t="s">
        <v>2</v>
      </c>
      <c r="B7" s="2" t="s">
        <v>23</v>
      </c>
      <c r="C7" s="47" t="s">
        <v>986</v>
      </c>
    </row>
    <row r="8" spans="1:3" s="45" customFormat="1" ht="7.5" customHeight="1" x14ac:dyDescent="0.25">
      <c r="A8" s="2" t="s">
        <v>3</v>
      </c>
      <c r="B8" s="2" t="s">
        <v>983</v>
      </c>
      <c r="C8" s="47" t="s">
        <v>986</v>
      </c>
    </row>
    <row r="9" spans="1:3" ht="7.5" customHeight="1" x14ac:dyDescent="0.15">
      <c r="A9" s="4" t="s">
        <v>18</v>
      </c>
      <c r="B9" s="2" t="s">
        <v>19</v>
      </c>
      <c r="C9" s="47" t="s">
        <v>986</v>
      </c>
    </row>
    <row r="10" spans="1:3" ht="7.5" customHeight="1" x14ac:dyDescent="0.15">
      <c r="A10" s="4" t="s">
        <v>1629</v>
      </c>
      <c r="B10" s="2" t="s">
        <v>10</v>
      </c>
      <c r="C10" s="47" t="s">
        <v>986</v>
      </c>
    </row>
    <row r="11" spans="1:3" ht="7.5" customHeight="1" x14ac:dyDescent="0.15">
      <c r="A11" s="4" t="s">
        <v>1630</v>
      </c>
      <c r="B11" s="2" t="s">
        <v>10</v>
      </c>
      <c r="C11" s="47" t="s">
        <v>986</v>
      </c>
    </row>
    <row r="12" spans="1:3" ht="7.5" customHeight="1" x14ac:dyDescent="0.15">
      <c r="A12" s="4" t="s">
        <v>1631</v>
      </c>
      <c r="B12" s="2" t="s">
        <v>10</v>
      </c>
      <c r="C12" s="47" t="s">
        <v>986</v>
      </c>
    </row>
    <row r="13" spans="1:3" ht="7.5" customHeight="1" x14ac:dyDescent="0.15">
      <c r="A13" s="4" t="s">
        <v>1632</v>
      </c>
      <c r="B13" s="2" t="s">
        <v>10</v>
      </c>
      <c r="C13" s="47" t="s">
        <v>986</v>
      </c>
    </row>
    <row r="14" spans="1:3" ht="7.5" customHeight="1" x14ac:dyDescent="0.15">
      <c r="A14" s="4" t="s">
        <v>1633</v>
      </c>
      <c r="B14" s="2" t="s">
        <v>10</v>
      </c>
      <c r="C14" s="47" t="s">
        <v>986</v>
      </c>
    </row>
    <row r="15" spans="1:3" ht="7.5" customHeight="1" x14ac:dyDescent="0.15">
      <c r="A15" s="4" t="s">
        <v>1634</v>
      </c>
      <c r="B15" s="2" t="s">
        <v>10</v>
      </c>
      <c r="C15" s="47" t="s">
        <v>986</v>
      </c>
    </row>
    <row r="16" spans="1:3" ht="7.5" customHeight="1" x14ac:dyDescent="0.15">
      <c r="A16" s="4" t="s">
        <v>1635</v>
      </c>
      <c r="B16" s="2" t="s">
        <v>10</v>
      </c>
      <c r="C16" s="47" t="s">
        <v>986</v>
      </c>
    </row>
    <row r="17" spans="1:3" ht="7.5" customHeight="1" x14ac:dyDescent="0.15">
      <c r="A17" s="4" t="s">
        <v>8</v>
      </c>
      <c r="B17" s="4" t="s">
        <v>69</v>
      </c>
      <c r="C17" s="47" t="s">
        <v>986</v>
      </c>
    </row>
    <row r="18" spans="1:3" ht="7.5" customHeight="1" x14ac:dyDescent="0.15">
      <c r="A18" s="4" t="s">
        <v>20</v>
      </c>
      <c r="B18" s="5">
        <f ca="1">NOW()</f>
        <v>46283.659192245374</v>
      </c>
      <c r="C18" s="47" t="s">
        <v>986</v>
      </c>
    </row>
    <row r="19" spans="1:3" ht="7.5" customHeight="1" x14ac:dyDescent="0.15">
      <c r="A19" s="4" t="s">
        <v>1636</v>
      </c>
      <c r="B19" s="2" t="s">
        <v>10</v>
      </c>
      <c r="C19" s="47" t="s">
        <v>986</v>
      </c>
    </row>
    <row r="20" spans="1:3" ht="7.5" customHeight="1" x14ac:dyDescent="0.15">
      <c r="A20" s="2" t="s">
        <v>1637</v>
      </c>
      <c r="B20" s="2" t="s">
        <v>10</v>
      </c>
      <c r="C20" s="47" t="s">
        <v>987</v>
      </c>
    </row>
    <row r="21" spans="1:3" ht="7.5" customHeight="1" x14ac:dyDescent="0.15">
      <c r="A21" s="2" t="s">
        <v>1638</v>
      </c>
      <c r="B21" s="2" t="s">
        <v>10</v>
      </c>
      <c r="C21" s="47" t="s">
        <v>988</v>
      </c>
    </row>
    <row r="22" spans="1:3" ht="7.5" customHeight="1" x14ac:dyDescent="0.15">
      <c r="A22" s="4" t="s">
        <v>21</v>
      </c>
      <c r="B22" s="2" t="s">
        <v>10</v>
      </c>
      <c r="C22" s="47" t="s">
        <v>986</v>
      </c>
    </row>
    <row r="23" spans="1:3" ht="7.5" customHeight="1" x14ac:dyDescent="0.15">
      <c r="A23" s="4" t="s">
        <v>9</v>
      </c>
      <c r="B23" s="2" t="s">
        <v>10</v>
      </c>
      <c r="C23" s="47" t="s">
        <v>987</v>
      </c>
    </row>
    <row r="24" spans="1:3" s="45" customFormat="1" ht="7.5" customHeight="1" x14ac:dyDescent="0.25">
      <c r="A24" s="4" t="s">
        <v>24</v>
      </c>
      <c r="B24" s="6" t="s">
        <v>70</v>
      </c>
      <c r="C24" s="47" t="s">
        <v>986</v>
      </c>
    </row>
    <row r="25" spans="1:3" customFormat="1" ht="7.5" customHeight="1" x14ac:dyDescent="0.25">
      <c r="A25" s="4" t="s">
        <v>25</v>
      </c>
      <c r="B25" s="6" t="s">
        <v>71</v>
      </c>
      <c r="C25" s="47" t="s">
        <v>987</v>
      </c>
    </row>
    <row r="26" spans="1:3" customFormat="1" ht="7.5" customHeight="1" x14ac:dyDescent="0.25">
      <c r="A26" s="2" t="s">
        <v>984</v>
      </c>
      <c r="B26" s="6" t="str">
        <f>_xlfn.TRANSLATE(B24,"pt","en")</f>
        <v>Formalize data of metallic structural elements.</v>
      </c>
      <c r="C26" s="47" t="s">
        <v>988</v>
      </c>
    </row>
    <row r="27" spans="1:3" customFormat="1" ht="7.5" customHeight="1" x14ac:dyDescent="0.25">
      <c r="A27" s="2" t="s">
        <v>1639</v>
      </c>
      <c r="B27" s="90" t="s">
        <v>1042</v>
      </c>
      <c r="C27" s="47" t="s">
        <v>986</v>
      </c>
    </row>
    <row r="28" spans="1:3" ht="7.5" customHeight="1" x14ac:dyDescent="0.15">
      <c r="A28" s="2" t="s">
        <v>1640</v>
      </c>
      <c r="B28" s="91" t="s">
        <v>1043</v>
      </c>
      <c r="C28" s="47" t="s">
        <v>986</v>
      </c>
    </row>
    <row r="29" spans="1:3" ht="7.5" customHeight="1" x14ac:dyDescent="0.15">
      <c r="A29" s="2" t="s">
        <v>1641</v>
      </c>
      <c r="B29" s="91" t="s">
        <v>1044</v>
      </c>
      <c r="C29" s="47" t="s">
        <v>986</v>
      </c>
    </row>
    <row r="30" spans="1:3" ht="7.5" customHeight="1" x14ac:dyDescent="0.15">
      <c r="A30" s="2" t="s">
        <v>1642</v>
      </c>
      <c r="B30" s="92" t="s">
        <v>1662</v>
      </c>
      <c r="C30" s="47" t="s">
        <v>986</v>
      </c>
    </row>
    <row r="31" spans="1:3" ht="7.5" customHeight="1" x14ac:dyDescent="0.15">
      <c r="A31" s="2" t="s">
        <v>1643</v>
      </c>
      <c r="B31" s="93" t="s">
        <v>1663</v>
      </c>
      <c r="C31" s="47" t="s">
        <v>986</v>
      </c>
    </row>
    <row r="32" spans="1:3" ht="7.5" customHeight="1" x14ac:dyDescent="0.15">
      <c r="A32" s="2" t="s">
        <v>1644</v>
      </c>
      <c r="B32" s="93" t="s">
        <v>1664</v>
      </c>
      <c r="C32" s="47" t="s">
        <v>986</v>
      </c>
    </row>
    <row r="33" spans="1:3" ht="7.5" customHeight="1" x14ac:dyDescent="0.15">
      <c r="A33" s="2" t="s">
        <v>1645</v>
      </c>
      <c r="B33" s="93" t="s">
        <v>1665</v>
      </c>
      <c r="C33" s="47" t="s">
        <v>986</v>
      </c>
    </row>
    <row r="34" spans="1:3" ht="7.5" customHeight="1" x14ac:dyDescent="0.15">
      <c r="A34" s="2" t="s">
        <v>1646</v>
      </c>
      <c r="B34" s="94" t="s">
        <v>1666</v>
      </c>
      <c r="C34" s="47" t="s">
        <v>986</v>
      </c>
    </row>
    <row r="35" spans="1:3" ht="7.5" customHeight="1" x14ac:dyDescent="0.15">
      <c r="A35" s="2" t="s">
        <v>1647</v>
      </c>
      <c r="B35" s="94" t="s">
        <v>1667</v>
      </c>
      <c r="C35" s="47" t="s">
        <v>986</v>
      </c>
    </row>
    <row r="36" spans="1:3" ht="7.5" customHeight="1" x14ac:dyDescent="0.15">
      <c r="A36" s="2" t="s">
        <v>1648</v>
      </c>
      <c r="B36" s="93" t="s">
        <v>1668</v>
      </c>
      <c r="C36" s="47" t="s">
        <v>986</v>
      </c>
    </row>
    <row r="37" spans="1:3" ht="7.5" customHeight="1" x14ac:dyDescent="0.15">
      <c r="A37" s="2" t="s">
        <v>1649</v>
      </c>
      <c r="B37" s="94" t="s">
        <v>1669</v>
      </c>
      <c r="C37" s="47" t="s">
        <v>986</v>
      </c>
    </row>
    <row r="38" spans="1:3" ht="7.5" customHeight="1" x14ac:dyDescent="0.15">
      <c r="A38" s="2" t="s">
        <v>1650</v>
      </c>
      <c r="B38" s="93" t="s">
        <v>1670</v>
      </c>
      <c r="C38" s="47" t="s">
        <v>986</v>
      </c>
    </row>
    <row r="39" spans="1:3" ht="7.5" customHeight="1" x14ac:dyDescent="0.15">
      <c r="A39" s="2" t="s">
        <v>1651</v>
      </c>
      <c r="B39" s="95" t="s">
        <v>1671</v>
      </c>
      <c r="C39" s="47" t="s">
        <v>986</v>
      </c>
    </row>
    <row r="40" spans="1:3" ht="7.5" customHeight="1" x14ac:dyDescent="0.15">
      <c r="A40" s="2" t="s">
        <v>1652</v>
      </c>
      <c r="B40" s="95" t="s">
        <v>1672</v>
      </c>
      <c r="C40" s="47" t="s">
        <v>986</v>
      </c>
    </row>
    <row r="41" spans="1:3" ht="7.5" customHeight="1" x14ac:dyDescent="0.15">
      <c r="A41" s="2" t="s">
        <v>1653</v>
      </c>
      <c r="B41" s="96" t="s">
        <v>1673</v>
      </c>
      <c r="C41" s="47" t="s">
        <v>986</v>
      </c>
    </row>
    <row r="42" spans="1:3" ht="7.5" customHeight="1" x14ac:dyDescent="0.15">
      <c r="A42" s="2" t="s">
        <v>1654</v>
      </c>
      <c r="B42" s="97" t="s">
        <v>1674</v>
      </c>
      <c r="C42" s="47" t="s">
        <v>986</v>
      </c>
    </row>
    <row r="43" spans="1:3" ht="7.5" customHeight="1" x14ac:dyDescent="0.15">
      <c r="A43" s="2" t="s">
        <v>1655</v>
      </c>
      <c r="B43" s="97" t="s">
        <v>1675</v>
      </c>
      <c r="C43" s="47" t="s">
        <v>986</v>
      </c>
    </row>
    <row r="44" spans="1:3" ht="7.5" customHeight="1" x14ac:dyDescent="0.15">
      <c r="A44" s="2" t="s">
        <v>1656</v>
      </c>
      <c r="B44" s="97" t="s">
        <v>1676</v>
      </c>
      <c r="C44" s="47" t="s">
        <v>986</v>
      </c>
    </row>
    <row r="45" spans="1:3" ht="7.5" customHeight="1" x14ac:dyDescent="0.15">
      <c r="A45" s="2" t="s">
        <v>1657</v>
      </c>
      <c r="B45" s="97" t="s">
        <v>1677</v>
      </c>
      <c r="C45" s="47" t="s">
        <v>986</v>
      </c>
    </row>
    <row r="46" spans="1:3" ht="7.5" customHeight="1" x14ac:dyDescent="0.15">
      <c r="A46" s="2" t="s">
        <v>1658</v>
      </c>
      <c r="B46" s="97" t="s">
        <v>1678</v>
      </c>
      <c r="C46" s="47" t="s">
        <v>986</v>
      </c>
    </row>
    <row r="47" spans="1:3" ht="7.5" customHeight="1" x14ac:dyDescent="0.15">
      <c r="A47" s="2" t="s">
        <v>1659</v>
      </c>
      <c r="B47" s="97" t="s">
        <v>1679</v>
      </c>
      <c r="C47" s="47" t="s">
        <v>986</v>
      </c>
    </row>
    <row r="48" spans="1:3" ht="7.5" customHeight="1" x14ac:dyDescent="0.15">
      <c r="A48" s="2" t="s">
        <v>1660</v>
      </c>
      <c r="B48" s="97" t="s">
        <v>1680</v>
      </c>
      <c r="C48" s="47" t="s">
        <v>986</v>
      </c>
    </row>
    <row r="49" spans="1:3" ht="7.5" customHeight="1" x14ac:dyDescent="0.15">
      <c r="A49" s="2" t="s">
        <v>1661</v>
      </c>
      <c r="B49" s="97" t="s">
        <v>1681</v>
      </c>
      <c r="C49" s="47" t="s">
        <v>986</v>
      </c>
    </row>
  </sheetData>
  <hyperlinks>
    <hyperlink ref="B27" r:id="rId1" xr:uid="{598440F3-9D05-47F5-A128-56F4956F4260}"/>
    <hyperlink ref="B29" r:id="rId2" xr:uid="{00F93438-DB4A-4D3F-ADF7-B525937D58FC}"/>
    <hyperlink ref="B28" r:id="rId3" xr:uid="{4034EFBA-F923-477A-8F3E-22F449F28E04}"/>
    <hyperlink ref="B39" r:id="rId4" location="categoria_888" xr:uid="{BE0CD954-9304-4CF6-8036-6631B109926D}"/>
    <hyperlink ref="B40" r:id="rId5" xr:uid="{1874DECE-6949-498F-AEA6-476C3E8E890A}"/>
    <hyperlink ref="B41" r:id="rId6" xr:uid="{C75EFC94-28D1-4EFE-8FCD-DC6402D24F3F}"/>
    <hyperlink ref="B30" r:id="rId7" xr:uid="{637277C5-FB71-40C8-98DE-5CD83BEB16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B721-29D9-4DD8-81B8-03CCB3CE3CCF}">
  <sheetPr codeName="Planilha2"/>
  <dimension ref="A1:AD229"/>
  <sheetViews>
    <sheetView tabSelected="1" zoomScale="250" zoomScaleNormal="250" workbookViewId="0">
      <pane ySplit="1" topLeftCell="A2" activePane="bottomLeft" state="frozen"/>
      <selection pane="bottomLeft" activeCell="F37" sqref="F37"/>
    </sheetView>
  </sheetViews>
  <sheetFormatPr defaultColWidth="2.7109375" defaultRowHeight="6.75" customHeight="1" x14ac:dyDescent="0.25"/>
  <cols>
    <col min="1" max="1" width="3.140625" bestFit="1" customWidth="1"/>
    <col min="2" max="2" width="6.28515625" style="35" bestFit="1" customWidth="1"/>
    <col min="3" max="3" width="12.140625" style="35" bestFit="1" customWidth="1"/>
    <col min="4" max="4" width="11.7109375" style="35" bestFit="1" customWidth="1"/>
    <col min="5" max="5" width="17.7109375" style="35" bestFit="1" customWidth="1"/>
    <col min="6" max="6" width="21.5703125" style="35" bestFit="1" customWidth="1"/>
    <col min="7" max="8" width="10.140625" style="35" bestFit="1" customWidth="1"/>
    <col min="9" max="9" width="15" style="35" bestFit="1" customWidth="1"/>
    <col min="10" max="10" width="17" style="35" bestFit="1" customWidth="1"/>
    <col min="11" max="11" width="22.7109375" style="35" bestFit="1" customWidth="1"/>
    <col min="12" max="12" width="12.140625" style="35" bestFit="1" customWidth="1"/>
    <col min="13" max="13" width="11.7109375" style="35" bestFit="1" customWidth="1"/>
    <col min="14" max="14" width="17.7109375" style="35" bestFit="1" customWidth="1"/>
    <col min="15" max="15" width="21.5703125" style="35" bestFit="1" customWidth="1"/>
    <col min="16" max="16" width="42.140625" style="35" customWidth="1"/>
    <col min="17" max="17" width="49.5703125" style="35" customWidth="1"/>
    <col min="18" max="18" width="42.85546875" style="35" customWidth="1"/>
    <col min="19" max="19" width="4.5703125" style="83" customWidth="1"/>
    <col min="20" max="20" width="12.140625" style="35" bestFit="1" customWidth="1"/>
    <col min="21" max="21" width="11.7109375" style="35" bestFit="1" customWidth="1"/>
    <col min="22" max="22" width="17.7109375" style="35" bestFit="1" customWidth="1"/>
    <col min="23" max="23" width="5.85546875" style="35" bestFit="1" customWidth="1"/>
    <col min="24" max="24" width="8.140625" style="35" bestFit="1" customWidth="1"/>
    <col min="25" max="25" width="28.42578125" style="35" bestFit="1" customWidth="1"/>
    <col min="26" max="26" width="10.42578125" style="35" bestFit="1" customWidth="1"/>
    <col min="27" max="27" width="22.28515625" style="35" bestFit="1" customWidth="1"/>
    <col min="28" max="28" width="9" style="35" bestFit="1" customWidth="1"/>
    <col min="29" max="30" width="4.28515625" style="35" bestFit="1" customWidth="1"/>
    <col min="31" max="16384" width="2.7109375" style="35"/>
  </cols>
  <sheetData>
    <row r="1" spans="1:30" ht="45.75" customHeight="1" x14ac:dyDescent="0.25">
      <c r="A1" s="24">
        <v>0</v>
      </c>
      <c r="B1" s="56" t="s">
        <v>50</v>
      </c>
      <c r="C1" s="56" t="s">
        <v>51</v>
      </c>
      <c r="D1" s="56" t="s">
        <v>52</v>
      </c>
      <c r="E1" s="56" t="s">
        <v>53</v>
      </c>
      <c r="F1" s="56" t="s">
        <v>600</v>
      </c>
      <c r="G1" s="57" t="s">
        <v>54</v>
      </c>
      <c r="H1" s="57" t="s">
        <v>55</v>
      </c>
      <c r="I1" s="57" t="s">
        <v>56</v>
      </c>
      <c r="J1" s="57" t="s">
        <v>57</v>
      </c>
      <c r="K1" s="57" t="s">
        <v>58</v>
      </c>
      <c r="L1" s="25" t="s">
        <v>59</v>
      </c>
      <c r="M1" s="25" t="s">
        <v>60</v>
      </c>
      <c r="N1" s="25" t="s">
        <v>61</v>
      </c>
      <c r="O1" s="25" t="s">
        <v>62</v>
      </c>
      <c r="P1" s="25" t="s">
        <v>63</v>
      </c>
      <c r="Q1" s="25" t="s">
        <v>64</v>
      </c>
      <c r="R1" s="43" t="s">
        <v>982</v>
      </c>
      <c r="S1" s="82" t="s">
        <v>65</v>
      </c>
      <c r="T1" s="25" t="s">
        <v>26</v>
      </c>
      <c r="U1" s="25" t="s">
        <v>66</v>
      </c>
      <c r="V1" s="25" t="s">
        <v>28</v>
      </c>
      <c r="W1" s="25" t="s">
        <v>27</v>
      </c>
      <c r="X1" s="51" t="s">
        <v>49</v>
      </c>
      <c r="Y1" s="25" t="s">
        <v>579</v>
      </c>
      <c r="Z1" s="25" t="s">
        <v>1174</v>
      </c>
      <c r="AA1" s="25" t="s">
        <v>1173</v>
      </c>
      <c r="AB1" s="25" t="s">
        <v>1172</v>
      </c>
      <c r="AC1" s="25" t="s">
        <v>981</v>
      </c>
      <c r="AD1" s="25" t="s">
        <v>1298</v>
      </c>
    </row>
    <row r="2" spans="1:30" s="85" customFormat="1" ht="6.75" customHeight="1" x14ac:dyDescent="0.25">
      <c r="A2" s="54">
        <v>2</v>
      </c>
      <c r="B2" s="73" t="s">
        <v>1045</v>
      </c>
      <c r="C2" s="73" t="s">
        <v>1715</v>
      </c>
      <c r="D2" s="73" t="s">
        <v>1716</v>
      </c>
      <c r="E2" s="73" t="s">
        <v>1683</v>
      </c>
      <c r="F2" s="77" t="s">
        <v>1305</v>
      </c>
      <c r="G2" s="84" t="s">
        <v>7</v>
      </c>
      <c r="H2" s="84" t="s">
        <v>7</v>
      </c>
      <c r="I2" s="84" t="s">
        <v>7</v>
      </c>
      <c r="J2" s="84" t="s">
        <v>7</v>
      </c>
      <c r="K2" s="84" t="s">
        <v>7</v>
      </c>
      <c r="L2" s="59" t="str">
        <f>CONCATENATE("", C2)</f>
        <v>De.Construção</v>
      </c>
      <c r="M2" s="59" t="str">
        <f>CONCATENATE("", D2)</f>
        <v>Produtos.Construtivos</v>
      </c>
      <c r="N2" s="59" t="str">
        <f t="shared" ref="N2:O38" si="0">(SUBSTITUTE(SUBSTITUTE(CONCATENATE("",E2),"."," ")," De "," de "))</f>
        <v>Adesivos</v>
      </c>
      <c r="O2" s="59" t="str">
        <f>(SUBSTITUTE(SUBSTITUTE(CONCATENATE("",F2),"."," ")," De "," de "))</f>
        <v>Cola Espuma</v>
      </c>
      <c r="P2" s="50" t="s">
        <v>1306</v>
      </c>
      <c r="Q2" s="49" t="s">
        <v>1307</v>
      </c>
      <c r="R2" s="49" t="s">
        <v>1308</v>
      </c>
      <c r="S2" s="75" t="s">
        <v>7</v>
      </c>
      <c r="T2" s="60" t="str">
        <f t="shared" ref="T2:V82" si="1">SUBSTITUTE(C2, ".", " ")</f>
        <v>De Construção</v>
      </c>
      <c r="U2" s="60" t="str">
        <f t="shared" si="1"/>
        <v>Produtos Construtivos</v>
      </c>
      <c r="V2" s="60" t="str">
        <f t="shared" si="1"/>
        <v>Adesivos</v>
      </c>
      <c r="W2" s="44" t="s">
        <v>654</v>
      </c>
      <c r="X2" s="52" t="str">
        <f t="shared" ref="X2:X65" si="2">CONCATENATE("Key-MET-",A2)</f>
        <v>Key-MET-2</v>
      </c>
      <c r="Y2" s="44" t="s">
        <v>1309</v>
      </c>
      <c r="Z2" s="60" t="s">
        <v>7</v>
      </c>
      <c r="AA2" s="60" t="s">
        <v>1310</v>
      </c>
      <c r="AB2" s="60" t="s">
        <v>7</v>
      </c>
      <c r="AC2" s="60" t="s">
        <v>1311</v>
      </c>
      <c r="AD2" s="60" t="s">
        <v>7</v>
      </c>
    </row>
    <row r="3" spans="1:30" s="85" customFormat="1" ht="6.75" customHeight="1" x14ac:dyDescent="0.25">
      <c r="A3" s="54">
        <v>3</v>
      </c>
      <c r="B3" s="73" t="s">
        <v>1045</v>
      </c>
      <c r="C3" s="73" t="s">
        <v>1715</v>
      </c>
      <c r="D3" s="73" t="s">
        <v>1716</v>
      </c>
      <c r="E3" s="73" t="s">
        <v>1683</v>
      </c>
      <c r="F3" s="77" t="s">
        <v>1312</v>
      </c>
      <c r="G3" s="84" t="s">
        <v>7</v>
      </c>
      <c r="H3" s="84" t="s">
        <v>7</v>
      </c>
      <c r="I3" s="84" t="s">
        <v>7</v>
      </c>
      <c r="J3" s="84" t="s">
        <v>7</v>
      </c>
      <c r="K3" s="84" t="s">
        <v>7</v>
      </c>
      <c r="L3" s="59" t="str">
        <f t="shared" ref="L3:M38" si="3">CONCATENATE("", C3)</f>
        <v>De.Construção</v>
      </c>
      <c r="M3" s="59" t="str">
        <f t="shared" si="3"/>
        <v>Produtos.Construtivos</v>
      </c>
      <c r="N3" s="59" t="str">
        <f t="shared" si="0"/>
        <v>Adesivos</v>
      </c>
      <c r="O3" s="59" t="str">
        <f t="shared" si="0"/>
        <v>Cola Louça</v>
      </c>
      <c r="P3" s="50" t="s">
        <v>1313</v>
      </c>
      <c r="Q3" s="49" t="s">
        <v>1314</v>
      </c>
      <c r="R3" s="49" t="s">
        <v>1315</v>
      </c>
      <c r="S3" s="75" t="s">
        <v>7</v>
      </c>
      <c r="T3" s="60" t="str">
        <f t="shared" si="1"/>
        <v>De Construção</v>
      </c>
      <c r="U3" s="60" t="str">
        <f t="shared" si="1"/>
        <v>Produtos Construtivos</v>
      </c>
      <c r="V3" s="60" t="str">
        <f t="shared" si="1"/>
        <v>Adesivos</v>
      </c>
      <c r="W3" s="44" t="s">
        <v>654</v>
      </c>
      <c r="X3" s="52" t="str">
        <f t="shared" si="2"/>
        <v>Key-MET-3</v>
      </c>
      <c r="Y3" s="44" t="s">
        <v>1309</v>
      </c>
      <c r="Z3" s="60" t="s">
        <v>7</v>
      </c>
      <c r="AA3" s="60" t="s">
        <v>1310</v>
      </c>
      <c r="AB3" s="60" t="s">
        <v>7</v>
      </c>
      <c r="AC3" s="60" t="s">
        <v>1311</v>
      </c>
      <c r="AD3" s="60" t="s">
        <v>7</v>
      </c>
    </row>
    <row r="4" spans="1:30" s="85" customFormat="1" ht="6.75" customHeight="1" x14ac:dyDescent="0.25">
      <c r="A4" s="54">
        <v>4</v>
      </c>
      <c r="B4" s="73" t="s">
        <v>1045</v>
      </c>
      <c r="C4" s="73" t="s">
        <v>1715</v>
      </c>
      <c r="D4" s="73" t="s">
        <v>1716</v>
      </c>
      <c r="E4" s="73" t="s">
        <v>1683</v>
      </c>
      <c r="F4" s="77" t="s">
        <v>1316</v>
      </c>
      <c r="G4" s="84" t="s">
        <v>7</v>
      </c>
      <c r="H4" s="84" t="s">
        <v>7</v>
      </c>
      <c r="I4" s="84" t="s">
        <v>7</v>
      </c>
      <c r="J4" s="84" t="s">
        <v>7</v>
      </c>
      <c r="K4" s="84" t="s">
        <v>7</v>
      </c>
      <c r="L4" s="59" t="str">
        <f t="shared" si="3"/>
        <v>De.Construção</v>
      </c>
      <c r="M4" s="59" t="str">
        <f t="shared" si="3"/>
        <v>Produtos.Construtivos</v>
      </c>
      <c r="N4" s="59" t="str">
        <f t="shared" si="0"/>
        <v>Adesivos</v>
      </c>
      <c r="O4" s="59" t="str">
        <f t="shared" si="0"/>
        <v>Cola Madeira</v>
      </c>
      <c r="P4" s="50" t="s">
        <v>1317</v>
      </c>
      <c r="Q4" s="49" t="s">
        <v>1318</v>
      </c>
      <c r="R4" s="49" t="s">
        <v>1319</v>
      </c>
      <c r="S4" s="75" t="s">
        <v>7</v>
      </c>
      <c r="T4" s="60" t="str">
        <f t="shared" si="1"/>
        <v>De Construção</v>
      </c>
      <c r="U4" s="60" t="str">
        <f t="shared" si="1"/>
        <v>Produtos Construtivos</v>
      </c>
      <c r="V4" s="60" t="str">
        <f t="shared" si="1"/>
        <v>Adesivos</v>
      </c>
      <c r="W4" s="44" t="s">
        <v>654</v>
      </c>
      <c r="X4" s="52" t="str">
        <f t="shared" si="2"/>
        <v>Key-MET-4</v>
      </c>
      <c r="Y4" s="44" t="s">
        <v>1309</v>
      </c>
      <c r="Z4" s="60" t="s">
        <v>7</v>
      </c>
      <c r="AA4" s="60" t="s">
        <v>1310</v>
      </c>
      <c r="AB4" s="60" t="s">
        <v>7</v>
      </c>
      <c r="AC4" s="60" t="s">
        <v>1311</v>
      </c>
      <c r="AD4" s="60" t="s">
        <v>7</v>
      </c>
    </row>
    <row r="5" spans="1:30" s="85" customFormat="1" ht="6.75" customHeight="1" x14ac:dyDescent="0.25">
      <c r="A5" s="54">
        <v>5</v>
      </c>
      <c r="B5" s="73" t="s">
        <v>1045</v>
      </c>
      <c r="C5" s="73" t="s">
        <v>1715</v>
      </c>
      <c r="D5" s="73" t="s">
        <v>1716</v>
      </c>
      <c r="E5" s="73" t="s">
        <v>1683</v>
      </c>
      <c r="F5" s="77" t="s">
        <v>1320</v>
      </c>
      <c r="G5" s="84" t="s">
        <v>7</v>
      </c>
      <c r="H5" s="84" t="s">
        <v>7</v>
      </c>
      <c r="I5" s="84" t="s">
        <v>7</v>
      </c>
      <c r="J5" s="84" t="s">
        <v>7</v>
      </c>
      <c r="K5" s="84" t="s">
        <v>7</v>
      </c>
      <c r="L5" s="59" t="str">
        <f t="shared" si="3"/>
        <v>De.Construção</v>
      </c>
      <c r="M5" s="59" t="str">
        <f t="shared" si="3"/>
        <v>Produtos.Construtivos</v>
      </c>
      <c r="N5" s="59" t="str">
        <f t="shared" si="0"/>
        <v>Adesivos</v>
      </c>
      <c r="O5" s="59" t="str">
        <f t="shared" si="0"/>
        <v>Cola Metal</v>
      </c>
      <c r="P5" s="50" t="s">
        <v>1321</v>
      </c>
      <c r="Q5" s="49" t="s">
        <v>1322</v>
      </c>
      <c r="R5" s="49" t="s">
        <v>1323</v>
      </c>
      <c r="S5" s="75" t="s">
        <v>7</v>
      </c>
      <c r="T5" s="60" t="str">
        <f t="shared" si="1"/>
        <v>De Construção</v>
      </c>
      <c r="U5" s="60" t="str">
        <f t="shared" si="1"/>
        <v>Produtos Construtivos</v>
      </c>
      <c r="V5" s="60" t="str">
        <f t="shared" si="1"/>
        <v>Adesivos</v>
      </c>
      <c r="W5" s="44" t="s">
        <v>654</v>
      </c>
      <c r="X5" s="52" t="str">
        <f t="shared" si="2"/>
        <v>Key-MET-5</v>
      </c>
      <c r="Y5" s="44" t="s">
        <v>1309</v>
      </c>
      <c r="Z5" s="60" t="s">
        <v>7</v>
      </c>
      <c r="AA5" s="60" t="s">
        <v>1310</v>
      </c>
      <c r="AB5" s="60" t="s">
        <v>7</v>
      </c>
      <c r="AC5" s="60" t="s">
        <v>1311</v>
      </c>
      <c r="AD5" s="60" t="s">
        <v>7</v>
      </c>
    </row>
    <row r="6" spans="1:30" s="85" customFormat="1" ht="6.75" customHeight="1" x14ac:dyDescent="0.25">
      <c r="A6" s="54">
        <v>6</v>
      </c>
      <c r="B6" s="73" t="s">
        <v>1045</v>
      </c>
      <c r="C6" s="73" t="s">
        <v>1715</v>
      </c>
      <c r="D6" s="73" t="s">
        <v>1716</v>
      </c>
      <c r="E6" s="73" t="s">
        <v>1683</v>
      </c>
      <c r="F6" s="77" t="s">
        <v>1324</v>
      </c>
      <c r="G6" s="84" t="s">
        <v>7</v>
      </c>
      <c r="H6" s="84" t="s">
        <v>7</v>
      </c>
      <c r="I6" s="84" t="s">
        <v>7</v>
      </c>
      <c r="J6" s="84" t="s">
        <v>7</v>
      </c>
      <c r="K6" s="84" t="s">
        <v>7</v>
      </c>
      <c r="L6" s="59" t="str">
        <f t="shared" si="3"/>
        <v>De.Construção</v>
      </c>
      <c r="M6" s="59" t="str">
        <f t="shared" si="3"/>
        <v>Produtos.Construtivos</v>
      </c>
      <c r="N6" s="59" t="str">
        <f t="shared" si="0"/>
        <v>Adesivos</v>
      </c>
      <c r="O6" s="59" t="str">
        <f t="shared" si="0"/>
        <v>Cola Textil</v>
      </c>
      <c r="P6" s="50" t="s">
        <v>1325</v>
      </c>
      <c r="Q6" s="49" t="s">
        <v>1326</v>
      </c>
      <c r="R6" s="49" t="s">
        <v>1327</v>
      </c>
      <c r="S6" s="75" t="s">
        <v>7</v>
      </c>
      <c r="T6" s="60" t="str">
        <f t="shared" si="1"/>
        <v>De Construção</v>
      </c>
      <c r="U6" s="60" t="str">
        <f t="shared" si="1"/>
        <v>Produtos Construtivos</v>
      </c>
      <c r="V6" s="60" t="str">
        <f t="shared" si="1"/>
        <v>Adesivos</v>
      </c>
      <c r="W6" s="44" t="s">
        <v>654</v>
      </c>
      <c r="X6" s="52" t="str">
        <f t="shared" si="2"/>
        <v>Key-MET-6</v>
      </c>
      <c r="Y6" s="44" t="s">
        <v>1309</v>
      </c>
      <c r="Z6" s="60" t="s">
        <v>7</v>
      </c>
      <c r="AA6" s="60" t="s">
        <v>1310</v>
      </c>
      <c r="AB6" s="60" t="s">
        <v>7</v>
      </c>
      <c r="AC6" s="60" t="s">
        <v>1311</v>
      </c>
      <c r="AD6" s="60" t="s">
        <v>7</v>
      </c>
    </row>
    <row r="7" spans="1:30" s="99" customFormat="1" ht="6.75" customHeight="1" x14ac:dyDescent="0.25">
      <c r="A7" s="54">
        <v>7</v>
      </c>
      <c r="B7" s="73" t="s">
        <v>1045</v>
      </c>
      <c r="C7" s="73" t="s">
        <v>1715</v>
      </c>
      <c r="D7" s="73" t="s">
        <v>1716</v>
      </c>
      <c r="E7" s="98" t="s">
        <v>1684</v>
      </c>
      <c r="F7" s="74" t="s">
        <v>1685</v>
      </c>
      <c r="G7" s="55" t="s">
        <v>7</v>
      </c>
      <c r="H7" s="55" t="s">
        <v>7</v>
      </c>
      <c r="I7" s="55" t="s">
        <v>7</v>
      </c>
      <c r="J7" s="55" t="s">
        <v>7</v>
      </c>
      <c r="K7" s="55" t="s">
        <v>7</v>
      </c>
      <c r="L7" s="59" t="str">
        <f t="shared" ref="L7:O8" si="4">SUBSTITUTE(CONCATENATE("", C7), ".", " ")</f>
        <v>De Construção</v>
      </c>
      <c r="M7" s="59" t="str">
        <f t="shared" si="4"/>
        <v>Produtos Construtivos</v>
      </c>
      <c r="N7" s="59" t="str">
        <f t="shared" si="4"/>
        <v>Aditivos</v>
      </c>
      <c r="O7" s="59" t="str">
        <f t="shared" si="4"/>
        <v>Defloculante</v>
      </c>
      <c r="P7" s="44" t="s">
        <v>1686</v>
      </c>
      <c r="Q7" s="49" t="s">
        <v>1687</v>
      </c>
      <c r="R7" s="44" t="s">
        <v>1688</v>
      </c>
      <c r="S7" s="44" t="s">
        <v>7</v>
      </c>
      <c r="T7" s="44" t="str">
        <f t="shared" si="1"/>
        <v>De Construção</v>
      </c>
      <c r="U7" s="44" t="str">
        <f t="shared" si="1"/>
        <v>Produtos Construtivos</v>
      </c>
      <c r="V7" s="44" t="str">
        <f t="shared" si="1"/>
        <v>Aditivos</v>
      </c>
      <c r="W7" s="44" t="s">
        <v>654</v>
      </c>
      <c r="X7" s="52" t="str">
        <f t="shared" si="2"/>
        <v>Key-MET-7</v>
      </c>
      <c r="Y7" s="44" t="s">
        <v>1689</v>
      </c>
      <c r="Z7" s="61" t="s">
        <v>7</v>
      </c>
      <c r="AA7" s="44" t="s">
        <v>1690</v>
      </c>
      <c r="AB7" s="61" t="s">
        <v>7</v>
      </c>
      <c r="AC7" s="44" t="s">
        <v>1311</v>
      </c>
      <c r="AD7" s="44" t="s">
        <v>7</v>
      </c>
    </row>
    <row r="8" spans="1:30" s="99" customFormat="1" ht="6.75" customHeight="1" x14ac:dyDescent="0.25">
      <c r="A8" s="54">
        <v>8</v>
      </c>
      <c r="B8" s="73" t="s">
        <v>1045</v>
      </c>
      <c r="C8" s="73" t="s">
        <v>1715</v>
      </c>
      <c r="D8" s="73" t="s">
        <v>1716</v>
      </c>
      <c r="E8" s="98" t="s">
        <v>1684</v>
      </c>
      <c r="F8" s="74" t="s">
        <v>1691</v>
      </c>
      <c r="G8" s="55" t="s">
        <v>7</v>
      </c>
      <c r="H8" s="55" t="s">
        <v>7</v>
      </c>
      <c r="I8" s="55" t="s">
        <v>7</v>
      </c>
      <c r="J8" s="55" t="s">
        <v>7</v>
      </c>
      <c r="K8" s="55" t="s">
        <v>7</v>
      </c>
      <c r="L8" s="59" t="str">
        <f t="shared" si="4"/>
        <v>De Construção</v>
      </c>
      <c r="M8" s="59" t="str">
        <f t="shared" si="4"/>
        <v>Produtos Construtivos</v>
      </c>
      <c r="N8" s="59" t="str">
        <f t="shared" si="4"/>
        <v>Aditivos</v>
      </c>
      <c r="O8" s="59" t="str">
        <f t="shared" si="4"/>
        <v>Pigmento</v>
      </c>
      <c r="P8" s="44" t="s">
        <v>1692</v>
      </c>
      <c r="Q8" s="49" t="s">
        <v>1693</v>
      </c>
      <c r="R8" s="44" t="s">
        <v>1694</v>
      </c>
      <c r="S8" s="44" t="s">
        <v>7</v>
      </c>
      <c r="T8" s="44" t="str">
        <f t="shared" si="1"/>
        <v>De Construção</v>
      </c>
      <c r="U8" s="44" t="str">
        <f t="shared" si="1"/>
        <v>Produtos Construtivos</v>
      </c>
      <c r="V8" s="44" t="str">
        <f t="shared" si="1"/>
        <v>Aditivos</v>
      </c>
      <c r="W8" s="44" t="s">
        <v>654</v>
      </c>
      <c r="X8" s="52" t="str">
        <f t="shared" si="2"/>
        <v>Key-MET-8</v>
      </c>
      <c r="Y8" s="44" t="s">
        <v>1689</v>
      </c>
      <c r="Z8" s="61" t="s">
        <v>7</v>
      </c>
      <c r="AA8" s="44" t="s">
        <v>1690</v>
      </c>
      <c r="AB8" s="61" t="s">
        <v>7</v>
      </c>
      <c r="AC8" s="44" t="s">
        <v>1311</v>
      </c>
      <c r="AD8" s="44" t="s">
        <v>7</v>
      </c>
    </row>
    <row r="9" spans="1:30" s="85" customFormat="1" ht="6.75" customHeight="1" x14ac:dyDescent="0.25">
      <c r="A9" s="54">
        <v>9</v>
      </c>
      <c r="B9" s="73" t="s">
        <v>1045</v>
      </c>
      <c r="C9" s="73" t="s">
        <v>1715</v>
      </c>
      <c r="D9" s="73" t="s">
        <v>1716</v>
      </c>
      <c r="E9" s="73" t="s">
        <v>1695</v>
      </c>
      <c r="F9" s="79" t="s">
        <v>1328</v>
      </c>
      <c r="G9" s="84" t="s">
        <v>7</v>
      </c>
      <c r="H9" s="84" t="s">
        <v>7</v>
      </c>
      <c r="I9" s="84" t="s">
        <v>7</v>
      </c>
      <c r="J9" s="84" t="s">
        <v>7</v>
      </c>
      <c r="K9" s="84" t="s">
        <v>7</v>
      </c>
      <c r="L9" s="59" t="str">
        <f t="shared" si="3"/>
        <v>De.Construção</v>
      </c>
      <c r="M9" s="59" t="str">
        <f t="shared" si="3"/>
        <v>Produtos.Construtivos</v>
      </c>
      <c r="N9" s="59" t="str">
        <f t="shared" si="0"/>
        <v>Argamassas</v>
      </c>
      <c r="O9" s="59" t="str">
        <f t="shared" si="0"/>
        <v>Argamassa Baritada</v>
      </c>
      <c r="P9" s="60" t="s">
        <v>1329</v>
      </c>
      <c r="Q9" s="49" t="s">
        <v>1330</v>
      </c>
      <c r="R9" s="49" t="s">
        <v>1331</v>
      </c>
      <c r="S9" s="75" t="s">
        <v>7</v>
      </c>
      <c r="T9" s="60" t="str">
        <f t="shared" si="1"/>
        <v>De Construção</v>
      </c>
      <c r="U9" s="60" t="str">
        <f t="shared" si="1"/>
        <v>Produtos Construtivos</v>
      </c>
      <c r="V9" s="60" t="str">
        <f t="shared" si="1"/>
        <v>Argamassas</v>
      </c>
      <c r="W9" s="44" t="s">
        <v>654</v>
      </c>
      <c r="X9" s="52" t="str">
        <f t="shared" si="2"/>
        <v>Key-MET-9</v>
      </c>
      <c r="Y9" s="44" t="s">
        <v>1332</v>
      </c>
      <c r="Z9" s="60" t="s">
        <v>7</v>
      </c>
      <c r="AA9" s="60" t="s">
        <v>1333</v>
      </c>
      <c r="AB9" s="60" t="s">
        <v>7</v>
      </c>
      <c r="AC9" s="60" t="s">
        <v>1311</v>
      </c>
      <c r="AD9" s="60" t="s">
        <v>7</v>
      </c>
    </row>
    <row r="10" spans="1:30" s="85" customFormat="1" ht="6.75" customHeight="1" x14ac:dyDescent="0.25">
      <c r="A10" s="54">
        <v>10</v>
      </c>
      <c r="B10" s="73" t="s">
        <v>1045</v>
      </c>
      <c r="C10" s="73" t="s">
        <v>1715</v>
      </c>
      <c r="D10" s="73" t="s">
        <v>1716</v>
      </c>
      <c r="E10" s="73" t="s">
        <v>1695</v>
      </c>
      <c r="F10" s="77" t="s">
        <v>1334</v>
      </c>
      <c r="G10" s="84" t="s">
        <v>7</v>
      </c>
      <c r="H10" s="84" t="s">
        <v>7</v>
      </c>
      <c r="I10" s="84" t="s">
        <v>7</v>
      </c>
      <c r="J10" s="84" t="s">
        <v>7</v>
      </c>
      <c r="K10" s="84" t="s">
        <v>7</v>
      </c>
      <c r="L10" s="59" t="str">
        <f t="shared" si="3"/>
        <v>De.Construção</v>
      </c>
      <c r="M10" s="59" t="str">
        <f t="shared" si="3"/>
        <v>Produtos.Construtivos</v>
      </c>
      <c r="N10" s="59" t="str">
        <f t="shared" si="0"/>
        <v>Argamassas</v>
      </c>
      <c r="O10" s="59" t="str">
        <f t="shared" si="0"/>
        <v>Argamassa Colante</v>
      </c>
      <c r="P10" s="50" t="s">
        <v>1335</v>
      </c>
      <c r="Q10" s="49" t="s">
        <v>1336</v>
      </c>
      <c r="R10" s="49" t="s">
        <v>1337</v>
      </c>
      <c r="S10" s="75" t="s">
        <v>7</v>
      </c>
      <c r="T10" s="60" t="str">
        <f t="shared" si="1"/>
        <v>De Construção</v>
      </c>
      <c r="U10" s="60" t="str">
        <f t="shared" si="1"/>
        <v>Produtos Construtivos</v>
      </c>
      <c r="V10" s="60" t="str">
        <f t="shared" si="1"/>
        <v>Argamassas</v>
      </c>
      <c r="W10" s="44" t="s">
        <v>654</v>
      </c>
      <c r="X10" s="52" t="str">
        <f t="shared" si="2"/>
        <v>Key-MET-10</v>
      </c>
      <c r="Y10" s="44" t="s">
        <v>1332</v>
      </c>
      <c r="Z10" s="60" t="s">
        <v>7</v>
      </c>
      <c r="AA10" s="60" t="s">
        <v>1338</v>
      </c>
      <c r="AB10" s="60" t="s">
        <v>7</v>
      </c>
      <c r="AC10" s="60" t="s">
        <v>1311</v>
      </c>
      <c r="AD10" s="60" t="s">
        <v>7</v>
      </c>
    </row>
    <row r="11" spans="1:30" s="85" customFormat="1" ht="6.75" customHeight="1" x14ac:dyDescent="0.25">
      <c r="A11" s="54">
        <v>11</v>
      </c>
      <c r="B11" s="73" t="s">
        <v>1045</v>
      </c>
      <c r="C11" s="73" t="s">
        <v>1715</v>
      </c>
      <c r="D11" s="73" t="s">
        <v>1716</v>
      </c>
      <c r="E11" s="73" t="s">
        <v>1695</v>
      </c>
      <c r="F11" s="79" t="s">
        <v>1339</v>
      </c>
      <c r="G11" s="84" t="s">
        <v>7</v>
      </c>
      <c r="H11" s="84" t="s">
        <v>7</v>
      </c>
      <c r="I11" s="84" t="s">
        <v>7</v>
      </c>
      <c r="J11" s="84" t="s">
        <v>7</v>
      </c>
      <c r="K11" s="84" t="s">
        <v>7</v>
      </c>
      <c r="L11" s="59" t="str">
        <f t="shared" si="3"/>
        <v>De.Construção</v>
      </c>
      <c r="M11" s="59" t="str">
        <f t="shared" si="3"/>
        <v>Produtos.Construtivos</v>
      </c>
      <c r="N11" s="59" t="str">
        <f t="shared" si="0"/>
        <v>Argamassas</v>
      </c>
      <c r="O11" s="59" t="str">
        <f t="shared" si="0"/>
        <v>Argamassa Isolante</v>
      </c>
      <c r="P11" s="60" t="s">
        <v>1340</v>
      </c>
      <c r="Q11" s="49" t="s">
        <v>1341</v>
      </c>
      <c r="R11" s="49" t="s">
        <v>1342</v>
      </c>
      <c r="S11" s="75" t="s">
        <v>7</v>
      </c>
      <c r="T11" s="60" t="str">
        <f t="shared" si="1"/>
        <v>De Construção</v>
      </c>
      <c r="U11" s="60" t="str">
        <f t="shared" si="1"/>
        <v>Produtos Construtivos</v>
      </c>
      <c r="V11" s="60" t="str">
        <f t="shared" si="1"/>
        <v>Argamassas</v>
      </c>
      <c r="W11" s="44" t="s">
        <v>654</v>
      </c>
      <c r="X11" s="52" t="str">
        <f t="shared" si="2"/>
        <v>Key-MET-11</v>
      </c>
      <c r="Y11" s="44" t="s">
        <v>1332</v>
      </c>
      <c r="Z11" s="60" t="s">
        <v>7</v>
      </c>
      <c r="AA11" s="60" t="s">
        <v>1333</v>
      </c>
      <c r="AB11" s="60" t="s">
        <v>7</v>
      </c>
      <c r="AC11" s="60" t="s">
        <v>1311</v>
      </c>
      <c r="AD11" s="60" t="s">
        <v>7</v>
      </c>
    </row>
    <row r="12" spans="1:30" s="85" customFormat="1" ht="6.75" customHeight="1" x14ac:dyDescent="0.25">
      <c r="A12" s="54">
        <v>12</v>
      </c>
      <c r="B12" s="73" t="s">
        <v>1045</v>
      </c>
      <c r="C12" s="73" t="s">
        <v>1715</v>
      </c>
      <c r="D12" s="73" t="s">
        <v>1716</v>
      </c>
      <c r="E12" s="73" t="s">
        <v>1695</v>
      </c>
      <c r="F12" s="73" t="s">
        <v>1343</v>
      </c>
      <c r="G12" s="84" t="s">
        <v>7</v>
      </c>
      <c r="H12" s="84" t="s">
        <v>7</v>
      </c>
      <c r="I12" s="84" t="s">
        <v>7</v>
      </c>
      <c r="J12" s="84" t="s">
        <v>7</v>
      </c>
      <c r="K12" s="84" t="s">
        <v>7</v>
      </c>
      <c r="L12" s="59" t="str">
        <f t="shared" si="3"/>
        <v>De.Construção</v>
      </c>
      <c r="M12" s="59" t="str">
        <f t="shared" si="3"/>
        <v>Produtos.Construtivos</v>
      </c>
      <c r="N12" s="59" t="str">
        <f t="shared" si="0"/>
        <v>Argamassas</v>
      </c>
      <c r="O12" s="59" t="str">
        <f t="shared" si="0"/>
        <v>Argamassa Lastro</v>
      </c>
      <c r="P12" s="44" t="s">
        <v>1344</v>
      </c>
      <c r="Q12" s="49" t="s">
        <v>1345</v>
      </c>
      <c r="R12" s="49" t="s">
        <v>1346</v>
      </c>
      <c r="S12" s="75" t="s">
        <v>7</v>
      </c>
      <c r="T12" s="60" t="str">
        <f t="shared" si="1"/>
        <v>De Construção</v>
      </c>
      <c r="U12" s="60" t="str">
        <f t="shared" si="1"/>
        <v>Produtos Construtivos</v>
      </c>
      <c r="V12" s="60" t="str">
        <f t="shared" si="1"/>
        <v>Argamassas</v>
      </c>
      <c r="W12" s="44" t="s">
        <v>654</v>
      </c>
      <c r="X12" s="52" t="str">
        <f t="shared" si="2"/>
        <v>Key-MET-12</v>
      </c>
      <c r="Y12" s="44" t="s">
        <v>1332</v>
      </c>
      <c r="Z12" s="60" t="s">
        <v>7</v>
      </c>
      <c r="AA12" s="60" t="s">
        <v>1338</v>
      </c>
      <c r="AB12" s="60" t="s">
        <v>7</v>
      </c>
      <c r="AC12" s="60" t="s">
        <v>1311</v>
      </c>
      <c r="AD12" s="60" t="s">
        <v>7</v>
      </c>
    </row>
    <row r="13" spans="1:30" s="85" customFormat="1" ht="6.75" customHeight="1" x14ac:dyDescent="0.25">
      <c r="A13" s="54">
        <v>13</v>
      </c>
      <c r="B13" s="73" t="s">
        <v>1045</v>
      </c>
      <c r="C13" s="73" t="s">
        <v>1715</v>
      </c>
      <c r="D13" s="73" t="s">
        <v>1716</v>
      </c>
      <c r="E13" s="73" t="s">
        <v>1695</v>
      </c>
      <c r="F13" s="79" t="s">
        <v>1347</v>
      </c>
      <c r="G13" s="84" t="s">
        <v>7</v>
      </c>
      <c r="H13" s="84" t="s">
        <v>7</v>
      </c>
      <c r="I13" s="84" t="s">
        <v>7</v>
      </c>
      <c r="J13" s="84" t="s">
        <v>7</v>
      </c>
      <c r="K13" s="84" t="s">
        <v>7</v>
      </c>
      <c r="L13" s="59" t="str">
        <f t="shared" si="3"/>
        <v>De.Construção</v>
      </c>
      <c r="M13" s="59" t="str">
        <f t="shared" si="3"/>
        <v>Produtos.Construtivos</v>
      </c>
      <c r="N13" s="59" t="str">
        <f t="shared" si="0"/>
        <v>Argamassas</v>
      </c>
      <c r="O13" s="59" t="str">
        <f t="shared" si="0"/>
        <v>Argamassa Reguladora</v>
      </c>
      <c r="P13" s="60" t="s">
        <v>1348</v>
      </c>
      <c r="Q13" s="49" t="s">
        <v>1349</v>
      </c>
      <c r="R13" s="49" t="s">
        <v>1350</v>
      </c>
      <c r="S13" s="75" t="s">
        <v>7</v>
      </c>
      <c r="T13" s="60" t="str">
        <f t="shared" si="1"/>
        <v>De Construção</v>
      </c>
      <c r="U13" s="60" t="str">
        <f t="shared" si="1"/>
        <v>Produtos Construtivos</v>
      </c>
      <c r="V13" s="60" t="str">
        <f t="shared" si="1"/>
        <v>Argamassas</v>
      </c>
      <c r="W13" s="44" t="s">
        <v>654</v>
      </c>
      <c r="X13" s="52" t="str">
        <f t="shared" si="2"/>
        <v>Key-MET-13</v>
      </c>
      <c r="Y13" s="44" t="s">
        <v>1332</v>
      </c>
      <c r="Z13" s="60" t="s">
        <v>7</v>
      </c>
      <c r="AA13" s="60" t="s">
        <v>1333</v>
      </c>
      <c r="AB13" s="60" t="s">
        <v>7</v>
      </c>
      <c r="AC13" s="60" t="s">
        <v>1311</v>
      </c>
      <c r="AD13" s="60" t="s">
        <v>7</v>
      </c>
    </row>
    <row r="14" spans="1:30" s="87" customFormat="1" ht="6.75" customHeight="1" x14ac:dyDescent="0.25">
      <c r="A14" s="54">
        <v>14</v>
      </c>
      <c r="B14" s="73" t="s">
        <v>1045</v>
      </c>
      <c r="C14" s="73" t="s">
        <v>1715</v>
      </c>
      <c r="D14" s="73" t="s">
        <v>1716</v>
      </c>
      <c r="E14" s="73" t="s">
        <v>1696</v>
      </c>
      <c r="F14" s="81" t="s">
        <v>1358</v>
      </c>
      <c r="G14" s="55" t="s">
        <v>7</v>
      </c>
      <c r="H14" s="55" t="s">
        <v>7</v>
      </c>
      <c r="I14" s="55" t="s">
        <v>7</v>
      </c>
      <c r="J14" s="55" t="s">
        <v>7</v>
      </c>
      <c r="K14" s="55" t="s">
        <v>7</v>
      </c>
      <c r="L14" s="59" t="str">
        <f t="shared" si="3"/>
        <v>De.Construção</v>
      </c>
      <c r="M14" s="59" t="str">
        <f t="shared" si="3"/>
        <v>Produtos.Construtivos</v>
      </c>
      <c r="N14" s="59" t="str">
        <f t="shared" si="0"/>
        <v>Concretos Reguladores</v>
      </c>
      <c r="O14" s="86" t="str">
        <f t="shared" si="0"/>
        <v>Concreto C10</v>
      </c>
      <c r="P14" s="71" t="s">
        <v>1359</v>
      </c>
      <c r="Q14" s="60" t="s">
        <v>1360</v>
      </c>
      <c r="R14" s="60" t="s">
        <v>1361</v>
      </c>
      <c r="S14" s="75" t="s">
        <v>7</v>
      </c>
      <c r="T14" s="60" t="str">
        <f t="shared" si="1"/>
        <v>De Construção</v>
      </c>
      <c r="U14" s="60" t="str">
        <f t="shared" si="1"/>
        <v>Produtos Construtivos</v>
      </c>
      <c r="V14" s="60" t="str">
        <f t="shared" si="1"/>
        <v>Concretos Reguladores</v>
      </c>
      <c r="W14" s="44" t="s">
        <v>654</v>
      </c>
      <c r="X14" s="52" t="str">
        <f t="shared" si="2"/>
        <v>Key-MET-14</v>
      </c>
      <c r="Y14" s="44" t="s">
        <v>1332</v>
      </c>
      <c r="Z14" s="60" t="s">
        <v>7</v>
      </c>
      <c r="AA14" s="60" t="s">
        <v>1338</v>
      </c>
      <c r="AB14" s="60" t="s">
        <v>7</v>
      </c>
      <c r="AC14" s="60" t="s">
        <v>1311</v>
      </c>
      <c r="AD14" s="60" t="s">
        <v>7</v>
      </c>
    </row>
    <row r="15" spans="1:30" s="87" customFormat="1" ht="6.75" customHeight="1" x14ac:dyDescent="0.25">
      <c r="A15" s="54">
        <v>15</v>
      </c>
      <c r="B15" s="73" t="s">
        <v>1045</v>
      </c>
      <c r="C15" s="73" t="s">
        <v>1715</v>
      </c>
      <c r="D15" s="73" t="s">
        <v>1716</v>
      </c>
      <c r="E15" s="73" t="s">
        <v>1696</v>
      </c>
      <c r="F15" s="81" t="s">
        <v>1362</v>
      </c>
      <c r="G15" s="55" t="s">
        <v>7</v>
      </c>
      <c r="H15" s="55" t="s">
        <v>7</v>
      </c>
      <c r="I15" s="55" t="s">
        <v>7</v>
      </c>
      <c r="J15" s="55" t="s">
        <v>7</v>
      </c>
      <c r="K15" s="55" t="s">
        <v>7</v>
      </c>
      <c r="L15" s="59" t="str">
        <f t="shared" si="3"/>
        <v>De.Construção</v>
      </c>
      <c r="M15" s="59" t="str">
        <f t="shared" si="3"/>
        <v>Produtos.Construtivos</v>
      </c>
      <c r="N15" s="59" t="str">
        <f t="shared" si="0"/>
        <v>Concretos Reguladores</v>
      </c>
      <c r="O15" s="86" t="str">
        <f t="shared" si="0"/>
        <v>Concreto C15</v>
      </c>
      <c r="P15" s="71" t="s">
        <v>1363</v>
      </c>
      <c r="Q15" s="60" t="s">
        <v>1364</v>
      </c>
      <c r="R15" s="60" t="s">
        <v>1365</v>
      </c>
      <c r="S15" s="75" t="s">
        <v>7</v>
      </c>
      <c r="T15" s="60" t="str">
        <f t="shared" si="1"/>
        <v>De Construção</v>
      </c>
      <c r="U15" s="60" t="str">
        <f t="shared" si="1"/>
        <v>Produtos Construtivos</v>
      </c>
      <c r="V15" s="60" t="str">
        <f t="shared" si="1"/>
        <v>Concretos Reguladores</v>
      </c>
      <c r="W15" s="44" t="s">
        <v>654</v>
      </c>
      <c r="X15" s="52" t="str">
        <f t="shared" si="2"/>
        <v>Key-MET-15</v>
      </c>
      <c r="Y15" s="44" t="s">
        <v>1332</v>
      </c>
      <c r="Z15" s="60" t="s">
        <v>7</v>
      </c>
      <c r="AA15" s="60" t="s">
        <v>1338</v>
      </c>
      <c r="AB15" s="60" t="s">
        <v>7</v>
      </c>
      <c r="AC15" s="60" t="s">
        <v>1311</v>
      </c>
      <c r="AD15" s="60" t="s">
        <v>7</v>
      </c>
    </row>
    <row r="16" spans="1:30" s="87" customFormat="1" ht="6.75" customHeight="1" x14ac:dyDescent="0.25">
      <c r="A16" s="54">
        <v>16</v>
      </c>
      <c r="B16" s="73" t="s">
        <v>1045</v>
      </c>
      <c r="C16" s="73" t="s">
        <v>1715</v>
      </c>
      <c r="D16" s="73" t="s">
        <v>1716</v>
      </c>
      <c r="E16" s="73" t="s">
        <v>1697</v>
      </c>
      <c r="F16" s="81" t="s">
        <v>1366</v>
      </c>
      <c r="G16" s="55" t="s">
        <v>7</v>
      </c>
      <c r="H16" s="55" t="s">
        <v>7</v>
      </c>
      <c r="I16" s="55" t="s">
        <v>7</v>
      </c>
      <c r="J16" s="55" t="s">
        <v>7</v>
      </c>
      <c r="K16" s="55" t="s">
        <v>7</v>
      </c>
      <c r="L16" s="59" t="str">
        <f t="shared" si="3"/>
        <v>De.Construção</v>
      </c>
      <c r="M16" s="59" t="str">
        <f t="shared" si="3"/>
        <v>Produtos.Construtivos</v>
      </c>
      <c r="N16" s="59" t="str">
        <f t="shared" si="0"/>
        <v>Concretos Estruturais</v>
      </c>
      <c r="O16" s="86" t="str">
        <f t="shared" si="0"/>
        <v>Concreto C20</v>
      </c>
      <c r="P16" s="71" t="s">
        <v>1367</v>
      </c>
      <c r="Q16" s="60" t="s">
        <v>1368</v>
      </c>
      <c r="R16" s="60" t="s">
        <v>1369</v>
      </c>
      <c r="S16" s="75" t="s">
        <v>7</v>
      </c>
      <c r="T16" s="60" t="str">
        <f t="shared" si="1"/>
        <v>De Construção</v>
      </c>
      <c r="U16" s="60" t="str">
        <f t="shared" si="1"/>
        <v>Produtos Construtivos</v>
      </c>
      <c r="V16" s="60" t="str">
        <f t="shared" si="1"/>
        <v>Concretos Estruturais</v>
      </c>
      <c r="W16" s="44" t="s">
        <v>654</v>
      </c>
      <c r="X16" s="52" t="str">
        <f t="shared" si="2"/>
        <v>Key-MET-16</v>
      </c>
      <c r="Y16" s="44" t="s">
        <v>1370</v>
      </c>
      <c r="Z16" s="61" t="s">
        <v>7</v>
      </c>
      <c r="AA16" s="44" t="s">
        <v>1371</v>
      </c>
      <c r="AB16" s="60" t="s">
        <v>7</v>
      </c>
      <c r="AC16" s="60" t="s">
        <v>1311</v>
      </c>
      <c r="AD16" s="60" t="s">
        <v>7</v>
      </c>
    </row>
    <row r="17" spans="1:30" s="87" customFormat="1" ht="6.75" customHeight="1" x14ac:dyDescent="0.25">
      <c r="A17" s="54">
        <v>17</v>
      </c>
      <c r="B17" s="73" t="s">
        <v>1045</v>
      </c>
      <c r="C17" s="73" t="s">
        <v>1715</v>
      </c>
      <c r="D17" s="73" t="s">
        <v>1716</v>
      </c>
      <c r="E17" s="73" t="s">
        <v>1697</v>
      </c>
      <c r="F17" s="81" t="s">
        <v>1372</v>
      </c>
      <c r="G17" s="55" t="s">
        <v>7</v>
      </c>
      <c r="H17" s="55" t="s">
        <v>7</v>
      </c>
      <c r="I17" s="55" t="s">
        <v>7</v>
      </c>
      <c r="J17" s="55" t="s">
        <v>7</v>
      </c>
      <c r="K17" s="55" t="s">
        <v>7</v>
      </c>
      <c r="L17" s="59" t="str">
        <f t="shared" si="3"/>
        <v>De.Construção</v>
      </c>
      <c r="M17" s="59" t="str">
        <f t="shared" si="3"/>
        <v>Produtos.Construtivos</v>
      </c>
      <c r="N17" s="59" t="str">
        <f t="shared" si="0"/>
        <v>Concretos Estruturais</v>
      </c>
      <c r="O17" s="86" t="str">
        <f t="shared" si="0"/>
        <v>Concreto C25</v>
      </c>
      <c r="P17" s="71" t="s">
        <v>1373</v>
      </c>
      <c r="Q17" s="60" t="s">
        <v>1374</v>
      </c>
      <c r="R17" s="60" t="s">
        <v>1375</v>
      </c>
      <c r="S17" s="75" t="s">
        <v>7</v>
      </c>
      <c r="T17" s="60" t="str">
        <f t="shared" si="1"/>
        <v>De Construção</v>
      </c>
      <c r="U17" s="60" t="str">
        <f t="shared" si="1"/>
        <v>Produtos Construtivos</v>
      </c>
      <c r="V17" s="60" t="str">
        <f t="shared" si="1"/>
        <v>Concretos Estruturais</v>
      </c>
      <c r="W17" s="44" t="s">
        <v>654</v>
      </c>
      <c r="X17" s="52" t="str">
        <f t="shared" si="2"/>
        <v>Key-MET-17</v>
      </c>
      <c r="Y17" s="44" t="s">
        <v>1370</v>
      </c>
      <c r="Z17" s="61" t="s">
        <v>7</v>
      </c>
      <c r="AA17" s="44" t="s">
        <v>1371</v>
      </c>
      <c r="AB17" s="60" t="s">
        <v>7</v>
      </c>
      <c r="AC17" s="60" t="s">
        <v>1311</v>
      </c>
      <c r="AD17" s="60" t="s">
        <v>7</v>
      </c>
    </row>
    <row r="18" spans="1:30" s="87" customFormat="1" ht="6.75" customHeight="1" x14ac:dyDescent="0.25">
      <c r="A18" s="54">
        <v>18</v>
      </c>
      <c r="B18" s="73" t="s">
        <v>1045</v>
      </c>
      <c r="C18" s="73" t="s">
        <v>1715</v>
      </c>
      <c r="D18" s="73" t="s">
        <v>1716</v>
      </c>
      <c r="E18" s="73" t="s">
        <v>1697</v>
      </c>
      <c r="F18" s="81" t="s">
        <v>1376</v>
      </c>
      <c r="G18" s="55" t="s">
        <v>7</v>
      </c>
      <c r="H18" s="55" t="s">
        <v>7</v>
      </c>
      <c r="I18" s="55" t="s">
        <v>7</v>
      </c>
      <c r="J18" s="55" t="s">
        <v>7</v>
      </c>
      <c r="K18" s="55" t="s">
        <v>7</v>
      </c>
      <c r="L18" s="59" t="str">
        <f t="shared" si="3"/>
        <v>De.Construção</v>
      </c>
      <c r="M18" s="59" t="str">
        <f t="shared" si="3"/>
        <v>Produtos.Construtivos</v>
      </c>
      <c r="N18" s="59" t="str">
        <f t="shared" si="0"/>
        <v>Concretos Estruturais</v>
      </c>
      <c r="O18" s="86" t="str">
        <f t="shared" si="0"/>
        <v>Concreto C30</v>
      </c>
      <c r="P18" s="71" t="s">
        <v>1377</v>
      </c>
      <c r="Q18" s="60" t="s">
        <v>1378</v>
      </c>
      <c r="R18" s="60" t="s">
        <v>1379</v>
      </c>
      <c r="S18" s="75" t="s">
        <v>7</v>
      </c>
      <c r="T18" s="60" t="str">
        <f t="shared" si="1"/>
        <v>De Construção</v>
      </c>
      <c r="U18" s="60" t="str">
        <f t="shared" si="1"/>
        <v>Produtos Construtivos</v>
      </c>
      <c r="V18" s="60" t="str">
        <f t="shared" si="1"/>
        <v>Concretos Estruturais</v>
      </c>
      <c r="W18" s="44" t="s">
        <v>654</v>
      </c>
      <c r="X18" s="52" t="str">
        <f t="shared" si="2"/>
        <v>Key-MET-18</v>
      </c>
      <c r="Y18" s="44" t="s">
        <v>1370</v>
      </c>
      <c r="Z18" s="61" t="s">
        <v>7</v>
      </c>
      <c r="AA18" s="44" t="s">
        <v>1371</v>
      </c>
      <c r="AB18" s="60" t="s">
        <v>7</v>
      </c>
      <c r="AC18" s="60" t="s">
        <v>1311</v>
      </c>
      <c r="AD18" s="60" t="s">
        <v>7</v>
      </c>
    </row>
    <row r="19" spans="1:30" s="87" customFormat="1" ht="6.75" customHeight="1" x14ac:dyDescent="0.25">
      <c r="A19" s="54">
        <v>19</v>
      </c>
      <c r="B19" s="73" t="s">
        <v>1045</v>
      </c>
      <c r="C19" s="73" t="s">
        <v>1715</v>
      </c>
      <c r="D19" s="73" t="s">
        <v>1716</v>
      </c>
      <c r="E19" s="73" t="s">
        <v>1697</v>
      </c>
      <c r="F19" s="81" t="s">
        <v>1380</v>
      </c>
      <c r="G19" s="55" t="s">
        <v>7</v>
      </c>
      <c r="H19" s="55" t="s">
        <v>7</v>
      </c>
      <c r="I19" s="55" t="s">
        <v>7</v>
      </c>
      <c r="J19" s="55" t="s">
        <v>7</v>
      </c>
      <c r="K19" s="55" t="s">
        <v>7</v>
      </c>
      <c r="L19" s="59" t="str">
        <f t="shared" si="3"/>
        <v>De.Construção</v>
      </c>
      <c r="M19" s="59" t="str">
        <f t="shared" si="3"/>
        <v>Produtos.Construtivos</v>
      </c>
      <c r="N19" s="59" t="str">
        <f t="shared" si="0"/>
        <v>Concretos Estruturais</v>
      </c>
      <c r="O19" s="86" t="str">
        <f t="shared" si="0"/>
        <v>Concreto C35</v>
      </c>
      <c r="P19" s="71" t="s">
        <v>1381</v>
      </c>
      <c r="Q19" s="60" t="s">
        <v>1382</v>
      </c>
      <c r="R19" s="60" t="s">
        <v>1383</v>
      </c>
      <c r="S19" s="75" t="s">
        <v>7</v>
      </c>
      <c r="T19" s="60" t="str">
        <f t="shared" si="1"/>
        <v>De Construção</v>
      </c>
      <c r="U19" s="60" t="str">
        <f t="shared" si="1"/>
        <v>Produtos Construtivos</v>
      </c>
      <c r="V19" s="60" t="str">
        <f t="shared" si="1"/>
        <v>Concretos Estruturais</v>
      </c>
      <c r="W19" s="44" t="s">
        <v>654</v>
      </c>
      <c r="X19" s="52" t="str">
        <f t="shared" si="2"/>
        <v>Key-MET-19</v>
      </c>
      <c r="Y19" s="44" t="s">
        <v>1370</v>
      </c>
      <c r="Z19" s="61" t="s">
        <v>7</v>
      </c>
      <c r="AA19" s="44" t="s">
        <v>1371</v>
      </c>
      <c r="AB19" s="60" t="s">
        <v>7</v>
      </c>
      <c r="AC19" s="60" t="s">
        <v>1311</v>
      </c>
      <c r="AD19" s="60" t="s">
        <v>7</v>
      </c>
    </row>
    <row r="20" spans="1:30" s="87" customFormat="1" ht="6.75" customHeight="1" x14ac:dyDescent="0.25">
      <c r="A20" s="54">
        <v>20</v>
      </c>
      <c r="B20" s="73" t="s">
        <v>1045</v>
      </c>
      <c r="C20" s="73" t="s">
        <v>1715</v>
      </c>
      <c r="D20" s="73" t="s">
        <v>1716</v>
      </c>
      <c r="E20" s="73" t="s">
        <v>1697</v>
      </c>
      <c r="F20" s="81" t="s">
        <v>1384</v>
      </c>
      <c r="G20" s="55" t="s">
        <v>7</v>
      </c>
      <c r="H20" s="55" t="s">
        <v>7</v>
      </c>
      <c r="I20" s="55" t="s">
        <v>7</v>
      </c>
      <c r="J20" s="55" t="s">
        <v>7</v>
      </c>
      <c r="K20" s="55" t="s">
        <v>7</v>
      </c>
      <c r="L20" s="59" t="str">
        <f t="shared" si="3"/>
        <v>De.Construção</v>
      </c>
      <c r="M20" s="59" t="str">
        <f t="shared" si="3"/>
        <v>Produtos.Construtivos</v>
      </c>
      <c r="N20" s="59" t="str">
        <f t="shared" si="0"/>
        <v>Concretos Estruturais</v>
      </c>
      <c r="O20" s="86" t="str">
        <f t="shared" si="0"/>
        <v>Concreto C40</v>
      </c>
      <c r="P20" s="71" t="s">
        <v>1385</v>
      </c>
      <c r="Q20" s="60" t="s">
        <v>1386</v>
      </c>
      <c r="R20" s="60" t="s">
        <v>1387</v>
      </c>
      <c r="S20" s="75" t="s">
        <v>7</v>
      </c>
      <c r="T20" s="60" t="str">
        <f t="shared" si="1"/>
        <v>De Construção</v>
      </c>
      <c r="U20" s="60" t="str">
        <f t="shared" si="1"/>
        <v>Produtos Construtivos</v>
      </c>
      <c r="V20" s="60" t="str">
        <f t="shared" si="1"/>
        <v>Concretos Estruturais</v>
      </c>
      <c r="W20" s="44" t="s">
        <v>654</v>
      </c>
      <c r="X20" s="52" t="str">
        <f t="shared" si="2"/>
        <v>Key-MET-20</v>
      </c>
      <c r="Y20" s="44" t="s">
        <v>1370</v>
      </c>
      <c r="Z20" s="61" t="s">
        <v>7</v>
      </c>
      <c r="AA20" s="44" t="s">
        <v>1371</v>
      </c>
      <c r="AB20" s="60" t="s">
        <v>7</v>
      </c>
      <c r="AC20" s="60" t="s">
        <v>1311</v>
      </c>
      <c r="AD20" s="60" t="s">
        <v>7</v>
      </c>
    </row>
    <row r="21" spans="1:30" s="87" customFormat="1" ht="6.75" customHeight="1" x14ac:dyDescent="0.25">
      <c r="A21" s="54">
        <v>21</v>
      </c>
      <c r="B21" s="73" t="s">
        <v>1045</v>
      </c>
      <c r="C21" s="73" t="s">
        <v>1715</v>
      </c>
      <c r="D21" s="73" t="s">
        <v>1716</v>
      </c>
      <c r="E21" s="73" t="s">
        <v>1697</v>
      </c>
      <c r="F21" s="81" t="s">
        <v>1388</v>
      </c>
      <c r="G21" s="55" t="s">
        <v>7</v>
      </c>
      <c r="H21" s="55" t="s">
        <v>7</v>
      </c>
      <c r="I21" s="55" t="s">
        <v>7</v>
      </c>
      <c r="J21" s="55" t="s">
        <v>7</v>
      </c>
      <c r="K21" s="55" t="s">
        <v>7</v>
      </c>
      <c r="L21" s="59" t="str">
        <f t="shared" si="3"/>
        <v>De.Construção</v>
      </c>
      <c r="M21" s="59" t="str">
        <f t="shared" si="3"/>
        <v>Produtos.Construtivos</v>
      </c>
      <c r="N21" s="59" t="str">
        <f t="shared" si="0"/>
        <v>Concretos Estruturais</v>
      </c>
      <c r="O21" s="86" t="str">
        <f t="shared" si="0"/>
        <v>Concreto C45</v>
      </c>
      <c r="P21" s="71" t="s">
        <v>1389</v>
      </c>
      <c r="Q21" s="60" t="s">
        <v>1390</v>
      </c>
      <c r="R21" s="60" t="s">
        <v>1391</v>
      </c>
      <c r="S21" s="75" t="s">
        <v>7</v>
      </c>
      <c r="T21" s="60" t="str">
        <f t="shared" si="1"/>
        <v>De Construção</v>
      </c>
      <c r="U21" s="60" t="str">
        <f t="shared" si="1"/>
        <v>Produtos Construtivos</v>
      </c>
      <c r="V21" s="60" t="str">
        <f t="shared" si="1"/>
        <v>Concretos Estruturais</v>
      </c>
      <c r="W21" s="44" t="s">
        <v>654</v>
      </c>
      <c r="X21" s="52" t="str">
        <f t="shared" si="2"/>
        <v>Key-MET-21</v>
      </c>
      <c r="Y21" s="44" t="s">
        <v>1370</v>
      </c>
      <c r="Z21" s="61" t="s">
        <v>7</v>
      </c>
      <c r="AA21" s="44" t="s">
        <v>1371</v>
      </c>
      <c r="AB21" s="60" t="s">
        <v>7</v>
      </c>
      <c r="AC21" s="60" t="s">
        <v>1311</v>
      </c>
      <c r="AD21" s="60" t="s">
        <v>7</v>
      </c>
    </row>
    <row r="22" spans="1:30" s="87" customFormat="1" ht="6.75" customHeight="1" x14ac:dyDescent="0.25">
      <c r="A22" s="54">
        <v>22</v>
      </c>
      <c r="B22" s="73" t="s">
        <v>1045</v>
      </c>
      <c r="C22" s="73" t="s">
        <v>1715</v>
      </c>
      <c r="D22" s="73" t="s">
        <v>1716</v>
      </c>
      <c r="E22" s="73" t="s">
        <v>1697</v>
      </c>
      <c r="F22" s="81" t="s">
        <v>1392</v>
      </c>
      <c r="G22" s="55" t="s">
        <v>7</v>
      </c>
      <c r="H22" s="55" t="s">
        <v>7</v>
      </c>
      <c r="I22" s="55" t="s">
        <v>7</v>
      </c>
      <c r="J22" s="55" t="s">
        <v>7</v>
      </c>
      <c r="K22" s="55" t="s">
        <v>7</v>
      </c>
      <c r="L22" s="59" t="str">
        <f t="shared" si="3"/>
        <v>De.Construção</v>
      </c>
      <c r="M22" s="59" t="str">
        <f t="shared" si="3"/>
        <v>Produtos.Construtivos</v>
      </c>
      <c r="N22" s="59" t="str">
        <f t="shared" si="0"/>
        <v>Concretos Estruturais</v>
      </c>
      <c r="O22" s="86" t="str">
        <f t="shared" si="0"/>
        <v>Concreto C50</v>
      </c>
      <c r="P22" s="71" t="s">
        <v>1393</v>
      </c>
      <c r="Q22" s="60" t="s">
        <v>1394</v>
      </c>
      <c r="R22" s="60" t="s">
        <v>1395</v>
      </c>
      <c r="S22" s="75" t="s">
        <v>7</v>
      </c>
      <c r="T22" s="60" t="str">
        <f t="shared" si="1"/>
        <v>De Construção</v>
      </c>
      <c r="U22" s="60" t="str">
        <f t="shared" si="1"/>
        <v>Produtos Construtivos</v>
      </c>
      <c r="V22" s="60" t="str">
        <f t="shared" si="1"/>
        <v>Concretos Estruturais</v>
      </c>
      <c r="W22" s="44" t="s">
        <v>654</v>
      </c>
      <c r="X22" s="52" t="str">
        <f t="shared" si="2"/>
        <v>Key-MET-22</v>
      </c>
      <c r="Y22" s="44" t="s">
        <v>1370</v>
      </c>
      <c r="Z22" s="61" t="s">
        <v>7</v>
      </c>
      <c r="AA22" s="44" t="s">
        <v>1371</v>
      </c>
      <c r="AB22" s="60" t="s">
        <v>7</v>
      </c>
      <c r="AC22" s="60" t="s">
        <v>1311</v>
      </c>
      <c r="AD22" s="60" t="s">
        <v>7</v>
      </c>
    </row>
    <row r="23" spans="1:30" s="87" customFormat="1" ht="6.75" customHeight="1" x14ac:dyDescent="0.25">
      <c r="A23" s="54">
        <v>23</v>
      </c>
      <c r="B23" s="73" t="s">
        <v>1045</v>
      </c>
      <c r="C23" s="73" t="s">
        <v>1715</v>
      </c>
      <c r="D23" s="73" t="s">
        <v>1716</v>
      </c>
      <c r="E23" s="73" t="s">
        <v>1697</v>
      </c>
      <c r="F23" s="81" t="s">
        <v>1396</v>
      </c>
      <c r="G23" s="55" t="s">
        <v>7</v>
      </c>
      <c r="H23" s="55" t="s">
        <v>7</v>
      </c>
      <c r="I23" s="55" t="s">
        <v>7</v>
      </c>
      <c r="J23" s="55" t="s">
        <v>7</v>
      </c>
      <c r="K23" s="55" t="s">
        <v>7</v>
      </c>
      <c r="L23" s="59" t="str">
        <f t="shared" si="3"/>
        <v>De.Construção</v>
      </c>
      <c r="M23" s="59" t="str">
        <f t="shared" si="3"/>
        <v>Produtos.Construtivos</v>
      </c>
      <c r="N23" s="59" t="str">
        <f t="shared" si="0"/>
        <v>Concretos Estruturais</v>
      </c>
      <c r="O23" s="86" t="str">
        <f t="shared" si="0"/>
        <v>Concreto C55</v>
      </c>
      <c r="P23" s="71" t="s">
        <v>1397</v>
      </c>
      <c r="Q23" s="60" t="s">
        <v>1398</v>
      </c>
      <c r="R23" s="60" t="s">
        <v>1399</v>
      </c>
      <c r="S23" s="75" t="s">
        <v>7</v>
      </c>
      <c r="T23" s="60" t="str">
        <f t="shared" si="1"/>
        <v>De Construção</v>
      </c>
      <c r="U23" s="60" t="str">
        <f t="shared" si="1"/>
        <v>Produtos Construtivos</v>
      </c>
      <c r="V23" s="60" t="str">
        <f t="shared" si="1"/>
        <v>Concretos Estruturais</v>
      </c>
      <c r="W23" s="44" t="s">
        <v>654</v>
      </c>
      <c r="X23" s="52" t="str">
        <f t="shared" si="2"/>
        <v>Key-MET-23</v>
      </c>
      <c r="Y23" s="44" t="s">
        <v>1370</v>
      </c>
      <c r="Z23" s="61" t="s">
        <v>7</v>
      </c>
      <c r="AA23" s="44" t="s">
        <v>1371</v>
      </c>
      <c r="AB23" s="60" t="s">
        <v>7</v>
      </c>
      <c r="AC23" s="60" t="s">
        <v>1311</v>
      </c>
      <c r="AD23" s="60" t="s">
        <v>7</v>
      </c>
    </row>
    <row r="24" spans="1:30" s="87" customFormat="1" ht="6.75" customHeight="1" x14ac:dyDescent="0.25">
      <c r="A24" s="54">
        <v>24</v>
      </c>
      <c r="B24" s="73" t="s">
        <v>1045</v>
      </c>
      <c r="C24" s="73" t="s">
        <v>1715</v>
      </c>
      <c r="D24" s="73" t="s">
        <v>1716</v>
      </c>
      <c r="E24" s="73" t="s">
        <v>1697</v>
      </c>
      <c r="F24" s="81" t="s">
        <v>1400</v>
      </c>
      <c r="G24" s="55" t="s">
        <v>7</v>
      </c>
      <c r="H24" s="55" t="s">
        <v>7</v>
      </c>
      <c r="I24" s="55" t="s">
        <v>7</v>
      </c>
      <c r="J24" s="55" t="s">
        <v>7</v>
      </c>
      <c r="K24" s="55" t="s">
        <v>7</v>
      </c>
      <c r="L24" s="59" t="str">
        <f t="shared" si="3"/>
        <v>De.Construção</v>
      </c>
      <c r="M24" s="59" t="str">
        <f t="shared" si="3"/>
        <v>Produtos.Construtivos</v>
      </c>
      <c r="N24" s="59" t="str">
        <f t="shared" si="0"/>
        <v>Concretos Estruturais</v>
      </c>
      <c r="O24" s="86" t="str">
        <f t="shared" si="0"/>
        <v>Concreto C100</v>
      </c>
      <c r="P24" s="71" t="s">
        <v>1397</v>
      </c>
      <c r="Q24" s="60" t="s">
        <v>1398</v>
      </c>
      <c r="R24" s="60" t="s">
        <v>1399</v>
      </c>
      <c r="S24" s="75" t="s">
        <v>7</v>
      </c>
      <c r="T24" s="60" t="str">
        <f t="shared" si="1"/>
        <v>De Construção</v>
      </c>
      <c r="U24" s="60" t="str">
        <f t="shared" si="1"/>
        <v>Produtos Construtivos</v>
      </c>
      <c r="V24" s="60" t="str">
        <f t="shared" si="1"/>
        <v>Concretos Estruturais</v>
      </c>
      <c r="W24" s="44" t="s">
        <v>654</v>
      </c>
      <c r="X24" s="52" t="str">
        <f t="shared" si="2"/>
        <v>Key-MET-24</v>
      </c>
      <c r="Y24" s="44" t="s">
        <v>1370</v>
      </c>
      <c r="Z24" s="61" t="s">
        <v>7</v>
      </c>
      <c r="AA24" s="44" t="s">
        <v>1371</v>
      </c>
      <c r="AB24" s="60" t="s">
        <v>7</v>
      </c>
      <c r="AC24" s="60" t="s">
        <v>1311</v>
      </c>
      <c r="AD24" s="60" t="s">
        <v>7</v>
      </c>
    </row>
    <row r="25" spans="1:30" s="85" customFormat="1" ht="6.75" customHeight="1" x14ac:dyDescent="0.25">
      <c r="A25" s="54">
        <v>25</v>
      </c>
      <c r="B25" s="73" t="s">
        <v>1045</v>
      </c>
      <c r="C25" s="73" t="s">
        <v>1715</v>
      </c>
      <c r="D25" s="73" t="s">
        <v>1716</v>
      </c>
      <c r="E25" s="73" t="s">
        <v>1698</v>
      </c>
      <c r="F25" s="79" t="s">
        <v>1401</v>
      </c>
      <c r="G25" s="55" t="s">
        <v>7</v>
      </c>
      <c r="H25" s="55" t="s">
        <v>7</v>
      </c>
      <c r="I25" s="55" t="s">
        <v>7</v>
      </c>
      <c r="J25" s="55" t="s">
        <v>7</v>
      </c>
      <c r="K25" s="55" t="s">
        <v>7</v>
      </c>
      <c r="L25" s="59" t="str">
        <f t="shared" si="3"/>
        <v>De.Construção</v>
      </c>
      <c r="M25" s="59" t="str">
        <f t="shared" si="3"/>
        <v>Produtos.Construtivos</v>
      </c>
      <c r="N25" s="59" t="str">
        <f t="shared" si="0"/>
        <v>Concretos Formados</v>
      </c>
      <c r="O25" s="59" t="str">
        <f t="shared" si="0"/>
        <v>Tubo de Concreto Armado</v>
      </c>
      <c r="P25" s="60" t="s">
        <v>1402</v>
      </c>
      <c r="Q25" s="49" t="s">
        <v>1403</v>
      </c>
      <c r="R25" s="49" t="s">
        <v>1404</v>
      </c>
      <c r="S25" s="75" t="s">
        <v>7</v>
      </c>
      <c r="T25" s="60" t="str">
        <f t="shared" si="1"/>
        <v>De Construção</v>
      </c>
      <c r="U25" s="60" t="str">
        <f t="shared" si="1"/>
        <v>Produtos Construtivos</v>
      </c>
      <c r="V25" s="60" t="str">
        <f t="shared" si="1"/>
        <v>Concretos Formados</v>
      </c>
      <c r="W25" s="44" t="s">
        <v>654</v>
      </c>
      <c r="X25" s="52" t="str">
        <f t="shared" si="2"/>
        <v>Key-MET-25</v>
      </c>
      <c r="Y25" s="44" t="s">
        <v>1355</v>
      </c>
      <c r="Z25" s="61" t="s">
        <v>7</v>
      </c>
      <c r="AA25" s="44" t="s">
        <v>1405</v>
      </c>
      <c r="AB25" s="61" t="s">
        <v>7</v>
      </c>
      <c r="AC25" s="44" t="s">
        <v>1357</v>
      </c>
      <c r="AD25" s="61" t="s">
        <v>7</v>
      </c>
    </row>
    <row r="26" spans="1:30" s="85" customFormat="1" ht="6.75" customHeight="1" x14ac:dyDescent="0.25">
      <c r="A26" s="54">
        <v>26</v>
      </c>
      <c r="B26" s="73" t="s">
        <v>1045</v>
      </c>
      <c r="C26" s="73" t="s">
        <v>1715</v>
      </c>
      <c r="D26" s="73" t="s">
        <v>1716</v>
      </c>
      <c r="E26" s="73" t="s">
        <v>1698</v>
      </c>
      <c r="F26" s="79" t="s">
        <v>1406</v>
      </c>
      <c r="G26" s="55" t="s">
        <v>7</v>
      </c>
      <c r="H26" s="55" t="s">
        <v>7</v>
      </c>
      <c r="I26" s="55" t="s">
        <v>7</v>
      </c>
      <c r="J26" s="55" t="s">
        <v>7</v>
      </c>
      <c r="K26" s="55" t="s">
        <v>7</v>
      </c>
      <c r="L26" s="59" t="str">
        <f t="shared" si="3"/>
        <v>De.Construção</v>
      </c>
      <c r="M26" s="59" t="str">
        <f t="shared" si="3"/>
        <v>Produtos.Construtivos</v>
      </c>
      <c r="N26" s="59" t="str">
        <f t="shared" si="0"/>
        <v>Concretos Formados</v>
      </c>
      <c r="O26" s="59" t="str">
        <f t="shared" si="0"/>
        <v>Tubo de Concreto Simples</v>
      </c>
      <c r="P26" s="60" t="s">
        <v>1407</v>
      </c>
      <c r="Q26" s="49" t="s">
        <v>1408</v>
      </c>
      <c r="R26" s="49" t="s">
        <v>1409</v>
      </c>
      <c r="S26" s="75" t="s">
        <v>7</v>
      </c>
      <c r="T26" s="60" t="str">
        <f t="shared" si="1"/>
        <v>De Construção</v>
      </c>
      <c r="U26" s="60" t="str">
        <f t="shared" si="1"/>
        <v>Produtos Construtivos</v>
      </c>
      <c r="V26" s="60" t="str">
        <f t="shared" si="1"/>
        <v>Concretos Formados</v>
      </c>
      <c r="W26" s="44" t="s">
        <v>654</v>
      </c>
      <c r="X26" s="52" t="str">
        <f t="shared" si="2"/>
        <v>Key-MET-26</v>
      </c>
      <c r="Y26" s="44" t="s">
        <v>1355</v>
      </c>
      <c r="Z26" s="61" t="s">
        <v>7</v>
      </c>
      <c r="AA26" s="44" t="s">
        <v>1405</v>
      </c>
      <c r="AB26" s="61" t="s">
        <v>7</v>
      </c>
      <c r="AC26" s="44" t="s">
        <v>1357</v>
      </c>
      <c r="AD26" s="61" t="s">
        <v>7</v>
      </c>
    </row>
    <row r="27" spans="1:30" s="85" customFormat="1" ht="6.75" customHeight="1" x14ac:dyDescent="0.25">
      <c r="A27" s="54">
        <v>27</v>
      </c>
      <c r="B27" s="73" t="s">
        <v>1045</v>
      </c>
      <c r="C27" s="73" t="s">
        <v>1715</v>
      </c>
      <c r="D27" s="73" t="s">
        <v>1716</v>
      </c>
      <c r="E27" s="73" t="s">
        <v>1698</v>
      </c>
      <c r="F27" s="79" t="s">
        <v>1410</v>
      </c>
      <c r="G27" s="55" t="s">
        <v>7</v>
      </c>
      <c r="H27" s="55" t="s">
        <v>7</v>
      </c>
      <c r="I27" s="55" t="s">
        <v>7</v>
      </c>
      <c r="J27" s="55" t="s">
        <v>7</v>
      </c>
      <c r="K27" s="55" t="s">
        <v>7</v>
      </c>
      <c r="L27" s="59" t="str">
        <f t="shared" si="3"/>
        <v>De.Construção</v>
      </c>
      <c r="M27" s="59" t="str">
        <f t="shared" si="3"/>
        <v>Produtos.Construtivos</v>
      </c>
      <c r="N27" s="59" t="str">
        <f t="shared" si="0"/>
        <v>Concretos Formados</v>
      </c>
      <c r="O27" s="59" t="str">
        <f t="shared" si="0"/>
        <v>Tubo de Concreto Perfurado</v>
      </c>
      <c r="P27" s="60" t="s">
        <v>1411</v>
      </c>
      <c r="Q27" s="49" t="s">
        <v>1412</v>
      </c>
      <c r="R27" s="49" t="s">
        <v>1413</v>
      </c>
      <c r="S27" s="75" t="s">
        <v>7</v>
      </c>
      <c r="T27" s="60" t="str">
        <f t="shared" si="1"/>
        <v>De Construção</v>
      </c>
      <c r="U27" s="60" t="str">
        <f t="shared" si="1"/>
        <v>Produtos Construtivos</v>
      </c>
      <c r="V27" s="60" t="str">
        <f t="shared" si="1"/>
        <v>Concretos Formados</v>
      </c>
      <c r="W27" s="44" t="s">
        <v>654</v>
      </c>
      <c r="X27" s="52" t="str">
        <f t="shared" si="2"/>
        <v>Key-MET-27</v>
      </c>
      <c r="Y27" s="44" t="s">
        <v>1355</v>
      </c>
      <c r="Z27" s="61" t="s">
        <v>7</v>
      </c>
      <c r="AA27" s="44" t="s">
        <v>1405</v>
      </c>
      <c r="AB27" s="61" t="s">
        <v>7</v>
      </c>
      <c r="AC27" s="44" t="s">
        <v>1357</v>
      </c>
      <c r="AD27" s="61" t="s">
        <v>7</v>
      </c>
    </row>
    <row r="28" spans="1:30" s="85" customFormat="1" ht="6.75" customHeight="1" x14ac:dyDescent="0.25">
      <c r="A28" s="54">
        <v>28</v>
      </c>
      <c r="B28" s="73" t="s">
        <v>1045</v>
      </c>
      <c r="C28" s="73" t="s">
        <v>1715</v>
      </c>
      <c r="D28" s="73" t="s">
        <v>1716</v>
      </c>
      <c r="E28" s="73" t="s">
        <v>1698</v>
      </c>
      <c r="F28" s="79" t="s">
        <v>1414</v>
      </c>
      <c r="G28" s="55" t="s">
        <v>7</v>
      </c>
      <c r="H28" s="55" t="s">
        <v>7</v>
      </c>
      <c r="I28" s="55" t="s">
        <v>7</v>
      </c>
      <c r="J28" s="55" t="s">
        <v>7</v>
      </c>
      <c r="K28" s="55" t="s">
        <v>7</v>
      </c>
      <c r="L28" s="59" t="str">
        <f t="shared" si="3"/>
        <v>De.Construção</v>
      </c>
      <c r="M28" s="59" t="str">
        <f t="shared" si="3"/>
        <v>Produtos.Construtivos</v>
      </c>
      <c r="N28" s="59" t="str">
        <f t="shared" si="0"/>
        <v>Concretos Formados</v>
      </c>
      <c r="O28" s="59" t="str">
        <f t="shared" si="0"/>
        <v>Tubo de Concreto Cravação</v>
      </c>
      <c r="P28" s="60" t="s">
        <v>1415</v>
      </c>
      <c r="Q28" s="49" t="s">
        <v>1416</v>
      </c>
      <c r="R28" s="49" t="s">
        <v>1417</v>
      </c>
      <c r="S28" s="75" t="s">
        <v>7</v>
      </c>
      <c r="T28" s="60" t="str">
        <f t="shared" si="1"/>
        <v>De Construção</v>
      </c>
      <c r="U28" s="60" t="str">
        <f t="shared" si="1"/>
        <v>Produtos Construtivos</v>
      </c>
      <c r="V28" s="60" t="str">
        <f t="shared" si="1"/>
        <v>Concretos Formados</v>
      </c>
      <c r="W28" s="44" t="s">
        <v>654</v>
      </c>
      <c r="X28" s="52" t="str">
        <f t="shared" si="2"/>
        <v>Key-MET-28</v>
      </c>
      <c r="Y28" s="44" t="s">
        <v>1355</v>
      </c>
      <c r="Z28" s="61" t="s">
        <v>7</v>
      </c>
      <c r="AA28" s="44" t="s">
        <v>1405</v>
      </c>
      <c r="AB28" s="61" t="s">
        <v>7</v>
      </c>
      <c r="AC28" s="44" t="s">
        <v>1357</v>
      </c>
      <c r="AD28" s="61" t="s">
        <v>7</v>
      </c>
    </row>
    <row r="29" spans="1:30" s="85" customFormat="1" ht="6.75" customHeight="1" x14ac:dyDescent="0.25">
      <c r="A29" s="54">
        <v>29</v>
      </c>
      <c r="B29" s="73" t="s">
        <v>1045</v>
      </c>
      <c r="C29" s="73" t="s">
        <v>1715</v>
      </c>
      <c r="D29" s="73" t="s">
        <v>1716</v>
      </c>
      <c r="E29" s="73" t="s">
        <v>1699</v>
      </c>
      <c r="F29" s="79" t="s">
        <v>1418</v>
      </c>
      <c r="G29" s="55" t="s">
        <v>7</v>
      </c>
      <c r="H29" s="55" t="s">
        <v>7</v>
      </c>
      <c r="I29" s="55" t="s">
        <v>7</v>
      </c>
      <c r="J29" s="55" t="s">
        <v>7</v>
      </c>
      <c r="K29" s="55" t="s">
        <v>7</v>
      </c>
      <c r="L29" s="59" t="str">
        <f t="shared" si="3"/>
        <v>De.Construção</v>
      </c>
      <c r="M29" s="59" t="str">
        <f t="shared" si="3"/>
        <v>Produtos.Construtivos</v>
      </c>
      <c r="N29" s="59" t="str">
        <f t="shared" si="0"/>
        <v>Espumados</v>
      </c>
      <c r="O29" s="59" t="str">
        <f t="shared" si="0"/>
        <v>Espuma Expandida</v>
      </c>
      <c r="P29" s="60" t="s">
        <v>1419</v>
      </c>
      <c r="Q29" s="49" t="s">
        <v>1420</v>
      </c>
      <c r="R29" s="49" t="s">
        <v>1421</v>
      </c>
      <c r="S29" s="75" t="s">
        <v>7</v>
      </c>
      <c r="T29" s="60" t="str">
        <f t="shared" si="1"/>
        <v>De Construção</v>
      </c>
      <c r="U29" s="60" t="str">
        <f t="shared" si="1"/>
        <v>Produtos Construtivos</v>
      </c>
      <c r="V29" s="60" t="str">
        <f t="shared" si="1"/>
        <v>Espumados</v>
      </c>
      <c r="W29" s="44" t="s">
        <v>654</v>
      </c>
      <c r="X29" s="52" t="str">
        <f t="shared" si="2"/>
        <v>Key-MET-29</v>
      </c>
      <c r="Y29" s="44" t="s">
        <v>1355</v>
      </c>
      <c r="Z29" s="61" t="s">
        <v>7</v>
      </c>
      <c r="AA29" s="44" t="s">
        <v>1356</v>
      </c>
      <c r="AB29" s="61" t="s">
        <v>7</v>
      </c>
      <c r="AC29" s="44" t="s">
        <v>1357</v>
      </c>
      <c r="AD29" s="61" t="s">
        <v>7</v>
      </c>
    </row>
    <row r="30" spans="1:30" s="85" customFormat="1" ht="6.75" customHeight="1" x14ac:dyDescent="0.25">
      <c r="A30" s="54">
        <v>30</v>
      </c>
      <c r="B30" s="73" t="s">
        <v>1045</v>
      </c>
      <c r="C30" s="73" t="s">
        <v>1715</v>
      </c>
      <c r="D30" s="73" t="s">
        <v>1716</v>
      </c>
      <c r="E30" s="73" t="s">
        <v>1699</v>
      </c>
      <c r="F30" s="79" t="s">
        <v>1422</v>
      </c>
      <c r="G30" s="55" t="s">
        <v>7</v>
      </c>
      <c r="H30" s="55" t="s">
        <v>7</v>
      </c>
      <c r="I30" s="55" t="s">
        <v>7</v>
      </c>
      <c r="J30" s="55" t="s">
        <v>7</v>
      </c>
      <c r="K30" s="55" t="s">
        <v>7</v>
      </c>
      <c r="L30" s="59" t="str">
        <f t="shared" si="3"/>
        <v>De.Construção</v>
      </c>
      <c r="M30" s="59" t="str">
        <f t="shared" si="3"/>
        <v>Produtos.Construtivos</v>
      </c>
      <c r="N30" s="59" t="str">
        <f t="shared" si="0"/>
        <v>Espumados</v>
      </c>
      <c r="O30" s="59" t="str">
        <f t="shared" si="0"/>
        <v>Espuma MPU</v>
      </c>
      <c r="P30" s="60" t="s">
        <v>1423</v>
      </c>
      <c r="Q30" s="49" t="s">
        <v>1424</v>
      </c>
      <c r="R30" s="49" t="s">
        <v>1425</v>
      </c>
      <c r="S30" s="75" t="s">
        <v>7</v>
      </c>
      <c r="T30" s="60" t="str">
        <f t="shared" si="1"/>
        <v>De Construção</v>
      </c>
      <c r="U30" s="60" t="str">
        <f t="shared" si="1"/>
        <v>Produtos Construtivos</v>
      </c>
      <c r="V30" s="60" t="str">
        <f t="shared" si="1"/>
        <v>Espumados</v>
      </c>
      <c r="W30" s="44" t="s">
        <v>654</v>
      </c>
      <c r="X30" s="52" t="str">
        <f t="shared" si="2"/>
        <v>Key-MET-30</v>
      </c>
      <c r="Y30" s="44" t="s">
        <v>1355</v>
      </c>
      <c r="Z30" s="61" t="s">
        <v>7</v>
      </c>
      <c r="AA30" s="44" t="s">
        <v>1356</v>
      </c>
      <c r="AB30" s="61" t="s">
        <v>7</v>
      </c>
      <c r="AC30" s="44" t="s">
        <v>1357</v>
      </c>
      <c r="AD30" s="61" t="s">
        <v>7</v>
      </c>
    </row>
    <row r="31" spans="1:30" s="85" customFormat="1" ht="6.75" customHeight="1" x14ac:dyDescent="0.25">
      <c r="A31" s="54">
        <v>31</v>
      </c>
      <c r="B31" s="73" t="s">
        <v>1045</v>
      </c>
      <c r="C31" s="73" t="s">
        <v>1715</v>
      </c>
      <c r="D31" s="73" t="s">
        <v>1716</v>
      </c>
      <c r="E31" s="73" t="s">
        <v>1699</v>
      </c>
      <c r="F31" s="79" t="s">
        <v>1426</v>
      </c>
      <c r="G31" s="55" t="s">
        <v>7</v>
      </c>
      <c r="H31" s="55" t="s">
        <v>7</v>
      </c>
      <c r="I31" s="55" t="s">
        <v>7</v>
      </c>
      <c r="J31" s="55" t="s">
        <v>7</v>
      </c>
      <c r="K31" s="55" t="s">
        <v>7</v>
      </c>
      <c r="L31" s="59" t="str">
        <f t="shared" si="3"/>
        <v>De.Construção</v>
      </c>
      <c r="M31" s="59" t="str">
        <f t="shared" si="3"/>
        <v>Produtos.Construtivos</v>
      </c>
      <c r="N31" s="59" t="str">
        <f t="shared" si="0"/>
        <v>Espumados</v>
      </c>
      <c r="O31" s="59" t="str">
        <f t="shared" si="0"/>
        <v>Espuma PIR</v>
      </c>
      <c r="P31" s="60" t="s">
        <v>1427</v>
      </c>
      <c r="Q31" s="49" t="s">
        <v>1428</v>
      </c>
      <c r="R31" s="49" t="s">
        <v>1429</v>
      </c>
      <c r="S31" s="75" t="s">
        <v>7</v>
      </c>
      <c r="T31" s="60" t="str">
        <f t="shared" si="1"/>
        <v>De Construção</v>
      </c>
      <c r="U31" s="60" t="str">
        <f t="shared" si="1"/>
        <v>Produtos Construtivos</v>
      </c>
      <c r="V31" s="60" t="str">
        <f t="shared" si="1"/>
        <v>Espumados</v>
      </c>
      <c r="W31" s="44" t="s">
        <v>654</v>
      </c>
      <c r="X31" s="52" t="str">
        <f t="shared" si="2"/>
        <v>Key-MET-31</v>
      </c>
      <c r="Y31" s="44" t="s">
        <v>1355</v>
      </c>
      <c r="Z31" s="61" t="s">
        <v>7</v>
      </c>
      <c r="AA31" s="44" t="s">
        <v>1356</v>
      </c>
      <c r="AB31" s="61" t="s">
        <v>7</v>
      </c>
      <c r="AC31" s="44" t="s">
        <v>1357</v>
      </c>
      <c r="AD31" s="61" t="s">
        <v>7</v>
      </c>
    </row>
    <row r="32" spans="1:30" s="85" customFormat="1" ht="6.75" customHeight="1" x14ac:dyDescent="0.25">
      <c r="A32" s="54">
        <v>32</v>
      </c>
      <c r="B32" s="73" t="s">
        <v>1045</v>
      </c>
      <c r="C32" s="73" t="s">
        <v>1715</v>
      </c>
      <c r="D32" s="73" t="s">
        <v>1716</v>
      </c>
      <c r="E32" s="73" t="s">
        <v>1699</v>
      </c>
      <c r="F32" s="79" t="s">
        <v>1430</v>
      </c>
      <c r="G32" s="55" t="s">
        <v>7</v>
      </c>
      <c r="H32" s="55" t="s">
        <v>7</v>
      </c>
      <c r="I32" s="55" t="s">
        <v>7</v>
      </c>
      <c r="J32" s="55" t="s">
        <v>7</v>
      </c>
      <c r="K32" s="55" t="s">
        <v>7</v>
      </c>
      <c r="L32" s="59" t="str">
        <f t="shared" si="3"/>
        <v>De.Construção</v>
      </c>
      <c r="M32" s="59" t="str">
        <f t="shared" si="3"/>
        <v>Produtos.Construtivos</v>
      </c>
      <c r="N32" s="59" t="str">
        <f t="shared" si="0"/>
        <v>Espumados</v>
      </c>
      <c r="O32" s="59" t="str">
        <f t="shared" si="0"/>
        <v>Espuma PUR</v>
      </c>
      <c r="P32" s="60" t="s">
        <v>1431</v>
      </c>
      <c r="Q32" s="49" t="s">
        <v>1432</v>
      </c>
      <c r="R32" s="49" t="s">
        <v>1433</v>
      </c>
      <c r="S32" s="75" t="s">
        <v>7</v>
      </c>
      <c r="T32" s="60" t="str">
        <f t="shared" si="1"/>
        <v>De Construção</v>
      </c>
      <c r="U32" s="60" t="str">
        <f t="shared" si="1"/>
        <v>Produtos Construtivos</v>
      </c>
      <c r="V32" s="60" t="str">
        <f t="shared" si="1"/>
        <v>Espumados</v>
      </c>
      <c r="W32" s="44" t="s">
        <v>654</v>
      </c>
      <c r="X32" s="52" t="str">
        <f t="shared" si="2"/>
        <v>Key-MET-32</v>
      </c>
      <c r="Y32" s="44" t="s">
        <v>1355</v>
      </c>
      <c r="Z32" s="61" t="s">
        <v>7</v>
      </c>
      <c r="AA32" s="44" t="s">
        <v>1356</v>
      </c>
      <c r="AB32" s="61" t="s">
        <v>7</v>
      </c>
      <c r="AC32" s="44" t="s">
        <v>1357</v>
      </c>
      <c r="AD32" s="61" t="s">
        <v>7</v>
      </c>
    </row>
    <row r="33" spans="1:30" s="85" customFormat="1" ht="6.75" customHeight="1" x14ac:dyDescent="0.25">
      <c r="A33" s="54">
        <v>33</v>
      </c>
      <c r="B33" s="73" t="s">
        <v>1045</v>
      </c>
      <c r="C33" s="73" t="s">
        <v>1715</v>
      </c>
      <c r="D33" s="73" t="s">
        <v>1716</v>
      </c>
      <c r="E33" s="73" t="s">
        <v>1700</v>
      </c>
      <c r="F33" s="79" t="s">
        <v>1444</v>
      </c>
      <c r="G33" s="55" t="s">
        <v>7</v>
      </c>
      <c r="H33" s="55" t="s">
        <v>7</v>
      </c>
      <c r="I33" s="55" t="s">
        <v>7</v>
      </c>
      <c r="J33" s="55" t="s">
        <v>7</v>
      </c>
      <c r="K33" s="55" t="s">
        <v>7</v>
      </c>
      <c r="L33" s="59" t="str">
        <f t="shared" si="3"/>
        <v>De.Construção</v>
      </c>
      <c r="M33" s="59" t="str">
        <f t="shared" si="3"/>
        <v>Produtos.Construtivos</v>
      </c>
      <c r="N33" s="59" t="str">
        <f t="shared" si="0"/>
        <v>Isolantes</v>
      </c>
      <c r="O33" s="59" t="str">
        <f t="shared" si="0"/>
        <v xml:space="preserve">Lã de Rocha </v>
      </c>
      <c r="P33" s="60" t="s">
        <v>1445</v>
      </c>
      <c r="Q33" s="49" t="s">
        <v>1446</v>
      </c>
      <c r="R33" s="49" t="s">
        <v>1447</v>
      </c>
      <c r="S33" s="75" t="s">
        <v>7</v>
      </c>
      <c r="T33" s="60" t="str">
        <f t="shared" si="1"/>
        <v>De Construção</v>
      </c>
      <c r="U33" s="60" t="str">
        <f t="shared" si="1"/>
        <v>Produtos Construtivos</v>
      </c>
      <c r="V33" s="60" t="str">
        <f t="shared" si="1"/>
        <v>Isolantes</v>
      </c>
      <c r="W33" s="44" t="s">
        <v>654</v>
      </c>
      <c r="X33" s="52" t="str">
        <f t="shared" si="2"/>
        <v>Key-MET-33</v>
      </c>
      <c r="Y33" s="44" t="s">
        <v>1355</v>
      </c>
      <c r="Z33" s="61" t="s">
        <v>7</v>
      </c>
      <c r="AA33" s="44" t="s">
        <v>1356</v>
      </c>
      <c r="AB33" s="61" t="s">
        <v>7</v>
      </c>
      <c r="AC33" s="44" t="s">
        <v>1357</v>
      </c>
      <c r="AD33" s="61" t="s">
        <v>7</v>
      </c>
    </row>
    <row r="34" spans="1:30" s="85" customFormat="1" ht="6.75" customHeight="1" x14ac:dyDescent="0.25">
      <c r="A34" s="54">
        <v>34</v>
      </c>
      <c r="B34" s="73" t="s">
        <v>1045</v>
      </c>
      <c r="C34" s="73" t="s">
        <v>1715</v>
      </c>
      <c r="D34" s="73" t="s">
        <v>1716</v>
      </c>
      <c r="E34" s="73" t="s">
        <v>1700</v>
      </c>
      <c r="F34" s="79" t="s">
        <v>1448</v>
      </c>
      <c r="G34" s="55" t="s">
        <v>7</v>
      </c>
      <c r="H34" s="55" t="s">
        <v>7</v>
      </c>
      <c r="I34" s="55" t="s">
        <v>7</v>
      </c>
      <c r="J34" s="55" t="s">
        <v>7</v>
      </c>
      <c r="K34" s="55" t="s">
        <v>7</v>
      </c>
      <c r="L34" s="59" t="str">
        <f t="shared" si="3"/>
        <v>De.Construção</v>
      </c>
      <c r="M34" s="59" t="str">
        <f t="shared" si="3"/>
        <v>Produtos.Construtivos</v>
      </c>
      <c r="N34" s="59" t="str">
        <f t="shared" si="0"/>
        <v>Isolantes</v>
      </c>
      <c r="O34" s="59" t="str">
        <f t="shared" si="0"/>
        <v xml:space="preserve">Lã de Vidro </v>
      </c>
      <c r="P34" s="60" t="s">
        <v>1449</v>
      </c>
      <c r="Q34" s="49" t="s">
        <v>1450</v>
      </c>
      <c r="R34" s="49" t="s">
        <v>1451</v>
      </c>
      <c r="S34" s="75" t="s">
        <v>7</v>
      </c>
      <c r="T34" s="60" t="str">
        <f t="shared" si="1"/>
        <v>De Construção</v>
      </c>
      <c r="U34" s="60" t="str">
        <f t="shared" si="1"/>
        <v>Produtos Construtivos</v>
      </c>
      <c r="V34" s="60" t="str">
        <f t="shared" si="1"/>
        <v>Isolantes</v>
      </c>
      <c r="W34" s="44" t="s">
        <v>654</v>
      </c>
      <c r="X34" s="52" t="str">
        <f t="shared" si="2"/>
        <v>Key-MET-34</v>
      </c>
      <c r="Y34" s="44" t="s">
        <v>1355</v>
      </c>
      <c r="Z34" s="61" t="s">
        <v>7</v>
      </c>
      <c r="AA34" s="44" t="s">
        <v>1356</v>
      </c>
      <c r="AB34" s="61" t="s">
        <v>7</v>
      </c>
      <c r="AC34" s="44" t="s">
        <v>1357</v>
      </c>
      <c r="AD34" s="61" t="s">
        <v>7</v>
      </c>
    </row>
    <row r="35" spans="1:30" s="85" customFormat="1" ht="6.75" customHeight="1" x14ac:dyDescent="0.25">
      <c r="A35" s="54">
        <v>35</v>
      </c>
      <c r="B35" s="73" t="s">
        <v>1045</v>
      </c>
      <c r="C35" s="73" t="s">
        <v>1715</v>
      </c>
      <c r="D35" s="73" t="s">
        <v>1716</v>
      </c>
      <c r="E35" s="73" t="s">
        <v>1700</v>
      </c>
      <c r="F35" s="79" t="s">
        <v>1452</v>
      </c>
      <c r="G35" s="55" t="s">
        <v>7</v>
      </c>
      <c r="H35" s="55" t="s">
        <v>7</v>
      </c>
      <c r="I35" s="55" t="s">
        <v>7</v>
      </c>
      <c r="J35" s="55" t="s">
        <v>7</v>
      </c>
      <c r="K35" s="55" t="s">
        <v>7</v>
      </c>
      <c r="L35" s="59" t="str">
        <f t="shared" si="3"/>
        <v>De.Construção</v>
      </c>
      <c r="M35" s="59" t="str">
        <f t="shared" si="3"/>
        <v>Produtos.Construtivos</v>
      </c>
      <c r="N35" s="59" t="str">
        <f t="shared" si="0"/>
        <v>Isolantes</v>
      </c>
      <c r="O35" s="59" t="str">
        <f t="shared" si="0"/>
        <v>Borracha Antivibratória</v>
      </c>
      <c r="P35" s="60" t="s">
        <v>1453</v>
      </c>
      <c r="Q35" s="49" t="s">
        <v>1454</v>
      </c>
      <c r="R35" s="49" t="s">
        <v>1455</v>
      </c>
      <c r="S35" s="75" t="s">
        <v>7</v>
      </c>
      <c r="T35" s="60" t="str">
        <f t="shared" si="1"/>
        <v>De Construção</v>
      </c>
      <c r="U35" s="60" t="str">
        <f t="shared" si="1"/>
        <v>Produtos Construtivos</v>
      </c>
      <c r="V35" s="60" t="str">
        <f t="shared" si="1"/>
        <v>Isolantes</v>
      </c>
      <c r="W35" s="44" t="s">
        <v>654</v>
      </c>
      <c r="X35" s="52" t="str">
        <f t="shared" si="2"/>
        <v>Key-MET-35</v>
      </c>
      <c r="Y35" s="44" t="s">
        <v>1355</v>
      </c>
      <c r="Z35" s="61" t="s">
        <v>7</v>
      </c>
      <c r="AA35" s="44" t="s">
        <v>1356</v>
      </c>
      <c r="AB35" s="61" t="s">
        <v>7</v>
      </c>
      <c r="AC35" s="44" t="s">
        <v>1357</v>
      </c>
      <c r="AD35" s="61" t="s">
        <v>7</v>
      </c>
    </row>
    <row r="36" spans="1:30" s="85" customFormat="1" ht="6.75" customHeight="1" x14ac:dyDescent="0.25">
      <c r="A36" s="54">
        <v>36</v>
      </c>
      <c r="B36" s="73" t="s">
        <v>1045</v>
      </c>
      <c r="C36" s="73" t="s">
        <v>1715</v>
      </c>
      <c r="D36" s="73" t="s">
        <v>1716</v>
      </c>
      <c r="E36" s="73" t="s">
        <v>1700</v>
      </c>
      <c r="F36" s="79" t="s">
        <v>1456</v>
      </c>
      <c r="G36" s="55" t="s">
        <v>7</v>
      </c>
      <c r="H36" s="55" t="s">
        <v>7</v>
      </c>
      <c r="I36" s="55" t="s">
        <v>7</v>
      </c>
      <c r="J36" s="55" t="s">
        <v>7</v>
      </c>
      <c r="K36" s="55" t="s">
        <v>7</v>
      </c>
      <c r="L36" s="59" t="str">
        <f t="shared" si="3"/>
        <v>De.Construção</v>
      </c>
      <c r="M36" s="59" t="str">
        <f t="shared" si="3"/>
        <v>Produtos.Construtivos</v>
      </c>
      <c r="N36" s="59" t="str">
        <f t="shared" si="0"/>
        <v>Isolantes</v>
      </c>
      <c r="O36" s="59" t="str">
        <f t="shared" si="0"/>
        <v>Borracha Elastomérica</v>
      </c>
      <c r="P36" s="60" t="s">
        <v>1457</v>
      </c>
      <c r="Q36" s="49" t="s">
        <v>1458</v>
      </c>
      <c r="R36" s="49" t="s">
        <v>1459</v>
      </c>
      <c r="S36" s="75" t="s">
        <v>7</v>
      </c>
      <c r="T36" s="60" t="str">
        <f t="shared" si="1"/>
        <v>De Construção</v>
      </c>
      <c r="U36" s="60" t="str">
        <f t="shared" si="1"/>
        <v>Produtos Construtivos</v>
      </c>
      <c r="V36" s="60" t="str">
        <f t="shared" si="1"/>
        <v>Isolantes</v>
      </c>
      <c r="W36" s="44" t="s">
        <v>654</v>
      </c>
      <c r="X36" s="52" t="str">
        <f t="shared" si="2"/>
        <v>Key-MET-36</v>
      </c>
      <c r="Y36" s="44" t="s">
        <v>1355</v>
      </c>
      <c r="Z36" s="61" t="s">
        <v>7</v>
      </c>
      <c r="AA36" s="44" t="s">
        <v>1356</v>
      </c>
      <c r="AB36" s="61" t="s">
        <v>7</v>
      </c>
      <c r="AC36" s="44" t="s">
        <v>1357</v>
      </c>
      <c r="AD36" s="61" t="s">
        <v>7</v>
      </c>
    </row>
    <row r="37" spans="1:30" s="85" customFormat="1" ht="6.75" customHeight="1" x14ac:dyDescent="0.25">
      <c r="A37" s="54">
        <v>37</v>
      </c>
      <c r="B37" s="73" t="s">
        <v>1045</v>
      </c>
      <c r="C37" s="73" t="s">
        <v>1715</v>
      </c>
      <c r="D37" s="73" t="s">
        <v>1716</v>
      </c>
      <c r="E37" s="73" t="s">
        <v>1717</v>
      </c>
      <c r="F37" s="74" t="s">
        <v>580</v>
      </c>
      <c r="G37" s="55" t="s">
        <v>7</v>
      </c>
      <c r="H37" s="55" t="s">
        <v>7</v>
      </c>
      <c r="I37" s="55" t="s">
        <v>7</v>
      </c>
      <c r="J37" s="55" t="s">
        <v>7</v>
      </c>
      <c r="K37" s="55" t="s">
        <v>7</v>
      </c>
      <c r="L37" s="59" t="str">
        <f t="shared" si="3"/>
        <v>De.Construção</v>
      </c>
      <c r="M37" s="59" t="str">
        <f t="shared" si="3"/>
        <v>Produtos.Construtivos</v>
      </c>
      <c r="N37" s="59" t="str">
        <f t="shared" si="0"/>
        <v>Ligas Estruturais</v>
      </c>
      <c r="O37" s="59" t="str">
        <f t="shared" si="0"/>
        <v>Aço Estrutural</v>
      </c>
      <c r="P37" s="49" t="s">
        <v>1460</v>
      </c>
      <c r="Q37" s="49" t="s">
        <v>1461</v>
      </c>
      <c r="R37" s="49" t="s">
        <v>1462</v>
      </c>
      <c r="S37" s="75" t="s">
        <v>7</v>
      </c>
      <c r="T37" s="60" t="str">
        <f t="shared" si="1"/>
        <v>De Construção</v>
      </c>
      <c r="U37" s="60" t="str">
        <f t="shared" si="1"/>
        <v>Produtos Construtivos</v>
      </c>
      <c r="V37" s="60" t="str">
        <f t="shared" si="1"/>
        <v>Ligas Estruturais</v>
      </c>
      <c r="W37" s="44" t="s">
        <v>654</v>
      </c>
      <c r="X37" s="52" t="str">
        <f t="shared" si="2"/>
        <v>Key-MET-37</v>
      </c>
      <c r="Y37" s="44" t="s">
        <v>1370</v>
      </c>
      <c r="Z37" s="61" t="s">
        <v>7</v>
      </c>
      <c r="AA37" s="44" t="s">
        <v>1463</v>
      </c>
      <c r="AB37" s="61" t="s">
        <v>7</v>
      </c>
      <c r="AC37" s="44" t="s">
        <v>1311</v>
      </c>
      <c r="AD37" s="44" t="s">
        <v>7</v>
      </c>
    </row>
    <row r="38" spans="1:30" s="85" customFormat="1" ht="6.75" customHeight="1" x14ac:dyDescent="0.25">
      <c r="A38" s="54">
        <v>38</v>
      </c>
      <c r="B38" s="73" t="s">
        <v>1045</v>
      </c>
      <c r="C38" s="73" t="s">
        <v>1715</v>
      </c>
      <c r="D38" s="73" t="s">
        <v>1716</v>
      </c>
      <c r="E38" s="73" t="s">
        <v>1717</v>
      </c>
      <c r="F38" s="74" t="s">
        <v>581</v>
      </c>
      <c r="G38" s="55" t="s">
        <v>7</v>
      </c>
      <c r="H38" s="55" t="s">
        <v>7</v>
      </c>
      <c r="I38" s="55" t="s">
        <v>7</v>
      </c>
      <c r="J38" s="55" t="s">
        <v>7</v>
      </c>
      <c r="K38" s="55" t="s">
        <v>7</v>
      </c>
      <c r="L38" s="59" t="str">
        <f t="shared" si="3"/>
        <v>De.Construção</v>
      </c>
      <c r="M38" s="59" t="str">
        <f t="shared" si="3"/>
        <v>Produtos.Construtivos</v>
      </c>
      <c r="N38" s="59" t="str">
        <f t="shared" si="0"/>
        <v>Ligas Estruturais</v>
      </c>
      <c r="O38" s="59" t="str">
        <f t="shared" si="0"/>
        <v>Alumínio Estrutural</v>
      </c>
      <c r="P38" s="49" t="s">
        <v>1464</v>
      </c>
      <c r="Q38" s="49" t="s">
        <v>1465</v>
      </c>
      <c r="R38" s="49" t="s">
        <v>1466</v>
      </c>
      <c r="S38" s="75" t="s">
        <v>7</v>
      </c>
      <c r="T38" s="60" t="str">
        <f t="shared" si="1"/>
        <v>De Construção</v>
      </c>
      <c r="U38" s="60" t="str">
        <f t="shared" si="1"/>
        <v>Produtos Construtivos</v>
      </c>
      <c r="V38" s="60" t="str">
        <f t="shared" si="1"/>
        <v>Ligas Estruturais</v>
      </c>
      <c r="W38" s="44" t="s">
        <v>654</v>
      </c>
      <c r="X38" s="52" t="str">
        <f t="shared" si="2"/>
        <v>Key-MET-38</v>
      </c>
      <c r="Y38" s="44" t="s">
        <v>1370</v>
      </c>
      <c r="Z38" s="61" t="s">
        <v>7</v>
      </c>
      <c r="AA38" s="44" t="s">
        <v>1463</v>
      </c>
      <c r="AB38" s="61" t="s">
        <v>7</v>
      </c>
      <c r="AC38" s="44" t="s">
        <v>1311</v>
      </c>
      <c r="AD38" s="44" t="s">
        <v>7</v>
      </c>
    </row>
    <row r="39" spans="1:30" s="87" customFormat="1" ht="6.75" customHeight="1" x14ac:dyDescent="0.25">
      <c r="A39" s="54">
        <v>39</v>
      </c>
      <c r="B39" s="73" t="s">
        <v>1045</v>
      </c>
      <c r="C39" s="73" t="s">
        <v>1715</v>
      </c>
      <c r="D39" s="73" t="s">
        <v>1716</v>
      </c>
      <c r="E39" s="73" t="s">
        <v>1701</v>
      </c>
      <c r="F39" s="77" t="s">
        <v>1467</v>
      </c>
      <c r="G39" s="55" t="s">
        <v>7</v>
      </c>
      <c r="H39" s="55" t="s">
        <v>7</v>
      </c>
      <c r="I39" s="55" t="s">
        <v>7</v>
      </c>
      <c r="J39" s="55" t="s">
        <v>7</v>
      </c>
      <c r="K39" s="55" t="s">
        <v>7</v>
      </c>
      <c r="L39" s="59" t="str">
        <f t="shared" ref="L39:M73" si="5">CONCATENATE("", C39)</f>
        <v>De.Construção</v>
      </c>
      <c r="M39" s="59" t="str">
        <f t="shared" si="5"/>
        <v>Produtos.Construtivos</v>
      </c>
      <c r="N39" s="59" t="str">
        <f t="shared" ref="N39:O73" si="6">(SUBSTITUTE(SUBSTITUTE(CONCATENATE("",E39),"."," ")," De "," de "))</f>
        <v>Caixas Metálicas</v>
      </c>
      <c r="O39" s="59" t="str">
        <f t="shared" si="6"/>
        <v>Caixa Metálica de Elétrica</v>
      </c>
      <c r="P39" s="49" t="s">
        <v>1468</v>
      </c>
      <c r="Q39" s="49" t="s">
        <v>1469</v>
      </c>
      <c r="R39" s="49" t="s">
        <v>1470</v>
      </c>
      <c r="S39" s="75" t="s">
        <v>7</v>
      </c>
      <c r="T39" s="60" t="str">
        <f t="shared" si="1"/>
        <v>De Construção</v>
      </c>
      <c r="U39" s="60" t="str">
        <f t="shared" si="1"/>
        <v>Produtos Construtivos</v>
      </c>
      <c r="V39" s="60" t="str">
        <f t="shared" si="1"/>
        <v>Caixas Metálicas</v>
      </c>
      <c r="W39" s="44" t="s">
        <v>654</v>
      </c>
      <c r="X39" s="52" t="str">
        <f t="shared" si="2"/>
        <v>Key-MET-39</v>
      </c>
      <c r="Y39" s="44" t="s">
        <v>1355</v>
      </c>
      <c r="Z39" s="61" t="s">
        <v>7</v>
      </c>
      <c r="AA39" s="44" t="s">
        <v>1356</v>
      </c>
      <c r="AB39" s="61" t="s">
        <v>7</v>
      </c>
      <c r="AC39" s="44" t="s">
        <v>1439</v>
      </c>
      <c r="AD39" s="61" t="s">
        <v>7</v>
      </c>
    </row>
    <row r="40" spans="1:30" s="87" customFormat="1" ht="6.75" customHeight="1" x14ac:dyDescent="0.25">
      <c r="A40" s="54">
        <v>40</v>
      </c>
      <c r="B40" s="73" t="s">
        <v>1045</v>
      </c>
      <c r="C40" s="73" t="s">
        <v>1715</v>
      </c>
      <c r="D40" s="73" t="s">
        <v>1716</v>
      </c>
      <c r="E40" s="73" t="s">
        <v>1701</v>
      </c>
      <c r="F40" s="77" t="s">
        <v>1471</v>
      </c>
      <c r="G40" s="55" t="s">
        <v>7</v>
      </c>
      <c r="H40" s="55" t="s">
        <v>7</v>
      </c>
      <c r="I40" s="55" t="s">
        <v>7</v>
      </c>
      <c r="J40" s="55" t="s">
        <v>7</v>
      </c>
      <c r="K40" s="55" t="s">
        <v>7</v>
      </c>
      <c r="L40" s="59" t="str">
        <f t="shared" si="5"/>
        <v>De.Construção</v>
      </c>
      <c r="M40" s="59" t="str">
        <f t="shared" si="5"/>
        <v>Produtos.Construtivos</v>
      </c>
      <c r="N40" s="59" t="str">
        <f t="shared" si="6"/>
        <v>Caixas Metálicas</v>
      </c>
      <c r="O40" s="59" t="str">
        <f t="shared" si="6"/>
        <v>Caixa Metálica de Telecom</v>
      </c>
      <c r="P40" s="49" t="s">
        <v>1472</v>
      </c>
      <c r="Q40" s="49" t="s">
        <v>1473</v>
      </c>
      <c r="R40" s="49" t="s">
        <v>1474</v>
      </c>
      <c r="S40" s="75" t="s">
        <v>7</v>
      </c>
      <c r="T40" s="60" t="str">
        <f t="shared" si="1"/>
        <v>De Construção</v>
      </c>
      <c r="U40" s="60" t="str">
        <f t="shared" si="1"/>
        <v>Produtos Construtivos</v>
      </c>
      <c r="V40" s="60" t="str">
        <f t="shared" si="1"/>
        <v>Caixas Metálicas</v>
      </c>
      <c r="W40" s="44" t="s">
        <v>654</v>
      </c>
      <c r="X40" s="52" t="str">
        <f t="shared" si="2"/>
        <v>Key-MET-40</v>
      </c>
      <c r="Y40" s="44" t="s">
        <v>1355</v>
      </c>
      <c r="Z40" s="61" t="s">
        <v>7</v>
      </c>
      <c r="AA40" s="44" t="s">
        <v>1356</v>
      </c>
      <c r="AB40" s="61" t="s">
        <v>7</v>
      </c>
      <c r="AC40" s="44" t="s">
        <v>1439</v>
      </c>
      <c r="AD40" s="61" t="s">
        <v>7</v>
      </c>
    </row>
    <row r="41" spans="1:30" s="87" customFormat="1" ht="6.75" customHeight="1" x14ac:dyDescent="0.25">
      <c r="A41" s="54">
        <v>41</v>
      </c>
      <c r="B41" s="73" t="s">
        <v>1045</v>
      </c>
      <c r="C41" s="73" t="s">
        <v>1715</v>
      </c>
      <c r="D41" s="73" t="s">
        <v>1716</v>
      </c>
      <c r="E41" s="73" t="s">
        <v>1702</v>
      </c>
      <c r="F41" s="77" t="s">
        <v>1552</v>
      </c>
      <c r="G41" s="55" t="s">
        <v>7</v>
      </c>
      <c r="H41" s="55" t="s">
        <v>7</v>
      </c>
      <c r="I41" s="55" t="s">
        <v>7</v>
      </c>
      <c r="J41" s="55" t="s">
        <v>7</v>
      </c>
      <c r="K41" s="55" t="s">
        <v>7</v>
      </c>
      <c r="L41" s="59" t="str">
        <f t="shared" si="5"/>
        <v>De.Construção</v>
      </c>
      <c r="M41" s="59" t="str">
        <f t="shared" si="5"/>
        <v>Produtos.Construtivos</v>
      </c>
      <c r="N41" s="59" t="str">
        <f t="shared" si="6"/>
        <v>Caixas Plásticas</v>
      </c>
      <c r="O41" s="59" t="str">
        <f t="shared" si="6"/>
        <v>Caixa PVC de Elétrica</v>
      </c>
      <c r="P41" s="49" t="s">
        <v>1553</v>
      </c>
      <c r="Q41" s="49" t="s">
        <v>1554</v>
      </c>
      <c r="R41" s="49" t="s">
        <v>1555</v>
      </c>
      <c r="S41" s="75" t="s">
        <v>7</v>
      </c>
      <c r="T41" s="60" t="str">
        <f t="shared" si="1"/>
        <v>De Construção</v>
      </c>
      <c r="U41" s="60" t="str">
        <f t="shared" si="1"/>
        <v>Produtos Construtivos</v>
      </c>
      <c r="V41" s="60" t="str">
        <f t="shared" si="1"/>
        <v>Caixas Plásticas</v>
      </c>
      <c r="W41" s="44" t="s">
        <v>654</v>
      </c>
      <c r="X41" s="52" t="str">
        <f t="shared" si="2"/>
        <v>Key-MET-41</v>
      </c>
      <c r="Y41" s="44" t="s">
        <v>1355</v>
      </c>
      <c r="Z41" s="61" t="s">
        <v>7</v>
      </c>
      <c r="AA41" s="44" t="s">
        <v>1356</v>
      </c>
      <c r="AB41" s="61" t="s">
        <v>7</v>
      </c>
      <c r="AC41" s="44" t="s">
        <v>1439</v>
      </c>
      <c r="AD41" s="61" t="s">
        <v>7</v>
      </c>
    </row>
    <row r="42" spans="1:30" s="87" customFormat="1" ht="6.75" customHeight="1" x14ac:dyDescent="0.25">
      <c r="A42" s="54">
        <v>42</v>
      </c>
      <c r="B42" s="73" t="s">
        <v>1045</v>
      </c>
      <c r="C42" s="73" t="s">
        <v>1715</v>
      </c>
      <c r="D42" s="73" t="s">
        <v>1716</v>
      </c>
      <c r="E42" s="73" t="s">
        <v>1702</v>
      </c>
      <c r="F42" s="77" t="s">
        <v>1556</v>
      </c>
      <c r="G42" s="55" t="s">
        <v>7</v>
      </c>
      <c r="H42" s="55" t="s">
        <v>7</v>
      </c>
      <c r="I42" s="55" t="s">
        <v>7</v>
      </c>
      <c r="J42" s="55" t="s">
        <v>7</v>
      </c>
      <c r="K42" s="55" t="s">
        <v>7</v>
      </c>
      <c r="L42" s="59" t="str">
        <f t="shared" si="5"/>
        <v>De.Construção</v>
      </c>
      <c r="M42" s="59" t="str">
        <f t="shared" si="5"/>
        <v>Produtos.Construtivos</v>
      </c>
      <c r="N42" s="59" t="str">
        <f t="shared" si="6"/>
        <v>Caixas Plásticas</v>
      </c>
      <c r="O42" s="59" t="str">
        <f t="shared" si="6"/>
        <v>Caixa PVC de Telecom</v>
      </c>
      <c r="P42" s="49" t="s">
        <v>1557</v>
      </c>
      <c r="Q42" s="49" t="s">
        <v>1558</v>
      </c>
      <c r="R42" s="49" t="s">
        <v>1559</v>
      </c>
      <c r="S42" s="75" t="s">
        <v>7</v>
      </c>
      <c r="T42" s="60" t="str">
        <f t="shared" si="1"/>
        <v>De Construção</v>
      </c>
      <c r="U42" s="60" t="str">
        <f t="shared" si="1"/>
        <v>Produtos Construtivos</v>
      </c>
      <c r="V42" s="60" t="str">
        <f t="shared" si="1"/>
        <v>Caixas Plásticas</v>
      </c>
      <c r="W42" s="44" t="s">
        <v>654</v>
      </c>
      <c r="X42" s="52" t="str">
        <f t="shared" si="2"/>
        <v>Key-MET-42</v>
      </c>
      <c r="Y42" s="44" t="s">
        <v>1355</v>
      </c>
      <c r="Z42" s="61" t="s">
        <v>7</v>
      </c>
      <c r="AA42" s="44" t="s">
        <v>1356</v>
      </c>
      <c r="AB42" s="61" t="s">
        <v>7</v>
      </c>
      <c r="AC42" s="44" t="s">
        <v>1439</v>
      </c>
      <c r="AD42" s="61" t="s">
        <v>7</v>
      </c>
    </row>
    <row r="43" spans="1:30" s="87" customFormat="1" ht="6.75" customHeight="1" x14ac:dyDescent="0.25">
      <c r="A43" s="54">
        <v>43</v>
      </c>
      <c r="B43" s="73" t="s">
        <v>1045</v>
      </c>
      <c r="C43" s="73" t="s">
        <v>1715</v>
      </c>
      <c r="D43" s="73" t="s">
        <v>1716</v>
      </c>
      <c r="E43" s="73" t="s">
        <v>1703</v>
      </c>
      <c r="F43" s="77" t="s">
        <v>1475</v>
      </c>
      <c r="G43" s="55" t="s">
        <v>7</v>
      </c>
      <c r="H43" s="55" t="s">
        <v>7</v>
      </c>
      <c r="I43" s="55" t="s">
        <v>7</v>
      </c>
      <c r="J43" s="55" t="s">
        <v>7</v>
      </c>
      <c r="K43" s="55" t="s">
        <v>7</v>
      </c>
      <c r="L43" s="59" t="str">
        <f t="shared" si="5"/>
        <v>De.Construção</v>
      </c>
      <c r="M43" s="59" t="str">
        <f t="shared" si="5"/>
        <v>Produtos.Construtivos</v>
      </c>
      <c r="N43" s="59" t="str">
        <f t="shared" si="6"/>
        <v>Calhas Metálicas</v>
      </c>
      <c r="O43" s="59" t="str">
        <f t="shared" si="6"/>
        <v>Calha de Elétrica</v>
      </c>
      <c r="P43" s="49" t="s">
        <v>1476</v>
      </c>
      <c r="Q43" s="49" t="s">
        <v>1477</v>
      </c>
      <c r="R43" s="49" t="s">
        <v>1478</v>
      </c>
      <c r="S43" s="75" t="s">
        <v>7</v>
      </c>
      <c r="T43" s="60" t="str">
        <f t="shared" si="1"/>
        <v>De Construção</v>
      </c>
      <c r="U43" s="60" t="str">
        <f t="shared" si="1"/>
        <v>Produtos Construtivos</v>
      </c>
      <c r="V43" s="60" t="str">
        <f t="shared" si="1"/>
        <v>Calhas Metálicas</v>
      </c>
      <c r="W43" s="44" t="s">
        <v>654</v>
      </c>
      <c r="X43" s="52" t="str">
        <f t="shared" si="2"/>
        <v>Key-MET-43</v>
      </c>
      <c r="Y43" s="44" t="s">
        <v>1355</v>
      </c>
      <c r="Z43" s="61" t="s">
        <v>7</v>
      </c>
      <c r="AA43" s="44" t="s">
        <v>1356</v>
      </c>
      <c r="AB43" s="61" t="s">
        <v>7</v>
      </c>
      <c r="AC43" s="44" t="s">
        <v>1439</v>
      </c>
      <c r="AD43" s="61" t="s">
        <v>7</v>
      </c>
    </row>
    <row r="44" spans="1:30" s="87" customFormat="1" ht="6.75" customHeight="1" x14ac:dyDescent="0.25">
      <c r="A44" s="54">
        <v>44</v>
      </c>
      <c r="B44" s="73" t="s">
        <v>1045</v>
      </c>
      <c r="C44" s="73" t="s">
        <v>1715</v>
      </c>
      <c r="D44" s="73" t="s">
        <v>1716</v>
      </c>
      <c r="E44" s="73" t="s">
        <v>1703</v>
      </c>
      <c r="F44" s="77" t="s">
        <v>1479</v>
      </c>
      <c r="G44" s="55" t="s">
        <v>7</v>
      </c>
      <c r="H44" s="55" t="s">
        <v>7</v>
      </c>
      <c r="I44" s="55" t="s">
        <v>7</v>
      </c>
      <c r="J44" s="55" t="s">
        <v>7</v>
      </c>
      <c r="K44" s="55" t="s">
        <v>7</v>
      </c>
      <c r="L44" s="59" t="str">
        <f t="shared" si="5"/>
        <v>De.Construção</v>
      </c>
      <c r="M44" s="59" t="str">
        <f t="shared" si="5"/>
        <v>Produtos.Construtivos</v>
      </c>
      <c r="N44" s="59" t="str">
        <f t="shared" si="6"/>
        <v>Calhas Metálicas</v>
      </c>
      <c r="O44" s="59" t="str">
        <f t="shared" si="6"/>
        <v>Calha de Telecom</v>
      </c>
      <c r="P44" s="49" t="s">
        <v>1480</v>
      </c>
      <c r="Q44" s="49" t="s">
        <v>1481</v>
      </c>
      <c r="R44" s="49" t="s">
        <v>1482</v>
      </c>
      <c r="S44" s="75" t="s">
        <v>7</v>
      </c>
      <c r="T44" s="60" t="str">
        <f t="shared" si="1"/>
        <v>De Construção</v>
      </c>
      <c r="U44" s="60" t="str">
        <f t="shared" si="1"/>
        <v>Produtos Construtivos</v>
      </c>
      <c r="V44" s="60" t="str">
        <f t="shared" si="1"/>
        <v>Calhas Metálicas</v>
      </c>
      <c r="W44" s="44" t="s">
        <v>654</v>
      </c>
      <c r="X44" s="52" t="str">
        <f t="shared" si="2"/>
        <v>Key-MET-44</v>
      </c>
      <c r="Y44" s="44" t="s">
        <v>1355</v>
      </c>
      <c r="Z44" s="61" t="s">
        <v>7</v>
      </c>
      <c r="AA44" s="44" t="s">
        <v>1356</v>
      </c>
      <c r="AB44" s="61" t="s">
        <v>7</v>
      </c>
      <c r="AC44" s="44" t="s">
        <v>1439</v>
      </c>
      <c r="AD44" s="61" t="s">
        <v>7</v>
      </c>
    </row>
    <row r="45" spans="1:30" s="87" customFormat="1" ht="6.75" customHeight="1" x14ac:dyDescent="0.25">
      <c r="A45" s="54">
        <v>45</v>
      </c>
      <c r="B45" s="73" t="s">
        <v>1045</v>
      </c>
      <c r="C45" s="73" t="s">
        <v>1715</v>
      </c>
      <c r="D45" s="73" t="s">
        <v>1716</v>
      </c>
      <c r="E45" s="73" t="s">
        <v>1703</v>
      </c>
      <c r="F45" s="77" t="s">
        <v>1718</v>
      </c>
      <c r="G45" s="55" t="s">
        <v>7</v>
      </c>
      <c r="H45" s="55" t="s">
        <v>7</v>
      </c>
      <c r="I45" s="55" t="s">
        <v>7</v>
      </c>
      <c r="J45" s="55" t="s">
        <v>7</v>
      </c>
      <c r="K45" s="55" t="s">
        <v>7</v>
      </c>
      <c r="L45" s="59" t="str">
        <f t="shared" si="5"/>
        <v>De.Construção</v>
      </c>
      <c r="M45" s="59" t="str">
        <f t="shared" si="5"/>
        <v>Produtos.Construtivos</v>
      </c>
      <c r="N45" s="59" t="str">
        <f t="shared" si="6"/>
        <v>Calhas Metálicas</v>
      </c>
      <c r="O45" s="59" t="str">
        <f t="shared" si="6"/>
        <v>Calha de Pluvial</v>
      </c>
      <c r="P45" s="49" t="s">
        <v>1719</v>
      </c>
      <c r="Q45" s="49" t="s">
        <v>1720</v>
      </c>
      <c r="R45" s="49" t="str">
        <f>_xlfn.TRANSLATE(Q45,"es","en")</f>
        <v>Construction material to collect rainwater on roofs.</v>
      </c>
      <c r="S45" s="75" t="s">
        <v>7</v>
      </c>
      <c r="T45" s="60" t="str">
        <f t="shared" si="1"/>
        <v>De Construção</v>
      </c>
      <c r="U45" s="60" t="str">
        <f t="shared" si="1"/>
        <v>Produtos Construtivos</v>
      </c>
      <c r="V45" s="60" t="str">
        <f t="shared" si="1"/>
        <v>Calhas Metálicas</v>
      </c>
      <c r="W45" s="44" t="s">
        <v>654</v>
      </c>
      <c r="X45" s="52" t="str">
        <f t="shared" si="2"/>
        <v>Key-MET-45</v>
      </c>
      <c r="Y45" s="44" t="s">
        <v>1721</v>
      </c>
      <c r="Z45" s="61" t="s">
        <v>7</v>
      </c>
      <c r="AA45" s="44" t="s">
        <v>1722</v>
      </c>
      <c r="AB45" s="61" t="s">
        <v>7</v>
      </c>
      <c r="AC45" s="44" t="s">
        <v>1439</v>
      </c>
      <c r="AD45" s="61" t="s">
        <v>7</v>
      </c>
    </row>
    <row r="46" spans="1:30" s="87" customFormat="1" ht="6.75" customHeight="1" x14ac:dyDescent="0.25">
      <c r="A46" s="54">
        <v>46</v>
      </c>
      <c r="B46" s="73" t="s">
        <v>1045</v>
      </c>
      <c r="C46" s="73" t="s">
        <v>1715</v>
      </c>
      <c r="D46" s="73" t="s">
        <v>1716</v>
      </c>
      <c r="E46" s="73" t="s">
        <v>1703</v>
      </c>
      <c r="F46" s="77" t="s">
        <v>1483</v>
      </c>
      <c r="G46" s="55" t="s">
        <v>7</v>
      </c>
      <c r="H46" s="55" t="s">
        <v>7</v>
      </c>
      <c r="I46" s="55" t="s">
        <v>7</v>
      </c>
      <c r="J46" s="55" t="s">
        <v>7</v>
      </c>
      <c r="K46" s="55" t="s">
        <v>7</v>
      </c>
      <c r="L46" s="59" t="str">
        <f t="shared" si="5"/>
        <v>De.Construção</v>
      </c>
      <c r="M46" s="59" t="str">
        <f t="shared" si="5"/>
        <v>Produtos.Construtivos</v>
      </c>
      <c r="N46" s="59" t="str">
        <f t="shared" si="6"/>
        <v>Calhas Metálicas</v>
      </c>
      <c r="O46" s="59" t="str">
        <f t="shared" si="6"/>
        <v>Calha Leito de Elétrica</v>
      </c>
      <c r="P46" s="49" t="s">
        <v>1484</v>
      </c>
      <c r="Q46" s="49" t="s">
        <v>1485</v>
      </c>
      <c r="R46" s="49" t="s">
        <v>1486</v>
      </c>
      <c r="S46" s="75" t="s">
        <v>7</v>
      </c>
      <c r="T46" s="60" t="str">
        <f t="shared" si="1"/>
        <v>De Construção</v>
      </c>
      <c r="U46" s="60" t="str">
        <f t="shared" si="1"/>
        <v>Produtos Construtivos</v>
      </c>
      <c r="V46" s="60" t="str">
        <f t="shared" si="1"/>
        <v>Calhas Metálicas</v>
      </c>
      <c r="W46" s="44" t="s">
        <v>654</v>
      </c>
      <c r="X46" s="52" t="str">
        <f t="shared" si="2"/>
        <v>Key-MET-46</v>
      </c>
      <c r="Y46" s="44" t="s">
        <v>1355</v>
      </c>
      <c r="Z46" s="61" t="s">
        <v>7</v>
      </c>
      <c r="AA46" s="44" t="s">
        <v>1356</v>
      </c>
      <c r="AB46" s="61" t="s">
        <v>7</v>
      </c>
      <c r="AC46" s="44" t="s">
        <v>1439</v>
      </c>
      <c r="AD46" s="61" t="s">
        <v>7</v>
      </c>
    </row>
    <row r="47" spans="1:30" s="87" customFormat="1" ht="6.75" customHeight="1" x14ac:dyDescent="0.25">
      <c r="A47" s="54">
        <v>47</v>
      </c>
      <c r="B47" s="73" t="s">
        <v>1045</v>
      </c>
      <c r="C47" s="73" t="s">
        <v>1715</v>
      </c>
      <c r="D47" s="73" t="s">
        <v>1716</v>
      </c>
      <c r="E47" s="73" t="s">
        <v>1703</v>
      </c>
      <c r="F47" s="77" t="s">
        <v>1487</v>
      </c>
      <c r="G47" s="55" t="s">
        <v>7</v>
      </c>
      <c r="H47" s="55" t="s">
        <v>7</v>
      </c>
      <c r="I47" s="55" t="s">
        <v>7</v>
      </c>
      <c r="J47" s="55" t="s">
        <v>7</v>
      </c>
      <c r="K47" s="55" t="s">
        <v>7</v>
      </c>
      <c r="L47" s="59" t="str">
        <f t="shared" si="5"/>
        <v>De.Construção</v>
      </c>
      <c r="M47" s="59" t="str">
        <f t="shared" si="5"/>
        <v>Produtos.Construtivos</v>
      </c>
      <c r="N47" s="59" t="str">
        <f t="shared" si="6"/>
        <v>Calhas Metálicas</v>
      </c>
      <c r="O47" s="59" t="str">
        <f t="shared" si="6"/>
        <v>Calha Leito de Telecom</v>
      </c>
      <c r="P47" s="49" t="s">
        <v>1488</v>
      </c>
      <c r="Q47" s="49" t="s">
        <v>1489</v>
      </c>
      <c r="R47" s="49" t="s">
        <v>1490</v>
      </c>
      <c r="S47" s="75" t="s">
        <v>7</v>
      </c>
      <c r="T47" s="60" t="str">
        <f t="shared" si="1"/>
        <v>De Construção</v>
      </c>
      <c r="U47" s="60" t="str">
        <f t="shared" si="1"/>
        <v>Produtos Construtivos</v>
      </c>
      <c r="V47" s="60" t="str">
        <f t="shared" si="1"/>
        <v>Calhas Metálicas</v>
      </c>
      <c r="W47" s="44" t="s">
        <v>654</v>
      </c>
      <c r="X47" s="52" t="str">
        <f t="shared" si="2"/>
        <v>Key-MET-47</v>
      </c>
      <c r="Y47" s="44" t="s">
        <v>1355</v>
      </c>
      <c r="Z47" s="61" t="s">
        <v>7</v>
      </c>
      <c r="AA47" s="44" t="s">
        <v>1356</v>
      </c>
      <c r="AB47" s="61" t="s">
        <v>7</v>
      </c>
      <c r="AC47" s="44" t="s">
        <v>1439</v>
      </c>
      <c r="AD47" s="61" t="s">
        <v>7</v>
      </c>
    </row>
    <row r="48" spans="1:30" s="87" customFormat="1" ht="6.75" customHeight="1" x14ac:dyDescent="0.25">
      <c r="A48" s="54">
        <v>48</v>
      </c>
      <c r="B48" s="73" t="s">
        <v>1045</v>
      </c>
      <c r="C48" s="73" t="s">
        <v>1715</v>
      </c>
      <c r="D48" s="73" t="s">
        <v>1716</v>
      </c>
      <c r="E48" s="73" t="s">
        <v>1704</v>
      </c>
      <c r="F48" s="77" t="s">
        <v>1560</v>
      </c>
      <c r="G48" s="55" t="s">
        <v>7</v>
      </c>
      <c r="H48" s="55" t="s">
        <v>7</v>
      </c>
      <c r="I48" s="55" t="s">
        <v>7</v>
      </c>
      <c r="J48" s="55" t="s">
        <v>7</v>
      </c>
      <c r="K48" s="55" t="s">
        <v>7</v>
      </c>
      <c r="L48" s="59" t="str">
        <f t="shared" si="5"/>
        <v>De.Construção</v>
      </c>
      <c r="M48" s="59" t="str">
        <f t="shared" si="5"/>
        <v>Produtos.Construtivos</v>
      </c>
      <c r="N48" s="59" t="str">
        <f t="shared" si="6"/>
        <v>Calhas Plásticas</v>
      </c>
      <c r="O48" s="59" t="str">
        <f t="shared" si="6"/>
        <v>Canaleta de Elétrica</v>
      </c>
      <c r="P48" s="49" t="s">
        <v>1561</v>
      </c>
      <c r="Q48" s="49" t="s">
        <v>1562</v>
      </c>
      <c r="R48" s="49" t="s">
        <v>1563</v>
      </c>
      <c r="S48" s="75" t="s">
        <v>7</v>
      </c>
      <c r="T48" s="60" t="str">
        <f t="shared" si="1"/>
        <v>De Construção</v>
      </c>
      <c r="U48" s="60" t="str">
        <f t="shared" si="1"/>
        <v>Produtos Construtivos</v>
      </c>
      <c r="V48" s="60" t="str">
        <f t="shared" si="1"/>
        <v>Calhas Plásticas</v>
      </c>
      <c r="W48" s="44" t="s">
        <v>654</v>
      </c>
      <c r="X48" s="52" t="str">
        <f t="shared" si="2"/>
        <v>Key-MET-48</v>
      </c>
      <c r="Y48" s="44" t="s">
        <v>1355</v>
      </c>
      <c r="Z48" s="61" t="s">
        <v>7</v>
      </c>
      <c r="AA48" s="44" t="s">
        <v>1356</v>
      </c>
      <c r="AB48" s="61" t="s">
        <v>7</v>
      </c>
      <c r="AC48" s="44" t="s">
        <v>1439</v>
      </c>
      <c r="AD48" s="61" t="s">
        <v>7</v>
      </c>
    </row>
    <row r="49" spans="1:30" s="87" customFormat="1" ht="6.75" customHeight="1" x14ac:dyDescent="0.25">
      <c r="A49" s="54">
        <v>49</v>
      </c>
      <c r="B49" s="73" t="s">
        <v>1045</v>
      </c>
      <c r="C49" s="73" t="s">
        <v>1715</v>
      </c>
      <c r="D49" s="73" t="s">
        <v>1716</v>
      </c>
      <c r="E49" s="73" t="s">
        <v>1704</v>
      </c>
      <c r="F49" s="77" t="s">
        <v>1564</v>
      </c>
      <c r="G49" s="55" t="s">
        <v>7</v>
      </c>
      <c r="H49" s="55" t="s">
        <v>7</v>
      </c>
      <c r="I49" s="55" t="s">
        <v>7</v>
      </c>
      <c r="J49" s="55" t="s">
        <v>7</v>
      </c>
      <c r="K49" s="55" t="s">
        <v>7</v>
      </c>
      <c r="L49" s="59" t="str">
        <f t="shared" si="5"/>
        <v>De.Construção</v>
      </c>
      <c r="M49" s="59" t="str">
        <f t="shared" si="5"/>
        <v>Produtos.Construtivos</v>
      </c>
      <c r="N49" s="59" t="str">
        <f t="shared" si="6"/>
        <v>Calhas Plásticas</v>
      </c>
      <c r="O49" s="59" t="str">
        <f t="shared" si="6"/>
        <v>Canaleta de Telecom</v>
      </c>
      <c r="P49" s="49" t="s">
        <v>1565</v>
      </c>
      <c r="Q49" s="49" t="s">
        <v>1566</v>
      </c>
      <c r="R49" s="49" t="s">
        <v>1567</v>
      </c>
      <c r="S49" s="75" t="s">
        <v>7</v>
      </c>
      <c r="T49" s="60" t="str">
        <f t="shared" si="1"/>
        <v>De Construção</v>
      </c>
      <c r="U49" s="60" t="str">
        <f t="shared" si="1"/>
        <v>Produtos Construtivos</v>
      </c>
      <c r="V49" s="60" t="str">
        <f t="shared" si="1"/>
        <v>Calhas Plásticas</v>
      </c>
      <c r="W49" s="44" t="s">
        <v>654</v>
      </c>
      <c r="X49" s="52" t="str">
        <f t="shared" si="2"/>
        <v>Key-MET-49</v>
      </c>
      <c r="Y49" s="44" t="s">
        <v>1355</v>
      </c>
      <c r="Z49" s="61" t="s">
        <v>7</v>
      </c>
      <c r="AA49" s="44" t="s">
        <v>1356</v>
      </c>
      <c r="AB49" s="61" t="s">
        <v>7</v>
      </c>
      <c r="AC49" s="44" t="s">
        <v>1439</v>
      </c>
      <c r="AD49" s="61" t="s">
        <v>7</v>
      </c>
    </row>
    <row r="50" spans="1:30" s="87" customFormat="1" ht="6.75" customHeight="1" x14ac:dyDescent="0.25">
      <c r="A50" s="54">
        <v>50</v>
      </c>
      <c r="B50" s="73" t="s">
        <v>1045</v>
      </c>
      <c r="C50" s="73" t="s">
        <v>1715</v>
      </c>
      <c r="D50" s="73" t="s">
        <v>1716</v>
      </c>
      <c r="E50" s="73" t="s">
        <v>1704</v>
      </c>
      <c r="F50" s="77" t="s">
        <v>1723</v>
      </c>
      <c r="G50" s="55" t="s">
        <v>7</v>
      </c>
      <c r="H50" s="55" t="s">
        <v>7</v>
      </c>
      <c r="I50" s="55" t="s">
        <v>7</v>
      </c>
      <c r="J50" s="55" t="s">
        <v>7</v>
      </c>
      <c r="K50" s="55" t="s">
        <v>7</v>
      </c>
      <c r="L50" s="59" t="str">
        <f t="shared" si="5"/>
        <v>De.Construção</v>
      </c>
      <c r="M50" s="59" t="str">
        <f t="shared" si="5"/>
        <v>Produtos.Construtivos</v>
      </c>
      <c r="N50" s="59" t="str">
        <f t="shared" si="6"/>
        <v>Calhas Plásticas</v>
      </c>
      <c r="O50" s="59" t="str">
        <f t="shared" si="6"/>
        <v>Canaleta de Pluvial</v>
      </c>
      <c r="P50" s="49" t="s">
        <v>1719</v>
      </c>
      <c r="Q50" s="49" t="s">
        <v>1720</v>
      </c>
      <c r="R50" s="49" t="str">
        <f>_xlfn.TRANSLATE(Q50,"es","en")</f>
        <v>Construction material to collect rainwater on roofs.</v>
      </c>
      <c r="S50" s="75" t="s">
        <v>7</v>
      </c>
      <c r="T50" s="60" t="str">
        <f t="shared" si="1"/>
        <v>De Construção</v>
      </c>
      <c r="U50" s="60" t="str">
        <f t="shared" si="1"/>
        <v>Produtos Construtivos</v>
      </c>
      <c r="V50" s="60" t="str">
        <f t="shared" si="1"/>
        <v>Calhas Plásticas</v>
      </c>
      <c r="W50" s="44" t="s">
        <v>654</v>
      </c>
      <c r="X50" s="52" t="str">
        <f t="shared" si="2"/>
        <v>Key-MET-50</v>
      </c>
      <c r="Y50" s="44" t="s">
        <v>1721</v>
      </c>
      <c r="Z50" s="61" t="s">
        <v>7</v>
      </c>
      <c r="AA50" s="44" t="s">
        <v>1722</v>
      </c>
      <c r="AB50" s="61" t="s">
        <v>7</v>
      </c>
      <c r="AC50" s="44" t="s">
        <v>1439</v>
      </c>
      <c r="AD50" s="61" t="s">
        <v>7</v>
      </c>
    </row>
    <row r="51" spans="1:30" s="87" customFormat="1" ht="6.75" customHeight="1" x14ac:dyDescent="0.25">
      <c r="A51" s="54">
        <v>51</v>
      </c>
      <c r="B51" s="73" t="s">
        <v>1045</v>
      </c>
      <c r="C51" s="73" t="s">
        <v>1715</v>
      </c>
      <c r="D51" s="73" t="s">
        <v>1716</v>
      </c>
      <c r="E51" s="73" t="s">
        <v>1705</v>
      </c>
      <c r="F51" s="77" t="s">
        <v>1434</v>
      </c>
      <c r="G51" s="55" t="s">
        <v>7</v>
      </c>
      <c r="H51" s="55" t="s">
        <v>7</v>
      </c>
      <c r="I51" s="55" t="s">
        <v>7</v>
      </c>
      <c r="J51" s="55" t="s">
        <v>7</v>
      </c>
      <c r="K51" s="55" t="s">
        <v>7</v>
      </c>
      <c r="L51" s="59" t="str">
        <f t="shared" si="5"/>
        <v>De.Construção</v>
      </c>
      <c r="M51" s="59" t="str">
        <f t="shared" si="5"/>
        <v>Produtos.Construtivos</v>
      </c>
      <c r="N51" s="59" t="str">
        <f t="shared" si="6"/>
        <v>Conduítes Flex</v>
      </c>
      <c r="O51" s="59" t="str">
        <f t="shared" si="6"/>
        <v>Conduíte Flex de Elétrica</v>
      </c>
      <c r="P51" s="49" t="s">
        <v>1435</v>
      </c>
      <c r="Q51" s="49" t="s">
        <v>1436</v>
      </c>
      <c r="R51" s="49" t="s">
        <v>1437</v>
      </c>
      <c r="S51" s="75" t="s">
        <v>7</v>
      </c>
      <c r="T51" s="60" t="str">
        <f t="shared" si="1"/>
        <v>De Construção</v>
      </c>
      <c r="U51" s="60" t="str">
        <f t="shared" si="1"/>
        <v>Produtos Construtivos</v>
      </c>
      <c r="V51" s="60" t="str">
        <f t="shared" si="1"/>
        <v>Conduítes Flex</v>
      </c>
      <c r="W51" s="44" t="s">
        <v>654</v>
      </c>
      <c r="X51" s="52" t="str">
        <f t="shared" si="2"/>
        <v>Key-MET-51</v>
      </c>
      <c r="Y51" s="44" t="s">
        <v>1355</v>
      </c>
      <c r="Z51" s="61" t="s">
        <v>7</v>
      </c>
      <c r="AA51" s="44" t="s">
        <v>1438</v>
      </c>
      <c r="AB51" s="61" t="s">
        <v>7</v>
      </c>
      <c r="AC51" s="44" t="s">
        <v>1439</v>
      </c>
      <c r="AD51" s="61" t="s">
        <v>7</v>
      </c>
    </row>
    <row r="52" spans="1:30" s="87" customFormat="1" ht="6.75" customHeight="1" x14ac:dyDescent="0.25">
      <c r="A52" s="54">
        <v>52</v>
      </c>
      <c r="B52" s="73" t="s">
        <v>1045</v>
      </c>
      <c r="C52" s="73" t="s">
        <v>1715</v>
      </c>
      <c r="D52" s="73" t="s">
        <v>1716</v>
      </c>
      <c r="E52" s="73" t="s">
        <v>1705</v>
      </c>
      <c r="F52" s="77" t="s">
        <v>1440</v>
      </c>
      <c r="G52" s="55" t="s">
        <v>7</v>
      </c>
      <c r="H52" s="55" t="s">
        <v>7</v>
      </c>
      <c r="I52" s="55" t="s">
        <v>7</v>
      </c>
      <c r="J52" s="55" t="s">
        <v>7</v>
      </c>
      <c r="K52" s="55" t="s">
        <v>7</v>
      </c>
      <c r="L52" s="59" t="str">
        <f t="shared" si="5"/>
        <v>De.Construção</v>
      </c>
      <c r="M52" s="59" t="str">
        <f t="shared" si="5"/>
        <v>Produtos.Construtivos</v>
      </c>
      <c r="N52" s="59" t="str">
        <f t="shared" si="6"/>
        <v>Conduítes Flex</v>
      </c>
      <c r="O52" s="59" t="str">
        <f t="shared" si="6"/>
        <v>Conduíte Flex de Telecom</v>
      </c>
      <c r="P52" s="49" t="s">
        <v>1441</v>
      </c>
      <c r="Q52" s="49" t="s">
        <v>1442</v>
      </c>
      <c r="R52" s="49" t="s">
        <v>1443</v>
      </c>
      <c r="S52" s="75" t="s">
        <v>7</v>
      </c>
      <c r="T52" s="60" t="str">
        <f t="shared" si="1"/>
        <v>De Construção</v>
      </c>
      <c r="U52" s="60" t="str">
        <f t="shared" si="1"/>
        <v>Produtos Construtivos</v>
      </c>
      <c r="V52" s="60" t="str">
        <f t="shared" si="1"/>
        <v>Conduítes Flex</v>
      </c>
      <c r="W52" s="44" t="s">
        <v>654</v>
      </c>
      <c r="X52" s="52" t="str">
        <f t="shared" si="2"/>
        <v>Key-MET-52</v>
      </c>
      <c r="Y52" s="44" t="s">
        <v>1355</v>
      </c>
      <c r="Z52" s="61" t="s">
        <v>7</v>
      </c>
      <c r="AA52" s="44" t="s">
        <v>1438</v>
      </c>
      <c r="AB52" s="61" t="s">
        <v>7</v>
      </c>
      <c r="AC52" s="44" t="s">
        <v>1439</v>
      </c>
      <c r="AD52" s="61" t="s">
        <v>7</v>
      </c>
    </row>
    <row r="53" spans="1:30" s="87" customFormat="1" ht="6.75" customHeight="1" x14ac:dyDescent="0.25">
      <c r="A53" s="54">
        <v>53</v>
      </c>
      <c r="B53" s="73" t="s">
        <v>1045</v>
      </c>
      <c r="C53" s="73" t="s">
        <v>1715</v>
      </c>
      <c r="D53" s="73" t="s">
        <v>1716</v>
      </c>
      <c r="E53" s="73" t="s">
        <v>1706</v>
      </c>
      <c r="F53" s="77" t="s">
        <v>1585</v>
      </c>
      <c r="G53" s="55" t="s">
        <v>7</v>
      </c>
      <c r="H53" s="55" t="s">
        <v>7</v>
      </c>
      <c r="I53" s="55" t="s">
        <v>7</v>
      </c>
      <c r="J53" s="55" t="s">
        <v>7</v>
      </c>
      <c r="K53" s="55" t="s">
        <v>7</v>
      </c>
      <c r="L53" s="59" t="str">
        <f t="shared" si="5"/>
        <v>De.Construção</v>
      </c>
      <c r="M53" s="59" t="str">
        <f t="shared" si="5"/>
        <v>Produtos.Construtivos</v>
      </c>
      <c r="N53" s="59" t="str">
        <f t="shared" si="6"/>
        <v>Conduítes Rígidos</v>
      </c>
      <c r="O53" s="59" t="str">
        <f t="shared" si="6"/>
        <v>Conduíte Rígido de Elétrica</v>
      </c>
      <c r="P53" s="49" t="s">
        <v>1586</v>
      </c>
      <c r="Q53" s="49" t="s">
        <v>1587</v>
      </c>
      <c r="R53" s="49" t="s">
        <v>1588</v>
      </c>
      <c r="S53" s="75" t="s">
        <v>7</v>
      </c>
      <c r="T53" s="60" t="str">
        <f t="shared" si="1"/>
        <v>De Construção</v>
      </c>
      <c r="U53" s="60" t="str">
        <f t="shared" si="1"/>
        <v>Produtos Construtivos</v>
      </c>
      <c r="V53" s="60" t="str">
        <f t="shared" si="1"/>
        <v>Conduítes Rígidos</v>
      </c>
      <c r="W53" s="44" t="s">
        <v>654</v>
      </c>
      <c r="X53" s="52" t="str">
        <f t="shared" si="2"/>
        <v>Key-MET-53</v>
      </c>
      <c r="Y53" s="44" t="s">
        <v>1355</v>
      </c>
      <c r="Z53" s="61" t="s">
        <v>7</v>
      </c>
      <c r="AA53" s="44" t="s">
        <v>1356</v>
      </c>
      <c r="AB53" s="61" t="s">
        <v>7</v>
      </c>
      <c r="AC53" s="44" t="s">
        <v>1439</v>
      </c>
      <c r="AD53" s="61" t="s">
        <v>7</v>
      </c>
    </row>
    <row r="54" spans="1:30" s="87" customFormat="1" ht="6.75" customHeight="1" x14ac:dyDescent="0.25">
      <c r="A54" s="54">
        <v>54</v>
      </c>
      <c r="B54" s="73" t="s">
        <v>1045</v>
      </c>
      <c r="C54" s="73" t="s">
        <v>1715</v>
      </c>
      <c r="D54" s="73" t="s">
        <v>1716</v>
      </c>
      <c r="E54" s="73" t="s">
        <v>1706</v>
      </c>
      <c r="F54" s="77" t="s">
        <v>1589</v>
      </c>
      <c r="G54" s="55" t="s">
        <v>7</v>
      </c>
      <c r="H54" s="55" t="s">
        <v>7</v>
      </c>
      <c r="I54" s="55" t="s">
        <v>7</v>
      </c>
      <c r="J54" s="55" t="s">
        <v>7</v>
      </c>
      <c r="K54" s="55" t="s">
        <v>7</v>
      </c>
      <c r="L54" s="59" t="str">
        <f t="shared" si="5"/>
        <v>De.Construção</v>
      </c>
      <c r="M54" s="59" t="str">
        <f t="shared" si="5"/>
        <v>Produtos.Construtivos</v>
      </c>
      <c r="N54" s="59" t="str">
        <f t="shared" si="6"/>
        <v>Conduítes Rígidos</v>
      </c>
      <c r="O54" s="59" t="str">
        <f t="shared" si="6"/>
        <v>Conduíte Rígido de Telecom</v>
      </c>
      <c r="P54" s="49" t="s">
        <v>1590</v>
      </c>
      <c r="Q54" s="49" t="s">
        <v>1591</v>
      </c>
      <c r="R54" s="49" t="s">
        <v>1592</v>
      </c>
      <c r="S54" s="75" t="s">
        <v>7</v>
      </c>
      <c r="T54" s="60" t="str">
        <f t="shared" si="1"/>
        <v>De Construção</v>
      </c>
      <c r="U54" s="60" t="str">
        <f t="shared" si="1"/>
        <v>Produtos Construtivos</v>
      </c>
      <c r="V54" s="60" t="str">
        <f t="shared" si="1"/>
        <v>Conduítes Rígidos</v>
      </c>
      <c r="W54" s="44" t="s">
        <v>654</v>
      </c>
      <c r="X54" s="52" t="str">
        <f t="shared" si="2"/>
        <v>Key-MET-54</v>
      </c>
      <c r="Y54" s="44" t="s">
        <v>1355</v>
      </c>
      <c r="Z54" s="61" t="s">
        <v>7</v>
      </c>
      <c r="AA54" s="44" t="s">
        <v>1356</v>
      </c>
      <c r="AB54" s="61" t="s">
        <v>7</v>
      </c>
      <c r="AC54" s="44" t="s">
        <v>1439</v>
      </c>
      <c r="AD54" s="61" t="s">
        <v>7</v>
      </c>
    </row>
    <row r="55" spans="1:30" s="87" customFormat="1" ht="6.75" customHeight="1" x14ac:dyDescent="0.25">
      <c r="A55" s="54">
        <v>55</v>
      </c>
      <c r="B55" s="73" t="s">
        <v>1045</v>
      </c>
      <c r="C55" s="73" t="s">
        <v>1715</v>
      </c>
      <c r="D55" s="73" t="s">
        <v>1716</v>
      </c>
      <c r="E55" s="73" t="s">
        <v>1707</v>
      </c>
      <c r="F55" s="77" t="s">
        <v>1491</v>
      </c>
      <c r="G55" s="55" t="s">
        <v>7</v>
      </c>
      <c r="H55" s="55" t="s">
        <v>7</v>
      </c>
      <c r="I55" s="55" t="s">
        <v>7</v>
      </c>
      <c r="J55" s="55" t="s">
        <v>7</v>
      </c>
      <c r="K55" s="55" t="s">
        <v>7</v>
      </c>
      <c r="L55" s="59" t="str">
        <f t="shared" si="5"/>
        <v>De.Construção</v>
      </c>
      <c r="M55" s="59" t="str">
        <f t="shared" si="5"/>
        <v>Produtos.Construtivos</v>
      </c>
      <c r="N55" s="59" t="str">
        <f t="shared" si="6"/>
        <v>Fiações Metálicas</v>
      </c>
      <c r="O55" s="59" t="str">
        <f t="shared" si="6"/>
        <v>Fiação de Elétrica</v>
      </c>
      <c r="P55" s="49" t="s">
        <v>1492</v>
      </c>
      <c r="Q55" s="49" t="s">
        <v>1493</v>
      </c>
      <c r="R55" s="49" t="s">
        <v>1494</v>
      </c>
      <c r="S55" s="75" t="s">
        <v>7</v>
      </c>
      <c r="T55" s="60" t="str">
        <f t="shared" si="1"/>
        <v>De Construção</v>
      </c>
      <c r="U55" s="60" t="str">
        <f t="shared" si="1"/>
        <v>Produtos Construtivos</v>
      </c>
      <c r="V55" s="60" t="str">
        <f t="shared" si="1"/>
        <v>Fiações Metálicas</v>
      </c>
      <c r="W55" s="44" t="s">
        <v>654</v>
      </c>
      <c r="X55" s="52" t="str">
        <f t="shared" si="2"/>
        <v>Key-MET-55</v>
      </c>
      <c r="Y55" s="44" t="s">
        <v>1495</v>
      </c>
      <c r="Z55" s="61" t="s">
        <v>7</v>
      </c>
      <c r="AA55" s="44" t="s">
        <v>989</v>
      </c>
      <c r="AB55" s="61" t="s">
        <v>7</v>
      </c>
      <c r="AC55" s="44" t="s">
        <v>1439</v>
      </c>
      <c r="AD55" s="61" t="s">
        <v>7</v>
      </c>
    </row>
    <row r="56" spans="1:30" s="87" customFormat="1" ht="6.75" customHeight="1" x14ac:dyDescent="0.25">
      <c r="A56" s="54">
        <v>56</v>
      </c>
      <c r="B56" s="73" t="s">
        <v>1045</v>
      </c>
      <c r="C56" s="73" t="s">
        <v>1715</v>
      </c>
      <c r="D56" s="73" t="s">
        <v>1716</v>
      </c>
      <c r="E56" s="73" t="s">
        <v>1707</v>
      </c>
      <c r="F56" s="77" t="s">
        <v>1496</v>
      </c>
      <c r="G56" s="55" t="s">
        <v>7</v>
      </c>
      <c r="H56" s="55" t="s">
        <v>7</v>
      </c>
      <c r="I56" s="55" t="s">
        <v>7</v>
      </c>
      <c r="J56" s="55" t="s">
        <v>7</v>
      </c>
      <c r="K56" s="55" t="s">
        <v>7</v>
      </c>
      <c r="L56" s="59" t="str">
        <f t="shared" si="5"/>
        <v>De.Construção</v>
      </c>
      <c r="M56" s="59" t="str">
        <f t="shared" si="5"/>
        <v>Produtos.Construtivos</v>
      </c>
      <c r="N56" s="59" t="str">
        <f t="shared" si="6"/>
        <v>Fiações Metálicas</v>
      </c>
      <c r="O56" s="59" t="str">
        <f t="shared" si="6"/>
        <v>Fiação de Telecom</v>
      </c>
      <c r="P56" s="49" t="s">
        <v>1497</v>
      </c>
      <c r="Q56" s="49" t="s">
        <v>1498</v>
      </c>
      <c r="R56" s="49" t="s">
        <v>1499</v>
      </c>
      <c r="S56" s="75" t="s">
        <v>7</v>
      </c>
      <c r="T56" s="60" t="str">
        <f t="shared" si="1"/>
        <v>De Construção</v>
      </c>
      <c r="U56" s="60" t="str">
        <f t="shared" si="1"/>
        <v>Produtos Construtivos</v>
      </c>
      <c r="V56" s="60" t="str">
        <f t="shared" si="1"/>
        <v>Fiações Metálicas</v>
      </c>
      <c r="W56" s="44" t="s">
        <v>654</v>
      </c>
      <c r="X56" s="52" t="str">
        <f t="shared" si="2"/>
        <v>Key-MET-56</v>
      </c>
      <c r="Y56" s="44" t="s">
        <v>1495</v>
      </c>
      <c r="Z56" s="61" t="s">
        <v>7</v>
      </c>
      <c r="AA56" s="44" t="s">
        <v>989</v>
      </c>
      <c r="AB56" s="61" t="s">
        <v>7</v>
      </c>
      <c r="AC56" s="44" t="s">
        <v>1439</v>
      </c>
      <c r="AD56" s="61" t="s">
        <v>7</v>
      </c>
    </row>
    <row r="57" spans="1:30" s="85" customFormat="1" ht="6.75" customHeight="1" x14ac:dyDescent="0.25">
      <c r="A57" s="54">
        <v>57</v>
      </c>
      <c r="B57" s="73" t="s">
        <v>1045</v>
      </c>
      <c r="C57" s="73" t="s">
        <v>1715</v>
      </c>
      <c r="D57" s="73" t="s">
        <v>1716</v>
      </c>
      <c r="E57" s="73" t="s">
        <v>1708</v>
      </c>
      <c r="F57" s="79" t="s">
        <v>1500</v>
      </c>
      <c r="G57" s="55" t="s">
        <v>7</v>
      </c>
      <c r="H57" s="55" t="s">
        <v>7</v>
      </c>
      <c r="I57" s="55" t="s">
        <v>7</v>
      </c>
      <c r="J57" s="55" t="s">
        <v>7</v>
      </c>
      <c r="K57" s="55" t="s">
        <v>7</v>
      </c>
      <c r="L57" s="59" t="str">
        <f t="shared" si="5"/>
        <v>De.Construção</v>
      </c>
      <c r="M57" s="59" t="str">
        <f t="shared" si="5"/>
        <v>Produtos.Construtivos</v>
      </c>
      <c r="N57" s="59" t="str">
        <f t="shared" si="6"/>
        <v>Peças Metálicas</v>
      </c>
      <c r="O57" s="59" t="str">
        <f t="shared" si="6"/>
        <v>Grelha Alumínio</v>
      </c>
      <c r="P57" s="60" t="s">
        <v>1501</v>
      </c>
      <c r="Q57" s="49" t="s">
        <v>1502</v>
      </c>
      <c r="R57" s="49" t="s">
        <v>1503</v>
      </c>
      <c r="S57" s="75" t="s">
        <v>7</v>
      </c>
      <c r="T57" s="60" t="str">
        <f t="shared" si="1"/>
        <v>De Construção</v>
      </c>
      <c r="U57" s="60" t="str">
        <f t="shared" si="1"/>
        <v>Produtos Construtivos</v>
      </c>
      <c r="V57" s="60" t="str">
        <f t="shared" si="1"/>
        <v>Peças Metálicas</v>
      </c>
      <c r="W57" s="44" t="s">
        <v>654</v>
      </c>
      <c r="X57" s="52" t="str">
        <f t="shared" si="2"/>
        <v>Key-MET-57</v>
      </c>
      <c r="Y57" s="44" t="s">
        <v>1355</v>
      </c>
      <c r="Z57" s="61" t="s">
        <v>7</v>
      </c>
      <c r="AA57" s="44" t="s">
        <v>1356</v>
      </c>
      <c r="AB57" s="61" t="s">
        <v>7</v>
      </c>
      <c r="AC57" s="44" t="s">
        <v>1357</v>
      </c>
      <c r="AD57" s="61" t="s">
        <v>7</v>
      </c>
    </row>
    <row r="58" spans="1:30" s="85" customFormat="1" ht="6.75" customHeight="1" x14ac:dyDescent="0.25">
      <c r="A58" s="54">
        <v>58</v>
      </c>
      <c r="B58" s="73" t="s">
        <v>1045</v>
      </c>
      <c r="C58" s="73" t="s">
        <v>1715</v>
      </c>
      <c r="D58" s="73" t="s">
        <v>1716</v>
      </c>
      <c r="E58" s="73" t="s">
        <v>1708</v>
      </c>
      <c r="F58" s="79" t="s">
        <v>1504</v>
      </c>
      <c r="G58" s="55" t="s">
        <v>7</v>
      </c>
      <c r="H58" s="55" t="s">
        <v>7</v>
      </c>
      <c r="I58" s="55" t="s">
        <v>7</v>
      </c>
      <c r="J58" s="55" t="s">
        <v>7</v>
      </c>
      <c r="K58" s="55" t="s">
        <v>7</v>
      </c>
      <c r="L58" s="59" t="str">
        <f t="shared" si="5"/>
        <v>De.Construção</v>
      </c>
      <c r="M58" s="59" t="str">
        <f t="shared" si="5"/>
        <v>Produtos.Construtivos</v>
      </c>
      <c r="N58" s="59" t="str">
        <f t="shared" si="6"/>
        <v>Peças Metálicas</v>
      </c>
      <c r="O58" s="59" t="str">
        <f t="shared" si="6"/>
        <v>Difusor Alumínio</v>
      </c>
      <c r="P58" s="60" t="s">
        <v>1505</v>
      </c>
      <c r="Q58" s="49" t="s">
        <v>1506</v>
      </c>
      <c r="R58" s="49" t="s">
        <v>1507</v>
      </c>
      <c r="S58" s="75" t="s">
        <v>7</v>
      </c>
      <c r="T58" s="60" t="str">
        <f t="shared" si="1"/>
        <v>De Construção</v>
      </c>
      <c r="U58" s="60" t="str">
        <f t="shared" si="1"/>
        <v>Produtos Construtivos</v>
      </c>
      <c r="V58" s="60" t="str">
        <f t="shared" si="1"/>
        <v>Peças Metálicas</v>
      </c>
      <c r="W58" s="44" t="s">
        <v>654</v>
      </c>
      <c r="X58" s="52" t="str">
        <f t="shared" si="2"/>
        <v>Key-MET-58</v>
      </c>
      <c r="Y58" s="44" t="s">
        <v>1355</v>
      </c>
      <c r="Z58" s="61" t="s">
        <v>7</v>
      </c>
      <c r="AA58" s="44" t="s">
        <v>1356</v>
      </c>
      <c r="AB58" s="61" t="s">
        <v>7</v>
      </c>
      <c r="AC58" s="44" t="s">
        <v>1357</v>
      </c>
      <c r="AD58" s="61" t="s">
        <v>7</v>
      </c>
    </row>
    <row r="59" spans="1:30" s="85" customFormat="1" ht="6.75" customHeight="1" x14ac:dyDescent="0.25">
      <c r="A59" s="54">
        <v>59</v>
      </c>
      <c r="B59" s="73" t="s">
        <v>1045</v>
      </c>
      <c r="C59" s="73" t="s">
        <v>1715</v>
      </c>
      <c r="D59" s="73" t="s">
        <v>1716</v>
      </c>
      <c r="E59" s="73" t="s">
        <v>1709</v>
      </c>
      <c r="F59" s="77" t="s">
        <v>1508</v>
      </c>
      <c r="G59" s="55" t="s">
        <v>7</v>
      </c>
      <c r="H59" s="55" t="s">
        <v>7</v>
      </c>
      <c r="I59" s="55" t="s">
        <v>7</v>
      </c>
      <c r="J59" s="55" t="s">
        <v>7</v>
      </c>
      <c r="K59" s="55" t="s">
        <v>7</v>
      </c>
      <c r="L59" s="59" t="str">
        <f t="shared" si="5"/>
        <v>De.Construção</v>
      </c>
      <c r="M59" s="59" t="str">
        <f t="shared" si="5"/>
        <v>Produtos.Construtivos</v>
      </c>
      <c r="N59" s="59" t="str">
        <f t="shared" si="6"/>
        <v>Quadros Metálicos</v>
      </c>
      <c r="O59" s="59" t="str">
        <f t="shared" si="6"/>
        <v>Quadro Metálico Elétrica</v>
      </c>
      <c r="P59" s="49" t="s">
        <v>1509</v>
      </c>
      <c r="Q59" s="49" t="s">
        <v>1510</v>
      </c>
      <c r="R59" s="49" t="s">
        <v>1511</v>
      </c>
      <c r="S59" s="75" t="s">
        <v>7</v>
      </c>
      <c r="T59" s="60" t="str">
        <f t="shared" si="1"/>
        <v>De Construção</v>
      </c>
      <c r="U59" s="60" t="str">
        <f t="shared" si="1"/>
        <v>Produtos Construtivos</v>
      </c>
      <c r="V59" s="60" t="str">
        <f t="shared" si="1"/>
        <v>Quadros Metálicos</v>
      </c>
      <c r="W59" s="44" t="s">
        <v>654</v>
      </c>
      <c r="X59" s="52" t="str">
        <f t="shared" si="2"/>
        <v>Key-MET-59</v>
      </c>
      <c r="Y59" s="44" t="s">
        <v>1355</v>
      </c>
      <c r="Z59" s="61" t="s">
        <v>7</v>
      </c>
      <c r="AA59" s="44" t="s">
        <v>1356</v>
      </c>
      <c r="AB59" s="61" t="s">
        <v>7</v>
      </c>
      <c r="AC59" s="44" t="s">
        <v>1439</v>
      </c>
      <c r="AD59" s="61" t="s">
        <v>7</v>
      </c>
    </row>
    <row r="60" spans="1:30" s="85" customFormat="1" ht="6.75" customHeight="1" x14ac:dyDescent="0.25">
      <c r="A60" s="54">
        <v>60</v>
      </c>
      <c r="B60" s="73" t="s">
        <v>1045</v>
      </c>
      <c r="C60" s="73" t="s">
        <v>1715</v>
      </c>
      <c r="D60" s="73" t="s">
        <v>1716</v>
      </c>
      <c r="E60" s="73" t="s">
        <v>1709</v>
      </c>
      <c r="F60" s="77" t="s">
        <v>1512</v>
      </c>
      <c r="G60" s="55" t="s">
        <v>7</v>
      </c>
      <c r="H60" s="55" t="s">
        <v>7</v>
      </c>
      <c r="I60" s="55" t="s">
        <v>7</v>
      </c>
      <c r="J60" s="55" t="s">
        <v>7</v>
      </c>
      <c r="K60" s="55" t="s">
        <v>7</v>
      </c>
      <c r="L60" s="59" t="str">
        <f t="shared" si="5"/>
        <v>De.Construção</v>
      </c>
      <c r="M60" s="59" t="str">
        <f t="shared" si="5"/>
        <v>Produtos.Construtivos</v>
      </c>
      <c r="N60" s="59" t="str">
        <f t="shared" si="6"/>
        <v>Quadros Metálicos</v>
      </c>
      <c r="O60" s="59" t="str">
        <f t="shared" si="6"/>
        <v>Quadro Metálico Telecom</v>
      </c>
      <c r="P60" s="49" t="s">
        <v>1513</v>
      </c>
      <c r="Q60" s="49" t="s">
        <v>1514</v>
      </c>
      <c r="R60" s="49" t="s">
        <v>1515</v>
      </c>
      <c r="S60" s="75" t="s">
        <v>7</v>
      </c>
      <c r="T60" s="60" t="str">
        <f t="shared" si="1"/>
        <v>De Construção</v>
      </c>
      <c r="U60" s="60" t="str">
        <f t="shared" si="1"/>
        <v>Produtos Construtivos</v>
      </c>
      <c r="V60" s="60" t="str">
        <f t="shared" si="1"/>
        <v>Quadros Metálicos</v>
      </c>
      <c r="W60" s="44" t="s">
        <v>654</v>
      </c>
      <c r="X60" s="52" t="str">
        <f t="shared" si="2"/>
        <v>Key-MET-60</v>
      </c>
      <c r="Y60" s="44" t="s">
        <v>1355</v>
      </c>
      <c r="Z60" s="61" t="s">
        <v>7</v>
      </c>
      <c r="AA60" s="44" t="s">
        <v>1356</v>
      </c>
      <c r="AB60" s="61" t="s">
        <v>7</v>
      </c>
      <c r="AC60" s="44" t="s">
        <v>1439</v>
      </c>
      <c r="AD60" s="61" t="s">
        <v>7</v>
      </c>
    </row>
    <row r="61" spans="1:30" s="88" customFormat="1" ht="6.75" customHeight="1" x14ac:dyDescent="0.25">
      <c r="A61" s="54">
        <v>61</v>
      </c>
      <c r="B61" s="73" t="s">
        <v>1045</v>
      </c>
      <c r="C61" s="73" t="s">
        <v>1715</v>
      </c>
      <c r="D61" s="73" t="s">
        <v>1716</v>
      </c>
      <c r="E61" s="73" t="s">
        <v>1710</v>
      </c>
      <c r="F61" s="77" t="s">
        <v>1568</v>
      </c>
      <c r="G61" s="55" t="s">
        <v>7</v>
      </c>
      <c r="H61" s="55" t="s">
        <v>7</v>
      </c>
      <c r="I61" s="55" t="s">
        <v>7</v>
      </c>
      <c r="J61" s="55" t="s">
        <v>7</v>
      </c>
      <c r="K61" s="55" t="s">
        <v>7</v>
      </c>
      <c r="L61" s="59" t="str">
        <f t="shared" si="5"/>
        <v>De.Construção</v>
      </c>
      <c r="M61" s="59" t="str">
        <f t="shared" si="5"/>
        <v>Produtos.Construtivos</v>
      </c>
      <c r="N61" s="59" t="str">
        <f t="shared" si="6"/>
        <v>Quadros Plásticos</v>
      </c>
      <c r="O61" s="59" t="str">
        <f t="shared" si="6"/>
        <v>Quadro PVC Elétrica</v>
      </c>
      <c r="P61" s="49" t="s">
        <v>1569</v>
      </c>
      <c r="Q61" s="49" t="s">
        <v>1570</v>
      </c>
      <c r="R61" s="49" t="s">
        <v>1571</v>
      </c>
      <c r="S61" s="75" t="s">
        <v>7</v>
      </c>
      <c r="T61" s="60" t="str">
        <f t="shared" si="1"/>
        <v>De Construção</v>
      </c>
      <c r="U61" s="60" t="str">
        <f t="shared" si="1"/>
        <v>Produtos Construtivos</v>
      </c>
      <c r="V61" s="60" t="str">
        <f t="shared" si="1"/>
        <v>Quadros Plásticos</v>
      </c>
      <c r="W61" s="44" t="s">
        <v>654</v>
      </c>
      <c r="X61" s="52" t="str">
        <f t="shared" si="2"/>
        <v>Key-MET-61</v>
      </c>
      <c r="Y61" s="44" t="s">
        <v>1355</v>
      </c>
      <c r="Z61" s="61" t="s">
        <v>7</v>
      </c>
      <c r="AA61" s="44" t="s">
        <v>1356</v>
      </c>
      <c r="AB61" s="61" t="s">
        <v>7</v>
      </c>
      <c r="AC61" s="44" t="s">
        <v>1439</v>
      </c>
      <c r="AD61" s="61" t="s">
        <v>7</v>
      </c>
    </row>
    <row r="62" spans="1:30" s="88" customFormat="1" ht="6.75" customHeight="1" x14ac:dyDescent="0.25">
      <c r="A62" s="54">
        <v>62</v>
      </c>
      <c r="B62" s="73" t="s">
        <v>1045</v>
      </c>
      <c r="C62" s="73" t="s">
        <v>1715</v>
      </c>
      <c r="D62" s="73" t="s">
        <v>1716</v>
      </c>
      <c r="E62" s="73" t="s">
        <v>1710</v>
      </c>
      <c r="F62" s="77" t="s">
        <v>1572</v>
      </c>
      <c r="G62" s="55" t="s">
        <v>7</v>
      </c>
      <c r="H62" s="55" t="s">
        <v>7</v>
      </c>
      <c r="I62" s="55" t="s">
        <v>7</v>
      </c>
      <c r="J62" s="55" t="s">
        <v>7</v>
      </c>
      <c r="K62" s="55" t="s">
        <v>7</v>
      </c>
      <c r="L62" s="59" t="str">
        <f t="shared" si="5"/>
        <v>De.Construção</v>
      </c>
      <c r="M62" s="59" t="str">
        <f t="shared" si="5"/>
        <v>Produtos.Construtivos</v>
      </c>
      <c r="N62" s="59" t="str">
        <f t="shared" si="6"/>
        <v>Quadros Plásticos</v>
      </c>
      <c r="O62" s="59" t="str">
        <f t="shared" si="6"/>
        <v>Quadro PVC Telecom</v>
      </c>
      <c r="P62" s="49" t="s">
        <v>1573</v>
      </c>
      <c r="Q62" s="49" t="s">
        <v>1574</v>
      </c>
      <c r="R62" s="49" t="s">
        <v>1575</v>
      </c>
      <c r="S62" s="75" t="s">
        <v>7</v>
      </c>
      <c r="T62" s="60" t="str">
        <f t="shared" si="1"/>
        <v>De Construção</v>
      </c>
      <c r="U62" s="60" t="str">
        <f t="shared" si="1"/>
        <v>Produtos Construtivos</v>
      </c>
      <c r="V62" s="60" t="str">
        <f t="shared" si="1"/>
        <v>Quadros Plásticos</v>
      </c>
      <c r="W62" s="44" t="s">
        <v>654</v>
      </c>
      <c r="X62" s="52" t="str">
        <f t="shared" si="2"/>
        <v>Key-MET-62</v>
      </c>
      <c r="Y62" s="44" t="s">
        <v>1355</v>
      </c>
      <c r="Z62" s="61" t="s">
        <v>7</v>
      </c>
      <c r="AA62" s="44" t="s">
        <v>1356</v>
      </c>
      <c r="AB62" s="61" t="s">
        <v>7</v>
      </c>
      <c r="AC62" s="44" t="s">
        <v>1439</v>
      </c>
      <c r="AD62" s="61" t="s">
        <v>7</v>
      </c>
    </row>
    <row r="63" spans="1:30" s="88" customFormat="1" ht="6.75" customHeight="1" x14ac:dyDescent="0.25">
      <c r="A63" s="54">
        <v>63</v>
      </c>
      <c r="B63" s="73" t="s">
        <v>1045</v>
      </c>
      <c r="C63" s="73" t="s">
        <v>1715</v>
      </c>
      <c r="D63" s="73" t="s">
        <v>1716</v>
      </c>
      <c r="E63" s="73" t="s">
        <v>1724</v>
      </c>
      <c r="F63" s="79" t="s">
        <v>1593</v>
      </c>
      <c r="G63" s="55" t="s">
        <v>7</v>
      </c>
      <c r="H63" s="55" t="s">
        <v>7</v>
      </c>
      <c r="I63" s="55" t="s">
        <v>7</v>
      </c>
      <c r="J63" s="55" t="s">
        <v>7</v>
      </c>
      <c r="K63" s="55" t="s">
        <v>7</v>
      </c>
      <c r="L63" s="59" t="str">
        <f t="shared" si="5"/>
        <v>De.Construção</v>
      </c>
      <c r="M63" s="59" t="str">
        <f t="shared" si="5"/>
        <v>Produtos.Construtivos</v>
      </c>
      <c r="N63" s="59" t="str">
        <f t="shared" si="6"/>
        <v>Vedantes</v>
      </c>
      <c r="O63" s="59" t="str">
        <f t="shared" si="6"/>
        <v>Vedante Mastique</v>
      </c>
      <c r="P63" s="60" t="s">
        <v>1594</v>
      </c>
      <c r="Q63" s="49" t="s">
        <v>1595</v>
      </c>
      <c r="R63" s="49" t="s">
        <v>1596</v>
      </c>
      <c r="S63" s="75" t="s">
        <v>7</v>
      </c>
      <c r="T63" s="60" t="str">
        <f t="shared" si="1"/>
        <v>De Construção</v>
      </c>
      <c r="U63" s="60" t="str">
        <f t="shared" si="1"/>
        <v>Produtos Construtivos</v>
      </c>
      <c r="V63" s="60" t="str">
        <f t="shared" si="1"/>
        <v>Vedantes</v>
      </c>
      <c r="W63" s="44" t="s">
        <v>654</v>
      </c>
      <c r="X63" s="52" t="str">
        <f t="shared" si="2"/>
        <v>Key-MET-63</v>
      </c>
      <c r="Y63" s="44" t="s">
        <v>1355</v>
      </c>
      <c r="Z63" s="61" t="s">
        <v>7</v>
      </c>
      <c r="AA63" s="44" t="s">
        <v>1356</v>
      </c>
      <c r="AB63" s="61" t="s">
        <v>7</v>
      </c>
      <c r="AC63" s="44" t="s">
        <v>1357</v>
      </c>
      <c r="AD63" s="61" t="s">
        <v>7</v>
      </c>
    </row>
    <row r="64" spans="1:30" s="88" customFormat="1" ht="6.75" customHeight="1" x14ac:dyDescent="0.25">
      <c r="A64" s="54">
        <v>64</v>
      </c>
      <c r="B64" s="73" t="s">
        <v>1045</v>
      </c>
      <c r="C64" s="73" t="s">
        <v>1715</v>
      </c>
      <c r="D64" s="73" t="s">
        <v>1716</v>
      </c>
      <c r="E64" s="73" t="s">
        <v>1724</v>
      </c>
      <c r="F64" s="79" t="s">
        <v>1597</v>
      </c>
      <c r="G64" s="55" t="s">
        <v>7</v>
      </c>
      <c r="H64" s="55" t="s">
        <v>7</v>
      </c>
      <c r="I64" s="55" t="s">
        <v>7</v>
      </c>
      <c r="J64" s="55" t="s">
        <v>7</v>
      </c>
      <c r="K64" s="55" t="s">
        <v>7</v>
      </c>
      <c r="L64" s="59" t="str">
        <f t="shared" si="5"/>
        <v>De.Construção</v>
      </c>
      <c r="M64" s="59" t="str">
        <f t="shared" si="5"/>
        <v>Produtos.Construtivos</v>
      </c>
      <c r="N64" s="59" t="str">
        <f t="shared" si="6"/>
        <v>Vedantes</v>
      </c>
      <c r="O64" s="59" t="str">
        <f t="shared" si="6"/>
        <v>Vedante Plástico ABS</v>
      </c>
      <c r="P64" s="60" t="s">
        <v>1598</v>
      </c>
      <c r="Q64" s="49" t="s">
        <v>1599</v>
      </c>
      <c r="R64" s="49" t="s">
        <v>1600</v>
      </c>
      <c r="S64" s="75" t="s">
        <v>7</v>
      </c>
      <c r="T64" s="60" t="str">
        <f t="shared" si="1"/>
        <v>De Construção</v>
      </c>
      <c r="U64" s="60" t="str">
        <f t="shared" si="1"/>
        <v>Produtos Construtivos</v>
      </c>
      <c r="V64" s="60" t="str">
        <f t="shared" si="1"/>
        <v>Vedantes</v>
      </c>
      <c r="W64" s="44" t="s">
        <v>654</v>
      </c>
      <c r="X64" s="52" t="str">
        <f t="shared" si="2"/>
        <v>Key-MET-64</v>
      </c>
      <c r="Y64" s="44" t="s">
        <v>1355</v>
      </c>
      <c r="Z64" s="61" t="s">
        <v>7</v>
      </c>
      <c r="AA64" s="44" t="s">
        <v>1356</v>
      </c>
      <c r="AB64" s="61" t="s">
        <v>7</v>
      </c>
      <c r="AC64" s="44" t="s">
        <v>1357</v>
      </c>
      <c r="AD64" s="61" t="s">
        <v>7</v>
      </c>
    </row>
    <row r="65" spans="1:30" s="85" customFormat="1" ht="6.75" customHeight="1" x14ac:dyDescent="0.25">
      <c r="A65" s="54">
        <v>65</v>
      </c>
      <c r="B65" s="73" t="s">
        <v>1045</v>
      </c>
      <c r="C65" s="73" t="s">
        <v>1715</v>
      </c>
      <c r="D65" s="73" t="s">
        <v>1716</v>
      </c>
      <c r="E65" s="73" t="s">
        <v>1724</v>
      </c>
      <c r="F65" s="79" t="s">
        <v>1601</v>
      </c>
      <c r="G65" s="55" t="s">
        <v>7</v>
      </c>
      <c r="H65" s="55" t="s">
        <v>7</v>
      </c>
      <c r="I65" s="55" t="s">
        <v>7</v>
      </c>
      <c r="J65" s="55" t="s">
        <v>7</v>
      </c>
      <c r="K65" s="55" t="s">
        <v>7</v>
      </c>
      <c r="L65" s="59" t="str">
        <f t="shared" si="5"/>
        <v>De.Construção</v>
      </c>
      <c r="M65" s="59" t="str">
        <f t="shared" si="5"/>
        <v>Produtos.Construtivos</v>
      </c>
      <c r="N65" s="59" t="str">
        <f t="shared" si="6"/>
        <v>Vedantes</v>
      </c>
      <c r="O65" s="59" t="str">
        <f t="shared" si="6"/>
        <v>Vedante de Silicone</v>
      </c>
      <c r="P65" s="60" t="s">
        <v>1594</v>
      </c>
      <c r="Q65" s="49" t="s">
        <v>1595</v>
      </c>
      <c r="R65" s="49" t="s">
        <v>1596</v>
      </c>
      <c r="S65" s="75" t="s">
        <v>7</v>
      </c>
      <c r="T65" s="60" t="str">
        <f t="shared" si="1"/>
        <v>De Construção</v>
      </c>
      <c r="U65" s="60" t="str">
        <f t="shared" si="1"/>
        <v>Produtos Construtivos</v>
      </c>
      <c r="V65" s="60" t="str">
        <f t="shared" si="1"/>
        <v>Vedantes</v>
      </c>
      <c r="W65" s="44" t="s">
        <v>654</v>
      </c>
      <c r="X65" s="52" t="str">
        <f t="shared" si="2"/>
        <v>Key-MET-65</v>
      </c>
      <c r="Y65" s="44" t="s">
        <v>1355</v>
      </c>
      <c r="Z65" s="61" t="s">
        <v>7</v>
      </c>
      <c r="AA65" s="44" t="s">
        <v>1356</v>
      </c>
      <c r="AB65" s="61" t="s">
        <v>7</v>
      </c>
      <c r="AC65" s="44" t="s">
        <v>1357</v>
      </c>
      <c r="AD65" s="61" t="s">
        <v>7</v>
      </c>
    </row>
    <row r="66" spans="1:30" s="87" customFormat="1" ht="6.75" customHeight="1" x14ac:dyDescent="0.25">
      <c r="A66" s="54">
        <v>66</v>
      </c>
      <c r="B66" s="73" t="s">
        <v>1045</v>
      </c>
      <c r="C66" s="73" t="s">
        <v>1715</v>
      </c>
      <c r="D66" s="73" t="s">
        <v>1716</v>
      </c>
      <c r="E66" s="73" t="s">
        <v>1711</v>
      </c>
      <c r="F66" s="79" t="s">
        <v>1516</v>
      </c>
      <c r="G66" s="55" t="s">
        <v>7</v>
      </c>
      <c r="H66" s="55" t="s">
        <v>7</v>
      </c>
      <c r="I66" s="55" t="s">
        <v>7</v>
      </c>
      <c r="J66" s="55" t="s">
        <v>7</v>
      </c>
      <c r="K66" s="55" t="s">
        <v>7</v>
      </c>
      <c r="L66" s="59" t="str">
        <f t="shared" si="5"/>
        <v>De.Construção</v>
      </c>
      <c r="M66" s="59" t="str">
        <f t="shared" si="5"/>
        <v>Produtos.Construtivos</v>
      </c>
      <c r="N66" s="59" t="str">
        <f t="shared" si="6"/>
        <v>Tubos Metálicos</v>
      </c>
      <c r="O66" s="59" t="str">
        <f t="shared" si="6"/>
        <v>Tubo de Aço Carbono</v>
      </c>
      <c r="P66" s="60" t="s">
        <v>1517</v>
      </c>
      <c r="Q66" s="49" t="s">
        <v>1518</v>
      </c>
      <c r="R66" s="49" t="s">
        <v>1519</v>
      </c>
      <c r="S66" s="75" t="s">
        <v>7</v>
      </c>
      <c r="T66" s="60" t="str">
        <f t="shared" si="1"/>
        <v>De Construção</v>
      </c>
      <c r="U66" s="60" t="str">
        <f t="shared" si="1"/>
        <v>Produtos Construtivos</v>
      </c>
      <c r="V66" s="60" t="str">
        <f t="shared" si="1"/>
        <v>Tubos Metálicos</v>
      </c>
      <c r="W66" s="44" t="s">
        <v>654</v>
      </c>
      <c r="X66" s="52" t="str">
        <f t="shared" ref="X66:X129" si="7">CONCATENATE("Key-MET-",A66)</f>
        <v>Key-MET-66</v>
      </c>
      <c r="Y66" s="44" t="s">
        <v>1355</v>
      </c>
      <c r="Z66" s="61" t="s">
        <v>7</v>
      </c>
      <c r="AA66" s="44" t="s">
        <v>1356</v>
      </c>
      <c r="AB66" s="61" t="s">
        <v>7</v>
      </c>
      <c r="AC66" s="44" t="s">
        <v>1357</v>
      </c>
      <c r="AD66" s="61" t="s">
        <v>7</v>
      </c>
    </row>
    <row r="67" spans="1:30" s="85" customFormat="1" ht="6.75" customHeight="1" x14ac:dyDescent="0.25">
      <c r="A67" s="54">
        <v>67</v>
      </c>
      <c r="B67" s="73" t="s">
        <v>1045</v>
      </c>
      <c r="C67" s="73" t="s">
        <v>1715</v>
      </c>
      <c r="D67" s="73" t="s">
        <v>1716</v>
      </c>
      <c r="E67" s="73" t="s">
        <v>1711</v>
      </c>
      <c r="F67" s="77" t="s">
        <v>1520</v>
      </c>
      <c r="G67" s="55" t="s">
        <v>7</v>
      </c>
      <c r="H67" s="55" t="s">
        <v>7</v>
      </c>
      <c r="I67" s="55" t="s">
        <v>7</v>
      </c>
      <c r="J67" s="55" t="s">
        <v>7</v>
      </c>
      <c r="K67" s="55" t="s">
        <v>7</v>
      </c>
      <c r="L67" s="59" t="str">
        <f t="shared" si="5"/>
        <v>De.Construção</v>
      </c>
      <c r="M67" s="59" t="str">
        <f t="shared" si="5"/>
        <v>Produtos.Construtivos</v>
      </c>
      <c r="N67" s="59" t="str">
        <f t="shared" si="6"/>
        <v>Tubos Metálicos</v>
      </c>
      <c r="O67" s="59" t="str">
        <f t="shared" si="6"/>
        <v>Tubo de Aço Costura</v>
      </c>
      <c r="P67" s="49" t="s">
        <v>1521</v>
      </c>
      <c r="Q67" s="49" t="s">
        <v>1522</v>
      </c>
      <c r="R67" s="49" t="s">
        <v>1523</v>
      </c>
      <c r="S67" s="75" t="s">
        <v>7</v>
      </c>
      <c r="T67" s="60" t="str">
        <f t="shared" si="1"/>
        <v>De Construção</v>
      </c>
      <c r="U67" s="60" t="str">
        <f t="shared" si="1"/>
        <v>Produtos Construtivos</v>
      </c>
      <c r="V67" s="60" t="str">
        <f t="shared" si="1"/>
        <v>Tubos Metálicos</v>
      </c>
      <c r="W67" s="44" t="s">
        <v>654</v>
      </c>
      <c r="X67" s="52" t="str">
        <f t="shared" si="7"/>
        <v>Key-MET-67</v>
      </c>
      <c r="Y67" s="44" t="s">
        <v>1355</v>
      </c>
      <c r="Z67" s="61" t="s">
        <v>7</v>
      </c>
      <c r="AA67" s="44" t="s">
        <v>1356</v>
      </c>
      <c r="AB67" s="61" t="s">
        <v>7</v>
      </c>
      <c r="AC67" s="44" t="s">
        <v>1524</v>
      </c>
      <c r="AD67" s="61" t="s">
        <v>7</v>
      </c>
    </row>
    <row r="68" spans="1:30" s="85" customFormat="1" ht="6.75" customHeight="1" x14ac:dyDescent="0.25">
      <c r="A68" s="54">
        <v>68</v>
      </c>
      <c r="B68" s="73" t="s">
        <v>1045</v>
      </c>
      <c r="C68" s="73" t="s">
        <v>1715</v>
      </c>
      <c r="D68" s="73" t="s">
        <v>1716</v>
      </c>
      <c r="E68" s="73" t="s">
        <v>1711</v>
      </c>
      <c r="F68" s="79" t="s">
        <v>1525</v>
      </c>
      <c r="G68" s="55" t="s">
        <v>7</v>
      </c>
      <c r="H68" s="55" t="s">
        <v>7</v>
      </c>
      <c r="I68" s="55" t="s">
        <v>7</v>
      </c>
      <c r="J68" s="55" t="s">
        <v>7</v>
      </c>
      <c r="K68" s="55" t="s">
        <v>7</v>
      </c>
      <c r="L68" s="59" t="str">
        <f t="shared" si="5"/>
        <v>De.Construção</v>
      </c>
      <c r="M68" s="59" t="str">
        <f t="shared" si="5"/>
        <v>Produtos.Construtivos</v>
      </c>
      <c r="N68" s="59" t="str">
        <f t="shared" si="6"/>
        <v>Tubos Metálicos</v>
      </c>
      <c r="O68" s="59" t="str">
        <f t="shared" si="6"/>
        <v>Tubo de Aço Galvanizado</v>
      </c>
      <c r="P68" s="60" t="s">
        <v>1526</v>
      </c>
      <c r="Q68" s="49" t="s">
        <v>1527</v>
      </c>
      <c r="R68" s="49" t="s">
        <v>1528</v>
      </c>
      <c r="S68" s="75" t="s">
        <v>7</v>
      </c>
      <c r="T68" s="60" t="str">
        <f t="shared" si="1"/>
        <v>De Construção</v>
      </c>
      <c r="U68" s="60" t="str">
        <f t="shared" si="1"/>
        <v>Produtos Construtivos</v>
      </c>
      <c r="V68" s="60" t="str">
        <f t="shared" si="1"/>
        <v>Tubos Metálicos</v>
      </c>
      <c r="W68" s="44" t="s">
        <v>654</v>
      </c>
      <c r="X68" s="52" t="str">
        <f t="shared" si="7"/>
        <v>Key-MET-68</v>
      </c>
      <c r="Y68" s="44" t="s">
        <v>1355</v>
      </c>
      <c r="Z68" s="61" t="s">
        <v>7</v>
      </c>
      <c r="AA68" s="44" t="s">
        <v>1356</v>
      </c>
      <c r="AB68" s="61" t="s">
        <v>7</v>
      </c>
      <c r="AC68" s="44" t="s">
        <v>1357</v>
      </c>
      <c r="AD68" s="61" t="s">
        <v>7</v>
      </c>
    </row>
    <row r="69" spans="1:30" s="85" customFormat="1" ht="6.75" customHeight="1" x14ac:dyDescent="0.25">
      <c r="A69" s="54">
        <v>69</v>
      </c>
      <c r="B69" s="73" t="s">
        <v>1045</v>
      </c>
      <c r="C69" s="73" t="s">
        <v>1715</v>
      </c>
      <c r="D69" s="73" t="s">
        <v>1716</v>
      </c>
      <c r="E69" s="73" t="s">
        <v>1711</v>
      </c>
      <c r="F69" s="79" t="s">
        <v>1529</v>
      </c>
      <c r="G69" s="55" t="s">
        <v>7</v>
      </c>
      <c r="H69" s="55" t="s">
        <v>7</v>
      </c>
      <c r="I69" s="55" t="s">
        <v>7</v>
      </c>
      <c r="J69" s="55" t="s">
        <v>7</v>
      </c>
      <c r="K69" s="55" t="s">
        <v>7</v>
      </c>
      <c r="L69" s="59" t="str">
        <f t="shared" si="5"/>
        <v>De.Construção</v>
      </c>
      <c r="M69" s="59" t="str">
        <f t="shared" si="5"/>
        <v>Produtos.Construtivos</v>
      </c>
      <c r="N69" s="59" t="str">
        <f t="shared" si="6"/>
        <v>Tubos Metálicos</v>
      </c>
      <c r="O69" s="59" t="str">
        <f t="shared" si="6"/>
        <v>Tubo de Aço Inoxidável</v>
      </c>
      <c r="P69" s="60" t="s">
        <v>1530</v>
      </c>
      <c r="Q69" s="49" t="s">
        <v>1531</v>
      </c>
      <c r="R69" s="49" t="s">
        <v>1532</v>
      </c>
      <c r="S69" s="75" t="s">
        <v>7</v>
      </c>
      <c r="T69" s="60" t="str">
        <f t="shared" si="1"/>
        <v>De Construção</v>
      </c>
      <c r="U69" s="60" t="str">
        <f t="shared" si="1"/>
        <v>Produtos Construtivos</v>
      </c>
      <c r="V69" s="60" t="str">
        <f t="shared" si="1"/>
        <v>Tubos Metálicos</v>
      </c>
      <c r="W69" s="44" t="s">
        <v>654</v>
      </c>
      <c r="X69" s="52" t="str">
        <f t="shared" si="7"/>
        <v>Key-MET-69</v>
      </c>
      <c r="Y69" s="44" t="s">
        <v>1355</v>
      </c>
      <c r="Z69" s="61" t="s">
        <v>7</v>
      </c>
      <c r="AA69" s="44" t="s">
        <v>1356</v>
      </c>
      <c r="AB69" s="61" t="s">
        <v>7</v>
      </c>
      <c r="AC69" s="44" t="s">
        <v>1357</v>
      </c>
      <c r="AD69" s="61" t="s">
        <v>7</v>
      </c>
    </row>
    <row r="70" spans="1:30" s="88" customFormat="1" ht="6.75" customHeight="1" x14ac:dyDescent="0.25">
      <c r="A70" s="54">
        <v>70</v>
      </c>
      <c r="B70" s="73" t="s">
        <v>1045</v>
      </c>
      <c r="C70" s="73" t="s">
        <v>1715</v>
      </c>
      <c r="D70" s="73" t="s">
        <v>1716</v>
      </c>
      <c r="E70" s="73" t="s">
        <v>1711</v>
      </c>
      <c r="F70" s="79" t="s">
        <v>1533</v>
      </c>
      <c r="G70" s="55" t="s">
        <v>7</v>
      </c>
      <c r="H70" s="55" t="s">
        <v>7</v>
      </c>
      <c r="I70" s="55" t="s">
        <v>7</v>
      </c>
      <c r="J70" s="55" t="s">
        <v>7</v>
      </c>
      <c r="K70" s="55" t="s">
        <v>7</v>
      </c>
      <c r="L70" s="59" t="str">
        <f t="shared" si="5"/>
        <v>De.Construção</v>
      </c>
      <c r="M70" s="59" t="str">
        <f t="shared" si="5"/>
        <v>Produtos.Construtivos</v>
      </c>
      <c r="N70" s="59" t="str">
        <f t="shared" si="6"/>
        <v>Tubos Metálicos</v>
      </c>
      <c r="O70" s="59" t="str">
        <f t="shared" si="6"/>
        <v>Tubo de Alumínio</v>
      </c>
      <c r="P70" s="60" t="s">
        <v>1534</v>
      </c>
      <c r="Q70" s="49" t="s">
        <v>1535</v>
      </c>
      <c r="R70" s="49" t="s">
        <v>1536</v>
      </c>
      <c r="S70" s="75" t="s">
        <v>7</v>
      </c>
      <c r="T70" s="60" t="str">
        <f t="shared" si="1"/>
        <v>De Construção</v>
      </c>
      <c r="U70" s="60" t="str">
        <f t="shared" si="1"/>
        <v>Produtos Construtivos</v>
      </c>
      <c r="V70" s="60" t="str">
        <f t="shared" si="1"/>
        <v>Tubos Metálicos</v>
      </c>
      <c r="W70" s="44" t="s">
        <v>654</v>
      </c>
      <c r="X70" s="52" t="str">
        <f t="shared" si="7"/>
        <v>Key-MET-70</v>
      </c>
      <c r="Y70" s="44" t="s">
        <v>1355</v>
      </c>
      <c r="Z70" s="61" t="s">
        <v>7</v>
      </c>
      <c r="AA70" s="44" t="s">
        <v>1356</v>
      </c>
      <c r="AB70" s="61" t="s">
        <v>7</v>
      </c>
      <c r="AC70" s="44" t="s">
        <v>1357</v>
      </c>
      <c r="AD70" s="61" t="s">
        <v>7</v>
      </c>
    </row>
    <row r="71" spans="1:30" s="88" customFormat="1" ht="6.75" customHeight="1" x14ac:dyDescent="0.25">
      <c r="A71" s="54">
        <v>71</v>
      </c>
      <c r="B71" s="73" t="s">
        <v>1045</v>
      </c>
      <c r="C71" s="73" t="s">
        <v>1715</v>
      </c>
      <c r="D71" s="73" t="s">
        <v>1716</v>
      </c>
      <c r="E71" s="73" t="s">
        <v>1711</v>
      </c>
      <c r="F71" s="77" t="s">
        <v>1537</v>
      </c>
      <c r="G71" s="55" t="s">
        <v>7</v>
      </c>
      <c r="H71" s="55" t="s">
        <v>7</v>
      </c>
      <c r="I71" s="55" t="s">
        <v>7</v>
      </c>
      <c r="J71" s="55" t="s">
        <v>7</v>
      </c>
      <c r="K71" s="55" t="s">
        <v>7</v>
      </c>
      <c r="L71" s="59" t="str">
        <f t="shared" si="5"/>
        <v>De.Construção</v>
      </c>
      <c r="M71" s="59" t="str">
        <f t="shared" si="5"/>
        <v>Produtos.Construtivos</v>
      </c>
      <c r="N71" s="59" t="str">
        <f t="shared" si="6"/>
        <v>Tubos Metálicos</v>
      </c>
      <c r="O71" s="59" t="str">
        <f t="shared" si="6"/>
        <v>Tubo de Cobre</v>
      </c>
      <c r="P71" s="49" t="s">
        <v>1538</v>
      </c>
      <c r="Q71" s="49" t="s">
        <v>1539</v>
      </c>
      <c r="R71" s="49" t="s">
        <v>1540</v>
      </c>
      <c r="S71" s="75" t="s">
        <v>7</v>
      </c>
      <c r="T71" s="60" t="str">
        <f t="shared" si="1"/>
        <v>De Construção</v>
      </c>
      <c r="U71" s="60" t="str">
        <f t="shared" si="1"/>
        <v>Produtos Construtivos</v>
      </c>
      <c r="V71" s="60" t="str">
        <f t="shared" si="1"/>
        <v>Tubos Metálicos</v>
      </c>
      <c r="W71" s="44" t="s">
        <v>654</v>
      </c>
      <c r="X71" s="52" t="str">
        <f t="shared" si="7"/>
        <v>Key-MET-71</v>
      </c>
      <c r="Y71" s="44" t="s">
        <v>1355</v>
      </c>
      <c r="Z71" s="61" t="s">
        <v>7</v>
      </c>
      <c r="AA71" s="44" t="s">
        <v>1356</v>
      </c>
      <c r="AB71" s="61" t="s">
        <v>7</v>
      </c>
      <c r="AC71" s="44" t="s">
        <v>1541</v>
      </c>
      <c r="AD71" s="61" t="s">
        <v>7</v>
      </c>
    </row>
    <row r="72" spans="1:30" s="88" customFormat="1" ht="6.75" customHeight="1" x14ac:dyDescent="0.25">
      <c r="A72" s="54">
        <v>72</v>
      </c>
      <c r="B72" s="73" t="s">
        <v>1045</v>
      </c>
      <c r="C72" s="73" t="s">
        <v>1715</v>
      </c>
      <c r="D72" s="73" t="s">
        <v>1716</v>
      </c>
      <c r="E72" s="73" t="s">
        <v>1711</v>
      </c>
      <c r="F72" s="77" t="s">
        <v>1542</v>
      </c>
      <c r="G72" s="55" t="s">
        <v>7</v>
      </c>
      <c r="H72" s="55" t="s">
        <v>7</v>
      </c>
      <c r="I72" s="55" t="s">
        <v>7</v>
      </c>
      <c r="J72" s="55" t="s">
        <v>7</v>
      </c>
      <c r="K72" s="55" t="s">
        <v>7</v>
      </c>
      <c r="L72" s="59" t="str">
        <f t="shared" si="5"/>
        <v>De.Construção</v>
      </c>
      <c r="M72" s="59" t="str">
        <f t="shared" si="5"/>
        <v>Produtos.Construtivos</v>
      </c>
      <c r="N72" s="59" t="str">
        <f t="shared" si="6"/>
        <v>Tubos Metálicos</v>
      </c>
      <c r="O72" s="59" t="str">
        <f t="shared" si="6"/>
        <v>Tubo de FoFo</v>
      </c>
      <c r="P72" s="49" t="s">
        <v>1543</v>
      </c>
      <c r="Q72" s="49" t="s">
        <v>1544</v>
      </c>
      <c r="R72" s="49" t="s">
        <v>1545</v>
      </c>
      <c r="S72" s="75" t="s">
        <v>7</v>
      </c>
      <c r="T72" s="60" t="str">
        <f t="shared" si="1"/>
        <v>De Construção</v>
      </c>
      <c r="U72" s="60" t="str">
        <f t="shared" si="1"/>
        <v>Produtos Construtivos</v>
      </c>
      <c r="V72" s="60" t="str">
        <f t="shared" si="1"/>
        <v>Tubos Metálicos</v>
      </c>
      <c r="W72" s="44" t="s">
        <v>654</v>
      </c>
      <c r="X72" s="52" t="str">
        <f t="shared" si="7"/>
        <v>Key-MET-72</v>
      </c>
      <c r="Y72" s="44" t="s">
        <v>1355</v>
      </c>
      <c r="Z72" s="61" t="s">
        <v>7</v>
      </c>
      <c r="AA72" s="44" t="s">
        <v>1356</v>
      </c>
      <c r="AB72" s="61" t="s">
        <v>7</v>
      </c>
      <c r="AC72" s="44" t="s">
        <v>1546</v>
      </c>
      <c r="AD72" s="61" t="s">
        <v>7</v>
      </c>
    </row>
    <row r="73" spans="1:30" s="88" customFormat="1" ht="6.75" customHeight="1" x14ac:dyDescent="0.25">
      <c r="A73" s="54">
        <v>73</v>
      </c>
      <c r="B73" s="73" t="s">
        <v>1045</v>
      </c>
      <c r="C73" s="73" t="s">
        <v>1715</v>
      </c>
      <c r="D73" s="73" t="s">
        <v>1716</v>
      </c>
      <c r="E73" s="73" t="s">
        <v>1711</v>
      </c>
      <c r="F73" s="77" t="s">
        <v>1547</v>
      </c>
      <c r="G73" s="55" t="s">
        <v>7</v>
      </c>
      <c r="H73" s="55" t="s">
        <v>7</v>
      </c>
      <c r="I73" s="55" t="s">
        <v>7</v>
      </c>
      <c r="J73" s="55" t="s">
        <v>7</v>
      </c>
      <c r="K73" s="55" t="s">
        <v>7</v>
      </c>
      <c r="L73" s="59" t="str">
        <f t="shared" si="5"/>
        <v>De.Construção</v>
      </c>
      <c r="M73" s="59" t="str">
        <f t="shared" si="5"/>
        <v>Produtos.Construtivos</v>
      </c>
      <c r="N73" s="59" t="str">
        <f t="shared" si="6"/>
        <v>Tubos Metálicos</v>
      </c>
      <c r="O73" s="59" t="str">
        <f t="shared" si="6"/>
        <v>Tubo de Latão</v>
      </c>
      <c r="P73" s="49" t="s">
        <v>1548</v>
      </c>
      <c r="Q73" s="49" t="s">
        <v>1549</v>
      </c>
      <c r="R73" s="49" t="s">
        <v>1550</v>
      </c>
      <c r="S73" s="75" t="s">
        <v>7</v>
      </c>
      <c r="T73" s="60" t="str">
        <f t="shared" si="1"/>
        <v>De Construção</v>
      </c>
      <c r="U73" s="60" t="str">
        <f t="shared" si="1"/>
        <v>Produtos Construtivos</v>
      </c>
      <c r="V73" s="60" t="str">
        <f t="shared" si="1"/>
        <v>Tubos Metálicos</v>
      </c>
      <c r="W73" s="44" t="s">
        <v>654</v>
      </c>
      <c r="X73" s="52" t="str">
        <f t="shared" si="7"/>
        <v>Key-MET-73</v>
      </c>
      <c r="Y73" s="44" t="s">
        <v>1355</v>
      </c>
      <c r="Z73" s="61" t="s">
        <v>7</v>
      </c>
      <c r="AA73" s="44" t="s">
        <v>1356</v>
      </c>
      <c r="AB73" s="61" t="s">
        <v>7</v>
      </c>
      <c r="AC73" s="44" t="s">
        <v>1551</v>
      </c>
      <c r="AD73" s="61" t="s">
        <v>7</v>
      </c>
    </row>
    <row r="74" spans="1:30" s="85" customFormat="1" ht="6.75" customHeight="1" x14ac:dyDescent="0.25">
      <c r="A74" s="54">
        <v>74</v>
      </c>
      <c r="B74" s="73" t="s">
        <v>1045</v>
      </c>
      <c r="C74" s="73" t="s">
        <v>1715</v>
      </c>
      <c r="D74" s="73" t="s">
        <v>1716</v>
      </c>
      <c r="E74" s="73" t="s">
        <v>1712</v>
      </c>
      <c r="F74" s="77" t="s">
        <v>1351</v>
      </c>
      <c r="G74" s="55" t="s">
        <v>7</v>
      </c>
      <c r="H74" s="55" t="s">
        <v>7</v>
      </c>
      <c r="I74" s="55" t="s">
        <v>7</v>
      </c>
      <c r="J74" s="55" t="s">
        <v>7</v>
      </c>
      <c r="K74" s="55" t="s">
        <v>7</v>
      </c>
      <c r="L74" s="59" t="str">
        <f t="shared" ref="L74:M82" si="8">CONCATENATE("", C74)</f>
        <v>De.Construção</v>
      </c>
      <c r="M74" s="59" t="str">
        <f t="shared" si="8"/>
        <v>Produtos.Construtivos</v>
      </c>
      <c r="N74" s="59" t="str">
        <f t="shared" ref="N74:O82" si="9">(SUBSTITUTE(SUBSTITUTE(CONCATENATE("",E74),"."," ")," De "," de "))</f>
        <v>Tubos Multicamadas</v>
      </c>
      <c r="O74" s="59" t="str">
        <f t="shared" si="9"/>
        <v>Tubo de Multicamada</v>
      </c>
      <c r="P74" s="49" t="s">
        <v>1352</v>
      </c>
      <c r="Q74" s="49" t="s">
        <v>1353</v>
      </c>
      <c r="R74" s="49" t="s">
        <v>1354</v>
      </c>
      <c r="S74" s="75" t="s">
        <v>7</v>
      </c>
      <c r="T74" s="60" t="str">
        <f t="shared" si="1"/>
        <v>De Construção</v>
      </c>
      <c r="U74" s="60" t="str">
        <f t="shared" si="1"/>
        <v>Produtos Construtivos</v>
      </c>
      <c r="V74" s="60" t="str">
        <f t="shared" si="1"/>
        <v>Tubos Multicamadas</v>
      </c>
      <c r="W74" s="44" t="s">
        <v>654</v>
      </c>
      <c r="X74" s="52" t="str">
        <f t="shared" si="7"/>
        <v>Key-MET-74</v>
      </c>
      <c r="Y74" s="44" t="s">
        <v>1355</v>
      </c>
      <c r="Z74" s="61" t="s">
        <v>7</v>
      </c>
      <c r="AA74" s="44" t="s">
        <v>1356</v>
      </c>
      <c r="AB74" s="61" t="s">
        <v>7</v>
      </c>
      <c r="AC74" s="44" t="s">
        <v>1357</v>
      </c>
      <c r="AD74" s="61" t="s">
        <v>7</v>
      </c>
    </row>
    <row r="75" spans="1:30" s="88" customFormat="1" ht="6.75" customHeight="1" x14ac:dyDescent="0.25">
      <c r="A75" s="54">
        <v>75</v>
      </c>
      <c r="B75" s="73" t="s">
        <v>1045</v>
      </c>
      <c r="C75" s="73" t="s">
        <v>1715</v>
      </c>
      <c r="D75" s="73" t="s">
        <v>1716</v>
      </c>
      <c r="E75" s="73" t="s">
        <v>1713</v>
      </c>
      <c r="F75" s="77" t="s">
        <v>1576</v>
      </c>
      <c r="G75" s="55" t="s">
        <v>7</v>
      </c>
      <c r="H75" s="55" t="s">
        <v>7</v>
      </c>
      <c r="I75" s="55" t="s">
        <v>7</v>
      </c>
      <c r="J75" s="55" t="s">
        <v>7</v>
      </c>
      <c r="K75" s="55" t="s">
        <v>7</v>
      </c>
      <c r="L75" s="59" t="str">
        <f t="shared" si="8"/>
        <v>De.Construção</v>
      </c>
      <c r="M75" s="59" t="str">
        <f t="shared" si="8"/>
        <v>Produtos.Construtivos</v>
      </c>
      <c r="N75" s="59" t="str">
        <f t="shared" si="9"/>
        <v>Tubos Plásticos</v>
      </c>
      <c r="O75" s="59" t="str">
        <f t="shared" si="9"/>
        <v>Tubo de PVC</v>
      </c>
      <c r="P75" s="49" t="s">
        <v>1577</v>
      </c>
      <c r="Q75" s="49" t="s">
        <v>1578</v>
      </c>
      <c r="R75" s="49" t="s">
        <v>1579</v>
      </c>
      <c r="S75" s="75" t="s">
        <v>7</v>
      </c>
      <c r="T75" s="60" t="str">
        <f t="shared" si="1"/>
        <v>De Construção</v>
      </c>
      <c r="U75" s="60" t="str">
        <f t="shared" si="1"/>
        <v>Produtos Construtivos</v>
      </c>
      <c r="V75" s="60" t="str">
        <f t="shared" si="1"/>
        <v>Tubos Plásticos</v>
      </c>
      <c r="W75" s="44" t="s">
        <v>654</v>
      </c>
      <c r="X75" s="52" t="str">
        <f t="shared" si="7"/>
        <v>Key-MET-75</v>
      </c>
      <c r="Y75" s="44" t="s">
        <v>1355</v>
      </c>
      <c r="Z75" s="61" t="s">
        <v>7</v>
      </c>
      <c r="AA75" s="44" t="s">
        <v>1356</v>
      </c>
      <c r="AB75" s="61" t="s">
        <v>7</v>
      </c>
      <c r="AC75" s="44" t="s">
        <v>1580</v>
      </c>
      <c r="AD75" s="61" t="s">
        <v>7</v>
      </c>
    </row>
    <row r="76" spans="1:30" s="88" customFormat="1" ht="6.75" customHeight="1" x14ac:dyDescent="0.25">
      <c r="A76" s="54">
        <v>76</v>
      </c>
      <c r="B76" s="73" t="s">
        <v>1045</v>
      </c>
      <c r="C76" s="73" t="s">
        <v>1715</v>
      </c>
      <c r="D76" s="73" t="s">
        <v>1716</v>
      </c>
      <c r="E76" s="73" t="s">
        <v>1713</v>
      </c>
      <c r="F76" s="77" t="s">
        <v>1581</v>
      </c>
      <c r="G76" s="55" t="s">
        <v>7</v>
      </c>
      <c r="H76" s="55" t="s">
        <v>7</v>
      </c>
      <c r="I76" s="55" t="s">
        <v>7</v>
      </c>
      <c r="J76" s="55" t="s">
        <v>7</v>
      </c>
      <c r="K76" s="55" t="s">
        <v>7</v>
      </c>
      <c r="L76" s="59" t="str">
        <f t="shared" si="8"/>
        <v>De.Construção</v>
      </c>
      <c r="M76" s="59" t="str">
        <f t="shared" si="8"/>
        <v>Produtos.Construtivos</v>
      </c>
      <c r="N76" s="59" t="str">
        <f t="shared" si="9"/>
        <v>Tubos Plásticos</v>
      </c>
      <c r="O76" s="59" t="str">
        <f t="shared" si="9"/>
        <v>Tubo de PVCO</v>
      </c>
      <c r="P76" s="49" t="s">
        <v>1582</v>
      </c>
      <c r="Q76" s="49" t="s">
        <v>1583</v>
      </c>
      <c r="R76" s="49" t="s">
        <v>1584</v>
      </c>
      <c r="S76" s="75" t="s">
        <v>7</v>
      </c>
      <c r="T76" s="60" t="str">
        <f t="shared" si="1"/>
        <v>De Construção</v>
      </c>
      <c r="U76" s="60" t="str">
        <f t="shared" si="1"/>
        <v>Produtos Construtivos</v>
      </c>
      <c r="V76" s="60" t="str">
        <f t="shared" si="1"/>
        <v>Tubos Plásticos</v>
      </c>
      <c r="W76" s="44" t="s">
        <v>654</v>
      </c>
      <c r="X76" s="52" t="str">
        <f t="shared" si="7"/>
        <v>Key-MET-76</v>
      </c>
      <c r="Y76" s="44" t="s">
        <v>1355</v>
      </c>
      <c r="Z76" s="61" t="s">
        <v>7</v>
      </c>
      <c r="AA76" s="44" t="s">
        <v>1356</v>
      </c>
      <c r="AB76" s="61" t="s">
        <v>7</v>
      </c>
      <c r="AC76" s="44" t="s">
        <v>1580</v>
      </c>
      <c r="AD76" s="61" t="s">
        <v>7</v>
      </c>
    </row>
    <row r="77" spans="1:30" s="88" customFormat="1" ht="6.75" customHeight="1" x14ac:dyDescent="0.25">
      <c r="A77" s="54">
        <v>77</v>
      </c>
      <c r="B77" s="73" t="s">
        <v>1045</v>
      </c>
      <c r="C77" s="73" t="s">
        <v>1715</v>
      </c>
      <c r="D77" s="73" t="s">
        <v>1716</v>
      </c>
      <c r="E77" s="73" t="s">
        <v>1714</v>
      </c>
      <c r="F77" s="77" t="s">
        <v>1602</v>
      </c>
      <c r="G77" s="55" t="s">
        <v>7</v>
      </c>
      <c r="H77" s="55" t="s">
        <v>7</v>
      </c>
      <c r="I77" s="55" t="s">
        <v>7</v>
      </c>
      <c r="J77" s="55" t="s">
        <v>7</v>
      </c>
      <c r="K77" s="55" t="s">
        <v>7</v>
      </c>
      <c r="L77" s="59" t="str">
        <f t="shared" si="8"/>
        <v>De.Construção</v>
      </c>
      <c r="M77" s="59" t="str">
        <f t="shared" si="8"/>
        <v>Produtos.Construtivos</v>
      </c>
      <c r="N77" s="59" t="str">
        <f t="shared" si="9"/>
        <v>Tubos Termoplásticos</v>
      </c>
      <c r="O77" s="59" t="str">
        <f t="shared" si="9"/>
        <v>Tubo de PEAD</v>
      </c>
      <c r="P77" s="49" t="s">
        <v>1603</v>
      </c>
      <c r="Q77" s="49" t="s">
        <v>1604</v>
      </c>
      <c r="R77" s="49" t="s">
        <v>1605</v>
      </c>
      <c r="S77" s="75" t="s">
        <v>7</v>
      </c>
      <c r="T77" s="60" t="str">
        <f t="shared" si="1"/>
        <v>De Construção</v>
      </c>
      <c r="U77" s="60" t="str">
        <f t="shared" si="1"/>
        <v>Produtos Construtivos</v>
      </c>
      <c r="V77" s="60" t="str">
        <f t="shared" si="1"/>
        <v>Tubos Termoplásticos</v>
      </c>
      <c r="W77" s="44" t="s">
        <v>654</v>
      </c>
      <c r="X77" s="52" t="str">
        <f t="shared" si="7"/>
        <v>Key-MET-77</v>
      </c>
      <c r="Y77" s="44" t="s">
        <v>1355</v>
      </c>
      <c r="Z77" s="61" t="s">
        <v>7</v>
      </c>
      <c r="AA77" s="44" t="s">
        <v>1356</v>
      </c>
      <c r="AB77" s="61" t="s">
        <v>7</v>
      </c>
      <c r="AC77" s="44" t="s">
        <v>1357</v>
      </c>
      <c r="AD77" s="61" t="s">
        <v>7</v>
      </c>
    </row>
    <row r="78" spans="1:30" s="88" customFormat="1" ht="6.75" customHeight="1" x14ac:dyDescent="0.25">
      <c r="A78" s="54">
        <v>78</v>
      </c>
      <c r="B78" s="73" t="s">
        <v>1045</v>
      </c>
      <c r="C78" s="73" t="s">
        <v>1715</v>
      </c>
      <c r="D78" s="73" t="s">
        <v>1716</v>
      </c>
      <c r="E78" s="73" t="s">
        <v>1714</v>
      </c>
      <c r="F78" s="79" t="s">
        <v>1606</v>
      </c>
      <c r="G78" s="55" t="s">
        <v>7</v>
      </c>
      <c r="H78" s="55" t="s">
        <v>7</v>
      </c>
      <c r="I78" s="55" t="s">
        <v>7</v>
      </c>
      <c r="J78" s="55" t="s">
        <v>7</v>
      </c>
      <c r="K78" s="55" t="s">
        <v>7</v>
      </c>
      <c r="L78" s="59" t="str">
        <f t="shared" si="8"/>
        <v>De.Construção</v>
      </c>
      <c r="M78" s="59" t="str">
        <f t="shared" si="8"/>
        <v>Produtos.Construtivos</v>
      </c>
      <c r="N78" s="59" t="str">
        <f t="shared" si="9"/>
        <v>Tubos Termoplásticos</v>
      </c>
      <c r="O78" s="59" t="str">
        <f t="shared" si="9"/>
        <v>Tubo de PEX</v>
      </c>
      <c r="P78" s="60" t="s">
        <v>1607</v>
      </c>
      <c r="Q78" s="49" t="s">
        <v>1608</v>
      </c>
      <c r="R78" s="49" t="s">
        <v>1609</v>
      </c>
      <c r="S78" s="75" t="s">
        <v>7</v>
      </c>
      <c r="T78" s="60" t="str">
        <f t="shared" si="1"/>
        <v>De Construção</v>
      </c>
      <c r="U78" s="60" t="str">
        <f t="shared" si="1"/>
        <v>Produtos Construtivos</v>
      </c>
      <c r="V78" s="60" t="str">
        <f t="shared" si="1"/>
        <v>Tubos Termoplásticos</v>
      </c>
      <c r="W78" s="44" t="s">
        <v>654</v>
      </c>
      <c r="X78" s="52" t="str">
        <f t="shared" si="7"/>
        <v>Key-MET-78</v>
      </c>
      <c r="Y78" s="44" t="s">
        <v>1355</v>
      </c>
      <c r="Z78" s="61" t="s">
        <v>7</v>
      </c>
      <c r="AA78" s="44" t="s">
        <v>1356</v>
      </c>
      <c r="AB78" s="61" t="s">
        <v>7</v>
      </c>
      <c r="AC78" s="44" t="s">
        <v>1357</v>
      </c>
      <c r="AD78" s="61" t="s">
        <v>7</v>
      </c>
    </row>
    <row r="79" spans="1:30" s="88" customFormat="1" ht="6.75" customHeight="1" x14ac:dyDescent="0.25">
      <c r="A79" s="54">
        <v>79</v>
      </c>
      <c r="B79" s="73" t="s">
        <v>1045</v>
      </c>
      <c r="C79" s="73" t="s">
        <v>1715</v>
      </c>
      <c r="D79" s="73" t="s">
        <v>1716</v>
      </c>
      <c r="E79" s="73" t="s">
        <v>1714</v>
      </c>
      <c r="F79" s="79" t="s">
        <v>1610</v>
      </c>
      <c r="G79" s="55" t="s">
        <v>7</v>
      </c>
      <c r="H79" s="55" t="s">
        <v>7</v>
      </c>
      <c r="I79" s="55" t="s">
        <v>7</v>
      </c>
      <c r="J79" s="55" t="s">
        <v>7</v>
      </c>
      <c r="K79" s="55" t="s">
        <v>7</v>
      </c>
      <c r="L79" s="59" t="str">
        <f t="shared" si="8"/>
        <v>De.Construção</v>
      </c>
      <c r="M79" s="59" t="str">
        <f t="shared" si="8"/>
        <v>Produtos.Construtivos</v>
      </c>
      <c r="N79" s="59" t="str">
        <f t="shared" si="9"/>
        <v>Tubos Termoplásticos</v>
      </c>
      <c r="O79" s="59" t="str">
        <f t="shared" si="9"/>
        <v>Tubo de PPR</v>
      </c>
      <c r="P79" s="60" t="s">
        <v>1607</v>
      </c>
      <c r="Q79" s="49" t="s">
        <v>1608</v>
      </c>
      <c r="R79" s="49" t="s">
        <v>1609</v>
      </c>
      <c r="S79" s="75" t="s">
        <v>7</v>
      </c>
      <c r="T79" s="60" t="str">
        <f t="shared" si="1"/>
        <v>De Construção</v>
      </c>
      <c r="U79" s="60" t="str">
        <f t="shared" si="1"/>
        <v>Produtos Construtivos</v>
      </c>
      <c r="V79" s="60" t="str">
        <f t="shared" si="1"/>
        <v>Tubos Termoplásticos</v>
      </c>
      <c r="W79" s="44" t="s">
        <v>654</v>
      </c>
      <c r="X79" s="52" t="str">
        <f t="shared" si="7"/>
        <v>Key-MET-79</v>
      </c>
      <c r="Y79" s="44" t="s">
        <v>1355</v>
      </c>
      <c r="Z79" s="61" t="s">
        <v>7</v>
      </c>
      <c r="AA79" s="44" t="s">
        <v>1356</v>
      </c>
      <c r="AB79" s="61" t="s">
        <v>7</v>
      </c>
      <c r="AC79" s="44" t="s">
        <v>1357</v>
      </c>
      <c r="AD79" s="61" t="s">
        <v>7</v>
      </c>
    </row>
    <row r="80" spans="1:30" s="88" customFormat="1" ht="6.75" customHeight="1" x14ac:dyDescent="0.25">
      <c r="A80" s="54">
        <v>80</v>
      </c>
      <c r="B80" s="73" t="s">
        <v>1045</v>
      </c>
      <c r="C80" s="73" t="s">
        <v>1715</v>
      </c>
      <c r="D80" s="73" t="s">
        <v>1725</v>
      </c>
      <c r="E80" s="73" t="s">
        <v>1726</v>
      </c>
      <c r="F80" s="79" t="s">
        <v>1611</v>
      </c>
      <c r="G80" s="55" t="s">
        <v>7</v>
      </c>
      <c r="H80" s="55" t="s">
        <v>7</v>
      </c>
      <c r="I80" s="55" t="s">
        <v>7</v>
      </c>
      <c r="J80" s="55" t="s">
        <v>7</v>
      </c>
      <c r="K80" s="55" t="s">
        <v>7</v>
      </c>
      <c r="L80" s="59" t="str">
        <f t="shared" si="8"/>
        <v>De.Construção</v>
      </c>
      <c r="M80" s="59" t="str">
        <f t="shared" si="8"/>
        <v>Produtos.Catalogados</v>
      </c>
      <c r="N80" s="59" t="str">
        <f t="shared" si="9"/>
        <v>Catálogos de Produtos</v>
      </c>
      <c r="O80" s="59" t="str">
        <f t="shared" si="9"/>
        <v>Catálogo de Fabricante</v>
      </c>
      <c r="P80" s="60" t="s">
        <v>1612</v>
      </c>
      <c r="Q80" s="49" t="s">
        <v>1613</v>
      </c>
      <c r="R80" s="49" t="s">
        <v>1614</v>
      </c>
      <c r="S80" s="75" t="s">
        <v>7</v>
      </c>
      <c r="T80" s="60" t="str">
        <f t="shared" si="1"/>
        <v>De Construção</v>
      </c>
      <c r="U80" s="60" t="str">
        <f t="shared" si="1"/>
        <v>Produtos Catalogados</v>
      </c>
      <c r="V80" s="60" t="str">
        <f t="shared" si="1"/>
        <v>Catálogos de Produtos</v>
      </c>
      <c r="W80" s="44" t="s">
        <v>654</v>
      </c>
      <c r="X80" s="52" t="str">
        <f t="shared" si="7"/>
        <v>Key-MET-80</v>
      </c>
      <c r="Y80" s="44" t="s">
        <v>1355</v>
      </c>
      <c r="Z80" s="61" t="s">
        <v>7</v>
      </c>
      <c r="AA80" s="44" t="s">
        <v>1615</v>
      </c>
      <c r="AB80" s="61" t="s">
        <v>7</v>
      </c>
      <c r="AC80" s="44" t="s">
        <v>1616</v>
      </c>
      <c r="AD80" s="61" t="s">
        <v>7</v>
      </c>
    </row>
    <row r="81" spans="1:30" s="88" customFormat="1" ht="6.75" customHeight="1" x14ac:dyDescent="0.25">
      <c r="A81" s="54">
        <v>81</v>
      </c>
      <c r="B81" s="73" t="s">
        <v>1045</v>
      </c>
      <c r="C81" s="73" t="s">
        <v>1715</v>
      </c>
      <c r="D81" s="73" t="s">
        <v>1725</v>
      </c>
      <c r="E81" s="73" t="s">
        <v>1726</v>
      </c>
      <c r="F81" s="79" t="s">
        <v>1617</v>
      </c>
      <c r="G81" s="55" t="s">
        <v>7</v>
      </c>
      <c r="H81" s="55" t="s">
        <v>7</v>
      </c>
      <c r="I81" s="55" t="s">
        <v>7</v>
      </c>
      <c r="J81" s="55" t="s">
        <v>7</v>
      </c>
      <c r="K81" s="55" t="s">
        <v>7</v>
      </c>
      <c r="L81" s="59" t="str">
        <f t="shared" si="8"/>
        <v>De.Construção</v>
      </c>
      <c r="M81" s="59" t="str">
        <f t="shared" si="8"/>
        <v>Produtos.Catalogados</v>
      </c>
      <c r="N81" s="59" t="str">
        <f t="shared" si="9"/>
        <v>Catálogos de Produtos</v>
      </c>
      <c r="O81" s="59" t="str">
        <f t="shared" si="9"/>
        <v>Catálogo de Fornecedor</v>
      </c>
      <c r="P81" s="60" t="s">
        <v>1618</v>
      </c>
      <c r="Q81" s="49" t="s">
        <v>1619</v>
      </c>
      <c r="R81" s="49" t="s">
        <v>1620</v>
      </c>
      <c r="S81" s="75" t="s">
        <v>7</v>
      </c>
      <c r="T81" s="60" t="str">
        <f t="shared" si="1"/>
        <v>De Construção</v>
      </c>
      <c r="U81" s="60" t="str">
        <f t="shared" si="1"/>
        <v>Produtos Catalogados</v>
      </c>
      <c r="V81" s="60" t="str">
        <f t="shared" si="1"/>
        <v>Catálogos de Produtos</v>
      </c>
      <c r="W81" s="44" t="s">
        <v>654</v>
      </c>
      <c r="X81" s="52" t="str">
        <f t="shared" si="7"/>
        <v>Key-MET-81</v>
      </c>
      <c r="Y81" s="44" t="s">
        <v>1355</v>
      </c>
      <c r="Z81" s="61" t="s">
        <v>7</v>
      </c>
      <c r="AA81" s="44" t="s">
        <v>1615</v>
      </c>
      <c r="AB81" s="61" t="s">
        <v>7</v>
      </c>
      <c r="AC81" s="44" t="s">
        <v>1616</v>
      </c>
      <c r="AD81" s="61" t="s">
        <v>7</v>
      </c>
    </row>
    <row r="82" spans="1:30" s="88" customFormat="1" ht="6.75" customHeight="1" x14ac:dyDescent="0.25">
      <c r="A82" s="54">
        <v>82</v>
      </c>
      <c r="B82" s="73" t="s">
        <v>1045</v>
      </c>
      <c r="C82" s="73" t="s">
        <v>1715</v>
      </c>
      <c r="D82" s="73" t="s">
        <v>1725</v>
      </c>
      <c r="E82" s="73" t="s">
        <v>1726</v>
      </c>
      <c r="F82" s="79" t="s">
        <v>1621</v>
      </c>
      <c r="G82" s="55" t="s">
        <v>7</v>
      </c>
      <c r="H82" s="55" t="s">
        <v>7</v>
      </c>
      <c r="I82" s="55" t="s">
        <v>7</v>
      </c>
      <c r="J82" s="55" t="s">
        <v>7</v>
      </c>
      <c r="K82" s="55" t="s">
        <v>7</v>
      </c>
      <c r="L82" s="59" t="str">
        <f t="shared" si="8"/>
        <v>De.Construção</v>
      </c>
      <c r="M82" s="59" t="str">
        <f t="shared" si="8"/>
        <v>Produtos.Catalogados</v>
      </c>
      <c r="N82" s="59" t="str">
        <f t="shared" si="9"/>
        <v>Catálogos de Produtos</v>
      </c>
      <c r="O82" s="59" t="str">
        <f t="shared" si="9"/>
        <v>Catálogo de Construtor</v>
      </c>
      <c r="P82" s="60" t="s">
        <v>1622</v>
      </c>
      <c r="Q82" s="60" t="s">
        <v>1623</v>
      </c>
      <c r="R82" s="49" t="s">
        <v>1624</v>
      </c>
      <c r="S82" s="75" t="s">
        <v>7</v>
      </c>
      <c r="T82" s="60" t="str">
        <f t="shared" si="1"/>
        <v>De Construção</v>
      </c>
      <c r="U82" s="60" t="str">
        <f t="shared" si="1"/>
        <v>Produtos Catalogados</v>
      </c>
      <c r="V82" s="60" t="str">
        <f t="shared" si="1"/>
        <v>Catálogos de Produtos</v>
      </c>
      <c r="W82" s="44" t="s">
        <v>654</v>
      </c>
      <c r="X82" s="52" t="str">
        <f t="shared" si="7"/>
        <v>Key-MET-82</v>
      </c>
      <c r="Y82" s="44" t="s">
        <v>1355</v>
      </c>
      <c r="Z82" s="61" t="s">
        <v>7</v>
      </c>
      <c r="AA82" s="44" t="s">
        <v>1615</v>
      </c>
      <c r="AB82" s="61" t="s">
        <v>7</v>
      </c>
      <c r="AC82" s="44" t="s">
        <v>1616</v>
      </c>
      <c r="AD82" s="61" t="s">
        <v>7</v>
      </c>
    </row>
    <row r="83" spans="1:30" ht="6.75" customHeight="1" x14ac:dyDescent="0.25">
      <c r="A83" s="54">
        <v>83</v>
      </c>
      <c r="B83" s="73" t="s">
        <v>1045</v>
      </c>
      <c r="C83" s="74" t="s">
        <v>78</v>
      </c>
      <c r="D83" s="74" t="s">
        <v>930</v>
      </c>
      <c r="E83" s="74" t="s">
        <v>934</v>
      </c>
      <c r="F83" s="74" t="s">
        <v>931</v>
      </c>
      <c r="G83" s="55" t="s">
        <v>7</v>
      </c>
      <c r="H83" s="55" t="s">
        <v>7</v>
      </c>
      <c r="I83" s="55" t="s">
        <v>7</v>
      </c>
      <c r="J83" s="55" t="s">
        <v>7</v>
      </c>
      <c r="K83" s="55" t="s">
        <v>7</v>
      </c>
      <c r="L83" s="49" t="str">
        <f t="shared" ref="L83:L86" si="10">_xlfn.CONCAT(SUBSTITUTE(C83,"1.",""))</f>
        <v>Estrutura.Principal</v>
      </c>
      <c r="M83" s="49" t="str">
        <f t="shared" ref="M83:O97" si="11">_xlfn.CONCAT(SUBSTITUTE(D83,"."," "))</f>
        <v>Armaduras</v>
      </c>
      <c r="N83" s="49" t="str">
        <f t="shared" si="11"/>
        <v>Vergalhões</v>
      </c>
      <c r="O83" s="49" t="str">
        <f t="shared" si="11"/>
        <v>Vergalhão</v>
      </c>
      <c r="P83" s="49" t="s">
        <v>938</v>
      </c>
      <c r="Q83" s="49" t="s">
        <v>941</v>
      </c>
      <c r="R83" s="44" t="s">
        <v>1054</v>
      </c>
      <c r="S83" s="75" t="s">
        <v>7</v>
      </c>
      <c r="T83" s="44" t="str">
        <f t="shared" ref="T83:T154" si="12">SUBSTITUTE(C83, ".", " ")</f>
        <v>Estrutura Principal</v>
      </c>
      <c r="U83" s="44" t="str">
        <f t="shared" ref="U83:U154" si="13">SUBSTITUTE(D83, ".", " ")</f>
        <v>Armaduras</v>
      </c>
      <c r="V83" s="44" t="str">
        <f t="shared" ref="V83:V154" si="14">SUBSTITUTE(E83, ".", " ")</f>
        <v>Vergalhões</v>
      </c>
      <c r="W83" s="44" t="s">
        <v>654</v>
      </c>
      <c r="X83" s="52" t="str">
        <f t="shared" si="7"/>
        <v>Key-MET-83</v>
      </c>
      <c r="Y83" s="44" t="s">
        <v>990</v>
      </c>
      <c r="Z83" s="61" t="s">
        <v>7</v>
      </c>
      <c r="AA83" s="44" t="s">
        <v>991</v>
      </c>
      <c r="AB83" s="61" t="s">
        <v>7</v>
      </c>
      <c r="AC83" s="44" t="s">
        <v>7</v>
      </c>
      <c r="AD83" s="44" t="s">
        <v>7</v>
      </c>
    </row>
    <row r="84" spans="1:30" ht="6.75" customHeight="1" x14ac:dyDescent="0.25">
      <c r="A84" s="54">
        <v>84</v>
      </c>
      <c r="B84" s="73" t="s">
        <v>1045</v>
      </c>
      <c r="C84" s="74" t="s">
        <v>78</v>
      </c>
      <c r="D84" s="74" t="s">
        <v>930</v>
      </c>
      <c r="E84" s="74" t="s">
        <v>934</v>
      </c>
      <c r="F84" s="74" t="s">
        <v>933</v>
      </c>
      <c r="G84" s="55" t="s">
        <v>7</v>
      </c>
      <c r="H84" s="55" t="s">
        <v>7</v>
      </c>
      <c r="I84" s="55" t="s">
        <v>7</v>
      </c>
      <c r="J84" s="55" t="s">
        <v>7</v>
      </c>
      <c r="K84" s="55" t="s">
        <v>7</v>
      </c>
      <c r="L84" s="49" t="str">
        <f t="shared" si="10"/>
        <v>Estrutura.Principal</v>
      </c>
      <c r="M84" s="49" t="str">
        <f t="shared" si="11"/>
        <v>Armaduras</v>
      </c>
      <c r="N84" s="49" t="str">
        <f t="shared" si="11"/>
        <v>Vergalhões</v>
      </c>
      <c r="O84" s="49" t="str">
        <f t="shared" si="11"/>
        <v>Vergalhão Liso</v>
      </c>
      <c r="P84" s="49" t="s">
        <v>939</v>
      </c>
      <c r="Q84" s="49" t="s">
        <v>942</v>
      </c>
      <c r="R84" s="44" t="s">
        <v>1055</v>
      </c>
      <c r="S84" s="75" t="s">
        <v>7</v>
      </c>
      <c r="T84" s="44" t="str">
        <f t="shared" si="12"/>
        <v>Estrutura Principal</v>
      </c>
      <c r="U84" s="44" t="str">
        <f t="shared" si="13"/>
        <v>Armaduras</v>
      </c>
      <c r="V84" s="44" t="str">
        <f t="shared" si="14"/>
        <v>Vergalhões</v>
      </c>
      <c r="W84" s="44" t="s">
        <v>654</v>
      </c>
      <c r="X84" s="52" t="str">
        <f t="shared" si="7"/>
        <v>Key-MET-84</v>
      </c>
      <c r="Y84" s="44" t="s">
        <v>990</v>
      </c>
      <c r="Z84" s="61" t="s">
        <v>7</v>
      </c>
      <c r="AA84" s="44" t="s">
        <v>991</v>
      </c>
      <c r="AB84" s="61" t="s">
        <v>7</v>
      </c>
      <c r="AC84" s="44" t="s">
        <v>7</v>
      </c>
      <c r="AD84" s="44" t="s">
        <v>7</v>
      </c>
    </row>
    <row r="85" spans="1:30" ht="6.75" customHeight="1" x14ac:dyDescent="0.25">
      <c r="A85" s="54">
        <v>85</v>
      </c>
      <c r="B85" s="73" t="s">
        <v>1045</v>
      </c>
      <c r="C85" s="74" t="s">
        <v>78</v>
      </c>
      <c r="D85" s="74" t="s">
        <v>930</v>
      </c>
      <c r="E85" s="74" t="s">
        <v>934</v>
      </c>
      <c r="F85" s="74" t="s">
        <v>932</v>
      </c>
      <c r="G85" s="55" t="s">
        <v>7</v>
      </c>
      <c r="H85" s="55" t="s">
        <v>7</v>
      </c>
      <c r="I85" s="55" t="s">
        <v>7</v>
      </c>
      <c r="J85" s="55" t="s">
        <v>7</v>
      </c>
      <c r="K85" s="55" t="s">
        <v>7</v>
      </c>
      <c r="L85" s="49" t="str">
        <f t="shared" si="10"/>
        <v>Estrutura.Principal</v>
      </c>
      <c r="M85" s="49" t="str">
        <f t="shared" si="11"/>
        <v>Armaduras</v>
      </c>
      <c r="N85" s="49" t="str">
        <f t="shared" si="11"/>
        <v>Vergalhões</v>
      </c>
      <c r="O85" s="49" t="str">
        <f t="shared" si="11"/>
        <v>Vergalhão Nervurado</v>
      </c>
      <c r="P85" s="49" t="s">
        <v>940</v>
      </c>
      <c r="Q85" s="49" t="s">
        <v>943</v>
      </c>
      <c r="R85" s="44" t="s">
        <v>1056</v>
      </c>
      <c r="S85" s="75" t="s">
        <v>7</v>
      </c>
      <c r="T85" s="44" t="str">
        <f t="shared" si="12"/>
        <v>Estrutura Principal</v>
      </c>
      <c r="U85" s="44" t="str">
        <f t="shared" si="13"/>
        <v>Armaduras</v>
      </c>
      <c r="V85" s="44" t="str">
        <f t="shared" si="14"/>
        <v>Vergalhões</v>
      </c>
      <c r="W85" s="44" t="s">
        <v>654</v>
      </c>
      <c r="X85" s="52" t="str">
        <f t="shared" si="7"/>
        <v>Key-MET-85</v>
      </c>
      <c r="Y85" s="44" t="s">
        <v>990</v>
      </c>
      <c r="Z85" s="61" t="s">
        <v>7</v>
      </c>
      <c r="AA85" s="44" t="s">
        <v>991</v>
      </c>
      <c r="AB85" s="61" t="s">
        <v>7</v>
      </c>
      <c r="AC85" s="44" t="s">
        <v>7</v>
      </c>
      <c r="AD85" s="44" t="s">
        <v>7</v>
      </c>
    </row>
    <row r="86" spans="1:30" ht="6.75" customHeight="1" x14ac:dyDescent="0.25">
      <c r="A86" s="54">
        <v>86</v>
      </c>
      <c r="B86" s="73" t="s">
        <v>1045</v>
      </c>
      <c r="C86" s="74" t="s">
        <v>78</v>
      </c>
      <c r="D86" s="74" t="s">
        <v>930</v>
      </c>
      <c r="E86" s="74" t="s">
        <v>934</v>
      </c>
      <c r="F86" s="74" t="s">
        <v>935</v>
      </c>
      <c r="G86" s="55" t="s">
        <v>7</v>
      </c>
      <c r="H86" s="55" t="s">
        <v>7</v>
      </c>
      <c r="I86" s="55" t="s">
        <v>7</v>
      </c>
      <c r="J86" s="55" t="s">
        <v>7</v>
      </c>
      <c r="K86" s="55" t="s">
        <v>7</v>
      </c>
      <c r="L86" s="49" t="str">
        <f t="shared" si="10"/>
        <v>Estrutura.Principal</v>
      </c>
      <c r="M86" s="49" t="str">
        <f t="shared" si="11"/>
        <v>Armaduras</v>
      </c>
      <c r="N86" s="49" t="str">
        <f t="shared" si="11"/>
        <v>Vergalhões</v>
      </c>
      <c r="O86" s="49" t="str">
        <f t="shared" si="11"/>
        <v>Vergalhão GG70</v>
      </c>
      <c r="P86" s="49" t="s">
        <v>937</v>
      </c>
      <c r="Q86" s="49" t="s">
        <v>944</v>
      </c>
      <c r="R86" s="44" t="s">
        <v>1057</v>
      </c>
      <c r="S86" s="75" t="s">
        <v>7</v>
      </c>
      <c r="T86" s="44" t="str">
        <f t="shared" si="12"/>
        <v>Estrutura Principal</v>
      </c>
      <c r="U86" s="44" t="str">
        <f t="shared" si="13"/>
        <v>Armaduras</v>
      </c>
      <c r="V86" s="44" t="str">
        <f t="shared" si="14"/>
        <v>Vergalhões</v>
      </c>
      <c r="W86" s="44" t="s">
        <v>654</v>
      </c>
      <c r="X86" s="52" t="str">
        <f t="shared" si="7"/>
        <v>Key-MET-86</v>
      </c>
      <c r="Y86" s="44" t="s">
        <v>990</v>
      </c>
      <c r="Z86" s="61" t="s">
        <v>7</v>
      </c>
      <c r="AA86" s="44" t="s">
        <v>991</v>
      </c>
      <c r="AB86" s="61" t="s">
        <v>7</v>
      </c>
      <c r="AC86" s="44" t="s">
        <v>7</v>
      </c>
      <c r="AD86" s="44" t="s">
        <v>7</v>
      </c>
    </row>
    <row r="87" spans="1:30" ht="6.75" customHeight="1" x14ac:dyDescent="0.25">
      <c r="A87" s="54">
        <v>87</v>
      </c>
      <c r="B87" s="73" t="s">
        <v>1045</v>
      </c>
      <c r="C87" s="74" t="s">
        <v>78</v>
      </c>
      <c r="D87" s="74" t="s">
        <v>930</v>
      </c>
      <c r="E87" s="74" t="s">
        <v>936</v>
      </c>
      <c r="F87" s="74" t="s">
        <v>945</v>
      </c>
      <c r="G87" s="55" t="s">
        <v>7</v>
      </c>
      <c r="H87" s="55" t="s">
        <v>7</v>
      </c>
      <c r="I87" s="55" t="s">
        <v>7</v>
      </c>
      <c r="J87" s="55" t="s">
        <v>7</v>
      </c>
      <c r="K87" s="55" t="s">
        <v>7</v>
      </c>
      <c r="L87" s="49" t="str">
        <f t="shared" ref="L87:L94" si="15">_xlfn.CONCAT(SUBSTITUTE(C87,"1.",""))</f>
        <v>Estrutura.Principal</v>
      </c>
      <c r="M87" s="49" t="str">
        <f t="shared" ref="M87:M94" si="16">_xlfn.CONCAT(SUBSTITUTE(D87,"."," "))</f>
        <v>Armaduras</v>
      </c>
      <c r="N87" s="49" t="str">
        <f t="shared" ref="N87:N94" si="17">_xlfn.CONCAT(SUBSTITUTE(E87,"."," "))</f>
        <v>Estribos</v>
      </c>
      <c r="O87" s="49" t="str">
        <f t="shared" ref="O87:O94" si="18">_xlfn.CONCAT(SUBSTITUTE(F87,"."," "))</f>
        <v>Estribo Retangular</v>
      </c>
      <c r="P87" s="49" t="s">
        <v>950</v>
      </c>
      <c r="Q87" s="49" t="s">
        <v>953</v>
      </c>
      <c r="R87" s="44" t="s">
        <v>1058</v>
      </c>
      <c r="S87" s="75" t="s">
        <v>7</v>
      </c>
      <c r="T87" s="44" t="str">
        <f t="shared" ref="T87:T94" si="19">SUBSTITUTE(C87, ".", " ")</f>
        <v>Estrutura Principal</v>
      </c>
      <c r="U87" s="44" t="str">
        <f t="shared" ref="U87:U94" si="20">SUBSTITUTE(D87, ".", " ")</f>
        <v>Armaduras</v>
      </c>
      <c r="V87" s="44" t="str">
        <f t="shared" ref="V87:V94" si="21">SUBSTITUTE(E87, ".", " ")</f>
        <v>Estribos</v>
      </c>
      <c r="W87" s="44" t="s">
        <v>654</v>
      </c>
      <c r="X87" s="52" t="str">
        <f t="shared" si="7"/>
        <v>Key-MET-87</v>
      </c>
      <c r="Y87" s="44" t="s">
        <v>990</v>
      </c>
      <c r="Z87" s="61" t="s">
        <v>7</v>
      </c>
      <c r="AA87" s="44" t="s">
        <v>991</v>
      </c>
      <c r="AB87" s="61" t="s">
        <v>7</v>
      </c>
      <c r="AC87" s="44" t="s">
        <v>7</v>
      </c>
      <c r="AD87" s="44" t="s">
        <v>7</v>
      </c>
    </row>
    <row r="88" spans="1:30" ht="6.75" customHeight="1" x14ac:dyDescent="0.25">
      <c r="A88" s="54">
        <v>88</v>
      </c>
      <c r="B88" s="73" t="s">
        <v>1045</v>
      </c>
      <c r="C88" s="74" t="s">
        <v>78</v>
      </c>
      <c r="D88" s="74" t="s">
        <v>930</v>
      </c>
      <c r="E88" s="74" t="s">
        <v>936</v>
      </c>
      <c r="F88" s="74" t="s">
        <v>946</v>
      </c>
      <c r="G88" s="55" t="s">
        <v>7</v>
      </c>
      <c r="H88" s="55" t="s">
        <v>7</v>
      </c>
      <c r="I88" s="55" t="s">
        <v>7</v>
      </c>
      <c r="J88" s="55" t="s">
        <v>7</v>
      </c>
      <c r="K88" s="55" t="s">
        <v>7</v>
      </c>
      <c r="L88" s="49" t="str">
        <f t="shared" si="15"/>
        <v>Estrutura.Principal</v>
      </c>
      <c r="M88" s="49" t="str">
        <f t="shared" si="16"/>
        <v>Armaduras</v>
      </c>
      <c r="N88" s="49" t="str">
        <f t="shared" si="17"/>
        <v>Estribos</v>
      </c>
      <c r="O88" s="49" t="str">
        <f t="shared" si="18"/>
        <v>Estribo Circular</v>
      </c>
      <c r="P88" s="49" t="s">
        <v>951</v>
      </c>
      <c r="Q88" s="49" t="s">
        <v>954</v>
      </c>
      <c r="R88" s="44" t="s">
        <v>1059</v>
      </c>
      <c r="S88" s="75" t="s">
        <v>7</v>
      </c>
      <c r="T88" s="44" t="str">
        <f t="shared" si="19"/>
        <v>Estrutura Principal</v>
      </c>
      <c r="U88" s="44" t="str">
        <f t="shared" si="20"/>
        <v>Armaduras</v>
      </c>
      <c r="V88" s="44" t="str">
        <f t="shared" si="21"/>
        <v>Estribos</v>
      </c>
      <c r="W88" s="44" t="s">
        <v>654</v>
      </c>
      <c r="X88" s="52" t="str">
        <f t="shared" si="7"/>
        <v>Key-MET-88</v>
      </c>
      <c r="Y88" s="44" t="s">
        <v>990</v>
      </c>
      <c r="Z88" s="61" t="s">
        <v>7</v>
      </c>
      <c r="AA88" s="44" t="s">
        <v>991</v>
      </c>
      <c r="AB88" s="61" t="s">
        <v>7</v>
      </c>
      <c r="AC88" s="44" t="s">
        <v>7</v>
      </c>
      <c r="AD88" s="44" t="s">
        <v>7</v>
      </c>
    </row>
    <row r="89" spans="1:30" ht="6.75" customHeight="1" x14ac:dyDescent="0.25">
      <c r="A89" s="54">
        <v>89</v>
      </c>
      <c r="B89" s="73" t="s">
        <v>1045</v>
      </c>
      <c r="C89" s="74" t="s">
        <v>78</v>
      </c>
      <c r="D89" s="74" t="s">
        <v>930</v>
      </c>
      <c r="E89" s="74" t="s">
        <v>936</v>
      </c>
      <c r="F89" s="74" t="s">
        <v>947</v>
      </c>
      <c r="G89" s="55" t="s">
        <v>7</v>
      </c>
      <c r="H89" s="55" t="s">
        <v>7</v>
      </c>
      <c r="I89" s="55" t="s">
        <v>7</v>
      </c>
      <c r="J89" s="55" t="s">
        <v>7</v>
      </c>
      <c r="K89" s="55" t="s">
        <v>7</v>
      </c>
      <c r="L89" s="49" t="str">
        <f t="shared" si="15"/>
        <v>Estrutura.Principal</v>
      </c>
      <c r="M89" s="49" t="str">
        <f t="shared" si="16"/>
        <v>Armaduras</v>
      </c>
      <c r="N89" s="49" t="str">
        <f t="shared" si="17"/>
        <v>Estribos</v>
      </c>
      <c r="O89" s="49" t="str">
        <f t="shared" si="18"/>
        <v>Estribo Diagonal</v>
      </c>
      <c r="P89" s="49" t="s">
        <v>949</v>
      </c>
      <c r="Q89" s="49" t="s">
        <v>955</v>
      </c>
      <c r="R89" s="44" t="s">
        <v>1060</v>
      </c>
      <c r="S89" s="75" t="s">
        <v>7</v>
      </c>
      <c r="T89" s="44" t="str">
        <f t="shared" si="19"/>
        <v>Estrutura Principal</v>
      </c>
      <c r="U89" s="44" t="str">
        <f t="shared" si="20"/>
        <v>Armaduras</v>
      </c>
      <c r="V89" s="44" t="str">
        <f t="shared" si="21"/>
        <v>Estribos</v>
      </c>
      <c r="W89" s="44" t="s">
        <v>654</v>
      </c>
      <c r="X89" s="52" t="str">
        <f t="shared" si="7"/>
        <v>Key-MET-89</v>
      </c>
      <c r="Y89" s="44" t="s">
        <v>990</v>
      </c>
      <c r="Z89" s="61" t="s">
        <v>7</v>
      </c>
      <c r="AA89" s="44" t="s">
        <v>991</v>
      </c>
      <c r="AB89" s="61" t="s">
        <v>7</v>
      </c>
      <c r="AC89" s="44" t="s">
        <v>7</v>
      </c>
      <c r="AD89" s="44" t="s">
        <v>7</v>
      </c>
    </row>
    <row r="90" spans="1:30" ht="6.75" customHeight="1" x14ac:dyDescent="0.25">
      <c r="A90" s="54">
        <v>90</v>
      </c>
      <c r="B90" s="73" t="s">
        <v>1045</v>
      </c>
      <c r="C90" s="74" t="s">
        <v>78</v>
      </c>
      <c r="D90" s="74" t="s">
        <v>930</v>
      </c>
      <c r="E90" s="74" t="s">
        <v>936</v>
      </c>
      <c r="F90" s="74" t="s">
        <v>948</v>
      </c>
      <c r="G90" s="55" t="s">
        <v>7</v>
      </c>
      <c r="H90" s="55" t="s">
        <v>7</v>
      </c>
      <c r="I90" s="55" t="s">
        <v>7</v>
      </c>
      <c r="J90" s="55" t="s">
        <v>7</v>
      </c>
      <c r="K90" s="55" t="s">
        <v>7</v>
      </c>
      <c r="L90" s="49" t="str">
        <f t="shared" ref="L90:L93" si="22">_xlfn.CONCAT(SUBSTITUTE(C90,"1.",""))</f>
        <v>Estrutura.Principal</v>
      </c>
      <c r="M90" s="49" t="str">
        <f t="shared" ref="M90:M93" si="23">_xlfn.CONCAT(SUBSTITUTE(D90,"."," "))</f>
        <v>Armaduras</v>
      </c>
      <c r="N90" s="49" t="str">
        <f t="shared" ref="N90:N93" si="24">_xlfn.CONCAT(SUBSTITUTE(E90,"."," "))</f>
        <v>Estribos</v>
      </c>
      <c r="O90" s="49" t="str">
        <f t="shared" ref="O90:O93" si="25">_xlfn.CONCAT(SUBSTITUTE(F90,"."," "))</f>
        <v>Estribo Helicoidal</v>
      </c>
      <c r="P90" s="49" t="s">
        <v>952</v>
      </c>
      <c r="Q90" s="49" t="s">
        <v>956</v>
      </c>
      <c r="R90" s="44" t="s">
        <v>1061</v>
      </c>
      <c r="S90" s="75" t="s">
        <v>7</v>
      </c>
      <c r="T90" s="44" t="str">
        <f t="shared" ref="T90:T93" si="26">SUBSTITUTE(C90, ".", " ")</f>
        <v>Estrutura Principal</v>
      </c>
      <c r="U90" s="44" t="str">
        <f t="shared" ref="U90:U93" si="27">SUBSTITUTE(D90, ".", " ")</f>
        <v>Armaduras</v>
      </c>
      <c r="V90" s="44" t="str">
        <f t="shared" ref="V90:V93" si="28">SUBSTITUTE(E90, ".", " ")</f>
        <v>Estribos</v>
      </c>
      <c r="W90" s="44" t="s">
        <v>654</v>
      </c>
      <c r="X90" s="52" t="str">
        <f t="shared" si="7"/>
        <v>Key-MET-90</v>
      </c>
      <c r="Y90" s="44" t="s">
        <v>990</v>
      </c>
      <c r="Z90" s="61" t="s">
        <v>7</v>
      </c>
      <c r="AA90" s="44" t="s">
        <v>991</v>
      </c>
      <c r="AB90" s="61" t="s">
        <v>7</v>
      </c>
      <c r="AC90" s="44" t="s">
        <v>7</v>
      </c>
      <c r="AD90" s="44" t="s">
        <v>7</v>
      </c>
    </row>
    <row r="91" spans="1:30" ht="6.75" customHeight="1" x14ac:dyDescent="0.25">
      <c r="A91" s="54">
        <v>91</v>
      </c>
      <c r="B91" s="73" t="s">
        <v>1045</v>
      </c>
      <c r="C91" s="74" t="s">
        <v>78</v>
      </c>
      <c r="D91" s="74" t="s">
        <v>930</v>
      </c>
      <c r="E91" s="74" t="s">
        <v>959</v>
      </c>
      <c r="F91" s="74" t="s">
        <v>969</v>
      </c>
      <c r="G91" s="55" t="s">
        <v>7</v>
      </c>
      <c r="H91" s="55" t="s">
        <v>7</v>
      </c>
      <c r="I91" s="55" t="s">
        <v>7</v>
      </c>
      <c r="J91" s="55" t="s">
        <v>7</v>
      </c>
      <c r="K91" s="55" t="s">
        <v>7</v>
      </c>
      <c r="L91" s="49" t="str">
        <f t="shared" ref="L91" si="29">_xlfn.CONCAT(SUBSTITUTE(C91,"1.",""))</f>
        <v>Estrutura.Principal</v>
      </c>
      <c r="M91" s="49" t="str">
        <f t="shared" ref="M91" si="30">_xlfn.CONCAT(SUBSTITUTE(D91,"."," "))</f>
        <v>Armaduras</v>
      </c>
      <c r="N91" s="49" t="str">
        <f t="shared" ref="N91" si="31">_xlfn.CONCAT(SUBSTITUTE(E91,"."," "))</f>
        <v>Prontas</v>
      </c>
      <c r="O91" s="49" t="str">
        <f t="shared" ref="O91" si="32">_xlfn.CONCAT(SUBSTITUTE(F91,"."," "))</f>
        <v>Tela Soldada</v>
      </c>
      <c r="P91" s="49" t="s">
        <v>970</v>
      </c>
      <c r="Q91" s="49" t="s">
        <v>971</v>
      </c>
      <c r="R91" s="44" t="s">
        <v>1062</v>
      </c>
      <c r="S91" s="75" t="s">
        <v>7</v>
      </c>
      <c r="T91" s="44" t="str">
        <f t="shared" ref="T91" si="33">SUBSTITUTE(C91, ".", " ")</f>
        <v>Estrutura Principal</v>
      </c>
      <c r="U91" s="44" t="str">
        <f t="shared" ref="U91" si="34">SUBSTITUTE(D91, ".", " ")</f>
        <v>Armaduras</v>
      </c>
      <c r="V91" s="44" t="str">
        <f t="shared" ref="V91" si="35">SUBSTITUTE(E91, ".", " ")</f>
        <v>Prontas</v>
      </c>
      <c r="W91" s="44" t="s">
        <v>654</v>
      </c>
      <c r="X91" s="52" t="str">
        <f t="shared" si="7"/>
        <v>Key-MET-91</v>
      </c>
      <c r="Y91" s="44" t="s">
        <v>990</v>
      </c>
      <c r="Z91" s="61" t="s">
        <v>7</v>
      </c>
      <c r="AA91" s="44" t="s">
        <v>991</v>
      </c>
      <c r="AB91" s="61" t="s">
        <v>7</v>
      </c>
      <c r="AC91" s="44" t="s">
        <v>7</v>
      </c>
      <c r="AD91" s="44" t="s">
        <v>7</v>
      </c>
    </row>
    <row r="92" spans="1:30" ht="6.75" customHeight="1" x14ac:dyDescent="0.25">
      <c r="A92" s="54">
        <v>92</v>
      </c>
      <c r="B92" s="73" t="s">
        <v>1045</v>
      </c>
      <c r="C92" s="74" t="s">
        <v>78</v>
      </c>
      <c r="D92" s="74" t="s">
        <v>930</v>
      </c>
      <c r="E92" s="74" t="s">
        <v>959</v>
      </c>
      <c r="F92" s="74" t="s">
        <v>960</v>
      </c>
      <c r="G92" s="55" t="s">
        <v>7</v>
      </c>
      <c r="H92" s="55" t="s">
        <v>7</v>
      </c>
      <c r="I92" s="55" t="s">
        <v>7</v>
      </c>
      <c r="J92" s="55" t="s">
        <v>7</v>
      </c>
      <c r="K92" s="55" t="s">
        <v>7</v>
      </c>
      <c r="L92" s="49" t="str">
        <f t="shared" si="22"/>
        <v>Estrutura.Principal</v>
      </c>
      <c r="M92" s="49" t="str">
        <f t="shared" si="23"/>
        <v>Armaduras</v>
      </c>
      <c r="N92" s="49" t="str">
        <f t="shared" si="24"/>
        <v>Prontas</v>
      </c>
      <c r="O92" s="49" t="str">
        <f t="shared" si="25"/>
        <v>Armadura APS</v>
      </c>
      <c r="P92" s="49" t="s">
        <v>961</v>
      </c>
      <c r="Q92" s="49" t="s">
        <v>966</v>
      </c>
      <c r="R92" s="44" t="s">
        <v>1063</v>
      </c>
      <c r="S92" s="75" t="s">
        <v>7</v>
      </c>
      <c r="T92" s="44" t="str">
        <f t="shared" si="26"/>
        <v>Estrutura Principal</v>
      </c>
      <c r="U92" s="44" t="str">
        <f t="shared" si="27"/>
        <v>Armaduras</v>
      </c>
      <c r="V92" s="44" t="str">
        <f t="shared" si="28"/>
        <v>Prontas</v>
      </c>
      <c r="W92" s="44" t="s">
        <v>654</v>
      </c>
      <c r="X92" s="52" t="str">
        <f t="shared" si="7"/>
        <v>Key-MET-92</v>
      </c>
      <c r="Y92" s="44" t="s">
        <v>990</v>
      </c>
      <c r="Z92" s="61" t="s">
        <v>7</v>
      </c>
      <c r="AA92" s="44" t="s">
        <v>991</v>
      </c>
      <c r="AB92" s="61" t="s">
        <v>7</v>
      </c>
      <c r="AC92" s="44" t="s">
        <v>7</v>
      </c>
      <c r="AD92" s="44" t="s">
        <v>7</v>
      </c>
    </row>
    <row r="93" spans="1:30" ht="6.75" customHeight="1" x14ac:dyDescent="0.25">
      <c r="A93" s="54">
        <v>93</v>
      </c>
      <c r="B93" s="73" t="s">
        <v>1045</v>
      </c>
      <c r="C93" s="74" t="s">
        <v>78</v>
      </c>
      <c r="D93" s="74" t="s">
        <v>930</v>
      </c>
      <c r="E93" s="74" t="s">
        <v>959</v>
      </c>
      <c r="F93" s="74" t="s">
        <v>962</v>
      </c>
      <c r="G93" s="55" t="s">
        <v>7</v>
      </c>
      <c r="H93" s="55" t="s">
        <v>7</v>
      </c>
      <c r="I93" s="55" t="s">
        <v>7</v>
      </c>
      <c r="J93" s="55" t="s">
        <v>7</v>
      </c>
      <c r="K93" s="55" t="s">
        <v>7</v>
      </c>
      <c r="L93" s="49" t="str">
        <f t="shared" si="22"/>
        <v>Estrutura.Principal</v>
      </c>
      <c r="M93" s="49" t="str">
        <f t="shared" si="23"/>
        <v>Armaduras</v>
      </c>
      <c r="N93" s="49" t="str">
        <f t="shared" si="24"/>
        <v>Prontas</v>
      </c>
      <c r="O93" s="49" t="str">
        <f t="shared" si="25"/>
        <v>Fôrma Incorporada</v>
      </c>
      <c r="P93" s="49" t="s">
        <v>963</v>
      </c>
      <c r="Q93" s="49" t="s">
        <v>967</v>
      </c>
      <c r="R93" s="44" t="s">
        <v>1064</v>
      </c>
      <c r="S93" s="75" t="s">
        <v>7</v>
      </c>
      <c r="T93" s="44" t="str">
        <f t="shared" si="26"/>
        <v>Estrutura Principal</v>
      </c>
      <c r="U93" s="44" t="str">
        <f t="shared" si="27"/>
        <v>Armaduras</v>
      </c>
      <c r="V93" s="44" t="str">
        <f t="shared" si="28"/>
        <v>Prontas</v>
      </c>
      <c r="W93" s="44" t="s">
        <v>654</v>
      </c>
      <c r="X93" s="52" t="str">
        <f t="shared" si="7"/>
        <v>Key-MET-93</v>
      </c>
      <c r="Y93" s="44" t="s">
        <v>990</v>
      </c>
      <c r="Z93" s="61" t="s">
        <v>7</v>
      </c>
      <c r="AA93" s="44" t="s">
        <v>991</v>
      </c>
      <c r="AB93" s="61" t="s">
        <v>7</v>
      </c>
      <c r="AC93" s="44" t="s">
        <v>7</v>
      </c>
      <c r="AD93" s="44" t="s">
        <v>7</v>
      </c>
    </row>
    <row r="94" spans="1:30" ht="6.75" customHeight="1" x14ac:dyDescent="0.25">
      <c r="A94" s="54">
        <v>94</v>
      </c>
      <c r="B94" s="73" t="s">
        <v>1045</v>
      </c>
      <c r="C94" s="74" t="s">
        <v>78</v>
      </c>
      <c r="D94" s="74" t="s">
        <v>930</v>
      </c>
      <c r="E94" s="74" t="s">
        <v>959</v>
      </c>
      <c r="F94" s="74" t="s">
        <v>964</v>
      </c>
      <c r="G94" s="55" t="s">
        <v>7</v>
      </c>
      <c r="H94" s="55" t="s">
        <v>7</v>
      </c>
      <c r="I94" s="55" t="s">
        <v>7</v>
      </c>
      <c r="J94" s="55" t="s">
        <v>7</v>
      </c>
      <c r="K94" s="55" t="s">
        <v>7</v>
      </c>
      <c r="L94" s="49" t="str">
        <f t="shared" si="15"/>
        <v>Estrutura.Principal</v>
      </c>
      <c r="M94" s="49" t="str">
        <f t="shared" si="16"/>
        <v>Armaduras</v>
      </c>
      <c r="N94" s="49" t="str">
        <f t="shared" si="17"/>
        <v>Prontas</v>
      </c>
      <c r="O94" s="49" t="str">
        <f t="shared" si="18"/>
        <v>Fôrma Incorporada APS</v>
      </c>
      <c r="P94" s="49" t="s">
        <v>965</v>
      </c>
      <c r="Q94" s="49" t="s">
        <v>968</v>
      </c>
      <c r="R94" s="44" t="s">
        <v>1065</v>
      </c>
      <c r="S94" s="75" t="s">
        <v>7</v>
      </c>
      <c r="T94" s="44" t="str">
        <f t="shared" si="19"/>
        <v>Estrutura Principal</v>
      </c>
      <c r="U94" s="44" t="str">
        <f t="shared" si="20"/>
        <v>Armaduras</v>
      </c>
      <c r="V94" s="44" t="str">
        <f t="shared" si="21"/>
        <v>Prontas</v>
      </c>
      <c r="W94" s="44" t="s">
        <v>654</v>
      </c>
      <c r="X94" s="52" t="str">
        <f t="shared" si="7"/>
        <v>Key-MET-94</v>
      </c>
      <c r="Y94" s="44" t="s">
        <v>990</v>
      </c>
      <c r="Z94" s="61" t="s">
        <v>7</v>
      </c>
      <c r="AA94" s="44" t="s">
        <v>991</v>
      </c>
      <c r="AB94" s="61" t="s">
        <v>7</v>
      </c>
      <c r="AC94" s="44" t="s">
        <v>7</v>
      </c>
      <c r="AD94" s="44" t="s">
        <v>7</v>
      </c>
    </row>
    <row r="95" spans="1:30" ht="6.75" customHeight="1" x14ac:dyDescent="0.25">
      <c r="A95" s="54">
        <v>95</v>
      </c>
      <c r="B95" s="73" t="s">
        <v>1045</v>
      </c>
      <c r="C95" s="74" t="s">
        <v>78</v>
      </c>
      <c r="D95" s="74" t="s">
        <v>506</v>
      </c>
      <c r="E95" s="74" t="s">
        <v>611</v>
      </c>
      <c r="F95" s="74" t="s">
        <v>603</v>
      </c>
      <c r="G95" s="55" t="s">
        <v>7</v>
      </c>
      <c r="H95" s="55" t="s">
        <v>7</v>
      </c>
      <c r="I95" s="55" t="s">
        <v>7</v>
      </c>
      <c r="J95" s="55" t="s">
        <v>7</v>
      </c>
      <c r="K95" s="55" t="s">
        <v>7</v>
      </c>
      <c r="L95" s="49" t="str">
        <f t="shared" ref="L95:L97" si="36">_xlfn.CONCAT(SUBSTITUTE(C95,"1.",""))</f>
        <v>Estrutura.Principal</v>
      </c>
      <c r="M95" s="49" t="str">
        <f t="shared" si="11"/>
        <v>Sustentação</v>
      </c>
      <c r="N95" s="49" t="str">
        <f t="shared" si="11"/>
        <v>Soldados</v>
      </c>
      <c r="O95" s="49" t="str">
        <f t="shared" si="11"/>
        <v>Coluna Viga Soldada</v>
      </c>
      <c r="P95" s="49" t="s">
        <v>605</v>
      </c>
      <c r="Q95" s="49" t="s">
        <v>672</v>
      </c>
      <c r="R95" s="44" t="s">
        <v>1066</v>
      </c>
      <c r="S95" s="75" t="s">
        <v>7</v>
      </c>
      <c r="T95" s="44" t="str">
        <f t="shared" si="12"/>
        <v>Estrutura Principal</v>
      </c>
      <c r="U95" s="44" t="str">
        <f t="shared" si="13"/>
        <v>Sustentação</v>
      </c>
      <c r="V95" s="44" t="str">
        <f t="shared" si="14"/>
        <v>Soldados</v>
      </c>
      <c r="W95" s="44" t="s">
        <v>654</v>
      </c>
      <c r="X95" s="52" t="str">
        <f t="shared" si="7"/>
        <v>Key-MET-95</v>
      </c>
      <c r="Y95" s="44" t="s">
        <v>1249</v>
      </c>
      <c r="Z95" s="61" t="s">
        <v>7</v>
      </c>
      <c r="AA95" s="44" t="s">
        <v>1248</v>
      </c>
      <c r="AB95" s="61" t="s">
        <v>7</v>
      </c>
      <c r="AC95" s="44" t="s">
        <v>7</v>
      </c>
      <c r="AD95" s="44" t="s">
        <v>7</v>
      </c>
    </row>
    <row r="96" spans="1:30" ht="6.75" customHeight="1" x14ac:dyDescent="0.25">
      <c r="A96" s="54">
        <v>96</v>
      </c>
      <c r="B96" s="73" t="s">
        <v>1045</v>
      </c>
      <c r="C96" s="74" t="s">
        <v>78</v>
      </c>
      <c r="D96" s="74" t="s">
        <v>506</v>
      </c>
      <c r="E96" s="74" t="s">
        <v>611</v>
      </c>
      <c r="F96" s="74" t="s">
        <v>601</v>
      </c>
      <c r="G96" s="55" t="s">
        <v>7</v>
      </c>
      <c r="H96" s="55" t="s">
        <v>7</v>
      </c>
      <c r="I96" s="55" t="s">
        <v>7</v>
      </c>
      <c r="J96" s="55" t="s">
        <v>7</v>
      </c>
      <c r="K96" s="55" t="s">
        <v>7</v>
      </c>
      <c r="L96" s="49" t="str">
        <f t="shared" si="36"/>
        <v>Estrutura.Principal</v>
      </c>
      <c r="M96" s="49" t="str">
        <f t="shared" si="11"/>
        <v>Sustentação</v>
      </c>
      <c r="N96" s="49" t="str">
        <f t="shared" si="11"/>
        <v>Soldados</v>
      </c>
      <c r="O96" s="49" t="str">
        <f t="shared" si="11"/>
        <v>Coluna Soldada</v>
      </c>
      <c r="P96" s="49" t="s">
        <v>606</v>
      </c>
      <c r="Q96" s="49" t="s">
        <v>673</v>
      </c>
      <c r="R96" s="44" t="s">
        <v>1067</v>
      </c>
      <c r="S96" s="75" t="s">
        <v>7</v>
      </c>
      <c r="T96" s="44" t="str">
        <f t="shared" si="12"/>
        <v>Estrutura Principal</v>
      </c>
      <c r="U96" s="44" t="str">
        <f t="shared" si="13"/>
        <v>Sustentação</v>
      </c>
      <c r="V96" s="44" t="str">
        <f t="shared" si="14"/>
        <v>Soldados</v>
      </c>
      <c r="W96" s="44" t="s">
        <v>654</v>
      </c>
      <c r="X96" s="52" t="str">
        <f t="shared" si="7"/>
        <v>Key-MET-96</v>
      </c>
      <c r="Y96" s="44" t="s">
        <v>992</v>
      </c>
      <c r="Z96" s="61" t="s">
        <v>7</v>
      </c>
      <c r="AA96" s="44" t="s">
        <v>993</v>
      </c>
      <c r="AB96" s="61" t="s">
        <v>7</v>
      </c>
      <c r="AC96" s="44" t="s">
        <v>7</v>
      </c>
      <c r="AD96" s="44" t="s">
        <v>7</v>
      </c>
    </row>
    <row r="97" spans="1:30" ht="6.75" customHeight="1" x14ac:dyDescent="0.25">
      <c r="A97" s="54">
        <v>97</v>
      </c>
      <c r="B97" s="73" t="s">
        <v>1045</v>
      </c>
      <c r="C97" s="74" t="s">
        <v>78</v>
      </c>
      <c r="D97" s="74" t="s">
        <v>506</v>
      </c>
      <c r="E97" s="74" t="s">
        <v>611</v>
      </c>
      <c r="F97" s="74" t="s">
        <v>602</v>
      </c>
      <c r="G97" s="55" t="s">
        <v>7</v>
      </c>
      <c r="H97" s="55" t="s">
        <v>7</v>
      </c>
      <c r="I97" s="55" t="s">
        <v>7</v>
      </c>
      <c r="J97" s="55" t="s">
        <v>7</v>
      </c>
      <c r="K97" s="55" t="s">
        <v>7</v>
      </c>
      <c r="L97" s="49" t="str">
        <f t="shared" si="36"/>
        <v>Estrutura.Principal</v>
      </c>
      <c r="M97" s="49" t="str">
        <f t="shared" si="11"/>
        <v>Sustentação</v>
      </c>
      <c r="N97" s="49" t="str">
        <f t="shared" si="11"/>
        <v>Soldados</v>
      </c>
      <c r="O97" s="49" t="str">
        <f t="shared" si="11"/>
        <v>Viga Soldada</v>
      </c>
      <c r="P97" s="49" t="s">
        <v>604</v>
      </c>
      <c r="Q97" s="49" t="s">
        <v>674</v>
      </c>
      <c r="R97" s="44" t="s">
        <v>1068</v>
      </c>
      <c r="S97" s="75" t="s">
        <v>7</v>
      </c>
      <c r="T97" s="44" t="str">
        <f t="shared" si="12"/>
        <v>Estrutura Principal</v>
      </c>
      <c r="U97" s="44" t="str">
        <f t="shared" si="13"/>
        <v>Sustentação</v>
      </c>
      <c r="V97" s="44" t="str">
        <f t="shared" si="14"/>
        <v>Soldados</v>
      </c>
      <c r="W97" s="44" t="s">
        <v>654</v>
      </c>
      <c r="X97" s="52" t="str">
        <f t="shared" si="7"/>
        <v>Key-MET-97</v>
      </c>
      <c r="Y97" s="44" t="s">
        <v>994</v>
      </c>
      <c r="Z97" s="61" t="s">
        <v>7</v>
      </c>
      <c r="AA97" s="44" t="s">
        <v>995</v>
      </c>
      <c r="AB97" s="61" t="s">
        <v>7</v>
      </c>
      <c r="AC97" s="44" t="s">
        <v>7</v>
      </c>
      <c r="AD97" s="44" t="s">
        <v>7</v>
      </c>
    </row>
    <row r="98" spans="1:30" ht="6.75" customHeight="1" x14ac:dyDescent="0.25">
      <c r="A98" s="54">
        <v>98</v>
      </c>
      <c r="B98" s="73" t="s">
        <v>1045</v>
      </c>
      <c r="C98" s="74" t="s">
        <v>78</v>
      </c>
      <c r="D98" s="74" t="s">
        <v>506</v>
      </c>
      <c r="E98" s="74" t="s">
        <v>610</v>
      </c>
      <c r="F98" s="74" t="s">
        <v>607</v>
      </c>
      <c r="G98" s="55" t="s">
        <v>7</v>
      </c>
      <c r="H98" s="55" t="s">
        <v>7</v>
      </c>
      <c r="I98" s="55" t="s">
        <v>7</v>
      </c>
      <c r="J98" s="55" t="s">
        <v>7</v>
      </c>
      <c r="K98" s="55" t="s">
        <v>7</v>
      </c>
      <c r="L98" s="49" t="str">
        <f t="shared" ref="L98:L110" si="37">_xlfn.CONCAT(SUBSTITUTE(C98,"1.",""))</f>
        <v>Estrutura.Principal</v>
      </c>
      <c r="M98" s="49" t="str">
        <f t="shared" ref="M98:M110" si="38">_xlfn.CONCAT(SUBSTITUTE(D98,"."," "))</f>
        <v>Sustentação</v>
      </c>
      <c r="N98" s="49" t="str">
        <f t="shared" ref="N98:N110" si="39">_xlfn.CONCAT(SUBSTITUTE(E98,"."," "))</f>
        <v>Laminados</v>
      </c>
      <c r="O98" s="49" t="str">
        <f t="shared" ref="O98:O110" si="40">_xlfn.CONCAT(SUBSTITUTE(F98,"."," "))</f>
        <v>Perfil Laminado I</v>
      </c>
      <c r="P98" s="49" t="s">
        <v>635</v>
      </c>
      <c r="Q98" s="49" t="s">
        <v>675</v>
      </c>
      <c r="R98" s="44" t="s">
        <v>1069</v>
      </c>
      <c r="S98" s="75" t="s">
        <v>7</v>
      </c>
      <c r="T98" s="44" t="str">
        <f t="shared" si="12"/>
        <v>Estrutura Principal</v>
      </c>
      <c r="U98" s="44" t="str">
        <f t="shared" si="13"/>
        <v>Sustentação</v>
      </c>
      <c r="V98" s="44" t="str">
        <f t="shared" si="14"/>
        <v>Laminados</v>
      </c>
      <c r="W98" s="44" t="s">
        <v>654</v>
      </c>
      <c r="X98" s="52" t="str">
        <f t="shared" si="7"/>
        <v>Key-MET-98</v>
      </c>
      <c r="Y98" s="44" t="s">
        <v>994</v>
      </c>
      <c r="Z98" s="61" t="s">
        <v>7</v>
      </c>
      <c r="AA98" s="44" t="s">
        <v>995</v>
      </c>
      <c r="AB98" s="61" t="s">
        <v>7</v>
      </c>
      <c r="AC98" s="44" t="s">
        <v>7</v>
      </c>
      <c r="AD98" s="44" t="s">
        <v>7</v>
      </c>
    </row>
    <row r="99" spans="1:30" ht="6.75" customHeight="1" x14ac:dyDescent="0.25">
      <c r="A99" s="54">
        <v>99</v>
      </c>
      <c r="B99" s="73" t="s">
        <v>1045</v>
      </c>
      <c r="C99" s="74" t="s">
        <v>78</v>
      </c>
      <c r="D99" s="74" t="s">
        <v>506</v>
      </c>
      <c r="E99" s="74" t="s">
        <v>610</v>
      </c>
      <c r="F99" s="74" t="s">
        <v>608</v>
      </c>
      <c r="G99" s="55" t="s">
        <v>7</v>
      </c>
      <c r="H99" s="55" t="s">
        <v>7</v>
      </c>
      <c r="I99" s="55" t="s">
        <v>7</v>
      </c>
      <c r="J99" s="55" t="s">
        <v>7</v>
      </c>
      <c r="K99" s="55" t="s">
        <v>7</v>
      </c>
      <c r="L99" s="49" t="str">
        <f t="shared" si="37"/>
        <v>Estrutura.Principal</v>
      </c>
      <c r="M99" s="49" t="str">
        <f t="shared" si="38"/>
        <v>Sustentação</v>
      </c>
      <c r="N99" s="49" t="str">
        <f t="shared" si="39"/>
        <v>Laminados</v>
      </c>
      <c r="O99" s="49" t="str">
        <f t="shared" si="40"/>
        <v>Perfil Laminado HP</v>
      </c>
      <c r="P99" s="49" t="s">
        <v>636</v>
      </c>
      <c r="Q99" s="49" t="s">
        <v>676</v>
      </c>
      <c r="R99" s="44" t="s">
        <v>1070</v>
      </c>
      <c r="S99" s="75" t="s">
        <v>7</v>
      </c>
      <c r="T99" s="44" t="str">
        <f t="shared" si="12"/>
        <v>Estrutura Principal</v>
      </c>
      <c r="U99" s="44" t="str">
        <f t="shared" si="13"/>
        <v>Sustentação</v>
      </c>
      <c r="V99" s="44" t="str">
        <f t="shared" si="14"/>
        <v>Laminados</v>
      </c>
      <c r="W99" s="44" t="s">
        <v>654</v>
      </c>
      <c r="X99" s="52" t="str">
        <f t="shared" si="7"/>
        <v>Key-MET-99</v>
      </c>
      <c r="Y99" s="44" t="s">
        <v>1249</v>
      </c>
      <c r="Z99" s="61" t="s">
        <v>7</v>
      </c>
      <c r="AA99" s="44" t="s">
        <v>1248</v>
      </c>
      <c r="AB99" s="61" t="s">
        <v>7</v>
      </c>
      <c r="AC99" s="44" t="s">
        <v>7</v>
      </c>
      <c r="AD99" s="44" t="s">
        <v>7</v>
      </c>
    </row>
    <row r="100" spans="1:30" ht="6.75" customHeight="1" x14ac:dyDescent="0.25">
      <c r="A100" s="54">
        <v>100</v>
      </c>
      <c r="B100" s="73" t="s">
        <v>1045</v>
      </c>
      <c r="C100" s="74" t="s">
        <v>78</v>
      </c>
      <c r="D100" s="74" t="s">
        <v>506</v>
      </c>
      <c r="E100" s="74" t="s">
        <v>610</v>
      </c>
      <c r="F100" s="74" t="s">
        <v>609</v>
      </c>
      <c r="G100" s="55" t="s">
        <v>7</v>
      </c>
      <c r="H100" s="55" t="s">
        <v>7</v>
      </c>
      <c r="I100" s="55" t="s">
        <v>7</v>
      </c>
      <c r="J100" s="55" t="s">
        <v>7</v>
      </c>
      <c r="K100" s="55" t="s">
        <v>7</v>
      </c>
      <c r="L100" s="49" t="str">
        <f t="shared" si="37"/>
        <v>Estrutura.Principal</v>
      </c>
      <c r="M100" s="49" t="str">
        <f t="shared" si="38"/>
        <v>Sustentação</v>
      </c>
      <c r="N100" s="49" t="str">
        <f t="shared" si="39"/>
        <v>Laminados</v>
      </c>
      <c r="O100" s="49" t="str">
        <f t="shared" si="40"/>
        <v>Perfil Laminado W</v>
      </c>
      <c r="P100" s="49" t="s">
        <v>637</v>
      </c>
      <c r="Q100" s="49" t="s">
        <v>677</v>
      </c>
      <c r="R100" s="44" t="s">
        <v>1071</v>
      </c>
      <c r="S100" s="75" t="s">
        <v>7</v>
      </c>
      <c r="T100" s="44" t="str">
        <f t="shared" si="12"/>
        <v>Estrutura Principal</v>
      </c>
      <c r="U100" s="44" t="str">
        <f t="shared" si="13"/>
        <v>Sustentação</v>
      </c>
      <c r="V100" s="44" t="str">
        <f t="shared" si="14"/>
        <v>Laminados</v>
      </c>
      <c r="W100" s="44" t="s">
        <v>654</v>
      </c>
      <c r="X100" s="52" t="str">
        <f t="shared" si="7"/>
        <v>Key-MET-100</v>
      </c>
      <c r="Y100" s="44" t="s">
        <v>994</v>
      </c>
      <c r="Z100" s="61" t="s">
        <v>7</v>
      </c>
      <c r="AA100" s="44" t="s">
        <v>995</v>
      </c>
      <c r="AB100" s="61" t="s">
        <v>7</v>
      </c>
      <c r="AC100" s="44" t="s">
        <v>7</v>
      </c>
      <c r="AD100" s="44" t="s">
        <v>7</v>
      </c>
    </row>
    <row r="101" spans="1:30" ht="6.75" customHeight="1" x14ac:dyDescent="0.25">
      <c r="A101" s="54">
        <v>101</v>
      </c>
      <c r="B101" s="73" t="s">
        <v>1045</v>
      </c>
      <c r="C101" s="74" t="s">
        <v>78</v>
      </c>
      <c r="D101" s="74" t="s">
        <v>830</v>
      </c>
      <c r="E101" s="74" t="s">
        <v>815</v>
      </c>
      <c r="F101" s="74" t="s">
        <v>818</v>
      </c>
      <c r="G101" s="55" t="s">
        <v>7</v>
      </c>
      <c r="H101" s="55" t="s">
        <v>7</v>
      </c>
      <c r="I101" s="58" t="s">
        <v>842</v>
      </c>
      <c r="J101" s="55" t="s">
        <v>7</v>
      </c>
      <c r="K101" s="55" t="s">
        <v>7</v>
      </c>
      <c r="L101" s="49" t="str">
        <f t="shared" si="37"/>
        <v>Estrutura.Principal</v>
      </c>
      <c r="M101" s="49" t="str">
        <f t="shared" si="38"/>
        <v>Perfis LSTUZ</v>
      </c>
      <c r="N101" s="49" t="str">
        <f t="shared" si="39"/>
        <v>Perfis L</v>
      </c>
      <c r="O101" s="49" t="str">
        <f t="shared" si="40"/>
        <v>Cantoneira</v>
      </c>
      <c r="P101" s="49" t="s">
        <v>714</v>
      </c>
      <c r="Q101" s="49" t="s">
        <v>709</v>
      </c>
      <c r="R101" s="44" t="s">
        <v>1072</v>
      </c>
      <c r="S101" s="75" t="s">
        <v>7</v>
      </c>
      <c r="T101" s="44" t="str">
        <f t="shared" si="12"/>
        <v>Estrutura Principal</v>
      </c>
      <c r="U101" s="44" t="str">
        <f t="shared" si="13"/>
        <v>Perfis LSTUZ</v>
      </c>
      <c r="V101" s="44" t="str">
        <f t="shared" si="14"/>
        <v>Perfis L</v>
      </c>
      <c r="W101" s="44" t="s">
        <v>654</v>
      </c>
      <c r="X101" s="52" t="str">
        <f t="shared" si="7"/>
        <v>Key-MET-101</v>
      </c>
      <c r="Y101" s="44" t="s">
        <v>994</v>
      </c>
      <c r="Z101" s="61" t="s">
        <v>7</v>
      </c>
      <c r="AA101" s="44" t="s">
        <v>995</v>
      </c>
      <c r="AB101" s="61" t="s">
        <v>7</v>
      </c>
      <c r="AC101" s="44" t="s">
        <v>7</v>
      </c>
      <c r="AD101" s="44" t="s">
        <v>7</v>
      </c>
    </row>
    <row r="102" spans="1:30" ht="6.75" customHeight="1" x14ac:dyDescent="0.25">
      <c r="A102" s="54">
        <v>102</v>
      </c>
      <c r="B102" s="73" t="s">
        <v>1045</v>
      </c>
      <c r="C102" s="74" t="s">
        <v>78</v>
      </c>
      <c r="D102" s="74" t="s">
        <v>830</v>
      </c>
      <c r="E102" s="74" t="s">
        <v>815</v>
      </c>
      <c r="F102" s="74" t="s">
        <v>816</v>
      </c>
      <c r="G102" s="55" t="s">
        <v>7</v>
      </c>
      <c r="H102" s="55" t="s">
        <v>7</v>
      </c>
      <c r="I102" s="55" t="s">
        <v>7</v>
      </c>
      <c r="J102" s="55" t="s">
        <v>7</v>
      </c>
      <c r="K102" s="55" t="s">
        <v>7</v>
      </c>
      <c r="L102" s="49" t="str">
        <f t="shared" si="37"/>
        <v>Estrutura.Principal</v>
      </c>
      <c r="M102" s="49" t="str">
        <f t="shared" si="38"/>
        <v>Perfis LSTUZ</v>
      </c>
      <c r="N102" s="49" t="str">
        <f t="shared" si="39"/>
        <v>Perfis L</v>
      </c>
      <c r="O102" s="49" t="str">
        <f t="shared" si="40"/>
        <v>Cantoneira Abas Desiguais</v>
      </c>
      <c r="P102" s="49" t="s">
        <v>715</v>
      </c>
      <c r="Q102" s="49" t="s">
        <v>710</v>
      </c>
      <c r="R102" s="44" t="s">
        <v>1073</v>
      </c>
      <c r="S102" s="75" t="s">
        <v>7</v>
      </c>
      <c r="T102" s="44" t="str">
        <f t="shared" si="12"/>
        <v>Estrutura Principal</v>
      </c>
      <c r="U102" s="44" t="str">
        <f t="shared" si="13"/>
        <v>Perfis LSTUZ</v>
      </c>
      <c r="V102" s="44" t="str">
        <f t="shared" si="14"/>
        <v>Perfis L</v>
      </c>
      <c r="W102" s="44" t="s">
        <v>654</v>
      </c>
      <c r="X102" s="52" t="str">
        <f t="shared" si="7"/>
        <v>Key-MET-102</v>
      </c>
      <c r="Y102" s="44" t="s">
        <v>994</v>
      </c>
      <c r="Z102" s="61" t="s">
        <v>7</v>
      </c>
      <c r="AA102" s="44" t="s">
        <v>995</v>
      </c>
      <c r="AB102" s="61" t="s">
        <v>7</v>
      </c>
      <c r="AC102" s="44" t="s">
        <v>7</v>
      </c>
      <c r="AD102" s="44" t="s">
        <v>7</v>
      </c>
    </row>
    <row r="103" spans="1:30" ht="6.75" customHeight="1" x14ac:dyDescent="0.25">
      <c r="A103" s="54">
        <v>103</v>
      </c>
      <c r="B103" s="73" t="s">
        <v>1045</v>
      </c>
      <c r="C103" s="74" t="s">
        <v>78</v>
      </c>
      <c r="D103" s="74" t="s">
        <v>830</v>
      </c>
      <c r="E103" s="74" t="s">
        <v>814</v>
      </c>
      <c r="F103" s="74" t="s">
        <v>817</v>
      </c>
      <c r="G103" s="55" t="s">
        <v>7</v>
      </c>
      <c r="H103" s="55" t="s">
        <v>7</v>
      </c>
      <c r="I103" s="55" t="s">
        <v>7</v>
      </c>
      <c r="J103" s="55" t="s">
        <v>7</v>
      </c>
      <c r="K103" s="55" t="s">
        <v>7</v>
      </c>
      <c r="L103" s="49" t="str">
        <f t="shared" si="37"/>
        <v>Estrutura.Principal</v>
      </c>
      <c r="M103" s="49" t="str">
        <f t="shared" si="38"/>
        <v>Perfis LSTUZ</v>
      </c>
      <c r="N103" s="49" t="str">
        <f t="shared" si="39"/>
        <v>Perfis S</v>
      </c>
      <c r="O103" s="49" t="str">
        <f t="shared" si="40"/>
        <v>Perfil Sigma</v>
      </c>
      <c r="P103" s="49" t="s">
        <v>819</v>
      </c>
      <c r="Q103" s="49" t="s">
        <v>820</v>
      </c>
      <c r="R103" s="44" t="s">
        <v>1074</v>
      </c>
      <c r="S103" s="75" t="s">
        <v>7</v>
      </c>
      <c r="T103" s="44" t="str">
        <f t="shared" si="12"/>
        <v>Estrutura Principal</v>
      </c>
      <c r="U103" s="44" t="str">
        <f t="shared" si="13"/>
        <v>Perfis LSTUZ</v>
      </c>
      <c r="V103" s="44" t="str">
        <f t="shared" si="14"/>
        <v>Perfis S</v>
      </c>
      <c r="W103" s="44" t="s">
        <v>654</v>
      </c>
      <c r="X103" s="52" t="str">
        <f t="shared" si="7"/>
        <v>Key-MET-103</v>
      </c>
      <c r="Y103" s="44" t="s">
        <v>994</v>
      </c>
      <c r="Z103" s="61" t="s">
        <v>7</v>
      </c>
      <c r="AA103" s="44" t="s">
        <v>995</v>
      </c>
      <c r="AB103" s="61" t="s">
        <v>7</v>
      </c>
      <c r="AC103" s="44" t="s">
        <v>7</v>
      </c>
      <c r="AD103" s="44" t="s">
        <v>7</v>
      </c>
    </row>
    <row r="104" spans="1:30" ht="6.75" customHeight="1" x14ac:dyDescent="0.25">
      <c r="A104" s="54">
        <v>104</v>
      </c>
      <c r="B104" s="73" t="s">
        <v>1045</v>
      </c>
      <c r="C104" s="74" t="s">
        <v>78</v>
      </c>
      <c r="D104" s="74" t="s">
        <v>830</v>
      </c>
      <c r="E104" s="74" t="s">
        <v>650</v>
      </c>
      <c r="F104" s="74" t="s">
        <v>73</v>
      </c>
      <c r="G104" s="55" t="s">
        <v>7</v>
      </c>
      <c r="H104" s="55" t="s">
        <v>7</v>
      </c>
      <c r="I104" s="55" t="s">
        <v>7</v>
      </c>
      <c r="J104" s="55" t="s">
        <v>7</v>
      </c>
      <c r="K104" s="55" t="s">
        <v>7</v>
      </c>
      <c r="L104" s="49" t="str">
        <f t="shared" ref="L104" si="41">_xlfn.CONCAT(SUBSTITUTE(C104,"1.",""))</f>
        <v>Estrutura.Principal</v>
      </c>
      <c r="M104" s="49" t="str">
        <f t="shared" ref="M104" si="42">_xlfn.CONCAT(SUBSTITUTE(D104,"."," "))</f>
        <v>Perfis LSTUZ</v>
      </c>
      <c r="N104" s="49" t="str">
        <f t="shared" ref="N104" si="43">_xlfn.CONCAT(SUBSTITUTE(E104,"."," "))</f>
        <v>Perfis T</v>
      </c>
      <c r="O104" s="49" t="str">
        <f t="shared" ref="O104" si="44">_xlfn.CONCAT(SUBSTITUTE(F104,"."," "))</f>
        <v>Perfil T</v>
      </c>
      <c r="P104" s="49" t="s">
        <v>711</v>
      </c>
      <c r="Q104" s="49" t="s">
        <v>706</v>
      </c>
      <c r="R104" s="44" t="s">
        <v>1075</v>
      </c>
      <c r="S104" s="75" t="s">
        <v>7</v>
      </c>
      <c r="T104" s="44" t="str">
        <f t="shared" si="12"/>
        <v>Estrutura Principal</v>
      </c>
      <c r="U104" s="44" t="str">
        <f t="shared" si="13"/>
        <v>Perfis LSTUZ</v>
      </c>
      <c r="V104" s="44" t="str">
        <f t="shared" si="14"/>
        <v>Perfis T</v>
      </c>
      <c r="W104" s="44" t="s">
        <v>654</v>
      </c>
      <c r="X104" s="52" t="str">
        <f t="shared" si="7"/>
        <v>Key-MET-104</v>
      </c>
      <c r="Y104" s="44" t="s">
        <v>994</v>
      </c>
      <c r="Z104" s="61" t="s">
        <v>7</v>
      </c>
      <c r="AA104" s="44" t="s">
        <v>995</v>
      </c>
      <c r="AB104" s="61" t="s">
        <v>7</v>
      </c>
      <c r="AC104" s="44" t="s">
        <v>7</v>
      </c>
      <c r="AD104" s="44" t="s">
        <v>7</v>
      </c>
    </row>
    <row r="105" spans="1:30" ht="6.75" customHeight="1" x14ac:dyDescent="0.25">
      <c r="A105" s="54">
        <v>105</v>
      </c>
      <c r="B105" s="73" t="s">
        <v>1045</v>
      </c>
      <c r="C105" s="74" t="s">
        <v>78</v>
      </c>
      <c r="D105" s="74" t="s">
        <v>830</v>
      </c>
      <c r="E105" s="74" t="s">
        <v>651</v>
      </c>
      <c r="F105" s="74" t="s">
        <v>72</v>
      </c>
      <c r="G105" s="55" t="s">
        <v>7</v>
      </c>
      <c r="H105" s="55" t="s">
        <v>7</v>
      </c>
      <c r="I105" s="55" t="s">
        <v>7</v>
      </c>
      <c r="J105" s="55" t="s">
        <v>7</v>
      </c>
      <c r="K105" s="55" t="s">
        <v>7</v>
      </c>
      <c r="L105" s="49" t="str">
        <f t="shared" si="37"/>
        <v>Estrutura.Principal</v>
      </c>
      <c r="M105" s="49" t="str">
        <f t="shared" si="38"/>
        <v>Perfis LSTUZ</v>
      </c>
      <c r="N105" s="49" t="str">
        <f t="shared" si="39"/>
        <v>Perfis U</v>
      </c>
      <c r="O105" s="49" t="str">
        <f t="shared" si="40"/>
        <v>Perfil U</v>
      </c>
      <c r="P105" s="49" t="s">
        <v>712</v>
      </c>
      <c r="Q105" s="49" t="s">
        <v>707</v>
      </c>
      <c r="R105" s="44" t="s">
        <v>1076</v>
      </c>
      <c r="S105" s="75" t="s">
        <v>7</v>
      </c>
      <c r="T105" s="44" t="str">
        <f t="shared" si="12"/>
        <v>Estrutura Principal</v>
      </c>
      <c r="U105" s="44" t="str">
        <f t="shared" si="13"/>
        <v>Perfis LSTUZ</v>
      </c>
      <c r="V105" s="44" t="str">
        <f t="shared" si="14"/>
        <v>Perfis U</v>
      </c>
      <c r="W105" s="44" t="s">
        <v>654</v>
      </c>
      <c r="X105" s="52" t="str">
        <f t="shared" si="7"/>
        <v>Key-MET-105</v>
      </c>
      <c r="Y105" s="44" t="s">
        <v>994</v>
      </c>
      <c r="Z105" s="61" t="s">
        <v>7</v>
      </c>
      <c r="AA105" s="44" t="s">
        <v>995</v>
      </c>
      <c r="AB105" s="61" t="s">
        <v>7</v>
      </c>
      <c r="AC105" s="44" t="s">
        <v>7</v>
      </c>
      <c r="AD105" s="44" t="s">
        <v>7</v>
      </c>
    </row>
    <row r="106" spans="1:30" ht="6.75" customHeight="1" x14ac:dyDescent="0.25">
      <c r="A106" s="54">
        <v>106</v>
      </c>
      <c r="B106" s="73" t="s">
        <v>1045</v>
      </c>
      <c r="C106" s="74" t="s">
        <v>78</v>
      </c>
      <c r="D106" s="74" t="s">
        <v>830</v>
      </c>
      <c r="E106" s="74" t="s">
        <v>651</v>
      </c>
      <c r="F106" s="74" t="s">
        <v>807</v>
      </c>
      <c r="G106" s="55" t="s">
        <v>7</v>
      </c>
      <c r="H106" s="55" t="s">
        <v>7</v>
      </c>
      <c r="I106" s="55" t="s">
        <v>7</v>
      </c>
      <c r="J106" s="55" t="s">
        <v>7</v>
      </c>
      <c r="K106" s="55" t="s">
        <v>7</v>
      </c>
      <c r="L106" s="49" t="str">
        <f t="shared" si="37"/>
        <v>Estrutura.Principal</v>
      </c>
      <c r="M106" s="49" t="str">
        <f t="shared" si="38"/>
        <v>Perfis LSTUZ</v>
      </c>
      <c r="N106" s="49" t="str">
        <f t="shared" si="39"/>
        <v>Perfis U</v>
      </c>
      <c r="O106" s="49" t="str">
        <f t="shared" si="40"/>
        <v>Perfil UE</v>
      </c>
      <c r="P106" s="49" t="s">
        <v>713</v>
      </c>
      <c r="Q106" s="49" t="s">
        <v>708</v>
      </c>
      <c r="R106" s="44" t="s">
        <v>1077</v>
      </c>
      <c r="S106" s="75" t="s">
        <v>7</v>
      </c>
      <c r="T106" s="44" t="str">
        <f t="shared" si="12"/>
        <v>Estrutura Principal</v>
      </c>
      <c r="U106" s="44" t="str">
        <f t="shared" si="13"/>
        <v>Perfis LSTUZ</v>
      </c>
      <c r="V106" s="44" t="str">
        <f t="shared" si="14"/>
        <v>Perfis U</v>
      </c>
      <c r="W106" s="44" t="s">
        <v>654</v>
      </c>
      <c r="X106" s="52" t="str">
        <f t="shared" si="7"/>
        <v>Key-MET-106</v>
      </c>
      <c r="Y106" s="44" t="s">
        <v>994</v>
      </c>
      <c r="Z106" s="61" t="s">
        <v>7</v>
      </c>
      <c r="AA106" s="44" t="s">
        <v>995</v>
      </c>
      <c r="AB106" s="61" t="s">
        <v>7</v>
      </c>
      <c r="AC106" s="44" t="s">
        <v>7</v>
      </c>
      <c r="AD106" s="44" t="s">
        <v>7</v>
      </c>
    </row>
    <row r="107" spans="1:30" ht="6.75" customHeight="1" x14ac:dyDescent="0.25">
      <c r="A107" s="54">
        <v>107</v>
      </c>
      <c r="B107" s="73" t="s">
        <v>1045</v>
      </c>
      <c r="C107" s="74" t="s">
        <v>78</v>
      </c>
      <c r="D107" s="74" t="s">
        <v>830</v>
      </c>
      <c r="E107" s="74" t="s">
        <v>803</v>
      </c>
      <c r="F107" s="74" t="s">
        <v>804</v>
      </c>
      <c r="G107" s="55" t="s">
        <v>7</v>
      </c>
      <c r="H107" s="55" t="s">
        <v>7</v>
      </c>
      <c r="I107" s="55" t="s">
        <v>7</v>
      </c>
      <c r="J107" s="55" t="s">
        <v>7</v>
      </c>
      <c r="K107" s="55" t="s">
        <v>7</v>
      </c>
      <c r="L107" s="49" t="str">
        <f t="shared" si="37"/>
        <v>Estrutura.Principal</v>
      </c>
      <c r="M107" s="49" t="str">
        <f t="shared" si="38"/>
        <v>Perfis LSTUZ</v>
      </c>
      <c r="N107" s="49" t="str">
        <f t="shared" si="39"/>
        <v>Perfis Z</v>
      </c>
      <c r="O107" s="49" t="str">
        <f t="shared" si="40"/>
        <v>Perfil Z</v>
      </c>
      <c r="P107" s="49" t="s">
        <v>805</v>
      </c>
      <c r="Q107" s="49" t="s">
        <v>806</v>
      </c>
      <c r="R107" s="44" t="s">
        <v>1078</v>
      </c>
      <c r="S107" s="75" t="s">
        <v>7</v>
      </c>
      <c r="T107" s="44" t="str">
        <f t="shared" si="12"/>
        <v>Estrutura Principal</v>
      </c>
      <c r="U107" s="44" t="str">
        <f t="shared" si="13"/>
        <v>Perfis LSTUZ</v>
      </c>
      <c r="V107" s="44" t="str">
        <f t="shared" si="14"/>
        <v>Perfis Z</v>
      </c>
      <c r="W107" s="44" t="s">
        <v>654</v>
      </c>
      <c r="X107" s="52" t="str">
        <f t="shared" si="7"/>
        <v>Key-MET-107</v>
      </c>
      <c r="Y107" s="44" t="s">
        <v>994</v>
      </c>
      <c r="Z107" s="61" t="s">
        <v>7</v>
      </c>
      <c r="AA107" s="44" t="s">
        <v>995</v>
      </c>
      <c r="AB107" s="61" t="s">
        <v>7</v>
      </c>
      <c r="AC107" s="44" t="s">
        <v>7</v>
      </c>
      <c r="AD107" s="44" t="s">
        <v>7</v>
      </c>
    </row>
    <row r="108" spans="1:30" ht="6.75" customHeight="1" x14ac:dyDescent="0.25">
      <c r="A108" s="54">
        <v>108</v>
      </c>
      <c r="B108" s="73" t="s">
        <v>1045</v>
      </c>
      <c r="C108" s="74" t="s">
        <v>78</v>
      </c>
      <c r="D108" s="74" t="s">
        <v>830</v>
      </c>
      <c r="E108" s="74" t="s">
        <v>832</v>
      </c>
      <c r="F108" s="74" t="s">
        <v>841</v>
      </c>
      <c r="G108" s="55" t="s">
        <v>7</v>
      </c>
      <c r="H108" s="55" t="s">
        <v>7</v>
      </c>
      <c r="I108" s="55" t="s">
        <v>7</v>
      </c>
      <c r="J108" s="55" t="s">
        <v>7</v>
      </c>
      <c r="K108" s="55" t="s">
        <v>7</v>
      </c>
      <c r="L108" s="49" t="str">
        <f t="shared" si="37"/>
        <v>Estrutura.Principal</v>
      </c>
      <c r="M108" s="49" t="str">
        <f t="shared" si="38"/>
        <v>Perfis LSTUZ</v>
      </c>
      <c r="N108" s="49" t="str">
        <f t="shared" si="39"/>
        <v>Perfis Tubulares</v>
      </c>
      <c r="O108" s="49" t="str">
        <f t="shared" si="40"/>
        <v>Seção Circular</v>
      </c>
      <c r="P108" s="49" t="s">
        <v>833</v>
      </c>
      <c r="Q108" s="49" t="s">
        <v>836</v>
      </c>
      <c r="R108" s="44" t="s">
        <v>1079</v>
      </c>
      <c r="S108" s="75" t="s">
        <v>7</v>
      </c>
      <c r="T108" s="44" t="str">
        <f t="shared" si="12"/>
        <v>Estrutura Principal</v>
      </c>
      <c r="U108" s="44" t="str">
        <f t="shared" si="13"/>
        <v>Perfis LSTUZ</v>
      </c>
      <c r="V108" s="44" t="str">
        <f t="shared" si="14"/>
        <v>Perfis Tubulares</v>
      </c>
      <c r="W108" s="44" t="s">
        <v>654</v>
      </c>
      <c r="X108" s="52" t="str">
        <f t="shared" si="7"/>
        <v>Key-MET-108</v>
      </c>
      <c r="Y108" s="44" t="s">
        <v>994</v>
      </c>
      <c r="Z108" s="61" t="s">
        <v>7</v>
      </c>
      <c r="AA108" s="44" t="s">
        <v>995</v>
      </c>
      <c r="AB108" s="61" t="s">
        <v>7</v>
      </c>
      <c r="AC108" s="44" t="s">
        <v>7</v>
      </c>
      <c r="AD108" s="44" t="s">
        <v>7</v>
      </c>
    </row>
    <row r="109" spans="1:30" ht="6.75" customHeight="1" x14ac:dyDescent="0.25">
      <c r="A109" s="54">
        <v>109</v>
      </c>
      <c r="B109" s="73" t="s">
        <v>1045</v>
      </c>
      <c r="C109" s="74" t="s">
        <v>78</v>
      </c>
      <c r="D109" s="74" t="s">
        <v>830</v>
      </c>
      <c r="E109" s="74" t="s">
        <v>832</v>
      </c>
      <c r="F109" s="74" t="s">
        <v>839</v>
      </c>
      <c r="G109" s="55" t="s">
        <v>7</v>
      </c>
      <c r="H109" s="55" t="s">
        <v>7</v>
      </c>
      <c r="I109" s="55" t="s">
        <v>7</v>
      </c>
      <c r="J109" s="55" t="s">
        <v>7</v>
      </c>
      <c r="K109" s="55" t="s">
        <v>7</v>
      </c>
      <c r="L109" s="49" t="str">
        <f t="shared" ref="L109" si="45">_xlfn.CONCAT(SUBSTITUTE(C109,"1.",""))</f>
        <v>Estrutura.Principal</v>
      </c>
      <c r="M109" s="49" t="str">
        <f t="shared" ref="M109" si="46">_xlfn.CONCAT(SUBSTITUTE(D109,"."," "))</f>
        <v>Perfis LSTUZ</v>
      </c>
      <c r="N109" s="49" t="str">
        <f t="shared" ref="N109" si="47">_xlfn.CONCAT(SUBSTITUTE(E109,"."," "))</f>
        <v>Perfis Tubulares</v>
      </c>
      <c r="O109" s="49" t="str">
        <f t="shared" ref="O109" si="48">_xlfn.CONCAT(SUBSTITUTE(F109,"."," "))</f>
        <v>Seção Quadrada</v>
      </c>
      <c r="P109" s="49" t="s">
        <v>834</v>
      </c>
      <c r="Q109" s="49" t="s">
        <v>835</v>
      </c>
      <c r="R109" s="44" t="s">
        <v>1080</v>
      </c>
      <c r="S109" s="75" t="s">
        <v>7</v>
      </c>
      <c r="T109" s="44" t="str">
        <f t="shared" si="12"/>
        <v>Estrutura Principal</v>
      </c>
      <c r="U109" s="44" t="str">
        <f t="shared" si="13"/>
        <v>Perfis LSTUZ</v>
      </c>
      <c r="V109" s="44" t="str">
        <f t="shared" si="14"/>
        <v>Perfis Tubulares</v>
      </c>
      <c r="W109" s="44" t="s">
        <v>654</v>
      </c>
      <c r="X109" s="52" t="str">
        <f t="shared" si="7"/>
        <v>Key-MET-109</v>
      </c>
      <c r="Y109" s="44" t="s">
        <v>994</v>
      </c>
      <c r="Z109" s="61" t="s">
        <v>7</v>
      </c>
      <c r="AA109" s="44" t="s">
        <v>995</v>
      </c>
      <c r="AB109" s="61" t="s">
        <v>7</v>
      </c>
      <c r="AC109" s="44" t="s">
        <v>7</v>
      </c>
      <c r="AD109" s="44" t="s">
        <v>7</v>
      </c>
    </row>
    <row r="110" spans="1:30" ht="6.75" customHeight="1" x14ac:dyDescent="0.25">
      <c r="A110" s="54">
        <v>110</v>
      </c>
      <c r="B110" s="73" t="s">
        <v>1045</v>
      </c>
      <c r="C110" s="74" t="s">
        <v>78</v>
      </c>
      <c r="D110" s="74" t="s">
        <v>830</v>
      </c>
      <c r="E110" s="74" t="s">
        <v>832</v>
      </c>
      <c r="F110" s="74" t="s">
        <v>840</v>
      </c>
      <c r="G110" s="55" t="s">
        <v>7</v>
      </c>
      <c r="H110" s="55" t="s">
        <v>7</v>
      </c>
      <c r="I110" s="55" t="s">
        <v>7</v>
      </c>
      <c r="J110" s="55" t="s">
        <v>7</v>
      </c>
      <c r="K110" s="55" t="s">
        <v>7</v>
      </c>
      <c r="L110" s="49" t="str">
        <f t="shared" si="37"/>
        <v>Estrutura.Principal</v>
      </c>
      <c r="M110" s="49" t="str">
        <f t="shared" si="38"/>
        <v>Perfis LSTUZ</v>
      </c>
      <c r="N110" s="49" t="str">
        <f t="shared" si="39"/>
        <v>Perfis Tubulares</v>
      </c>
      <c r="O110" s="49" t="str">
        <f t="shared" si="40"/>
        <v>Seção Retangular</v>
      </c>
      <c r="P110" s="49" t="s">
        <v>838</v>
      </c>
      <c r="Q110" s="49" t="s">
        <v>837</v>
      </c>
      <c r="R110" s="44" t="s">
        <v>1081</v>
      </c>
      <c r="S110" s="75" t="s">
        <v>7</v>
      </c>
      <c r="T110" s="44" t="str">
        <f t="shared" si="12"/>
        <v>Estrutura Principal</v>
      </c>
      <c r="U110" s="44" t="str">
        <f t="shared" si="13"/>
        <v>Perfis LSTUZ</v>
      </c>
      <c r="V110" s="44" t="str">
        <f t="shared" si="14"/>
        <v>Perfis Tubulares</v>
      </c>
      <c r="W110" s="44" t="s">
        <v>654</v>
      </c>
      <c r="X110" s="52" t="str">
        <f t="shared" si="7"/>
        <v>Key-MET-110</v>
      </c>
      <c r="Y110" s="44" t="s">
        <v>994</v>
      </c>
      <c r="Z110" s="61" t="s">
        <v>7</v>
      </c>
      <c r="AA110" s="44" t="s">
        <v>995</v>
      </c>
      <c r="AB110" s="61" t="s">
        <v>7</v>
      </c>
      <c r="AC110" s="44" t="s">
        <v>7</v>
      </c>
      <c r="AD110" s="44" t="s">
        <v>7</v>
      </c>
    </row>
    <row r="111" spans="1:30" ht="6.75" customHeight="1" x14ac:dyDescent="0.25">
      <c r="A111" s="54">
        <v>111</v>
      </c>
      <c r="B111" s="73" t="s">
        <v>1045</v>
      </c>
      <c r="C111" s="74" t="s">
        <v>78</v>
      </c>
      <c r="D111" s="74" t="s">
        <v>723</v>
      </c>
      <c r="E111" s="74" t="s">
        <v>614</v>
      </c>
      <c r="F111" s="74" t="s">
        <v>615</v>
      </c>
      <c r="G111" s="55" t="s">
        <v>7</v>
      </c>
      <c r="H111" s="55" t="s">
        <v>7</v>
      </c>
      <c r="I111" s="55" t="s">
        <v>7</v>
      </c>
      <c r="J111" s="55" t="s">
        <v>7</v>
      </c>
      <c r="K111" s="55" t="s">
        <v>7</v>
      </c>
      <c r="L111" s="49" t="str">
        <f t="shared" ref="L111:L177" si="49">_xlfn.CONCAT(SUBSTITUTE(C111,"1.",""))</f>
        <v>Estrutura.Principal</v>
      </c>
      <c r="M111" s="49" t="str">
        <f t="shared" ref="M111" si="50">_xlfn.CONCAT(SUBSTITUTE(D111,"."," "))</f>
        <v>Emplacados</v>
      </c>
      <c r="N111" s="49" t="str">
        <f t="shared" ref="N111" si="51">_xlfn.CONCAT(SUBSTITUTE(E111,"."," "))</f>
        <v>Placas</v>
      </c>
      <c r="O111" s="49" t="str">
        <f t="shared" ref="O111:O121" si="52">_xlfn.CONCAT(SUBSTITUTE(F111,"."," "))</f>
        <v>Placa de Base</v>
      </c>
      <c r="P111" s="49" t="s">
        <v>539</v>
      </c>
      <c r="Q111" s="49" t="s">
        <v>678</v>
      </c>
      <c r="R111" s="44" t="s">
        <v>1082</v>
      </c>
      <c r="S111" s="75" t="s">
        <v>7</v>
      </c>
      <c r="T111" s="44" t="str">
        <f t="shared" si="12"/>
        <v>Estrutura Principal</v>
      </c>
      <c r="U111" s="44" t="str">
        <f t="shared" si="13"/>
        <v>Emplacados</v>
      </c>
      <c r="V111" s="44" t="str">
        <f t="shared" si="14"/>
        <v>Placas</v>
      </c>
      <c r="W111" s="44" t="s">
        <v>654</v>
      </c>
      <c r="X111" s="52" t="str">
        <f t="shared" si="7"/>
        <v>Key-MET-111</v>
      </c>
      <c r="Y111" s="44" t="s">
        <v>996</v>
      </c>
      <c r="Z111" s="61" t="s">
        <v>7</v>
      </c>
      <c r="AA111" s="44" t="s">
        <v>997</v>
      </c>
      <c r="AB111" s="61" t="s">
        <v>7</v>
      </c>
      <c r="AC111" s="44" t="s">
        <v>7</v>
      </c>
      <c r="AD111" s="44" t="s">
        <v>7</v>
      </c>
    </row>
    <row r="112" spans="1:30" ht="6.75" customHeight="1" x14ac:dyDescent="0.25">
      <c r="A112" s="54">
        <v>112</v>
      </c>
      <c r="B112" s="73" t="s">
        <v>1045</v>
      </c>
      <c r="C112" s="74" t="s">
        <v>78</v>
      </c>
      <c r="D112" s="74" t="s">
        <v>723</v>
      </c>
      <c r="E112" s="74" t="s">
        <v>614</v>
      </c>
      <c r="F112" s="74" t="s">
        <v>619</v>
      </c>
      <c r="G112" s="55" t="s">
        <v>7</v>
      </c>
      <c r="H112" s="55" t="s">
        <v>7</v>
      </c>
      <c r="I112" s="55" t="s">
        <v>7</v>
      </c>
      <c r="J112" s="55" t="s">
        <v>7</v>
      </c>
      <c r="K112" s="55" t="s">
        <v>7</v>
      </c>
      <c r="L112" s="49" t="str">
        <f t="shared" si="49"/>
        <v>Estrutura.Principal</v>
      </c>
      <c r="M112" s="49" t="str">
        <f t="shared" ref="M112:M159" si="53">_xlfn.CONCAT(SUBSTITUTE(D112,"."," "))</f>
        <v>Emplacados</v>
      </c>
      <c r="N112" s="49" t="str">
        <f t="shared" ref="N112:N159" si="54">_xlfn.CONCAT(SUBSTITUTE(E112,"."," "))</f>
        <v>Placas</v>
      </c>
      <c r="O112" s="49" t="str">
        <f t="shared" ref="O112:O119" si="55">_xlfn.CONCAT(SUBSTITUTE(F112,"."," "))</f>
        <v>Placa Enrijecedora</v>
      </c>
      <c r="P112" s="49" t="s">
        <v>541</v>
      </c>
      <c r="Q112" s="49" t="s">
        <v>679</v>
      </c>
      <c r="R112" s="44" t="s">
        <v>1083</v>
      </c>
      <c r="S112" s="75" t="s">
        <v>7</v>
      </c>
      <c r="T112" s="44" t="str">
        <f t="shared" si="12"/>
        <v>Estrutura Principal</v>
      </c>
      <c r="U112" s="44" t="str">
        <f t="shared" si="13"/>
        <v>Emplacados</v>
      </c>
      <c r="V112" s="44" t="str">
        <f t="shared" si="14"/>
        <v>Placas</v>
      </c>
      <c r="W112" s="44" t="s">
        <v>654</v>
      </c>
      <c r="X112" s="52" t="str">
        <f t="shared" si="7"/>
        <v>Key-MET-112</v>
      </c>
      <c r="Y112" s="44" t="s">
        <v>998</v>
      </c>
      <c r="Z112" s="61" t="s">
        <v>7</v>
      </c>
      <c r="AA112" s="44" t="s">
        <v>999</v>
      </c>
      <c r="AB112" s="61" t="s">
        <v>7</v>
      </c>
      <c r="AC112" s="44" t="s">
        <v>7</v>
      </c>
      <c r="AD112" s="44" t="s">
        <v>7</v>
      </c>
    </row>
    <row r="113" spans="1:30" ht="6.75" customHeight="1" x14ac:dyDescent="0.25">
      <c r="A113" s="54">
        <v>113</v>
      </c>
      <c r="B113" s="73" t="s">
        <v>1045</v>
      </c>
      <c r="C113" s="74" t="s">
        <v>78</v>
      </c>
      <c r="D113" s="74" t="s">
        <v>723</v>
      </c>
      <c r="E113" s="74" t="s">
        <v>614</v>
      </c>
      <c r="F113" s="74" t="s">
        <v>616</v>
      </c>
      <c r="G113" s="55" t="s">
        <v>7</v>
      </c>
      <c r="H113" s="55" t="s">
        <v>7</v>
      </c>
      <c r="I113" s="55" t="s">
        <v>7</v>
      </c>
      <c r="J113" s="55" t="s">
        <v>7</v>
      </c>
      <c r="K113" s="55" t="s">
        <v>7</v>
      </c>
      <c r="L113" s="49" t="str">
        <f t="shared" ref="L113:L119" si="56">_xlfn.CONCAT(SUBSTITUTE(C113,"1.",""))</f>
        <v>Estrutura.Principal</v>
      </c>
      <c r="M113" s="49" t="str">
        <f t="shared" si="53"/>
        <v>Emplacados</v>
      </c>
      <c r="N113" s="49" t="str">
        <f t="shared" si="54"/>
        <v>Placas</v>
      </c>
      <c r="O113" s="49" t="str">
        <f t="shared" si="55"/>
        <v>Placa de Interface</v>
      </c>
      <c r="P113" s="49" t="s">
        <v>541</v>
      </c>
      <c r="Q113" s="49" t="s">
        <v>679</v>
      </c>
      <c r="R113" s="44" t="s">
        <v>1083</v>
      </c>
      <c r="S113" s="75" t="s">
        <v>7</v>
      </c>
      <c r="T113" s="44" t="str">
        <f t="shared" si="12"/>
        <v>Estrutura Principal</v>
      </c>
      <c r="U113" s="44" t="str">
        <f t="shared" si="13"/>
        <v>Emplacados</v>
      </c>
      <c r="V113" s="44" t="str">
        <f t="shared" si="14"/>
        <v>Placas</v>
      </c>
      <c r="W113" s="44" t="s">
        <v>654</v>
      </c>
      <c r="X113" s="52" t="str">
        <f t="shared" si="7"/>
        <v>Key-MET-113</v>
      </c>
      <c r="Y113" s="44" t="s">
        <v>996</v>
      </c>
      <c r="Z113" s="61" t="s">
        <v>7</v>
      </c>
      <c r="AA113" s="44" t="s">
        <v>997</v>
      </c>
      <c r="AB113" s="61" t="s">
        <v>7</v>
      </c>
      <c r="AC113" s="44" t="s">
        <v>7</v>
      </c>
      <c r="AD113" s="44" t="s">
        <v>7</v>
      </c>
    </row>
    <row r="114" spans="1:30" ht="6.75" customHeight="1" x14ac:dyDescent="0.25">
      <c r="A114" s="54">
        <v>114</v>
      </c>
      <c r="B114" s="73" t="s">
        <v>1045</v>
      </c>
      <c r="C114" s="74" t="s">
        <v>78</v>
      </c>
      <c r="D114" s="74" t="s">
        <v>723</v>
      </c>
      <c r="E114" s="74" t="s">
        <v>614</v>
      </c>
      <c r="F114" s="74" t="s">
        <v>617</v>
      </c>
      <c r="G114" s="55" t="s">
        <v>7</v>
      </c>
      <c r="H114" s="55" t="s">
        <v>7</v>
      </c>
      <c r="I114" s="55" t="s">
        <v>7</v>
      </c>
      <c r="J114" s="55" t="s">
        <v>7</v>
      </c>
      <c r="K114" s="55" t="s">
        <v>7</v>
      </c>
      <c r="L114" s="49" t="str">
        <f t="shared" si="56"/>
        <v>Estrutura.Principal</v>
      </c>
      <c r="M114" s="49" t="str">
        <f t="shared" si="53"/>
        <v>Emplacados</v>
      </c>
      <c r="N114" s="49" t="str">
        <f t="shared" si="54"/>
        <v>Placas</v>
      </c>
      <c r="O114" s="49" t="str">
        <f t="shared" si="55"/>
        <v>Placa de Emenda</v>
      </c>
      <c r="P114" s="49" t="s">
        <v>639</v>
      </c>
      <c r="Q114" s="49" t="s">
        <v>680</v>
      </c>
      <c r="R114" s="44" t="s">
        <v>1084</v>
      </c>
      <c r="S114" s="75" t="s">
        <v>7</v>
      </c>
      <c r="T114" s="44" t="str">
        <f t="shared" si="12"/>
        <v>Estrutura Principal</v>
      </c>
      <c r="U114" s="44" t="str">
        <f t="shared" si="13"/>
        <v>Emplacados</v>
      </c>
      <c r="V114" s="44" t="str">
        <f t="shared" si="14"/>
        <v>Placas</v>
      </c>
      <c r="W114" s="44" t="s">
        <v>654</v>
      </c>
      <c r="X114" s="52" t="str">
        <f t="shared" si="7"/>
        <v>Key-MET-114</v>
      </c>
      <c r="Y114" s="44" t="s">
        <v>996</v>
      </c>
      <c r="Z114" s="61" t="s">
        <v>7</v>
      </c>
      <c r="AA114" s="44" t="s">
        <v>997</v>
      </c>
      <c r="AB114" s="61" t="s">
        <v>7</v>
      </c>
      <c r="AC114" s="44" t="s">
        <v>7</v>
      </c>
      <c r="AD114" s="44" t="s">
        <v>7</v>
      </c>
    </row>
    <row r="115" spans="1:30" ht="6.75" customHeight="1" x14ac:dyDescent="0.25">
      <c r="A115" s="54">
        <v>115</v>
      </c>
      <c r="B115" s="73" t="s">
        <v>1045</v>
      </c>
      <c r="C115" s="74" t="s">
        <v>78</v>
      </c>
      <c r="D115" s="74" t="s">
        <v>723</v>
      </c>
      <c r="E115" s="74" t="s">
        <v>614</v>
      </c>
      <c r="F115" s="74" t="s">
        <v>618</v>
      </c>
      <c r="G115" s="55" t="s">
        <v>7</v>
      </c>
      <c r="H115" s="55" t="s">
        <v>7</v>
      </c>
      <c r="I115" s="55" t="s">
        <v>7</v>
      </c>
      <c r="J115" s="55" t="s">
        <v>7</v>
      </c>
      <c r="K115" s="55" t="s">
        <v>7</v>
      </c>
      <c r="L115" s="49" t="str">
        <f t="shared" ref="L115:L118" si="57">_xlfn.CONCAT(SUBSTITUTE(C115,"1.",""))</f>
        <v>Estrutura.Principal</v>
      </c>
      <c r="M115" s="49" t="str">
        <f t="shared" ref="M115:M118" si="58">_xlfn.CONCAT(SUBSTITUTE(D115,"."," "))</f>
        <v>Emplacados</v>
      </c>
      <c r="N115" s="49" t="str">
        <f t="shared" ref="N115:N118" si="59">_xlfn.CONCAT(SUBSTITUTE(E115,"."," "))</f>
        <v>Placas</v>
      </c>
      <c r="O115" s="49" t="str">
        <f t="shared" ref="O115:O118" si="60">_xlfn.CONCAT(SUBSTITUTE(F115,"."," "))</f>
        <v>Placa de Fechamento</v>
      </c>
      <c r="P115" s="49" t="s">
        <v>549</v>
      </c>
      <c r="Q115" s="49" t="s">
        <v>681</v>
      </c>
      <c r="R115" s="44" t="s">
        <v>1085</v>
      </c>
      <c r="S115" s="75" t="s">
        <v>7</v>
      </c>
      <c r="T115" s="44" t="str">
        <f t="shared" si="12"/>
        <v>Estrutura Principal</v>
      </c>
      <c r="U115" s="44" t="str">
        <f t="shared" si="13"/>
        <v>Emplacados</v>
      </c>
      <c r="V115" s="44" t="str">
        <f t="shared" si="14"/>
        <v>Placas</v>
      </c>
      <c r="W115" s="44" t="s">
        <v>654</v>
      </c>
      <c r="X115" s="52" t="str">
        <f t="shared" si="7"/>
        <v>Key-MET-115</v>
      </c>
      <c r="Y115" s="44" t="s">
        <v>996</v>
      </c>
      <c r="Z115" s="61" t="s">
        <v>7</v>
      </c>
      <c r="AA115" s="44" t="s">
        <v>997</v>
      </c>
      <c r="AB115" s="61" t="s">
        <v>7</v>
      </c>
      <c r="AC115" s="44" t="s">
        <v>7</v>
      </c>
      <c r="AD115" s="44" t="s">
        <v>7</v>
      </c>
    </row>
    <row r="116" spans="1:30" ht="6.75" customHeight="1" x14ac:dyDescent="0.25">
      <c r="A116" s="54">
        <v>116</v>
      </c>
      <c r="B116" s="73" t="s">
        <v>1045</v>
      </c>
      <c r="C116" s="74" t="s">
        <v>78</v>
      </c>
      <c r="D116" s="74" t="s">
        <v>723</v>
      </c>
      <c r="E116" s="74" t="s">
        <v>614</v>
      </c>
      <c r="F116" s="74" t="s">
        <v>729</v>
      </c>
      <c r="G116" s="55" t="s">
        <v>7</v>
      </c>
      <c r="H116" s="55" t="s">
        <v>7</v>
      </c>
      <c r="I116" s="55" t="s">
        <v>7</v>
      </c>
      <c r="J116" s="55" t="s">
        <v>7</v>
      </c>
      <c r="K116" s="58" t="s">
        <v>1276</v>
      </c>
      <c r="L116" s="49" t="str">
        <f t="shared" si="57"/>
        <v>Estrutura.Principal</v>
      </c>
      <c r="M116" s="49" t="str">
        <f t="shared" si="58"/>
        <v>Emplacados</v>
      </c>
      <c r="N116" s="49" t="str">
        <f t="shared" si="59"/>
        <v>Placas</v>
      </c>
      <c r="O116" s="49" t="str">
        <f t="shared" si="60"/>
        <v>Placa de Mísula</v>
      </c>
      <c r="P116" s="49" t="s">
        <v>725</v>
      </c>
      <c r="Q116" s="49" t="s">
        <v>727</v>
      </c>
      <c r="R116" s="44" t="s">
        <v>1086</v>
      </c>
      <c r="S116" s="75" t="s">
        <v>7</v>
      </c>
      <c r="T116" s="44" t="str">
        <f t="shared" si="12"/>
        <v>Estrutura Principal</v>
      </c>
      <c r="U116" s="44" t="str">
        <f t="shared" si="13"/>
        <v>Emplacados</v>
      </c>
      <c r="V116" s="44" t="str">
        <f t="shared" si="14"/>
        <v>Placas</v>
      </c>
      <c r="W116" s="44" t="s">
        <v>654</v>
      </c>
      <c r="X116" s="52" t="str">
        <f t="shared" si="7"/>
        <v>Key-MET-116</v>
      </c>
      <c r="Y116" s="44" t="s">
        <v>996</v>
      </c>
      <c r="Z116" s="61" t="s">
        <v>7</v>
      </c>
      <c r="AA116" s="44" t="s">
        <v>997</v>
      </c>
      <c r="AB116" s="61" t="s">
        <v>7</v>
      </c>
      <c r="AC116" s="44" t="s">
        <v>7</v>
      </c>
      <c r="AD116" s="44" t="s">
        <v>7</v>
      </c>
    </row>
    <row r="117" spans="1:30" ht="6.75" customHeight="1" x14ac:dyDescent="0.25">
      <c r="A117" s="54">
        <v>117</v>
      </c>
      <c r="B117" s="73" t="s">
        <v>1045</v>
      </c>
      <c r="C117" s="74" t="s">
        <v>78</v>
      </c>
      <c r="D117" s="74" t="s">
        <v>723</v>
      </c>
      <c r="E117" s="74" t="s">
        <v>614</v>
      </c>
      <c r="F117" s="74" t="s">
        <v>724</v>
      </c>
      <c r="G117" s="55" t="s">
        <v>7</v>
      </c>
      <c r="H117" s="55" t="s">
        <v>7</v>
      </c>
      <c r="I117" s="55" t="s">
        <v>7</v>
      </c>
      <c r="J117" s="55" t="s">
        <v>7</v>
      </c>
      <c r="K117" s="58" t="s">
        <v>1277</v>
      </c>
      <c r="L117" s="49" t="str">
        <f t="shared" si="57"/>
        <v>Estrutura.Principal</v>
      </c>
      <c r="M117" s="49" t="str">
        <f t="shared" si="58"/>
        <v>Emplacados</v>
      </c>
      <c r="N117" s="49" t="str">
        <f t="shared" si="59"/>
        <v>Placas</v>
      </c>
      <c r="O117" s="49" t="str">
        <f t="shared" si="60"/>
        <v>Placa de Cumeeira</v>
      </c>
      <c r="P117" s="49" t="s">
        <v>726</v>
      </c>
      <c r="Q117" s="49" t="s">
        <v>728</v>
      </c>
      <c r="R117" s="44" t="s">
        <v>1087</v>
      </c>
      <c r="S117" s="75" t="s">
        <v>7</v>
      </c>
      <c r="T117" s="44" t="str">
        <f t="shared" si="12"/>
        <v>Estrutura Principal</v>
      </c>
      <c r="U117" s="44" t="str">
        <f t="shared" si="13"/>
        <v>Emplacados</v>
      </c>
      <c r="V117" s="44" t="str">
        <f t="shared" si="14"/>
        <v>Placas</v>
      </c>
      <c r="W117" s="44" t="s">
        <v>654</v>
      </c>
      <c r="X117" s="52" t="str">
        <f t="shared" si="7"/>
        <v>Key-MET-117</v>
      </c>
      <c r="Y117" s="44" t="s">
        <v>996</v>
      </c>
      <c r="Z117" s="61" t="s">
        <v>7</v>
      </c>
      <c r="AA117" s="44" t="s">
        <v>997</v>
      </c>
      <c r="AB117" s="61" t="s">
        <v>7</v>
      </c>
      <c r="AC117" s="44" t="s">
        <v>7</v>
      </c>
      <c r="AD117" s="44" t="s">
        <v>7</v>
      </c>
    </row>
    <row r="118" spans="1:30" ht="6.75" customHeight="1" x14ac:dyDescent="0.25">
      <c r="A118" s="54">
        <v>118</v>
      </c>
      <c r="B118" s="73" t="s">
        <v>1045</v>
      </c>
      <c r="C118" s="74" t="s">
        <v>78</v>
      </c>
      <c r="D118" s="74" t="s">
        <v>723</v>
      </c>
      <c r="E118" s="74" t="s">
        <v>614</v>
      </c>
      <c r="F118" s="74" t="s">
        <v>864</v>
      </c>
      <c r="G118" s="55" t="s">
        <v>7</v>
      </c>
      <c r="H118" s="55" t="s">
        <v>7</v>
      </c>
      <c r="I118" s="55" t="s">
        <v>7</v>
      </c>
      <c r="J118" s="55" t="s">
        <v>7</v>
      </c>
      <c r="K118" s="58" t="s">
        <v>766</v>
      </c>
      <c r="L118" s="49" t="str">
        <f t="shared" si="57"/>
        <v>Estrutura.Principal</v>
      </c>
      <c r="M118" s="49" t="str">
        <f t="shared" si="58"/>
        <v>Emplacados</v>
      </c>
      <c r="N118" s="49" t="str">
        <f t="shared" si="59"/>
        <v>Placas</v>
      </c>
      <c r="O118" s="49" t="str">
        <f t="shared" si="60"/>
        <v>Placa Gusset</v>
      </c>
      <c r="P118" s="49" t="s">
        <v>870</v>
      </c>
      <c r="Q118" s="49" t="s">
        <v>871</v>
      </c>
      <c r="R118" s="44" t="s">
        <v>1088</v>
      </c>
      <c r="S118" s="75" t="s">
        <v>7</v>
      </c>
      <c r="T118" s="44" t="str">
        <f t="shared" si="12"/>
        <v>Estrutura Principal</v>
      </c>
      <c r="U118" s="44" t="str">
        <f t="shared" si="13"/>
        <v>Emplacados</v>
      </c>
      <c r="V118" s="44" t="str">
        <f t="shared" si="14"/>
        <v>Placas</v>
      </c>
      <c r="W118" s="44" t="s">
        <v>654</v>
      </c>
      <c r="X118" s="52" t="str">
        <f t="shared" si="7"/>
        <v>Key-MET-118</v>
      </c>
      <c r="Y118" s="44" t="s">
        <v>996</v>
      </c>
      <c r="Z118" s="61" t="s">
        <v>7</v>
      </c>
      <c r="AA118" s="44" t="s">
        <v>997</v>
      </c>
      <c r="AB118" s="61" t="s">
        <v>7</v>
      </c>
      <c r="AC118" s="44" t="s">
        <v>7</v>
      </c>
      <c r="AD118" s="44" t="s">
        <v>7</v>
      </c>
    </row>
    <row r="119" spans="1:30" ht="6.75" customHeight="1" x14ac:dyDescent="0.25">
      <c r="A119" s="54">
        <v>119</v>
      </c>
      <c r="B119" s="73" t="s">
        <v>1045</v>
      </c>
      <c r="C119" s="74" t="s">
        <v>78</v>
      </c>
      <c r="D119" s="74" t="s">
        <v>865</v>
      </c>
      <c r="E119" s="74" t="s">
        <v>866</v>
      </c>
      <c r="F119" s="74" t="s">
        <v>867</v>
      </c>
      <c r="G119" s="55" t="s">
        <v>7</v>
      </c>
      <c r="H119" s="55" t="s">
        <v>7</v>
      </c>
      <c r="I119" s="55" t="s">
        <v>7</v>
      </c>
      <c r="J119" s="55" t="s">
        <v>7</v>
      </c>
      <c r="K119" s="55" t="s">
        <v>7</v>
      </c>
      <c r="L119" s="49" t="str">
        <f t="shared" si="56"/>
        <v>Estrutura.Principal</v>
      </c>
      <c r="M119" s="49" t="str">
        <f t="shared" si="53"/>
        <v>Chapas</v>
      </c>
      <c r="N119" s="49" t="str">
        <f t="shared" si="54"/>
        <v>SteelDecks</v>
      </c>
      <c r="O119" s="49" t="str">
        <f t="shared" si="55"/>
        <v>SteelDeck Trapezoidal</v>
      </c>
      <c r="P119" s="49" t="s">
        <v>868</v>
      </c>
      <c r="Q119" s="49" t="s">
        <v>869</v>
      </c>
      <c r="R119" s="44" t="s">
        <v>1089</v>
      </c>
      <c r="S119" s="75" t="s">
        <v>7</v>
      </c>
      <c r="T119" s="44" t="str">
        <f t="shared" si="12"/>
        <v>Estrutura Principal</v>
      </c>
      <c r="U119" s="44" t="str">
        <f t="shared" si="13"/>
        <v>Chapas</v>
      </c>
      <c r="V119" s="44" t="str">
        <f t="shared" si="14"/>
        <v>SteelDecks</v>
      </c>
      <c r="W119" s="44" t="s">
        <v>654</v>
      </c>
      <c r="X119" s="52" t="str">
        <f t="shared" si="7"/>
        <v>Key-MET-119</v>
      </c>
      <c r="Y119" s="44" t="s">
        <v>1000</v>
      </c>
      <c r="Z119" s="61" t="s">
        <v>7</v>
      </c>
      <c r="AA119" s="44" t="s">
        <v>1001</v>
      </c>
      <c r="AB119" s="61" t="s">
        <v>7</v>
      </c>
      <c r="AC119" s="44" t="s">
        <v>7</v>
      </c>
      <c r="AD119" s="44" t="s">
        <v>7</v>
      </c>
    </row>
    <row r="120" spans="1:30" ht="6.75" customHeight="1" x14ac:dyDescent="0.25">
      <c r="A120" s="54">
        <v>120</v>
      </c>
      <c r="B120" s="73" t="s">
        <v>1045</v>
      </c>
      <c r="C120" s="74" t="s">
        <v>78</v>
      </c>
      <c r="D120" s="74" t="s">
        <v>612</v>
      </c>
      <c r="E120" s="74" t="s">
        <v>642</v>
      </c>
      <c r="F120" s="74" t="s">
        <v>634</v>
      </c>
      <c r="G120" s="55" t="s">
        <v>7</v>
      </c>
      <c r="H120" s="55" t="s">
        <v>7</v>
      </c>
      <c r="I120" s="55" t="s">
        <v>7</v>
      </c>
      <c r="J120" s="55" t="s">
        <v>7</v>
      </c>
      <c r="K120" s="55" t="s">
        <v>7</v>
      </c>
      <c r="L120" s="49" t="str">
        <f t="shared" ref="L120" si="61">_xlfn.CONCAT(SUBSTITUTE(C120,"1.",""))</f>
        <v>Estrutura.Principal</v>
      </c>
      <c r="M120" s="49" t="str">
        <f t="shared" si="53"/>
        <v>Barras</v>
      </c>
      <c r="N120" s="49" t="str">
        <f t="shared" si="54"/>
        <v>Barras Laminadas</v>
      </c>
      <c r="O120" s="49" t="str">
        <f t="shared" ref="O120" si="62">_xlfn.CONCAT(SUBSTITUTE(F120,"."," "))</f>
        <v>Barra Redonda</v>
      </c>
      <c r="P120" s="49" t="s">
        <v>716</v>
      </c>
      <c r="Q120" s="49" t="s">
        <v>716</v>
      </c>
      <c r="R120" s="44" t="s">
        <v>1090</v>
      </c>
      <c r="S120" s="75" t="s">
        <v>7</v>
      </c>
      <c r="T120" s="44" t="str">
        <f t="shared" si="12"/>
        <v>Estrutura Principal</v>
      </c>
      <c r="U120" s="44" t="str">
        <f t="shared" si="13"/>
        <v>Barras</v>
      </c>
      <c r="V120" s="44" t="str">
        <f t="shared" si="14"/>
        <v>Barras Laminadas</v>
      </c>
      <c r="W120" s="44" t="s">
        <v>654</v>
      </c>
      <c r="X120" s="52" t="str">
        <f t="shared" si="7"/>
        <v>Key-MET-120</v>
      </c>
      <c r="Y120" s="44" t="s">
        <v>994</v>
      </c>
      <c r="Z120" s="61" t="s">
        <v>7</v>
      </c>
      <c r="AA120" s="44" t="s">
        <v>995</v>
      </c>
      <c r="AB120" s="61" t="s">
        <v>7</v>
      </c>
      <c r="AC120" s="44" t="s">
        <v>7</v>
      </c>
      <c r="AD120" s="44" t="s">
        <v>7</v>
      </c>
    </row>
    <row r="121" spans="1:30" ht="6.75" customHeight="1" x14ac:dyDescent="0.25">
      <c r="A121" s="54">
        <v>121</v>
      </c>
      <c r="B121" s="73" t="s">
        <v>1045</v>
      </c>
      <c r="C121" s="74" t="s">
        <v>78</v>
      </c>
      <c r="D121" s="74" t="s">
        <v>612</v>
      </c>
      <c r="E121" s="74" t="s">
        <v>642</v>
      </c>
      <c r="F121" s="74" t="s">
        <v>643</v>
      </c>
      <c r="G121" s="55" t="s">
        <v>7</v>
      </c>
      <c r="H121" s="55" t="s">
        <v>7</v>
      </c>
      <c r="I121" s="55" t="s">
        <v>7</v>
      </c>
      <c r="J121" s="55" t="s">
        <v>7</v>
      </c>
      <c r="K121" s="55" t="s">
        <v>7</v>
      </c>
      <c r="L121" s="49" t="str">
        <f t="shared" si="49"/>
        <v>Estrutura.Principal</v>
      </c>
      <c r="M121" s="49" t="str">
        <f t="shared" ref="M121" si="63">_xlfn.CONCAT(SUBSTITUTE(D121,"."," "))</f>
        <v>Barras</v>
      </c>
      <c r="N121" s="49" t="str">
        <f t="shared" ref="N121" si="64">_xlfn.CONCAT(SUBSTITUTE(E121,"."," "))</f>
        <v>Barras Laminadas</v>
      </c>
      <c r="O121" s="49" t="str">
        <f t="shared" si="52"/>
        <v>Barra Quadrada</v>
      </c>
      <c r="P121" s="49" t="s">
        <v>718</v>
      </c>
      <c r="Q121" s="49" t="s">
        <v>719</v>
      </c>
      <c r="R121" s="44" t="s">
        <v>1091</v>
      </c>
      <c r="S121" s="75" t="s">
        <v>7</v>
      </c>
      <c r="T121" s="44" t="str">
        <f t="shared" si="12"/>
        <v>Estrutura Principal</v>
      </c>
      <c r="U121" s="44" t="str">
        <f t="shared" si="13"/>
        <v>Barras</v>
      </c>
      <c r="V121" s="44" t="str">
        <f t="shared" si="14"/>
        <v>Barras Laminadas</v>
      </c>
      <c r="W121" s="44" t="s">
        <v>654</v>
      </c>
      <c r="X121" s="52" t="str">
        <f t="shared" si="7"/>
        <v>Key-MET-121</v>
      </c>
      <c r="Y121" s="44" t="s">
        <v>994</v>
      </c>
      <c r="Z121" s="61" t="s">
        <v>7</v>
      </c>
      <c r="AA121" s="44" t="s">
        <v>995</v>
      </c>
      <c r="AB121" s="61" t="s">
        <v>7</v>
      </c>
      <c r="AC121" s="44" t="s">
        <v>7</v>
      </c>
      <c r="AD121" s="44" t="s">
        <v>7</v>
      </c>
    </row>
    <row r="122" spans="1:30" ht="6.75" customHeight="1" x14ac:dyDescent="0.25">
      <c r="A122" s="54">
        <v>122</v>
      </c>
      <c r="B122" s="73" t="s">
        <v>1045</v>
      </c>
      <c r="C122" s="74" t="s">
        <v>78</v>
      </c>
      <c r="D122" s="74" t="s">
        <v>612</v>
      </c>
      <c r="E122" s="74" t="s">
        <v>642</v>
      </c>
      <c r="F122" s="74" t="s">
        <v>633</v>
      </c>
      <c r="G122" s="55" t="s">
        <v>7</v>
      </c>
      <c r="H122" s="55" t="s">
        <v>7</v>
      </c>
      <c r="I122" s="55" t="s">
        <v>7</v>
      </c>
      <c r="J122" s="55" t="s">
        <v>7</v>
      </c>
      <c r="K122" s="55" t="s">
        <v>7</v>
      </c>
      <c r="L122" s="49" t="str">
        <f t="shared" ref="L122:L152" si="65">_xlfn.CONCAT(SUBSTITUTE(C122,"1.",""))</f>
        <v>Estrutura.Principal</v>
      </c>
      <c r="M122" s="49" t="str">
        <f t="shared" ref="M122:M152" si="66">_xlfn.CONCAT(SUBSTITUTE(D122,"."," "))</f>
        <v>Barras</v>
      </c>
      <c r="N122" s="49" t="str">
        <f t="shared" ref="N122:N152" si="67">_xlfn.CONCAT(SUBSTITUTE(E122,"."," "))</f>
        <v>Barras Laminadas</v>
      </c>
      <c r="O122" s="49" t="str">
        <f t="shared" ref="O122:O152" si="68">_xlfn.CONCAT(SUBSTITUTE(F122,"."," "))</f>
        <v>Barra Hexagonal</v>
      </c>
      <c r="P122" s="49" t="s">
        <v>717</v>
      </c>
      <c r="Q122" s="49" t="s">
        <v>717</v>
      </c>
      <c r="R122" s="44" t="s">
        <v>1092</v>
      </c>
      <c r="S122" s="75" t="s">
        <v>7</v>
      </c>
      <c r="T122" s="44" t="str">
        <f t="shared" si="12"/>
        <v>Estrutura Principal</v>
      </c>
      <c r="U122" s="44" t="str">
        <f t="shared" si="13"/>
        <v>Barras</v>
      </c>
      <c r="V122" s="44" t="str">
        <f t="shared" si="14"/>
        <v>Barras Laminadas</v>
      </c>
      <c r="W122" s="44" t="s">
        <v>654</v>
      </c>
      <c r="X122" s="52" t="str">
        <f t="shared" si="7"/>
        <v>Key-MET-122</v>
      </c>
      <c r="Y122" s="44" t="s">
        <v>994</v>
      </c>
      <c r="Z122" s="61" t="s">
        <v>7</v>
      </c>
      <c r="AA122" s="44" t="s">
        <v>995</v>
      </c>
      <c r="AB122" s="61" t="s">
        <v>7</v>
      </c>
      <c r="AC122" s="44" t="s">
        <v>7</v>
      </c>
      <c r="AD122" s="44" t="s">
        <v>7</v>
      </c>
    </row>
    <row r="123" spans="1:30" ht="6.75" customHeight="1" x14ac:dyDescent="0.25">
      <c r="A123" s="54">
        <v>123</v>
      </c>
      <c r="B123" s="73" t="s">
        <v>1045</v>
      </c>
      <c r="C123" s="74" t="s">
        <v>78</v>
      </c>
      <c r="D123" s="74" t="s">
        <v>612</v>
      </c>
      <c r="E123" s="74" t="s">
        <v>642</v>
      </c>
      <c r="F123" s="74" t="s">
        <v>640</v>
      </c>
      <c r="G123" s="55" t="s">
        <v>7</v>
      </c>
      <c r="H123" s="55" t="s">
        <v>7</v>
      </c>
      <c r="I123" s="55" t="s">
        <v>7</v>
      </c>
      <c r="J123" s="55" t="s">
        <v>7</v>
      </c>
      <c r="K123" s="55" t="s">
        <v>7</v>
      </c>
      <c r="L123" s="49" t="str">
        <f t="shared" si="65"/>
        <v>Estrutura.Principal</v>
      </c>
      <c r="M123" s="49" t="str">
        <f t="shared" si="66"/>
        <v>Barras</v>
      </c>
      <c r="N123" s="49" t="str">
        <f t="shared" si="67"/>
        <v>Barras Laminadas</v>
      </c>
      <c r="O123" s="49" t="str">
        <f t="shared" si="68"/>
        <v>Barra Chata</v>
      </c>
      <c r="P123" s="49" t="s">
        <v>641</v>
      </c>
      <c r="Q123" s="49" t="s">
        <v>682</v>
      </c>
      <c r="R123" s="44" t="s">
        <v>1093</v>
      </c>
      <c r="S123" s="75" t="s">
        <v>7</v>
      </c>
      <c r="T123" s="44" t="str">
        <f t="shared" si="12"/>
        <v>Estrutura Principal</v>
      </c>
      <c r="U123" s="44" t="str">
        <f t="shared" si="13"/>
        <v>Barras</v>
      </c>
      <c r="V123" s="44" t="str">
        <f t="shared" si="14"/>
        <v>Barras Laminadas</v>
      </c>
      <c r="W123" s="44" t="s">
        <v>654</v>
      </c>
      <c r="X123" s="52" t="str">
        <f t="shared" si="7"/>
        <v>Key-MET-123</v>
      </c>
      <c r="Y123" s="44" t="s">
        <v>994</v>
      </c>
      <c r="Z123" s="61" t="s">
        <v>7</v>
      </c>
      <c r="AA123" s="44" t="s">
        <v>995</v>
      </c>
      <c r="AB123" s="61" t="s">
        <v>7</v>
      </c>
      <c r="AC123" s="44" t="s">
        <v>7</v>
      </c>
      <c r="AD123" s="44" t="s">
        <v>7</v>
      </c>
    </row>
    <row r="124" spans="1:30" ht="6.75" customHeight="1" x14ac:dyDescent="0.25">
      <c r="A124" s="54">
        <v>124</v>
      </c>
      <c r="B124" s="73" t="s">
        <v>1045</v>
      </c>
      <c r="C124" s="74" t="s">
        <v>78</v>
      </c>
      <c r="D124" s="74" t="s">
        <v>612</v>
      </c>
      <c r="E124" s="74" t="s">
        <v>644</v>
      </c>
      <c r="F124" s="74" t="s">
        <v>646</v>
      </c>
      <c r="G124" s="55" t="s">
        <v>7</v>
      </c>
      <c r="H124" s="55" t="s">
        <v>7</v>
      </c>
      <c r="I124" s="55" t="s">
        <v>7</v>
      </c>
      <c r="J124" s="55" t="s">
        <v>7</v>
      </c>
      <c r="K124" s="55" t="s">
        <v>7</v>
      </c>
      <c r="L124" s="49" t="str">
        <f t="shared" ref="L124" si="69">_xlfn.CONCAT(SUBSTITUTE(C124,"1.",""))</f>
        <v>Estrutura.Principal</v>
      </c>
      <c r="M124" s="49" t="str">
        <f t="shared" ref="M124" si="70">_xlfn.CONCAT(SUBSTITUTE(D124,"."," "))</f>
        <v>Barras</v>
      </c>
      <c r="N124" s="49" t="str">
        <f t="shared" ref="N124" si="71">_xlfn.CONCAT(SUBSTITUTE(E124,"."," "))</f>
        <v>Barras Trefiladas</v>
      </c>
      <c r="O124" s="49" t="str">
        <f t="shared" ref="O124" si="72">_xlfn.CONCAT(SUBSTITUTE(F124,"."," "))</f>
        <v>Barra Trefilada Redonda</v>
      </c>
      <c r="P124" s="49" t="s">
        <v>648</v>
      </c>
      <c r="Q124" s="49" t="s">
        <v>720</v>
      </c>
      <c r="R124" s="44" t="s">
        <v>1094</v>
      </c>
      <c r="S124" s="75" t="s">
        <v>7</v>
      </c>
      <c r="T124" s="44" t="str">
        <f t="shared" si="12"/>
        <v>Estrutura Principal</v>
      </c>
      <c r="U124" s="44" t="str">
        <f t="shared" si="13"/>
        <v>Barras</v>
      </c>
      <c r="V124" s="44" t="str">
        <f t="shared" si="14"/>
        <v>Barras Trefiladas</v>
      </c>
      <c r="W124" s="44" t="s">
        <v>654</v>
      </c>
      <c r="X124" s="52" t="str">
        <f t="shared" si="7"/>
        <v>Key-MET-124</v>
      </c>
      <c r="Y124" s="44" t="s">
        <v>994</v>
      </c>
      <c r="Z124" s="61" t="s">
        <v>7</v>
      </c>
      <c r="AA124" s="44" t="s">
        <v>995</v>
      </c>
      <c r="AB124" s="61" t="s">
        <v>7</v>
      </c>
      <c r="AC124" s="44" t="s">
        <v>7</v>
      </c>
      <c r="AD124" s="44" t="s">
        <v>7</v>
      </c>
    </row>
    <row r="125" spans="1:30" ht="6.75" customHeight="1" x14ac:dyDescent="0.25">
      <c r="A125" s="54">
        <v>125</v>
      </c>
      <c r="B125" s="73" t="s">
        <v>1045</v>
      </c>
      <c r="C125" s="74" t="s">
        <v>78</v>
      </c>
      <c r="D125" s="74" t="s">
        <v>612</v>
      </c>
      <c r="E125" s="74" t="s">
        <v>644</v>
      </c>
      <c r="F125" s="74" t="s">
        <v>645</v>
      </c>
      <c r="G125" s="55" t="s">
        <v>7</v>
      </c>
      <c r="H125" s="55" t="s">
        <v>7</v>
      </c>
      <c r="I125" s="55" t="s">
        <v>7</v>
      </c>
      <c r="J125" s="55" t="s">
        <v>7</v>
      </c>
      <c r="K125" s="55" t="s">
        <v>7</v>
      </c>
      <c r="L125" s="49" t="str">
        <f t="shared" si="65"/>
        <v>Estrutura.Principal</v>
      </c>
      <c r="M125" s="49" t="str">
        <f t="shared" si="66"/>
        <v>Barras</v>
      </c>
      <c r="N125" s="49" t="str">
        <f t="shared" si="67"/>
        <v>Barras Trefiladas</v>
      </c>
      <c r="O125" s="49" t="str">
        <f t="shared" si="68"/>
        <v>Barra Trefilada Quadrada</v>
      </c>
      <c r="P125" s="49" t="s">
        <v>649</v>
      </c>
      <c r="Q125" s="49" t="s">
        <v>722</v>
      </c>
      <c r="R125" s="44" t="s">
        <v>1095</v>
      </c>
      <c r="S125" s="75" t="s">
        <v>7</v>
      </c>
      <c r="T125" s="44" t="str">
        <f t="shared" si="12"/>
        <v>Estrutura Principal</v>
      </c>
      <c r="U125" s="44" t="str">
        <f t="shared" si="13"/>
        <v>Barras</v>
      </c>
      <c r="V125" s="44" t="str">
        <f t="shared" si="14"/>
        <v>Barras Trefiladas</v>
      </c>
      <c r="W125" s="44" t="s">
        <v>654</v>
      </c>
      <c r="X125" s="52" t="str">
        <f t="shared" si="7"/>
        <v>Key-MET-125</v>
      </c>
      <c r="Y125" s="44" t="s">
        <v>994</v>
      </c>
      <c r="Z125" s="61" t="s">
        <v>7</v>
      </c>
      <c r="AA125" s="44" t="s">
        <v>995</v>
      </c>
      <c r="AB125" s="61" t="s">
        <v>7</v>
      </c>
      <c r="AC125" s="44" t="s">
        <v>7</v>
      </c>
      <c r="AD125" s="44" t="s">
        <v>7</v>
      </c>
    </row>
    <row r="126" spans="1:30" ht="6.75" customHeight="1" x14ac:dyDescent="0.25">
      <c r="A126" s="54">
        <v>126</v>
      </c>
      <c r="B126" s="73" t="s">
        <v>1045</v>
      </c>
      <c r="C126" s="74" t="s">
        <v>78</v>
      </c>
      <c r="D126" s="74" t="s">
        <v>612</v>
      </c>
      <c r="E126" s="74" t="s">
        <v>644</v>
      </c>
      <c r="F126" s="74" t="s">
        <v>647</v>
      </c>
      <c r="G126" s="55" t="s">
        <v>7</v>
      </c>
      <c r="H126" s="55" t="s">
        <v>7</v>
      </c>
      <c r="I126" s="55" t="s">
        <v>7</v>
      </c>
      <c r="J126" s="55" t="s">
        <v>7</v>
      </c>
      <c r="K126" s="55" t="s">
        <v>7</v>
      </c>
      <c r="L126" s="49" t="str">
        <f t="shared" si="65"/>
        <v>Estrutura.Principal</v>
      </c>
      <c r="M126" s="49" t="str">
        <f t="shared" si="66"/>
        <v>Barras</v>
      </c>
      <c r="N126" s="49" t="str">
        <f t="shared" si="67"/>
        <v>Barras Trefiladas</v>
      </c>
      <c r="O126" s="49" t="str">
        <f t="shared" si="68"/>
        <v>Barra Trefilada Hexagonal</v>
      </c>
      <c r="P126" s="49" t="s">
        <v>648</v>
      </c>
      <c r="Q126" s="49" t="s">
        <v>721</v>
      </c>
      <c r="R126" s="44" t="s">
        <v>1094</v>
      </c>
      <c r="S126" s="75" t="s">
        <v>7</v>
      </c>
      <c r="T126" s="44" t="str">
        <f t="shared" si="12"/>
        <v>Estrutura Principal</v>
      </c>
      <c r="U126" s="44" t="str">
        <f t="shared" si="13"/>
        <v>Barras</v>
      </c>
      <c r="V126" s="44" t="str">
        <f t="shared" si="14"/>
        <v>Barras Trefiladas</v>
      </c>
      <c r="W126" s="44" t="s">
        <v>654</v>
      </c>
      <c r="X126" s="52" t="str">
        <f t="shared" si="7"/>
        <v>Key-MET-126</v>
      </c>
      <c r="Y126" s="44" t="s">
        <v>994</v>
      </c>
      <c r="Z126" s="61" t="s">
        <v>7</v>
      </c>
      <c r="AA126" s="44" t="s">
        <v>995</v>
      </c>
      <c r="AB126" s="61" t="s">
        <v>7</v>
      </c>
      <c r="AC126" s="44" t="s">
        <v>7</v>
      </c>
      <c r="AD126" s="44" t="s">
        <v>7</v>
      </c>
    </row>
    <row r="127" spans="1:30" ht="6.75" customHeight="1" x14ac:dyDescent="0.25">
      <c r="A127" s="54">
        <v>127</v>
      </c>
      <c r="B127" s="73" t="s">
        <v>1045</v>
      </c>
      <c r="C127" s="74" t="s">
        <v>78</v>
      </c>
      <c r="D127" s="74" t="s">
        <v>612</v>
      </c>
      <c r="E127" s="74" t="s">
        <v>760</v>
      </c>
      <c r="F127" s="74" t="s">
        <v>731</v>
      </c>
      <c r="G127" s="55" t="s">
        <v>7</v>
      </c>
      <c r="H127" s="55" t="s">
        <v>7</v>
      </c>
      <c r="I127" s="55" t="s">
        <v>7</v>
      </c>
      <c r="J127" s="55" t="s">
        <v>7</v>
      </c>
      <c r="K127" s="58" t="s">
        <v>765</v>
      </c>
      <c r="L127" s="49" t="str">
        <f t="shared" ref="L127" si="73">_xlfn.CONCAT(SUBSTITUTE(C127,"1.",""))</f>
        <v>Estrutura.Principal</v>
      </c>
      <c r="M127" s="49" t="str">
        <f t="shared" ref="M127" si="74">_xlfn.CONCAT(SUBSTITUTE(D127,"."," "))</f>
        <v>Barras</v>
      </c>
      <c r="N127" s="49" t="str">
        <f t="shared" ref="N127" si="75">_xlfn.CONCAT(SUBSTITUTE(E127,"."," "))</f>
        <v>Barras Contraventamentos</v>
      </c>
      <c r="O127" s="49" t="str">
        <f t="shared" ref="O127" si="76">_xlfn.CONCAT(SUBSTITUTE(F127,"."," "))</f>
        <v>Barra Contraventamento</v>
      </c>
      <c r="P127" s="49" t="s">
        <v>736</v>
      </c>
      <c r="Q127" s="49" t="s">
        <v>737</v>
      </c>
      <c r="R127" s="44" t="s">
        <v>1096</v>
      </c>
      <c r="S127" s="75" t="s">
        <v>7</v>
      </c>
      <c r="T127" s="44" t="str">
        <f t="shared" si="12"/>
        <v>Estrutura Principal</v>
      </c>
      <c r="U127" s="44" t="str">
        <f t="shared" si="13"/>
        <v>Barras</v>
      </c>
      <c r="V127" s="44" t="str">
        <f t="shared" si="14"/>
        <v>Barras Contraventamentos</v>
      </c>
      <c r="W127" s="44" t="s">
        <v>654</v>
      </c>
      <c r="X127" s="52" t="str">
        <f t="shared" si="7"/>
        <v>Key-MET-127</v>
      </c>
      <c r="Y127" s="44" t="s">
        <v>1250</v>
      </c>
      <c r="Z127" s="61" t="s">
        <v>7</v>
      </c>
      <c r="AA127" s="44" t="s">
        <v>1002</v>
      </c>
      <c r="AB127" s="61" t="s">
        <v>7</v>
      </c>
      <c r="AC127" s="44" t="s">
        <v>7</v>
      </c>
      <c r="AD127" s="44" t="s">
        <v>7</v>
      </c>
    </row>
    <row r="128" spans="1:30" ht="6.75" customHeight="1" x14ac:dyDescent="0.25">
      <c r="A128" s="54">
        <v>128</v>
      </c>
      <c r="B128" s="73" t="s">
        <v>1045</v>
      </c>
      <c r="C128" s="74" t="s">
        <v>78</v>
      </c>
      <c r="D128" s="74" t="s">
        <v>612</v>
      </c>
      <c r="E128" s="74" t="s">
        <v>760</v>
      </c>
      <c r="F128" s="74" t="s">
        <v>732</v>
      </c>
      <c r="G128" s="55" t="s">
        <v>7</v>
      </c>
      <c r="H128" s="55" t="s">
        <v>7</v>
      </c>
      <c r="I128" s="55" t="s">
        <v>7</v>
      </c>
      <c r="J128" s="55" t="s">
        <v>7</v>
      </c>
      <c r="K128" s="58" t="s">
        <v>765</v>
      </c>
      <c r="L128" s="49" t="str">
        <f t="shared" ref="L128:L132" si="77">_xlfn.CONCAT(SUBSTITUTE(C128,"1.",""))</f>
        <v>Estrutura.Principal</v>
      </c>
      <c r="M128" s="49" t="str">
        <f t="shared" ref="M128:M132" si="78">_xlfn.CONCAT(SUBSTITUTE(D128,"."," "))</f>
        <v>Barras</v>
      </c>
      <c r="N128" s="49" t="str">
        <f t="shared" ref="N128:N132" si="79">_xlfn.CONCAT(SUBSTITUTE(E128,"."," "))</f>
        <v>Barras Contraventamentos</v>
      </c>
      <c r="O128" s="49" t="str">
        <f t="shared" ref="O128:O132" si="80">_xlfn.CONCAT(SUBSTITUTE(F128,"."," "))</f>
        <v>Barra Comprimida</v>
      </c>
      <c r="P128" s="49" t="s">
        <v>734</v>
      </c>
      <c r="Q128" s="49" t="s">
        <v>738</v>
      </c>
      <c r="R128" s="44" t="s">
        <v>1097</v>
      </c>
      <c r="S128" s="75" t="s">
        <v>7</v>
      </c>
      <c r="T128" s="44" t="str">
        <f t="shared" si="12"/>
        <v>Estrutura Principal</v>
      </c>
      <c r="U128" s="44" t="str">
        <f t="shared" si="13"/>
        <v>Barras</v>
      </c>
      <c r="V128" s="44" t="str">
        <f t="shared" si="14"/>
        <v>Barras Contraventamentos</v>
      </c>
      <c r="W128" s="44" t="s">
        <v>654</v>
      </c>
      <c r="X128" s="52" t="str">
        <f t="shared" si="7"/>
        <v>Key-MET-128</v>
      </c>
      <c r="Y128" s="44" t="s">
        <v>1250</v>
      </c>
      <c r="Z128" s="61" t="s">
        <v>7</v>
      </c>
      <c r="AA128" s="44" t="s">
        <v>1002</v>
      </c>
      <c r="AB128" s="61" t="s">
        <v>7</v>
      </c>
      <c r="AC128" s="44" t="s">
        <v>7</v>
      </c>
      <c r="AD128" s="44" t="s">
        <v>7</v>
      </c>
    </row>
    <row r="129" spans="1:30" ht="6.75" customHeight="1" x14ac:dyDescent="0.25">
      <c r="A129" s="54">
        <v>129</v>
      </c>
      <c r="B129" s="73" t="s">
        <v>1045</v>
      </c>
      <c r="C129" s="74" t="s">
        <v>78</v>
      </c>
      <c r="D129" s="74" t="s">
        <v>612</v>
      </c>
      <c r="E129" s="74" t="s">
        <v>760</v>
      </c>
      <c r="F129" s="74" t="s">
        <v>733</v>
      </c>
      <c r="G129" s="55" t="s">
        <v>7</v>
      </c>
      <c r="H129" s="55" t="s">
        <v>7</v>
      </c>
      <c r="I129" s="55" t="s">
        <v>7</v>
      </c>
      <c r="J129" s="55" t="s">
        <v>7</v>
      </c>
      <c r="K129" s="58" t="s">
        <v>765</v>
      </c>
      <c r="L129" s="49" t="str">
        <f t="shared" si="77"/>
        <v>Estrutura.Principal</v>
      </c>
      <c r="M129" s="49" t="str">
        <f t="shared" si="78"/>
        <v>Barras</v>
      </c>
      <c r="N129" s="49" t="str">
        <f t="shared" si="79"/>
        <v>Barras Contraventamentos</v>
      </c>
      <c r="O129" s="49" t="str">
        <f t="shared" si="80"/>
        <v>Barra Tracionada</v>
      </c>
      <c r="P129" s="49" t="s">
        <v>735</v>
      </c>
      <c r="Q129" s="49" t="s">
        <v>739</v>
      </c>
      <c r="R129" s="44" t="s">
        <v>1098</v>
      </c>
      <c r="S129" s="75" t="s">
        <v>7</v>
      </c>
      <c r="T129" s="44" t="str">
        <f t="shared" si="12"/>
        <v>Estrutura Principal</v>
      </c>
      <c r="U129" s="44" t="str">
        <f t="shared" si="13"/>
        <v>Barras</v>
      </c>
      <c r="V129" s="44" t="str">
        <f t="shared" si="14"/>
        <v>Barras Contraventamentos</v>
      </c>
      <c r="W129" s="44" t="s">
        <v>654</v>
      </c>
      <c r="X129" s="52" t="str">
        <f t="shared" si="7"/>
        <v>Key-MET-129</v>
      </c>
      <c r="Y129" s="44" t="s">
        <v>1250</v>
      </c>
      <c r="Z129" s="61" t="s">
        <v>7</v>
      </c>
      <c r="AA129" s="44" t="s">
        <v>1002</v>
      </c>
      <c r="AB129" s="61" t="s">
        <v>7</v>
      </c>
      <c r="AC129" s="44" t="s">
        <v>7</v>
      </c>
      <c r="AD129" s="44" t="s">
        <v>7</v>
      </c>
    </row>
    <row r="130" spans="1:30" ht="6.75" customHeight="1" x14ac:dyDescent="0.25">
      <c r="A130" s="54">
        <v>130</v>
      </c>
      <c r="B130" s="73" t="s">
        <v>1045</v>
      </c>
      <c r="C130" s="74" t="s">
        <v>78</v>
      </c>
      <c r="D130" s="74" t="s">
        <v>612</v>
      </c>
      <c r="E130" s="74" t="s">
        <v>740</v>
      </c>
      <c r="F130" s="74" t="s">
        <v>743</v>
      </c>
      <c r="G130" s="55" t="s">
        <v>7</v>
      </c>
      <c r="H130" s="55" t="s">
        <v>7</v>
      </c>
      <c r="I130" s="55" t="s">
        <v>7</v>
      </c>
      <c r="J130" s="58" t="s">
        <v>766</v>
      </c>
      <c r="K130" s="58" t="s">
        <v>767</v>
      </c>
      <c r="L130" s="49" t="str">
        <f t="shared" si="77"/>
        <v>Estrutura.Principal</v>
      </c>
      <c r="M130" s="49" t="str">
        <f t="shared" si="78"/>
        <v>Barras</v>
      </c>
      <c r="N130" s="49" t="str">
        <f t="shared" si="79"/>
        <v>Barras Montantes</v>
      </c>
      <c r="O130" s="49" t="str">
        <f t="shared" si="80"/>
        <v>Barra Montante</v>
      </c>
      <c r="P130" s="49" t="s">
        <v>750</v>
      </c>
      <c r="Q130" s="49" t="s">
        <v>751</v>
      </c>
      <c r="R130" s="44" t="s">
        <v>1099</v>
      </c>
      <c r="S130" s="75" t="s">
        <v>7</v>
      </c>
      <c r="T130" s="44" t="str">
        <f t="shared" si="12"/>
        <v>Estrutura Principal</v>
      </c>
      <c r="U130" s="44" t="str">
        <f t="shared" si="13"/>
        <v>Barras</v>
      </c>
      <c r="V130" s="44" t="str">
        <f t="shared" si="14"/>
        <v>Barras Montantes</v>
      </c>
      <c r="W130" s="44" t="s">
        <v>654</v>
      </c>
      <c r="X130" s="52" t="str">
        <f t="shared" ref="X130:X193" si="81">CONCATENATE("Key-MET-",A130)</f>
        <v>Key-MET-130</v>
      </c>
      <c r="Y130" s="44" t="s">
        <v>994</v>
      </c>
      <c r="Z130" s="61" t="s">
        <v>7</v>
      </c>
      <c r="AA130" s="44" t="s">
        <v>1003</v>
      </c>
      <c r="AB130" s="61" t="s">
        <v>7</v>
      </c>
      <c r="AC130" s="44" t="s">
        <v>7</v>
      </c>
      <c r="AD130" s="44" t="s">
        <v>7</v>
      </c>
    </row>
    <row r="131" spans="1:30" ht="6.75" customHeight="1" x14ac:dyDescent="0.25">
      <c r="A131" s="54">
        <v>131</v>
      </c>
      <c r="B131" s="73" t="s">
        <v>1045</v>
      </c>
      <c r="C131" s="74" t="s">
        <v>78</v>
      </c>
      <c r="D131" s="74" t="s">
        <v>612</v>
      </c>
      <c r="E131" s="74" t="s">
        <v>741</v>
      </c>
      <c r="F131" s="74" t="s">
        <v>742</v>
      </c>
      <c r="G131" s="55" t="s">
        <v>7</v>
      </c>
      <c r="H131" s="55" t="s">
        <v>7</v>
      </c>
      <c r="I131" s="55" t="s">
        <v>7</v>
      </c>
      <c r="J131" s="58" t="s">
        <v>766</v>
      </c>
      <c r="K131" s="58" t="s">
        <v>768</v>
      </c>
      <c r="L131" s="49" t="str">
        <f t="shared" si="77"/>
        <v>Estrutura.Principal</v>
      </c>
      <c r="M131" s="49" t="str">
        <f t="shared" si="78"/>
        <v>Barras</v>
      </c>
      <c r="N131" s="49" t="str">
        <f t="shared" si="79"/>
        <v>Barras Diagonais</v>
      </c>
      <c r="O131" s="49" t="str">
        <f t="shared" si="80"/>
        <v>Barra Diagonal</v>
      </c>
      <c r="P131" s="49" t="s">
        <v>749</v>
      </c>
      <c r="Q131" s="49" t="s">
        <v>752</v>
      </c>
      <c r="R131" s="44" t="s">
        <v>1100</v>
      </c>
      <c r="S131" s="75" t="s">
        <v>7</v>
      </c>
      <c r="T131" s="44" t="str">
        <f t="shared" si="12"/>
        <v>Estrutura Principal</v>
      </c>
      <c r="U131" s="44" t="str">
        <f t="shared" si="13"/>
        <v>Barras</v>
      </c>
      <c r="V131" s="44" t="str">
        <f t="shared" si="14"/>
        <v>Barras Diagonais</v>
      </c>
      <c r="W131" s="44" t="s">
        <v>654</v>
      </c>
      <c r="X131" s="52" t="str">
        <f t="shared" si="81"/>
        <v>Key-MET-131</v>
      </c>
      <c r="Y131" s="44" t="s">
        <v>994</v>
      </c>
      <c r="Z131" s="61" t="s">
        <v>7</v>
      </c>
      <c r="AA131" s="44" t="s">
        <v>1002</v>
      </c>
      <c r="AB131" s="61" t="s">
        <v>7</v>
      </c>
      <c r="AC131" s="44" t="s">
        <v>7</v>
      </c>
      <c r="AD131" s="44" t="s">
        <v>7</v>
      </c>
    </row>
    <row r="132" spans="1:30" ht="6.75" customHeight="1" x14ac:dyDescent="0.25">
      <c r="A132" s="54">
        <v>132</v>
      </c>
      <c r="B132" s="73" t="s">
        <v>1045</v>
      </c>
      <c r="C132" s="74" t="s">
        <v>78</v>
      </c>
      <c r="D132" s="74" t="s">
        <v>612</v>
      </c>
      <c r="E132" s="74" t="s">
        <v>744</v>
      </c>
      <c r="F132" s="74" t="s">
        <v>745</v>
      </c>
      <c r="G132" s="55" t="s">
        <v>7</v>
      </c>
      <c r="H132" s="55" t="s">
        <v>7</v>
      </c>
      <c r="I132" s="55" t="s">
        <v>7</v>
      </c>
      <c r="J132" s="58" t="s">
        <v>766</v>
      </c>
      <c r="K132" s="58" t="s">
        <v>769</v>
      </c>
      <c r="L132" s="49" t="str">
        <f t="shared" si="77"/>
        <v>Estrutura.Principal</v>
      </c>
      <c r="M132" s="49" t="str">
        <f t="shared" si="78"/>
        <v>Barras</v>
      </c>
      <c r="N132" s="49" t="str">
        <f t="shared" si="79"/>
        <v>Banzos</v>
      </c>
      <c r="O132" s="49" t="str">
        <f t="shared" si="80"/>
        <v>Banzo Superior</v>
      </c>
      <c r="P132" s="49" t="s">
        <v>747</v>
      </c>
      <c r="Q132" s="49" t="s">
        <v>753</v>
      </c>
      <c r="R132" s="44" t="s">
        <v>1101</v>
      </c>
      <c r="S132" s="75" t="s">
        <v>7</v>
      </c>
      <c r="T132" s="44" t="str">
        <f t="shared" si="12"/>
        <v>Estrutura Principal</v>
      </c>
      <c r="U132" s="44" t="str">
        <f t="shared" si="13"/>
        <v>Barras</v>
      </c>
      <c r="V132" s="44" t="str">
        <f t="shared" si="14"/>
        <v>Banzos</v>
      </c>
      <c r="W132" s="44" t="s">
        <v>654</v>
      </c>
      <c r="X132" s="52" t="str">
        <f t="shared" si="81"/>
        <v>Key-MET-132</v>
      </c>
      <c r="Y132" s="44" t="s">
        <v>994</v>
      </c>
      <c r="Z132" s="61" t="s">
        <v>7</v>
      </c>
      <c r="AA132" s="44" t="s">
        <v>1004</v>
      </c>
      <c r="AB132" s="61" t="s">
        <v>7</v>
      </c>
      <c r="AC132" s="44" t="s">
        <v>7</v>
      </c>
      <c r="AD132" s="44" t="s">
        <v>7</v>
      </c>
    </row>
    <row r="133" spans="1:30" ht="6.75" customHeight="1" x14ac:dyDescent="0.25">
      <c r="A133" s="54">
        <v>133</v>
      </c>
      <c r="B133" s="73" t="s">
        <v>1045</v>
      </c>
      <c r="C133" s="74" t="s">
        <v>78</v>
      </c>
      <c r="D133" s="74" t="s">
        <v>612</v>
      </c>
      <c r="E133" s="74" t="s">
        <v>744</v>
      </c>
      <c r="F133" s="74" t="s">
        <v>746</v>
      </c>
      <c r="G133" s="55" t="s">
        <v>7</v>
      </c>
      <c r="H133" s="55" t="s">
        <v>7</v>
      </c>
      <c r="I133" s="55" t="s">
        <v>7</v>
      </c>
      <c r="J133" s="55" t="s">
        <v>7</v>
      </c>
      <c r="K133" s="58" t="s">
        <v>770</v>
      </c>
      <c r="L133" s="49" t="str">
        <f t="shared" ref="L133" si="82">_xlfn.CONCAT(SUBSTITUTE(C133,"1.",""))</f>
        <v>Estrutura.Principal</v>
      </c>
      <c r="M133" s="49" t="str">
        <f t="shared" ref="M133" si="83">_xlfn.CONCAT(SUBSTITUTE(D133,"."," "))</f>
        <v>Barras</v>
      </c>
      <c r="N133" s="49" t="str">
        <f t="shared" ref="N133" si="84">_xlfn.CONCAT(SUBSTITUTE(E133,"."," "))</f>
        <v>Banzos</v>
      </c>
      <c r="O133" s="49" t="str">
        <f t="shared" ref="O133" si="85">_xlfn.CONCAT(SUBSTITUTE(F133,"."," "))</f>
        <v>Banzo Inferior</v>
      </c>
      <c r="P133" s="49" t="s">
        <v>748</v>
      </c>
      <c r="Q133" s="49" t="s">
        <v>754</v>
      </c>
      <c r="R133" s="44" t="s">
        <v>1102</v>
      </c>
      <c r="S133" s="75" t="s">
        <v>7</v>
      </c>
      <c r="T133" s="44" t="str">
        <f t="shared" si="12"/>
        <v>Estrutura Principal</v>
      </c>
      <c r="U133" s="44" t="str">
        <f t="shared" si="13"/>
        <v>Barras</v>
      </c>
      <c r="V133" s="44" t="str">
        <f t="shared" si="14"/>
        <v>Banzos</v>
      </c>
      <c r="W133" s="44" t="s">
        <v>654</v>
      </c>
      <c r="X133" s="52" t="str">
        <f t="shared" si="81"/>
        <v>Key-MET-133</v>
      </c>
      <c r="Y133" s="44" t="s">
        <v>994</v>
      </c>
      <c r="Z133" s="61" t="s">
        <v>7</v>
      </c>
      <c r="AA133" s="44" t="s">
        <v>1004</v>
      </c>
      <c r="AB133" s="61" t="s">
        <v>7</v>
      </c>
      <c r="AC133" s="44" t="s">
        <v>7</v>
      </c>
      <c r="AD133" s="44" t="s">
        <v>7</v>
      </c>
    </row>
    <row r="134" spans="1:30" ht="6.75" customHeight="1" x14ac:dyDescent="0.25">
      <c r="A134" s="54">
        <v>134</v>
      </c>
      <c r="B134" s="73" t="s">
        <v>1045</v>
      </c>
      <c r="C134" s="74" t="s">
        <v>78</v>
      </c>
      <c r="D134" s="74" t="s">
        <v>761</v>
      </c>
      <c r="E134" s="74" t="s">
        <v>762</v>
      </c>
      <c r="F134" s="74" t="s">
        <v>780</v>
      </c>
      <c r="G134" s="55" t="s">
        <v>7</v>
      </c>
      <c r="H134" s="55" t="s">
        <v>7</v>
      </c>
      <c r="I134" s="55" t="s">
        <v>7</v>
      </c>
      <c r="J134" s="55" t="s">
        <v>7</v>
      </c>
      <c r="K134" s="55" t="s">
        <v>7</v>
      </c>
      <c r="L134" s="49" t="str">
        <f t="shared" ref="L134:L139" si="86">_xlfn.CONCAT(SUBSTITUTE(C134,"1.",""))</f>
        <v>Estrutura.Principal</v>
      </c>
      <c r="M134" s="49" t="str">
        <f t="shared" ref="M134:M139" si="87">_xlfn.CONCAT(SUBSTITUTE(D134,"."," "))</f>
        <v>ContraVentamentos</v>
      </c>
      <c r="N134" s="49" t="str">
        <f t="shared" ref="N134:N139" si="88">_xlfn.CONCAT(SUBSTITUTE(E134,"."," "))</f>
        <v>ContraVentamentos Horizontais</v>
      </c>
      <c r="O134" s="49" t="str">
        <f t="shared" ref="O134:O139" si="89">_xlfn.CONCAT(SUBSTITUTE(F134,"."," "))</f>
        <v>ContraVentamento Horizontal Diagonal</v>
      </c>
      <c r="P134" s="49" t="s">
        <v>787</v>
      </c>
      <c r="Q134" s="49" t="s">
        <v>778</v>
      </c>
      <c r="R134" s="44" t="s">
        <v>1103</v>
      </c>
      <c r="S134" s="75" t="s">
        <v>7</v>
      </c>
      <c r="T134" s="44" t="str">
        <f t="shared" si="12"/>
        <v>Estrutura Principal</v>
      </c>
      <c r="U134" s="44" t="str">
        <f t="shared" si="13"/>
        <v>ContraVentamentos</v>
      </c>
      <c r="V134" s="44" t="str">
        <f t="shared" si="14"/>
        <v>ContraVentamentos Horizontais</v>
      </c>
      <c r="W134" s="44" t="s">
        <v>654</v>
      </c>
      <c r="X134" s="52" t="str">
        <f t="shared" si="81"/>
        <v>Key-MET-134</v>
      </c>
      <c r="Y134" s="44" t="s">
        <v>1005</v>
      </c>
      <c r="Z134" s="61" t="s">
        <v>7</v>
      </c>
      <c r="AA134" s="44" t="s">
        <v>1002</v>
      </c>
      <c r="AB134" s="61" t="s">
        <v>7</v>
      </c>
      <c r="AC134" s="44" t="s">
        <v>7</v>
      </c>
      <c r="AD134" s="44" t="s">
        <v>7</v>
      </c>
    </row>
    <row r="135" spans="1:30" ht="6.75" customHeight="1" x14ac:dyDescent="0.25">
      <c r="A135" s="54">
        <v>135</v>
      </c>
      <c r="B135" s="73" t="s">
        <v>1045</v>
      </c>
      <c r="C135" s="74" t="s">
        <v>78</v>
      </c>
      <c r="D135" s="74" t="s">
        <v>761</v>
      </c>
      <c r="E135" s="74" t="s">
        <v>762</v>
      </c>
      <c r="F135" s="74" t="s">
        <v>755</v>
      </c>
      <c r="G135" s="55" t="s">
        <v>7</v>
      </c>
      <c r="H135" s="55" t="s">
        <v>7</v>
      </c>
      <c r="I135" s="55" t="s">
        <v>7</v>
      </c>
      <c r="J135" s="55" t="s">
        <v>7</v>
      </c>
      <c r="K135" s="55" t="s">
        <v>7</v>
      </c>
      <c r="L135" s="49" t="str">
        <f t="shared" si="86"/>
        <v>Estrutura.Principal</v>
      </c>
      <c r="M135" s="49" t="str">
        <f t="shared" si="87"/>
        <v>ContraVentamentos</v>
      </c>
      <c r="N135" s="49" t="str">
        <f t="shared" si="88"/>
        <v>ContraVentamentos Horizontais</v>
      </c>
      <c r="O135" s="49" t="str">
        <f t="shared" si="89"/>
        <v>ContraVentamento Horizontal X</v>
      </c>
      <c r="P135" s="49" t="s">
        <v>788</v>
      </c>
      <c r="Q135" s="49" t="s">
        <v>801</v>
      </c>
      <c r="R135" s="44" t="s">
        <v>1104</v>
      </c>
      <c r="S135" s="75" t="s">
        <v>7</v>
      </c>
      <c r="T135" s="44" t="str">
        <f t="shared" si="12"/>
        <v>Estrutura Principal</v>
      </c>
      <c r="U135" s="44" t="str">
        <f t="shared" si="13"/>
        <v>ContraVentamentos</v>
      </c>
      <c r="V135" s="44" t="str">
        <f t="shared" si="14"/>
        <v>ContraVentamentos Horizontais</v>
      </c>
      <c r="W135" s="44" t="s">
        <v>654</v>
      </c>
      <c r="X135" s="52" t="str">
        <f t="shared" si="81"/>
        <v>Key-MET-135</v>
      </c>
      <c r="Y135" s="44" t="s">
        <v>1005</v>
      </c>
      <c r="Z135" s="61" t="s">
        <v>7</v>
      </c>
      <c r="AA135" s="44" t="s">
        <v>1002</v>
      </c>
      <c r="AB135" s="61" t="s">
        <v>7</v>
      </c>
      <c r="AC135" s="44" t="s">
        <v>7</v>
      </c>
      <c r="AD135" s="44" t="s">
        <v>7</v>
      </c>
    </row>
    <row r="136" spans="1:30" ht="6.75" customHeight="1" x14ac:dyDescent="0.25">
      <c r="A136" s="54">
        <v>136</v>
      </c>
      <c r="B136" s="73" t="s">
        <v>1045</v>
      </c>
      <c r="C136" s="74" t="s">
        <v>78</v>
      </c>
      <c r="D136" s="74" t="s">
        <v>761</v>
      </c>
      <c r="E136" s="74" t="s">
        <v>762</v>
      </c>
      <c r="F136" s="74" t="s">
        <v>773</v>
      </c>
      <c r="G136" s="55" t="s">
        <v>7</v>
      </c>
      <c r="H136" s="55" t="s">
        <v>7</v>
      </c>
      <c r="I136" s="55" t="s">
        <v>7</v>
      </c>
      <c r="J136" s="55" t="s">
        <v>7</v>
      </c>
      <c r="K136" s="55" t="s">
        <v>7</v>
      </c>
      <c r="L136" s="49" t="str">
        <f t="shared" si="86"/>
        <v>Estrutura.Principal</v>
      </c>
      <c r="M136" s="49" t="str">
        <f t="shared" si="87"/>
        <v>ContraVentamentos</v>
      </c>
      <c r="N136" s="49" t="str">
        <f t="shared" si="88"/>
        <v>ContraVentamentos Horizontais</v>
      </c>
      <c r="O136" s="49" t="str">
        <f t="shared" si="89"/>
        <v>ContraVentamento Horizontal K</v>
      </c>
      <c r="P136" s="49" t="s">
        <v>786</v>
      </c>
      <c r="Q136" s="49" t="s">
        <v>794</v>
      </c>
      <c r="R136" s="44" t="s">
        <v>1105</v>
      </c>
      <c r="S136" s="75" t="s">
        <v>7</v>
      </c>
      <c r="T136" s="44" t="str">
        <f t="shared" si="12"/>
        <v>Estrutura Principal</v>
      </c>
      <c r="U136" s="44" t="str">
        <f t="shared" si="13"/>
        <v>ContraVentamentos</v>
      </c>
      <c r="V136" s="44" t="str">
        <f t="shared" si="14"/>
        <v>ContraVentamentos Horizontais</v>
      </c>
      <c r="W136" s="44" t="s">
        <v>654</v>
      </c>
      <c r="X136" s="52" t="str">
        <f t="shared" si="81"/>
        <v>Key-MET-136</v>
      </c>
      <c r="Y136" s="44" t="s">
        <v>1005</v>
      </c>
      <c r="Z136" s="61" t="s">
        <v>7</v>
      </c>
      <c r="AA136" s="44" t="s">
        <v>1002</v>
      </c>
      <c r="AB136" s="61" t="s">
        <v>7</v>
      </c>
      <c r="AC136" s="44" t="s">
        <v>7</v>
      </c>
      <c r="AD136" s="44" t="s">
        <v>7</v>
      </c>
    </row>
    <row r="137" spans="1:30" ht="6.75" customHeight="1" x14ac:dyDescent="0.25">
      <c r="A137" s="54">
        <v>137</v>
      </c>
      <c r="B137" s="73" t="s">
        <v>1045</v>
      </c>
      <c r="C137" s="74" t="s">
        <v>78</v>
      </c>
      <c r="D137" s="74" t="s">
        <v>761</v>
      </c>
      <c r="E137" s="74" t="s">
        <v>762</v>
      </c>
      <c r="F137" s="74" t="s">
        <v>774</v>
      </c>
      <c r="G137" s="55" t="s">
        <v>7</v>
      </c>
      <c r="H137" s="55" t="s">
        <v>7</v>
      </c>
      <c r="I137" s="55" t="s">
        <v>7</v>
      </c>
      <c r="J137" s="55" t="s">
        <v>7</v>
      </c>
      <c r="K137" s="55" t="s">
        <v>7</v>
      </c>
      <c r="L137" s="49" t="str">
        <f t="shared" si="86"/>
        <v>Estrutura.Principal</v>
      </c>
      <c r="M137" s="49" t="str">
        <f t="shared" si="87"/>
        <v>ContraVentamentos</v>
      </c>
      <c r="N137" s="49" t="str">
        <f t="shared" si="88"/>
        <v>ContraVentamentos Horizontais</v>
      </c>
      <c r="O137" s="49" t="str">
        <f t="shared" si="89"/>
        <v>ContraVentamento Horizontal V</v>
      </c>
      <c r="P137" s="49" t="s">
        <v>785</v>
      </c>
      <c r="Q137" s="49" t="s">
        <v>795</v>
      </c>
      <c r="R137" s="44" t="s">
        <v>1106</v>
      </c>
      <c r="S137" s="75" t="s">
        <v>7</v>
      </c>
      <c r="T137" s="44" t="str">
        <f t="shared" si="12"/>
        <v>Estrutura Principal</v>
      </c>
      <c r="U137" s="44" t="str">
        <f t="shared" si="13"/>
        <v>ContraVentamentos</v>
      </c>
      <c r="V137" s="44" t="str">
        <f t="shared" si="14"/>
        <v>ContraVentamentos Horizontais</v>
      </c>
      <c r="W137" s="44" t="s">
        <v>654</v>
      </c>
      <c r="X137" s="52" t="str">
        <f t="shared" si="81"/>
        <v>Key-MET-137</v>
      </c>
      <c r="Y137" s="44" t="s">
        <v>1005</v>
      </c>
      <c r="Z137" s="61" t="s">
        <v>7</v>
      </c>
      <c r="AA137" s="44" t="s">
        <v>1002</v>
      </c>
      <c r="AB137" s="61" t="s">
        <v>7</v>
      </c>
      <c r="AC137" s="44" t="s">
        <v>7</v>
      </c>
      <c r="AD137" s="44" t="s">
        <v>7</v>
      </c>
    </row>
    <row r="138" spans="1:30" ht="6.75" customHeight="1" x14ac:dyDescent="0.25">
      <c r="A138" s="54">
        <v>138</v>
      </c>
      <c r="B138" s="73" t="s">
        <v>1045</v>
      </c>
      <c r="C138" s="74" t="s">
        <v>78</v>
      </c>
      <c r="D138" s="74" t="s">
        <v>761</v>
      </c>
      <c r="E138" s="74" t="s">
        <v>762</v>
      </c>
      <c r="F138" s="74" t="s">
        <v>775</v>
      </c>
      <c r="G138" s="55" t="s">
        <v>7</v>
      </c>
      <c r="H138" s="55" t="s">
        <v>7</v>
      </c>
      <c r="I138" s="55" t="s">
        <v>7</v>
      </c>
      <c r="J138" s="55" t="s">
        <v>7</v>
      </c>
      <c r="K138" s="55" t="s">
        <v>7</v>
      </c>
      <c r="L138" s="49" t="str">
        <f t="shared" ref="L138" si="90">_xlfn.CONCAT(SUBSTITUTE(C138,"1.",""))</f>
        <v>Estrutura.Principal</v>
      </c>
      <c r="M138" s="49" t="str">
        <f t="shared" ref="M138" si="91">_xlfn.CONCAT(SUBSTITUTE(D138,"."," "))</f>
        <v>ContraVentamentos</v>
      </c>
      <c r="N138" s="49" t="str">
        <f t="shared" ref="N138" si="92">_xlfn.CONCAT(SUBSTITUTE(E138,"."," "))</f>
        <v>ContraVentamentos Horizontais</v>
      </c>
      <c r="O138" s="49" t="str">
        <f t="shared" ref="O138" si="93">_xlfn.CONCAT(SUBSTITUTE(F138,"."," "))</f>
        <v>ContraVentamento Horizontal VI</v>
      </c>
      <c r="P138" s="49" t="s">
        <v>784</v>
      </c>
      <c r="Q138" s="49" t="s">
        <v>796</v>
      </c>
      <c r="R138" s="44" t="s">
        <v>1107</v>
      </c>
      <c r="S138" s="75" t="s">
        <v>7</v>
      </c>
      <c r="T138" s="44" t="str">
        <f t="shared" si="12"/>
        <v>Estrutura Principal</v>
      </c>
      <c r="U138" s="44" t="str">
        <f t="shared" si="13"/>
        <v>ContraVentamentos</v>
      </c>
      <c r="V138" s="44" t="str">
        <f t="shared" si="14"/>
        <v>ContraVentamentos Horizontais</v>
      </c>
      <c r="W138" s="44" t="s">
        <v>654</v>
      </c>
      <c r="X138" s="52" t="str">
        <f t="shared" si="81"/>
        <v>Key-MET-138</v>
      </c>
      <c r="Y138" s="44" t="s">
        <v>1005</v>
      </c>
      <c r="Z138" s="61" t="s">
        <v>7</v>
      </c>
      <c r="AA138" s="44" t="s">
        <v>1002</v>
      </c>
      <c r="AB138" s="61" t="s">
        <v>7</v>
      </c>
      <c r="AC138" s="44" t="s">
        <v>7</v>
      </c>
      <c r="AD138" s="44" t="s">
        <v>7</v>
      </c>
    </row>
    <row r="139" spans="1:30" ht="6.75" customHeight="1" x14ac:dyDescent="0.25">
      <c r="A139" s="54">
        <v>139</v>
      </c>
      <c r="B139" s="73" t="s">
        <v>1045</v>
      </c>
      <c r="C139" s="74" t="s">
        <v>78</v>
      </c>
      <c r="D139" s="74" t="s">
        <v>761</v>
      </c>
      <c r="E139" s="74" t="s">
        <v>762</v>
      </c>
      <c r="F139" s="74" t="s">
        <v>781</v>
      </c>
      <c r="G139" s="55" t="s">
        <v>7</v>
      </c>
      <c r="H139" s="55" t="s">
        <v>7</v>
      </c>
      <c r="I139" s="55" t="s">
        <v>7</v>
      </c>
      <c r="J139" s="55" t="s">
        <v>7</v>
      </c>
      <c r="K139" s="55" t="s">
        <v>7</v>
      </c>
      <c r="L139" s="49" t="str">
        <f t="shared" si="86"/>
        <v>Estrutura.Principal</v>
      </c>
      <c r="M139" s="49" t="str">
        <f t="shared" si="87"/>
        <v>ContraVentamentos</v>
      </c>
      <c r="N139" s="49" t="str">
        <f t="shared" si="88"/>
        <v>ContraVentamentos Horizontais</v>
      </c>
      <c r="O139" s="49" t="str">
        <f t="shared" si="89"/>
        <v>ContraVentamento Horizontal Delta</v>
      </c>
      <c r="P139" s="49" t="s">
        <v>783</v>
      </c>
      <c r="Q139" s="49" t="s">
        <v>797</v>
      </c>
      <c r="R139" s="44" t="s">
        <v>1108</v>
      </c>
      <c r="S139" s="75" t="s">
        <v>7</v>
      </c>
      <c r="T139" s="44" t="str">
        <f t="shared" si="12"/>
        <v>Estrutura Principal</v>
      </c>
      <c r="U139" s="44" t="str">
        <f t="shared" si="13"/>
        <v>ContraVentamentos</v>
      </c>
      <c r="V139" s="44" t="str">
        <f t="shared" si="14"/>
        <v>ContraVentamentos Horizontais</v>
      </c>
      <c r="W139" s="44" t="s">
        <v>654</v>
      </c>
      <c r="X139" s="52" t="str">
        <f t="shared" si="81"/>
        <v>Key-MET-139</v>
      </c>
      <c r="Y139" s="44" t="s">
        <v>1005</v>
      </c>
      <c r="Z139" s="61" t="s">
        <v>7</v>
      </c>
      <c r="AA139" s="44" t="s">
        <v>1002</v>
      </c>
      <c r="AB139" s="61" t="s">
        <v>7</v>
      </c>
      <c r="AC139" s="44" t="s">
        <v>7</v>
      </c>
      <c r="AD139" s="44" t="s">
        <v>7</v>
      </c>
    </row>
    <row r="140" spans="1:30" ht="6.75" customHeight="1" x14ac:dyDescent="0.25">
      <c r="A140" s="54">
        <v>140</v>
      </c>
      <c r="B140" s="73" t="s">
        <v>1045</v>
      </c>
      <c r="C140" s="74" t="s">
        <v>78</v>
      </c>
      <c r="D140" s="74" t="s">
        <v>761</v>
      </c>
      <c r="E140" s="74" t="s">
        <v>763</v>
      </c>
      <c r="F140" s="74" t="s">
        <v>756</v>
      </c>
      <c r="G140" s="55" t="s">
        <v>7</v>
      </c>
      <c r="H140" s="55" t="s">
        <v>7</v>
      </c>
      <c r="I140" s="55" t="s">
        <v>7</v>
      </c>
      <c r="J140" s="55" t="s">
        <v>7</v>
      </c>
      <c r="K140" s="55" t="s">
        <v>7</v>
      </c>
      <c r="L140" s="49" t="str">
        <f t="shared" ref="L140" si="94">_xlfn.CONCAT(SUBSTITUTE(C140,"1.",""))</f>
        <v>Estrutura.Principal</v>
      </c>
      <c r="M140" s="49" t="str">
        <f t="shared" ref="M140" si="95">_xlfn.CONCAT(SUBSTITUTE(D140,"."," "))</f>
        <v>ContraVentamentos</v>
      </c>
      <c r="N140" s="49" t="str">
        <f t="shared" ref="N140" si="96">_xlfn.CONCAT(SUBSTITUTE(E140,"."," "))</f>
        <v>ContraVentamentos Verticais</v>
      </c>
      <c r="O140" s="49" t="str">
        <f t="shared" ref="O140" si="97">_xlfn.CONCAT(SUBSTITUTE(F140,"."," "))</f>
        <v>ContraVentamento Vertical</v>
      </c>
      <c r="P140" s="49" t="s">
        <v>789</v>
      </c>
      <c r="Q140" s="49" t="s">
        <v>779</v>
      </c>
      <c r="R140" s="44" t="s">
        <v>1109</v>
      </c>
      <c r="S140" s="75" t="s">
        <v>7</v>
      </c>
      <c r="T140" s="44" t="str">
        <f t="shared" si="12"/>
        <v>Estrutura Principal</v>
      </c>
      <c r="U140" s="44" t="str">
        <f t="shared" si="13"/>
        <v>ContraVentamentos</v>
      </c>
      <c r="V140" s="44" t="str">
        <f t="shared" si="14"/>
        <v>ContraVentamentos Verticais</v>
      </c>
      <c r="W140" s="44" t="s">
        <v>654</v>
      </c>
      <c r="X140" s="52" t="str">
        <f t="shared" si="81"/>
        <v>Key-MET-140</v>
      </c>
      <c r="Y140" s="44" t="s">
        <v>1006</v>
      </c>
      <c r="Z140" s="61" t="s">
        <v>7</v>
      </c>
      <c r="AA140" s="44" t="s">
        <v>1002</v>
      </c>
      <c r="AB140" s="61" t="s">
        <v>7</v>
      </c>
      <c r="AC140" s="44" t="s">
        <v>7</v>
      </c>
      <c r="AD140" s="44" t="s">
        <v>7</v>
      </c>
    </row>
    <row r="141" spans="1:30" ht="6.75" customHeight="1" x14ac:dyDescent="0.25">
      <c r="A141" s="54">
        <v>141</v>
      </c>
      <c r="B141" s="73" t="s">
        <v>1045</v>
      </c>
      <c r="C141" s="74" t="s">
        <v>78</v>
      </c>
      <c r="D141" s="74" t="s">
        <v>761</v>
      </c>
      <c r="E141" s="74" t="s">
        <v>763</v>
      </c>
      <c r="F141" s="74" t="s">
        <v>757</v>
      </c>
      <c r="G141" s="55" t="s">
        <v>7</v>
      </c>
      <c r="H141" s="55" t="s">
        <v>7</v>
      </c>
      <c r="I141" s="55" t="s">
        <v>7</v>
      </c>
      <c r="J141" s="55" t="s">
        <v>7</v>
      </c>
      <c r="K141" s="55" t="s">
        <v>7</v>
      </c>
      <c r="L141" s="49" t="str">
        <f t="shared" ref="L141:L146" si="98">_xlfn.CONCAT(SUBSTITUTE(C141,"1.",""))</f>
        <v>Estrutura.Principal</v>
      </c>
      <c r="M141" s="49" t="str">
        <f t="shared" ref="M141:M146" si="99">_xlfn.CONCAT(SUBSTITUTE(D141,"."," "))</f>
        <v>ContraVentamentos</v>
      </c>
      <c r="N141" s="49" t="str">
        <f t="shared" ref="N141:N146" si="100">_xlfn.CONCAT(SUBSTITUTE(E141,"."," "))</f>
        <v>ContraVentamentos Verticais</v>
      </c>
      <c r="O141" s="49" t="str">
        <f t="shared" ref="O141:O146" si="101">_xlfn.CONCAT(SUBSTITUTE(F141,"."," "))</f>
        <v>ContraVentamento Vertical X</v>
      </c>
      <c r="P141" s="49" t="s">
        <v>790</v>
      </c>
      <c r="Q141" s="49" t="s">
        <v>802</v>
      </c>
      <c r="R141" s="44" t="s">
        <v>1110</v>
      </c>
      <c r="S141" s="75" t="s">
        <v>7</v>
      </c>
      <c r="T141" s="44" t="str">
        <f t="shared" si="12"/>
        <v>Estrutura Principal</v>
      </c>
      <c r="U141" s="44" t="str">
        <f t="shared" si="13"/>
        <v>ContraVentamentos</v>
      </c>
      <c r="V141" s="44" t="str">
        <f t="shared" si="14"/>
        <v>ContraVentamentos Verticais</v>
      </c>
      <c r="W141" s="44" t="s">
        <v>654</v>
      </c>
      <c r="X141" s="52" t="str">
        <f t="shared" si="81"/>
        <v>Key-MET-141</v>
      </c>
      <c r="Y141" s="44" t="s">
        <v>1006</v>
      </c>
      <c r="Z141" s="61" t="s">
        <v>7</v>
      </c>
      <c r="AA141" s="44" t="s">
        <v>1002</v>
      </c>
      <c r="AB141" s="61" t="s">
        <v>7</v>
      </c>
      <c r="AC141" s="44" t="s">
        <v>7</v>
      </c>
      <c r="AD141" s="44" t="s">
        <v>7</v>
      </c>
    </row>
    <row r="142" spans="1:30" ht="6.75" customHeight="1" x14ac:dyDescent="0.25">
      <c r="A142" s="54">
        <v>142</v>
      </c>
      <c r="B142" s="73" t="s">
        <v>1045</v>
      </c>
      <c r="C142" s="74" t="s">
        <v>78</v>
      </c>
      <c r="D142" s="74" t="s">
        <v>761</v>
      </c>
      <c r="E142" s="74" t="s">
        <v>763</v>
      </c>
      <c r="F142" s="74" t="s">
        <v>758</v>
      </c>
      <c r="G142" s="55" t="s">
        <v>7</v>
      </c>
      <c r="H142" s="55" t="s">
        <v>7</v>
      </c>
      <c r="I142" s="55" t="s">
        <v>7</v>
      </c>
      <c r="J142" s="55" t="s">
        <v>7</v>
      </c>
      <c r="K142" s="55" t="s">
        <v>7</v>
      </c>
      <c r="L142" s="49" t="str">
        <f t="shared" si="98"/>
        <v>Estrutura.Principal</v>
      </c>
      <c r="M142" s="49" t="str">
        <f t="shared" si="99"/>
        <v>ContraVentamentos</v>
      </c>
      <c r="N142" s="49" t="str">
        <f t="shared" si="100"/>
        <v>ContraVentamentos Verticais</v>
      </c>
      <c r="O142" s="49" t="str">
        <f t="shared" si="101"/>
        <v>ContraVentamento Vertical K</v>
      </c>
      <c r="P142" s="49" t="s">
        <v>791</v>
      </c>
      <c r="Q142" s="49" t="s">
        <v>798</v>
      </c>
      <c r="R142" s="44" t="s">
        <v>1111</v>
      </c>
      <c r="S142" s="75" t="s">
        <v>7</v>
      </c>
      <c r="T142" s="44" t="str">
        <f t="shared" si="12"/>
        <v>Estrutura Principal</v>
      </c>
      <c r="U142" s="44" t="str">
        <f t="shared" si="13"/>
        <v>ContraVentamentos</v>
      </c>
      <c r="V142" s="44" t="str">
        <f t="shared" si="14"/>
        <v>ContraVentamentos Verticais</v>
      </c>
      <c r="W142" s="44" t="s">
        <v>654</v>
      </c>
      <c r="X142" s="52" t="str">
        <f t="shared" si="81"/>
        <v>Key-MET-142</v>
      </c>
      <c r="Y142" s="44" t="s">
        <v>1006</v>
      </c>
      <c r="Z142" s="61" t="s">
        <v>7</v>
      </c>
      <c r="AA142" s="44" t="s">
        <v>1002</v>
      </c>
      <c r="AB142" s="61" t="s">
        <v>7</v>
      </c>
      <c r="AC142" s="44" t="s">
        <v>7</v>
      </c>
      <c r="AD142" s="44" t="s">
        <v>7</v>
      </c>
    </row>
    <row r="143" spans="1:30" ht="6.75" customHeight="1" x14ac:dyDescent="0.25">
      <c r="A143" s="54">
        <v>143</v>
      </c>
      <c r="B143" s="73" t="s">
        <v>1045</v>
      </c>
      <c r="C143" s="74" t="s">
        <v>78</v>
      </c>
      <c r="D143" s="74" t="s">
        <v>761</v>
      </c>
      <c r="E143" s="74" t="s">
        <v>763</v>
      </c>
      <c r="F143" s="74" t="s">
        <v>759</v>
      </c>
      <c r="G143" s="55" t="s">
        <v>7</v>
      </c>
      <c r="H143" s="55" t="s">
        <v>7</v>
      </c>
      <c r="I143" s="55" t="s">
        <v>7</v>
      </c>
      <c r="J143" s="55" t="s">
        <v>7</v>
      </c>
      <c r="K143" s="55" t="s">
        <v>7</v>
      </c>
      <c r="L143" s="49" t="str">
        <f t="shared" ref="L143:L145" si="102">_xlfn.CONCAT(SUBSTITUTE(C143,"1.",""))</f>
        <v>Estrutura.Principal</v>
      </c>
      <c r="M143" s="49" t="str">
        <f t="shared" ref="M143:M145" si="103">_xlfn.CONCAT(SUBSTITUTE(D143,"."," "))</f>
        <v>ContraVentamentos</v>
      </c>
      <c r="N143" s="49" t="str">
        <f t="shared" ref="N143:N145" si="104">_xlfn.CONCAT(SUBSTITUTE(E143,"."," "))</f>
        <v>ContraVentamentos Verticais</v>
      </c>
      <c r="O143" s="49" t="str">
        <f t="shared" ref="O143:O145" si="105">_xlfn.CONCAT(SUBSTITUTE(F143,"."," "))</f>
        <v>ContraVentamento Vertical V</v>
      </c>
      <c r="P143" s="49" t="s">
        <v>792</v>
      </c>
      <c r="Q143" s="49" t="s">
        <v>799</v>
      </c>
      <c r="R143" s="44" t="s">
        <v>1112</v>
      </c>
      <c r="S143" s="75" t="s">
        <v>7</v>
      </c>
      <c r="T143" s="44" t="str">
        <f t="shared" si="12"/>
        <v>Estrutura Principal</v>
      </c>
      <c r="U143" s="44" t="str">
        <f t="shared" si="13"/>
        <v>ContraVentamentos</v>
      </c>
      <c r="V143" s="44" t="str">
        <f t="shared" si="14"/>
        <v>ContraVentamentos Verticais</v>
      </c>
      <c r="W143" s="44" t="s">
        <v>654</v>
      </c>
      <c r="X143" s="52" t="str">
        <f t="shared" si="81"/>
        <v>Key-MET-143</v>
      </c>
      <c r="Y143" s="44" t="s">
        <v>1006</v>
      </c>
      <c r="Z143" s="61" t="s">
        <v>7</v>
      </c>
      <c r="AA143" s="44" t="s">
        <v>1002</v>
      </c>
      <c r="AB143" s="61" t="s">
        <v>7</v>
      </c>
      <c r="AC143" s="44" t="s">
        <v>7</v>
      </c>
      <c r="AD143" s="44" t="s">
        <v>7</v>
      </c>
    </row>
    <row r="144" spans="1:30" ht="6.75" customHeight="1" x14ac:dyDescent="0.25">
      <c r="A144" s="54">
        <v>144</v>
      </c>
      <c r="B144" s="73" t="s">
        <v>1045</v>
      </c>
      <c r="C144" s="74" t="s">
        <v>78</v>
      </c>
      <c r="D144" s="74" t="s">
        <v>761</v>
      </c>
      <c r="E144" s="74" t="s">
        <v>763</v>
      </c>
      <c r="F144" s="74" t="s">
        <v>764</v>
      </c>
      <c r="G144" s="55" t="s">
        <v>7</v>
      </c>
      <c r="H144" s="55" t="s">
        <v>7</v>
      </c>
      <c r="I144" s="55" t="s">
        <v>7</v>
      </c>
      <c r="J144" s="55" t="s">
        <v>7</v>
      </c>
      <c r="K144" s="55" t="s">
        <v>7</v>
      </c>
      <c r="L144" s="49" t="str">
        <f t="shared" ref="L144" si="106">_xlfn.CONCAT(SUBSTITUTE(C144,"1.",""))</f>
        <v>Estrutura.Principal</v>
      </c>
      <c r="M144" s="49" t="str">
        <f t="shared" ref="M144" si="107">_xlfn.CONCAT(SUBSTITUTE(D144,"."," "))</f>
        <v>ContraVentamentos</v>
      </c>
      <c r="N144" s="49" t="str">
        <f t="shared" ref="N144" si="108">_xlfn.CONCAT(SUBSTITUTE(E144,"."," "))</f>
        <v>ContraVentamentos Verticais</v>
      </c>
      <c r="O144" s="49" t="str">
        <f t="shared" ref="O144" si="109">_xlfn.CONCAT(SUBSTITUTE(F144,"."," "))</f>
        <v>ContraVentamento Vertical VI</v>
      </c>
      <c r="P144" s="49" t="s">
        <v>793</v>
      </c>
      <c r="Q144" s="49" t="s">
        <v>800</v>
      </c>
      <c r="R144" s="44" t="s">
        <v>1113</v>
      </c>
      <c r="S144" s="75" t="s">
        <v>7</v>
      </c>
      <c r="T144" s="44" t="str">
        <f t="shared" si="12"/>
        <v>Estrutura Principal</v>
      </c>
      <c r="U144" s="44" t="str">
        <f t="shared" si="13"/>
        <v>ContraVentamentos</v>
      </c>
      <c r="V144" s="44" t="str">
        <f t="shared" si="14"/>
        <v>ContraVentamentos Verticais</v>
      </c>
      <c r="W144" s="44" t="s">
        <v>654</v>
      </c>
      <c r="X144" s="52" t="str">
        <f t="shared" si="81"/>
        <v>Key-MET-144</v>
      </c>
      <c r="Y144" s="44" t="s">
        <v>1006</v>
      </c>
      <c r="Z144" s="61" t="s">
        <v>7</v>
      </c>
      <c r="AA144" s="44" t="s">
        <v>1002</v>
      </c>
      <c r="AB144" s="61" t="s">
        <v>7</v>
      </c>
      <c r="AC144" s="44" t="s">
        <v>7</v>
      </c>
      <c r="AD144" s="44" t="s">
        <v>7</v>
      </c>
    </row>
    <row r="145" spans="1:30" ht="6.75" customHeight="1" x14ac:dyDescent="0.25">
      <c r="A145" s="54">
        <v>145</v>
      </c>
      <c r="B145" s="73" t="s">
        <v>1045</v>
      </c>
      <c r="C145" s="74" t="s">
        <v>78</v>
      </c>
      <c r="D145" s="74" t="s">
        <v>761</v>
      </c>
      <c r="E145" s="74" t="s">
        <v>763</v>
      </c>
      <c r="F145" s="74" t="s">
        <v>782</v>
      </c>
      <c r="G145" s="55" t="s">
        <v>7</v>
      </c>
      <c r="H145" s="55" t="s">
        <v>7</v>
      </c>
      <c r="I145" s="55" t="s">
        <v>7</v>
      </c>
      <c r="J145" s="55" t="s">
        <v>7</v>
      </c>
      <c r="K145" s="55" t="s">
        <v>7</v>
      </c>
      <c r="L145" s="49" t="str">
        <f t="shared" si="102"/>
        <v>Estrutura.Principal</v>
      </c>
      <c r="M145" s="49" t="str">
        <f t="shared" si="103"/>
        <v>ContraVentamentos</v>
      </c>
      <c r="N145" s="49" t="str">
        <f t="shared" si="104"/>
        <v>ContraVentamentos Verticais</v>
      </c>
      <c r="O145" s="49" t="str">
        <f t="shared" si="105"/>
        <v>ContraVentamento Vertical Delta</v>
      </c>
      <c r="P145" s="49" t="s">
        <v>783</v>
      </c>
      <c r="Q145" s="49" t="s">
        <v>797</v>
      </c>
      <c r="R145" s="44" t="s">
        <v>1108</v>
      </c>
      <c r="S145" s="75" t="s">
        <v>7</v>
      </c>
      <c r="T145" s="44" t="str">
        <f t="shared" si="12"/>
        <v>Estrutura Principal</v>
      </c>
      <c r="U145" s="44" t="str">
        <f t="shared" si="13"/>
        <v>ContraVentamentos</v>
      </c>
      <c r="V145" s="44" t="str">
        <f t="shared" si="14"/>
        <v>ContraVentamentos Verticais</v>
      </c>
      <c r="W145" s="44" t="s">
        <v>654</v>
      </c>
      <c r="X145" s="52" t="str">
        <f t="shared" si="81"/>
        <v>Key-MET-145</v>
      </c>
      <c r="Y145" s="44" t="s">
        <v>1006</v>
      </c>
      <c r="Z145" s="61" t="s">
        <v>7</v>
      </c>
      <c r="AA145" s="44" t="s">
        <v>1002</v>
      </c>
      <c r="AB145" s="61" t="s">
        <v>7</v>
      </c>
      <c r="AC145" s="44" t="s">
        <v>7</v>
      </c>
      <c r="AD145" s="44" t="s">
        <v>7</v>
      </c>
    </row>
    <row r="146" spans="1:30" ht="6.75" customHeight="1" x14ac:dyDescent="0.25">
      <c r="A146" s="54">
        <v>146</v>
      </c>
      <c r="B146" s="73" t="s">
        <v>1045</v>
      </c>
      <c r="C146" s="74" t="s">
        <v>78</v>
      </c>
      <c r="D146" s="74" t="s">
        <v>761</v>
      </c>
      <c r="E146" s="74" t="s">
        <v>771</v>
      </c>
      <c r="F146" s="74" t="s">
        <v>772</v>
      </c>
      <c r="G146" s="55" t="s">
        <v>7</v>
      </c>
      <c r="H146" s="55" t="s">
        <v>7</v>
      </c>
      <c r="I146" s="55" t="s">
        <v>7</v>
      </c>
      <c r="J146" s="55" t="s">
        <v>7</v>
      </c>
      <c r="K146" s="55" t="s">
        <v>7</v>
      </c>
      <c r="L146" s="49" t="str">
        <f t="shared" si="98"/>
        <v>Estrutura.Principal</v>
      </c>
      <c r="M146" s="49" t="str">
        <f t="shared" si="99"/>
        <v>ContraVentamentos</v>
      </c>
      <c r="N146" s="49" t="str">
        <f t="shared" si="100"/>
        <v>ContraVentamentos Cabos</v>
      </c>
      <c r="O146" s="49" t="str">
        <f t="shared" si="101"/>
        <v>ContraVentamento Cabo</v>
      </c>
      <c r="P146" s="49" t="s">
        <v>777</v>
      </c>
      <c r="Q146" s="49" t="s">
        <v>776</v>
      </c>
      <c r="R146" s="44" t="s">
        <v>1114</v>
      </c>
      <c r="S146" s="75" t="s">
        <v>7</v>
      </c>
      <c r="T146" s="44" t="str">
        <f t="shared" si="12"/>
        <v>Estrutura Principal</v>
      </c>
      <c r="U146" s="44" t="str">
        <f t="shared" si="13"/>
        <v>ContraVentamentos</v>
      </c>
      <c r="V146" s="44" t="str">
        <f t="shared" si="14"/>
        <v>ContraVentamentos Cabos</v>
      </c>
      <c r="W146" s="44" t="s">
        <v>654</v>
      </c>
      <c r="X146" s="52" t="str">
        <f t="shared" si="81"/>
        <v>Key-MET-146</v>
      </c>
      <c r="Y146" s="44" t="s">
        <v>1007</v>
      </c>
      <c r="Z146" s="61" t="s">
        <v>7</v>
      </c>
      <c r="AA146" s="44" t="s">
        <v>1002</v>
      </c>
      <c r="AB146" s="61" t="s">
        <v>7</v>
      </c>
      <c r="AC146" s="44" t="s">
        <v>7</v>
      </c>
      <c r="AD146" s="44" t="s">
        <v>7</v>
      </c>
    </row>
    <row r="147" spans="1:30" ht="6.75" customHeight="1" x14ac:dyDescent="0.25">
      <c r="A147" s="54">
        <v>147</v>
      </c>
      <c r="B147" s="73" t="s">
        <v>1045</v>
      </c>
      <c r="C147" s="74" t="s">
        <v>78</v>
      </c>
      <c r="D147" s="74" t="s">
        <v>613</v>
      </c>
      <c r="E147" s="74" t="s">
        <v>629</v>
      </c>
      <c r="F147" s="74" t="s">
        <v>621</v>
      </c>
      <c r="G147" s="55" t="s">
        <v>7</v>
      </c>
      <c r="H147" s="55" t="s">
        <v>7</v>
      </c>
      <c r="I147" s="55" t="s">
        <v>7</v>
      </c>
      <c r="J147" s="55" t="s">
        <v>7</v>
      </c>
      <c r="K147" s="55" t="s">
        <v>7</v>
      </c>
      <c r="L147" s="49" t="str">
        <f t="shared" ref="L147:L151" si="110">_xlfn.CONCAT(SUBSTITUTE(C147,"1.",""))</f>
        <v>Estrutura.Principal</v>
      </c>
      <c r="M147" s="49" t="str">
        <f t="shared" ref="M147:M151" si="111">_xlfn.CONCAT(SUBSTITUTE(D147,"."," "))</f>
        <v>Treliçados</v>
      </c>
      <c r="N147" s="49" t="str">
        <f t="shared" ref="N147:N151" si="112">_xlfn.CONCAT(SUBSTITUTE(E147,"."," "))</f>
        <v>Treliças Planas</v>
      </c>
      <c r="O147" s="49" t="str">
        <f t="shared" ref="O147:O150" si="113">_xlfn.CONCAT(SUBSTITUTE(F147,"."," "))</f>
        <v>Treliça Pratt</v>
      </c>
      <c r="P147" s="49" t="s">
        <v>622</v>
      </c>
      <c r="Q147" s="49" t="s">
        <v>683</v>
      </c>
      <c r="R147" s="44" t="s">
        <v>1115</v>
      </c>
      <c r="S147" s="75" t="s">
        <v>7</v>
      </c>
      <c r="T147" s="44" t="str">
        <f t="shared" si="12"/>
        <v>Estrutura Principal</v>
      </c>
      <c r="U147" s="44" t="str">
        <f t="shared" si="13"/>
        <v>Treliçados</v>
      </c>
      <c r="V147" s="44" t="str">
        <f t="shared" si="14"/>
        <v>Treliças Planas</v>
      </c>
      <c r="W147" s="44" t="s">
        <v>654</v>
      </c>
      <c r="X147" s="52" t="str">
        <f t="shared" si="81"/>
        <v>Key-MET-147</v>
      </c>
      <c r="Y147" s="44" t="s">
        <v>1008</v>
      </c>
      <c r="Z147" s="61" t="s">
        <v>7</v>
      </c>
      <c r="AA147" s="44" t="s">
        <v>1009</v>
      </c>
      <c r="AB147" s="61" t="s">
        <v>7</v>
      </c>
      <c r="AC147" s="44" t="s">
        <v>7</v>
      </c>
      <c r="AD147" s="44" t="s">
        <v>7</v>
      </c>
    </row>
    <row r="148" spans="1:30" ht="6.75" customHeight="1" x14ac:dyDescent="0.25">
      <c r="A148" s="54">
        <v>148</v>
      </c>
      <c r="B148" s="73" t="s">
        <v>1045</v>
      </c>
      <c r="C148" s="74" t="s">
        <v>78</v>
      </c>
      <c r="D148" s="74" t="s">
        <v>613</v>
      </c>
      <c r="E148" s="74" t="s">
        <v>629</v>
      </c>
      <c r="F148" s="74" t="s">
        <v>623</v>
      </c>
      <c r="G148" s="55" t="s">
        <v>7</v>
      </c>
      <c r="H148" s="55" t="s">
        <v>7</v>
      </c>
      <c r="I148" s="55" t="s">
        <v>7</v>
      </c>
      <c r="J148" s="55" t="s">
        <v>7</v>
      </c>
      <c r="K148" s="55" t="s">
        <v>7</v>
      </c>
      <c r="L148" s="49" t="str">
        <f t="shared" ref="L148:L150" si="114">_xlfn.CONCAT(SUBSTITUTE(C148,"1.",""))</f>
        <v>Estrutura.Principal</v>
      </c>
      <c r="M148" s="49" t="str">
        <f t="shared" ref="M148:M150" si="115">_xlfn.CONCAT(SUBSTITUTE(D148,"."," "))</f>
        <v>Treliçados</v>
      </c>
      <c r="N148" s="49" t="str">
        <f t="shared" ref="N148:N150" si="116">_xlfn.CONCAT(SUBSTITUTE(E148,"."," "))</f>
        <v>Treliças Planas</v>
      </c>
      <c r="O148" s="49" t="str">
        <f t="shared" si="113"/>
        <v>Treliça Howe</v>
      </c>
      <c r="P148" s="49" t="s">
        <v>624</v>
      </c>
      <c r="Q148" s="49" t="s">
        <v>684</v>
      </c>
      <c r="R148" s="44" t="s">
        <v>1116</v>
      </c>
      <c r="S148" s="75" t="s">
        <v>7</v>
      </c>
      <c r="T148" s="44" t="str">
        <f t="shared" si="12"/>
        <v>Estrutura Principal</v>
      </c>
      <c r="U148" s="44" t="str">
        <f t="shared" si="13"/>
        <v>Treliçados</v>
      </c>
      <c r="V148" s="44" t="str">
        <f t="shared" si="14"/>
        <v>Treliças Planas</v>
      </c>
      <c r="W148" s="44" t="s">
        <v>654</v>
      </c>
      <c r="X148" s="52" t="str">
        <f t="shared" si="81"/>
        <v>Key-MET-148</v>
      </c>
      <c r="Y148" s="44" t="s">
        <v>1008</v>
      </c>
      <c r="Z148" s="61" t="s">
        <v>7</v>
      </c>
      <c r="AA148" s="44" t="s">
        <v>1009</v>
      </c>
      <c r="AB148" s="61" t="s">
        <v>7</v>
      </c>
      <c r="AC148" s="44" t="s">
        <v>7</v>
      </c>
      <c r="AD148" s="44" t="s">
        <v>7</v>
      </c>
    </row>
    <row r="149" spans="1:30" ht="6.75" customHeight="1" x14ac:dyDescent="0.25">
      <c r="A149" s="54">
        <v>149</v>
      </c>
      <c r="B149" s="73" t="s">
        <v>1045</v>
      </c>
      <c r="C149" s="74" t="s">
        <v>78</v>
      </c>
      <c r="D149" s="74" t="s">
        <v>613</v>
      </c>
      <c r="E149" s="74" t="s">
        <v>629</v>
      </c>
      <c r="F149" s="74" t="s">
        <v>625</v>
      </c>
      <c r="G149" s="55" t="s">
        <v>7</v>
      </c>
      <c r="H149" s="55" t="s">
        <v>7</v>
      </c>
      <c r="I149" s="55" t="s">
        <v>7</v>
      </c>
      <c r="J149" s="55" t="s">
        <v>7</v>
      </c>
      <c r="K149" s="55" t="s">
        <v>7</v>
      </c>
      <c r="L149" s="49" t="str">
        <f t="shared" si="114"/>
        <v>Estrutura.Principal</v>
      </c>
      <c r="M149" s="49" t="str">
        <f t="shared" si="115"/>
        <v>Treliçados</v>
      </c>
      <c r="N149" s="49" t="str">
        <f t="shared" si="116"/>
        <v>Treliças Planas</v>
      </c>
      <c r="O149" s="49" t="str">
        <f t="shared" si="113"/>
        <v>Treliça Warren</v>
      </c>
      <c r="P149" s="49" t="s">
        <v>627</v>
      </c>
      <c r="Q149" s="49" t="s">
        <v>685</v>
      </c>
      <c r="R149" s="44" t="s">
        <v>1117</v>
      </c>
      <c r="S149" s="75" t="s">
        <v>7</v>
      </c>
      <c r="T149" s="44" t="str">
        <f t="shared" si="12"/>
        <v>Estrutura Principal</v>
      </c>
      <c r="U149" s="44" t="str">
        <f t="shared" si="13"/>
        <v>Treliçados</v>
      </c>
      <c r="V149" s="44" t="str">
        <f t="shared" si="14"/>
        <v>Treliças Planas</v>
      </c>
      <c r="W149" s="44" t="s">
        <v>654</v>
      </c>
      <c r="X149" s="52" t="str">
        <f t="shared" si="81"/>
        <v>Key-MET-149</v>
      </c>
      <c r="Y149" s="44" t="s">
        <v>1008</v>
      </c>
      <c r="Z149" s="61" t="s">
        <v>7</v>
      </c>
      <c r="AA149" s="44" t="s">
        <v>1009</v>
      </c>
      <c r="AB149" s="61" t="s">
        <v>7</v>
      </c>
      <c r="AC149" s="44" t="s">
        <v>7</v>
      </c>
      <c r="AD149" s="44" t="s">
        <v>7</v>
      </c>
    </row>
    <row r="150" spans="1:30" ht="6.75" customHeight="1" x14ac:dyDescent="0.25">
      <c r="A150" s="54">
        <v>150</v>
      </c>
      <c r="B150" s="73" t="s">
        <v>1045</v>
      </c>
      <c r="C150" s="74" t="s">
        <v>78</v>
      </c>
      <c r="D150" s="74" t="s">
        <v>613</v>
      </c>
      <c r="E150" s="74" t="s">
        <v>629</v>
      </c>
      <c r="F150" s="74" t="s">
        <v>628</v>
      </c>
      <c r="G150" s="55" t="s">
        <v>7</v>
      </c>
      <c r="H150" s="55" t="s">
        <v>7</v>
      </c>
      <c r="I150" s="55" t="s">
        <v>7</v>
      </c>
      <c r="J150" s="55" t="s">
        <v>7</v>
      </c>
      <c r="K150" s="55" t="s">
        <v>7</v>
      </c>
      <c r="L150" s="49" t="str">
        <f t="shared" si="114"/>
        <v>Estrutura.Principal</v>
      </c>
      <c r="M150" s="49" t="str">
        <f t="shared" si="115"/>
        <v>Treliçados</v>
      </c>
      <c r="N150" s="49" t="str">
        <f t="shared" si="116"/>
        <v>Treliças Planas</v>
      </c>
      <c r="O150" s="49" t="str">
        <f t="shared" si="113"/>
        <v>Treliça Fink</v>
      </c>
      <c r="P150" s="49" t="s">
        <v>630</v>
      </c>
      <c r="Q150" s="49" t="s">
        <v>686</v>
      </c>
      <c r="R150" s="44" t="s">
        <v>1118</v>
      </c>
      <c r="S150" s="75" t="s">
        <v>7</v>
      </c>
      <c r="T150" s="44" t="str">
        <f t="shared" si="12"/>
        <v>Estrutura Principal</v>
      </c>
      <c r="U150" s="44" t="str">
        <f t="shared" si="13"/>
        <v>Treliçados</v>
      </c>
      <c r="V150" s="44" t="str">
        <f t="shared" si="14"/>
        <v>Treliças Planas</v>
      </c>
      <c r="W150" s="44" t="s">
        <v>654</v>
      </c>
      <c r="X150" s="52" t="str">
        <f t="shared" si="81"/>
        <v>Key-MET-150</v>
      </c>
      <c r="Y150" s="44" t="s">
        <v>1008</v>
      </c>
      <c r="Z150" s="61" t="s">
        <v>7</v>
      </c>
      <c r="AA150" s="44" t="s">
        <v>1009</v>
      </c>
      <c r="AB150" s="61" t="s">
        <v>7</v>
      </c>
      <c r="AC150" s="44" t="s">
        <v>7</v>
      </c>
      <c r="AD150" s="44" t="s">
        <v>7</v>
      </c>
    </row>
    <row r="151" spans="1:30" ht="6.75" customHeight="1" x14ac:dyDescent="0.25">
      <c r="A151" s="54">
        <v>151</v>
      </c>
      <c r="B151" s="73" t="s">
        <v>1045</v>
      </c>
      <c r="C151" s="74" t="s">
        <v>78</v>
      </c>
      <c r="D151" s="74" t="s">
        <v>613</v>
      </c>
      <c r="E151" s="74" t="s">
        <v>629</v>
      </c>
      <c r="F151" s="74" t="s">
        <v>626</v>
      </c>
      <c r="G151" s="55" t="s">
        <v>7</v>
      </c>
      <c r="H151" s="55" t="s">
        <v>7</v>
      </c>
      <c r="I151" s="55" t="s">
        <v>7</v>
      </c>
      <c r="J151" s="55" t="s">
        <v>7</v>
      </c>
      <c r="K151" s="55" t="s">
        <v>7</v>
      </c>
      <c r="L151" s="49" t="str">
        <f t="shared" si="110"/>
        <v>Estrutura.Principal</v>
      </c>
      <c r="M151" s="49" t="str">
        <f t="shared" si="111"/>
        <v>Treliçados</v>
      </c>
      <c r="N151" s="49" t="str">
        <f t="shared" si="112"/>
        <v>Treliças Planas</v>
      </c>
      <c r="O151" s="49" t="str">
        <f t="shared" ref="O151" si="117">_xlfn.CONCAT(SUBSTITUTE(F151,"."," "))</f>
        <v>Treliça Vierendeel</v>
      </c>
      <c r="P151" s="49" t="s">
        <v>631</v>
      </c>
      <c r="Q151" s="49" t="s">
        <v>687</v>
      </c>
      <c r="R151" s="44" t="s">
        <v>1119</v>
      </c>
      <c r="S151" s="75" t="s">
        <v>7</v>
      </c>
      <c r="T151" s="44" t="str">
        <f t="shared" si="12"/>
        <v>Estrutura Principal</v>
      </c>
      <c r="U151" s="44" t="str">
        <f t="shared" si="13"/>
        <v>Treliçados</v>
      </c>
      <c r="V151" s="44" t="str">
        <f t="shared" si="14"/>
        <v>Treliças Planas</v>
      </c>
      <c r="W151" s="44" t="s">
        <v>654</v>
      </c>
      <c r="X151" s="52" t="str">
        <f t="shared" si="81"/>
        <v>Key-MET-151</v>
      </c>
      <c r="Y151" s="44" t="s">
        <v>1008</v>
      </c>
      <c r="Z151" s="61" t="s">
        <v>7</v>
      </c>
      <c r="AA151" s="44" t="s">
        <v>1009</v>
      </c>
      <c r="AB151" s="61" t="s">
        <v>7</v>
      </c>
      <c r="AC151" s="44" t="s">
        <v>7</v>
      </c>
      <c r="AD151" s="44" t="s">
        <v>7</v>
      </c>
    </row>
    <row r="152" spans="1:30" ht="6.75" customHeight="1" x14ac:dyDescent="0.25">
      <c r="A152" s="54">
        <v>152</v>
      </c>
      <c r="B152" s="73" t="s">
        <v>1045</v>
      </c>
      <c r="C152" s="74" t="s">
        <v>78</v>
      </c>
      <c r="D152" s="74" t="s">
        <v>613</v>
      </c>
      <c r="E152" s="74" t="s">
        <v>629</v>
      </c>
      <c r="F152" s="74" t="s">
        <v>620</v>
      </c>
      <c r="G152" s="55" t="s">
        <v>7</v>
      </c>
      <c r="H152" s="55" t="s">
        <v>7</v>
      </c>
      <c r="I152" s="55" t="s">
        <v>7</v>
      </c>
      <c r="J152" s="55" t="s">
        <v>7</v>
      </c>
      <c r="K152" s="55" t="s">
        <v>7</v>
      </c>
      <c r="L152" s="49" t="str">
        <f t="shared" si="65"/>
        <v>Estrutura.Principal</v>
      </c>
      <c r="M152" s="49" t="str">
        <f t="shared" si="66"/>
        <v>Treliçados</v>
      </c>
      <c r="N152" s="49" t="str">
        <f t="shared" si="67"/>
        <v>Treliças Planas</v>
      </c>
      <c r="O152" s="49" t="str">
        <f t="shared" si="68"/>
        <v>Tesoura</v>
      </c>
      <c r="P152" s="49" t="s">
        <v>632</v>
      </c>
      <c r="Q152" s="49" t="s">
        <v>688</v>
      </c>
      <c r="R152" s="44" t="s">
        <v>1120</v>
      </c>
      <c r="S152" s="75" t="s">
        <v>7</v>
      </c>
      <c r="T152" s="44" t="str">
        <f t="shared" si="12"/>
        <v>Estrutura Principal</v>
      </c>
      <c r="U152" s="44" t="str">
        <f t="shared" si="13"/>
        <v>Treliçados</v>
      </c>
      <c r="V152" s="44" t="str">
        <f t="shared" si="14"/>
        <v>Treliças Planas</v>
      </c>
      <c r="W152" s="44" t="s">
        <v>654</v>
      </c>
      <c r="X152" s="52" t="str">
        <f t="shared" si="81"/>
        <v>Key-MET-152</v>
      </c>
      <c r="Y152" s="44" t="s">
        <v>1008</v>
      </c>
      <c r="Z152" s="61" t="s">
        <v>7</v>
      </c>
      <c r="AA152" s="44" t="s">
        <v>1009</v>
      </c>
      <c r="AB152" s="61" t="s">
        <v>7</v>
      </c>
      <c r="AC152" s="44" t="s">
        <v>7</v>
      </c>
      <c r="AD152" s="44" t="s">
        <v>7</v>
      </c>
    </row>
    <row r="153" spans="1:30" ht="6.75" customHeight="1" x14ac:dyDescent="0.25">
      <c r="A153" s="54">
        <v>153</v>
      </c>
      <c r="B153" s="73" t="s">
        <v>1045</v>
      </c>
      <c r="C153" s="74" t="s">
        <v>78</v>
      </c>
      <c r="D153" s="74" t="s">
        <v>613</v>
      </c>
      <c r="E153" s="74" t="s">
        <v>629</v>
      </c>
      <c r="F153" s="74" t="s">
        <v>583</v>
      </c>
      <c r="G153" s="55" t="s">
        <v>7</v>
      </c>
      <c r="H153" s="55" t="s">
        <v>7</v>
      </c>
      <c r="I153" s="55" t="s">
        <v>7</v>
      </c>
      <c r="J153" s="55" t="s">
        <v>7</v>
      </c>
      <c r="K153" s="55" t="s">
        <v>7</v>
      </c>
      <c r="L153" s="49" t="str">
        <f t="shared" ref="L153:L159" si="118">_xlfn.CONCAT(SUBSTITUTE(C153,"1.",""))</f>
        <v>Estrutura.Principal</v>
      </c>
      <c r="M153" s="49" t="str">
        <f t="shared" si="53"/>
        <v>Treliçados</v>
      </c>
      <c r="N153" s="49" t="str">
        <f t="shared" si="54"/>
        <v>Treliças Planas</v>
      </c>
      <c r="O153" s="49" t="str">
        <f t="shared" ref="O153:O159" si="119">_xlfn.CONCAT(SUBSTITUTE(F153,"."," "))</f>
        <v>Treliça Ponte</v>
      </c>
      <c r="P153" s="49" t="s">
        <v>638</v>
      </c>
      <c r="Q153" s="49" t="s">
        <v>689</v>
      </c>
      <c r="R153" s="44" t="s">
        <v>1121</v>
      </c>
      <c r="S153" s="75" t="s">
        <v>7</v>
      </c>
      <c r="T153" s="44" t="str">
        <f t="shared" si="12"/>
        <v>Estrutura Principal</v>
      </c>
      <c r="U153" s="44" t="str">
        <f t="shared" si="13"/>
        <v>Treliçados</v>
      </c>
      <c r="V153" s="44" t="str">
        <f t="shared" si="14"/>
        <v>Treliças Planas</v>
      </c>
      <c r="W153" s="44" t="s">
        <v>654</v>
      </c>
      <c r="X153" s="52" t="str">
        <f t="shared" si="81"/>
        <v>Key-MET-153</v>
      </c>
      <c r="Y153" s="44" t="s">
        <v>1008</v>
      </c>
      <c r="Z153" s="61" t="s">
        <v>7</v>
      </c>
      <c r="AA153" s="44" t="s">
        <v>1009</v>
      </c>
      <c r="AB153" s="61" t="s">
        <v>7</v>
      </c>
      <c r="AC153" s="44" t="s">
        <v>7</v>
      </c>
      <c r="AD153" s="44" t="s">
        <v>7</v>
      </c>
    </row>
    <row r="154" spans="1:30" ht="6.75" customHeight="1" x14ac:dyDescent="0.25">
      <c r="A154" s="54">
        <v>154</v>
      </c>
      <c r="B154" s="73" t="s">
        <v>1045</v>
      </c>
      <c r="C154" s="74" t="s">
        <v>78</v>
      </c>
      <c r="D154" s="74" t="s">
        <v>613</v>
      </c>
      <c r="E154" s="74" t="s">
        <v>668</v>
      </c>
      <c r="F154" s="74" t="s">
        <v>659</v>
      </c>
      <c r="G154" s="55" t="s">
        <v>7</v>
      </c>
      <c r="H154" s="55" t="s">
        <v>7</v>
      </c>
      <c r="I154" s="55" t="s">
        <v>7</v>
      </c>
      <c r="J154" s="55" t="s">
        <v>7</v>
      </c>
      <c r="K154" s="55" t="s">
        <v>7</v>
      </c>
      <c r="L154" s="49" t="str">
        <f t="shared" ref="L154:L158" si="120">_xlfn.CONCAT(SUBSTITUTE(C154,"1.",""))</f>
        <v>Estrutura.Principal</v>
      </c>
      <c r="M154" s="49" t="str">
        <f t="shared" ref="M154:M158" si="121">_xlfn.CONCAT(SUBSTITUTE(D154,"."," "))</f>
        <v>Treliçados</v>
      </c>
      <c r="N154" s="49" t="str">
        <f t="shared" ref="N154:N158" si="122">_xlfn.CONCAT(SUBSTITUTE(E154,"."," "))</f>
        <v>Treliças Espaciais</v>
      </c>
      <c r="O154" s="49" t="str">
        <f t="shared" ref="O154:O158" si="123">_xlfn.CONCAT(SUBSTITUTE(F154,"."," "))</f>
        <v>Treliça Espacial Reticulada</v>
      </c>
      <c r="P154" s="49" t="s">
        <v>662</v>
      </c>
      <c r="Q154" s="49" t="s">
        <v>690</v>
      </c>
      <c r="R154" s="44" t="s">
        <v>1122</v>
      </c>
      <c r="S154" s="75" t="s">
        <v>7</v>
      </c>
      <c r="T154" s="44" t="str">
        <f t="shared" si="12"/>
        <v>Estrutura Principal</v>
      </c>
      <c r="U154" s="44" t="str">
        <f t="shared" si="13"/>
        <v>Treliçados</v>
      </c>
      <c r="V154" s="44" t="str">
        <f t="shared" si="14"/>
        <v>Treliças Espaciais</v>
      </c>
      <c r="W154" s="44" t="s">
        <v>654</v>
      </c>
      <c r="X154" s="52" t="str">
        <f t="shared" si="81"/>
        <v>Key-MET-154</v>
      </c>
      <c r="Y154" s="44" t="s">
        <v>1008</v>
      </c>
      <c r="Z154" s="61" t="s">
        <v>7</v>
      </c>
      <c r="AA154" s="44" t="s">
        <v>1009</v>
      </c>
      <c r="AB154" s="61" t="s">
        <v>7</v>
      </c>
      <c r="AC154" s="44" t="s">
        <v>7</v>
      </c>
      <c r="AD154" s="44" t="s">
        <v>7</v>
      </c>
    </row>
    <row r="155" spans="1:30" ht="6.75" customHeight="1" x14ac:dyDescent="0.25">
      <c r="A155" s="54">
        <v>155</v>
      </c>
      <c r="B155" s="73" t="s">
        <v>1045</v>
      </c>
      <c r="C155" s="74" t="s">
        <v>78</v>
      </c>
      <c r="D155" s="74" t="s">
        <v>613</v>
      </c>
      <c r="E155" s="74" t="s">
        <v>668</v>
      </c>
      <c r="F155" s="74" t="s">
        <v>660</v>
      </c>
      <c r="G155" s="55" t="s">
        <v>7</v>
      </c>
      <c r="H155" s="55" t="s">
        <v>7</v>
      </c>
      <c r="I155" s="55" t="s">
        <v>7</v>
      </c>
      <c r="J155" s="55" t="s">
        <v>7</v>
      </c>
      <c r="K155" s="55" t="s">
        <v>7</v>
      </c>
      <c r="L155" s="49" t="str">
        <f t="shared" ref="L155" si="124">_xlfn.CONCAT(SUBSTITUTE(C155,"1.",""))</f>
        <v>Estrutura.Principal</v>
      </c>
      <c r="M155" s="49" t="str">
        <f t="shared" ref="M155" si="125">_xlfn.CONCAT(SUBSTITUTE(D155,"."," "))</f>
        <v>Treliçados</v>
      </c>
      <c r="N155" s="49" t="str">
        <f t="shared" ref="N155" si="126">_xlfn.CONCAT(SUBSTITUTE(E155,"."," "))</f>
        <v>Treliças Espaciais</v>
      </c>
      <c r="O155" s="49" t="str">
        <f t="shared" ref="O155" si="127">_xlfn.CONCAT(SUBSTITUTE(F155,"."," "))</f>
        <v>Treliça Espacial Geodésica</v>
      </c>
      <c r="P155" s="49" t="s">
        <v>667</v>
      </c>
      <c r="Q155" s="49" t="s">
        <v>691</v>
      </c>
      <c r="R155" s="44" t="s">
        <v>1123</v>
      </c>
      <c r="S155" s="75" t="s">
        <v>7</v>
      </c>
      <c r="T155" s="44" t="str">
        <f t="shared" ref="T155:T202" si="128">SUBSTITUTE(C155, ".", " ")</f>
        <v>Estrutura Principal</v>
      </c>
      <c r="U155" s="44" t="str">
        <f t="shared" ref="U155:U202" si="129">SUBSTITUTE(D155, ".", " ")</f>
        <v>Treliçados</v>
      </c>
      <c r="V155" s="44" t="str">
        <f t="shared" ref="V155:V202" si="130">SUBSTITUTE(E155, ".", " ")</f>
        <v>Treliças Espaciais</v>
      </c>
      <c r="W155" s="44" t="s">
        <v>654</v>
      </c>
      <c r="X155" s="52" t="str">
        <f t="shared" si="81"/>
        <v>Key-MET-155</v>
      </c>
      <c r="Y155" s="44" t="s">
        <v>1008</v>
      </c>
      <c r="Z155" s="61" t="s">
        <v>7</v>
      </c>
      <c r="AA155" s="44" t="s">
        <v>1009</v>
      </c>
      <c r="AB155" s="61" t="s">
        <v>7</v>
      </c>
      <c r="AC155" s="44" t="s">
        <v>7</v>
      </c>
      <c r="AD155" s="44" t="s">
        <v>7</v>
      </c>
    </row>
    <row r="156" spans="1:30" ht="6.75" customHeight="1" x14ac:dyDescent="0.25">
      <c r="A156" s="54">
        <v>156</v>
      </c>
      <c r="B156" s="73" t="s">
        <v>1045</v>
      </c>
      <c r="C156" s="74" t="s">
        <v>78</v>
      </c>
      <c r="D156" s="74" t="s">
        <v>613</v>
      </c>
      <c r="E156" s="74" t="s">
        <v>668</v>
      </c>
      <c r="F156" s="74" t="s">
        <v>669</v>
      </c>
      <c r="G156" s="55" t="s">
        <v>7</v>
      </c>
      <c r="H156" s="55" t="s">
        <v>7</v>
      </c>
      <c r="I156" s="55" t="s">
        <v>7</v>
      </c>
      <c r="J156" s="55" t="s">
        <v>7</v>
      </c>
      <c r="K156" s="55" t="s">
        <v>7</v>
      </c>
      <c r="L156" s="49" t="str">
        <f t="shared" si="120"/>
        <v>Estrutura.Principal</v>
      </c>
      <c r="M156" s="49" t="str">
        <f t="shared" si="121"/>
        <v>Treliçados</v>
      </c>
      <c r="N156" s="49" t="str">
        <f t="shared" si="122"/>
        <v>Treliças Espaciais</v>
      </c>
      <c r="O156" s="49" t="str">
        <f t="shared" si="123"/>
        <v>Treliça Espacial Arqueada</v>
      </c>
      <c r="P156" s="49" t="s">
        <v>670</v>
      </c>
      <c r="Q156" s="49" t="s">
        <v>692</v>
      </c>
      <c r="R156" s="44" t="s">
        <v>1124</v>
      </c>
      <c r="S156" s="75" t="s">
        <v>7</v>
      </c>
      <c r="T156" s="44" t="str">
        <f t="shared" si="128"/>
        <v>Estrutura Principal</v>
      </c>
      <c r="U156" s="44" t="str">
        <f t="shared" si="129"/>
        <v>Treliçados</v>
      </c>
      <c r="V156" s="44" t="str">
        <f t="shared" si="130"/>
        <v>Treliças Espaciais</v>
      </c>
      <c r="W156" s="44" t="s">
        <v>654</v>
      </c>
      <c r="X156" s="52" t="str">
        <f t="shared" si="81"/>
        <v>Key-MET-156</v>
      </c>
      <c r="Y156" s="44" t="s">
        <v>1008</v>
      </c>
      <c r="Z156" s="61" t="s">
        <v>7</v>
      </c>
      <c r="AA156" s="44" t="s">
        <v>1009</v>
      </c>
      <c r="AB156" s="61" t="s">
        <v>7</v>
      </c>
      <c r="AC156" s="44" t="s">
        <v>7</v>
      </c>
      <c r="AD156" s="44" t="s">
        <v>7</v>
      </c>
    </row>
    <row r="157" spans="1:30" ht="6.75" customHeight="1" x14ac:dyDescent="0.25">
      <c r="A157" s="54">
        <v>157</v>
      </c>
      <c r="B157" s="73" t="s">
        <v>1045</v>
      </c>
      <c r="C157" s="74" t="s">
        <v>78</v>
      </c>
      <c r="D157" s="74" t="s">
        <v>613</v>
      </c>
      <c r="E157" s="74" t="s">
        <v>668</v>
      </c>
      <c r="F157" s="74" t="s">
        <v>661</v>
      </c>
      <c r="G157" s="55" t="s">
        <v>7</v>
      </c>
      <c r="H157" s="55" t="s">
        <v>7</v>
      </c>
      <c r="I157" s="55" t="s">
        <v>7</v>
      </c>
      <c r="J157" s="55" t="s">
        <v>7</v>
      </c>
      <c r="K157" s="55" t="s">
        <v>7</v>
      </c>
      <c r="L157" s="49" t="str">
        <f t="shared" si="120"/>
        <v>Estrutura.Principal</v>
      </c>
      <c r="M157" s="49" t="str">
        <f t="shared" si="121"/>
        <v>Treliçados</v>
      </c>
      <c r="N157" s="49" t="str">
        <f t="shared" si="122"/>
        <v>Treliças Espaciais</v>
      </c>
      <c r="O157" s="49" t="str">
        <f t="shared" si="123"/>
        <v>Treliça Espacial Piramidal</v>
      </c>
      <c r="P157" s="49" t="s">
        <v>666</v>
      </c>
      <c r="Q157" s="49" t="s">
        <v>693</v>
      </c>
      <c r="R157" s="44" t="s">
        <v>1125</v>
      </c>
      <c r="S157" s="75" t="s">
        <v>7</v>
      </c>
      <c r="T157" s="44" t="str">
        <f t="shared" si="128"/>
        <v>Estrutura Principal</v>
      </c>
      <c r="U157" s="44" t="str">
        <f t="shared" si="129"/>
        <v>Treliçados</v>
      </c>
      <c r="V157" s="44" t="str">
        <f t="shared" si="130"/>
        <v>Treliças Espaciais</v>
      </c>
      <c r="W157" s="44" t="s">
        <v>654</v>
      </c>
      <c r="X157" s="52" t="str">
        <f t="shared" si="81"/>
        <v>Key-MET-157</v>
      </c>
      <c r="Y157" s="44" t="s">
        <v>1008</v>
      </c>
      <c r="Z157" s="61" t="s">
        <v>7</v>
      </c>
      <c r="AA157" s="44" t="s">
        <v>1009</v>
      </c>
      <c r="AB157" s="61" t="s">
        <v>7</v>
      </c>
      <c r="AC157" s="44" t="s">
        <v>7</v>
      </c>
      <c r="AD157" s="44" t="s">
        <v>7</v>
      </c>
    </row>
    <row r="158" spans="1:30" ht="6.75" customHeight="1" x14ac:dyDescent="0.25">
      <c r="A158" s="54">
        <v>158</v>
      </c>
      <c r="B158" s="73" t="s">
        <v>1045</v>
      </c>
      <c r="C158" s="74" t="s">
        <v>78</v>
      </c>
      <c r="D158" s="74" t="s">
        <v>613</v>
      </c>
      <c r="E158" s="74" t="s">
        <v>668</v>
      </c>
      <c r="F158" s="74" t="s">
        <v>663</v>
      </c>
      <c r="G158" s="55" t="s">
        <v>7</v>
      </c>
      <c r="H158" s="55" t="s">
        <v>7</v>
      </c>
      <c r="I158" s="55" t="s">
        <v>7</v>
      </c>
      <c r="J158" s="55" t="s">
        <v>7</v>
      </c>
      <c r="K158" s="55" t="s">
        <v>7</v>
      </c>
      <c r="L158" s="49" t="str">
        <f t="shared" si="120"/>
        <v>Estrutura.Principal</v>
      </c>
      <c r="M158" s="49" t="str">
        <f t="shared" si="121"/>
        <v>Treliçados</v>
      </c>
      <c r="N158" s="49" t="str">
        <f t="shared" si="122"/>
        <v>Treliças Espaciais</v>
      </c>
      <c r="O158" s="49" t="str">
        <f t="shared" si="123"/>
        <v>Treliça Espacial Octaédrica</v>
      </c>
      <c r="P158" s="49" t="s">
        <v>665</v>
      </c>
      <c r="Q158" s="49" t="s">
        <v>694</v>
      </c>
      <c r="R158" s="44" t="s">
        <v>1126</v>
      </c>
      <c r="S158" s="75" t="s">
        <v>7</v>
      </c>
      <c r="T158" s="44" t="str">
        <f t="shared" si="128"/>
        <v>Estrutura Principal</v>
      </c>
      <c r="U158" s="44" t="str">
        <f t="shared" si="129"/>
        <v>Treliçados</v>
      </c>
      <c r="V158" s="44" t="str">
        <f t="shared" si="130"/>
        <v>Treliças Espaciais</v>
      </c>
      <c r="W158" s="44" t="s">
        <v>654</v>
      </c>
      <c r="X158" s="52" t="str">
        <f t="shared" si="81"/>
        <v>Key-MET-158</v>
      </c>
      <c r="Y158" s="44" t="s">
        <v>1008</v>
      </c>
      <c r="Z158" s="61" t="s">
        <v>7</v>
      </c>
      <c r="AA158" s="44" t="s">
        <v>1009</v>
      </c>
      <c r="AB158" s="61" t="s">
        <v>7</v>
      </c>
      <c r="AC158" s="44" t="s">
        <v>7</v>
      </c>
      <c r="AD158" s="44" t="s">
        <v>7</v>
      </c>
    </row>
    <row r="159" spans="1:30" ht="6.75" customHeight="1" x14ac:dyDescent="0.25">
      <c r="A159" s="54">
        <v>159</v>
      </c>
      <c r="B159" s="73" t="s">
        <v>1045</v>
      </c>
      <c r="C159" s="74" t="s">
        <v>78</v>
      </c>
      <c r="D159" s="74" t="s">
        <v>613</v>
      </c>
      <c r="E159" s="74" t="s">
        <v>668</v>
      </c>
      <c r="F159" s="74" t="s">
        <v>671</v>
      </c>
      <c r="G159" s="55" t="s">
        <v>7</v>
      </c>
      <c r="H159" s="55" t="s">
        <v>7</v>
      </c>
      <c r="I159" s="55" t="s">
        <v>7</v>
      </c>
      <c r="J159" s="55" t="s">
        <v>7</v>
      </c>
      <c r="K159" s="55" t="s">
        <v>7</v>
      </c>
      <c r="L159" s="49" t="str">
        <f t="shared" si="118"/>
        <v>Estrutura.Principal</v>
      </c>
      <c r="M159" s="49" t="str">
        <f t="shared" si="53"/>
        <v>Treliçados</v>
      </c>
      <c r="N159" s="49" t="str">
        <f t="shared" si="54"/>
        <v>Treliças Espaciais</v>
      </c>
      <c r="O159" s="49" t="str">
        <f t="shared" si="119"/>
        <v>Treliça Espacial Híbrida</v>
      </c>
      <c r="P159" s="49" t="s">
        <v>664</v>
      </c>
      <c r="Q159" s="49" t="s">
        <v>695</v>
      </c>
      <c r="R159" s="44" t="s">
        <v>1127</v>
      </c>
      <c r="S159" s="75" t="s">
        <v>7</v>
      </c>
      <c r="T159" s="44" t="str">
        <f t="shared" si="128"/>
        <v>Estrutura Principal</v>
      </c>
      <c r="U159" s="44" t="str">
        <f t="shared" si="129"/>
        <v>Treliçados</v>
      </c>
      <c r="V159" s="44" t="str">
        <f t="shared" si="130"/>
        <v>Treliças Espaciais</v>
      </c>
      <c r="W159" s="44" t="s">
        <v>654</v>
      </c>
      <c r="X159" s="52" t="str">
        <f t="shared" si="81"/>
        <v>Key-MET-159</v>
      </c>
      <c r="Y159" s="44" t="s">
        <v>1008</v>
      </c>
      <c r="Z159" s="61" t="s">
        <v>7</v>
      </c>
      <c r="AA159" s="44" t="s">
        <v>1009</v>
      </c>
      <c r="AB159" s="61" t="s">
        <v>7</v>
      </c>
      <c r="AC159" s="44" t="s">
        <v>7</v>
      </c>
      <c r="AD159" s="44" t="s">
        <v>7</v>
      </c>
    </row>
    <row r="160" spans="1:30" ht="6.75" customHeight="1" x14ac:dyDescent="0.25">
      <c r="A160" s="54">
        <v>160</v>
      </c>
      <c r="B160" s="73" t="s">
        <v>1045</v>
      </c>
      <c r="C160" s="74" t="s">
        <v>78</v>
      </c>
      <c r="D160" s="74" t="s">
        <v>574</v>
      </c>
      <c r="E160" s="74" t="s">
        <v>929</v>
      </c>
      <c r="F160" s="74" t="s">
        <v>658</v>
      </c>
      <c r="G160" s="55" t="s">
        <v>7</v>
      </c>
      <c r="H160" s="55" t="s">
        <v>7</v>
      </c>
      <c r="I160" s="55" t="s">
        <v>7</v>
      </c>
      <c r="J160" s="55" t="s">
        <v>7</v>
      </c>
      <c r="K160" s="55" t="s">
        <v>7</v>
      </c>
      <c r="L160" s="49" t="str">
        <f t="shared" si="49"/>
        <v>Estrutura.Principal</v>
      </c>
      <c r="M160" s="49" t="str">
        <f t="shared" ref="M160:M177" si="131">_xlfn.CONCAT(SUBSTITUTE(D160,"."," "))</f>
        <v>Tensionadas</v>
      </c>
      <c r="N160" s="49" t="str">
        <f t="shared" ref="N160:N177" si="132">_xlfn.CONCAT(SUBSTITUTE(E160,"."," "))</f>
        <v>Ancoras</v>
      </c>
      <c r="O160" s="49" t="str">
        <f t="shared" ref="O160:O194" si="133">_xlfn.CONCAT(SUBSTITUTE(F160,"."," "))</f>
        <v>Ancora Estrutural</v>
      </c>
      <c r="P160" s="49" t="s">
        <v>571</v>
      </c>
      <c r="Q160" s="49" t="s">
        <v>696</v>
      </c>
      <c r="R160" s="44" t="s">
        <v>1128</v>
      </c>
      <c r="S160" s="75" t="s">
        <v>7</v>
      </c>
      <c r="T160" s="44" t="str">
        <f t="shared" si="128"/>
        <v>Estrutura Principal</v>
      </c>
      <c r="U160" s="44" t="str">
        <f t="shared" si="129"/>
        <v>Tensionadas</v>
      </c>
      <c r="V160" s="44" t="str">
        <f t="shared" si="130"/>
        <v>Ancoras</v>
      </c>
      <c r="W160" s="44" t="s">
        <v>654</v>
      </c>
      <c r="X160" s="52" t="str">
        <f t="shared" si="81"/>
        <v>Key-MET-160</v>
      </c>
      <c r="Y160" s="44" t="s">
        <v>1010</v>
      </c>
      <c r="Z160" s="61" t="s">
        <v>7</v>
      </c>
      <c r="AA160" s="44" t="s">
        <v>1011</v>
      </c>
      <c r="AB160" s="61" t="s">
        <v>7</v>
      </c>
      <c r="AC160" s="44" t="s">
        <v>7</v>
      </c>
      <c r="AD160" s="44" t="s">
        <v>7</v>
      </c>
    </row>
    <row r="161" spans="1:30" ht="6.75" customHeight="1" x14ac:dyDescent="0.25">
      <c r="A161" s="54">
        <v>161</v>
      </c>
      <c r="B161" s="73" t="s">
        <v>1045</v>
      </c>
      <c r="C161" s="74" t="s">
        <v>78</v>
      </c>
      <c r="D161" s="74" t="s">
        <v>574</v>
      </c>
      <c r="E161" s="74" t="s">
        <v>929</v>
      </c>
      <c r="F161" s="74" t="s">
        <v>657</v>
      </c>
      <c r="G161" s="55" t="s">
        <v>7</v>
      </c>
      <c r="H161" s="55" t="s">
        <v>7</v>
      </c>
      <c r="I161" s="55" t="s">
        <v>7</v>
      </c>
      <c r="J161" s="55" t="s">
        <v>7</v>
      </c>
      <c r="K161" s="55" t="s">
        <v>7</v>
      </c>
      <c r="L161" s="49" t="str">
        <f t="shared" ref="L161:L176" si="134">_xlfn.CONCAT(SUBSTITUTE(C161,"1.",""))</f>
        <v>Estrutura.Principal</v>
      </c>
      <c r="M161" s="49" t="str">
        <f t="shared" ref="M161:M176" si="135">_xlfn.CONCAT(SUBSTITUTE(D161,"."," "))</f>
        <v>Tensionadas</v>
      </c>
      <c r="N161" s="49" t="str">
        <f t="shared" ref="N161:N176" si="136">_xlfn.CONCAT(SUBSTITUTE(E161,"."," "))</f>
        <v>Ancoras</v>
      </c>
      <c r="O161" s="49" t="str">
        <f t="shared" si="133"/>
        <v>Conector Estrutural</v>
      </c>
      <c r="P161" s="49" t="s">
        <v>572</v>
      </c>
      <c r="Q161" s="49" t="s">
        <v>697</v>
      </c>
      <c r="R161" s="44" t="s">
        <v>1129</v>
      </c>
      <c r="S161" s="75" t="s">
        <v>7</v>
      </c>
      <c r="T161" s="44" t="str">
        <f t="shared" si="128"/>
        <v>Estrutura Principal</v>
      </c>
      <c r="U161" s="44" t="str">
        <f t="shared" si="129"/>
        <v>Tensionadas</v>
      </c>
      <c r="V161" s="44" t="str">
        <f t="shared" si="130"/>
        <v>Ancoras</v>
      </c>
      <c r="W161" s="44" t="s">
        <v>654</v>
      </c>
      <c r="X161" s="52" t="str">
        <f t="shared" si="81"/>
        <v>Key-MET-161</v>
      </c>
      <c r="Y161" s="44" t="s">
        <v>1010</v>
      </c>
      <c r="Z161" s="61" t="s">
        <v>7</v>
      </c>
      <c r="AA161" s="44" t="s">
        <v>1011</v>
      </c>
      <c r="AB161" s="61" t="s">
        <v>7</v>
      </c>
      <c r="AC161" s="44" t="s">
        <v>7</v>
      </c>
      <c r="AD161" s="44" t="s">
        <v>7</v>
      </c>
    </row>
    <row r="162" spans="1:30" ht="6.75" customHeight="1" x14ac:dyDescent="0.25">
      <c r="A162" s="54">
        <v>162</v>
      </c>
      <c r="B162" s="73" t="s">
        <v>1045</v>
      </c>
      <c r="C162" s="74" t="s">
        <v>78</v>
      </c>
      <c r="D162" s="74" t="s">
        <v>574</v>
      </c>
      <c r="E162" s="74" t="s">
        <v>929</v>
      </c>
      <c r="F162" s="77" t="s">
        <v>585</v>
      </c>
      <c r="G162" s="55" t="s">
        <v>7</v>
      </c>
      <c r="H162" s="55" t="s">
        <v>7</v>
      </c>
      <c r="I162" s="55" t="s">
        <v>7</v>
      </c>
      <c r="J162" s="55" t="s">
        <v>7</v>
      </c>
      <c r="K162" s="55" t="s">
        <v>7</v>
      </c>
      <c r="L162" s="49" t="str">
        <f t="shared" si="134"/>
        <v>Estrutura.Principal</v>
      </c>
      <c r="M162" s="49" t="str">
        <f t="shared" si="135"/>
        <v>Tensionadas</v>
      </c>
      <c r="N162" s="49" t="str">
        <f t="shared" si="136"/>
        <v>Ancoras</v>
      </c>
      <c r="O162" s="49" t="str">
        <f t="shared" si="133"/>
        <v>Ancoragem de Estai</v>
      </c>
      <c r="P162" s="49" t="s">
        <v>875</v>
      </c>
      <c r="Q162" s="49" t="s">
        <v>915</v>
      </c>
      <c r="R162" s="44" t="s">
        <v>1130</v>
      </c>
      <c r="S162" s="75" t="s">
        <v>7</v>
      </c>
      <c r="T162" s="44" t="str">
        <f t="shared" si="128"/>
        <v>Estrutura Principal</v>
      </c>
      <c r="U162" s="44" t="str">
        <f t="shared" si="129"/>
        <v>Tensionadas</v>
      </c>
      <c r="V162" s="44" t="str">
        <f t="shared" si="130"/>
        <v>Ancoras</v>
      </c>
      <c r="W162" s="44" t="s">
        <v>654</v>
      </c>
      <c r="X162" s="52" t="str">
        <f t="shared" si="81"/>
        <v>Key-MET-162</v>
      </c>
      <c r="Y162" s="44" t="s">
        <v>1007</v>
      </c>
      <c r="Z162" s="61" t="s">
        <v>7</v>
      </c>
      <c r="AA162" s="50" t="s">
        <v>1012</v>
      </c>
      <c r="AB162" s="61" t="s">
        <v>7</v>
      </c>
      <c r="AC162" s="44" t="s">
        <v>7</v>
      </c>
      <c r="AD162" s="44" t="s">
        <v>7</v>
      </c>
    </row>
    <row r="163" spans="1:30" ht="6.75" customHeight="1" x14ac:dyDescent="0.25">
      <c r="A163" s="54">
        <v>163</v>
      </c>
      <c r="B163" s="73" t="s">
        <v>1045</v>
      </c>
      <c r="C163" s="74" t="s">
        <v>78</v>
      </c>
      <c r="D163" s="74" t="s">
        <v>574</v>
      </c>
      <c r="E163" s="74" t="s">
        <v>929</v>
      </c>
      <c r="F163" s="77" t="s">
        <v>586</v>
      </c>
      <c r="G163" s="55" t="s">
        <v>7</v>
      </c>
      <c r="H163" s="55" t="s">
        <v>7</v>
      </c>
      <c r="I163" s="55" t="s">
        <v>7</v>
      </c>
      <c r="J163" s="55" t="s">
        <v>7</v>
      </c>
      <c r="K163" s="55" t="s">
        <v>7</v>
      </c>
      <c r="L163" s="49" t="str">
        <f t="shared" si="134"/>
        <v>Estrutura.Principal</v>
      </c>
      <c r="M163" s="49" t="str">
        <f t="shared" si="135"/>
        <v>Tensionadas</v>
      </c>
      <c r="N163" s="49" t="str">
        <f t="shared" si="136"/>
        <v>Ancoras</v>
      </c>
      <c r="O163" s="49" t="str">
        <f t="shared" si="133"/>
        <v>Ancoragem Acoplador</v>
      </c>
      <c r="P163" s="49" t="s">
        <v>876</v>
      </c>
      <c r="Q163" s="49" t="s">
        <v>893</v>
      </c>
      <c r="R163" s="44" t="s">
        <v>1131</v>
      </c>
      <c r="S163" s="75" t="s">
        <v>7</v>
      </c>
      <c r="T163" s="44" t="str">
        <f t="shared" si="128"/>
        <v>Estrutura Principal</v>
      </c>
      <c r="U163" s="44" t="str">
        <f t="shared" si="129"/>
        <v>Tensionadas</v>
      </c>
      <c r="V163" s="44" t="str">
        <f t="shared" si="130"/>
        <v>Ancoras</v>
      </c>
      <c r="W163" s="44" t="s">
        <v>654</v>
      </c>
      <c r="X163" s="52" t="str">
        <f t="shared" si="81"/>
        <v>Key-MET-163</v>
      </c>
      <c r="Y163" s="44" t="s">
        <v>1007</v>
      </c>
      <c r="Z163" s="61" t="s">
        <v>7</v>
      </c>
      <c r="AA163" s="50" t="s">
        <v>1013</v>
      </c>
      <c r="AB163" s="61" t="s">
        <v>7</v>
      </c>
      <c r="AC163" s="44" t="s">
        <v>7</v>
      </c>
      <c r="AD163" s="44" t="s">
        <v>7</v>
      </c>
    </row>
    <row r="164" spans="1:30" ht="6.75" customHeight="1" x14ac:dyDescent="0.25">
      <c r="A164" s="54">
        <v>164</v>
      </c>
      <c r="B164" s="73" t="s">
        <v>1045</v>
      </c>
      <c r="C164" s="74" t="s">
        <v>78</v>
      </c>
      <c r="D164" s="74" t="s">
        <v>574</v>
      </c>
      <c r="E164" s="74" t="s">
        <v>929</v>
      </c>
      <c r="F164" s="77" t="s">
        <v>652</v>
      </c>
      <c r="G164" s="55" t="s">
        <v>7</v>
      </c>
      <c r="H164" s="55" t="s">
        <v>7</v>
      </c>
      <c r="I164" s="55" t="s">
        <v>7</v>
      </c>
      <c r="J164" s="55" t="s">
        <v>7</v>
      </c>
      <c r="K164" s="55" t="s">
        <v>7</v>
      </c>
      <c r="L164" s="49" t="str">
        <f t="shared" si="134"/>
        <v>Estrutura.Principal</v>
      </c>
      <c r="M164" s="49" t="str">
        <f t="shared" si="135"/>
        <v>Tensionadas</v>
      </c>
      <c r="N164" s="49" t="str">
        <f t="shared" si="136"/>
        <v>Ancoras</v>
      </c>
      <c r="O164" s="49" t="str">
        <f t="shared" si="133"/>
        <v>Ancoragem Extremo Fixo</v>
      </c>
      <c r="P164" s="49" t="s">
        <v>877</v>
      </c>
      <c r="Q164" s="49" t="s">
        <v>894</v>
      </c>
      <c r="R164" s="44" t="s">
        <v>1132</v>
      </c>
      <c r="S164" s="75" t="s">
        <v>7</v>
      </c>
      <c r="T164" s="44" t="str">
        <f t="shared" si="128"/>
        <v>Estrutura Principal</v>
      </c>
      <c r="U164" s="44" t="str">
        <f t="shared" si="129"/>
        <v>Tensionadas</v>
      </c>
      <c r="V164" s="44" t="str">
        <f t="shared" si="130"/>
        <v>Ancoras</v>
      </c>
      <c r="W164" s="44" t="s">
        <v>654</v>
      </c>
      <c r="X164" s="52" t="str">
        <f t="shared" si="81"/>
        <v>Key-MET-164</v>
      </c>
      <c r="Y164" s="44" t="s">
        <v>1007</v>
      </c>
      <c r="Z164" s="61" t="s">
        <v>7</v>
      </c>
      <c r="AA164" s="50" t="s">
        <v>1014</v>
      </c>
      <c r="AB164" s="61" t="s">
        <v>7</v>
      </c>
      <c r="AC164" s="44" t="s">
        <v>7</v>
      </c>
      <c r="AD164" s="44" t="s">
        <v>7</v>
      </c>
    </row>
    <row r="165" spans="1:30" ht="6.75" customHeight="1" x14ac:dyDescent="0.25">
      <c r="A165" s="54">
        <v>165</v>
      </c>
      <c r="B165" s="73" t="s">
        <v>1045</v>
      </c>
      <c r="C165" s="74" t="s">
        <v>78</v>
      </c>
      <c r="D165" s="74" t="s">
        <v>574</v>
      </c>
      <c r="E165" s="74" t="s">
        <v>929</v>
      </c>
      <c r="F165" s="77" t="s">
        <v>653</v>
      </c>
      <c r="G165" s="55" t="s">
        <v>7</v>
      </c>
      <c r="H165" s="55" t="s">
        <v>7</v>
      </c>
      <c r="I165" s="55" t="s">
        <v>7</v>
      </c>
      <c r="J165" s="55" t="s">
        <v>7</v>
      </c>
      <c r="K165" s="55" t="s">
        <v>7</v>
      </c>
      <c r="L165" s="49" t="str">
        <f t="shared" si="134"/>
        <v>Estrutura.Principal</v>
      </c>
      <c r="M165" s="49" t="str">
        <f t="shared" si="135"/>
        <v>Tensionadas</v>
      </c>
      <c r="N165" s="49" t="str">
        <f t="shared" si="136"/>
        <v>Ancoras</v>
      </c>
      <c r="O165" s="49" t="str">
        <f t="shared" si="133"/>
        <v>Ancoragem Extremo Tensionado</v>
      </c>
      <c r="P165" s="49" t="s">
        <v>878</v>
      </c>
      <c r="Q165" s="49" t="s">
        <v>895</v>
      </c>
      <c r="R165" s="44" t="s">
        <v>1133</v>
      </c>
      <c r="S165" s="75" t="s">
        <v>7</v>
      </c>
      <c r="T165" s="44" t="str">
        <f t="shared" si="128"/>
        <v>Estrutura Principal</v>
      </c>
      <c r="U165" s="44" t="str">
        <f t="shared" si="129"/>
        <v>Tensionadas</v>
      </c>
      <c r="V165" s="44" t="str">
        <f t="shared" si="130"/>
        <v>Ancoras</v>
      </c>
      <c r="W165" s="44" t="s">
        <v>654</v>
      </c>
      <c r="X165" s="52" t="str">
        <f t="shared" si="81"/>
        <v>Key-MET-165</v>
      </c>
      <c r="Y165" s="44" t="s">
        <v>1007</v>
      </c>
      <c r="Z165" s="61" t="s">
        <v>7</v>
      </c>
      <c r="AA165" s="50" t="s">
        <v>1015</v>
      </c>
      <c r="AB165" s="61" t="s">
        <v>7</v>
      </c>
      <c r="AC165" s="44" t="s">
        <v>7</v>
      </c>
      <c r="AD165" s="44" t="s">
        <v>7</v>
      </c>
    </row>
    <row r="166" spans="1:30" ht="6.75" customHeight="1" x14ac:dyDescent="0.25">
      <c r="A166" s="54">
        <v>166</v>
      </c>
      <c r="B166" s="73" t="s">
        <v>1045</v>
      </c>
      <c r="C166" s="74" t="s">
        <v>78</v>
      </c>
      <c r="D166" s="74" t="s">
        <v>574</v>
      </c>
      <c r="E166" s="74" t="s">
        <v>584</v>
      </c>
      <c r="F166" s="77" t="s">
        <v>560</v>
      </c>
      <c r="G166" s="55" t="s">
        <v>7</v>
      </c>
      <c r="H166" s="55" t="s">
        <v>7</v>
      </c>
      <c r="I166" s="55" t="s">
        <v>7</v>
      </c>
      <c r="J166" s="55" t="s">
        <v>7</v>
      </c>
      <c r="K166" s="55" t="s">
        <v>7</v>
      </c>
      <c r="L166" s="49" t="str">
        <f t="shared" ref="L166" si="137">_xlfn.CONCAT(SUBSTITUTE(C166,"1.",""))</f>
        <v>Estrutura.Principal</v>
      </c>
      <c r="M166" s="49" t="str">
        <f t="shared" ref="M166" si="138">_xlfn.CONCAT(SUBSTITUTE(D166,"."," "))</f>
        <v>Tensionadas</v>
      </c>
      <c r="N166" s="49" t="str">
        <f t="shared" ref="N166" si="139">_xlfn.CONCAT(SUBSTITUTE(E166,"."," "))</f>
        <v>Tensores</v>
      </c>
      <c r="O166" s="49" t="str">
        <f t="shared" ref="O166" si="140">_xlfn.CONCAT(SUBSTITUTE(F166,"."," "))</f>
        <v>Estai</v>
      </c>
      <c r="P166" s="49" t="s">
        <v>560</v>
      </c>
      <c r="Q166" s="49" t="s">
        <v>914</v>
      </c>
      <c r="R166" s="44" t="s">
        <v>1134</v>
      </c>
      <c r="S166" s="75" t="s">
        <v>7</v>
      </c>
      <c r="T166" s="44" t="str">
        <f t="shared" si="128"/>
        <v>Estrutura Principal</v>
      </c>
      <c r="U166" s="44" t="str">
        <f t="shared" si="129"/>
        <v>Tensionadas</v>
      </c>
      <c r="V166" s="44" t="str">
        <f t="shared" si="130"/>
        <v>Tensores</v>
      </c>
      <c r="W166" s="44" t="s">
        <v>654</v>
      </c>
      <c r="X166" s="52" t="str">
        <f t="shared" si="81"/>
        <v>Key-MET-166</v>
      </c>
      <c r="Y166" s="44" t="s">
        <v>1007</v>
      </c>
      <c r="Z166" s="61" t="s">
        <v>7</v>
      </c>
      <c r="AA166" s="50" t="s">
        <v>1016</v>
      </c>
      <c r="AB166" s="61" t="s">
        <v>7</v>
      </c>
      <c r="AC166" s="44" t="s">
        <v>7</v>
      </c>
      <c r="AD166" s="44" t="s">
        <v>7</v>
      </c>
    </row>
    <row r="167" spans="1:30" ht="6.75" customHeight="1" x14ac:dyDescent="0.25">
      <c r="A167" s="54">
        <v>167</v>
      </c>
      <c r="B167" s="73" t="s">
        <v>1045</v>
      </c>
      <c r="C167" s="74" t="s">
        <v>78</v>
      </c>
      <c r="D167" s="74" t="s">
        <v>574</v>
      </c>
      <c r="E167" s="74" t="s">
        <v>584</v>
      </c>
      <c r="F167" s="77" t="s">
        <v>587</v>
      </c>
      <c r="G167" s="55" t="s">
        <v>7</v>
      </c>
      <c r="H167" s="55" t="s">
        <v>7</v>
      </c>
      <c r="I167" s="55" t="s">
        <v>7</v>
      </c>
      <c r="J167" s="55" t="s">
        <v>7</v>
      </c>
      <c r="K167" s="55" t="s">
        <v>7</v>
      </c>
      <c r="L167" s="49" t="str">
        <f t="shared" si="134"/>
        <v>Estrutura.Principal</v>
      </c>
      <c r="M167" s="49" t="str">
        <f t="shared" si="135"/>
        <v>Tensionadas</v>
      </c>
      <c r="N167" s="49" t="str">
        <f t="shared" si="136"/>
        <v>Tensores</v>
      </c>
      <c r="O167" s="49" t="str">
        <f t="shared" si="133"/>
        <v>Tensor Barra</v>
      </c>
      <c r="P167" s="49" t="s">
        <v>879</v>
      </c>
      <c r="Q167" s="49" t="s">
        <v>896</v>
      </c>
      <c r="R167" s="44" t="s">
        <v>1135</v>
      </c>
      <c r="S167" s="75" t="s">
        <v>7</v>
      </c>
      <c r="T167" s="44" t="str">
        <f t="shared" si="128"/>
        <v>Estrutura Principal</v>
      </c>
      <c r="U167" s="44" t="str">
        <f t="shared" si="129"/>
        <v>Tensionadas</v>
      </c>
      <c r="V167" s="44" t="str">
        <f t="shared" si="130"/>
        <v>Tensores</v>
      </c>
      <c r="W167" s="44" t="s">
        <v>654</v>
      </c>
      <c r="X167" s="52" t="str">
        <f t="shared" si="81"/>
        <v>Key-MET-167</v>
      </c>
      <c r="Y167" s="44" t="s">
        <v>1007</v>
      </c>
      <c r="Z167" s="61" t="s">
        <v>7</v>
      </c>
      <c r="AA167" s="50" t="s">
        <v>1017</v>
      </c>
      <c r="AB167" s="61" t="s">
        <v>7</v>
      </c>
      <c r="AC167" s="44" t="s">
        <v>7</v>
      </c>
      <c r="AD167" s="44" t="s">
        <v>7</v>
      </c>
    </row>
    <row r="168" spans="1:30" ht="6.75" customHeight="1" x14ac:dyDescent="0.25">
      <c r="A168" s="54">
        <v>168</v>
      </c>
      <c r="B168" s="73" t="s">
        <v>1045</v>
      </c>
      <c r="C168" s="74" t="s">
        <v>78</v>
      </c>
      <c r="D168" s="74" t="s">
        <v>574</v>
      </c>
      <c r="E168" s="74" t="s">
        <v>584</v>
      </c>
      <c r="F168" s="77" t="s">
        <v>594</v>
      </c>
      <c r="G168" s="55" t="s">
        <v>7</v>
      </c>
      <c r="H168" s="55" t="s">
        <v>7</v>
      </c>
      <c r="I168" s="55" t="s">
        <v>7</v>
      </c>
      <c r="J168" s="55" t="s">
        <v>7</v>
      </c>
      <c r="K168" s="55" t="s">
        <v>7</v>
      </c>
      <c r="L168" s="49" t="str">
        <f t="shared" si="134"/>
        <v>Estrutura.Principal</v>
      </c>
      <c r="M168" s="49" t="str">
        <f t="shared" si="135"/>
        <v>Tensionadas</v>
      </c>
      <c r="N168" s="49" t="str">
        <f t="shared" si="136"/>
        <v>Tensores</v>
      </c>
      <c r="O168" s="49" t="str">
        <f t="shared" si="133"/>
        <v>Tensor Revestido</v>
      </c>
      <c r="P168" s="49" t="s">
        <v>880</v>
      </c>
      <c r="Q168" s="49" t="s">
        <v>897</v>
      </c>
      <c r="R168" s="44" t="s">
        <v>1136</v>
      </c>
      <c r="S168" s="75" t="s">
        <v>7</v>
      </c>
      <c r="T168" s="44" t="str">
        <f t="shared" si="128"/>
        <v>Estrutura Principal</v>
      </c>
      <c r="U168" s="44" t="str">
        <f t="shared" si="129"/>
        <v>Tensionadas</v>
      </c>
      <c r="V168" s="44" t="str">
        <f t="shared" si="130"/>
        <v>Tensores</v>
      </c>
      <c r="W168" s="44" t="s">
        <v>654</v>
      </c>
      <c r="X168" s="52" t="str">
        <f t="shared" si="81"/>
        <v>Key-MET-168</v>
      </c>
      <c r="Y168" s="44" t="s">
        <v>1007</v>
      </c>
      <c r="Z168" s="61" t="s">
        <v>7</v>
      </c>
      <c r="AA168" s="50" t="s">
        <v>1018</v>
      </c>
      <c r="AB168" s="61" t="s">
        <v>7</v>
      </c>
      <c r="AC168" s="44" t="s">
        <v>7</v>
      </c>
      <c r="AD168" s="44" t="s">
        <v>7</v>
      </c>
    </row>
    <row r="169" spans="1:30" ht="6.75" customHeight="1" x14ac:dyDescent="0.25">
      <c r="A169" s="54">
        <v>169</v>
      </c>
      <c r="B169" s="73" t="s">
        <v>1045</v>
      </c>
      <c r="C169" s="74" t="s">
        <v>78</v>
      </c>
      <c r="D169" s="74" t="s">
        <v>574</v>
      </c>
      <c r="E169" s="74" t="s">
        <v>584</v>
      </c>
      <c r="F169" s="77" t="s">
        <v>588</v>
      </c>
      <c r="G169" s="55" t="s">
        <v>7</v>
      </c>
      <c r="H169" s="55" t="s">
        <v>7</v>
      </c>
      <c r="I169" s="55" t="s">
        <v>7</v>
      </c>
      <c r="J169" s="55" t="s">
        <v>7</v>
      </c>
      <c r="K169" s="55" t="s">
        <v>7</v>
      </c>
      <c r="L169" s="49" t="str">
        <f t="shared" si="134"/>
        <v>Estrutura.Principal</v>
      </c>
      <c r="M169" s="49" t="str">
        <f t="shared" si="135"/>
        <v>Tensionadas</v>
      </c>
      <c r="N169" s="49" t="str">
        <f t="shared" si="136"/>
        <v>Tensores</v>
      </c>
      <c r="O169" s="49" t="str">
        <f t="shared" si="133"/>
        <v>Tensor Bainha</v>
      </c>
      <c r="P169" s="49" t="s">
        <v>881</v>
      </c>
      <c r="Q169" s="49" t="s">
        <v>898</v>
      </c>
      <c r="R169" s="44" t="s">
        <v>1137</v>
      </c>
      <c r="S169" s="75" t="s">
        <v>7</v>
      </c>
      <c r="T169" s="44" t="str">
        <f t="shared" si="128"/>
        <v>Estrutura Principal</v>
      </c>
      <c r="U169" s="44" t="str">
        <f t="shared" si="129"/>
        <v>Tensionadas</v>
      </c>
      <c r="V169" s="44" t="str">
        <f t="shared" si="130"/>
        <v>Tensores</v>
      </c>
      <c r="W169" s="44" t="s">
        <v>654</v>
      </c>
      <c r="X169" s="52" t="str">
        <f t="shared" si="81"/>
        <v>Key-MET-169</v>
      </c>
      <c r="Y169" s="44" t="s">
        <v>1007</v>
      </c>
      <c r="Z169" s="61" t="s">
        <v>7</v>
      </c>
      <c r="AA169" s="50" t="s">
        <v>1019</v>
      </c>
      <c r="AB169" s="61" t="s">
        <v>7</v>
      </c>
      <c r="AC169" s="44" t="s">
        <v>7</v>
      </c>
      <c r="AD169" s="44" t="s">
        <v>7</v>
      </c>
    </row>
    <row r="170" spans="1:30" ht="6.75" customHeight="1" x14ac:dyDescent="0.25">
      <c r="A170" s="54">
        <v>170</v>
      </c>
      <c r="B170" s="73" t="s">
        <v>1045</v>
      </c>
      <c r="C170" s="74" t="s">
        <v>78</v>
      </c>
      <c r="D170" s="74" t="s">
        <v>574</v>
      </c>
      <c r="E170" s="74" t="s">
        <v>584</v>
      </c>
      <c r="F170" s="77" t="s">
        <v>591</v>
      </c>
      <c r="G170" s="55" t="s">
        <v>7</v>
      </c>
      <c r="H170" s="55" t="s">
        <v>7</v>
      </c>
      <c r="I170" s="55" t="s">
        <v>7</v>
      </c>
      <c r="J170" s="55" t="s">
        <v>7</v>
      </c>
      <c r="K170" s="55" t="s">
        <v>7</v>
      </c>
      <c r="L170" s="49" t="str">
        <f t="shared" si="134"/>
        <v>Estrutura.Principal</v>
      </c>
      <c r="M170" s="49" t="str">
        <f t="shared" si="135"/>
        <v>Tensionadas</v>
      </c>
      <c r="N170" s="49" t="str">
        <f t="shared" si="136"/>
        <v>Tensores</v>
      </c>
      <c r="O170" s="49" t="str">
        <f t="shared" si="133"/>
        <v>Tensor Bainha Acoplador</v>
      </c>
      <c r="P170" s="49" t="s">
        <v>882</v>
      </c>
      <c r="Q170" s="49" t="s">
        <v>899</v>
      </c>
      <c r="R170" s="44" t="s">
        <v>1138</v>
      </c>
      <c r="S170" s="75" t="s">
        <v>7</v>
      </c>
      <c r="T170" s="44" t="str">
        <f t="shared" si="128"/>
        <v>Estrutura Principal</v>
      </c>
      <c r="U170" s="44" t="str">
        <f t="shared" si="129"/>
        <v>Tensionadas</v>
      </c>
      <c r="V170" s="44" t="str">
        <f t="shared" si="130"/>
        <v>Tensores</v>
      </c>
      <c r="W170" s="44" t="s">
        <v>654</v>
      </c>
      <c r="X170" s="52" t="str">
        <f t="shared" si="81"/>
        <v>Key-MET-170</v>
      </c>
      <c r="Y170" s="44" t="s">
        <v>1007</v>
      </c>
      <c r="Z170" s="61" t="s">
        <v>7</v>
      </c>
      <c r="AA170" s="50" t="s">
        <v>1020</v>
      </c>
      <c r="AB170" s="61" t="s">
        <v>7</v>
      </c>
      <c r="AC170" s="44" t="s">
        <v>7</v>
      </c>
      <c r="AD170" s="44" t="s">
        <v>7</v>
      </c>
    </row>
    <row r="171" spans="1:30" ht="6.75" customHeight="1" x14ac:dyDescent="0.25">
      <c r="A171" s="54">
        <v>171</v>
      </c>
      <c r="B171" s="73" t="s">
        <v>1045</v>
      </c>
      <c r="C171" s="74" t="s">
        <v>78</v>
      </c>
      <c r="D171" s="74" t="s">
        <v>574</v>
      </c>
      <c r="E171" s="74" t="s">
        <v>584</v>
      </c>
      <c r="F171" s="77" t="s">
        <v>595</v>
      </c>
      <c r="G171" s="55" t="s">
        <v>7</v>
      </c>
      <c r="H171" s="55" t="s">
        <v>7</v>
      </c>
      <c r="I171" s="55" t="s">
        <v>7</v>
      </c>
      <c r="J171" s="55" t="s">
        <v>7</v>
      </c>
      <c r="K171" s="55" t="s">
        <v>7</v>
      </c>
      <c r="L171" s="49" t="str">
        <f t="shared" si="134"/>
        <v>Estrutura.Principal</v>
      </c>
      <c r="M171" s="49" t="str">
        <f t="shared" si="135"/>
        <v>Tensionadas</v>
      </c>
      <c r="N171" s="49" t="str">
        <f t="shared" si="136"/>
        <v>Tensores</v>
      </c>
      <c r="O171" s="49" t="str">
        <f t="shared" si="133"/>
        <v>Tensor Bainha Diabolo</v>
      </c>
      <c r="P171" s="49" t="s">
        <v>883</v>
      </c>
      <c r="Q171" s="49" t="s">
        <v>900</v>
      </c>
      <c r="R171" s="44" t="s">
        <v>1139</v>
      </c>
      <c r="S171" s="75" t="s">
        <v>7</v>
      </c>
      <c r="T171" s="44" t="str">
        <f t="shared" si="128"/>
        <v>Estrutura Principal</v>
      </c>
      <c r="U171" s="44" t="str">
        <f t="shared" si="129"/>
        <v>Tensionadas</v>
      </c>
      <c r="V171" s="44" t="str">
        <f t="shared" si="130"/>
        <v>Tensores</v>
      </c>
      <c r="W171" s="44" t="s">
        <v>654</v>
      </c>
      <c r="X171" s="52" t="str">
        <f t="shared" si="81"/>
        <v>Key-MET-171</v>
      </c>
      <c r="Y171" s="44" t="s">
        <v>1007</v>
      </c>
      <c r="Z171" s="61" t="s">
        <v>7</v>
      </c>
      <c r="AA171" s="50" t="s">
        <v>1021</v>
      </c>
      <c r="AB171" s="61" t="s">
        <v>7</v>
      </c>
      <c r="AC171" s="44" t="s">
        <v>7</v>
      </c>
      <c r="AD171" s="44" t="s">
        <v>7</v>
      </c>
    </row>
    <row r="172" spans="1:30" ht="6.75" customHeight="1" x14ac:dyDescent="0.25">
      <c r="A172" s="54">
        <v>172</v>
      </c>
      <c r="B172" s="73" t="s">
        <v>1045</v>
      </c>
      <c r="C172" s="74" t="s">
        <v>78</v>
      </c>
      <c r="D172" s="74" t="s">
        <v>574</v>
      </c>
      <c r="E172" s="74" t="s">
        <v>584</v>
      </c>
      <c r="F172" s="77" t="s">
        <v>596</v>
      </c>
      <c r="G172" s="55" t="s">
        <v>7</v>
      </c>
      <c r="H172" s="55" t="s">
        <v>7</v>
      </c>
      <c r="I172" s="55" t="s">
        <v>7</v>
      </c>
      <c r="J172" s="55" t="s">
        <v>7</v>
      </c>
      <c r="K172" s="55" t="s">
        <v>7</v>
      </c>
      <c r="L172" s="49" t="str">
        <f t="shared" si="134"/>
        <v>Estrutura.Principal</v>
      </c>
      <c r="M172" s="49" t="str">
        <f t="shared" si="135"/>
        <v>Tensionadas</v>
      </c>
      <c r="N172" s="49" t="str">
        <f t="shared" si="136"/>
        <v>Tensores</v>
      </c>
      <c r="O172" s="49" t="str">
        <f t="shared" si="133"/>
        <v>Tensor Bainha Cabo</v>
      </c>
      <c r="P172" s="49" t="s">
        <v>884</v>
      </c>
      <c r="Q172" s="49" t="s">
        <v>901</v>
      </c>
      <c r="R172" s="44" t="s">
        <v>1140</v>
      </c>
      <c r="S172" s="75" t="s">
        <v>7</v>
      </c>
      <c r="T172" s="44" t="str">
        <f t="shared" si="128"/>
        <v>Estrutura Principal</v>
      </c>
      <c r="U172" s="44" t="str">
        <f t="shared" si="129"/>
        <v>Tensionadas</v>
      </c>
      <c r="V172" s="44" t="str">
        <f t="shared" si="130"/>
        <v>Tensores</v>
      </c>
      <c r="W172" s="44" t="s">
        <v>654</v>
      </c>
      <c r="X172" s="52" t="str">
        <f t="shared" si="81"/>
        <v>Key-MET-172</v>
      </c>
      <c r="Y172" s="44" t="s">
        <v>1007</v>
      </c>
      <c r="Z172" s="61" t="s">
        <v>7</v>
      </c>
      <c r="AA172" s="50" t="s">
        <v>1022</v>
      </c>
      <c r="AB172" s="61" t="s">
        <v>7</v>
      </c>
      <c r="AC172" s="44" t="s">
        <v>7</v>
      </c>
      <c r="AD172" s="44" t="s">
        <v>7</v>
      </c>
    </row>
    <row r="173" spans="1:30" ht="6.75" customHeight="1" x14ac:dyDescent="0.25">
      <c r="A173" s="54">
        <v>173</v>
      </c>
      <c r="B173" s="73" t="s">
        <v>1045</v>
      </c>
      <c r="C173" s="74" t="s">
        <v>78</v>
      </c>
      <c r="D173" s="74" t="s">
        <v>574</v>
      </c>
      <c r="E173" s="74" t="s">
        <v>584</v>
      </c>
      <c r="F173" s="77" t="s">
        <v>593</v>
      </c>
      <c r="G173" s="55" t="s">
        <v>7</v>
      </c>
      <c r="H173" s="55" t="s">
        <v>7</v>
      </c>
      <c r="I173" s="55" t="s">
        <v>7</v>
      </c>
      <c r="J173" s="55" t="s">
        <v>7</v>
      </c>
      <c r="K173" s="55" t="s">
        <v>7</v>
      </c>
      <c r="L173" s="49" t="str">
        <f t="shared" si="134"/>
        <v>Estrutura.Principal</v>
      </c>
      <c r="M173" s="49" t="str">
        <f t="shared" si="135"/>
        <v>Tensionadas</v>
      </c>
      <c r="N173" s="49" t="str">
        <f t="shared" si="136"/>
        <v>Tensores</v>
      </c>
      <c r="O173" s="49" t="str">
        <f t="shared" si="133"/>
        <v>Tensor Injetor</v>
      </c>
      <c r="P173" s="49" t="s">
        <v>885</v>
      </c>
      <c r="Q173" s="49" t="s">
        <v>902</v>
      </c>
      <c r="R173" s="44" t="s">
        <v>1141</v>
      </c>
      <c r="S173" s="75" t="s">
        <v>7</v>
      </c>
      <c r="T173" s="44" t="str">
        <f t="shared" si="128"/>
        <v>Estrutura Principal</v>
      </c>
      <c r="U173" s="44" t="str">
        <f t="shared" si="129"/>
        <v>Tensionadas</v>
      </c>
      <c r="V173" s="44" t="str">
        <f t="shared" si="130"/>
        <v>Tensores</v>
      </c>
      <c r="W173" s="44" t="s">
        <v>654</v>
      </c>
      <c r="X173" s="52" t="str">
        <f t="shared" si="81"/>
        <v>Key-MET-173</v>
      </c>
      <c r="Y173" s="44" t="s">
        <v>1007</v>
      </c>
      <c r="Z173" s="61" t="s">
        <v>7</v>
      </c>
      <c r="AA173" s="50" t="s">
        <v>1023</v>
      </c>
      <c r="AB173" s="61" t="s">
        <v>7</v>
      </c>
      <c r="AC173" s="44" t="s">
        <v>7</v>
      </c>
      <c r="AD173" s="44" t="s">
        <v>7</v>
      </c>
    </row>
    <row r="174" spans="1:30" ht="6.75" customHeight="1" x14ac:dyDescent="0.25">
      <c r="A174" s="54">
        <v>174</v>
      </c>
      <c r="B174" s="73" t="s">
        <v>1045</v>
      </c>
      <c r="C174" s="74" t="s">
        <v>78</v>
      </c>
      <c r="D174" s="74" t="s">
        <v>574</v>
      </c>
      <c r="E174" s="74" t="s">
        <v>584</v>
      </c>
      <c r="F174" s="77" t="s">
        <v>592</v>
      </c>
      <c r="G174" s="55" t="s">
        <v>7</v>
      </c>
      <c r="H174" s="55" t="s">
        <v>7</v>
      </c>
      <c r="I174" s="55" t="s">
        <v>7</v>
      </c>
      <c r="J174" s="55" t="s">
        <v>7</v>
      </c>
      <c r="K174" s="55" t="s">
        <v>7</v>
      </c>
      <c r="L174" s="49" t="str">
        <f t="shared" si="134"/>
        <v>Estrutura.Principal</v>
      </c>
      <c r="M174" s="49" t="str">
        <f t="shared" si="135"/>
        <v>Tensionadas</v>
      </c>
      <c r="N174" s="49" t="str">
        <f t="shared" si="136"/>
        <v>Tensores</v>
      </c>
      <c r="O174" s="49" t="str">
        <f t="shared" si="133"/>
        <v>Tensor Trombeta</v>
      </c>
      <c r="P174" s="49" t="s">
        <v>886</v>
      </c>
      <c r="Q174" s="49" t="s">
        <v>903</v>
      </c>
      <c r="R174" s="44" t="s">
        <v>1142</v>
      </c>
      <c r="S174" s="75" t="s">
        <v>7</v>
      </c>
      <c r="T174" s="44" t="str">
        <f t="shared" si="128"/>
        <v>Estrutura Principal</v>
      </c>
      <c r="U174" s="44" t="str">
        <f t="shared" si="129"/>
        <v>Tensionadas</v>
      </c>
      <c r="V174" s="44" t="str">
        <f t="shared" si="130"/>
        <v>Tensores</v>
      </c>
      <c r="W174" s="44" t="s">
        <v>654</v>
      </c>
      <c r="X174" s="52" t="str">
        <f t="shared" si="81"/>
        <v>Key-MET-174</v>
      </c>
      <c r="Y174" s="44" t="s">
        <v>1007</v>
      </c>
      <c r="Z174" s="61" t="s">
        <v>7</v>
      </c>
      <c r="AA174" s="50" t="s">
        <v>1024</v>
      </c>
      <c r="AB174" s="61" t="s">
        <v>7</v>
      </c>
      <c r="AC174" s="44" t="s">
        <v>7</v>
      </c>
      <c r="AD174" s="44" t="s">
        <v>7</v>
      </c>
    </row>
    <row r="175" spans="1:30" ht="6.75" customHeight="1" x14ac:dyDescent="0.25">
      <c r="A175" s="54">
        <v>175</v>
      </c>
      <c r="B175" s="73" t="s">
        <v>1045</v>
      </c>
      <c r="C175" s="74" t="s">
        <v>78</v>
      </c>
      <c r="D175" s="74" t="s">
        <v>574</v>
      </c>
      <c r="E175" s="74" t="s">
        <v>584</v>
      </c>
      <c r="F175" s="77" t="s">
        <v>589</v>
      </c>
      <c r="G175" s="55" t="s">
        <v>7</v>
      </c>
      <c r="H175" s="55" t="s">
        <v>7</v>
      </c>
      <c r="I175" s="55" t="s">
        <v>7</v>
      </c>
      <c r="J175" s="55" t="s">
        <v>7</v>
      </c>
      <c r="K175" s="55" t="s">
        <v>7</v>
      </c>
      <c r="L175" s="49" t="str">
        <f t="shared" si="134"/>
        <v>Estrutura.Principal</v>
      </c>
      <c r="M175" s="49" t="str">
        <f t="shared" si="135"/>
        <v>Tensionadas</v>
      </c>
      <c r="N175" s="49" t="str">
        <f t="shared" si="136"/>
        <v>Tensores</v>
      </c>
      <c r="O175" s="49" t="str">
        <f t="shared" si="133"/>
        <v>Tensor Corda</v>
      </c>
      <c r="P175" s="49" t="s">
        <v>887</v>
      </c>
      <c r="Q175" s="49" t="s">
        <v>904</v>
      </c>
      <c r="R175" s="44" t="s">
        <v>1143</v>
      </c>
      <c r="S175" s="75" t="s">
        <v>7</v>
      </c>
      <c r="T175" s="44" t="str">
        <f t="shared" si="128"/>
        <v>Estrutura Principal</v>
      </c>
      <c r="U175" s="44" t="str">
        <f t="shared" si="129"/>
        <v>Tensionadas</v>
      </c>
      <c r="V175" s="44" t="str">
        <f t="shared" si="130"/>
        <v>Tensores</v>
      </c>
      <c r="W175" s="44" t="s">
        <v>654</v>
      </c>
      <c r="X175" s="52" t="str">
        <f t="shared" si="81"/>
        <v>Key-MET-175</v>
      </c>
      <c r="Y175" s="44" t="s">
        <v>1007</v>
      </c>
      <c r="Z175" s="61" t="s">
        <v>7</v>
      </c>
      <c r="AA175" s="50" t="s">
        <v>1025</v>
      </c>
      <c r="AB175" s="61" t="s">
        <v>7</v>
      </c>
      <c r="AC175" s="44" t="s">
        <v>7</v>
      </c>
      <c r="AD175" s="44" t="s">
        <v>7</v>
      </c>
    </row>
    <row r="176" spans="1:30" ht="6.75" customHeight="1" x14ac:dyDescent="0.25">
      <c r="A176" s="54">
        <v>176</v>
      </c>
      <c r="B176" s="73" t="s">
        <v>1045</v>
      </c>
      <c r="C176" s="74" t="s">
        <v>78</v>
      </c>
      <c r="D176" s="74" t="s">
        <v>574</v>
      </c>
      <c r="E176" s="74" t="s">
        <v>584</v>
      </c>
      <c r="F176" s="77" t="s">
        <v>590</v>
      </c>
      <c r="G176" s="55" t="s">
        <v>7</v>
      </c>
      <c r="H176" s="55" t="s">
        <v>7</v>
      </c>
      <c r="I176" s="55" t="s">
        <v>7</v>
      </c>
      <c r="J176" s="55" t="s">
        <v>7</v>
      </c>
      <c r="K176" s="55" t="s">
        <v>7</v>
      </c>
      <c r="L176" s="49" t="str">
        <f t="shared" si="134"/>
        <v>Estrutura.Principal</v>
      </c>
      <c r="M176" s="49" t="str">
        <f t="shared" si="135"/>
        <v>Tensionadas</v>
      </c>
      <c r="N176" s="49" t="str">
        <f t="shared" si="136"/>
        <v>Tensores</v>
      </c>
      <c r="O176" s="49" t="str">
        <f t="shared" si="133"/>
        <v>Tensor Fio</v>
      </c>
      <c r="P176" s="49" t="s">
        <v>888</v>
      </c>
      <c r="Q176" s="49" t="s">
        <v>905</v>
      </c>
      <c r="R176" s="44" t="s">
        <v>1144</v>
      </c>
      <c r="S176" s="75" t="s">
        <v>7</v>
      </c>
      <c r="T176" s="44" t="str">
        <f t="shared" si="128"/>
        <v>Estrutura Principal</v>
      </c>
      <c r="U176" s="44" t="str">
        <f t="shared" si="129"/>
        <v>Tensionadas</v>
      </c>
      <c r="V176" s="44" t="str">
        <f t="shared" si="130"/>
        <v>Tensores</v>
      </c>
      <c r="W176" s="44" t="s">
        <v>654</v>
      </c>
      <c r="X176" s="52" t="str">
        <f t="shared" si="81"/>
        <v>Key-MET-176</v>
      </c>
      <c r="Y176" s="44" t="s">
        <v>1007</v>
      </c>
      <c r="Z176" s="61" t="s">
        <v>7</v>
      </c>
      <c r="AA176" s="50" t="s">
        <v>1026</v>
      </c>
      <c r="AB176" s="61" t="s">
        <v>7</v>
      </c>
      <c r="AC176" s="44" t="s">
        <v>7</v>
      </c>
      <c r="AD176" s="44" t="s">
        <v>7</v>
      </c>
    </row>
    <row r="177" spans="1:30" ht="6.75" customHeight="1" x14ac:dyDescent="0.25">
      <c r="A177" s="54">
        <v>177</v>
      </c>
      <c r="B177" s="73" t="s">
        <v>1045</v>
      </c>
      <c r="C177" s="74" t="s">
        <v>78</v>
      </c>
      <c r="D177" s="74" t="s">
        <v>574</v>
      </c>
      <c r="E177" s="74" t="s">
        <v>584</v>
      </c>
      <c r="F177" s="74" t="s">
        <v>655</v>
      </c>
      <c r="G177" s="55" t="s">
        <v>7</v>
      </c>
      <c r="H177" s="55" t="s">
        <v>7</v>
      </c>
      <c r="I177" s="55" t="s">
        <v>7</v>
      </c>
      <c r="J177" s="55" t="s">
        <v>7</v>
      </c>
      <c r="K177" s="55" t="s">
        <v>7</v>
      </c>
      <c r="L177" s="49" t="str">
        <f t="shared" si="49"/>
        <v>Estrutura.Principal</v>
      </c>
      <c r="M177" s="49" t="str">
        <f t="shared" si="131"/>
        <v>Tensionadas</v>
      </c>
      <c r="N177" s="49" t="str">
        <f t="shared" si="132"/>
        <v>Tensores</v>
      </c>
      <c r="O177" s="49" t="str">
        <f t="shared" si="133"/>
        <v>Mastro Estrutural</v>
      </c>
      <c r="P177" s="49" t="s">
        <v>889</v>
      </c>
      <c r="Q177" s="49" t="s">
        <v>906</v>
      </c>
      <c r="R177" s="44" t="s">
        <v>1145</v>
      </c>
      <c r="S177" s="75" t="s">
        <v>7</v>
      </c>
      <c r="T177" s="44" t="str">
        <f t="shared" si="128"/>
        <v>Estrutura Principal</v>
      </c>
      <c r="U177" s="44" t="str">
        <f t="shared" si="129"/>
        <v>Tensionadas</v>
      </c>
      <c r="V177" s="44" t="str">
        <f t="shared" si="130"/>
        <v>Tensores</v>
      </c>
      <c r="W177" s="44" t="s">
        <v>654</v>
      </c>
      <c r="X177" s="52" t="str">
        <f t="shared" si="81"/>
        <v>Key-MET-177</v>
      </c>
      <c r="Y177" s="44" t="s">
        <v>992</v>
      </c>
      <c r="Z177" s="61" t="s">
        <v>7</v>
      </c>
      <c r="AA177" s="44" t="s">
        <v>993</v>
      </c>
      <c r="AB177" s="61" t="s">
        <v>7</v>
      </c>
      <c r="AC177" s="44" t="s">
        <v>7</v>
      </c>
      <c r="AD177" s="44" t="s">
        <v>7</v>
      </c>
    </row>
    <row r="178" spans="1:30" ht="6.75" customHeight="1" x14ac:dyDescent="0.25">
      <c r="A178" s="54">
        <v>178</v>
      </c>
      <c r="B178" s="73" t="s">
        <v>1045</v>
      </c>
      <c r="C178" s="74" t="s">
        <v>78</v>
      </c>
      <c r="D178" s="74" t="s">
        <v>574</v>
      </c>
      <c r="E178" s="74" t="s">
        <v>584</v>
      </c>
      <c r="F178" s="74" t="s">
        <v>656</v>
      </c>
      <c r="G178" s="55" t="s">
        <v>7</v>
      </c>
      <c r="H178" s="55" t="s">
        <v>7</v>
      </c>
      <c r="I178" s="55" t="s">
        <v>7</v>
      </c>
      <c r="J178" s="55" t="s">
        <v>7</v>
      </c>
      <c r="K178" s="55" t="s">
        <v>7</v>
      </c>
      <c r="L178" s="49" t="str">
        <f t="shared" ref="L178:L199" si="141">_xlfn.CONCAT(SUBSTITUTE(C178,"1.",""))</f>
        <v>Estrutura.Principal</v>
      </c>
      <c r="M178" s="49" t="str">
        <f t="shared" ref="M178:M199" si="142">_xlfn.CONCAT(SUBSTITUTE(D178,"."," "))</f>
        <v>Tensionadas</v>
      </c>
      <c r="N178" s="49" t="str">
        <f t="shared" ref="N178:N199" si="143">_xlfn.CONCAT(SUBSTITUTE(E178,"."," "))</f>
        <v>Tensores</v>
      </c>
      <c r="O178" s="49" t="str">
        <f t="shared" si="133"/>
        <v>Membrana Estrutural</v>
      </c>
      <c r="P178" s="49" t="s">
        <v>573</v>
      </c>
      <c r="Q178" s="49" t="s">
        <v>698</v>
      </c>
      <c r="R178" s="44" t="s">
        <v>1146</v>
      </c>
      <c r="S178" s="75" t="s">
        <v>7</v>
      </c>
      <c r="T178" s="44" t="str">
        <f t="shared" si="128"/>
        <v>Estrutura Principal</v>
      </c>
      <c r="U178" s="44" t="str">
        <f t="shared" si="129"/>
        <v>Tensionadas</v>
      </c>
      <c r="V178" s="44" t="str">
        <f t="shared" si="130"/>
        <v>Tensores</v>
      </c>
      <c r="W178" s="44" t="s">
        <v>654</v>
      </c>
      <c r="X178" s="52" t="str">
        <f t="shared" si="81"/>
        <v>Key-MET-178</v>
      </c>
      <c r="Y178" s="44" t="s">
        <v>1027</v>
      </c>
      <c r="Z178" s="61" t="s">
        <v>7</v>
      </c>
      <c r="AA178" s="44" t="s">
        <v>1028</v>
      </c>
      <c r="AB178" s="61" t="s">
        <v>7</v>
      </c>
      <c r="AC178" s="44" t="s">
        <v>7</v>
      </c>
      <c r="AD178" s="44" t="s">
        <v>7</v>
      </c>
    </row>
    <row r="179" spans="1:30" ht="6.75" customHeight="1" x14ac:dyDescent="0.25">
      <c r="A179" s="54">
        <v>179</v>
      </c>
      <c r="B179" s="73" t="s">
        <v>1045</v>
      </c>
      <c r="C179" s="74" t="s">
        <v>79</v>
      </c>
      <c r="D179" s="74" t="s">
        <v>844</v>
      </c>
      <c r="E179" s="74" t="s">
        <v>808</v>
      </c>
      <c r="F179" s="74" t="s">
        <v>810</v>
      </c>
      <c r="G179" s="55" t="s">
        <v>7</v>
      </c>
      <c r="H179" s="55" t="s">
        <v>7</v>
      </c>
      <c r="I179" s="55" t="s">
        <v>7</v>
      </c>
      <c r="J179" s="55" t="s">
        <v>7</v>
      </c>
      <c r="K179" s="55" t="s">
        <v>7</v>
      </c>
      <c r="L179" s="49" t="str">
        <f t="shared" si="141"/>
        <v>Estrutura.Secundária</v>
      </c>
      <c r="M179" s="49" t="str">
        <f t="shared" si="142"/>
        <v>Terças de Suporte</v>
      </c>
      <c r="N179" s="49" t="str">
        <f t="shared" si="143"/>
        <v>Terças</v>
      </c>
      <c r="O179" s="49" t="str">
        <f t="shared" si="133"/>
        <v>Terça Cobertura</v>
      </c>
      <c r="P179" s="49" t="s">
        <v>811</v>
      </c>
      <c r="Q179" s="49" t="s">
        <v>827</v>
      </c>
      <c r="R179" s="44" t="s">
        <v>1147</v>
      </c>
      <c r="S179" s="75" t="s">
        <v>7</v>
      </c>
      <c r="T179" s="44" t="str">
        <f t="shared" si="128"/>
        <v>Estrutura Secundária</v>
      </c>
      <c r="U179" s="44" t="str">
        <f t="shared" si="129"/>
        <v>Terças de Suporte</v>
      </c>
      <c r="V179" s="44" t="str">
        <f t="shared" si="130"/>
        <v>Terças</v>
      </c>
      <c r="W179" s="44" t="s">
        <v>654</v>
      </c>
      <c r="X179" s="52" t="str">
        <f t="shared" si="81"/>
        <v>Key-MET-179</v>
      </c>
      <c r="Y179" s="44" t="s">
        <v>994</v>
      </c>
      <c r="Z179" s="61" t="s">
        <v>7</v>
      </c>
      <c r="AA179" s="44" t="s">
        <v>995</v>
      </c>
      <c r="AB179" s="61" t="s">
        <v>7</v>
      </c>
      <c r="AC179" s="44" t="s">
        <v>7</v>
      </c>
      <c r="AD179" s="44" t="s">
        <v>7</v>
      </c>
    </row>
    <row r="180" spans="1:30" ht="6.75" customHeight="1" x14ac:dyDescent="0.25">
      <c r="A180" s="54">
        <v>180</v>
      </c>
      <c r="B180" s="73" t="s">
        <v>1045</v>
      </c>
      <c r="C180" s="74" t="s">
        <v>79</v>
      </c>
      <c r="D180" s="74" t="s">
        <v>844</v>
      </c>
      <c r="E180" s="74" t="s">
        <v>808</v>
      </c>
      <c r="F180" s="74" t="s">
        <v>809</v>
      </c>
      <c r="G180" s="55" t="s">
        <v>7</v>
      </c>
      <c r="H180" s="55" t="s">
        <v>7</v>
      </c>
      <c r="I180" s="55" t="s">
        <v>7</v>
      </c>
      <c r="J180" s="55" t="s">
        <v>7</v>
      </c>
      <c r="K180" s="55" t="s">
        <v>7</v>
      </c>
      <c r="L180" s="49" t="str">
        <f t="shared" ref="L180:L193" si="144">_xlfn.CONCAT(SUBSTITUTE(C180,"1.",""))</f>
        <v>Estrutura.Secundária</v>
      </c>
      <c r="M180" s="49" t="str">
        <f t="shared" ref="M180:M193" si="145">_xlfn.CONCAT(SUBSTITUTE(D180,"."," "))</f>
        <v>Terças de Suporte</v>
      </c>
      <c r="N180" s="49" t="str">
        <f t="shared" ref="N180:N193" si="146">_xlfn.CONCAT(SUBSTITUTE(E180,"."," "))</f>
        <v>Terças</v>
      </c>
      <c r="O180" s="49" t="str">
        <f t="shared" ref="O180:O193" si="147">_xlfn.CONCAT(SUBSTITUTE(F180,"."," "))</f>
        <v>Terça Fachada</v>
      </c>
      <c r="P180" s="49" t="s">
        <v>812</v>
      </c>
      <c r="Q180" s="49" t="s">
        <v>828</v>
      </c>
      <c r="R180" s="44" t="s">
        <v>1148</v>
      </c>
      <c r="S180" s="75" t="s">
        <v>7</v>
      </c>
      <c r="T180" s="44" t="str">
        <f t="shared" si="128"/>
        <v>Estrutura Secundária</v>
      </c>
      <c r="U180" s="44" t="str">
        <f t="shared" si="129"/>
        <v>Terças de Suporte</v>
      </c>
      <c r="V180" s="44" t="str">
        <f t="shared" si="130"/>
        <v>Terças</v>
      </c>
      <c r="W180" s="44" t="s">
        <v>654</v>
      </c>
      <c r="X180" s="52" t="str">
        <f t="shared" si="81"/>
        <v>Key-MET-180</v>
      </c>
      <c r="Y180" s="44" t="s">
        <v>994</v>
      </c>
      <c r="Z180" s="61" t="s">
        <v>7</v>
      </c>
      <c r="AA180" s="44" t="s">
        <v>995</v>
      </c>
      <c r="AB180" s="61" t="s">
        <v>7</v>
      </c>
      <c r="AC180" s="44" t="s">
        <v>7</v>
      </c>
      <c r="AD180" s="44" t="s">
        <v>7</v>
      </c>
    </row>
    <row r="181" spans="1:30" ht="6.75" customHeight="1" x14ac:dyDescent="0.25">
      <c r="A181" s="54">
        <v>181</v>
      </c>
      <c r="B181" s="73" t="s">
        <v>1045</v>
      </c>
      <c r="C181" s="74" t="s">
        <v>79</v>
      </c>
      <c r="D181" s="74" t="s">
        <v>844</v>
      </c>
      <c r="E181" s="74" t="s">
        <v>808</v>
      </c>
      <c r="F181" s="74" t="s">
        <v>813</v>
      </c>
      <c r="G181" s="55" t="s">
        <v>7</v>
      </c>
      <c r="H181" s="55" t="s">
        <v>7</v>
      </c>
      <c r="I181" s="55" t="s">
        <v>7</v>
      </c>
      <c r="J181" s="55" t="s">
        <v>7</v>
      </c>
      <c r="K181" s="55" t="s">
        <v>7</v>
      </c>
      <c r="L181" s="49" t="str">
        <f t="shared" si="144"/>
        <v>Estrutura.Secundária</v>
      </c>
      <c r="M181" s="49" t="str">
        <f t="shared" si="145"/>
        <v>Terças de Suporte</v>
      </c>
      <c r="N181" s="49" t="str">
        <f t="shared" si="146"/>
        <v>Terças</v>
      </c>
      <c r="O181" s="49" t="str">
        <f t="shared" si="147"/>
        <v>Terça Cartola</v>
      </c>
      <c r="P181" s="49" t="s">
        <v>812</v>
      </c>
      <c r="Q181" s="49" t="s">
        <v>828</v>
      </c>
      <c r="R181" s="44" t="s">
        <v>1148</v>
      </c>
      <c r="S181" s="75" t="s">
        <v>7</v>
      </c>
      <c r="T181" s="44" t="str">
        <f t="shared" si="128"/>
        <v>Estrutura Secundária</v>
      </c>
      <c r="U181" s="44" t="str">
        <f t="shared" si="129"/>
        <v>Terças de Suporte</v>
      </c>
      <c r="V181" s="44" t="str">
        <f t="shared" si="130"/>
        <v>Terças</v>
      </c>
      <c r="W181" s="44" t="s">
        <v>654</v>
      </c>
      <c r="X181" s="52" t="str">
        <f t="shared" si="81"/>
        <v>Key-MET-181</v>
      </c>
      <c r="Y181" s="44" t="s">
        <v>994</v>
      </c>
      <c r="Z181" s="61" t="s">
        <v>7</v>
      </c>
      <c r="AA181" s="44" t="s">
        <v>995</v>
      </c>
      <c r="AB181" s="61" t="s">
        <v>7</v>
      </c>
      <c r="AC181" s="44" t="s">
        <v>7</v>
      </c>
      <c r="AD181" s="44" t="s">
        <v>7</v>
      </c>
    </row>
    <row r="182" spans="1:30" ht="6.75" customHeight="1" x14ac:dyDescent="0.25">
      <c r="A182" s="54">
        <v>182</v>
      </c>
      <c r="B182" s="73" t="s">
        <v>1045</v>
      </c>
      <c r="C182" s="74" t="s">
        <v>79</v>
      </c>
      <c r="D182" s="74" t="s">
        <v>844</v>
      </c>
      <c r="E182" s="74" t="s">
        <v>919</v>
      </c>
      <c r="F182" s="74" t="s">
        <v>920</v>
      </c>
      <c r="G182" s="55" t="s">
        <v>7</v>
      </c>
      <c r="H182" s="55" t="s">
        <v>7</v>
      </c>
      <c r="I182" s="55" t="s">
        <v>7</v>
      </c>
      <c r="J182" s="55" t="s">
        <v>7</v>
      </c>
      <c r="K182" s="55" t="s">
        <v>7</v>
      </c>
      <c r="L182" s="49" t="str">
        <f t="shared" si="144"/>
        <v>Estrutura.Secundária</v>
      </c>
      <c r="M182" s="49" t="str">
        <f t="shared" si="145"/>
        <v>Terças de Suporte</v>
      </c>
      <c r="N182" s="49" t="str">
        <f t="shared" si="146"/>
        <v>Tirantes</v>
      </c>
      <c r="O182" s="49" t="str">
        <f t="shared" si="147"/>
        <v>Tirante Beiral</v>
      </c>
      <c r="P182" s="49" t="s">
        <v>923</v>
      </c>
      <c r="Q182" s="49" t="s">
        <v>927</v>
      </c>
      <c r="R182" s="44" t="s">
        <v>1149</v>
      </c>
      <c r="S182" s="75" t="s">
        <v>7</v>
      </c>
      <c r="T182" s="44" t="str">
        <f t="shared" si="128"/>
        <v>Estrutura Secundária</v>
      </c>
      <c r="U182" s="44" t="str">
        <f t="shared" si="129"/>
        <v>Terças de Suporte</v>
      </c>
      <c r="V182" s="44" t="str">
        <f t="shared" si="130"/>
        <v>Tirantes</v>
      </c>
      <c r="W182" s="44" t="s">
        <v>654</v>
      </c>
      <c r="X182" s="52" t="str">
        <f t="shared" si="81"/>
        <v>Key-MET-182</v>
      </c>
      <c r="Y182" s="44" t="s">
        <v>1029</v>
      </c>
      <c r="Z182" s="61" t="s">
        <v>7</v>
      </c>
      <c r="AA182" s="44" t="s">
        <v>1002</v>
      </c>
      <c r="AB182" s="61" t="s">
        <v>7</v>
      </c>
      <c r="AC182" s="44" t="s">
        <v>7</v>
      </c>
      <c r="AD182" s="44" t="s">
        <v>7</v>
      </c>
    </row>
    <row r="183" spans="1:30" ht="6.75" customHeight="1" x14ac:dyDescent="0.25">
      <c r="A183" s="54">
        <v>183</v>
      </c>
      <c r="B183" s="73" t="s">
        <v>1045</v>
      </c>
      <c r="C183" s="74" t="s">
        <v>79</v>
      </c>
      <c r="D183" s="74" t="s">
        <v>844</v>
      </c>
      <c r="E183" s="74" t="s">
        <v>919</v>
      </c>
      <c r="F183" s="74" t="s">
        <v>921</v>
      </c>
      <c r="G183" s="55" t="s">
        <v>7</v>
      </c>
      <c r="H183" s="55" t="s">
        <v>7</v>
      </c>
      <c r="I183" s="55" t="s">
        <v>7</v>
      </c>
      <c r="J183" s="55" t="s">
        <v>7</v>
      </c>
      <c r="K183" s="55" t="s">
        <v>7</v>
      </c>
      <c r="L183" s="49" t="str">
        <f t="shared" si="144"/>
        <v>Estrutura.Secundária</v>
      </c>
      <c r="M183" s="49" t="str">
        <f t="shared" si="145"/>
        <v>Terças de Suporte</v>
      </c>
      <c r="N183" s="49" t="str">
        <f t="shared" si="146"/>
        <v>Tirantes</v>
      </c>
      <c r="O183" s="49" t="str">
        <f t="shared" si="147"/>
        <v>Tirante Terça</v>
      </c>
      <c r="P183" s="49" t="s">
        <v>924</v>
      </c>
      <c r="Q183" s="49" t="s">
        <v>928</v>
      </c>
      <c r="R183" s="44" t="s">
        <v>1150</v>
      </c>
      <c r="S183" s="75" t="s">
        <v>7</v>
      </c>
      <c r="T183" s="44" t="str">
        <f t="shared" si="128"/>
        <v>Estrutura Secundária</v>
      </c>
      <c r="U183" s="44" t="str">
        <f t="shared" si="129"/>
        <v>Terças de Suporte</v>
      </c>
      <c r="V183" s="44" t="str">
        <f t="shared" si="130"/>
        <v>Tirantes</v>
      </c>
      <c r="W183" s="44" t="s">
        <v>654</v>
      </c>
      <c r="X183" s="52" t="str">
        <f t="shared" si="81"/>
        <v>Key-MET-183</v>
      </c>
      <c r="Y183" s="44" t="s">
        <v>1029</v>
      </c>
      <c r="Z183" s="61" t="s">
        <v>7</v>
      </c>
      <c r="AA183" s="44" t="s">
        <v>1002</v>
      </c>
      <c r="AB183" s="61" t="s">
        <v>7</v>
      </c>
      <c r="AC183" s="44" t="s">
        <v>7</v>
      </c>
      <c r="AD183" s="44" t="s">
        <v>7</v>
      </c>
    </row>
    <row r="184" spans="1:30" ht="6.75" customHeight="1" x14ac:dyDescent="0.25">
      <c r="A184" s="54">
        <v>184</v>
      </c>
      <c r="B184" s="73" t="s">
        <v>1045</v>
      </c>
      <c r="C184" s="74" t="s">
        <v>79</v>
      </c>
      <c r="D184" s="74" t="s">
        <v>844</v>
      </c>
      <c r="E184" s="74" t="s">
        <v>919</v>
      </c>
      <c r="F184" s="74" t="s">
        <v>922</v>
      </c>
      <c r="G184" s="55" t="s">
        <v>7</v>
      </c>
      <c r="H184" s="55" t="s">
        <v>7</v>
      </c>
      <c r="I184" s="55" t="s">
        <v>7</v>
      </c>
      <c r="J184" s="55" t="s">
        <v>7</v>
      </c>
      <c r="K184" s="55" t="s">
        <v>7</v>
      </c>
      <c r="L184" s="49" t="str">
        <f t="shared" ref="L184" si="148">_xlfn.CONCAT(SUBSTITUTE(C184,"1.",""))</f>
        <v>Estrutura.Secundária</v>
      </c>
      <c r="M184" s="49" t="str">
        <f t="shared" ref="M184" si="149">_xlfn.CONCAT(SUBSTITUTE(D184,"."," "))</f>
        <v>Terças de Suporte</v>
      </c>
      <c r="N184" s="49" t="str">
        <f t="shared" ref="N184" si="150">_xlfn.CONCAT(SUBSTITUTE(E184,"."," "))</f>
        <v>Tirantes</v>
      </c>
      <c r="O184" s="49" t="str">
        <f t="shared" ref="O184" si="151">_xlfn.CONCAT(SUBSTITUTE(F184,"."," "))</f>
        <v>Tirante Cumeeira</v>
      </c>
      <c r="P184" s="49" t="s">
        <v>925</v>
      </c>
      <c r="Q184" s="49" t="s">
        <v>926</v>
      </c>
      <c r="R184" s="44" t="s">
        <v>1151</v>
      </c>
      <c r="S184" s="75" t="s">
        <v>7</v>
      </c>
      <c r="T184" s="44" t="str">
        <f t="shared" si="128"/>
        <v>Estrutura Secundária</v>
      </c>
      <c r="U184" s="44" t="str">
        <f t="shared" si="129"/>
        <v>Terças de Suporte</v>
      </c>
      <c r="V184" s="44" t="str">
        <f t="shared" si="130"/>
        <v>Tirantes</v>
      </c>
      <c r="W184" s="44" t="s">
        <v>654</v>
      </c>
      <c r="X184" s="52" t="str">
        <f t="shared" si="81"/>
        <v>Key-MET-184</v>
      </c>
      <c r="Y184" s="44" t="s">
        <v>1029</v>
      </c>
      <c r="Z184" s="61" t="s">
        <v>7</v>
      </c>
      <c r="AA184" s="44" t="s">
        <v>1002</v>
      </c>
      <c r="AB184" s="61" t="s">
        <v>7</v>
      </c>
      <c r="AC184" s="44" t="s">
        <v>7</v>
      </c>
      <c r="AD184" s="44" t="s">
        <v>7</v>
      </c>
    </row>
    <row r="185" spans="1:30" ht="6.75" customHeight="1" x14ac:dyDescent="0.25">
      <c r="A185" s="54">
        <v>185</v>
      </c>
      <c r="B185" s="73" t="s">
        <v>1045</v>
      </c>
      <c r="C185" s="74" t="s">
        <v>79</v>
      </c>
      <c r="D185" s="74" t="s">
        <v>844</v>
      </c>
      <c r="E185" s="74" t="s">
        <v>845</v>
      </c>
      <c r="F185" s="74" t="s">
        <v>843</v>
      </c>
      <c r="G185" s="55" t="s">
        <v>7</v>
      </c>
      <c r="H185" s="55" t="s">
        <v>7</v>
      </c>
      <c r="I185" s="55" t="s">
        <v>7</v>
      </c>
      <c r="J185" s="55" t="s">
        <v>7</v>
      </c>
      <c r="K185" s="55" t="s">
        <v>7</v>
      </c>
      <c r="L185" s="49" t="str">
        <f t="shared" si="144"/>
        <v>Estrutura.Secundária</v>
      </c>
      <c r="M185" s="49" t="str">
        <f t="shared" si="145"/>
        <v>Terças de Suporte</v>
      </c>
      <c r="N185" s="49" t="str">
        <f t="shared" si="146"/>
        <v>Frechais</v>
      </c>
      <c r="O185" s="49" t="str">
        <f t="shared" si="147"/>
        <v>Frechal Alinhamento</v>
      </c>
      <c r="P185" s="49" t="s">
        <v>826</v>
      </c>
      <c r="Q185" s="49" t="s">
        <v>829</v>
      </c>
      <c r="R185" s="44" t="s">
        <v>1152</v>
      </c>
      <c r="S185" s="75" t="s">
        <v>7</v>
      </c>
      <c r="T185" s="44" t="str">
        <f t="shared" si="128"/>
        <v>Estrutura Secundária</v>
      </c>
      <c r="U185" s="44" t="str">
        <f t="shared" si="129"/>
        <v>Terças de Suporte</v>
      </c>
      <c r="V185" s="44" t="str">
        <f t="shared" si="130"/>
        <v>Frechais</v>
      </c>
      <c r="W185" s="44" t="s">
        <v>654</v>
      </c>
      <c r="X185" s="52" t="str">
        <f t="shared" si="81"/>
        <v>Key-MET-185</v>
      </c>
      <c r="Y185" s="44" t="s">
        <v>1007</v>
      </c>
      <c r="Z185" s="61" t="s">
        <v>7</v>
      </c>
      <c r="AA185" s="50" t="s">
        <v>1016</v>
      </c>
      <c r="AB185" s="61" t="s">
        <v>7</v>
      </c>
      <c r="AC185" s="44" t="s">
        <v>7</v>
      </c>
      <c r="AD185" s="44" t="s">
        <v>7</v>
      </c>
    </row>
    <row r="186" spans="1:30" ht="6.75" customHeight="1" x14ac:dyDescent="0.25">
      <c r="A186" s="54">
        <v>186</v>
      </c>
      <c r="B186" s="73" t="s">
        <v>1045</v>
      </c>
      <c r="C186" s="74" t="s">
        <v>821</v>
      </c>
      <c r="D186" s="74" t="s">
        <v>848</v>
      </c>
      <c r="E186" s="74" t="s">
        <v>849</v>
      </c>
      <c r="F186" s="74" t="s">
        <v>862</v>
      </c>
      <c r="G186" s="55" t="s">
        <v>7</v>
      </c>
      <c r="H186" s="55" t="s">
        <v>7</v>
      </c>
      <c r="I186" s="55" t="s">
        <v>7</v>
      </c>
      <c r="J186" s="55" t="s">
        <v>7</v>
      </c>
      <c r="K186" s="55" t="s">
        <v>7</v>
      </c>
      <c r="L186" s="49" t="str">
        <f t="shared" ref="L186" si="152">_xlfn.CONCAT(SUBSTITUTE(C186,"1.",""))</f>
        <v>Estrutura.Fechamento</v>
      </c>
      <c r="M186" s="49" t="str">
        <f t="shared" ref="M186" si="153">_xlfn.CONCAT(SUBSTITUTE(D186,"."," "))</f>
        <v>Sistemas Sanduíches</v>
      </c>
      <c r="N186" s="49" t="str">
        <f t="shared" ref="N186" si="154">_xlfn.CONCAT(SUBSTITUTE(E186,"."," "))</f>
        <v>Paineis Sanduíches</v>
      </c>
      <c r="O186" s="49" t="str">
        <f t="shared" ref="O186" si="155">_xlfn.CONCAT(SUBSTITUTE(F186,"."," "))</f>
        <v>Painel Sanduíche Fachada</v>
      </c>
      <c r="P186" s="49" t="s">
        <v>863</v>
      </c>
      <c r="Q186" s="49" t="s">
        <v>907</v>
      </c>
      <c r="R186" s="44" t="s">
        <v>1153</v>
      </c>
      <c r="S186" s="75" t="s">
        <v>7</v>
      </c>
      <c r="T186" s="44" t="str">
        <f t="shared" si="128"/>
        <v>Estrutura Fechamento</v>
      </c>
      <c r="U186" s="44" t="str">
        <f t="shared" si="129"/>
        <v>Sistemas Sanduíches</v>
      </c>
      <c r="V186" s="44" t="str">
        <f t="shared" si="130"/>
        <v>Paineis Sanduíches</v>
      </c>
      <c r="W186" s="44" t="s">
        <v>654</v>
      </c>
      <c r="X186" s="52" t="str">
        <f t="shared" si="81"/>
        <v>Key-MET-186</v>
      </c>
      <c r="Y186" s="44" t="s">
        <v>1251</v>
      </c>
      <c r="Z186" s="61" t="s">
        <v>7</v>
      </c>
      <c r="AA186" s="44" t="s">
        <v>1030</v>
      </c>
      <c r="AB186" s="61" t="s">
        <v>7</v>
      </c>
      <c r="AC186" s="44" t="s">
        <v>7</v>
      </c>
      <c r="AD186" s="44" t="s">
        <v>7</v>
      </c>
    </row>
    <row r="187" spans="1:30" ht="6.75" customHeight="1" x14ac:dyDescent="0.25">
      <c r="A187" s="54">
        <v>187</v>
      </c>
      <c r="B187" s="73" t="s">
        <v>1045</v>
      </c>
      <c r="C187" s="74" t="s">
        <v>821</v>
      </c>
      <c r="D187" s="74" t="s">
        <v>848</v>
      </c>
      <c r="E187" s="74" t="s">
        <v>849</v>
      </c>
      <c r="F187" s="74" t="s">
        <v>851</v>
      </c>
      <c r="G187" s="55" t="s">
        <v>7</v>
      </c>
      <c r="H187" s="55" t="s">
        <v>7</v>
      </c>
      <c r="I187" s="55" t="s">
        <v>7</v>
      </c>
      <c r="J187" s="55" t="s">
        <v>7</v>
      </c>
      <c r="K187" s="55" t="s">
        <v>7</v>
      </c>
      <c r="L187" s="49" t="str">
        <f t="shared" si="144"/>
        <v>Estrutura.Fechamento</v>
      </c>
      <c r="M187" s="49" t="str">
        <f t="shared" si="145"/>
        <v>Sistemas Sanduíches</v>
      </c>
      <c r="N187" s="49" t="str">
        <f t="shared" si="146"/>
        <v>Paineis Sanduíches</v>
      </c>
      <c r="O187" s="49" t="str">
        <f t="shared" si="147"/>
        <v>Painel Sanduíche Térmico</v>
      </c>
      <c r="P187" s="49" t="s">
        <v>846</v>
      </c>
      <c r="Q187" s="49" t="s">
        <v>908</v>
      </c>
      <c r="R187" s="44" t="s">
        <v>1154</v>
      </c>
      <c r="S187" s="75" t="s">
        <v>7</v>
      </c>
      <c r="T187" s="44" t="str">
        <f t="shared" si="128"/>
        <v>Estrutura Fechamento</v>
      </c>
      <c r="U187" s="44" t="str">
        <f t="shared" si="129"/>
        <v>Sistemas Sanduíches</v>
      </c>
      <c r="V187" s="44" t="str">
        <f t="shared" si="130"/>
        <v>Paineis Sanduíches</v>
      </c>
      <c r="W187" s="44" t="s">
        <v>654</v>
      </c>
      <c r="X187" s="52" t="str">
        <f t="shared" si="81"/>
        <v>Key-MET-187</v>
      </c>
      <c r="Y187" s="44" t="s">
        <v>1251</v>
      </c>
      <c r="Z187" s="61" t="s">
        <v>7</v>
      </c>
      <c r="AA187" s="44" t="s">
        <v>1030</v>
      </c>
      <c r="AB187" s="61" t="s">
        <v>7</v>
      </c>
      <c r="AC187" s="44" t="s">
        <v>7</v>
      </c>
      <c r="AD187" s="44" t="s">
        <v>7</v>
      </c>
    </row>
    <row r="188" spans="1:30" ht="6.75" customHeight="1" x14ac:dyDescent="0.25">
      <c r="A188" s="54">
        <v>188</v>
      </c>
      <c r="B188" s="73" t="s">
        <v>1045</v>
      </c>
      <c r="C188" s="74" t="s">
        <v>821</v>
      </c>
      <c r="D188" s="74" t="s">
        <v>848</v>
      </c>
      <c r="E188" s="74" t="s">
        <v>850</v>
      </c>
      <c r="F188" s="74" t="s">
        <v>852</v>
      </c>
      <c r="G188" s="55" t="s">
        <v>7</v>
      </c>
      <c r="H188" s="55" t="s">
        <v>7</v>
      </c>
      <c r="I188" s="55" t="s">
        <v>7</v>
      </c>
      <c r="J188" s="55" t="s">
        <v>7</v>
      </c>
      <c r="K188" s="55" t="s">
        <v>7</v>
      </c>
      <c r="L188" s="49" t="str">
        <f t="shared" ref="L188:L190" si="156">_xlfn.CONCAT(SUBSTITUTE(C188,"1.",""))</f>
        <v>Estrutura.Fechamento</v>
      </c>
      <c r="M188" s="49" t="str">
        <f t="shared" ref="M188:M190" si="157">_xlfn.CONCAT(SUBSTITUTE(D188,"."," "))</f>
        <v>Sistemas Sanduíches</v>
      </c>
      <c r="N188" s="49" t="str">
        <f t="shared" ref="N188:N190" si="158">_xlfn.CONCAT(SUBSTITUTE(E188,"."," "))</f>
        <v>Telhas Sanduíches</v>
      </c>
      <c r="O188" s="49" t="str">
        <f t="shared" ref="O188:O190" si="159">_xlfn.CONCAT(SUBSTITUTE(F188,"."," "))</f>
        <v>Telha Sanduíche Zipada</v>
      </c>
      <c r="P188" s="49" t="s">
        <v>853</v>
      </c>
      <c r="Q188" s="49" t="s">
        <v>909</v>
      </c>
      <c r="R188" s="44" t="s">
        <v>1155</v>
      </c>
      <c r="S188" s="75" t="s">
        <v>7</v>
      </c>
      <c r="T188" s="44" t="str">
        <f t="shared" si="128"/>
        <v>Estrutura Fechamento</v>
      </c>
      <c r="U188" s="44" t="str">
        <f t="shared" si="129"/>
        <v>Sistemas Sanduíches</v>
      </c>
      <c r="V188" s="44" t="str">
        <f t="shared" si="130"/>
        <v>Telhas Sanduíches</v>
      </c>
      <c r="W188" s="44" t="s">
        <v>654</v>
      </c>
      <c r="X188" s="52" t="str">
        <f t="shared" si="81"/>
        <v>Key-MET-188</v>
      </c>
      <c r="Y188" s="44" t="s">
        <v>1031</v>
      </c>
      <c r="Z188" s="61" t="s">
        <v>7</v>
      </c>
      <c r="AA188" s="50" t="s">
        <v>1032</v>
      </c>
      <c r="AB188" s="61" t="s">
        <v>7</v>
      </c>
      <c r="AC188" s="44" t="s">
        <v>7</v>
      </c>
      <c r="AD188" s="44" t="s">
        <v>7</v>
      </c>
    </row>
    <row r="189" spans="1:30" ht="6.75" customHeight="1" x14ac:dyDescent="0.25">
      <c r="A189" s="54">
        <v>189</v>
      </c>
      <c r="B189" s="73" t="s">
        <v>1045</v>
      </c>
      <c r="C189" s="74" t="s">
        <v>821</v>
      </c>
      <c r="D189" s="74" t="s">
        <v>848</v>
      </c>
      <c r="E189" s="74" t="s">
        <v>850</v>
      </c>
      <c r="F189" s="74" t="s">
        <v>858</v>
      </c>
      <c r="G189" s="55" t="s">
        <v>7</v>
      </c>
      <c r="H189" s="55" t="s">
        <v>7</v>
      </c>
      <c r="I189" s="55" t="s">
        <v>7</v>
      </c>
      <c r="J189" s="55" t="s">
        <v>7</v>
      </c>
      <c r="K189" s="55" t="s">
        <v>7</v>
      </c>
      <c r="L189" s="49" t="str">
        <f t="shared" si="156"/>
        <v>Estrutura.Fechamento</v>
      </c>
      <c r="M189" s="49" t="str">
        <f t="shared" si="157"/>
        <v>Sistemas Sanduíches</v>
      </c>
      <c r="N189" s="49" t="str">
        <f t="shared" si="158"/>
        <v>Telhas Sanduíches</v>
      </c>
      <c r="O189" s="49" t="str">
        <f t="shared" si="159"/>
        <v>Telha Sanduíche Ondulada</v>
      </c>
      <c r="P189" s="49" t="s">
        <v>857</v>
      </c>
      <c r="Q189" s="49" t="s">
        <v>910</v>
      </c>
      <c r="R189" s="44" t="s">
        <v>1156</v>
      </c>
      <c r="S189" s="75" t="s">
        <v>7</v>
      </c>
      <c r="T189" s="44" t="str">
        <f t="shared" si="128"/>
        <v>Estrutura Fechamento</v>
      </c>
      <c r="U189" s="44" t="str">
        <f t="shared" si="129"/>
        <v>Sistemas Sanduíches</v>
      </c>
      <c r="V189" s="44" t="str">
        <f t="shared" si="130"/>
        <v>Telhas Sanduíches</v>
      </c>
      <c r="W189" s="44" t="s">
        <v>654</v>
      </c>
      <c r="X189" s="52" t="str">
        <f t="shared" si="81"/>
        <v>Key-MET-189</v>
      </c>
      <c r="Y189" s="44" t="s">
        <v>1031</v>
      </c>
      <c r="Z189" s="61" t="s">
        <v>7</v>
      </c>
      <c r="AA189" s="50" t="s">
        <v>1032</v>
      </c>
      <c r="AB189" s="61" t="s">
        <v>7</v>
      </c>
      <c r="AC189" s="44" t="s">
        <v>7</v>
      </c>
      <c r="AD189" s="44" t="s">
        <v>7</v>
      </c>
    </row>
    <row r="190" spans="1:30" ht="6.75" customHeight="1" x14ac:dyDescent="0.25">
      <c r="A190" s="54">
        <v>190</v>
      </c>
      <c r="B190" s="73" t="s">
        <v>1045</v>
      </c>
      <c r="C190" s="74" t="s">
        <v>821</v>
      </c>
      <c r="D190" s="74" t="s">
        <v>848</v>
      </c>
      <c r="E190" s="74" t="s">
        <v>850</v>
      </c>
      <c r="F190" s="74" t="s">
        <v>855</v>
      </c>
      <c r="G190" s="55" t="s">
        <v>7</v>
      </c>
      <c r="H190" s="55" t="s">
        <v>7</v>
      </c>
      <c r="I190" s="55" t="s">
        <v>7</v>
      </c>
      <c r="J190" s="55" t="s">
        <v>7</v>
      </c>
      <c r="K190" s="55" t="s">
        <v>7</v>
      </c>
      <c r="L190" s="49" t="str">
        <f t="shared" si="156"/>
        <v>Estrutura.Fechamento</v>
      </c>
      <c r="M190" s="49" t="str">
        <f t="shared" si="157"/>
        <v>Sistemas Sanduíches</v>
      </c>
      <c r="N190" s="49" t="str">
        <f t="shared" si="158"/>
        <v>Telhas Sanduíches</v>
      </c>
      <c r="O190" s="49" t="str">
        <f t="shared" si="159"/>
        <v>Telha Sanduíche Trapezoidal</v>
      </c>
      <c r="P190" s="49" t="s">
        <v>856</v>
      </c>
      <c r="Q190" s="49" t="s">
        <v>911</v>
      </c>
      <c r="R190" s="44" t="s">
        <v>1157</v>
      </c>
      <c r="S190" s="75" t="s">
        <v>7</v>
      </c>
      <c r="T190" s="44" t="str">
        <f t="shared" si="128"/>
        <v>Estrutura Fechamento</v>
      </c>
      <c r="U190" s="44" t="str">
        <f t="shared" si="129"/>
        <v>Sistemas Sanduíches</v>
      </c>
      <c r="V190" s="44" t="str">
        <f t="shared" si="130"/>
        <v>Telhas Sanduíches</v>
      </c>
      <c r="W190" s="44" t="s">
        <v>654</v>
      </c>
      <c r="X190" s="52" t="str">
        <f t="shared" si="81"/>
        <v>Key-MET-190</v>
      </c>
      <c r="Y190" s="44" t="s">
        <v>1031</v>
      </c>
      <c r="Z190" s="61" t="s">
        <v>7</v>
      </c>
      <c r="AA190" s="50" t="s">
        <v>1032</v>
      </c>
      <c r="AB190" s="61" t="s">
        <v>7</v>
      </c>
      <c r="AC190" s="44" t="s">
        <v>7</v>
      </c>
      <c r="AD190" s="44" t="s">
        <v>7</v>
      </c>
    </row>
    <row r="191" spans="1:30" ht="6.75" customHeight="1" x14ac:dyDescent="0.25">
      <c r="A191" s="54">
        <v>191</v>
      </c>
      <c r="B191" s="73" t="s">
        <v>1045</v>
      </c>
      <c r="C191" s="74" t="s">
        <v>821</v>
      </c>
      <c r="D191" s="74" t="s">
        <v>848</v>
      </c>
      <c r="E191" s="74" t="s">
        <v>850</v>
      </c>
      <c r="F191" s="74" t="s">
        <v>860</v>
      </c>
      <c r="G191" s="55" t="s">
        <v>7</v>
      </c>
      <c r="H191" s="55" t="s">
        <v>7</v>
      </c>
      <c r="I191" s="55" t="s">
        <v>7</v>
      </c>
      <c r="J191" s="55" t="s">
        <v>7</v>
      </c>
      <c r="K191" s="55" t="s">
        <v>7</v>
      </c>
      <c r="L191" s="49" t="str">
        <f t="shared" si="144"/>
        <v>Estrutura.Fechamento</v>
      </c>
      <c r="M191" s="49" t="str">
        <f t="shared" si="145"/>
        <v>Sistemas Sanduíches</v>
      </c>
      <c r="N191" s="49" t="str">
        <f t="shared" si="146"/>
        <v>Telhas Sanduíches</v>
      </c>
      <c r="O191" s="49" t="str">
        <f t="shared" si="147"/>
        <v>Telha Sanduíche Solar</v>
      </c>
      <c r="P191" s="49" t="s">
        <v>861</v>
      </c>
      <c r="Q191" s="49" t="s">
        <v>912</v>
      </c>
      <c r="R191" s="44" t="s">
        <v>1158</v>
      </c>
      <c r="S191" s="75" t="s">
        <v>7</v>
      </c>
      <c r="T191" s="44" t="str">
        <f t="shared" si="128"/>
        <v>Estrutura Fechamento</v>
      </c>
      <c r="U191" s="44" t="str">
        <f t="shared" si="129"/>
        <v>Sistemas Sanduíches</v>
      </c>
      <c r="V191" s="44" t="str">
        <f t="shared" si="130"/>
        <v>Telhas Sanduíches</v>
      </c>
      <c r="W191" s="44" t="s">
        <v>654</v>
      </c>
      <c r="X191" s="52" t="str">
        <f t="shared" si="81"/>
        <v>Key-MET-191</v>
      </c>
      <c r="Y191" s="44" t="s">
        <v>1031</v>
      </c>
      <c r="Z191" s="61" t="s">
        <v>7</v>
      </c>
      <c r="AA191" s="50" t="s">
        <v>1032</v>
      </c>
      <c r="AB191" s="61" t="s">
        <v>7</v>
      </c>
      <c r="AC191" s="44" t="s">
        <v>7</v>
      </c>
      <c r="AD191" s="44" t="s">
        <v>7</v>
      </c>
    </row>
    <row r="192" spans="1:30" ht="6.75" customHeight="1" x14ac:dyDescent="0.25">
      <c r="A192" s="54">
        <v>192</v>
      </c>
      <c r="B192" s="73" t="s">
        <v>1045</v>
      </c>
      <c r="C192" s="74" t="s">
        <v>821</v>
      </c>
      <c r="D192" s="74" t="s">
        <v>824</v>
      </c>
      <c r="E192" s="74" t="s">
        <v>822</v>
      </c>
      <c r="F192" s="74" t="s">
        <v>854</v>
      </c>
      <c r="G192" s="55" t="s">
        <v>7</v>
      </c>
      <c r="H192" s="55" t="s">
        <v>7</v>
      </c>
      <c r="I192" s="55" t="s">
        <v>7</v>
      </c>
      <c r="J192" s="55" t="s">
        <v>7</v>
      </c>
      <c r="K192" s="55" t="s">
        <v>7</v>
      </c>
      <c r="L192" s="49" t="str">
        <f t="shared" si="144"/>
        <v>Estrutura.Fechamento</v>
      </c>
      <c r="M192" s="49" t="str">
        <f t="shared" si="145"/>
        <v>Sistemas Perfilados</v>
      </c>
      <c r="N192" s="49" t="str">
        <f t="shared" si="146"/>
        <v>Telhas Perfiladas</v>
      </c>
      <c r="O192" s="49" t="str">
        <f t="shared" si="147"/>
        <v>Telha Trapezoidal</v>
      </c>
      <c r="P192" s="49" t="s">
        <v>859</v>
      </c>
      <c r="Q192" s="49" t="s">
        <v>913</v>
      </c>
      <c r="R192" s="44" t="s">
        <v>1159</v>
      </c>
      <c r="S192" s="75" t="s">
        <v>7</v>
      </c>
      <c r="T192" s="44" t="str">
        <f t="shared" si="128"/>
        <v>Estrutura Fechamento</v>
      </c>
      <c r="U192" s="44" t="str">
        <f t="shared" si="129"/>
        <v>Sistemas Perfilados</v>
      </c>
      <c r="V192" s="44" t="str">
        <f t="shared" si="130"/>
        <v>Telhas Perfiladas</v>
      </c>
      <c r="W192" s="44" t="s">
        <v>654</v>
      </c>
      <c r="X192" s="52" t="str">
        <f t="shared" si="81"/>
        <v>Key-MET-192</v>
      </c>
      <c r="Y192" s="44" t="s">
        <v>1031</v>
      </c>
      <c r="Z192" s="61" t="s">
        <v>7</v>
      </c>
      <c r="AA192" s="50" t="s">
        <v>1032</v>
      </c>
      <c r="AB192" s="61" t="s">
        <v>7</v>
      </c>
      <c r="AC192" s="44" t="s">
        <v>7</v>
      </c>
      <c r="AD192" s="44" t="s">
        <v>7</v>
      </c>
    </row>
    <row r="193" spans="1:30" ht="6.75" customHeight="1" x14ac:dyDescent="0.25">
      <c r="A193" s="54">
        <v>193</v>
      </c>
      <c r="B193" s="73" t="s">
        <v>1045</v>
      </c>
      <c r="C193" s="74" t="s">
        <v>821</v>
      </c>
      <c r="D193" s="74" t="s">
        <v>824</v>
      </c>
      <c r="E193" s="74" t="s">
        <v>822</v>
      </c>
      <c r="F193" s="74" t="s">
        <v>823</v>
      </c>
      <c r="G193" s="55" t="s">
        <v>7</v>
      </c>
      <c r="H193" s="55" t="s">
        <v>7</v>
      </c>
      <c r="I193" s="55" t="s">
        <v>7</v>
      </c>
      <c r="J193" s="55" t="s">
        <v>7</v>
      </c>
      <c r="K193" s="55" t="s">
        <v>7</v>
      </c>
      <c r="L193" s="49" t="str">
        <f t="shared" si="144"/>
        <v>Estrutura.Fechamento</v>
      </c>
      <c r="M193" s="49" t="str">
        <f t="shared" si="145"/>
        <v>Sistemas Perfilados</v>
      </c>
      <c r="N193" s="49" t="str">
        <f t="shared" si="146"/>
        <v>Telhas Perfiladas</v>
      </c>
      <c r="O193" s="49" t="str">
        <f t="shared" si="147"/>
        <v>Telha Ondulada</v>
      </c>
      <c r="P193" s="49" t="s">
        <v>857</v>
      </c>
      <c r="Q193" s="49" t="s">
        <v>910</v>
      </c>
      <c r="R193" s="44" t="s">
        <v>1156</v>
      </c>
      <c r="S193" s="75" t="s">
        <v>7</v>
      </c>
      <c r="T193" s="44" t="str">
        <f t="shared" si="128"/>
        <v>Estrutura Fechamento</v>
      </c>
      <c r="U193" s="44" t="str">
        <f t="shared" si="129"/>
        <v>Sistemas Perfilados</v>
      </c>
      <c r="V193" s="44" t="str">
        <f t="shared" si="130"/>
        <v>Telhas Perfiladas</v>
      </c>
      <c r="W193" s="44" t="s">
        <v>654</v>
      </c>
      <c r="X193" s="52" t="str">
        <f t="shared" si="81"/>
        <v>Key-MET-193</v>
      </c>
      <c r="Y193" s="44" t="s">
        <v>1031</v>
      </c>
      <c r="Z193" s="61" t="s">
        <v>7</v>
      </c>
      <c r="AA193" s="50" t="s">
        <v>1032</v>
      </c>
      <c r="AB193" s="61" t="s">
        <v>7</v>
      </c>
      <c r="AC193" s="44" t="s">
        <v>7</v>
      </c>
      <c r="AD193" s="44" t="s">
        <v>7</v>
      </c>
    </row>
    <row r="194" spans="1:30" ht="6.75" customHeight="1" x14ac:dyDescent="0.25">
      <c r="A194" s="54">
        <v>194</v>
      </c>
      <c r="B194" s="73" t="s">
        <v>1045</v>
      </c>
      <c r="C194" s="74" t="s">
        <v>821</v>
      </c>
      <c r="D194" s="74" t="s">
        <v>824</v>
      </c>
      <c r="E194" s="74" t="s">
        <v>822</v>
      </c>
      <c r="F194" s="74" t="s">
        <v>825</v>
      </c>
      <c r="G194" s="55" t="s">
        <v>7</v>
      </c>
      <c r="H194" s="55" t="s">
        <v>7</v>
      </c>
      <c r="I194" s="55" t="s">
        <v>7</v>
      </c>
      <c r="J194" s="55" t="s">
        <v>7</v>
      </c>
      <c r="K194" s="55" t="s">
        <v>7</v>
      </c>
      <c r="L194" s="49" t="str">
        <f t="shared" si="141"/>
        <v>Estrutura.Fechamento</v>
      </c>
      <c r="M194" s="49" t="str">
        <f t="shared" si="142"/>
        <v>Sistemas Perfilados</v>
      </c>
      <c r="N194" s="49" t="str">
        <f t="shared" si="143"/>
        <v>Telhas Perfiladas</v>
      </c>
      <c r="O194" s="49" t="str">
        <f t="shared" si="133"/>
        <v>Telha Zipada</v>
      </c>
      <c r="P194" s="49" t="s">
        <v>847</v>
      </c>
      <c r="Q194" s="49" t="s">
        <v>909</v>
      </c>
      <c r="R194" s="44" t="s">
        <v>1160</v>
      </c>
      <c r="S194" s="75" t="s">
        <v>7</v>
      </c>
      <c r="T194" s="44" t="str">
        <f t="shared" si="128"/>
        <v>Estrutura Fechamento</v>
      </c>
      <c r="U194" s="44" t="str">
        <f t="shared" si="129"/>
        <v>Sistemas Perfilados</v>
      </c>
      <c r="V194" s="44" t="str">
        <f t="shared" si="130"/>
        <v>Telhas Perfiladas</v>
      </c>
      <c r="W194" s="44" t="s">
        <v>654</v>
      </c>
      <c r="X194" s="52" t="str">
        <f t="shared" ref="X194:X229" si="160">CONCATENATE("Key-MET-",A194)</f>
        <v>Key-MET-194</v>
      </c>
      <c r="Y194" s="44" t="s">
        <v>1031</v>
      </c>
      <c r="Z194" s="61" t="s">
        <v>7</v>
      </c>
      <c r="AA194" s="50" t="s">
        <v>1032</v>
      </c>
      <c r="AB194" s="61" t="s">
        <v>7</v>
      </c>
      <c r="AC194" s="44" t="s">
        <v>7</v>
      </c>
      <c r="AD194" s="44" t="s">
        <v>7</v>
      </c>
    </row>
    <row r="195" spans="1:30" ht="6.75" customHeight="1" x14ac:dyDescent="0.25">
      <c r="A195" s="54">
        <v>195</v>
      </c>
      <c r="B195" s="73" t="s">
        <v>1045</v>
      </c>
      <c r="C195" s="74" t="s">
        <v>831</v>
      </c>
      <c r="D195" s="74" t="s">
        <v>599</v>
      </c>
      <c r="E195" s="74" t="s">
        <v>568</v>
      </c>
      <c r="F195" s="74" t="s">
        <v>566</v>
      </c>
      <c r="G195" s="55" t="s">
        <v>7</v>
      </c>
      <c r="H195" s="55" t="s">
        <v>7</v>
      </c>
      <c r="I195" s="55" t="s">
        <v>7</v>
      </c>
      <c r="J195" s="55" t="s">
        <v>7</v>
      </c>
      <c r="K195" s="55" t="s">
        <v>7</v>
      </c>
      <c r="L195" s="49" t="str">
        <f t="shared" ref="L195" si="161">_xlfn.CONCAT(SUBSTITUTE(C195,"1.",""))</f>
        <v>Conexão.Estrutural</v>
      </c>
      <c r="M195" s="49" t="str">
        <f t="shared" ref="M195" si="162">_xlfn.CONCAT(SUBSTITUTE(D195,"."," "))</f>
        <v>Fixações</v>
      </c>
      <c r="N195" s="49" t="str">
        <f t="shared" ref="N195" si="163">_xlfn.CONCAT(SUBSTITUTE(E195,"."," "))</f>
        <v>Chumbadores</v>
      </c>
      <c r="O195" s="49" t="str">
        <f t="shared" ref="O195" si="164">_xlfn.CONCAT(SUBSTITUTE(F195,"."," "))</f>
        <v>Chumbador Interno</v>
      </c>
      <c r="P195" s="49" t="s">
        <v>569</v>
      </c>
      <c r="Q195" s="49" t="s">
        <v>699</v>
      </c>
      <c r="R195" s="44" t="s">
        <v>1161</v>
      </c>
      <c r="S195" s="75" t="s">
        <v>7</v>
      </c>
      <c r="T195" s="44" t="str">
        <f t="shared" si="128"/>
        <v>Conexão Estrutural</v>
      </c>
      <c r="U195" s="44" t="str">
        <f t="shared" si="129"/>
        <v>Fixações</v>
      </c>
      <c r="V195" s="44" t="str">
        <f t="shared" si="130"/>
        <v>Chumbadores</v>
      </c>
      <c r="W195" s="44" t="s">
        <v>654</v>
      </c>
      <c r="X195" s="52" t="str">
        <f t="shared" si="160"/>
        <v>Key-MET-195</v>
      </c>
      <c r="Y195" s="44" t="s">
        <v>1033</v>
      </c>
      <c r="Z195" s="61" t="s">
        <v>7</v>
      </c>
      <c r="AA195" s="44" t="s">
        <v>1034</v>
      </c>
      <c r="AB195" s="61" t="s">
        <v>7</v>
      </c>
      <c r="AC195" s="44" t="s">
        <v>7</v>
      </c>
      <c r="AD195" s="44" t="s">
        <v>7</v>
      </c>
    </row>
    <row r="196" spans="1:30" ht="6.75" customHeight="1" x14ac:dyDescent="0.25">
      <c r="A196" s="54">
        <v>196</v>
      </c>
      <c r="B196" s="73" t="s">
        <v>1045</v>
      </c>
      <c r="C196" s="74" t="s">
        <v>831</v>
      </c>
      <c r="D196" s="74" t="s">
        <v>599</v>
      </c>
      <c r="E196" s="74" t="s">
        <v>568</v>
      </c>
      <c r="F196" s="74" t="s">
        <v>567</v>
      </c>
      <c r="G196" s="55" t="s">
        <v>7</v>
      </c>
      <c r="H196" s="55" t="s">
        <v>7</v>
      </c>
      <c r="I196" s="55" t="s">
        <v>7</v>
      </c>
      <c r="J196" s="55" t="s">
        <v>7</v>
      </c>
      <c r="K196" s="55" t="s">
        <v>7</v>
      </c>
      <c r="L196" s="49" t="str">
        <f t="shared" si="141"/>
        <v>Conexão.Estrutural</v>
      </c>
      <c r="M196" s="49" t="str">
        <f t="shared" si="142"/>
        <v>Fixações</v>
      </c>
      <c r="N196" s="49" t="str">
        <f t="shared" si="143"/>
        <v>Chumbadores</v>
      </c>
      <c r="O196" s="49" t="str">
        <f t="shared" ref="O196" si="165">_xlfn.CONCAT(SUBSTITUTE(F196,"."," "))</f>
        <v>Chumbador Externo</v>
      </c>
      <c r="P196" s="49" t="s">
        <v>570</v>
      </c>
      <c r="Q196" s="49" t="s">
        <v>700</v>
      </c>
      <c r="R196" s="44" t="s">
        <v>1162</v>
      </c>
      <c r="S196" s="75" t="s">
        <v>7</v>
      </c>
      <c r="T196" s="44" t="str">
        <f t="shared" si="128"/>
        <v>Conexão Estrutural</v>
      </c>
      <c r="U196" s="44" t="str">
        <f t="shared" si="129"/>
        <v>Fixações</v>
      </c>
      <c r="V196" s="44" t="str">
        <f t="shared" si="130"/>
        <v>Chumbadores</v>
      </c>
      <c r="W196" s="44" t="s">
        <v>654</v>
      </c>
      <c r="X196" s="52" t="str">
        <f t="shared" si="160"/>
        <v>Key-MET-196</v>
      </c>
      <c r="Y196" s="44" t="s">
        <v>1033</v>
      </c>
      <c r="Z196" s="61" t="s">
        <v>7</v>
      </c>
      <c r="AA196" s="44" t="s">
        <v>1034</v>
      </c>
      <c r="AB196" s="61" t="s">
        <v>7</v>
      </c>
      <c r="AC196" s="44" t="s">
        <v>7</v>
      </c>
      <c r="AD196" s="44" t="s">
        <v>7</v>
      </c>
    </row>
    <row r="197" spans="1:30" ht="6.75" customHeight="1" x14ac:dyDescent="0.25">
      <c r="A197" s="54">
        <v>197</v>
      </c>
      <c r="B197" s="73" t="s">
        <v>1045</v>
      </c>
      <c r="C197" s="74" t="s">
        <v>831</v>
      </c>
      <c r="D197" s="74" t="s">
        <v>599</v>
      </c>
      <c r="E197" s="74" t="s">
        <v>597</v>
      </c>
      <c r="F197" s="74" t="s">
        <v>559</v>
      </c>
      <c r="G197" s="55" t="s">
        <v>7</v>
      </c>
      <c r="H197" s="55" t="s">
        <v>7</v>
      </c>
      <c r="I197" s="55" t="s">
        <v>7</v>
      </c>
      <c r="J197" s="55" t="s">
        <v>7</v>
      </c>
      <c r="K197" s="55" t="s">
        <v>7</v>
      </c>
      <c r="L197" s="49" t="str">
        <f t="shared" si="141"/>
        <v>Conexão.Estrutural</v>
      </c>
      <c r="M197" s="49" t="str">
        <f t="shared" si="142"/>
        <v>Fixações</v>
      </c>
      <c r="N197" s="49" t="str">
        <f t="shared" si="143"/>
        <v>Parafusos</v>
      </c>
      <c r="O197" s="49" t="str">
        <f t="shared" ref="O197" si="166">_xlfn.CONCAT(SUBSTITUTE(F197,"."," "))</f>
        <v>Parafuso DIN</v>
      </c>
      <c r="P197" s="49" t="s">
        <v>540</v>
      </c>
      <c r="Q197" s="49" t="s">
        <v>701</v>
      </c>
      <c r="R197" s="44" t="s">
        <v>1163</v>
      </c>
      <c r="S197" s="75" t="s">
        <v>7</v>
      </c>
      <c r="T197" s="44" t="str">
        <f t="shared" si="128"/>
        <v>Conexão Estrutural</v>
      </c>
      <c r="U197" s="44" t="str">
        <f t="shared" si="129"/>
        <v>Fixações</v>
      </c>
      <c r="V197" s="44" t="str">
        <f t="shared" si="130"/>
        <v>Parafusos</v>
      </c>
      <c r="W197" s="44" t="s">
        <v>654</v>
      </c>
      <c r="X197" s="52" t="str">
        <f t="shared" si="160"/>
        <v>Key-MET-197</v>
      </c>
      <c r="Y197" s="44" t="s">
        <v>1033</v>
      </c>
      <c r="Z197" s="61" t="s">
        <v>7</v>
      </c>
      <c r="AA197" s="44" t="s">
        <v>1011</v>
      </c>
      <c r="AB197" s="61" t="s">
        <v>7</v>
      </c>
      <c r="AC197" s="44" t="s">
        <v>7</v>
      </c>
      <c r="AD197" s="44" t="s">
        <v>7</v>
      </c>
    </row>
    <row r="198" spans="1:30" ht="6.75" customHeight="1" x14ac:dyDescent="0.25">
      <c r="A198" s="54">
        <v>198</v>
      </c>
      <c r="B198" s="73" t="s">
        <v>1045</v>
      </c>
      <c r="C198" s="74" t="s">
        <v>831</v>
      </c>
      <c r="D198" s="74" t="s">
        <v>599</v>
      </c>
      <c r="E198" s="74" t="s">
        <v>597</v>
      </c>
      <c r="F198" s="74" t="s">
        <v>527</v>
      </c>
      <c r="G198" s="55" t="s">
        <v>7</v>
      </c>
      <c r="H198" s="55" t="s">
        <v>7</v>
      </c>
      <c r="I198" s="55" t="s">
        <v>7</v>
      </c>
      <c r="J198" s="55" t="s">
        <v>7</v>
      </c>
      <c r="K198" s="55" t="s">
        <v>7</v>
      </c>
      <c r="L198" s="49" t="str">
        <f t="shared" si="141"/>
        <v>Conexão.Estrutural</v>
      </c>
      <c r="M198" s="49" t="str">
        <f t="shared" si="142"/>
        <v>Fixações</v>
      </c>
      <c r="N198" s="49" t="str">
        <f t="shared" si="143"/>
        <v>Parafusos</v>
      </c>
      <c r="O198" s="49" t="str">
        <f t="shared" ref="O198:O199" si="167">_xlfn.CONCAT(SUBSTITUTE(F198,"."," "))</f>
        <v>Parafuso ASTM</v>
      </c>
      <c r="P198" s="49" t="s">
        <v>537</v>
      </c>
      <c r="Q198" s="49" t="s">
        <v>702</v>
      </c>
      <c r="R198" s="44" t="s">
        <v>1164</v>
      </c>
      <c r="S198" s="75" t="s">
        <v>7</v>
      </c>
      <c r="T198" s="44" t="str">
        <f t="shared" si="128"/>
        <v>Conexão Estrutural</v>
      </c>
      <c r="U198" s="44" t="str">
        <f t="shared" si="129"/>
        <v>Fixações</v>
      </c>
      <c r="V198" s="44" t="str">
        <f t="shared" si="130"/>
        <v>Parafusos</v>
      </c>
      <c r="W198" s="44" t="s">
        <v>654</v>
      </c>
      <c r="X198" s="52" t="str">
        <f t="shared" si="160"/>
        <v>Key-MET-198</v>
      </c>
      <c r="Y198" s="44" t="s">
        <v>1033</v>
      </c>
      <c r="Z198" s="61" t="s">
        <v>7</v>
      </c>
      <c r="AA198" s="44" t="s">
        <v>1011</v>
      </c>
      <c r="AB198" s="61" t="s">
        <v>7</v>
      </c>
      <c r="AC198" s="44" t="s">
        <v>7</v>
      </c>
      <c r="AD198" s="44" t="s">
        <v>7</v>
      </c>
    </row>
    <row r="199" spans="1:30" ht="6.75" customHeight="1" x14ac:dyDescent="0.25">
      <c r="A199" s="54">
        <v>199</v>
      </c>
      <c r="B199" s="73" t="s">
        <v>1045</v>
      </c>
      <c r="C199" s="74" t="s">
        <v>831</v>
      </c>
      <c r="D199" s="74" t="s">
        <v>599</v>
      </c>
      <c r="E199" s="74" t="s">
        <v>597</v>
      </c>
      <c r="F199" s="74" t="s">
        <v>523</v>
      </c>
      <c r="G199" s="55" t="s">
        <v>7</v>
      </c>
      <c r="H199" s="55" t="s">
        <v>7</v>
      </c>
      <c r="I199" s="55" t="s">
        <v>7</v>
      </c>
      <c r="J199" s="55" t="s">
        <v>7</v>
      </c>
      <c r="K199" s="55" t="s">
        <v>7</v>
      </c>
      <c r="L199" s="49" t="str">
        <f t="shared" si="141"/>
        <v>Conexão.Estrutural</v>
      </c>
      <c r="M199" s="49" t="str">
        <f t="shared" si="142"/>
        <v>Fixações</v>
      </c>
      <c r="N199" s="49" t="str">
        <f t="shared" si="143"/>
        <v>Parafusos</v>
      </c>
      <c r="O199" s="49" t="str">
        <f t="shared" si="167"/>
        <v>Parafuso Drywall</v>
      </c>
      <c r="P199" s="49" t="s">
        <v>524</v>
      </c>
      <c r="Q199" s="49" t="s">
        <v>703</v>
      </c>
      <c r="R199" s="44" t="s">
        <v>1165</v>
      </c>
      <c r="S199" s="75" t="s">
        <v>7</v>
      </c>
      <c r="T199" s="44" t="str">
        <f t="shared" si="128"/>
        <v>Conexão Estrutural</v>
      </c>
      <c r="U199" s="44" t="str">
        <f t="shared" si="129"/>
        <v>Fixações</v>
      </c>
      <c r="V199" s="44" t="str">
        <f t="shared" si="130"/>
        <v>Parafusos</v>
      </c>
      <c r="W199" s="44" t="s">
        <v>654</v>
      </c>
      <c r="X199" s="52" t="str">
        <f t="shared" si="160"/>
        <v>Key-MET-199</v>
      </c>
      <c r="Y199" s="44" t="s">
        <v>1033</v>
      </c>
      <c r="Z199" s="61" t="s">
        <v>7</v>
      </c>
      <c r="AA199" s="44" t="s">
        <v>1011</v>
      </c>
      <c r="AB199" s="61" t="s">
        <v>7</v>
      </c>
      <c r="AC199" s="44" t="s">
        <v>7</v>
      </c>
      <c r="AD199" s="44" t="s">
        <v>7</v>
      </c>
    </row>
    <row r="200" spans="1:30" ht="6.75" customHeight="1" x14ac:dyDescent="0.25">
      <c r="A200" s="54">
        <v>200</v>
      </c>
      <c r="B200" s="73" t="s">
        <v>1045</v>
      </c>
      <c r="C200" s="74" t="s">
        <v>831</v>
      </c>
      <c r="D200" s="74" t="s">
        <v>599</v>
      </c>
      <c r="E200" s="74" t="s">
        <v>597</v>
      </c>
      <c r="F200" s="78" t="s">
        <v>522</v>
      </c>
      <c r="G200" s="55" t="s">
        <v>7</v>
      </c>
      <c r="H200" s="55" t="s">
        <v>7</v>
      </c>
      <c r="I200" s="55" t="s">
        <v>7</v>
      </c>
      <c r="J200" s="55" t="s">
        <v>7</v>
      </c>
      <c r="K200" s="55" t="s">
        <v>7</v>
      </c>
      <c r="L200" s="49" t="str">
        <f t="shared" ref="L200:L201" si="168">_xlfn.CONCAT(SUBSTITUTE(C200,"1.",""))</f>
        <v>Conexão.Estrutural</v>
      </c>
      <c r="M200" s="49" t="str">
        <f t="shared" ref="M200:M201" si="169">_xlfn.CONCAT(SUBSTITUTE(D200,"."," "))</f>
        <v>Fixações</v>
      </c>
      <c r="N200" s="49" t="str">
        <f t="shared" ref="N200:N201" si="170">_xlfn.CONCAT(SUBSTITUTE(E200,"."," "))</f>
        <v>Parafusos</v>
      </c>
      <c r="O200" s="49" t="str">
        <f t="shared" ref="O200:O201" si="171">_xlfn.CONCAT(SUBSTITUTE(F200,"."," "))</f>
        <v>Parafuso Brocante</v>
      </c>
      <c r="P200" s="49" t="s">
        <v>525</v>
      </c>
      <c r="Q200" s="49" t="s">
        <v>704</v>
      </c>
      <c r="R200" s="44" t="s">
        <v>1166</v>
      </c>
      <c r="S200" s="75" t="s">
        <v>7</v>
      </c>
      <c r="T200" s="44" t="str">
        <f t="shared" si="128"/>
        <v>Conexão Estrutural</v>
      </c>
      <c r="U200" s="44" t="str">
        <f t="shared" si="129"/>
        <v>Fixações</v>
      </c>
      <c r="V200" s="44" t="str">
        <f t="shared" si="130"/>
        <v>Parafusos</v>
      </c>
      <c r="W200" s="44" t="s">
        <v>654</v>
      </c>
      <c r="X200" s="52" t="str">
        <f t="shared" si="160"/>
        <v>Key-MET-200</v>
      </c>
      <c r="Y200" s="44" t="s">
        <v>1033</v>
      </c>
      <c r="Z200" s="61" t="s">
        <v>7</v>
      </c>
      <c r="AA200" s="44" t="s">
        <v>1011</v>
      </c>
      <c r="AB200" s="61" t="s">
        <v>7</v>
      </c>
      <c r="AC200" s="44" t="s">
        <v>7</v>
      </c>
      <c r="AD200" s="44" t="s">
        <v>7</v>
      </c>
    </row>
    <row r="201" spans="1:30" ht="6.75" customHeight="1" x14ac:dyDescent="0.25">
      <c r="A201" s="54">
        <v>201</v>
      </c>
      <c r="B201" s="73" t="s">
        <v>1045</v>
      </c>
      <c r="C201" s="74" t="s">
        <v>831</v>
      </c>
      <c r="D201" s="74" t="s">
        <v>599</v>
      </c>
      <c r="E201" s="74" t="s">
        <v>597</v>
      </c>
      <c r="F201" s="74" t="s">
        <v>538</v>
      </c>
      <c r="G201" s="55" t="s">
        <v>7</v>
      </c>
      <c r="H201" s="55" t="s">
        <v>7</v>
      </c>
      <c r="I201" s="55" t="s">
        <v>7</v>
      </c>
      <c r="J201" s="55" t="s">
        <v>7</v>
      </c>
      <c r="K201" s="55" t="s">
        <v>7</v>
      </c>
      <c r="L201" s="49" t="str">
        <f t="shared" si="168"/>
        <v>Conexão.Estrutural</v>
      </c>
      <c r="M201" s="49" t="str">
        <f t="shared" si="169"/>
        <v>Fixações</v>
      </c>
      <c r="N201" s="49" t="str">
        <f t="shared" si="170"/>
        <v>Parafusos</v>
      </c>
      <c r="O201" s="49" t="str">
        <f t="shared" si="171"/>
        <v>Parafuso Auto Atarraxante</v>
      </c>
      <c r="P201" s="49" t="s">
        <v>526</v>
      </c>
      <c r="Q201" s="49" t="s">
        <v>705</v>
      </c>
      <c r="R201" s="44" t="s">
        <v>1167</v>
      </c>
      <c r="S201" s="75" t="s">
        <v>7</v>
      </c>
      <c r="T201" s="44" t="str">
        <f t="shared" si="128"/>
        <v>Conexão Estrutural</v>
      </c>
      <c r="U201" s="44" t="str">
        <f t="shared" si="129"/>
        <v>Fixações</v>
      </c>
      <c r="V201" s="44" t="str">
        <f t="shared" si="130"/>
        <v>Parafusos</v>
      </c>
      <c r="W201" s="44" t="s">
        <v>654</v>
      </c>
      <c r="X201" s="52" t="str">
        <f t="shared" si="160"/>
        <v>Key-MET-201</v>
      </c>
      <c r="Y201" s="44" t="s">
        <v>1033</v>
      </c>
      <c r="Z201" s="61" t="s">
        <v>7</v>
      </c>
      <c r="AA201" s="44" t="s">
        <v>1011</v>
      </c>
      <c r="AB201" s="61" t="s">
        <v>7</v>
      </c>
      <c r="AC201" s="44" t="s">
        <v>7</v>
      </c>
      <c r="AD201" s="44" t="s">
        <v>7</v>
      </c>
    </row>
    <row r="202" spans="1:30" ht="6.75" customHeight="1" x14ac:dyDescent="0.25">
      <c r="A202" s="54">
        <v>202</v>
      </c>
      <c r="B202" s="73" t="s">
        <v>1045</v>
      </c>
      <c r="C202" s="74" t="s">
        <v>831</v>
      </c>
      <c r="D202" s="74" t="s">
        <v>599</v>
      </c>
      <c r="E202" s="74" t="s">
        <v>582</v>
      </c>
      <c r="F202" s="74" t="s">
        <v>598</v>
      </c>
      <c r="G202" s="55" t="s">
        <v>7</v>
      </c>
      <c r="H202" s="55" t="s">
        <v>7</v>
      </c>
      <c r="I202" s="55" t="s">
        <v>7</v>
      </c>
      <c r="J202" s="55" t="s">
        <v>7</v>
      </c>
      <c r="K202" s="55" t="s">
        <v>7</v>
      </c>
      <c r="L202" s="49" t="str">
        <f t="shared" ref="L202:L205" si="172">_xlfn.CONCAT(SUBSTITUTE(C202,"1.",""))</f>
        <v>Conexão.Estrutural</v>
      </c>
      <c r="M202" s="49" t="str">
        <f t="shared" ref="M202:M205" si="173">_xlfn.CONCAT(SUBSTITUTE(D202,"."," "))</f>
        <v>Fixações</v>
      </c>
      <c r="N202" s="49" t="str">
        <f t="shared" ref="N202:N205" si="174">_xlfn.CONCAT(SUBSTITUTE(E202,"."," "))</f>
        <v>Pinos</v>
      </c>
      <c r="O202" s="49" t="str">
        <f t="shared" ref="O202:O205" si="175">_xlfn.CONCAT(SUBSTITUTE(F202,"."," "))</f>
        <v>Pino de Cisalhamento</v>
      </c>
      <c r="P202" s="49" t="s">
        <v>957</v>
      </c>
      <c r="Q202" s="49" t="s">
        <v>958</v>
      </c>
      <c r="R202" s="44" t="s">
        <v>1168</v>
      </c>
      <c r="S202" s="75" t="s">
        <v>7</v>
      </c>
      <c r="T202" s="44" t="str">
        <f t="shared" si="128"/>
        <v>Conexão Estrutural</v>
      </c>
      <c r="U202" s="44" t="str">
        <f t="shared" si="129"/>
        <v>Fixações</v>
      </c>
      <c r="V202" s="44" t="str">
        <f t="shared" si="130"/>
        <v>Pinos</v>
      </c>
      <c r="W202" s="44" t="s">
        <v>654</v>
      </c>
      <c r="X202" s="52" t="str">
        <f t="shared" si="160"/>
        <v>Key-MET-202</v>
      </c>
      <c r="Y202" s="44" t="s">
        <v>1035</v>
      </c>
      <c r="Z202" s="61" t="s">
        <v>7</v>
      </c>
      <c r="AA202" s="44" t="s">
        <v>1011</v>
      </c>
      <c r="AB202" s="61" t="s">
        <v>7</v>
      </c>
      <c r="AC202" s="44" t="s">
        <v>7</v>
      </c>
      <c r="AD202" s="44" t="s">
        <v>7</v>
      </c>
    </row>
    <row r="203" spans="1:30" ht="6.75" customHeight="1" x14ac:dyDescent="0.25">
      <c r="A203" s="54">
        <v>203</v>
      </c>
      <c r="B203" s="73" t="s">
        <v>1045</v>
      </c>
      <c r="C203" s="74" t="s">
        <v>972</v>
      </c>
      <c r="D203" s="74" t="s">
        <v>730</v>
      </c>
      <c r="E203" s="74" t="s">
        <v>1275</v>
      </c>
      <c r="F203" s="74" t="s">
        <v>916</v>
      </c>
      <c r="G203" s="55" t="s">
        <v>7</v>
      </c>
      <c r="H203" s="55" t="s">
        <v>7</v>
      </c>
      <c r="I203" s="55" t="s">
        <v>7</v>
      </c>
      <c r="J203" s="55" t="s">
        <v>7</v>
      </c>
      <c r="K203" s="55" t="s">
        <v>7</v>
      </c>
      <c r="L203" s="49" t="str">
        <f t="shared" si="172"/>
        <v>Tipos.Estruturais</v>
      </c>
      <c r="M203" s="49" t="str">
        <f t="shared" si="173"/>
        <v>Galpões</v>
      </c>
      <c r="N203" s="49" t="str">
        <f t="shared" si="174"/>
        <v>Pórticos de Galpão</v>
      </c>
      <c r="O203" s="49" t="str">
        <f t="shared" si="175"/>
        <v>Pórtico Galpão</v>
      </c>
      <c r="P203" s="49" t="s">
        <v>872</v>
      </c>
      <c r="Q203" s="49" t="s">
        <v>890</v>
      </c>
      <c r="R203" s="44" t="s">
        <v>1169</v>
      </c>
      <c r="S203" s="75" t="s">
        <v>7</v>
      </c>
      <c r="T203" s="44" t="str">
        <f t="shared" ref="T203:T205" si="176">SUBSTITUTE(C203, ".", " ")</f>
        <v>Tipos Estruturais</v>
      </c>
      <c r="U203" s="44" t="str">
        <f t="shared" ref="U203:U205" si="177">SUBSTITUTE(D203, ".", " ")</f>
        <v>Galpões</v>
      </c>
      <c r="V203" s="44" t="str">
        <f t="shared" ref="V203:V205" si="178">SUBSTITUTE(E203, ".", " ")</f>
        <v>Pórticos de Galpão</v>
      </c>
      <c r="W203" s="44" t="s">
        <v>654</v>
      </c>
      <c r="X203" s="52" t="str">
        <f t="shared" si="160"/>
        <v>Key-MET-203</v>
      </c>
      <c r="Y203" s="44" t="s">
        <v>1249</v>
      </c>
      <c r="Z203" s="61" t="s">
        <v>7</v>
      </c>
      <c r="AA203" s="44" t="s">
        <v>1248</v>
      </c>
      <c r="AB203" s="61" t="s">
        <v>7</v>
      </c>
      <c r="AC203" s="44" t="s">
        <v>7</v>
      </c>
      <c r="AD203" s="44" t="s">
        <v>7</v>
      </c>
    </row>
    <row r="204" spans="1:30" ht="6.75" customHeight="1" x14ac:dyDescent="0.25">
      <c r="A204" s="54">
        <v>204</v>
      </c>
      <c r="B204" s="73" t="s">
        <v>1045</v>
      </c>
      <c r="C204" s="74" t="s">
        <v>972</v>
      </c>
      <c r="D204" s="74" t="s">
        <v>730</v>
      </c>
      <c r="E204" s="74" t="s">
        <v>1275</v>
      </c>
      <c r="F204" s="74" t="s">
        <v>917</v>
      </c>
      <c r="G204" s="55" t="s">
        <v>7</v>
      </c>
      <c r="H204" s="55" t="s">
        <v>7</v>
      </c>
      <c r="I204" s="55" t="s">
        <v>7</v>
      </c>
      <c r="J204" s="55" t="s">
        <v>7</v>
      </c>
      <c r="K204" s="55" t="s">
        <v>7</v>
      </c>
      <c r="L204" s="49" t="str">
        <f t="shared" si="172"/>
        <v>Tipos.Estruturais</v>
      </c>
      <c r="M204" s="49" t="str">
        <f t="shared" si="173"/>
        <v>Galpões</v>
      </c>
      <c r="N204" s="49" t="str">
        <f t="shared" si="174"/>
        <v>Pórticos de Galpão</v>
      </c>
      <c r="O204" s="49" t="str">
        <f t="shared" si="175"/>
        <v>Pórtico Galpão e Anexo</v>
      </c>
      <c r="P204" s="49" t="s">
        <v>873</v>
      </c>
      <c r="Q204" s="49" t="s">
        <v>891</v>
      </c>
      <c r="R204" s="44" t="s">
        <v>1170</v>
      </c>
      <c r="S204" s="75" t="s">
        <v>7</v>
      </c>
      <c r="T204" s="44" t="str">
        <f t="shared" si="176"/>
        <v>Tipos Estruturais</v>
      </c>
      <c r="U204" s="44" t="str">
        <f t="shared" si="177"/>
        <v>Galpões</v>
      </c>
      <c r="V204" s="44" t="str">
        <f t="shared" si="178"/>
        <v>Pórticos de Galpão</v>
      </c>
      <c r="W204" s="44" t="s">
        <v>654</v>
      </c>
      <c r="X204" s="52" t="str">
        <f t="shared" si="160"/>
        <v>Key-MET-204</v>
      </c>
      <c r="Y204" s="44" t="s">
        <v>1249</v>
      </c>
      <c r="Z204" s="61" t="s">
        <v>7</v>
      </c>
      <c r="AA204" s="44" t="s">
        <v>1248</v>
      </c>
      <c r="AB204" s="61" t="s">
        <v>7</v>
      </c>
      <c r="AC204" s="44" t="s">
        <v>7</v>
      </c>
      <c r="AD204" s="44" t="s">
        <v>7</v>
      </c>
    </row>
    <row r="205" spans="1:30" ht="6.75" customHeight="1" x14ac:dyDescent="0.25">
      <c r="A205" s="54">
        <v>205</v>
      </c>
      <c r="B205" s="73" t="s">
        <v>1045</v>
      </c>
      <c r="C205" s="74" t="s">
        <v>972</v>
      </c>
      <c r="D205" s="74" t="s">
        <v>730</v>
      </c>
      <c r="E205" s="74" t="s">
        <v>1275</v>
      </c>
      <c r="F205" s="74" t="s">
        <v>918</v>
      </c>
      <c r="G205" s="55" t="s">
        <v>7</v>
      </c>
      <c r="H205" s="55" t="s">
        <v>7</v>
      </c>
      <c r="I205" s="55" t="s">
        <v>7</v>
      </c>
      <c r="J205" s="55" t="s">
        <v>7</v>
      </c>
      <c r="K205" s="55" t="s">
        <v>7</v>
      </c>
      <c r="L205" s="49" t="str">
        <f t="shared" si="172"/>
        <v>Tipos.Estruturais</v>
      </c>
      <c r="M205" s="49" t="str">
        <f t="shared" si="173"/>
        <v>Galpões</v>
      </c>
      <c r="N205" s="49" t="str">
        <f t="shared" si="174"/>
        <v>Pórticos de Galpão</v>
      </c>
      <c r="O205" s="49" t="str">
        <f t="shared" si="175"/>
        <v>Pórtico Galpão Vãos Múltiplos</v>
      </c>
      <c r="P205" s="49" t="s">
        <v>874</v>
      </c>
      <c r="Q205" s="49" t="s">
        <v>892</v>
      </c>
      <c r="R205" s="44" t="s">
        <v>1171</v>
      </c>
      <c r="S205" s="75" t="s">
        <v>7</v>
      </c>
      <c r="T205" s="44" t="str">
        <f t="shared" si="176"/>
        <v>Tipos Estruturais</v>
      </c>
      <c r="U205" s="44" t="str">
        <f t="shared" si="177"/>
        <v>Galpões</v>
      </c>
      <c r="V205" s="44" t="str">
        <f t="shared" si="178"/>
        <v>Pórticos de Galpão</v>
      </c>
      <c r="W205" s="44" t="s">
        <v>654</v>
      </c>
      <c r="X205" s="52" t="str">
        <f t="shared" si="160"/>
        <v>Key-MET-205</v>
      </c>
      <c r="Y205" s="44" t="s">
        <v>1249</v>
      </c>
      <c r="Z205" s="61" t="s">
        <v>7</v>
      </c>
      <c r="AA205" s="44" t="s">
        <v>1248</v>
      </c>
      <c r="AB205" s="61" t="s">
        <v>7</v>
      </c>
      <c r="AC205" s="44" t="s">
        <v>7</v>
      </c>
      <c r="AD205" s="44" t="s">
        <v>7</v>
      </c>
    </row>
    <row r="206" spans="1:30" customFormat="1" ht="6.75" customHeight="1" x14ac:dyDescent="0.25">
      <c r="A206" s="54">
        <v>206</v>
      </c>
      <c r="B206" s="79" t="s">
        <v>1175</v>
      </c>
      <c r="C206" s="80" t="s">
        <v>1272</v>
      </c>
      <c r="D206" s="80" t="s">
        <v>1628</v>
      </c>
      <c r="E206" s="79" t="s">
        <v>1206</v>
      </c>
      <c r="F206" s="81" t="s">
        <v>1205</v>
      </c>
      <c r="G206" s="55" t="s">
        <v>7</v>
      </c>
      <c r="H206" s="55" t="s">
        <v>7</v>
      </c>
      <c r="I206" s="55" t="s">
        <v>7</v>
      </c>
      <c r="J206" s="55" t="s">
        <v>7</v>
      </c>
      <c r="K206" s="55" t="s">
        <v>7</v>
      </c>
      <c r="L206" s="70" t="str">
        <f t="shared" ref="L206:L220" si="179">SUBSTITUTE(CONCATENATE("", C206), ".", " ")</f>
        <v>De Estrutura</v>
      </c>
      <c r="M206" s="70" t="str">
        <f t="shared" ref="M206:M220" si="180">SUBSTITUTE(CONCATENATE("", D206), ".", " ")</f>
        <v>Estrutura Aço</v>
      </c>
      <c r="N206" s="70" t="str">
        <f t="shared" ref="N206:N220" si="181">SUBSTITUTE(CONCATENATE("", E206), ".", " ")</f>
        <v>Aço Fundações</v>
      </c>
      <c r="O206" s="70" t="str">
        <f t="shared" ref="O206:O220" si="182">SUBSTITUTE(CONCATENATE("", F206), ".", " ")</f>
        <v>Aço Placa deBase</v>
      </c>
      <c r="P206" s="71" t="s">
        <v>1210</v>
      </c>
      <c r="Q206" s="71" t="s">
        <v>1233</v>
      </c>
      <c r="R206" s="71" t="s">
        <v>1223</v>
      </c>
      <c r="S206" s="75" t="s">
        <v>7</v>
      </c>
      <c r="T206" s="60" t="str">
        <f t="shared" ref="T206:T220" si="183">SUBSTITUTE(C206, ".", " ")</f>
        <v>De Estrutura</v>
      </c>
      <c r="U206" s="60" t="str">
        <f t="shared" ref="U206:U220" si="184">SUBSTITUTE(D206, ".", " ")</f>
        <v>Estrutura Aço</v>
      </c>
      <c r="V206" s="60" t="str">
        <f t="shared" ref="V206:V220" si="185">SUBSTITUTE(E206, ".", " ")</f>
        <v>Aço Fundações</v>
      </c>
      <c r="W206" s="44" t="s">
        <v>654</v>
      </c>
      <c r="X206" s="52" t="str">
        <f t="shared" si="160"/>
        <v>Key-MET-206</v>
      </c>
      <c r="Y206" s="44" t="s">
        <v>996</v>
      </c>
      <c r="Z206" s="61" t="s">
        <v>7</v>
      </c>
      <c r="AA206" s="44" t="s">
        <v>1245</v>
      </c>
      <c r="AB206" s="61" t="s">
        <v>7</v>
      </c>
      <c r="AC206" s="71" t="s">
        <v>7</v>
      </c>
      <c r="AD206" s="71" t="s">
        <v>7</v>
      </c>
    </row>
    <row r="207" spans="1:30" customFormat="1" ht="6.75" customHeight="1" x14ac:dyDescent="0.25">
      <c r="A207" s="54">
        <v>207</v>
      </c>
      <c r="B207" s="79" t="s">
        <v>1175</v>
      </c>
      <c r="C207" s="80" t="s">
        <v>1272</v>
      </c>
      <c r="D207" s="80" t="s">
        <v>1628</v>
      </c>
      <c r="E207" s="79" t="s">
        <v>1206</v>
      </c>
      <c r="F207" s="81" t="s">
        <v>1217</v>
      </c>
      <c r="G207" s="55" t="s">
        <v>7</v>
      </c>
      <c r="H207" s="55" t="s">
        <v>7</v>
      </c>
      <c r="I207" s="55" t="s">
        <v>7</v>
      </c>
      <c r="J207" s="55" t="s">
        <v>7</v>
      </c>
      <c r="K207" s="55" t="s">
        <v>7</v>
      </c>
      <c r="L207" s="70" t="str">
        <f t="shared" si="179"/>
        <v>De Estrutura</v>
      </c>
      <c r="M207" s="70" t="str">
        <f t="shared" si="180"/>
        <v>Estrutura Aço</v>
      </c>
      <c r="N207" s="70" t="str">
        <f t="shared" si="181"/>
        <v>Aço Fundações</v>
      </c>
      <c r="O207" s="70" t="str">
        <f t="shared" si="182"/>
        <v>Aço Fundação Canto</v>
      </c>
      <c r="P207" s="72" t="s">
        <v>1220</v>
      </c>
      <c r="Q207" s="71" t="s">
        <v>1234</v>
      </c>
      <c r="R207" s="71" t="s">
        <v>1224</v>
      </c>
      <c r="S207" s="75" t="s">
        <v>7</v>
      </c>
      <c r="T207" s="60" t="str">
        <f t="shared" si="183"/>
        <v>De Estrutura</v>
      </c>
      <c r="U207" s="60" t="str">
        <f t="shared" si="184"/>
        <v>Estrutura Aço</v>
      </c>
      <c r="V207" s="60" t="str">
        <f t="shared" si="185"/>
        <v>Aço Fundações</v>
      </c>
      <c r="W207" s="44" t="s">
        <v>654</v>
      </c>
      <c r="X207" s="52" t="str">
        <f t="shared" si="160"/>
        <v>Key-MET-207</v>
      </c>
      <c r="Y207" s="44" t="s">
        <v>1243</v>
      </c>
      <c r="Z207" s="61" t="s">
        <v>7</v>
      </c>
      <c r="AA207" s="44" t="s">
        <v>1244</v>
      </c>
      <c r="AB207" s="61" t="s">
        <v>7</v>
      </c>
      <c r="AC207" s="71" t="s">
        <v>7</v>
      </c>
      <c r="AD207" s="71" t="s">
        <v>7</v>
      </c>
    </row>
    <row r="208" spans="1:30" customFormat="1" ht="6.75" customHeight="1" x14ac:dyDescent="0.25">
      <c r="A208" s="54">
        <v>208</v>
      </c>
      <c r="B208" s="79" t="s">
        <v>1175</v>
      </c>
      <c r="C208" s="80" t="s">
        <v>1272</v>
      </c>
      <c r="D208" s="80" t="s">
        <v>1628</v>
      </c>
      <c r="E208" s="79" t="s">
        <v>1206</v>
      </c>
      <c r="F208" s="81" t="s">
        <v>1218</v>
      </c>
      <c r="G208" s="55" t="s">
        <v>7</v>
      </c>
      <c r="H208" s="55" t="s">
        <v>7</v>
      </c>
      <c r="I208" s="55" t="s">
        <v>7</v>
      </c>
      <c r="J208" s="55" t="s">
        <v>7</v>
      </c>
      <c r="K208" s="55" t="s">
        <v>7</v>
      </c>
      <c r="L208" s="70" t="str">
        <f t="shared" si="179"/>
        <v>De Estrutura</v>
      </c>
      <c r="M208" s="70" t="str">
        <f t="shared" si="180"/>
        <v>Estrutura Aço</v>
      </c>
      <c r="N208" s="70" t="str">
        <f t="shared" si="181"/>
        <v>Aço Fundações</v>
      </c>
      <c r="O208" s="70" t="str">
        <f t="shared" si="182"/>
        <v>Aço Fundação Interna</v>
      </c>
      <c r="P208" s="71" t="s">
        <v>1221</v>
      </c>
      <c r="Q208" s="71" t="s">
        <v>1235</v>
      </c>
      <c r="R208" s="71" t="s">
        <v>1225</v>
      </c>
      <c r="S208" s="75" t="s">
        <v>7</v>
      </c>
      <c r="T208" s="60" t="str">
        <f t="shared" si="183"/>
        <v>De Estrutura</v>
      </c>
      <c r="U208" s="60" t="str">
        <f t="shared" si="184"/>
        <v>Estrutura Aço</v>
      </c>
      <c r="V208" s="60" t="str">
        <f t="shared" si="185"/>
        <v>Aço Fundações</v>
      </c>
      <c r="W208" s="44" t="s">
        <v>654</v>
      </c>
      <c r="X208" s="52" t="str">
        <f t="shared" si="160"/>
        <v>Key-MET-208</v>
      </c>
      <c r="Y208" s="44" t="s">
        <v>1243</v>
      </c>
      <c r="Z208" s="61" t="s">
        <v>7</v>
      </c>
      <c r="AA208" s="44" t="s">
        <v>1244</v>
      </c>
      <c r="AB208" s="61" t="s">
        <v>7</v>
      </c>
      <c r="AC208" s="71" t="s">
        <v>7</v>
      </c>
      <c r="AD208" s="71" t="s">
        <v>7</v>
      </c>
    </row>
    <row r="209" spans="1:30" customFormat="1" ht="6.75" customHeight="1" x14ac:dyDescent="0.25">
      <c r="A209" s="54">
        <v>209</v>
      </c>
      <c r="B209" s="79" t="s">
        <v>1175</v>
      </c>
      <c r="C209" s="80" t="s">
        <v>1272</v>
      </c>
      <c r="D209" s="80" t="s">
        <v>1628</v>
      </c>
      <c r="E209" s="79" t="s">
        <v>1206</v>
      </c>
      <c r="F209" s="81" t="s">
        <v>1219</v>
      </c>
      <c r="G209" s="55" t="s">
        <v>7</v>
      </c>
      <c r="H209" s="55" t="s">
        <v>7</v>
      </c>
      <c r="I209" s="55" t="s">
        <v>7</v>
      </c>
      <c r="J209" s="55" t="s">
        <v>7</v>
      </c>
      <c r="K209" s="55" t="s">
        <v>7</v>
      </c>
      <c r="L209" s="70" t="str">
        <f t="shared" si="179"/>
        <v>De Estrutura</v>
      </c>
      <c r="M209" s="70" t="str">
        <f t="shared" si="180"/>
        <v>Estrutura Aço</v>
      </c>
      <c r="N209" s="70" t="str">
        <f t="shared" si="181"/>
        <v>Aço Fundações</v>
      </c>
      <c r="O209" s="70" t="str">
        <f t="shared" si="182"/>
        <v>Aço Fundação Perimetral</v>
      </c>
      <c r="P209" s="71" t="s">
        <v>1222</v>
      </c>
      <c r="Q209" s="71" t="s">
        <v>1236</v>
      </c>
      <c r="R209" s="71" t="s">
        <v>1226</v>
      </c>
      <c r="S209" s="75" t="s">
        <v>7</v>
      </c>
      <c r="T209" s="60" t="str">
        <f t="shared" si="183"/>
        <v>De Estrutura</v>
      </c>
      <c r="U209" s="60" t="str">
        <f t="shared" si="184"/>
        <v>Estrutura Aço</v>
      </c>
      <c r="V209" s="60" t="str">
        <f t="shared" si="185"/>
        <v>Aço Fundações</v>
      </c>
      <c r="W209" s="44" t="s">
        <v>654</v>
      </c>
      <c r="X209" s="52" t="str">
        <f t="shared" si="160"/>
        <v>Key-MET-209</v>
      </c>
      <c r="Y209" s="44" t="s">
        <v>1243</v>
      </c>
      <c r="Z209" s="61" t="s">
        <v>7</v>
      </c>
      <c r="AA209" s="44" t="s">
        <v>1244</v>
      </c>
      <c r="AB209" s="61" t="s">
        <v>7</v>
      </c>
      <c r="AC209" s="71" t="s">
        <v>7</v>
      </c>
      <c r="AD209" s="71" t="s">
        <v>7</v>
      </c>
    </row>
    <row r="210" spans="1:30" customFormat="1" ht="6.75" customHeight="1" x14ac:dyDescent="0.25">
      <c r="A210" s="54">
        <v>210</v>
      </c>
      <c r="B210" s="79" t="s">
        <v>1175</v>
      </c>
      <c r="C210" s="80" t="s">
        <v>1272</v>
      </c>
      <c r="D210" s="80" t="s">
        <v>1628</v>
      </c>
      <c r="E210" s="79" t="s">
        <v>1207</v>
      </c>
      <c r="F210" s="81" t="s">
        <v>1199</v>
      </c>
      <c r="G210" s="55" t="s">
        <v>7</v>
      </c>
      <c r="H210" s="55" t="s">
        <v>7</v>
      </c>
      <c r="I210" s="55" t="s">
        <v>7</v>
      </c>
      <c r="J210" s="55" t="s">
        <v>7</v>
      </c>
      <c r="K210" s="55" t="s">
        <v>7</v>
      </c>
      <c r="L210" s="70" t="str">
        <f t="shared" ref="L210:L212" si="186">SUBSTITUTE(CONCATENATE("", C210), ".", " ")</f>
        <v>De Estrutura</v>
      </c>
      <c r="M210" s="70" t="str">
        <f t="shared" ref="M210:M212" si="187">SUBSTITUTE(CONCATENATE("", D210), ".", " ")</f>
        <v>Estrutura Aço</v>
      </c>
      <c r="N210" s="70" t="str">
        <f t="shared" ref="N210:N212" si="188">SUBSTITUTE(CONCATENATE("", E210), ".", " ")</f>
        <v>Aço Colunas</v>
      </c>
      <c r="O210" s="70" t="str">
        <f t="shared" ref="O210:O212" si="189">SUBSTITUTE(CONCATENATE("", F210), ".", " ")</f>
        <v>Aço Coluna Canto</v>
      </c>
      <c r="P210" s="72" t="s">
        <v>1212</v>
      </c>
      <c r="Q210" s="71" t="s">
        <v>1237</v>
      </c>
      <c r="R210" s="71" t="s">
        <v>1227</v>
      </c>
      <c r="S210" s="75" t="s">
        <v>7</v>
      </c>
      <c r="T210" s="60" t="str">
        <f t="shared" ref="T210:T212" si="190">SUBSTITUTE(C210, ".", " ")</f>
        <v>De Estrutura</v>
      </c>
      <c r="U210" s="60" t="str">
        <f t="shared" ref="U210:U212" si="191">SUBSTITUTE(D210, ".", " ")</f>
        <v>Estrutura Aço</v>
      </c>
      <c r="V210" s="60" t="str">
        <f t="shared" ref="V210:V212" si="192">SUBSTITUTE(E210, ".", " ")</f>
        <v>Aço Colunas</v>
      </c>
      <c r="W210" s="44" t="s">
        <v>654</v>
      </c>
      <c r="X210" s="52" t="str">
        <f t="shared" si="160"/>
        <v>Key-MET-210</v>
      </c>
      <c r="Y210" s="44" t="s">
        <v>992</v>
      </c>
      <c r="Z210" s="61" t="s">
        <v>7</v>
      </c>
      <c r="AA210" s="44" t="s">
        <v>1246</v>
      </c>
      <c r="AB210" s="61" t="s">
        <v>7</v>
      </c>
      <c r="AC210" s="71" t="s">
        <v>7</v>
      </c>
      <c r="AD210" s="71" t="s">
        <v>7</v>
      </c>
    </row>
    <row r="211" spans="1:30" customFormat="1" ht="6.75" customHeight="1" x14ac:dyDescent="0.25">
      <c r="A211" s="54">
        <v>211</v>
      </c>
      <c r="B211" s="79" t="s">
        <v>1175</v>
      </c>
      <c r="C211" s="80" t="s">
        <v>1272</v>
      </c>
      <c r="D211" s="80" t="s">
        <v>1628</v>
      </c>
      <c r="E211" s="79" t="s">
        <v>1207</v>
      </c>
      <c r="F211" s="81" t="s">
        <v>1201</v>
      </c>
      <c r="G211" s="55" t="s">
        <v>7</v>
      </c>
      <c r="H211" s="55" t="s">
        <v>7</v>
      </c>
      <c r="I211" s="55" t="s">
        <v>7</v>
      </c>
      <c r="J211" s="55" t="s">
        <v>7</v>
      </c>
      <c r="K211" s="55" t="s">
        <v>7</v>
      </c>
      <c r="L211" s="70" t="str">
        <f t="shared" si="186"/>
        <v>De Estrutura</v>
      </c>
      <c r="M211" s="70" t="str">
        <f t="shared" si="187"/>
        <v>Estrutura Aço</v>
      </c>
      <c r="N211" s="70" t="str">
        <f t="shared" si="188"/>
        <v>Aço Colunas</v>
      </c>
      <c r="O211" s="70" t="str">
        <f t="shared" si="189"/>
        <v>Aço Coluna Interna</v>
      </c>
      <c r="P211" s="71" t="s">
        <v>1213</v>
      </c>
      <c r="Q211" s="71" t="s">
        <v>1238</v>
      </c>
      <c r="R211" s="71" t="s">
        <v>1228</v>
      </c>
      <c r="S211" s="75" t="s">
        <v>7</v>
      </c>
      <c r="T211" s="60" t="str">
        <f t="shared" si="190"/>
        <v>De Estrutura</v>
      </c>
      <c r="U211" s="60" t="str">
        <f t="shared" si="191"/>
        <v>Estrutura Aço</v>
      </c>
      <c r="V211" s="60" t="str">
        <f t="shared" si="192"/>
        <v>Aço Colunas</v>
      </c>
      <c r="W211" s="44" t="s">
        <v>654</v>
      </c>
      <c r="X211" s="52" t="str">
        <f t="shared" si="160"/>
        <v>Key-MET-211</v>
      </c>
      <c r="Y211" s="44" t="s">
        <v>992</v>
      </c>
      <c r="Z211" s="61" t="s">
        <v>7</v>
      </c>
      <c r="AA211" s="44" t="s">
        <v>1246</v>
      </c>
      <c r="AB211" s="61" t="s">
        <v>7</v>
      </c>
      <c r="AC211" s="71" t="s">
        <v>7</v>
      </c>
      <c r="AD211" s="71" t="s">
        <v>7</v>
      </c>
    </row>
    <row r="212" spans="1:30" customFormat="1" ht="6.75" customHeight="1" x14ac:dyDescent="0.25">
      <c r="A212" s="54">
        <v>212</v>
      </c>
      <c r="B212" s="79" t="s">
        <v>1175</v>
      </c>
      <c r="C212" s="80" t="s">
        <v>1272</v>
      </c>
      <c r="D212" s="80" t="s">
        <v>1628</v>
      </c>
      <c r="E212" s="79" t="s">
        <v>1207</v>
      </c>
      <c r="F212" s="81" t="s">
        <v>1200</v>
      </c>
      <c r="G212" s="55" t="s">
        <v>7</v>
      </c>
      <c r="H212" s="55" t="s">
        <v>7</v>
      </c>
      <c r="I212" s="55" t="s">
        <v>7</v>
      </c>
      <c r="J212" s="55" t="s">
        <v>7</v>
      </c>
      <c r="K212" s="55" t="s">
        <v>7</v>
      </c>
      <c r="L212" s="70" t="str">
        <f t="shared" si="186"/>
        <v>De Estrutura</v>
      </c>
      <c r="M212" s="70" t="str">
        <f t="shared" si="187"/>
        <v>Estrutura Aço</v>
      </c>
      <c r="N212" s="70" t="str">
        <f t="shared" si="188"/>
        <v>Aço Colunas</v>
      </c>
      <c r="O212" s="70" t="str">
        <f t="shared" si="189"/>
        <v>Aço Coluna Perimetral</v>
      </c>
      <c r="P212" s="71" t="s">
        <v>1211</v>
      </c>
      <c r="Q212" s="71" t="s">
        <v>1239</v>
      </c>
      <c r="R212" s="71" t="s">
        <v>1229</v>
      </c>
      <c r="S212" s="75" t="s">
        <v>7</v>
      </c>
      <c r="T212" s="60" t="str">
        <f t="shared" si="190"/>
        <v>De Estrutura</v>
      </c>
      <c r="U212" s="60" t="str">
        <f t="shared" si="191"/>
        <v>Estrutura Aço</v>
      </c>
      <c r="V212" s="60" t="str">
        <f t="shared" si="192"/>
        <v>Aço Colunas</v>
      </c>
      <c r="W212" s="44" t="s">
        <v>654</v>
      </c>
      <c r="X212" s="52" t="str">
        <f t="shared" si="160"/>
        <v>Key-MET-212</v>
      </c>
      <c r="Y212" s="44" t="s">
        <v>992</v>
      </c>
      <c r="Z212" s="61" t="s">
        <v>7</v>
      </c>
      <c r="AA212" s="44" t="s">
        <v>1246</v>
      </c>
      <c r="AB212" s="61" t="s">
        <v>7</v>
      </c>
      <c r="AC212" s="71" t="s">
        <v>7</v>
      </c>
      <c r="AD212" s="71" t="s">
        <v>7</v>
      </c>
    </row>
    <row r="213" spans="1:30" customFormat="1" ht="6.75" customHeight="1" x14ac:dyDescent="0.25">
      <c r="A213" s="54">
        <v>213</v>
      </c>
      <c r="B213" s="79" t="s">
        <v>1175</v>
      </c>
      <c r="C213" s="80" t="s">
        <v>1272</v>
      </c>
      <c r="D213" s="80" t="s">
        <v>1628</v>
      </c>
      <c r="E213" s="79" t="s">
        <v>1208</v>
      </c>
      <c r="F213" s="81" t="s">
        <v>1204</v>
      </c>
      <c r="G213" s="55" t="s">
        <v>7</v>
      </c>
      <c r="H213" s="55" t="s">
        <v>7</v>
      </c>
      <c r="I213" s="55" t="s">
        <v>7</v>
      </c>
      <c r="J213" s="55" t="s">
        <v>7</v>
      </c>
      <c r="K213" s="55" t="s">
        <v>7</v>
      </c>
      <c r="L213" s="70" t="str">
        <f t="shared" ref="L213:L214" si="193">SUBSTITUTE(CONCATENATE("", C213), ".", " ")</f>
        <v>De Estrutura</v>
      </c>
      <c r="M213" s="70" t="str">
        <f t="shared" ref="M213:M214" si="194">SUBSTITUTE(CONCATENATE("", D213), ".", " ")</f>
        <v>Estrutura Aço</v>
      </c>
      <c r="N213" s="70" t="str">
        <f t="shared" ref="N213:N214" si="195">SUBSTITUTE(CONCATENATE("", E213), ".", " ")</f>
        <v>Aço Vigas</v>
      </c>
      <c r="O213" s="70" t="str">
        <f t="shared" ref="O213:O214" si="196">SUBSTITUTE(CONCATENATE("", F213), ".", " ")</f>
        <v>Aço Viga Canto</v>
      </c>
      <c r="P213" s="72" t="s">
        <v>1214</v>
      </c>
      <c r="Q213" s="71" t="s">
        <v>1240</v>
      </c>
      <c r="R213" s="71" t="s">
        <v>1230</v>
      </c>
      <c r="S213" s="75" t="s">
        <v>7</v>
      </c>
      <c r="T213" s="60" t="str">
        <f t="shared" ref="T213:T214" si="197">SUBSTITUTE(C213, ".", " ")</f>
        <v>De Estrutura</v>
      </c>
      <c r="U213" s="60" t="str">
        <f t="shared" ref="U213:U214" si="198">SUBSTITUTE(D213, ".", " ")</f>
        <v>Estrutura Aço</v>
      </c>
      <c r="V213" s="60" t="str">
        <f t="shared" ref="V213:V214" si="199">SUBSTITUTE(E213, ".", " ")</f>
        <v>Aço Vigas</v>
      </c>
      <c r="W213" s="44" t="s">
        <v>654</v>
      </c>
      <c r="X213" s="52" t="str">
        <f t="shared" si="160"/>
        <v>Key-MET-213</v>
      </c>
      <c r="Y213" s="44" t="s">
        <v>994</v>
      </c>
      <c r="Z213" s="61" t="s">
        <v>7</v>
      </c>
      <c r="AA213" s="44" t="s">
        <v>1247</v>
      </c>
      <c r="AB213" s="61" t="s">
        <v>7</v>
      </c>
      <c r="AC213" s="71" t="s">
        <v>7</v>
      </c>
      <c r="AD213" s="71" t="s">
        <v>7</v>
      </c>
    </row>
    <row r="214" spans="1:30" customFormat="1" ht="6.75" customHeight="1" x14ac:dyDescent="0.25">
      <c r="A214" s="54">
        <v>214</v>
      </c>
      <c r="B214" s="79" t="s">
        <v>1175</v>
      </c>
      <c r="C214" s="80" t="s">
        <v>1272</v>
      </c>
      <c r="D214" s="80" t="s">
        <v>1628</v>
      </c>
      <c r="E214" s="79" t="s">
        <v>1208</v>
      </c>
      <c r="F214" s="81" t="s">
        <v>1203</v>
      </c>
      <c r="G214" s="55" t="s">
        <v>7</v>
      </c>
      <c r="H214" s="55" t="s">
        <v>7</v>
      </c>
      <c r="I214" s="55" t="s">
        <v>7</v>
      </c>
      <c r="J214" s="55" t="s">
        <v>7</v>
      </c>
      <c r="K214" s="55" t="s">
        <v>7</v>
      </c>
      <c r="L214" s="70" t="str">
        <f t="shared" si="193"/>
        <v>De Estrutura</v>
      </c>
      <c r="M214" s="70" t="str">
        <f t="shared" si="194"/>
        <v>Estrutura Aço</v>
      </c>
      <c r="N214" s="70" t="str">
        <f t="shared" si="195"/>
        <v>Aço Vigas</v>
      </c>
      <c r="O214" s="70" t="str">
        <f t="shared" si="196"/>
        <v>Aço Viga Interna</v>
      </c>
      <c r="P214" s="71" t="s">
        <v>1215</v>
      </c>
      <c r="Q214" s="71" t="s">
        <v>1241</v>
      </c>
      <c r="R214" s="71" t="s">
        <v>1231</v>
      </c>
      <c r="S214" s="75" t="s">
        <v>7</v>
      </c>
      <c r="T214" s="60" t="str">
        <f t="shared" si="197"/>
        <v>De Estrutura</v>
      </c>
      <c r="U214" s="60" t="str">
        <f t="shared" si="198"/>
        <v>Estrutura Aço</v>
      </c>
      <c r="V214" s="60" t="str">
        <f t="shared" si="199"/>
        <v>Aço Vigas</v>
      </c>
      <c r="W214" s="44" t="s">
        <v>654</v>
      </c>
      <c r="X214" s="52" t="str">
        <f t="shared" si="160"/>
        <v>Key-MET-214</v>
      </c>
      <c r="Y214" s="44" t="s">
        <v>994</v>
      </c>
      <c r="Z214" s="61" t="s">
        <v>7</v>
      </c>
      <c r="AA214" s="44" t="s">
        <v>1247</v>
      </c>
      <c r="AB214" s="61" t="s">
        <v>7</v>
      </c>
      <c r="AC214" s="71" t="s">
        <v>7</v>
      </c>
      <c r="AD214" s="71" t="s">
        <v>7</v>
      </c>
    </row>
    <row r="215" spans="1:30" customFormat="1" ht="6.75" customHeight="1" x14ac:dyDescent="0.25">
      <c r="A215" s="54">
        <v>215</v>
      </c>
      <c r="B215" s="79" t="s">
        <v>1175</v>
      </c>
      <c r="C215" s="80" t="s">
        <v>1272</v>
      </c>
      <c r="D215" s="80" t="s">
        <v>1628</v>
      </c>
      <c r="E215" s="79" t="s">
        <v>1208</v>
      </c>
      <c r="F215" s="81" t="s">
        <v>1202</v>
      </c>
      <c r="G215" s="55" t="s">
        <v>7</v>
      </c>
      <c r="H215" s="55" t="s">
        <v>7</v>
      </c>
      <c r="I215" s="55" t="s">
        <v>7</v>
      </c>
      <c r="J215" s="55" t="s">
        <v>7</v>
      </c>
      <c r="K215" s="55" t="s">
        <v>7</v>
      </c>
      <c r="L215" s="70" t="str">
        <f t="shared" si="179"/>
        <v>De Estrutura</v>
      </c>
      <c r="M215" s="70" t="str">
        <f t="shared" si="180"/>
        <v>Estrutura Aço</v>
      </c>
      <c r="N215" s="70" t="str">
        <f t="shared" si="181"/>
        <v>Aço Vigas</v>
      </c>
      <c r="O215" s="70" t="str">
        <f t="shared" si="182"/>
        <v>Aço Viga Perimetral</v>
      </c>
      <c r="P215" s="71" t="s">
        <v>1216</v>
      </c>
      <c r="Q215" s="71" t="s">
        <v>1242</v>
      </c>
      <c r="R215" s="71" t="s">
        <v>1232</v>
      </c>
      <c r="S215" s="75" t="s">
        <v>7</v>
      </c>
      <c r="T215" s="60" t="str">
        <f t="shared" si="183"/>
        <v>De Estrutura</v>
      </c>
      <c r="U215" s="60" t="str">
        <f t="shared" si="184"/>
        <v>Estrutura Aço</v>
      </c>
      <c r="V215" s="60" t="str">
        <f t="shared" si="185"/>
        <v>Aço Vigas</v>
      </c>
      <c r="W215" s="44" t="s">
        <v>654</v>
      </c>
      <c r="X215" s="52" t="str">
        <f t="shared" si="160"/>
        <v>Key-MET-215</v>
      </c>
      <c r="Y215" s="44" t="s">
        <v>994</v>
      </c>
      <c r="Z215" s="61" t="s">
        <v>7</v>
      </c>
      <c r="AA215" s="44" t="s">
        <v>1247</v>
      </c>
      <c r="AB215" s="61" t="s">
        <v>7</v>
      </c>
      <c r="AC215" s="71" t="s">
        <v>7</v>
      </c>
      <c r="AD215" s="71" t="s">
        <v>7</v>
      </c>
    </row>
    <row r="216" spans="1:30" customFormat="1" ht="6.75" customHeight="1" x14ac:dyDescent="0.25">
      <c r="A216" s="54">
        <v>216</v>
      </c>
      <c r="B216" s="79" t="s">
        <v>1175</v>
      </c>
      <c r="C216" s="80" t="s">
        <v>1272</v>
      </c>
      <c r="D216" s="80" t="s">
        <v>1628</v>
      </c>
      <c r="E216" s="79" t="s">
        <v>1252</v>
      </c>
      <c r="F216" s="81" t="s">
        <v>1253</v>
      </c>
      <c r="G216" s="55" t="s">
        <v>7</v>
      </c>
      <c r="H216" s="55" t="s">
        <v>7</v>
      </c>
      <c r="I216" s="55" t="s">
        <v>7</v>
      </c>
      <c r="J216" s="55" t="s">
        <v>7</v>
      </c>
      <c r="K216" s="55" t="s">
        <v>7</v>
      </c>
      <c r="L216" s="70" t="str">
        <f t="shared" ref="L216:L218" si="200">SUBSTITUTE(CONCATENATE("", C216), ".", " ")</f>
        <v>De Estrutura</v>
      </c>
      <c r="M216" s="70" t="str">
        <f t="shared" ref="M216:M218" si="201">SUBSTITUTE(CONCATENATE("", D216), ".", " ")</f>
        <v>Estrutura Aço</v>
      </c>
      <c r="N216" s="70" t="str">
        <f t="shared" ref="N216:N218" si="202">SUBSTITUTE(CONCATENATE("", E216), ".", " ")</f>
        <v>Aço Pórticos</v>
      </c>
      <c r="O216" s="70" t="str">
        <f t="shared" ref="O216:O218" si="203">SUBSTITUTE(CONCATENATE("", F216), ".", " ")</f>
        <v>Aço Pórtico</v>
      </c>
      <c r="P216" s="71" t="s">
        <v>1262</v>
      </c>
      <c r="Q216" s="71" t="str">
        <f>_xlfn.TRANSLATE(P216,"pt","es")</f>
        <v>Pórtico.</v>
      </c>
      <c r="R216" s="71" t="str">
        <f t="shared" ref="R216:R224" si="204">_xlfn.TRANSLATE(P216,"pt","en")</f>
        <v>Portico.</v>
      </c>
      <c r="S216" s="75" t="s">
        <v>7</v>
      </c>
      <c r="T216" s="60" t="str">
        <f t="shared" ref="T216:T218" si="205">SUBSTITUTE(C216, ".", " ")</f>
        <v>De Estrutura</v>
      </c>
      <c r="U216" s="60" t="str">
        <f t="shared" ref="U216:U218" si="206">SUBSTITUTE(D216, ".", " ")</f>
        <v>Estrutura Aço</v>
      </c>
      <c r="V216" s="60" t="str">
        <f t="shared" ref="V216:V218" si="207">SUBSTITUTE(E216, ".", " ")</f>
        <v>Aço Pórticos</v>
      </c>
      <c r="W216" s="44" t="s">
        <v>654</v>
      </c>
      <c r="X216" s="52" t="str">
        <f t="shared" si="160"/>
        <v>Key-MET-216</v>
      </c>
      <c r="Y216" s="44" t="s">
        <v>1008</v>
      </c>
      <c r="Z216" s="61" t="s">
        <v>7</v>
      </c>
      <c r="AA216" s="44" t="s">
        <v>1248</v>
      </c>
      <c r="AB216" s="61" t="s">
        <v>7</v>
      </c>
      <c r="AC216" s="71" t="s">
        <v>7</v>
      </c>
      <c r="AD216" s="71" t="s">
        <v>7</v>
      </c>
    </row>
    <row r="217" spans="1:30" customFormat="1" ht="6.75" customHeight="1" x14ac:dyDescent="0.25">
      <c r="A217" s="54">
        <v>217</v>
      </c>
      <c r="B217" s="79" t="s">
        <v>1175</v>
      </c>
      <c r="C217" s="80" t="s">
        <v>1272</v>
      </c>
      <c r="D217" s="80" t="s">
        <v>1628</v>
      </c>
      <c r="E217" s="79" t="s">
        <v>1252</v>
      </c>
      <c r="F217" s="81" t="s">
        <v>1261</v>
      </c>
      <c r="G217" s="55" t="s">
        <v>7</v>
      </c>
      <c r="H217" s="55" t="s">
        <v>7</v>
      </c>
      <c r="I217" s="55" t="s">
        <v>7</v>
      </c>
      <c r="J217" s="55" t="s">
        <v>7</v>
      </c>
      <c r="K217" s="55" t="s">
        <v>7</v>
      </c>
      <c r="L217" s="70" t="str">
        <f t="shared" si="200"/>
        <v>De Estrutura</v>
      </c>
      <c r="M217" s="70" t="str">
        <f t="shared" si="201"/>
        <v>Estrutura Aço</v>
      </c>
      <c r="N217" s="70" t="str">
        <f t="shared" si="202"/>
        <v>Aço Pórticos</v>
      </c>
      <c r="O217" s="70" t="str">
        <f t="shared" si="203"/>
        <v>Aço Pórtico Vierendeel</v>
      </c>
      <c r="P217" s="50" t="s">
        <v>1263</v>
      </c>
      <c r="Q217" s="71" t="str">
        <f t="shared" ref="Q217:Q224" si="208">_xlfn.TRANSLATE(P217,"pt","es")</f>
        <v>Gúlta pórtico de viga Vierendeel, compuesta por marcos rectangulares o cuadrados con conexiones totalmente rígidas.</v>
      </c>
      <c r="R217" s="71" t="str">
        <f t="shared" si="204"/>
        <v>Vierendeel beam gantry crane, composed of rectangular or square frames with fully rigid connections.</v>
      </c>
      <c r="S217" s="75" t="s">
        <v>7</v>
      </c>
      <c r="T217" s="60" t="str">
        <f t="shared" si="205"/>
        <v>De Estrutura</v>
      </c>
      <c r="U217" s="60" t="str">
        <f t="shared" si="206"/>
        <v>Estrutura Aço</v>
      </c>
      <c r="V217" s="60" t="str">
        <f t="shared" si="207"/>
        <v>Aço Pórticos</v>
      </c>
      <c r="W217" s="44" t="s">
        <v>654</v>
      </c>
      <c r="X217" s="52" t="str">
        <f t="shared" si="160"/>
        <v>Key-MET-217</v>
      </c>
      <c r="Y217" s="44" t="s">
        <v>1008</v>
      </c>
      <c r="Z217" s="61" t="s">
        <v>7</v>
      </c>
      <c r="AA217" s="44" t="s">
        <v>1248</v>
      </c>
      <c r="AB217" s="61" t="s">
        <v>7</v>
      </c>
      <c r="AC217" s="71" t="s">
        <v>7</v>
      </c>
      <c r="AD217" s="71" t="s">
        <v>7</v>
      </c>
    </row>
    <row r="218" spans="1:30" customFormat="1" ht="6.75" customHeight="1" x14ac:dyDescent="0.25">
      <c r="A218" s="54">
        <v>218</v>
      </c>
      <c r="B218" s="79" t="s">
        <v>1175</v>
      </c>
      <c r="C218" s="80" t="s">
        <v>1272</v>
      </c>
      <c r="D218" s="80" t="s">
        <v>1628</v>
      </c>
      <c r="E218" s="79" t="s">
        <v>1252</v>
      </c>
      <c r="F218" s="81" t="s">
        <v>1260</v>
      </c>
      <c r="G218" s="55" t="s">
        <v>7</v>
      </c>
      <c r="H218" s="55" t="s">
        <v>7</v>
      </c>
      <c r="I218" s="55" t="s">
        <v>7</v>
      </c>
      <c r="J218" s="55" t="s">
        <v>7</v>
      </c>
      <c r="K218" s="55" t="s">
        <v>7</v>
      </c>
      <c r="L218" s="70" t="str">
        <f t="shared" si="200"/>
        <v>De Estrutura</v>
      </c>
      <c r="M218" s="70" t="str">
        <f t="shared" si="201"/>
        <v>Estrutura Aço</v>
      </c>
      <c r="N218" s="70" t="str">
        <f t="shared" si="202"/>
        <v>Aço Pórticos</v>
      </c>
      <c r="O218" s="70" t="str">
        <f t="shared" si="203"/>
        <v>Aço Pórtico Alma Cheia</v>
      </c>
      <c r="P218" s="50" t="s">
        <v>1264</v>
      </c>
      <c r="Q218" s="71" t="str">
        <f t="shared" si="208"/>
        <v>Pórtico de núcleo completo para cobertizos y grandes vanos.</v>
      </c>
      <c r="R218" s="71" t="str">
        <f t="shared" si="204"/>
        <v>Full-core portico for sheds and large spans.</v>
      </c>
      <c r="S218" s="75" t="s">
        <v>7</v>
      </c>
      <c r="T218" s="60" t="str">
        <f t="shared" si="205"/>
        <v>De Estrutura</v>
      </c>
      <c r="U218" s="60" t="str">
        <f t="shared" si="206"/>
        <v>Estrutura Aço</v>
      </c>
      <c r="V218" s="60" t="str">
        <f t="shared" si="207"/>
        <v>Aço Pórticos</v>
      </c>
      <c r="W218" s="44" t="s">
        <v>654</v>
      </c>
      <c r="X218" s="52" t="str">
        <f t="shared" si="160"/>
        <v>Key-MET-218</v>
      </c>
      <c r="Y218" s="44" t="s">
        <v>1008</v>
      </c>
      <c r="Z218" s="61" t="s">
        <v>7</v>
      </c>
      <c r="AA218" s="44" t="s">
        <v>1248</v>
      </c>
      <c r="AB218" s="61" t="s">
        <v>7</v>
      </c>
      <c r="AC218" s="71" t="s">
        <v>7</v>
      </c>
      <c r="AD218" s="71" t="s">
        <v>7</v>
      </c>
    </row>
    <row r="219" spans="1:30" customFormat="1" ht="6.75" customHeight="1" x14ac:dyDescent="0.25">
      <c r="A219" s="54">
        <v>219</v>
      </c>
      <c r="B219" s="79" t="s">
        <v>1175</v>
      </c>
      <c r="C219" s="80" t="s">
        <v>1272</v>
      </c>
      <c r="D219" s="80" t="s">
        <v>1628</v>
      </c>
      <c r="E219" s="79" t="s">
        <v>1209</v>
      </c>
      <c r="F219" s="81" t="s">
        <v>1254</v>
      </c>
      <c r="G219" s="55" t="s">
        <v>7</v>
      </c>
      <c r="H219" s="55" t="s">
        <v>7</v>
      </c>
      <c r="I219" s="55" t="s">
        <v>7</v>
      </c>
      <c r="J219" s="55" t="s">
        <v>7</v>
      </c>
      <c r="K219" s="55" t="s">
        <v>7</v>
      </c>
      <c r="L219" s="70" t="str">
        <f t="shared" si="179"/>
        <v>De Estrutura</v>
      </c>
      <c r="M219" s="70" t="str">
        <f t="shared" si="180"/>
        <v>Estrutura Aço</v>
      </c>
      <c r="N219" s="70" t="str">
        <f t="shared" si="181"/>
        <v>Aço Treliças</v>
      </c>
      <c r="O219" s="70" t="str">
        <f t="shared" si="182"/>
        <v>Aço Treliça Plana Cobertura</v>
      </c>
      <c r="P219" s="71" t="s">
        <v>1265</v>
      </c>
      <c r="Q219" s="71" t="str">
        <f t="shared" si="208"/>
        <v>Cubierta de acero, celosía plana.</v>
      </c>
      <c r="R219" s="71" t="str">
        <f t="shared" si="204"/>
        <v>Steel cover flat truss.</v>
      </c>
      <c r="S219" s="75" t="s">
        <v>7</v>
      </c>
      <c r="T219" s="60" t="str">
        <f t="shared" si="183"/>
        <v>De Estrutura</v>
      </c>
      <c r="U219" s="60" t="str">
        <f t="shared" si="184"/>
        <v>Estrutura Aço</v>
      </c>
      <c r="V219" s="60" t="str">
        <f t="shared" si="185"/>
        <v>Aço Treliças</v>
      </c>
      <c r="W219" s="44" t="s">
        <v>654</v>
      </c>
      <c r="X219" s="52" t="str">
        <f t="shared" si="160"/>
        <v>Key-MET-219</v>
      </c>
      <c r="Y219" s="44" t="s">
        <v>1008</v>
      </c>
      <c r="Z219" s="61" t="s">
        <v>7</v>
      </c>
      <c r="AA219" s="44" t="s">
        <v>1248</v>
      </c>
      <c r="AB219" s="61" t="s">
        <v>7</v>
      </c>
      <c r="AC219" s="71" t="s">
        <v>7</v>
      </c>
      <c r="AD219" s="71" t="s">
        <v>7</v>
      </c>
    </row>
    <row r="220" spans="1:30" customFormat="1" ht="6.75" customHeight="1" x14ac:dyDescent="0.25">
      <c r="A220" s="54">
        <v>220</v>
      </c>
      <c r="B220" s="79" t="s">
        <v>1175</v>
      </c>
      <c r="C220" s="80" t="s">
        <v>1272</v>
      </c>
      <c r="D220" s="80" t="s">
        <v>1628</v>
      </c>
      <c r="E220" s="79" t="s">
        <v>1209</v>
      </c>
      <c r="F220" s="81" t="s">
        <v>1255</v>
      </c>
      <c r="G220" s="55" t="s">
        <v>7</v>
      </c>
      <c r="H220" s="55" t="s">
        <v>7</v>
      </c>
      <c r="I220" s="55" t="s">
        <v>7</v>
      </c>
      <c r="J220" s="55" t="s">
        <v>7</v>
      </c>
      <c r="K220" s="55" t="s">
        <v>7</v>
      </c>
      <c r="L220" s="70" t="str">
        <f t="shared" si="179"/>
        <v>De Estrutura</v>
      </c>
      <c r="M220" s="70" t="str">
        <f t="shared" si="180"/>
        <v>Estrutura Aço</v>
      </c>
      <c r="N220" s="70" t="str">
        <f t="shared" si="181"/>
        <v>Aço Treliças</v>
      </c>
      <c r="O220" s="70" t="str">
        <f t="shared" si="182"/>
        <v>Aço Treliça Plana Suporte</v>
      </c>
      <c r="P220" s="71" t="s">
        <v>1266</v>
      </c>
      <c r="Q220" s="71" t="str">
        <f t="shared" si="208"/>
        <v>Estructura plana de soporte de acero.</v>
      </c>
      <c r="R220" s="71" t="str">
        <f t="shared" si="204"/>
        <v>Steel support flat truss.</v>
      </c>
      <c r="S220" s="75" t="s">
        <v>7</v>
      </c>
      <c r="T220" s="60" t="str">
        <f t="shared" si="183"/>
        <v>De Estrutura</v>
      </c>
      <c r="U220" s="60" t="str">
        <f t="shared" si="184"/>
        <v>Estrutura Aço</v>
      </c>
      <c r="V220" s="60" t="str">
        <f t="shared" si="185"/>
        <v>Aço Treliças</v>
      </c>
      <c r="W220" s="44" t="s">
        <v>654</v>
      </c>
      <c r="X220" s="52" t="str">
        <f t="shared" si="160"/>
        <v>Key-MET-220</v>
      </c>
      <c r="Y220" s="44" t="s">
        <v>1008</v>
      </c>
      <c r="Z220" s="61" t="s">
        <v>7</v>
      </c>
      <c r="AA220" s="44" t="s">
        <v>1248</v>
      </c>
      <c r="AB220" s="61" t="s">
        <v>7</v>
      </c>
      <c r="AC220" s="71" t="s">
        <v>7</v>
      </c>
      <c r="AD220" s="71" t="s">
        <v>7</v>
      </c>
    </row>
    <row r="221" spans="1:30" customFormat="1" ht="6.75" customHeight="1" x14ac:dyDescent="0.25">
      <c r="A221" s="54">
        <v>221</v>
      </c>
      <c r="B221" s="79" t="s">
        <v>1175</v>
      </c>
      <c r="C221" s="80" t="s">
        <v>1272</v>
      </c>
      <c r="D221" s="80" t="s">
        <v>1628</v>
      </c>
      <c r="E221" s="79" t="s">
        <v>1209</v>
      </c>
      <c r="F221" s="81" t="s">
        <v>1256</v>
      </c>
      <c r="G221" s="55" t="s">
        <v>7</v>
      </c>
      <c r="H221" s="55" t="s">
        <v>7</v>
      </c>
      <c r="I221" s="55" t="s">
        <v>7</v>
      </c>
      <c r="J221" s="55" t="s">
        <v>7</v>
      </c>
      <c r="K221" s="55" t="s">
        <v>7</v>
      </c>
      <c r="L221" s="70" t="str">
        <f t="shared" ref="L221:L223" si="209">SUBSTITUTE(CONCATENATE("", C221), ".", " ")</f>
        <v>De Estrutura</v>
      </c>
      <c r="M221" s="70" t="str">
        <f t="shared" ref="M221:M223" si="210">SUBSTITUTE(CONCATENATE("", D221), ".", " ")</f>
        <v>Estrutura Aço</v>
      </c>
      <c r="N221" s="70" t="str">
        <f t="shared" ref="N221:N223" si="211">SUBSTITUTE(CONCATENATE("", E221), ".", " ")</f>
        <v>Aço Treliças</v>
      </c>
      <c r="O221" s="70" t="str">
        <f t="shared" ref="O221:O223" si="212">SUBSTITUTE(CONCATENATE("", F221), ".", " ")</f>
        <v>Aço Treliça Plana Ponte</v>
      </c>
      <c r="P221" s="71" t="s">
        <v>1267</v>
      </c>
      <c r="Q221" s="71" t="str">
        <f t="shared" si="208"/>
        <v>Armadura plana de puente de acero.</v>
      </c>
      <c r="R221" s="71" t="str">
        <f t="shared" si="204"/>
        <v>Steel bridge flat truss.</v>
      </c>
      <c r="S221" s="75" t="s">
        <v>7</v>
      </c>
      <c r="T221" s="60" t="str">
        <f t="shared" ref="T221:T223" si="213">SUBSTITUTE(C221, ".", " ")</f>
        <v>De Estrutura</v>
      </c>
      <c r="U221" s="60" t="str">
        <f t="shared" ref="U221:U223" si="214">SUBSTITUTE(D221, ".", " ")</f>
        <v>Estrutura Aço</v>
      </c>
      <c r="V221" s="60" t="str">
        <f t="shared" ref="V221:V223" si="215">SUBSTITUTE(E221, ".", " ")</f>
        <v>Aço Treliças</v>
      </c>
      <c r="W221" s="44" t="s">
        <v>654</v>
      </c>
      <c r="X221" s="52" t="str">
        <f t="shared" si="160"/>
        <v>Key-MET-221</v>
      </c>
      <c r="Y221" s="44" t="s">
        <v>1008</v>
      </c>
      <c r="Z221" s="61" t="s">
        <v>7</v>
      </c>
      <c r="AA221" s="44" t="s">
        <v>1248</v>
      </c>
      <c r="AB221" s="61" t="s">
        <v>7</v>
      </c>
      <c r="AC221" s="71" t="s">
        <v>7</v>
      </c>
      <c r="AD221" s="71" t="s">
        <v>7</v>
      </c>
    </row>
    <row r="222" spans="1:30" customFormat="1" ht="6.75" customHeight="1" x14ac:dyDescent="0.25">
      <c r="A222" s="54">
        <v>222</v>
      </c>
      <c r="B222" s="79" t="s">
        <v>1175</v>
      </c>
      <c r="C222" s="80" t="s">
        <v>1272</v>
      </c>
      <c r="D222" s="80" t="s">
        <v>1628</v>
      </c>
      <c r="E222" s="79" t="s">
        <v>1209</v>
      </c>
      <c r="F222" s="81" t="s">
        <v>1257</v>
      </c>
      <c r="G222" s="55" t="s">
        <v>7</v>
      </c>
      <c r="H222" s="55" t="s">
        <v>7</v>
      </c>
      <c r="I222" s="55" t="s">
        <v>7</v>
      </c>
      <c r="J222" s="55" t="s">
        <v>7</v>
      </c>
      <c r="K222" s="55" t="s">
        <v>7</v>
      </c>
      <c r="L222" s="70" t="str">
        <f t="shared" si="209"/>
        <v>De Estrutura</v>
      </c>
      <c r="M222" s="70" t="str">
        <f t="shared" si="210"/>
        <v>Estrutura Aço</v>
      </c>
      <c r="N222" s="70" t="str">
        <f t="shared" si="211"/>
        <v>Aço Treliças</v>
      </c>
      <c r="O222" s="70" t="str">
        <f t="shared" si="212"/>
        <v>Aço Treliça Espacial Cobertura</v>
      </c>
      <c r="P222" s="71" t="s">
        <v>1268</v>
      </c>
      <c r="Q222" s="71" t="str">
        <f t="shared" si="208"/>
        <v>Estructura espacial de tejado de acero.</v>
      </c>
      <c r="R222" s="71" t="str">
        <f t="shared" si="204"/>
        <v>Steel roof space truss.</v>
      </c>
      <c r="S222" s="75" t="s">
        <v>7</v>
      </c>
      <c r="T222" s="60" t="str">
        <f t="shared" si="213"/>
        <v>De Estrutura</v>
      </c>
      <c r="U222" s="60" t="str">
        <f t="shared" si="214"/>
        <v>Estrutura Aço</v>
      </c>
      <c r="V222" s="60" t="str">
        <f t="shared" si="215"/>
        <v>Aço Treliças</v>
      </c>
      <c r="W222" s="44" t="s">
        <v>654</v>
      </c>
      <c r="X222" s="52" t="str">
        <f t="shared" si="160"/>
        <v>Key-MET-222</v>
      </c>
      <c r="Y222" s="44" t="s">
        <v>1008</v>
      </c>
      <c r="Z222" s="61" t="s">
        <v>7</v>
      </c>
      <c r="AA222" s="44" t="s">
        <v>1248</v>
      </c>
      <c r="AB222" s="61" t="s">
        <v>7</v>
      </c>
      <c r="AC222" s="71" t="s">
        <v>7</v>
      </c>
      <c r="AD222" s="71" t="s">
        <v>7</v>
      </c>
    </row>
    <row r="223" spans="1:30" customFormat="1" ht="6.75" customHeight="1" x14ac:dyDescent="0.25">
      <c r="A223" s="54">
        <v>223</v>
      </c>
      <c r="B223" s="79" t="s">
        <v>1175</v>
      </c>
      <c r="C223" s="80" t="s">
        <v>1272</v>
      </c>
      <c r="D223" s="80" t="s">
        <v>1628</v>
      </c>
      <c r="E223" s="79" t="s">
        <v>1209</v>
      </c>
      <c r="F223" s="81" t="s">
        <v>1258</v>
      </c>
      <c r="G223" s="55" t="s">
        <v>7</v>
      </c>
      <c r="H223" s="55" t="s">
        <v>7</v>
      </c>
      <c r="I223" s="55" t="s">
        <v>7</v>
      </c>
      <c r="J223" s="55" t="s">
        <v>7</v>
      </c>
      <c r="K223" s="55" t="s">
        <v>7</v>
      </c>
      <c r="L223" s="70" t="str">
        <f t="shared" si="209"/>
        <v>De Estrutura</v>
      </c>
      <c r="M223" s="70" t="str">
        <f t="shared" si="210"/>
        <v>Estrutura Aço</v>
      </c>
      <c r="N223" s="70" t="str">
        <f t="shared" si="211"/>
        <v>Aço Treliças</v>
      </c>
      <c r="O223" s="70" t="str">
        <f t="shared" si="212"/>
        <v>Aço Treliça Espacial Suporte</v>
      </c>
      <c r="P223" s="71" t="s">
        <v>1269</v>
      </c>
      <c r="Q223" s="71" t="str">
        <f t="shared" si="208"/>
        <v>Estructura de soporte de acero.</v>
      </c>
      <c r="R223" s="71" t="str">
        <f t="shared" si="204"/>
        <v>Steel support space truss.</v>
      </c>
      <c r="S223" s="75" t="s">
        <v>7</v>
      </c>
      <c r="T223" s="60" t="str">
        <f t="shared" si="213"/>
        <v>De Estrutura</v>
      </c>
      <c r="U223" s="60" t="str">
        <f t="shared" si="214"/>
        <v>Estrutura Aço</v>
      </c>
      <c r="V223" s="60" t="str">
        <f t="shared" si="215"/>
        <v>Aço Treliças</v>
      </c>
      <c r="W223" s="44" t="s">
        <v>654</v>
      </c>
      <c r="X223" s="52" t="str">
        <f t="shared" si="160"/>
        <v>Key-MET-223</v>
      </c>
      <c r="Y223" s="44" t="s">
        <v>1008</v>
      </c>
      <c r="Z223" s="61" t="s">
        <v>7</v>
      </c>
      <c r="AA223" s="44" t="s">
        <v>1248</v>
      </c>
      <c r="AB223" s="61" t="s">
        <v>7</v>
      </c>
      <c r="AC223" s="71" t="s">
        <v>7</v>
      </c>
      <c r="AD223" s="71" t="s">
        <v>7</v>
      </c>
    </row>
    <row r="224" spans="1:30" customFormat="1" ht="6.75" customHeight="1" x14ac:dyDescent="0.25">
      <c r="A224" s="54">
        <v>224</v>
      </c>
      <c r="B224" s="79" t="s">
        <v>1175</v>
      </c>
      <c r="C224" s="80" t="s">
        <v>1272</v>
      </c>
      <c r="D224" s="80" t="s">
        <v>1628</v>
      </c>
      <c r="E224" s="79" t="s">
        <v>1209</v>
      </c>
      <c r="F224" s="81" t="s">
        <v>1259</v>
      </c>
      <c r="G224" s="55" t="s">
        <v>7</v>
      </c>
      <c r="H224" s="55" t="s">
        <v>7</v>
      </c>
      <c r="I224" s="55" t="s">
        <v>7</v>
      </c>
      <c r="J224" s="55" t="s">
        <v>7</v>
      </c>
      <c r="K224" s="55" t="s">
        <v>7</v>
      </c>
      <c r="L224" s="70" t="str">
        <f t="shared" ref="L224" si="216">SUBSTITUTE(CONCATENATE("", C224), ".", " ")</f>
        <v>De Estrutura</v>
      </c>
      <c r="M224" s="70" t="str">
        <f t="shared" ref="M224" si="217">SUBSTITUTE(CONCATENATE("", D224), ".", " ")</f>
        <v>Estrutura Aço</v>
      </c>
      <c r="N224" s="70" t="str">
        <f t="shared" ref="N224" si="218">SUBSTITUTE(CONCATENATE("", E224), ".", " ")</f>
        <v>Aço Treliças</v>
      </c>
      <c r="O224" s="70" t="str">
        <f t="shared" ref="O224" si="219">SUBSTITUTE(CONCATENATE("", F224), ".", " ")</f>
        <v>Aço Treliça Espacial Ponte</v>
      </c>
      <c r="P224" s="71" t="s">
        <v>1270</v>
      </c>
      <c r="Q224" s="71" t="str">
        <f t="shared" si="208"/>
        <v>Armadura espacial de puente de acero.</v>
      </c>
      <c r="R224" s="71" t="str">
        <f t="shared" si="204"/>
        <v>Steel bridge space truss.</v>
      </c>
      <c r="S224" s="75" t="s">
        <v>7</v>
      </c>
      <c r="T224" s="60" t="str">
        <f t="shared" ref="T224:V229" si="220">SUBSTITUTE(C224, ".", " ")</f>
        <v>De Estrutura</v>
      </c>
      <c r="U224" s="60" t="str">
        <f t="shared" ref="U224" si="221">SUBSTITUTE(D224, ".", " ")</f>
        <v>Estrutura Aço</v>
      </c>
      <c r="V224" s="60" t="str">
        <f t="shared" ref="V224" si="222">SUBSTITUTE(E224, ".", " ")</f>
        <v>Aço Treliças</v>
      </c>
      <c r="W224" s="44" t="s">
        <v>654</v>
      </c>
      <c r="X224" s="52" t="str">
        <f t="shared" si="160"/>
        <v>Key-MET-224</v>
      </c>
      <c r="Y224" s="44" t="s">
        <v>1008</v>
      </c>
      <c r="Z224" s="61" t="s">
        <v>7</v>
      </c>
      <c r="AA224" s="44" t="s">
        <v>1248</v>
      </c>
      <c r="AB224" s="61" t="s">
        <v>7</v>
      </c>
      <c r="AC224" s="71" t="s">
        <v>7</v>
      </c>
      <c r="AD224" s="71" t="s">
        <v>7</v>
      </c>
    </row>
    <row r="225" spans="1:30" s="76" customFormat="1" ht="6.75" customHeight="1" x14ac:dyDescent="0.25">
      <c r="A225" s="54">
        <v>225</v>
      </c>
      <c r="B225" s="73" t="s">
        <v>1299</v>
      </c>
      <c r="C225" s="74" t="s">
        <v>1300</v>
      </c>
      <c r="D225" s="74" t="s">
        <v>1301</v>
      </c>
      <c r="E225" s="74" t="s">
        <v>1302</v>
      </c>
      <c r="F225" s="74" t="s">
        <v>1278</v>
      </c>
      <c r="G225" s="55" t="s">
        <v>7</v>
      </c>
      <c r="H225" s="55" t="s">
        <v>7</v>
      </c>
      <c r="I225" s="55" t="s">
        <v>7</v>
      </c>
      <c r="J225" s="55" t="s">
        <v>7</v>
      </c>
      <c r="K225" s="55" t="s">
        <v>7</v>
      </c>
      <c r="L225" s="59" t="str">
        <f t="shared" ref="L225:M229" si="223">CONCATENATE("", C225)</f>
        <v>API.Plataforma</v>
      </c>
      <c r="M225" s="59" t="str">
        <f t="shared" si="223"/>
        <v>API.Macros</v>
      </c>
      <c r="N225" s="59" t="str">
        <f t="shared" ref="N225:O229" si="224">(SUBSTITUTE(SUBSTITUTE(CONCATENATE("",E225),"."," ")," De "," de "))</f>
        <v>API Método</v>
      </c>
      <c r="O225" s="59" t="str">
        <f t="shared" si="224"/>
        <v>Função Auxiliar</v>
      </c>
      <c r="P225" s="44" t="s">
        <v>1279</v>
      </c>
      <c r="Q225" s="44" t="s">
        <v>1280</v>
      </c>
      <c r="R225" s="44" t="s">
        <v>1281</v>
      </c>
      <c r="S225" s="75" t="s">
        <v>7</v>
      </c>
      <c r="T225" s="44" t="str">
        <f t="shared" si="220"/>
        <v>API Plataforma</v>
      </c>
      <c r="U225" s="44" t="str">
        <f t="shared" si="220"/>
        <v>API Macros</v>
      </c>
      <c r="V225" s="60" t="str">
        <f t="shared" si="220"/>
        <v>API Método</v>
      </c>
      <c r="W225" s="44" t="s">
        <v>654</v>
      </c>
      <c r="X225" s="52" t="str">
        <f t="shared" si="160"/>
        <v>Key-MET-225</v>
      </c>
      <c r="Y225" s="61" t="s">
        <v>7</v>
      </c>
      <c r="Z225" s="61" t="s">
        <v>7</v>
      </c>
      <c r="AA225" s="61" t="s">
        <v>7</v>
      </c>
      <c r="AB225" s="61" t="s">
        <v>7</v>
      </c>
      <c r="AC225" s="61" t="s">
        <v>7</v>
      </c>
      <c r="AD225" s="61" t="s">
        <v>7</v>
      </c>
    </row>
    <row r="226" spans="1:30" s="76" customFormat="1" ht="6.75" customHeight="1" x14ac:dyDescent="0.25">
      <c r="A226" s="54">
        <v>226</v>
      </c>
      <c r="B226" s="73" t="s">
        <v>1299</v>
      </c>
      <c r="C226" s="74" t="s">
        <v>1300</v>
      </c>
      <c r="D226" s="74" t="s">
        <v>1301</v>
      </c>
      <c r="E226" s="74" t="s">
        <v>1302</v>
      </c>
      <c r="F226" s="74" t="s">
        <v>1282</v>
      </c>
      <c r="G226" s="55" t="s">
        <v>7</v>
      </c>
      <c r="H226" s="55" t="s">
        <v>7</v>
      </c>
      <c r="I226" s="55" t="s">
        <v>7</v>
      </c>
      <c r="J226" s="55" t="s">
        <v>7</v>
      </c>
      <c r="K226" s="55" t="s">
        <v>7</v>
      </c>
      <c r="L226" s="59" t="str">
        <f t="shared" si="223"/>
        <v>API.Plataforma</v>
      </c>
      <c r="M226" s="59" t="str">
        <f t="shared" si="223"/>
        <v>API.Macros</v>
      </c>
      <c r="N226" s="59" t="str">
        <f t="shared" si="224"/>
        <v>API Método</v>
      </c>
      <c r="O226" s="59" t="str">
        <f t="shared" si="224"/>
        <v>Função Global</v>
      </c>
      <c r="P226" s="44" t="s">
        <v>1283</v>
      </c>
      <c r="Q226" s="44" t="s">
        <v>1284</v>
      </c>
      <c r="R226" s="44" t="s">
        <v>1285</v>
      </c>
      <c r="S226" s="75" t="s">
        <v>7</v>
      </c>
      <c r="T226" s="44" t="str">
        <f t="shared" si="220"/>
        <v>API Plataforma</v>
      </c>
      <c r="U226" s="44" t="str">
        <f t="shared" si="220"/>
        <v>API Macros</v>
      </c>
      <c r="V226" s="60" t="str">
        <f t="shared" si="220"/>
        <v>API Método</v>
      </c>
      <c r="W226" s="44" t="s">
        <v>654</v>
      </c>
      <c r="X226" s="52" t="str">
        <f t="shared" si="160"/>
        <v>Key-MET-226</v>
      </c>
      <c r="Y226" s="61" t="s">
        <v>7</v>
      </c>
      <c r="Z226" s="61" t="s">
        <v>7</v>
      </c>
      <c r="AA226" s="61" t="s">
        <v>7</v>
      </c>
      <c r="AB226" s="61" t="s">
        <v>7</v>
      </c>
      <c r="AC226" s="61" t="s">
        <v>7</v>
      </c>
      <c r="AD226" s="61" t="s">
        <v>7</v>
      </c>
    </row>
    <row r="227" spans="1:30" s="76" customFormat="1" ht="6.75" customHeight="1" x14ac:dyDescent="0.25">
      <c r="A227" s="54">
        <v>227</v>
      </c>
      <c r="B227" s="73" t="s">
        <v>1299</v>
      </c>
      <c r="C227" s="74" t="s">
        <v>1300</v>
      </c>
      <c r="D227" s="74" t="s">
        <v>1301</v>
      </c>
      <c r="E227" s="74" t="s">
        <v>1302</v>
      </c>
      <c r="F227" s="74" t="s">
        <v>1286</v>
      </c>
      <c r="G227" s="55" t="s">
        <v>7</v>
      </c>
      <c r="H227" s="55" t="s">
        <v>7</v>
      </c>
      <c r="I227" s="55" t="s">
        <v>7</v>
      </c>
      <c r="J227" s="55" t="s">
        <v>7</v>
      </c>
      <c r="K227" s="55" t="s">
        <v>7</v>
      </c>
      <c r="L227" s="59" t="str">
        <f t="shared" si="223"/>
        <v>API.Plataforma</v>
      </c>
      <c r="M227" s="59" t="str">
        <f t="shared" si="223"/>
        <v>API.Macros</v>
      </c>
      <c r="N227" s="59" t="str">
        <f t="shared" si="224"/>
        <v>API Método</v>
      </c>
      <c r="O227" s="59" t="str">
        <f t="shared" si="224"/>
        <v>Função Local</v>
      </c>
      <c r="P227" s="44" t="s">
        <v>1287</v>
      </c>
      <c r="Q227" s="44" t="s">
        <v>1288</v>
      </c>
      <c r="R227" s="44" t="s">
        <v>1289</v>
      </c>
      <c r="S227" s="75" t="s">
        <v>7</v>
      </c>
      <c r="T227" s="44" t="str">
        <f t="shared" si="220"/>
        <v>API Plataforma</v>
      </c>
      <c r="U227" s="44" t="str">
        <f t="shared" si="220"/>
        <v>API Macros</v>
      </c>
      <c r="V227" s="60" t="str">
        <f t="shared" si="220"/>
        <v>API Método</v>
      </c>
      <c r="W227" s="44" t="s">
        <v>654</v>
      </c>
      <c r="X227" s="52" t="str">
        <f t="shared" si="160"/>
        <v>Key-MET-227</v>
      </c>
      <c r="Y227" s="61" t="s">
        <v>7</v>
      </c>
      <c r="Z227" s="61" t="s">
        <v>7</v>
      </c>
      <c r="AA227" s="61" t="s">
        <v>7</v>
      </c>
      <c r="AB227" s="61" t="s">
        <v>7</v>
      </c>
      <c r="AC227" s="61" t="s">
        <v>7</v>
      </c>
      <c r="AD227" s="61" t="s">
        <v>7</v>
      </c>
    </row>
    <row r="228" spans="1:30" s="76" customFormat="1" ht="6.75" customHeight="1" x14ac:dyDescent="0.25">
      <c r="A228" s="54">
        <v>228</v>
      </c>
      <c r="B228" s="73" t="s">
        <v>1299</v>
      </c>
      <c r="C228" s="74" t="s">
        <v>1300</v>
      </c>
      <c r="D228" s="74" t="s">
        <v>1301</v>
      </c>
      <c r="E228" s="74" t="s">
        <v>1302</v>
      </c>
      <c r="F228" s="74" t="s">
        <v>1290</v>
      </c>
      <c r="G228" s="55" t="s">
        <v>7</v>
      </c>
      <c r="H228" s="55" t="s">
        <v>7</v>
      </c>
      <c r="I228" s="55" t="s">
        <v>7</v>
      </c>
      <c r="J228" s="55" t="s">
        <v>7</v>
      </c>
      <c r="K228" s="55" t="s">
        <v>7</v>
      </c>
      <c r="L228" s="59" t="str">
        <f t="shared" si="223"/>
        <v>API.Plataforma</v>
      </c>
      <c r="M228" s="59" t="str">
        <f t="shared" si="223"/>
        <v>API.Macros</v>
      </c>
      <c r="N228" s="59" t="str">
        <f t="shared" si="224"/>
        <v>API Método</v>
      </c>
      <c r="O228" s="59" t="str">
        <f t="shared" si="224"/>
        <v>Função Filtro</v>
      </c>
      <c r="P228" s="44" t="s">
        <v>1291</v>
      </c>
      <c r="Q228" s="44" t="s">
        <v>1292</v>
      </c>
      <c r="R228" s="44" t="s">
        <v>1293</v>
      </c>
      <c r="S228" s="75" t="s">
        <v>7</v>
      </c>
      <c r="T228" s="44" t="str">
        <f t="shared" si="220"/>
        <v>API Plataforma</v>
      </c>
      <c r="U228" s="44" t="str">
        <f t="shared" si="220"/>
        <v>API Macros</v>
      </c>
      <c r="V228" s="60" t="str">
        <f t="shared" si="220"/>
        <v>API Método</v>
      </c>
      <c r="W228" s="44" t="s">
        <v>654</v>
      </c>
      <c r="X228" s="52" t="str">
        <f t="shared" si="160"/>
        <v>Key-MET-228</v>
      </c>
      <c r="Y228" s="61" t="s">
        <v>7</v>
      </c>
      <c r="Z228" s="61" t="s">
        <v>7</v>
      </c>
      <c r="AA228" s="61" t="s">
        <v>7</v>
      </c>
      <c r="AB228" s="61" t="s">
        <v>7</v>
      </c>
      <c r="AC228" s="61" t="s">
        <v>7</v>
      </c>
      <c r="AD228" s="61" t="s">
        <v>7</v>
      </c>
    </row>
    <row r="229" spans="1:30" s="76" customFormat="1" ht="6.75" customHeight="1" x14ac:dyDescent="0.25">
      <c r="A229" s="54">
        <v>229</v>
      </c>
      <c r="B229" s="73" t="s">
        <v>1299</v>
      </c>
      <c r="C229" s="74" t="s">
        <v>1300</v>
      </c>
      <c r="D229" s="74" t="s">
        <v>1303</v>
      </c>
      <c r="E229" s="74" t="s">
        <v>1304</v>
      </c>
      <c r="F229" s="74" t="s">
        <v>1294</v>
      </c>
      <c r="G229" s="55" t="s">
        <v>7</v>
      </c>
      <c r="H229" s="55" t="s">
        <v>7</v>
      </c>
      <c r="I229" s="55" t="s">
        <v>7</v>
      </c>
      <c r="J229" s="55" t="s">
        <v>7</v>
      </c>
      <c r="K229" s="55" t="s">
        <v>7</v>
      </c>
      <c r="L229" s="59" t="str">
        <f t="shared" si="223"/>
        <v>API.Plataforma</v>
      </c>
      <c r="M229" s="59" t="str">
        <f t="shared" si="223"/>
        <v>API.Macros.Visuais</v>
      </c>
      <c r="N229" s="59" t="str">
        <f t="shared" si="224"/>
        <v>API Método Visual</v>
      </c>
      <c r="O229" s="59" t="str">
        <f t="shared" si="224"/>
        <v>Bloco de Código</v>
      </c>
      <c r="P229" s="44" t="s">
        <v>1295</v>
      </c>
      <c r="Q229" s="44" t="s">
        <v>1296</v>
      </c>
      <c r="R229" s="44" t="s">
        <v>1297</v>
      </c>
      <c r="S229" s="75" t="s">
        <v>7</v>
      </c>
      <c r="T229" s="44" t="str">
        <f t="shared" si="220"/>
        <v>API Plataforma</v>
      </c>
      <c r="U229" s="44" t="str">
        <f t="shared" si="220"/>
        <v>API Macros Visuais</v>
      </c>
      <c r="V229" s="60" t="str">
        <f t="shared" si="220"/>
        <v>API Método Visual</v>
      </c>
      <c r="W229" s="44" t="s">
        <v>654</v>
      </c>
      <c r="X229" s="52" t="str">
        <f t="shared" si="160"/>
        <v>Key-MET-229</v>
      </c>
      <c r="Y229" s="61" t="s">
        <v>7</v>
      </c>
      <c r="Z229" s="61" t="s">
        <v>7</v>
      </c>
      <c r="AA229" s="61" t="s">
        <v>7</v>
      </c>
      <c r="AB229" s="61" t="s">
        <v>7</v>
      </c>
      <c r="AC229" s="61" t="s">
        <v>7</v>
      </c>
      <c r="AD229" s="61" t="s">
        <v>7</v>
      </c>
    </row>
  </sheetData>
  <phoneticPr fontId="9" type="noConversion"/>
  <conditionalFormatting sqref="A2:A229">
    <cfRule type="cellIs" dxfId="39" priority="16" operator="equal">
      <formula>"null"</formula>
    </cfRule>
  </conditionalFormatting>
  <conditionalFormatting sqref="E80:E82">
    <cfRule type="cellIs" dxfId="38" priority="15" operator="equal">
      <formula>"null"</formula>
    </cfRule>
  </conditionalFormatting>
  <conditionalFormatting sqref="F1 F83:F1048576">
    <cfRule type="duplicateValues" dxfId="37" priority="17"/>
  </conditionalFormatting>
  <conditionalFormatting sqref="F2:F82">
    <cfRule type="duplicateValues" dxfId="36" priority="1"/>
  </conditionalFormatting>
  <conditionalFormatting sqref="P61:P64">
    <cfRule type="cellIs" dxfId="35" priority="10" operator="equal">
      <formula>"null"</formula>
    </cfRule>
  </conditionalFormatting>
  <conditionalFormatting sqref="P70:P73 AE70:XFD73 P75:P82 AE75:XFD82">
    <cfRule type="cellIs" dxfId="34" priority="13" operator="equal">
      <formula>"null"</formula>
    </cfRule>
  </conditionalFormatting>
  <conditionalFormatting sqref="P206:P224">
    <cfRule type="duplicateValues" dxfId="33" priority="83"/>
    <cfRule type="duplicateValues" dxfId="32" priority="84"/>
    <cfRule type="duplicateValues" dxfId="31" priority="85"/>
  </conditionalFormatting>
  <conditionalFormatting sqref="Q7:Q8 Y7:Y8 AA7:AA8">
    <cfRule type="cellIs" dxfId="30" priority="3" operator="equal">
      <formula>"null"</formula>
    </cfRule>
  </conditionalFormatting>
  <conditionalFormatting sqref="Q206:Q224">
    <cfRule type="duplicateValues" dxfId="29" priority="586"/>
    <cfRule type="duplicateValues" dxfId="28" priority="587"/>
    <cfRule type="duplicateValues" dxfId="27" priority="588"/>
    <cfRule type="duplicateValues" dxfId="26" priority="589"/>
  </conditionalFormatting>
  <conditionalFormatting sqref="R2:R13 B2:B224">
    <cfRule type="cellIs" dxfId="25" priority="4" operator="equal">
      <formula>"null"</formula>
    </cfRule>
  </conditionalFormatting>
  <conditionalFormatting sqref="R25:R60 Y39:Y60">
    <cfRule type="cellIs" dxfId="24" priority="9" operator="equal">
      <formula>"null"</formula>
    </cfRule>
  </conditionalFormatting>
  <conditionalFormatting sqref="R65:R82">
    <cfRule type="cellIs" dxfId="23" priority="6" operator="equal">
      <formula>"null"</formula>
    </cfRule>
  </conditionalFormatting>
  <conditionalFormatting sqref="R206:R215">
    <cfRule type="duplicateValues" dxfId="22" priority="79"/>
    <cfRule type="duplicateValues" dxfId="21" priority="80"/>
    <cfRule type="duplicateValues" dxfId="20" priority="81"/>
    <cfRule type="duplicateValues" dxfId="19" priority="82"/>
  </conditionalFormatting>
  <conditionalFormatting sqref="R216:R224">
    <cfRule type="duplicateValues" dxfId="18" priority="75"/>
    <cfRule type="duplicateValues" dxfId="17" priority="76"/>
    <cfRule type="duplicateValues" dxfId="16" priority="77"/>
    <cfRule type="duplicateValues" dxfId="15" priority="78"/>
  </conditionalFormatting>
  <conditionalFormatting sqref="Y2:Y6 AA2:AA6 AC2:AC6 Y9:Y15 AC9:AC36 Y25:Y36 AC74">
    <cfRule type="cellIs" dxfId="14" priority="14" operator="equal">
      <formula>"null"</formula>
    </cfRule>
  </conditionalFormatting>
  <conditionalFormatting sqref="Y74">
    <cfRule type="cellIs" dxfId="13" priority="5" operator="equal">
      <formula>"null"</formula>
    </cfRule>
  </conditionalFormatting>
  <conditionalFormatting sqref="AA9:AA82">
    <cfRule type="cellIs" dxfId="12" priority="8" operator="equal">
      <formula>"null"</formula>
    </cfRule>
  </conditionalFormatting>
  <conditionalFormatting sqref="AC7:AC8">
    <cfRule type="cellIs" dxfId="11" priority="2" operator="equal">
      <formula>"null"</formula>
    </cfRule>
  </conditionalFormatting>
  <conditionalFormatting sqref="AC39:AC60">
    <cfRule type="cellIs" dxfId="10" priority="7" operator="equal">
      <formula>"null"</formula>
    </cfRule>
  </conditionalFormatting>
  <conditionalFormatting sqref="AC65:AC69 Y66 Y69">
    <cfRule type="cellIs" dxfId="9" priority="12" operator="equal">
      <formula>"null"</formula>
    </cfRule>
  </conditionalFormatting>
  <conditionalFormatting sqref="AE61:XFD64">
    <cfRule type="cellIs" dxfId="8" priority="1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4F22-2568-4D5A-A538-DD63A5C43724}">
  <sheetPr codeName="Planilha3"/>
  <dimension ref="A1:U2"/>
  <sheetViews>
    <sheetView zoomScale="235" zoomScaleNormal="235" workbookViewId="0">
      <pane ySplit="1" topLeftCell="A2" activePane="bottomLeft" state="frozen"/>
      <selection activeCell="B2" sqref="B2"/>
      <selection pane="bottomLeft" activeCell="B5" sqref="B5"/>
    </sheetView>
  </sheetViews>
  <sheetFormatPr defaultColWidth="5.7109375" defaultRowHeight="7.9" customHeight="1" x14ac:dyDescent="0.15"/>
  <cols>
    <col min="1" max="1" width="2.7109375" style="11" customWidth="1"/>
    <col min="2" max="10" width="5.7109375" style="12"/>
    <col min="11" max="16384" width="5.7109375" style="22"/>
  </cols>
  <sheetData>
    <row r="1" spans="1:21" ht="16.5" x14ac:dyDescent="0.15">
      <c r="A1" s="20">
        <v>1</v>
      </c>
      <c r="B1" s="21" t="s">
        <v>29</v>
      </c>
      <c r="C1" s="21" t="s">
        <v>30</v>
      </c>
      <c r="D1" s="21" t="s">
        <v>31</v>
      </c>
      <c r="E1" s="21" t="s">
        <v>32</v>
      </c>
      <c r="F1" s="21" t="s">
        <v>33</v>
      </c>
      <c r="G1" s="21" t="s">
        <v>34</v>
      </c>
      <c r="H1" s="21" t="s">
        <v>35</v>
      </c>
      <c r="I1" s="21" t="s">
        <v>36</v>
      </c>
      <c r="J1" s="21" t="s">
        <v>37</v>
      </c>
      <c r="K1" s="21" t="s">
        <v>38</v>
      </c>
      <c r="L1" s="21" t="s">
        <v>39</v>
      </c>
      <c r="M1" s="21" t="s">
        <v>40</v>
      </c>
      <c r="N1" s="21" t="s">
        <v>41</v>
      </c>
      <c r="O1" s="21" t="s">
        <v>42</v>
      </c>
      <c r="P1" s="21" t="s">
        <v>43</v>
      </c>
      <c r="Q1" s="21" t="s">
        <v>44</v>
      </c>
      <c r="R1" s="21" t="s">
        <v>45</v>
      </c>
      <c r="S1" s="21" t="s">
        <v>46</v>
      </c>
      <c r="T1" s="21" t="s">
        <v>47</v>
      </c>
      <c r="U1" s="21" t="s">
        <v>48</v>
      </c>
    </row>
    <row r="2" spans="1:21" ht="8.25" x14ac:dyDescent="0.15">
      <c r="A2" s="20">
        <v>2</v>
      </c>
      <c r="B2" s="23" t="s">
        <v>7</v>
      </c>
      <c r="C2" s="23" t="s">
        <v>7</v>
      </c>
      <c r="D2" s="23" t="s">
        <v>7</v>
      </c>
      <c r="E2" s="23" t="s">
        <v>7</v>
      </c>
      <c r="F2" s="23" t="s">
        <v>7</v>
      </c>
      <c r="G2" s="23" t="s">
        <v>7</v>
      </c>
      <c r="H2" s="23" t="s">
        <v>7</v>
      </c>
      <c r="I2" s="23" t="s">
        <v>7</v>
      </c>
      <c r="J2" s="23" t="s">
        <v>7</v>
      </c>
      <c r="K2" s="23" t="s">
        <v>7</v>
      </c>
      <c r="L2" s="23" t="s">
        <v>7</v>
      </c>
      <c r="M2" s="23" t="s">
        <v>7</v>
      </c>
      <c r="N2" s="23" t="s">
        <v>7</v>
      </c>
      <c r="O2" s="23" t="s">
        <v>7</v>
      </c>
      <c r="P2" s="23" t="s">
        <v>7</v>
      </c>
      <c r="Q2" s="23" t="s">
        <v>7</v>
      </c>
      <c r="R2" s="23" t="s">
        <v>7</v>
      </c>
      <c r="S2" s="23" t="s">
        <v>7</v>
      </c>
      <c r="T2" s="23" t="s">
        <v>7</v>
      </c>
      <c r="U2" s="23" t="s">
        <v>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8B84A-AA24-421E-9F4E-92D6A71CA3BE}">
  <sheetPr codeName="Planilha4"/>
  <dimension ref="A1:D3"/>
  <sheetViews>
    <sheetView zoomScale="370" zoomScaleNormal="370" workbookViewId="0">
      <pane ySplit="1" topLeftCell="A2" activePane="bottomLeft" state="frozen"/>
      <selection activeCell="B2" sqref="B2"/>
      <selection pane="bottomLeft" activeCell="B7" sqref="B7"/>
    </sheetView>
  </sheetViews>
  <sheetFormatPr defaultColWidth="9.140625" defaultRowHeight="6.75" customHeight="1" x14ac:dyDescent="0.15"/>
  <cols>
    <col min="1" max="1" width="3" style="13" bestFit="1" customWidth="1"/>
    <col min="2" max="2" width="7.85546875" style="13" customWidth="1"/>
    <col min="3" max="3" width="11.28515625" style="13" customWidth="1"/>
    <col min="4" max="4" width="7.28515625" style="13" customWidth="1"/>
    <col min="5" max="16384" width="9.140625" style="13"/>
  </cols>
  <sheetData>
    <row r="1" spans="1:4" ht="6.75" customHeight="1" x14ac:dyDescent="0.15">
      <c r="A1" s="8">
        <v>1</v>
      </c>
      <c r="B1" s="9" t="s">
        <v>12</v>
      </c>
      <c r="C1" s="9" t="s">
        <v>67</v>
      </c>
      <c r="D1" s="9" t="s">
        <v>67</v>
      </c>
    </row>
    <row r="2" spans="1:4" ht="6.75" customHeight="1" x14ac:dyDescent="0.15">
      <c r="A2" s="7">
        <v>2</v>
      </c>
      <c r="B2" s="26" t="s">
        <v>7</v>
      </c>
      <c r="C2" s="27" t="s">
        <v>7</v>
      </c>
      <c r="D2" s="27" t="s">
        <v>7</v>
      </c>
    </row>
    <row r="3" spans="1:4" ht="6.75" customHeight="1" x14ac:dyDescent="0.15">
      <c r="A3" s="7">
        <v>3</v>
      </c>
      <c r="B3" s="26" t="s">
        <v>7</v>
      </c>
      <c r="C3" s="27" t="s">
        <v>7</v>
      </c>
      <c r="D3" s="27" t="s">
        <v>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E4CE-BFBA-437F-8898-28AC97CBFC26}">
  <dimension ref="A1:BA162"/>
  <sheetViews>
    <sheetView topLeftCell="A143" zoomScale="220" zoomScaleNormal="220" workbookViewId="0">
      <selection activeCell="C147" sqref="C147"/>
    </sheetView>
  </sheetViews>
  <sheetFormatPr defaultRowHeight="15" x14ac:dyDescent="0.25"/>
  <cols>
    <col min="1" max="1" width="3.140625" bestFit="1" customWidth="1"/>
    <col min="2" max="2" width="11.5703125" bestFit="1" customWidth="1"/>
    <col min="3" max="3" width="11.28515625" bestFit="1" customWidth="1"/>
    <col min="4" max="4" width="8.7109375" bestFit="1" customWidth="1"/>
    <col min="5" max="5" width="10.42578125" bestFit="1" customWidth="1"/>
    <col min="6" max="6" width="8.7109375" bestFit="1" customWidth="1"/>
    <col min="7" max="7" width="10.42578125" bestFit="1" customWidth="1"/>
    <col min="8" max="8" width="4.85546875" bestFit="1" customWidth="1"/>
    <col min="9" max="9" width="5.85546875" bestFit="1" customWidth="1"/>
    <col min="10" max="10" width="4.28515625" bestFit="1" customWidth="1"/>
    <col min="11" max="11" width="10.42578125" bestFit="1" customWidth="1"/>
    <col min="12" max="12" width="4.28515625" bestFit="1" customWidth="1"/>
    <col min="13" max="13" width="4.85546875" bestFit="1" customWidth="1"/>
    <col min="14" max="14" width="5.28515625" bestFit="1" customWidth="1"/>
    <col min="15" max="15" width="14.28515625" bestFit="1" customWidth="1"/>
    <col min="16" max="16" width="11.7109375" bestFit="1" customWidth="1"/>
    <col min="17" max="17" width="4.85546875" bestFit="1" customWidth="1"/>
    <col min="18" max="18" width="11" bestFit="1" customWidth="1"/>
    <col min="19" max="19" width="4.85546875" bestFit="1" customWidth="1"/>
    <col min="20" max="20" width="4.28515625" bestFit="1" customWidth="1"/>
    <col min="21" max="21" width="4.85546875" bestFit="1" customWidth="1"/>
    <col min="22" max="22" width="4.5703125" bestFit="1" customWidth="1"/>
    <col min="23" max="23" width="4.85546875" bestFit="1" customWidth="1"/>
    <col min="24" max="24" width="4.28515625" bestFit="1" customWidth="1"/>
    <col min="25" max="25" width="4.85546875" bestFit="1" customWidth="1"/>
    <col min="26" max="26" width="4.28515625" bestFit="1" customWidth="1"/>
    <col min="27" max="27" width="4.85546875" bestFit="1" customWidth="1"/>
    <col min="28" max="28" width="4.28515625" bestFit="1" customWidth="1"/>
    <col min="29" max="29" width="4.85546875" bestFit="1" customWidth="1"/>
    <col min="30" max="30" width="7.140625" bestFit="1" customWidth="1"/>
    <col min="31" max="31" width="4.85546875" bestFit="1" customWidth="1"/>
    <col min="32" max="32" width="6" bestFit="1" customWidth="1"/>
    <col min="33" max="33" width="109.85546875" bestFit="1" customWidth="1"/>
    <col min="34" max="34" width="8.28515625" bestFit="1" customWidth="1"/>
    <col min="35" max="35" width="94.140625" bestFit="1" customWidth="1"/>
    <col min="36" max="36" width="8.42578125" bestFit="1" customWidth="1"/>
    <col min="37" max="37" width="18.7109375" bestFit="1" customWidth="1"/>
    <col min="38" max="38" width="5.7109375" bestFit="1" customWidth="1"/>
    <col min="39" max="39" width="15.85546875" bestFit="1" customWidth="1"/>
    <col min="40" max="40" width="7.28515625" bestFit="1" customWidth="1"/>
    <col min="41" max="41" width="11.7109375" bestFit="1" customWidth="1"/>
    <col min="42" max="42" width="7.5703125" bestFit="1" customWidth="1"/>
    <col min="43" max="43" width="9.42578125" bestFit="1" customWidth="1"/>
    <col min="44" max="44" width="10.140625" bestFit="1" customWidth="1"/>
    <col min="45" max="45" width="7.85546875" bestFit="1" customWidth="1"/>
    <col min="46" max="46" width="4.28515625" bestFit="1" customWidth="1"/>
    <col min="47" max="47" width="4.85546875" bestFit="1" customWidth="1"/>
    <col min="48" max="48" width="4.28515625" bestFit="1" customWidth="1"/>
    <col min="49" max="49" width="4.85546875" bestFit="1" customWidth="1"/>
    <col min="50" max="50" width="4.28515625" bestFit="1" customWidth="1"/>
    <col min="51" max="51" width="4.85546875" bestFit="1" customWidth="1"/>
    <col min="52" max="52" width="4.28515625" bestFit="1" customWidth="1"/>
    <col min="53" max="53" width="4.85546875" bestFit="1" customWidth="1"/>
  </cols>
  <sheetData>
    <row r="1" spans="1:53" ht="15.75" customHeight="1" x14ac:dyDescent="0.25">
      <c r="A1" s="14" t="s">
        <v>22</v>
      </c>
      <c r="B1" s="15" t="s">
        <v>11</v>
      </c>
      <c r="C1" s="15" t="s">
        <v>12</v>
      </c>
      <c r="D1" s="28" t="s">
        <v>13</v>
      </c>
      <c r="E1" s="15" t="s">
        <v>0</v>
      </c>
      <c r="F1" s="28" t="s">
        <v>13</v>
      </c>
      <c r="G1" s="15" t="s">
        <v>0</v>
      </c>
      <c r="H1" s="15" t="s">
        <v>13</v>
      </c>
      <c r="I1" s="15" t="s">
        <v>0</v>
      </c>
      <c r="J1" s="28" t="s">
        <v>13</v>
      </c>
      <c r="K1" s="28" t="s">
        <v>0</v>
      </c>
      <c r="L1" s="28" t="s">
        <v>13</v>
      </c>
      <c r="M1" s="28" t="s">
        <v>0</v>
      </c>
      <c r="N1" s="28" t="s">
        <v>13</v>
      </c>
      <c r="O1" s="28" t="s">
        <v>0</v>
      </c>
      <c r="P1" s="28" t="s">
        <v>13</v>
      </c>
      <c r="Q1" s="15" t="s">
        <v>0</v>
      </c>
      <c r="R1" s="15" t="s">
        <v>13</v>
      </c>
      <c r="S1" s="15" t="s">
        <v>0</v>
      </c>
      <c r="T1" s="15" t="s">
        <v>13</v>
      </c>
      <c r="U1" s="15" t="s">
        <v>0</v>
      </c>
      <c r="V1" s="15" t="s">
        <v>13</v>
      </c>
      <c r="W1" s="15" t="s">
        <v>0</v>
      </c>
      <c r="X1" s="15" t="s">
        <v>13</v>
      </c>
      <c r="Y1" s="15" t="s">
        <v>0</v>
      </c>
      <c r="Z1" s="15" t="s">
        <v>13</v>
      </c>
      <c r="AA1" s="15" t="s">
        <v>0</v>
      </c>
      <c r="AB1" s="41" t="s">
        <v>13</v>
      </c>
      <c r="AC1" s="15" t="s">
        <v>0</v>
      </c>
      <c r="AD1" s="15" t="s">
        <v>13</v>
      </c>
      <c r="AE1" s="15" t="s">
        <v>0</v>
      </c>
      <c r="AF1" s="15" t="s">
        <v>13</v>
      </c>
      <c r="AG1" s="28" t="s">
        <v>0</v>
      </c>
      <c r="AH1" s="15" t="s">
        <v>13</v>
      </c>
      <c r="AI1" s="15" t="s">
        <v>0</v>
      </c>
      <c r="AJ1" s="15" t="s">
        <v>13</v>
      </c>
      <c r="AK1" s="41" t="s">
        <v>0</v>
      </c>
      <c r="AL1" s="15" t="s">
        <v>13</v>
      </c>
      <c r="AM1" s="41" t="s">
        <v>0</v>
      </c>
      <c r="AN1" s="15" t="s">
        <v>13</v>
      </c>
      <c r="AO1" s="41" t="s">
        <v>0</v>
      </c>
      <c r="AP1" s="15" t="s">
        <v>13</v>
      </c>
      <c r="AQ1" s="15" t="s">
        <v>0</v>
      </c>
      <c r="AR1" s="15" t="s">
        <v>13</v>
      </c>
      <c r="AS1" s="41" t="s">
        <v>0</v>
      </c>
      <c r="AT1" s="15" t="s">
        <v>13</v>
      </c>
      <c r="AU1" s="41" t="s">
        <v>0</v>
      </c>
      <c r="AV1" s="15" t="s">
        <v>13</v>
      </c>
      <c r="AW1" s="41" t="s">
        <v>0</v>
      </c>
      <c r="AX1" s="15" t="s">
        <v>13</v>
      </c>
      <c r="AY1" s="41" t="s">
        <v>0</v>
      </c>
      <c r="AZ1" s="15" t="s">
        <v>13</v>
      </c>
      <c r="BA1" s="41" t="s">
        <v>0</v>
      </c>
    </row>
    <row r="2" spans="1:53" ht="8.25" customHeight="1" x14ac:dyDescent="0.25">
      <c r="A2" s="16">
        <v>2</v>
      </c>
      <c r="B2" s="17" t="s">
        <v>1625</v>
      </c>
      <c r="C2" s="18" t="s">
        <v>1175</v>
      </c>
      <c r="D2" s="33" t="s">
        <v>7</v>
      </c>
      <c r="E2" s="34" t="s">
        <v>7</v>
      </c>
      <c r="F2" s="33" t="s">
        <v>7</v>
      </c>
      <c r="G2" s="34" t="s">
        <v>7</v>
      </c>
      <c r="H2" s="33" t="s">
        <v>7</v>
      </c>
      <c r="I2" s="34" t="s">
        <v>7</v>
      </c>
      <c r="J2" s="40" t="s">
        <v>7</v>
      </c>
      <c r="K2" s="39" t="s">
        <v>7</v>
      </c>
      <c r="L2" s="40" t="s">
        <v>7</v>
      </c>
      <c r="M2" s="39" t="s">
        <v>7</v>
      </c>
      <c r="N2" s="40" t="s">
        <v>7</v>
      </c>
      <c r="O2" s="19" t="s">
        <v>7</v>
      </c>
      <c r="P2" s="40" t="s">
        <v>7</v>
      </c>
      <c r="Q2" s="19" t="s">
        <v>7</v>
      </c>
      <c r="R2" s="31" t="s">
        <v>7</v>
      </c>
      <c r="S2" s="19" t="s">
        <v>7</v>
      </c>
      <c r="T2" s="31" t="s">
        <v>7</v>
      </c>
      <c r="U2" s="19" t="s">
        <v>7</v>
      </c>
      <c r="V2" s="31" t="s">
        <v>7</v>
      </c>
      <c r="W2" s="19" t="s">
        <v>7</v>
      </c>
      <c r="X2" s="31" t="s">
        <v>7</v>
      </c>
      <c r="Y2" s="19" t="s">
        <v>7</v>
      </c>
      <c r="Z2" s="31" t="s">
        <v>7</v>
      </c>
      <c r="AA2" s="19" t="s">
        <v>7</v>
      </c>
      <c r="AB2" s="31" t="s">
        <v>7</v>
      </c>
      <c r="AC2" s="19" t="s">
        <v>7</v>
      </c>
      <c r="AD2" s="31" t="s">
        <v>7</v>
      </c>
      <c r="AE2" s="19" t="s">
        <v>7</v>
      </c>
      <c r="AF2" s="31" t="s">
        <v>14</v>
      </c>
      <c r="AG2" s="39" t="s">
        <v>1626</v>
      </c>
      <c r="AH2" s="31" t="s">
        <v>7</v>
      </c>
      <c r="AI2" s="19" t="s">
        <v>7</v>
      </c>
      <c r="AJ2" s="31" t="s">
        <v>7</v>
      </c>
      <c r="AK2" s="19" t="s">
        <v>7</v>
      </c>
      <c r="AL2" s="31" t="s">
        <v>7</v>
      </c>
      <c r="AM2" s="19" t="s">
        <v>7</v>
      </c>
      <c r="AN2" s="31" t="s">
        <v>7</v>
      </c>
      <c r="AO2" s="19" t="s">
        <v>7</v>
      </c>
      <c r="AP2" s="31" t="s">
        <v>7</v>
      </c>
      <c r="AQ2" s="19" t="s">
        <v>7</v>
      </c>
      <c r="AR2" s="33" t="s">
        <v>7</v>
      </c>
      <c r="AS2" s="34" t="s">
        <v>7</v>
      </c>
      <c r="AT2" s="33" t="s">
        <v>7</v>
      </c>
      <c r="AU2" s="34" t="s">
        <v>7</v>
      </c>
      <c r="AV2" s="33" t="s">
        <v>7</v>
      </c>
      <c r="AW2" s="34" t="s">
        <v>7</v>
      </c>
      <c r="AX2" s="33" t="s">
        <v>7</v>
      </c>
      <c r="AY2" s="34" t="s">
        <v>7</v>
      </c>
      <c r="AZ2" s="33" t="s">
        <v>7</v>
      </c>
      <c r="BA2" s="34" t="s">
        <v>7</v>
      </c>
    </row>
    <row r="3" spans="1:53" ht="8.25" customHeight="1" x14ac:dyDescent="0.25">
      <c r="A3" s="16">
        <v>2</v>
      </c>
      <c r="B3" s="17" t="s">
        <v>554</v>
      </c>
      <c r="C3" s="18" t="s">
        <v>1715</v>
      </c>
      <c r="D3" s="33" t="s">
        <v>7</v>
      </c>
      <c r="E3" s="34" t="s">
        <v>7</v>
      </c>
      <c r="F3" s="29" t="s">
        <v>553</v>
      </c>
      <c r="G3" s="30" t="s">
        <v>544</v>
      </c>
      <c r="H3" s="33" t="s">
        <v>7</v>
      </c>
      <c r="I3" s="34" t="s">
        <v>7</v>
      </c>
      <c r="J3" s="40" t="s">
        <v>7</v>
      </c>
      <c r="K3" s="39" t="s">
        <v>7</v>
      </c>
      <c r="L3" s="40" t="s">
        <v>7</v>
      </c>
      <c r="M3" s="39" t="s">
        <v>7</v>
      </c>
      <c r="N3" s="40" t="s">
        <v>7</v>
      </c>
      <c r="O3" s="19" t="s">
        <v>7</v>
      </c>
      <c r="P3" s="40" t="s">
        <v>7</v>
      </c>
      <c r="Q3" s="19" t="s">
        <v>7</v>
      </c>
      <c r="R3" s="31" t="s">
        <v>7</v>
      </c>
      <c r="S3" s="19" t="s">
        <v>7</v>
      </c>
      <c r="T3" s="31" t="s">
        <v>7</v>
      </c>
      <c r="U3" s="19" t="s">
        <v>7</v>
      </c>
      <c r="V3" s="31" t="s">
        <v>7</v>
      </c>
      <c r="W3" s="19" t="s">
        <v>7</v>
      </c>
      <c r="X3" s="31" t="s">
        <v>7</v>
      </c>
      <c r="Y3" s="19" t="s">
        <v>7</v>
      </c>
      <c r="Z3" s="31" t="s">
        <v>7</v>
      </c>
      <c r="AA3" s="19" t="s">
        <v>7</v>
      </c>
      <c r="AB3" s="31" t="s">
        <v>7</v>
      </c>
      <c r="AC3" s="19" t="s">
        <v>7</v>
      </c>
      <c r="AD3" s="31" t="s">
        <v>7</v>
      </c>
      <c r="AE3" s="19" t="s">
        <v>7</v>
      </c>
      <c r="AF3" s="31" t="s">
        <v>14</v>
      </c>
      <c r="AG3" s="39" t="s">
        <v>562</v>
      </c>
      <c r="AH3" s="31" t="s">
        <v>7</v>
      </c>
      <c r="AI3" s="19" t="s">
        <v>7</v>
      </c>
      <c r="AJ3" s="31" t="s">
        <v>7</v>
      </c>
      <c r="AK3" s="19" t="s">
        <v>7</v>
      </c>
      <c r="AL3" s="31" t="s">
        <v>7</v>
      </c>
      <c r="AM3" s="19" t="s">
        <v>7</v>
      </c>
      <c r="AN3" s="31" t="s">
        <v>7</v>
      </c>
      <c r="AO3" s="19" t="s">
        <v>7</v>
      </c>
      <c r="AP3" s="31" t="s">
        <v>7</v>
      </c>
      <c r="AQ3" s="19" t="s">
        <v>7</v>
      </c>
      <c r="AR3" s="33" t="s">
        <v>7</v>
      </c>
      <c r="AS3" s="34" t="s">
        <v>7</v>
      </c>
      <c r="AT3" s="33" t="s">
        <v>7</v>
      </c>
      <c r="AU3" s="34" t="s">
        <v>7</v>
      </c>
      <c r="AV3" s="33" t="s">
        <v>7</v>
      </c>
      <c r="AW3" s="34" t="s">
        <v>7</v>
      </c>
      <c r="AX3" s="33" t="s">
        <v>7</v>
      </c>
      <c r="AY3" s="34" t="s">
        <v>7</v>
      </c>
      <c r="AZ3" s="33" t="s">
        <v>7</v>
      </c>
      <c r="BA3" s="34" t="s">
        <v>7</v>
      </c>
    </row>
    <row r="4" spans="1:53" ht="8.25" customHeight="1" x14ac:dyDescent="0.25">
      <c r="A4" s="16">
        <v>3</v>
      </c>
      <c r="B4" s="17" t="s">
        <v>555</v>
      </c>
      <c r="C4" s="18" t="s">
        <v>1715</v>
      </c>
      <c r="D4" s="33" t="s">
        <v>7</v>
      </c>
      <c r="E4" s="34" t="s">
        <v>7</v>
      </c>
      <c r="F4" s="29" t="s">
        <v>553</v>
      </c>
      <c r="G4" s="30" t="s">
        <v>556</v>
      </c>
      <c r="H4" s="33" t="s">
        <v>7</v>
      </c>
      <c r="I4" s="34" t="s">
        <v>7</v>
      </c>
      <c r="J4" s="40" t="s">
        <v>7</v>
      </c>
      <c r="K4" s="39" t="s">
        <v>7</v>
      </c>
      <c r="L4" s="40" t="s">
        <v>7</v>
      </c>
      <c r="M4" s="39" t="s">
        <v>7</v>
      </c>
      <c r="N4" s="40" t="s">
        <v>7</v>
      </c>
      <c r="O4" s="19" t="s">
        <v>7</v>
      </c>
      <c r="P4" s="40" t="s">
        <v>7</v>
      </c>
      <c r="Q4" s="19" t="s">
        <v>7</v>
      </c>
      <c r="R4" s="31" t="s">
        <v>7</v>
      </c>
      <c r="S4" s="19" t="s">
        <v>7</v>
      </c>
      <c r="T4" s="31" t="s">
        <v>7</v>
      </c>
      <c r="U4" s="19" t="s">
        <v>7</v>
      </c>
      <c r="V4" s="31" t="s">
        <v>7</v>
      </c>
      <c r="W4" s="19" t="s">
        <v>7</v>
      </c>
      <c r="X4" s="31" t="s">
        <v>7</v>
      </c>
      <c r="Y4" s="19" t="s">
        <v>7</v>
      </c>
      <c r="Z4" s="31" t="s">
        <v>7</v>
      </c>
      <c r="AA4" s="19" t="s">
        <v>7</v>
      </c>
      <c r="AB4" s="31" t="s">
        <v>7</v>
      </c>
      <c r="AC4" s="19" t="s">
        <v>7</v>
      </c>
      <c r="AD4" s="31" t="s">
        <v>7</v>
      </c>
      <c r="AE4" s="19" t="s">
        <v>7</v>
      </c>
      <c r="AF4" s="31" t="s">
        <v>14</v>
      </c>
      <c r="AG4" s="39" t="s">
        <v>561</v>
      </c>
      <c r="AH4" s="31" t="s">
        <v>7</v>
      </c>
      <c r="AI4" s="19" t="s">
        <v>7</v>
      </c>
      <c r="AJ4" s="31" t="s">
        <v>7</v>
      </c>
      <c r="AK4" s="19" t="s">
        <v>7</v>
      </c>
      <c r="AL4" s="31" t="s">
        <v>7</v>
      </c>
      <c r="AM4" s="19" t="s">
        <v>7</v>
      </c>
      <c r="AN4" s="31" t="s">
        <v>7</v>
      </c>
      <c r="AO4" s="19" t="s">
        <v>7</v>
      </c>
      <c r="AP4" s="31" t="s">
        <v>7</v>
      </c>
      <c r="AQ4" s="19" t="s">
        <v>7</v>
      </c>
      <c r="AR4" s="33" t="s">
        <v>7</v>
      </c>
      <c r="AS4" s="34" t="s">
        <v>7</v>
      </c>
      <c r="AT4" s="33" t="s">
        <v>7</v>
      </c>
      <c r="AU4" s="34" t="s">
        <v>7</v>
      </c>
      <c r="AV4" s="33" t="s">
        <v>7</v>
      </c>
      <c r="AW4" s="34" t="s">
        <v>7</v>
      </c>
      <c r="AX4" s="33" t="s">
        <v>7</v>
      </c>
      <c r="AY4" s="34" t="s">
        <v>7</v>
      </c>
      <c r="AZ4" s="33" t="s">
        <v>7</v>
      </c>
      <c r="BA4" s="34" t="s">
        <v>7</v>
      </c>
    </row>
    <row r="5" spans="1:53" ht="8.25" customHeight="1" x14ac:dyDescent="0.25">
      <c r="A5" s="16">
        <v>4</v>
      </c>
      <c r="B5" s="17" t="s">
        <v>973</v>
      </c>
      <c r="C5" s="18" t="s">
        <v>580</v>
      </c>
      <c r="D5" s="33" t="s">
        <v>7</v>
      </c>
      <c r="E5" s="34" t="s">
        <v>7</v>
      </c>
      <c r="F5" s="29" t="s">
        <v>974</v>
      </c>
      <c r="G5" s="30" t="s">
        <v>557</v>
      </c>
      <c r="H5" s="33" t="s">
        <v>7</v>
      </c>
      <c r="I5" s="34" t="s">
        <v>7</v>
      </c>
      <c r="J5" s="40" t="s">
        <v>7</v>
      </c>
      <c r="K5" s="39" t="s">
        <v>7</v>
      </c>
      <c r="L5" s="40" t="s">
        <v>7</v>
      </c>
      <c r="M5" s="39" t="s">
        <v>7</v>
      </c>
      <c r="N5" s="40" t="s">
        <v>7</v>
      </c>
      <c r="O5" s="19" t="s">
        <v>7</v>
      </c>
      <c r="P5" s="40" t="s">
        <v>552</v>
      </c>
      <c r="Q5" s="19">
        <v>345</v>
      </c>
      <c r="R5" s="31" t="s">
        <v>978</v>
      </c>
      <c r="S5" s="19">
        <v>485</v>
      </c>
      <c r="T5" s="31" t="s">
        <v>7</v>
      </c>
      <c r="U5" s="19" t="s">
        <v>7</v>
      </c>
      <c r="V5" s="31" t="s">
        <v>7</v>
      </c>
      <c r="W5" s="19" t="s">
        <v>7</v>
      </c>
      <c r="X5" s="31" t="s">
        <v>7</v>
      </c>
      <c r="Y5" s="19" t="s">
        <v>7</v>
      </c>
      <c r="Z5" s="31" t="s">
        <v>7</v>
      </c>
      <c r="AA5" s="19" t="s">
        <v>7</v>
      </c>
      <c r="AB5" s="31" t="s">
        <v>7</v>
      </c>
      <c r="AC5" s="19" t="s">
        <v>7</v>
      </c>
      <c r="AD5" s="31" t="s">
        <v>7</v>
      </c>
      <c r="AE5" s="19" t="s">
        <v>7</v>
      </c>
      <c r="AF5" s="31" t="s">
        <v>14</v>
      </c>
      <c r="AG5" s="39" t="s">
        <v>975</v>
      </c>
      <c r="AH5" s="31" t="s">
        <v>7</v>
      </c>
      <c r="AI5" s="19" t="s">
        <v>7</v>
      </c>
      <c r="AJ5" s="38" t="s">
        <v>547</v>
      </c>
      <c r="AK5" s="19" t="s">
        <v>1046</v>
      </c>
      <c r="AL5" s="38" t="s">
        <v>548</v>
      </c>
      <c r="AM5" s="19" t="s">
        <v>1050</v>
      </c>
      <c r="AN5" s="38" t="s">
        <v>1038</v>
      </c>
      <c r="AO5" s="53" t="s">
        <v>1040</v>
      </c>
      <c r="AP5" s="31" t="s">
        <v>7</v>
      </c>
      <c r="AQ5" s="19" t="s">
        <v>7</v>
      </c>
      <c r="AR5" s="33" t="s">
        <v>7</v>
      </c>
      <c r="AS5" s="34" t="s">
        <v>7</v>
      </c>
      <c r="AT5" s="33" t="s">
        <v>7</v>
      </c>
      <c r="AU5" s="34" t="s">
        <v>7</v>
      </c>
      <c r="AV5" s="33" t="s">
        <v>7</v>
      </c>
      <c r="AW5" s="34" t="s">
        <v>7</v>
      </c>
      <c r="AX5" s="33" t="s">
        <v>7</v>
      </c>
      <c r="AY5" s="34" t="s">
        <v>7</v>
      </c>
      <c r="AZ5" s="33" t="s">
        <v>7</v>
      </c>
      <c r="BA5" s="34" t="s">
        <v>7</v>
      </c>
    </row>
    <row r="6" spans="1:53" ht="8.25" customHeight="1" x14ac:dyDescent="0.25">
      <c r="A6" s="16">
        <v>5</v>
      </c>
      <c r="B6" s="17" t="s">
        <v>557</v>
      </c>
      <c r="C6" s="18" t="s">
        <v>580</v>
      </c>
      <c r="D6" s="33" t="s">
        <v>7</v>
      </c>
      <c r="E6" s="34" t="s">
        <v>7</v>
      </c>
      <c r="F6" s="29" t="s">
        <v>974</v>
      </c>
      <c r="G6" s="30" t="s">
        <v>973</v>
      </c>
      <c r="H6" s="33" t="s">
        <v>7</v>
      </c>
      <c r="I6" s="34" t="s">
        <v>7</v>
      </c>
      <c r="J6" s="40" t="s">
        <v>7</v>
      </c>
      <c r="K6" s="39" t="s">
        <v>7</v>
      </c>
      <c r="L6" s="40" t="s">
        <v>7</v>
      </c>
      <c r="M6" s="39" t="s">
        <v>7</v>
      </c>
      <c r="N6" s="40" t="s">
        <v>7</v>
      </c>
      <c r="O6" s="19" t="s">
        <v>7</v>
      </c>
      <c r="P6" s="40" t="s">
        <v>552</v>
      </c>
      <c r="Q6" s="19">
        <v>345</v>
      </c>
      <c r="R6" s="31" t="s">
        <v>978</v>
      </c>
      <c r="S6" s="19">
        <v>485</v>
      </c>
      <c r="T6" s="31" t="s">
        <v>7</v>
      </c>
      <c r="U6" s="19" t="s">
        <v>7</v>
      </c>
      <c r="V6" s="31" t="s">
        <v>7</v>
      </c>
      <c r="W6" s="19" t="s">
        <v>7</v>
      </c>
      <c r="X6" s="31" t="s">
        <v>7</v>
      </c>
      <c r="Y6" s="19" t="s">
        <v>7</v>
      </c>
      <c r="Z6" s="31" t="s">
        <v>7</v>
      </c>
      <c r="AA6" s="19" t="s">
        <v>7</v>
      </c>
      <c r="AB6" s="31" t="s">
        <v>7</v>
      </c>
      <c r="AC6" s="19" t="s">
        <v>7</v>
      </c>
      <c r="AD6" s="31" t="s">
        <v>7</v>
      </c>
      <c r="AE6" s="19" t="s">
        <v>7</v>
      </c>
      <c r="AF6" s="31" t="s">
        <v>14</v>
      </c>
      <c r="AG6" s="39" t="s">
        <v>975</v>
      </c>
      <c r="AH6" s="31" t="s">
        <v>7</v>
      </c>
      <c r="AI6" s="19" t="s">
        <v>7</v>
      </c>
      <c r="AJ6" s="38" t="s">
        <v>547</v>
      </c>
      <c r="AK6" s="19" t="s">
        <v>1046</v>
      </c>
      <c r="AL6" s="38" t="s">
        <v>548</v>
      </c>
      <c r="AM6" s="19" t="s">
        <v>1050</v>
      </c>
      <c r="AN6" s="38" t="s">
        <v>1038</v>
      </c>
      <c r="AO6" s="53" t="s">
        <v>1040</v>
      </c>
      <c r="AP6" s="31" t="s">
        <v>7</v>
      </c>
      <c r="AQ6" s="19" t="s">
        <v>7</v>
      </c>
      <c r="AR6" s="33" t="s">
        <v>7</v>
      </c>
      <c r="AS6" s="34" t="s">
        <v>7</v>
      </c>
      <c r="AT6" s="33" t="s">
        <v>7</v>
      </c>
      <c r="AU6" s="34" t="s">
        <v>7</v>
      </c>
      <c r="AV6" s="33" t="s">
        <v>7</v>
      </c>
      <c r="AW6" s="34" t="s">
        <v>7</v>
      </c>
      <c r="AX6" s="33" t="s">
        <v>7</v>
      </c>
      <c r="AY6" s="34" t="s">
        <v>7</v>
      </c>
      <c r="AZ6" s="33" t="s">
        <v>7</v>
      </c>
      <c r="BA6" s="34" t="s">
        <v>7</v>
      </c>
    </row>
    <row r="7" spans="1:53" ht="8.25" customHeight="1" x14ac:dyDescent="0.25">
      <c r="A7" s="16">
        <v>6</v>
      </c>
      <c r="B7" s="17" t="s">
        <v>556</v>
      </c>
      <c r="C7" s="18" t="s">
        <v>580</v>
      </c>
      <c r="D7" s="33" t="s">
        <v>7</v>
      </c>
      <c r="E7" s="34" t="s">
        <v>7</v>
      </c>
      <c r="F7" s="29" t="s">
        <v>974</v>
      </c>
      <c r="G7" s="30" t="s">
        <v>973</v>
      </c>
      <c r="H7" s="33" t="s">
        <v>7</v>
      </c>
      <c r="I7" s="34" t="s">
        <v>7</v>
      </c>
      <c r="J7" s="40" t="s">
        <v>7</v>
      </c>
      <c r="K7" s="39" t="s">
        <v>7</v>
      </c>
      <c r="L7" s="40" t="s">
        <v>7</v>
      </c>
      <c r="M7" s="39" t="s">
        <v>7</v>
      </c>
      <c r="N7" s="40" t="s">
        <v>7</v>
      </c>
      <c r="O7" s="19" t="s">
        <v>7</v>
      </c>
      <c r="P7" s="40" t="s">
        <v>552</v>
      </c>
      <c r="Q7" s="19">
        <v>345</v>
      </c>
      <c r="R7" s="31" t="s">
        <v>978</v>
      </c>
      <c r="S7" s="19">
        <v>480</v>
      </c>
      <c r="T7" s="31" t="s">
        <v>7</v>
      </c>
      <c r="U7" s="19" t="s">
        <v>7</v>
      </c>
      <c r="V7" s="31" t="s">
        <v>7</v>
      </c>
      <c r="W7" s="19" t="s">
        <v>7</v>
      </c>
      <c r="X7" s="31" t="s">
        <v>7</v>
      </c>
      <c r="Y7" s="19" t="s">
        <v>7</v>
      </c>
      <c r="Z7" s="31" t="s">
        <v>7</v>
      </c>
      <c r="AA7" s="19" t="s">
        <v>7</v>
      </c>
      <c r="AB7" s="31" t="s">
        <v>7</v>
      </c>
      <c r="AC7" s="19" t="s">
        <v>7</v>
      </c>
      <c r="AD7" s="31" t="s">
        <v>7</v>
      </c>
      <c r="AE7" s="19" t="s">
        <v>7</v>
      </c>
      <c r="AF7" s="31" t="s">
        <v>14</v>
      </c>
      <c r="AG7" s="39" t="s">
        <v>975</v>
      </c>
      <c r="AH7" s="31" t="s">
        <v>977</v>
      </c>
      <c r="AI7" s="19" t="s">
        <v>976</v>
      </c>
      <c r="AJ7" s="38" t="s">
        <v>547</v>
      </c>
      <c r="AK7" s="19" t="s">
        <v>1046</v>
      </c>
      <c r="AL7" s="38" t="s">
        <v>548</v>
      </c>
      <c r="AM7" s="19" t="s">
        <v>1050</v>
      </c>
      <c r="AN7" s="38" t="s">
        <v>1038</v>
      </c>
      <c r="AO7" s="53" t="s">
        <v>1040</v>
      </c>
      <c r="AP7" s="31" t="s">
        <v>7</v>
      </c>
      <c r="AQ7" s="19" t="s">
        <v>7</v>
      </c>
      <c r="AR7" s="33" t="s">
        <v>7</v>
      </c>
      <c r="AS7" s="34" t="s">
        <v>7</v>
      </c>
      <c r="AT7" s="33" t="s">
        <v>7</v>
      </c>
      <c r="AU7" s="34" t="s">
        <v>7</v>
      </c>
      <c r="AV7" s="33" t="s">
        <v>7</v>
      </c>
      <c r="AW7" s="34" t="s">
        <v>7</v>
      </c>
      <c r="AX7" s="33" t="s">
        <v>7</v>
      </c>
      <c r="AY7" s="34" t="s">
        <v>7</v>
      </c>
      <c r="AZ7" s="33" t="s">
        <v>7</v>
      </c>
      <c r="BA7" s="34" t="s">
        <v>7</v>
      </c>
    </row>
    <row r="8" spans="1:53" ht="8.25" customHeight="1" x14ac:dyDescent="0.25">
      <c r="A8" s="16">
        <v>7</v>
      </c>
      <c r="B8" s="17" t="s">
        <v>546</v>
      </c>
      <c r="C8" s="18" t="s">
        <v>580</v>
      </c>
      <c r="D8" s="33" t="s">
        <v>7</v>
      </c>
      <c r="E8" s="34" t="s">
        <v>7</v>
      </c>
      <c r="F8" s="29" t="s">
        <v>7</v>
      </c>
      <c r="G8" s="30" t="s">
        <v>7</v>
      </c>
      <c r="H8" s="33" t="s">
        <v>7</v>
      </c>
      <c r="I8" s="34" t="s">
        <v>7</v>
      </c>
      <c r="J8" s="40" t="s">
        <v>7</v>
      </c>
      <c r="K8" s="39" t="s">
        <v>7</v>
      </c>
      <c r="L8" s="40" t="s">
        <v>7</v>
      </c>
      <c r="M8" s="39" t="s">
        <v>7</v>
      </c>
      <c r="N8" s="40" t="s">
        <v>7</v>
      </c>
      <c r="O8" s="19" t="s">
        <v>7</v>
      </c>
      <c r="P8" s="40" t="s">
        <v>552</v>
      </c>
      <c r="Q8" s="19">
        <v>250</v>
      </c>
      <c r="R8" s="31" t="s">
        <v>978</v>
      </c>
      <c r="S8" s="19">
        <v>400</v>
      </c>
      <c r="T8" s="31" t="s">
        <v>7</v>
      </c>
      <c r="U8" s="19" t="s">
        <v>7</v>
      </c>
      <c r="V8" s="31" t="s">
        <v>7</v>
      </c>
      <c r="W8" s="19" t="s">
        <v>7</v>
      </c>
      <c r="X8" s="31" t="s">
        <v>7</v>
      </c>
      <c r="Y8" s="19" t="s">
        <v>7</v>
      </c>
      <c r="Z8" s="31" t="s">
        <v>7</v>
      </c>
      <c r="AA8" s="19" t="s">
        <v>7</v>
      </c>
      <c r="AB8" s="31" t="s">
        <v>7</v>
      </c>
      <c r="AC8" s="19" t="s">
        <v>7</v>
      </c>
      <c r="AD8" s="31" t="s">
        <v>7</v>
      </c>
      <c r="AE8" s="19" t="s">
        <v>7</v>
      </c>
      <c r="AF8" s="31" t="s">
        <v>14</v>
      </c>
      <c r="AG8" s="39" t="s">
        <v>550</v>
      </c>
      <c r="AH8" s="31" t="s">
        <v>7</v>
      </c>
      <c r="AI8" s="19" t="s">
        <v>7</v>
      </c>
      <c r="AJ8" s="38" t="s">
        <v>547</v>
      </c>
      <c r="AK8" s="19" t="s">
        <v>1046</v>
      </c>
      <c r="AL8" s="38" t="s">
        <v>548</v>
      </c>
      <c r="AM8" s="19" t="s">
        <v>1050</v>
      </c>
      <c r="AN8" s="38" t="s">
        <v>1038</v>
      </c>
      <c r="AO8" s="53" t="s">
        <v>1040</v>
      </c>
      <c r="AP8" s="31" t="s">
        <v>7</v>
      </c>
      <c r="AQ8" s="19" t="s">
        <v>7</v>
      </c>
      <c r="AR8" s="33" t="s">
        <v>7</v>
      </c>
      <c r="AS8" s="34" t="s">
        <v>7</v>
      </c>
      <c r="AT8" s="33" t="s">
        <v>7</v>
      </c>
      <c r="AU8" s="34" t="s">
        <v>7</v>
      </c>
      <c r="AV8" s="33" t="s">
        <v>7</v>
      </c>
      <c r="AW8" s="34" t="s">
        <v>7</v>
      </c>
      <c r="AX8" s="33" t="s">
        <v>7</v>
      </c>
      <c r="AY8" s="34" t="s">
        <v>7</v>
      </c>
      <c r="AZ8" s="33" t="s">
        <v>7</v>
      </c>
      <c r="BA8" s="34" t="s">
        <v>7</v>
      </c>
    </row>
    <row r="9" spans="1:53" ht="8.25" customHeight="1" x14ac:dyDescent="0.25">
      <c r="A9" s="16">
        <v>8</v>
      </c>
      <c r="B9" s="17" t="s">
        <v>544</v>
      </c>
      <c r="C9" s="18" t="s">
        <v>580</v>
      </c>
      <c r="D9" s="33" t="s">
        <v>7</v>
      </c>
      <c r="E9" s="34" t="s">
        <v>7</v>
      </c>
      <c r="F9" s="29" t="s">
        <v>7</v>
      </c>
      <c r="G9" s="30" t="s">
        <v>7</v>
      </c>
      <c r="H9" s="33" t="s">
        <v>7</v>
      </c>
      <c r="I9" s="34" t="s">
        <v>7</v>
      </c>
      <c r="J9" s="40" t="s">
        <v>7</v>
      </c>
      <c r="K9" s="39" t="s">
        <v>7</v>
      </c>
      <c r="L9" s="40" t="s">
        <v>7</v>
      </c>
      <c r="M9" s="39" t="s">
        <v>7</v>
      </c>
      <c r="N9" s="40" t="s">
        <v>7</v>
      </c>
      <c r="O9" s="19" t="s">
        <v>7</v>
      </c>
      <c r="P9" s="40" t="s">
        <v>552</v>
      </c>
      <c r="Q9" s="19">
        <v>345</v>
      </c>
      <c r="R9" s="31" t="s">
        <v>978</v>
      </c>
      <c r="S9" s="19">
        <v>450</v>
      </c>
      <c r="T9" s="31" t="s">
        <v>7</v>
      </c>
      <c r="U9" s="19" t="s">
        <v>7</v>
      </c>
      <c r="V9" s="31" t="s">
        <v>7</v>
      </c>
      <c r="W9" s="19" t="s">
        <v>7</v>
      </c>
      <c r="X9" s="31" t="s">
        <v>7</v>
      </c>
      <c r="Y9" s="19" t="s">
        <v>7</v>
      </c>
      <c r="Z9" s="31" t="s">
        <v>7</v>
      </c>
      <c r="AA9" s="19" t="s">
        <v>7</v>
      </c>
      <c r="AB9" s="31" t="s">
        <v>7</v>
      </c>
      <c r="AC9" s="19" t="s">
        <v>7</v>
      </c>
      <c r="AD9" s="31" t="s">
        <v>7</v>
      </c>
      <c r="AE9" s="19" t="s">
        <v>7</v>
      </c>
      <c r="AF9" s="31" t="s">
        <v>14</v>
      </c>
      <c r="AG9" s="39" t="s">
        <v>551</v>
      </c>
      <c r="AH9" s="31" t="s">
        <v>7</v>
      </c>
      <c r="AI9" s="19" t="s">
        <v>7</v>
      </c>
      <c r="AJ9" s="38" t="s">
        <v>547</v>
      </c>
      <c r="AK9" s="19" t="s">
        <v>1046</v>
      </c>
      <c r="AL9" s="38" t="s">
        <v>548</v>
      </c>
      <c r="AM9" s="19" t="s">
        <v>1050</v>
      </c>
      <c r="AN9" s="38" t="s">
        <v>1038</v>
      </c>
      <c r="AO9" s="53" t="s">
        <v>1040</v>
      </c>
      <c r="AP9" s="31" t="s">
        <v>7</v>
      </c>
      <c r="AQ9" s="19" t="s">
        <v>7</v>
      </c>
      <c r="AR9" s="33" t="s">
        <v>7</v>
      </c>
      <c r="AS9" s="34" t="s">
        <v>7</v>
      </c>
      <c r="AT9" s="33" t="s">
        <v>7</v>
      </c>
      <c r="AU9" s="34" t="s">
        <v>7</v>
      </c>
      <c r="AV9" s="33" t="s">
        <v>7</v>
      </c>
      <c r="AW9" s="34" t="s">
        <v>7</v>
      </c>
      <c r="AX9" s="33" t="s">
        <v>7</v>
      </c>
      <c r="AY9" s="34" t="s">
        <v>7</v>
      </c>
      <c r="AZ9" s="33" t="s">
        <v>7</v>
      </c>
      <c r="BA9" s="34" t="s">
        <v>7</v>
      </c>
    </row>
    <row r="10" spans="1:53" ht="8.25" customHeight="1" x14ac:dyDescent="0.25">
      <c r="A10" s="16">
        <v>9</v>
      </c>
      <c r="B10" s="17" t="s">
        <v>545</v>
      </c>
      <c r="C10" s="18" t="s">
        <v>580</v>
      </c>
      <c r="D10" s="33" t="s">
        <v>7</v>
      </c>
      <c r="E10" s="34" t="s">
        <v>7</v>
      </c>
      <c r="F10" s="29" t="s">
        <v>7</v>
      </c>
      <c r="G10" s="30" t="s">
        <v>7</v>
      </c>
      <c r="H10" s="33" t="s">
        <v>7</v>
      </c>
      <c r="I10" s="34" t="s">
        <v>7</v>
      </c>
      <c r="J10" s="40" t="s">
        <v>7</v>
      </c>
      <c r="K10" s="39" t="s">
        <v>7</v>
      </c>
      <c r="L10" s="40" t="s">
        <v>7</v>
      </c>
      <c r="M10" s="39" t="s">
        <v>7</v>
      </c>
      <c r="N10" s="40" t="s">
        <v>7</v>
      </c>
      <c r="O10" s="19" t="s">
        <v>7</v>
      </c>
      <c r="P10" s="40" t="s">
        <v>552</v>
      </c>
      <c r="Q10" s="19">
        <v>415</v>
      </c>
      <c r="R10" s="31" t="s">
        <v>978</v>
      </c>
      <c r="S10" s="19">
        <v>520</v>
      </c>
      <c r="T10" s="31" t="s">
        <v>7</v>
      </c>
      <c r="U10" s="19" t="s">
        <v>7</v>
      </c>
      <c r="V10" s="31" t="s">
        <v>7</v>
      </c>
      <c r="W10" s="19" t="s">
        <v>7</v>
      </c>
      <c r="X10" s="31" t="s">
        <v>7</v>
      </c>
      <c r="Y10" s="19" t="s">
        <v>7</v>
      </c>
      <c r="Z10" s="31" t="s">
        <v>7</v>
      </c>
      <c r="AA10" s="19" t="s">
        <v>7</v>
      </c>
      <c r="AB10" s="31" t="s">
        <v>7</v>
      </c>
      <c r="AC10" s="19" t="s">
        <v>7</v>
      </c>
      <c r="AD10" s="31" t="s">
        <v>7</v>
      </c>
      <c r="AE10" s="19" t="s">
        <v>7</v>
      </c>
      <c r="AF10" s="31" t="s">
        <v>14</v>
      </c>
      <c r="AG10" s="39" t="s">
        <v>551</v>
      </c>
      <c r="AH10" s="31" t="s">
        <v>7</v>
      </c>
      <c r="AI10" s="19" t="s">
        <v>7</v>
      </c>
      <c r="AJ10" s="38" t="s">
        <v>547</v>
      </c>
      <c r="AK10" s="19" t="s">
        <v>1046</v>
      </c>
      <c r="AL10" s="38" t="s">
        <v>548</v>
      </c>
      <c r="AM10" s="19" t="s">
        <v>1050</v>
      </c>
      <c r="AN10" s="38" t="s">
        <v>1038</v>
      </c>
      <c r="AO10" s="53" t="s">
        <v>1040</v>
      </c>
      <c r="AP10" s="31" t="s">
        <v>7</v>
      </c>
      <c r="AQ10" s="19" t="s">
        <v>7</v>
      </c>
      <c r="AR10" s="33" t="s">
        <v>7</v>
      </c>
      <c r="AS10" s="34" t="s">
        <v>7</v>
      </c>
      <c r="AT10" s="33" t="s">
        <v>7</v>
      </c>
      <c r="AU10" s="34" t="s">
        <v>7</v>
      </c>
      <c r="AV10" s="33" t="s">
        <v>7</v>
      </c>
      <c r="AW10" s="34" t="s">
        <v>7</v>
      </c>
      <c r="AX10" s="33" t="s">
        <v>7</v>
      </c>
      <c r="AY10" s="34" t="s">
        <v>7</v>
      </c>
      <c r="AZ10" s="33" t="s">
        <v>7</v>
      </c>
      <c r="BA10" s="34" t="s">
        <v>7</v>
      </c>
    </row>
    <row r="11" spans="1:53" ht="8.25" customHeight="1" x14ac:dyDescent="0.25">
      <c r="A11" s="16">
        <v>10</v>
      </c>
      <c r="B11" s="17" t="s">
        <v>558</v>
      </c>
      <c r="C11" s="18" t="s">
        <v>580</v>
      </c>
      <c r="D11" s="33" t="s">
        <v>7</v>
      </c>
      <c r="E11" s="34" t="s">
        <v>7</v>
      </c>
      <c r="F11" s="29" t="s">
        <v>7</v>
      </c>
      <c r="G11" s="30" t="s">
        <v>7</v>
      </c>
      <c r="H11" s="33" t="s">
        <v>7</v>
      </c>
      <c r="I11" s="34" t="s">
        <v>7</v>
      </c>
      <c r="J11" s="40" t="s">
        <v>7</v>
      </c>
      <c r="K11" s="39" t="s">
        <v>7</v>
      </c>
      <c r="L11" s="40" t="s">
        <v>7</v>
      </c>
      <c r="M11" s="39" t="s">
        <v>7</v>
      </c>
      <c r="N11" s="40" t="s">
        <v>7</v>
      </c>
      <c r="O11" s="19" t="s">
        <v>7</v>
      </c>
      <c r="P11" s="40" t="s">
        <v>552</v>
      </c>
      <c r="Q11" s="19">
        <v>350</v>
      </c>
      <c r="R11" s="31" t="s">
        <v>978</v>
      </c>
      <c r="S11" s="19">
        <v>500</v>
      </c>
      <c r="T11" s="31" t="s">
        <v>7</v>
      </c>
      <c r="U11" s="19" t="s">
        <v>7</v>
      </c>
      <c r="V11" s="31" t="s">
        <v>7</v>
      </c>
      <c r="W11" s="19" t="s">
        <v>7</v>
      </c>
      <c r="X11" s="31" t="s">
        <v>7</v>
      </c>
      <c r="Y11" s="19" t="s">
        <v>7</v>
      </c>
      <c r="Z11" s="31" t="s">
        <v>7</v>
      </c>
      <c r="AA11" s="19" t="s">
        <v>7</v>
      </c>
      <c r="AB11" s="31" t="s">
        <v>7</v>
      </c>
      <c r="AC11" s="19" t="s">
        <v>7</v>
      </c>
      <c r="AD11" s="31" t="s">
        <v>7</v>
      </c>
      <c r="AE11" s="19" t="s">
        <v>7</v>
      </c>
      <c r="AF11" s="31" t="s">
        <v>14</v>
      </c>
      <c r="AG11" s="39" t="s">
        <v>979</v>
      </c>
      <c r="AH11" s="31" t="s">
        <v>14</v>
      </c>
      <c r="AI11" s="19" t="s">
        <v>980</v>
      </c>
      <c r="AJ11" s="38" t="s">
        <v>547</v>
      </c>
      <c r="AK11" s="19" t="s">
        <v>1046</v>
      </c>
      <c r="AL11" s="38" t="s">
        <v>548</v>
      </c>
      <c r="AM11" s="19" t="s">
        <v>1050</v>
      </c>
      <c r="AN11" s="38" t="s">
        <v>1038</v>
      </c>
      <c r="AO11" s="53" t="s">
        <v>1040</v>
      </c>
      <c r="AP11" s="31" t="s">
        <v>7</v>
      </c>
      <c r="AQ11" s="19" t="s">
        <v>7</v>
      </c>
      <c r="AR11" s="33" t="s">
        <v>7</v>
      </c>
      <c r="AS11" s="34" t="s">
        <v>7</v>
      </c>
      <c r="AT11" s="33" t="s">
        <v>7</v>
      </c>
      <c r="AU11" s="34" t="s">
        <v>7</v>
      </c>
      <c r="AV11" s="33" t="s">
        <v>7</v>
      </c>
      <c r="AW11" s="34" t="s">
        <v>7</v>
      </c>
      <c r="AX11" s="33" t="s">
        <v>7</v>
      </c>
      <c r="AY11" s="34" t="s">
        <v>7</v>
      </c>
      <c r="AZ11" s="33" t="s">
        <v>7</v>
      </c>
      <c r="BA11" s="34" t="s">
        <v>7</v>
      </c>
    </row>
    <row r="12" spans="1:53" ht="8.25" customHeight="1" x14ac:dyDescent="0.25">
      <c r="A12" s="16">
        <v>11</v>
      </c>
      <c r="B12" s="42" t="s">
        <v>576</v>
      </c>
      <c r="C12" s="18" t="s">
        <v>581</v>
      </c>
      <c r="D12" s="33" t="s">
        <v>7</v>
      </c>
      <c r="E12" s="34" t="s">
        <v>7</v>
      </c>
      <c r="F12" s="29" t="s">
        <v>7</v>
      </c>
      <c r="G12" s="30" t="s">
        <v>7</v>
      </c>
      <c r="H12" s="33" t="s">
        <v>7</v>
      </c>
      <c r="I12" s="34" t="s">
        <v>7</v>
      </c>
      <c r="J12" s="40" t="s">
        <v>7</v>
      </c>
      <c r="K12" s="39" t="s">
        <v>7</v>
      </c>
      <c r="L12" s="40" t="s">
        <v>7</v>
      </c>
      <c r="M12" s="39" t="s">
        <v>7</v>
      </c>
      <c r="N12" s="40" t="s">
        <v>7</v>
      </c>
      <c r="O12" s="19" t="s">
        <v>7</v>
      </c>
      <c r="P12" s="40" t="s">
        <v>7</v>
      </c>
      <c r="Q12" s="19" t="s">
        <v>7</v>
      </c>
      <c r="R12" s="31" t="s">
        <v>7</v>
      </c>
      <c r="S12" s="19" t="s">
        <v>7</v>
      </c>
      <c r="T12" s="31" t="s">
        <v>7</v>
      </c>
      <c r="U12" s="19" t="s">
        <v>7</v>
      </c>
      <c r="V12" s="31" t="s">
        <v>7</v>
      </c>
      <c r="W12" s="19" t="s">
        <v>7</v>
      </c>
      <c r="X12" s="31" t="s">
        <v>7</v>
      </c>
      <c r="Y12" s="19" t="s">
        <v>7</v>
      </c>
      <c r="Z12" s="31" t="s">
        <v>7</v>
      </c>
      <c r="AA12" s="19" t="s">
        <v>7</v>
      </c>
      <c r="AB12" s="31" t="s">
        <v>7</v>
      </c>
      <c r="AC12" s="19" t="s">
        <v>7</v>
      </c>
      <c r="AD12" s="31" t="s">
        <v>7</v>
      </c>
      <c r="AE12" s="19" t="s">
        <v>7</v>
      </c>
      <c r="AF12" s="31" t="s">
        <v>14</v>
      </c>
      <c r="AG12" s="39" t="s">
        <v>577</v>
      </c>
      <c r="AH12" s="31" t="s">
        <v>7</v>
      </c>
      <c r="AI12" s="19" t="s">
        <v>7</v>
      </c>
      <c r="AJ12" s="38" t="s">
        <v>547</v>
      </c>
      <c r="AK12" s="19" t="s">
        <v>1046</v>
      </c>
      <c r="AL12" s="38" t="s">
        <v>548</v>
      </c>
      <c r="AM12" s="19" t="s">
        <v>1050</v>
      </c>
      <c r="AN12" s="38" t="s">
        <v>1038</v>
      </c>
      <c r="AO12" s="53" t="s">
        <v>1041</v>
      </c>
      <c r="AP12" s="31" t="s">
        <v>7</v>
      </c>
      <c r="AQ12" s="19" t="s">
        <v>7</v>
      </c>
      <c r="AR12" s="33" t="s">
        <v>7</v>
      </c>
      <c r="AS12" s="34" t="s">
        <v>7</v>
      </c>
      <c r="AT12" s="33" t="s">
        <v>7</v>
      </c>
      <c r="AU12" s="34" t="s">
        <v>7</v>
      </c>
      <c r="AV12" s="33" t="s">
        <v>7</v>
      </c>
      <c r="AW12" s="34" t="s">
        <v>7</v>
      </c>
      <c r="AX12" s="33" t="s">
        <v>7</v>
      </c>
      <c r="AY12" s="34" t="s">
        <v>7</v>
      </c>
      <c r="AZ12" s="33" t="s">
        <v>7</v>
      </c>
      <c r="BA12" s="34" t="s">
        <v>7</v>
      </c>
    </row>
    <row r="13" spans="1:53" ht="8.25" customHeight="1" x14ac:dyDescent="0.25">
      <c r="A13" s="16">
        <v>12</v>
      </c>
      <c r="B13" s="42" t="s">
        <v>575</v>
      </c>
      <c r="C13" s="18" t="s">
        <v>581</v>
      </c>
      <c r="D13" s="33" t="s">
        <v>7</v>
      </c>
      <c r="E13" s="34" t="s">
        <v>7</v>
      </c>
      <c r="F13" s="29" t="s">
        <v>7</v>
      </c>
      <c r="G13" s="30" t="s">
        <v>7</v>
      </c>
      <c r="H13" s="33" t="s">
        <v>7</v>
      </c>
      <c r="I13" s="34" t="s">
        <v>7</v>
      </c>
      <c r="J13" s="40" t="s">
        <v>7</v>
      </c>
      <c r="K13" s="39" t="s">
        <v>7</v>
      </c>
      <c r="L13" s="40" t="s">
        <v>7</v>
      </c>
      <c r="M13" s="39" t="s">
        <v>7</v>
      </c>
      <c r="N13" s="40" t="s">
        <v>7</v>
      </c>
      <c r="O13" s="19" t="s">
        <v>7</v>
      </c>
      <c r="P13" s="40" t="s">
        <v>7</v>
      </c>
      <c r="Q13" s="19" t="s">
        <v>7</v>
      </c>
      <c r="R13" s="31" t="s">
        <v>7</v>
      </c>
      <c r="S13" s="19" t="s">
        <v>7</v>
      </c>
      <c r="T13" s="31" t="s">
        <v>7</v>
      </c>
      <c r="U13" s="19" t="s">
        <v>7</v>
      </c>
      <c r="V13" s="31" t="s">
        <v>7</v>
      </c>
      <c r="W13" s="19" t="s">
        <v>7</v>
      </c>
      <c r="X13" s="31" t="s">
        <v>7</v>
      </c>
      <c r="Y13" s="19" t="s">
        <v>7</v>
      </c>
      <c r="Z13" s="31" t="s">
        <v>7</v>
      </c>
      <c r="AA13" s="19" t="s">
        <v>7</v>
      </c>
      <c r="AB13" s="31" t="s">
        <v>7</v>
      </c>
      <c r="AC13" s="19" t="s">
        <v>7</v>
      </c>
      <c r="AD13" s="31" t="s">
        <v>7</v>
      </c>
      <c r="AE13" s="19" t="s">
        <v>7</v>
      </c>
      <c r="AF13" s="31" t="s">
        <v>14</v>
      </c>
      <c r="AG13" s="39" t="s">
        <v>578</v>
      </c>
      <c r="AH13" s="31" t="s">
        <v>7</v>
      </c>
      <c r="AI13" s="19" t="s">
        <v>7</v>
      </c>
      <c r="AJ13" s="38" t="s">
        <v>547</v>
      </c>
      <c r="AK13" s="19" t="s">
        <v>1046</v>
      </c>
      <c r="AL13" s="38" t="s">
        <v>548</v>
      </c>
      <c r="AM13" s="19" t="s">
        <v>1050</v>
      </c>
      <c r="AN13" s="38" t="s">
        <v>1038</v>
      </c>
      <c r="AO13" s="53" t="s">
        <v>1041</v>
      </c>
      <c r="AP13" s="31" t="s">
        <v>7</v>
      </c>
      <c r="AQ13" s="19" t="s">
        <v>7</v>
      </c>
      <c r="AR13" s="33" t="s">
        <v>7</v>
      </c>
      <c r="AS13" s="34" t="s">
        <v>7</v>
      </c>
      <c r="AT13" s="33" t="s">
        <v>7</v>
      </c>
      <c r="AU13" s="34" t="s">
        <v>7</v>
      </c>
      <c r="AV13" s="33" t="s">
        <v>7</v>
      </c>
      <c r="AW13" s="34" t="s">
        <v>7</v>
      </c>
      <c r="AX13" s="33" t="s">
        <v>7</v>
      </c>
      <c r="AY13" s="34" t="s">
        <v>7</v>
      </c>
      <c r="AZ13" s="33" t="s">
        <v>7</v>
      </c>
      <c r="BA13" s="34" t="s">
        <v>7</v>
      </c>
    </row>
    <row r="14" spans="1:53" ht="8.25" customHeight="1" x14ac:dyDescent="0.25">
      <c r="A14" s="16">
        <v>13</v>
      </c>
      <c r="B14" s="17" t="s">
        <v>377</v>
      </c>
      <c r="C14" s="18" t="s">
        <v>608</v>
      </c>
      <c r="D14" s="33" t="s">
        <v>7</v>
      </c>
      <c r="E14" s="34" t="s">
        <v>7</v>
      </c>
      <c r="F14" s="29" t="s">
        <v>553</v>
      </c>
      <c r="G14" s="30" t="s">
        <v>544</v>
      </c>
      <c r="H14" s="33" t="s">
        <v>7</v>
      </c>
      <c r="I14" s="34" t="s">
        <v>7</v>
      </c>
      <c r="J14" s="40" t="s">
        <v>74</v>
      </c>
      <c r="K14" s="66" t="s">
        <v>152</v>
      </c>
      <c r="L14" s="40" t="s">
        <v>7</v>
      </c>
      <c r="M14" s="39" t="s">
        <v>7</v>
      </c>
      <c r="N14" s="40" t="s">
        <v>7</v>
      </c>
      <c r="O14" s="19" t="s">
        <v>7</v>
      </c>
      <c r="P14" s="40" t="s">
        <v>7</v>
      </c>
      <c r="Q14" s="19" t="s">
        <v>7</v>
      </c>
      <c r="R14" s="31" t="s">
        <v>7</v>
      </c>
      <c r="S14" s="19" t="s">
        <v>7</v>
      </c>
      <c r="T14" s="31" t="s">
        <v>76</v>
      </c>
      <c r="U14" s="32">
        <v>152</v>
      </c>
      <c r="V14" s="31" t="s">
        <v>77</v>
      </c>
      <c r="W14" s="32">
        <v>139</v>
      </c>
      <c r="X14" s="31" t="s">
        <v>181</v>
      </c>
      <c r="Y14" s="32" t="s">
        <v>80</v>
      </c>
      <c r="Z14" s="31" t="s">
        <v>182</v>
      </c>
      <c r="AA14" s="32" t="s">
        <v>81</v>
      </c>
      <c r="AB14" s="31" t="s">
        <v>184</v>
      </c>
      <c r="AC14" s="32" t="s">
        <v>82</v>
      </c>
      <c r="AD14" s="31" t="s">
        <v>1036</v>
      </c>
      <c r="AE14" s="67" t="s">
        <v>83</v>
      </c>
      <c r="AF14" s="31" t="s">
        <v>14</v>
      </c>
      <c r="AG14" s="19" t="s">
        <v>543</v>
      </c>
      <c r="AH14" s="31" t="s">
        <v>1037</v>
      </c>
      <c r="AI14" s="32" t="s">
        <v>183</v>
      </c>
      <c r="AJ14" s="38" t="s">
        <v>547</v>
      </c>
      <c r="AK14" s="19" t="s">
        <v>1047</v>
      </c>
      <c r="AL14" s="38" t="s">
        <v>548</v>
      </c>
      <c r="AM14" s="19" t="s">
        <v>1051</v>
      </c>
      <c r="AN14" s="38" t="s">
        <v>1038</v>
      </c>
      <c r="AO14" s="19" t="s">
        <v>1039</v>
      </c>
      <c r="AP14" s="31" t="s">
        <v>7</v>
      </c>
      <c r="AQ14" s="19" t="s">
        <v>7</v>
      </c>
      <c r="AR14" s="33" t="s">
        <v>7</v>
      </c>
      <c r="AS14" s="34" t="s">
        <v>7</v>
      </c>
      <c r="AT14" s="33" t="s">
        <v>7</v>
      </c>
      <c r="AU14" s="34" t="s">
        <v>7</v>
      </c>
      <c r="AV14" s="33" t="s">
        <v>7</v>
      </c>
      <c r="AW14" s="34" t="s">
        <v>7</v>
      </c>
      <c r="AX14" s="33" t="s">
        <v>7</v>
      </c>
      <c r="AY14" s="34" t="s">
        <v>7</v>
      </c>
      <c r="AZ14" s="33" t="s">
        <v>7</v>
      </c>
      <c r="BA14" s="34" t="s">
        <v>7</v>
      </c>
    </row>
    <row r="15" spans="1:53" ht="8.25" customHeight="1" x14ac:dyDescent="0.25">
      <c r="A15" s="16">
        <v>14</v>
      </c>
      <c r="B15" s="17" t="s">
        <v>378</v>
      </c>
      <c r="C15" s="18" t="s">
        <v>608</v>
      </c>
      <c r="D15" s="33" t="s">
        <v>7</v>
      </c>
      <c r="E15" s="34" t="s">
        <v>7</v>
      </c>
      <c r="F15" s="29" t="s">
        <v>553</v>
      </c>
      <c r="G15" s="30" t="s">
        <v>544</v>
      </c>
      <c r="H15" s="33" t="s">
        <v>7</v>
      </c>
      <c r="I15" s="34" t="s">
        <v>7</v>
      </c>
      <c r="J15" s="40" t="s">
        <v>74</v>
      </c>
      <c r="K15" s="66" t="s">
        <v>153</v>
      </c>
      <c r="L15" s="40" t="s">
        <v>7</v>
      </c>
      <c r="M15" s="39" t="s">
        <v>7</v>
      </c>
      <c r="N15" s="40" t="s">
        <v>7</v>
      </c>
      <c r="O15" s="19" t="s">
        <v>7</v>
      </c>
      <c r="P15" s="40" t="s">
        <v>7</v>
      </c>
      <c r="Q15" s="19" t="s">
        <v>7</v>
      </c>
      <c r="R15" s="31" t="s">
        <v>7</v>
      </c>
      <c r="S15" s="19" t="s">
        <v>7</v>
      </c>
      <c r="T15" s="31" t="s">
        <v>76</v>
      </c>
      <c r="U15" s="32">
        <v>157</v>
      </c>
      <c r="V15" s="31" t="s">
        <v>77</v>
      </c>
      <c r="W15" s="32">
        <v>138</v>
      </c>
      <c r="X15" s="31" t="s">
        <v>181</v>
      </c>
      <c r="Y15" s="32" t="s">
        <v>81</v>
      </c>
      <c r="Z15" s="31" t="s">
        <v>182</v>
      </c>
      <c r="AA15" s="32" t="s">
        <v>84</v>
      </c>
      <c r="AB15" s="31" t="s">
        <v>184</v>
      </c>
      <c r="AC15" s="32" t="s">
        <v>85</v>
      </c>
      <c r="AD15" s="31" t="s">
        <v>1036</v>
      </c>
      <c r="AE15" s="67" t="s">
        <v>86</v>
      </c>
      <c r="AF15" s="31" t="s">
        <v>14</v>
      </c>
      <c r="AG15" s="19" t="s">
        <v>543</v>
      </c>
      <c r="AH15" s="31" t="s">
        <v>1037</v>
      </c>
      <c r="AI15" s="32" t="s">
        <v>183</v>
      </c>
      <c r="AJ15" s="38" t="s">
        <v>547</v>
      </c>
      <c r="AK15" s="19" t="s">
        <v>1047</v>
      </c>
      <c r="AL15" s="38" t="s">
        <v>548</v>
      </c>
      <c r="AM15" s="19" t="s">
        <v>1051</v>
      </c>
      <c r="AN15" s="38" t="s">
        <v>1038</v>
      </c>
      <c r="AO15" s="19" t="s">
        <v>1039</v>
      </c>
      <c r="AP15" s="31" t="s">
        <v>7</v>
      </c>
      <c r="AQ15" s="19" t="s">
        <v>7</v>
      </c>
      <c r="AR15" s="33" t="s">
        <v>7</v>
      </c>
      <c r="AS15" s="34" t="s">
        <v>7</v>
      </c>
      <c r="AT15" s="33" t="s">
        <v>7</v>
      </c>
      <c r="AU15" s="34" t="s">
        <v>7</v>
      </c>
      <c r="AV15" s="33" t="s">
        <v>7</v>
      </c>
      <c r="AW15" s="34" t="s">
        <v>7</v>
      </c>
      <c r="AX15" s="33" t="s">
        <v>7</v>
      </c>
      <c r="AY15" s="34" t="s">
        <v>7</v>
      </c>
      <c r="AZ15" s="33" t="s">
        <v>7</v>
      </c>
      <c r="BA15" s="34" t="s">
        <v>7</v>
      </c>
    </row>
    <row r="16" spans="1:53" ht="8.25" customHeight="1" x14ac:dyDescent="0.25">
      <c r="A16" s="16">
        <v>15</v>
      </c>
      <c r="B16" s="17" t="s">
        <v>379</v>
      </c>
      <c r="C16" s="18" t="s">
        <v>608</v>
      </c>
      <c r="D16" s="33" t="s">
        <v>7</v>
      </c>
      <c r="E16" s="34" t="s">
        <v>7</v>
      </c>
      <c r="F16" s="29" t="s">
        <v>553</v>
      </c>
      <c r="G16" s="30" t="s">
        <v>544</v>
      </c>
      <c r="H16" s="33" t="s">
        <v>7</v>
      </c>
      <c r="I16" s="34" t="s">
        <v>7</v>
      </c>
      <c r="J16" s="40" t="s">
        <v>74</v>
      </c>
      <c r="K16" s="66" t="s">
        <v>154</v>
      </c>
      <c r="L16" s="40" t="s">
        <v>7</v>
      </c>
      <c r="M16" s="39" t="s">
        <v>7</v>
      </c>
      <c r="N16" s="40" t="s">
        <v>7</v>
      </c>
      <c r="O16" s="19" t="s">
        <v>7</v>
      </c>
      <c r="P16" s="40" t="s">
        <v>7</v>
      </c>
      <c r="Q16" s="19" t="s">
        <v>7</v>
      </c>
      <c r="R16" s="31" t="s">
        <v>7</v>
      </c>
      <c r="S16" s="19" t="s">
        <v>7</v>
      </c>
      <c r="T16" s="31" t="s">
        <v>76</v>
      </c>
      <c r="U16" s="32">
        <v>162</v>
      </c>
      <c r="V16" s="31" t="s">
        <v>77</v>
      </c>
      <c r="W16" s="32">
        <v>139</v>
      </c>
      <c r="X16" s="31" t="s">
        <v>181</v>
      </c>
      <c r="Y16" s="32" t="s">
        <v>87</v>
      </c>
      <c r="Z16" s="31" t="s">
        <v>182</v>
      </c>
      <c r="AA16" s="32" t="s">
        <v>88</v>
      </c>
      <c r="AB16" s="31" t="s">
        <v>184</v>
      </c>
      <c r="AC16" s="32" t="s">
        <v>89</v>
      </c>
      <c r="AD16" s="31" t="s">
        <v>1036</v>
      </c>
      <c r="AE16" s="67" t="s">
        <v>90</v>
      </c>
      <c r="AF16" s="31" t="s">
        <v>14</v>
      </c>
      <c r="AG16" s="19" t="s">
        <v>543</v>
      </c>
      <c r="AH16" s="31" t="s">
        <v>1037</v>
      </c>
      <c r="AI16" s="32" t="s">
        <v>183</v>
      </c>
      <c r="AJ16" s="38" t="s">
        <v>547</v>
      </c>
      <c r="AK16" s="19" t="s">
        <v>1047</v>
      </c>
      <c r="AL16" s="38" t="s">
        <v>548</v>
      </c>
      <c r="AM16" s="19" t="s">
        <v>1051</v>
      </c>
      <c r="AN16" s="38" t="s">
        <v>1038</v>
      </c>
      <c r="AO16" s="19" t="s">
        <v>1039</v>
      </c>
      <c r="AP16" s="31" t="s">
        <v>7</v>
      </c>
      <c r="AQ16" s="19" t="s">
        <v>7</v>
      </c>
      <c r="AR16" s="33" t="s">
        <v>7</v>
      </c>
      <c r="AS16" s="34" t="s">
        <v>7</v>
      </c>
      <c r="AT16" s="33" t="s">
        <v>7</v>
      </c>
      <c r="AU16" s="34" t="s">
        <v>7</v>
      </c>
      <c r="AV16" s="33" t="s">
        <v>7</v>
      </c>
      <c r="AW16" s="34" t="s">
        <v>7</v>
      </c>
      <c r="AX16" s="33" t="s">
        <v>7</v>
      </c>
      <c r="AY16" s="34" t="s">
        <v>7</v>
      </c>
      <c r="AZ16" s="33" t="s">
        <v>7</v>
      </c>
      <c r="BA16" s="34" t="s">
        <v>7</v>
      </c>
    </row>
    <row r="17" spans="1:53" ht="8.25" customHeight="1" x14ac:dyDescent="0.25">
      <c r="A17" s="16">
        <v>16</v>
      </c>
      <c r="B17" s="17" t="s">
        <v>380</v>
      </c>
      <c r="C17" s="18" t="s">
        <v>608</v>
      </c>
      <c r="D17" s="33" t="s">
        <v>7</v>
      </c>
      <c r="E17" s="34" t="s">
        <v>7</v>
      </c>
      <c r="F17" s="29" t="s">
        <v>553</v>
      </c>
      <c r="G17" s="30" t="s">
        <v>544</v>
      </c>
      <c r="H17" s="33" t="s">
        <v>7</v>
      </c>
      <c r="I17" s="34" t="s">
        <v>7</v>
      </c>
      <c r="J17" s="40" t="s">
        <v>74</v>
      </c>
      <c r="K17" s="66" t="s">
        <v>155</v>
      </c>
      <c r="L17" s="40" t="s">
        <v>7</v>
      </c>
      <c r="M17" s="39" t="s">
        <v>7</v>
      </c>
      <c r="N17" s="40" t="s">
        <v>7</v>
      </c>
      <c r="O17" s="19" t="s">
        <v>7</v>
      </c>
      <c r="P17" s="40" t="s">
        <v>7</v>
      </c>
      <c r="Q17" s="19" t="s">
        <v>7</v>
      </c>
      <c r="R17" s="31" t="s">
        <v>7</v>
      </c>
      <c r="S17" s="19" t="s">
        <v>7</v>
      </c>
      <c r="T17" s="31" t="s">
        <v>76</v>
      </c>
      <c r="U17" s="32">
        <v>201</v>
      </c>
      <c r="V17" s="31" t="s">
        <v>77</v>
      </c>
      <c r="W17" s="32">
        <v>181</v>
      </c>
      <c r="X17" s="31" t="s">
        <v>181</v>
      </c>
      <c r="Y17" s="32" t="s">
        <v>91</v>
      </c>
      <c r="Z17" s="31" t="s">
        <v>182</v>
      </c>
      <c r="AA17" s="32" t="s">
        <v>92</v>
      </c>
      <c r="AB17" s="31" t="s">
        <v>184</v>
      </c>
      <c r="AC17" s="32" t="s">
        <v>93</v>
      </c>
      <c r="AD17" s="31" t="s">
        <v>1036</v>
      </c>
      <c r="AE17" s="67" t="s">
        <v>94</v>
      </c>
      <c r="AF17" s="31" t="s">
        <v>14</v>
      </c>
      <c r="AG17" s="19" t="s">
        <v>543</v>
      </c>
      <c r="AH17" s="31" t="s">
        <v>1037</v>
      </c>
      <c r="AI17" s="32" t="s">
        <v>183</v>
      </c>
      <c r="AJ17" s="38" t="s">
        <v>547</v>
      </c>
      <c r="AK17" s="19" t="s">
        <v>1047</v>
      </c>
      <c r="AL17" s="38" t="s">
        <v>548</v>
      </c>
      <c r="AM17" s="19" t="s">
        <v>1051</v>
      </c>
      <c r="AN17" s="38" t="s">
        <v>1038</v>
      </c>
      <c r="AO17" s="19" t="s">
        <v>1039</v>
      </c>
      <c r="AP17" s="31" t="s">
        <v>7</v>
      </c>
      <c r="AQ17" s="19" t="s">
        <v>7</v>
      </c>
      <c r="AR17" s="33" t="s">
        <v>7</v>
      </c>
      <c r="AS17" s="34" t="s">
        <v>7</v>
      </c>
      <c r="AT17" s="33" t="s">
        <v>7</v>
      </c>
      <c r="AU17" s="34" t="s">
        <v>7</v>
      </c>
      <c r="AV17" s="33" t="s">
        <v>7</v>
      </c>
      <c r="AW17" s="34" t="s">
        <v>7</v>
      </c>
      <c r="AX17" s="33" t="s">
        <v>7</v>
      </c>
      <c r="AY17" s="34" t="s">
        <v>7</v>
      </c>
      <c r="AZ17" s="33" t="s">
        <v>7</v>
      </c>
      <c r="BA17" s="34" t="s">
        <v>7</v>
      </c>
    </row>
    <row r="18" spans="1:53" ht="8.25" customHeight="1" x14ac:dyDescent="0.25">
      <c r="A18" s="16">
        <v>17</v>
      </c>
      <c r="B18" s="17" t="s">
        <v>381</v>
      </c>
      <c r="C18" s="18" t="s">
        <v>608</v>
      </c>
      <c r="D18" s="33" t="s">
        <v>7</v>
      </c>
      <c r="E18" s="34" t="s">
        <v>7</v>
      </c>
      <c r="F18" s="29" t="s">
        <v>553</v>
      </c>
      <c r="G18" s="30" t="s">
        <v>544</v>
      </c>
      <c r="H18" s="33" t="s">
        <v>7</v>
      </c>
      <c r="I18" s="34" t="s">
        <v>7</v>
      </c>
      <c r="J18" s="40" t="s">
        <v>74</v>
      </c>
      <c r="K18" s="66" t="s">
        <v>156</v>
      </c>
      <c r="L18" s="40" t="s">
        <v>7</v>
      </c>
      <c r="M18" s="39" t="s">
        <v>7</v>
      </c>
      <c r="N18" s="40" t="s">
        <v>7</v>
      </c>
      <c r="O18" s="19" t="s">
        <v>7</v>
      </c>
      <c r="P18" s="40" t="s">
        <v>7</v>
      </c>
      <c r="Q18" s="19" t="s">
        <v>7</v>
      </c>
      <c r="R18" s="31" t="s">
        <v>7</v>
      </c>
      <c r="S18" s="19" t="s">
        <v>7</v>
      </c>
      <c r="T18" s="31" t="s">
        <v>76</v>
      </c>
      <c r="U18" s="32">
        <v>205</v>
      </c>
      <c r="V18" s="31" t="s">
        <v>77</v>
      </c>
      <c r="W18" s="32">
        <v>181</v>
      </c>
      <c r="X18" s="31" t="s">
        <v>181</v>
      </c>
      <c r="Y18" s="32" t="s">
        <v>95</v>
      </c>
      <c r="Z18" s="31" t="s">
        <v>182</v>
      </c>
      <c r="AA18" s="32" t="s">
        <v>96</v>
      </c>
      <c r="AB18" s="31" t="s">
        <v>184</v>
      </c>
      <c r="AC18" s="32" t="s">
        <v>97</v>
      </c>
      <c r="AD18" s="31" t="s">
        <v>1036</v>
      </c>
      <c r="AE18" s="67" t="s">
        <v>98</v>
      </c>
      <c r="AF18" s="31" t="s">
        <v>14</v>
      </c>
      <c r="AG18" s="19" t="s">
        <v>543</v>
      </c>
      <c r="AH18" s="31" t="s">
        <v>1037</v>
      </c>
      <c r="AI18" s="32" t="s">
        <v>183</v>
      </c>
      <c r="AJ18" s="38" t="s">
        <v>547</v>
      </c>
      <c r="AK18" s="19" t="s">
        <v>1047</v>
      </c>
      <c r="AL18" s="38" t="s">
        <v>548</v>
      </c>
      <c r="AM18" s="19" t="s">
        <v>1051</v>
      </c>
      <c r="AN18" s="38" t="s">
        <v>1038</v>
      </c>
      <c r="AO18" s="19" t="s">
        <v>1039</v>
      </c>
      <c r="AP18" s="31" t="s">
        <v>7</v>
      </c>
      <c r="AQ18" s="19" t="s">
        <v>7</v>
      </c>
      <c r="AR18" s="33" t="s">
        <v>7</v>
      </c>
      <c r="AS18" s="34" t="s">
        <v>7</v>
      </c>
      <c r="AT18" s="33" t="s">
        <v>7</v>
      </c>
      <c r="AU18" s="34" t="s">
        <v>7</v>
      </c>
      <c r="AV18" s="33" t="s">
        <v>7</v>
      </c>
      <c r="AW18" s="34" t="s">
        <v>7</v>
      </c>
      <c r="AX18" s="33" t="s">
        <v>7</v>
      </c>
      <c r="AY18" s="34" t="s">
        <v>7</v>
      </c>
      <c r="AZ18" s="33" t="s">
        <v>7</v>
      </c>
      <c r="BA18" s="34" t="s">
        <v>7</v>
      </c>
    </row>
    <row r="19" spans="1:53" ht="8.25" customHeight="1" x14ac:dyDescent="0.25">
      <c r="A19" s="16">
        <v>18</v>
      </c>
      <c r="B19" s="17" t="s">
        <v>382</v>
      </c>
      <c r="C19" s="18" t="s">
        <v>608</v>
      </c>
      <c r="D19" s="33" t="s">
        <v>7</v>
      </c>
      <c r="E19" s="34" t="s">
        <v>7</v>
      </c>
      <c r="F19" s="29" t="s">
        <v>553</v>
      </c>
      <c r="G19" s="30" t="s">
        <v>544</v>
      </c>
      <c r="H19" s="33" t="s">
        <v>7</v>
      </c>
      <c r="I19" s="34" t="s">
        <v>7</v>
      </c>
      <c r="J19" s="40" t="s">
        <v>74</v>
      </c>
      <c r="K19" s="66" t="s">
        <v>157</v>
      </c>
      <c r="L19" s="40" t="s">
        <v>7</v>
      </c>
      <c r="M19" s="39" t="s">
        <v>7</v>
      </c>
      <c r="N19" s="40" t="s">
        <v>7</v>
      </c>
      <c r="O19" s="19" t="s">
        <v>7</v>
      </c>
      <c r="P19" s="40" t="s">
        <v>7</v>
      </c>
      <c r="Q19" s="19" t="s">
        <v>7</v>
      </c>
      <c r="R19" s="31" t="s">
        <v>7</v>
      </c>
      <c r="S19" s="19" t="s">
        <v>7</v>
      </c>
      <c r="T19" s="31" t="s">
        <v>76</v>
      </c>
      <c r="U19" s="32">
        <v>203</v>
      </c>
      <c r="V19" s="31" t="s">
        <v>77</v>
      </c>
      <c r="W19" s="32">
        <v>181</v>
      </c>
      <c r="X19" s="31" t="s">
        <v>181</v>
      </c>
      <c r="Y19" s="32" t="s">
        <v>95</v>
      </c>
      <c r="Z19" s="31" t="s">
        <v>182</v>
      </c>
      <c r="AA19" s="32">
        <v>11</v>
      </c>
      <c r="AB19" s="31" t="s">
        <v>184</v>
      </c>
      <c r="AC19" s="32" t="s">
        <v>99</v>
      </c>
      <c r="AD19" s="31" t="s">
        <v>1036</v>
      </c>
      <c r="AE19" s="67" t="s">
        <v>100</v>
      </c>
      <c r="AF19" s="31" t="s">
        <v>14</v>
      </c>
      <c r="AG19" s="19" t="s">
        <v>543</v>
      </c>
      <c r="AH19" s="31" t="s">
        <v>1037</v>
      </c>
      <c r="AI19" s="32" t="s">
        <v>183</v>
      </c>
      <c r="AJ19" s="38" t="s">
        <v>547</v>
      </c>
      <c r="AK19" s="19" t="s">
        <v>1047</v>
      </c>
      <c r="AL19" s="38" t="s">
        <v>548</v>
      </c>
      <c r="AM19" s="19" t="s">
        <v>1051</v>
      </c>
      <c r="AN19" s="38" t="s">
        <v>1038</v>
      </c>
      <c r="AO19" s="19" t="s">
        <v>1039</v>
      </c>
      <c r="AP19" s="31" t="s">
        <v>7</v>
      </c>
      <c r="AQ19" s="19" t="s">
        <v>7</v>
      </c>
      <c r="AR19" s="33" t="s">
        <v>7</v>
      </c>
      <c r="AS19" s="34" t="s">
        <v>7</v>
      </c>
      <c r="AT19" s="33" t="s">
        <v>7</v>
      </c>
      <c r="AU19" s="34" t="s">
        <v>7</v>
      </c>
      <c r="AV19" s="33" t="s">
        <v>7</v>
      </c>
      <c r="AW19" s="34" t="s">
        <v>7</v>
      </c>
      <c r="AX19" s="33" t="s">
        <v>7</v>
      </c>
      <c r="AY19" s="34" t="s">
        <v>7</v>
      </c>
      <c r="AZ19" s="33" t="s">
        <v>7</v>
      </c>
      <c r="BA19" s="34" t="s">
        <v>7</v>
      </c>
    </row>
    <row r="20" spans="1:53" ht="8.25" customHeight="1" x14ac:dyDescent="0.25">
      <c r="A20" s="16">
        <v>19</v>
      </c>
      <c r="B20" s="17" t="s">
        <v>383</v>
      </c>
      <c r="C20" s="18" t="s">
        <v>608</v>
      </c>
      <c r="D20" s="33" t="s">
        <v>7</v>
      </c>
      <c r="E20" s="34" t="s">
        <v>7</v>
      </c>
      <c r="F20" s="29" t="s">
        <v>553</v>
      </c>
      <c r="G20" s="30" t="s">
        <v>544</v>
      </c>
      <c r="H20" s="33" t="s">
        <v>7</v>
      </c>
      <c r="I20" s="34" t="s">
        <v>7</v>
      </c>
      <c r="J20" s="40" t="s">
        <v>74</v>
      </c>
      <c r="K20" s="66" t="s">
        <v>158</v>
      </c>
      <c r="L20" s="40" t="s">
        <v>7</v>
      </c>
      <c r="M20" s="39" t="s">
        <v>7</v>
      </c>
      <c r="N20" s="40" t="s">
        <v>7</v>
      </c>
      <c r="O20" s="19" t="s">
        <v>7</v>
      </c>
      <c r="P20" s="40" t="s">
        <v>7</v>
      </c>
      <c r="Q20" s="19" t="s">
        <v>7</v>
      </c>
      <c r="R20" s="31" t="s">
        <v>7</v>
      </c>
      <c r="S20" s="19" t="s">
        <v>7</v>
      </c>
      <c r="T20" s="31" t="s">
        <v>76</v>
      </c>
      <c r="U20" s="32">
        <v>206</v>
      </c>
      <c r="V20" s="31" t="s">
        <v>77</v>
      </c>
      <c r="W20" s="32">
        <v>181</v>
      </c>
      <c r="X20" s="31" t="s">
        <v>181</v>
      </c>
      <c r="Y20" s="32" t="s">
        <v>101</v>
      </c>
      <c r="Z20" s="31" t="s">
        <v>182</v>
      </c>
      <c r="AA20" s="32" t="s">
        <v>102</v>
      </c>
      <c r="AB20" s="31" t="s">
        <v>184</v>
      </c>
      <c r="AC20" s="32" t="s">
        <v>103</v>
      </c>
      <c r="AD20" s="31" t="s">
        <v>1036</v>
      </c>
      <c r="AE20" s="67">
        <v>52</v>
      </c>
      <c r="AF20" s="31" t="s">
        <v>14</v>
      </c>
      <c r="AG20" s="19" t="s">
        <v>543</v>
      </c>
      <c r="AH20" s="31" t="s">
        <v>1037</v>
      </c>
      <c r="AI20" s="32" t="s">
        <v>183</v>
      </c>
      <c r="AJ20" s="38" t="s">
        <v>547</v>
      </c>
      <c r="AK20" s="19" t="s">
        <v>1047</v>
      </c>
      <c r="AL20" s="38" t="s">
        <v>548</v>
      </c>
      <c r="AM20" s="19" t="s">
        <v>1051</v>
      </c>
      <c r="AN20" s="38" t="s">
        <v>1038</v>
      </c>
      <c r="AO20" s="19" t="s">
        <v>1039</v>
      </c>
      <c r="AP20" s="31" t="s">
        <v>7</v>
      </c>
      <c r="AQ20" s="19" t="s">
        <v>7</v>
      </c>
      <c r="AR20" s="33" t="s">
        <v>7</v>
      </c>
      <c r="AS20" s="34" t="s">
        <v>7</v>
      </c>
      <c r="AT20" s="33" t="s">
        <v>7</v>
      </c>
      <c r="AU20" s="34" t="s">
        <v>7</v>
      </c>
      <c r="AV20" s="33" t="s">
        <v>7</v>
      </c>
      <c r="AW20" s="34" t="s">
        <v>7</v>
      </c>
      <c r="AX20" s="33" t="s">
        <v>7</v>
      </c>
      <c r="AY20" s="34" t="s">
        <v>7</v>
      </c>
      <c r="AZ20" s="33" t="s">
        <v>7</v>
      </c>
      <c r="BA20" s="34" t="s">
        <v>7</v>
      </c>
    </row>
    <row r="21" spans="1:53" ht="8.25" customHeight="1" x14ac:dyDescent="0.25">
      <c r="A21" s="16">
        <v>20</v>
      </c>
      <c r="B21" s="17" t="s">
        <v>384</v>
      </c>
      <c r="C21" s="18" t="s">
        <v>608</v>
      </c>
      <c r="D21" s="33" t="s">
        <v>7</v>
      </c>
      <c r="E21" s="34" t="s">
        <v>7</v>
      </c>
      <c r="F21" s="29" t="s">
        <v>553</v>
      </c>
      <c r="G21" s="30" t="s">
        <v>544</v>
      </c>
      <c r="H21" s="33" t="s">
        <v>7</v>
      </c>
      <c r="I21" s="34" t="s">
        <v>7</v>
      </c>
      <c r="J21" s="40" t="s">
        <v>74</v>
      </c>
      <c r="K21" s="66" t="s">
        <v>159</v>
      </c>
      <c r="L21" s="40" t="s">
        <v>7</v>
      </c>
      <c r="M21" s="39" t="s">
        <v>7</v>
      </c>
      <c r="N21" s="40" t="s">
        <v>7</v>
      </c>
      <c r="O21" s="19" t="s">
        <v>7</v>
      </c>
      <c r="P21" s="40" t="s">
        <v>7</v>
      </c>
      <c r="Q21" s="19" t="s">
        <v>7</v>
      </c>
      <c r="R21" s="31" t="s">
        <v>7</v>
      </c>
      <c r="S21" s="19" t="s">
        <v>7</v>
      </c>
      <c r="T21" s="31" t="s">
        <v>76</v>
      </c>
      <c r="U21" s="32">
        <v>204</v>
      </c>
      <c r="V21" s="31" t="s">
        <v>77</v>
      </c>
      <c r="W21" s="32">
        <v>181</v>
      </c>
      <c r="X21" s="31" t="s">
        <v>181</v>
      </c>
      <c r="Y21" s="32" t="s">
        <v>104</v>
      </c>
      <c r="Z21" s="31" t="s">
        <v>182</v>
      </c>
      <c r="AA21" s="32" t="s">
        <v>104</v>
      </c>
      <c r="AB21" s="31" t="s">
        <v>184</v>
      </c>
      <c r="AC21" s="32" t="s">
        <v>105</v>
      </c>
      <c r="AD21" s="31" t="s">
        <v>1036</v>
      </c>
      <c r="AE21" s="67">
        <v>53</v>
      </c>
      <c r="AF21" s="31" t="s">
        <v>14</v>
      </c>
      <c r="AG21" s="19" t="s">
        <v>543</v>
      </c>
      <c r="AH21" s="31" t="s">
        <v>1037</v>
      </c>
      <c r="AI21" s="32" t="s">
        <v>183</v>
      </c>
      <c r="AJ21" s="38" t="s">
        <v>547</v>
      </c>
      <c r="AK21" s="19" t="s">
        <v>1047</v>
      </c>
      <c r="AL21" s="38" t="s">
        <v>548</v>
      </c>
      <c r="AM21" s="19" t="s">
        <v>1051</v>
      </c>
      <c r="AN21" s="38" t="s">
        <v>1038</v>
      </c>
      <c r="AO21" s="19" t="s">
        <v>1039</v>
      </c>
      <c r="AP21" s="31" t="s">
        <v>7</v>
      </c>
      <c r="AQ21" s="19" t="s">
        <v>7</v>
      </c>
      <c r="AR21" s="33" t="s">
        <v>7</v>
      </c>
      <c r="AS21" s="34" t="s">
        <v>7</v>
      </c>
      <c r="AT21" s="33" t="s">
        <v>7</v>
      </c>
      <c r="AU21" s="34" t="s">
        <v>7</v>
      </c>
      <c r="AV21" s="33" t="s">
        <v>7</v>
      </c>
      <c r="AW21" s="34" t="s">
        <v>7</v>
      </c>
      <c r="AX21" s="33" t="s">
        <v>7</v>
      </c>
      <c r="AY21" s="34" t="s">
        <v>7</v>
      </c>
      <c r="AZ21" s="33" t="s">
        <v>7</v>
      </c>
      <c r="BA21" s="34" t="s">
        <v>7</v>
      </c>
    </row>
    <row r="22" spans="1:53" ht="8.25" customHeight="1" x14ac:dyDescent="0.25">
      <c r="A22" s="16">
        <v>21</v>
      </c>
      <c r="B22" s="17" t="s">
        <v>385</v>
      </c>
      <c r="C22" s="18" t="s">
        <v>608</v>
      </c>
      <c r="D22" s="33" t="s">
        <v>7</v>
      </c>
      <c r="E22" s="34" t="s">
        <v>7</v>
      </c>
      <c r="F22" s="29" t="s">
        <v>553</v>
      </c>
      <c r="G22" s="30" t="s">
        <v>544</v>
      </c>
      <c r="H22" s="33" t="s">
        <v>7</v>
      </c>
      <c r="I22" s="34" t="s">
        <v>7</v>
      </c>
      <c r="J22" s="40" t="s">
        <v>74</v>
      </c>
      <c r="K22" s="66" t="s">
        <v>160</v>
      </c>
      <c r="L22" s="40" t="s">
        <v>7</v>
      </c>
      <c r="M22" s="39" t="s">
        <v>7</v>
      </c>
      <c r="N22" s="40" t="s">
        <v>7</v>
      </c>
      <c r="O22" s="19" t="s">
        <v>7</v>
      </c>
      <c r="P22" s="40" t="s">
        <v>7</v>
      </c>
      <c r="Q22" s="19" t="s">
        <v>7</v>
      </c>
      <c r="R22" s="31" t="s">
        <v>7</v>
      </c>
      <c r="S22" s="19" t="s">
        <v>7</v>
      </c>
      <c r="T22" s="31" t="s">
        <v>76</v>
      </c>
      <c r="U22" s="32">
        <v>210</v>
      </c>
      <c r="V22" s="31" t="s">
        <v>77</v>
      </c>
      <c r="W22" s="32">
        <v>182</v>
      </c>
      <c r="X22" s="31" t="s">
        <v>181</v>
      </c>
      <c r="Y22" s="32" t="s">
        <v>106</v>
      </c>
      <c r="Z22" s="31" t="s">
        <v>182</v>
      </c>
      <c r="AA22" s="32" t="s">
        <v>107</v>
      </c>
      <c r="AB22" s="31" t="s">
        <v>184</v>
      </c>
      <c r="AC22" s="32" t="s">
        <v>108</v>
      </c>
      <c r="AD22" s="31" t="s">
        <v>1036</v>
      </c>
      <c r="AE22" s="67">
        <v>59</v>
      </c>
      <c r="AF22" s="31" t="s">
        <v>14</v>
      </c>
      <c r="AG22" s="19" t="s">
        <v>543</v>
      </c>
      <c r="AH22" s="31" t="s">
        <v>1037</v>
      </c>
      <c r="AI22" s="32" t="s">
        <v>183</v>
      </c>
      <c r="AJ22" s="38" t="s">
        <v>547</v>
      </c>
      <c r="AK22" s="19" t="s">
        <v>1047</v>
      </c>
      <c r="AL22" s="38" t="s">
        <v>548</v>
      </c>
      <c r="AM22" s="19" t="s">
        <v>1051</v>
      </c>
      <c r="AN22" s="38" t="s">
        <v>1038</v>
      </c>
      <c r="AO22" s="19" t="s">
        <v>1039</v>
      </c>
      <c r="AP22" s="31" t="s">
        <v>7</v>
      </c>
      <c r="AQ22" s="19" t="s">
        <v>7</v>
      </c>
      <c r="AR22" s="33" t="s">
        <v>7</v>
      </c>
      <c r="AS22" s="34" t="s">
        <v>7</v>
      </c>
      <c r="AT22" s="33" t="s">
        <v>7</v>
      </c>
      <c r="AU22" s="34" t="s">
        <v>7</v>
      </c>
      <c r="AV22" s="33" t="s">
        <v>7</v>
      </c>
      <c r="AW22" s="34" t="s">
        <v>7</v>
      </c>
      <c r="AX22" s="33" t="s">
        <v>7</v>
      </c>
      <c r="AY22" s="34" t="s">
        <v>7</v>
      </c>
      <c r="AZ22" s="33" t="s">
        <v>7</v>
      </c>
      <c r="BA22" s="34" t="s">
        <v>7</v>
      </c>
    </row>
    <row r="23" spans="1:53" ht="8.25" customHeight="1" x14ac:dyDescent="0.25">
      <c r="A23" s="16">
        <v>22</v>
      </c>
      <c r="B23" s="17" t="s">
        <v>386</v>
      </c>
      <c r="C23" s="18" t="s">
        <v>608</v>
      </c>
      <c r="D23" s="33" t="s">
        <v>7</v>
      </c>
      <c r="E23" s="34" t="s">
        <v>7</v>
      </c>
      <c r="F23" s="29" t="s">
        <v>553</v>
      </c>
      <c r="G23" s="30" t="s">
        <v>544</v>
      </c>
      <c r="H23" s="33" t="s">
        <v>7</v>
      </c>
      <c r="I23" s="34" t="s">
        <v>7</v>
      </c>
      <c r="J23" s="40" t="s">
        <v>74</v>
      </c>
      <c r="K23" s="66" t="s">
        <v>161</v>
      </c>
      <c r="L23" s="40" t="s">
        <v>7</v>
      </c>
      <c r="M23" s="39" t="s">
        <v>7</v>
      </c>
      <c r="N23" s="40" t="s">
        <v>7</v>
      </c>
      <c r="O23" s="19" t="s">
        <v>7</v>
      </c>
      <c r="P23" s="40" t="s">
        <v>7</v>
      </c>
      <c r="Q23" s="19" t="s">
        <v>7</v>
      </c>
      <c r="R23" s="31" t="s">
        <v>7</v>
      </c>
      <c r="S23" s="19" t="s">
        <v>7</v>
      </c>
      <c r="T23" s="31" t="s">
        <v>76</v>
      </c>
      <c r="U23" s="32">
        <v>216</v>
      </c>
      <c r="V23" s="31" t="s">
        <v>77</v>
      </c>
      <c r="W23" s="32">
        <v>181</v>
      </c>
      <c r="X23" s="31" t="s">
        <v>181</v>
      </c>
      <c r="Y23" s="32" t="s">
        <v>92</v>
      </c>
      <c r="Z23" s="31" t="s">
        <v>182</v>
      </c>
      <c r="AA23" s="32" t="s">
        <v>109</v>
      </c>
      <c r="AB23" s="31" t="s">
        <v>184</v>
      </c>
      <c r="AC23" s="32" t="s">
        <v>110</v>
      </c>
      <c r="AD23" s="31" t="s">
        <v>1036</v>
      </c>
      <c r="AE23" s="67">
        <v>71</v>
      </c>
      <c r="AF23" s="31" t="s">
        <v>14</v>
      </c>
      <c r="AG23" s="19" t="s">
        <v>543</v>
      </c>
      <c r="AH23" s="31" t="s">
        <v>1037</v>
      </c>
      <c r="AI23" s="32" t="s">
        <v>183</v>
      </c>
      <c r="AJ23" s="38" t="s">
        <v>547</v>
      </c>
      <c r="AK23" s="19" t="s">
        <v>1047</v>
      </c>
      <c r="AL23" s="38" t="s">
        <v>548</v>
      </c>
      <c r="AM23" s="19" t="s">
        <v>1051</v>
      </c>
      <c r="AN23" s="38" t="s">
        <v>1038</v>
      </c>
      <c r="AO23" s="19" t="s">
        <v>1039</v>
      </c>
      <c r="AP23" s="31" t="s">
        <v>7</v>
      </c>
      <c r="AQ23" s="19" t="s">
        <v>7</v>
      </c>
      <c r="AR23" s="33" t="s">
        <v>7</v>
      </c>
      <c r="AS23" s="34" t="s">
        <v>7</v>
      </c>
      <c r="AT23" s="33" t="s">
        <v>7</v>
      </c>
      <c r="AU23" s="34" t="s">
        <v>7</v>
      </c>
      <c r="AV23" s="33" t="s">
        <v>7</v>
      </c>
      <c r="AW23" s="34" t="s">
        <v>7</v>
      </c>
      <c r="AX23" s="33" t="s">
        <v>7</v>
      </c>
      <c r="AY23" s="34" t="s">
        <v>7</v>
      </c>
      <c r="AZ23" s="33" t="s">
        <v>7</v>
      </c>
      <c r="BA23" s="34" t="s">
        <v>7</v>
      </c>
    </row>
    <row r="24" spans="1:53" ht="8.25" customHeight="1" x14ac:dyDescent="0.25">
      <c r="A24" s="16">
        <v>23</v>
      </c>
      <c r="B24" s="17" t="s">
        <v>387</v>
      </c>
      <c r="C24" s="18" t="s">
        <v>608</v>
      </c>
      <c r="D24" s="33" t="s">
        <v>7</v>
      </c>
      <c r="E24" s="34" t="s">
        <v>7</v>
      </c>
      <c r="F24" s="29" t="s">
        <v>553</v>
      </c>
      <c r="G24" s="30" t="s">
        <v>544</v>
      </c>
      <c r="H24" s="33" t="s">
        <v>7</v>
      </c>
      <c r="I24" s="34" t="s">
        <v>7</v>
      </c>
      <c r="J24" s="40" t="s">
        <v>74</v>
      </c>
      <c r="K24" s="66" t="s">
        <v>162</v>
      </c>
      <c r="L24" s="40" t="s">
        <v>7</v>
      </c>
      <c r="M24" s="39" t="s">
        <v>7</v>
      </c>
      <c r="N24" s="40" t="s">
        <v>7</v>
      </c>
      <c r="O24" s="19" t="s">
        <v>7</v>
      </c>
      <c r="P24" s="40" t="s">
        <v>7</v>
      </c>
      <c r="Q24" s="19" t="s">
        <v>7</v>
      </c>
      <c r="R24" s="31" t="s">
        <v>7</v>
      </c>
      <c r="S24" s="19" t="s">
        <v>7</v>
      </c>
      <c r="T24" s="31" t="s">
        <v>76</v>
      </c>
      <c r="U24" s="32">
        <v>222</v>
      </c>
      <c r="V24" s="31" t="s">
        <v>77</v>
      </c>
      <c r="W24" s="32">
        <v>181</v>
      </c>
      <c r="X24" s="31" t="s">
        <v>181</v>
      </c>
      <c r="Y24" s="32">
        <v>13</v>
      </c>
      <c r="Z24" s="31" t="s">
        <v>182</v>
      </c>
      <c r="AA24" s="32" t="s">
        <v>111</v>
      </c>
      <c r="AB24" s="31" t="s">
        <v>184</v>
      </c>
      <c r="AC24" s="32" t="s">
        <v>112</v>
      </c>
      <c r="AD24" s="31" t="s">
        <v>1036</v>
      </c>
      <c r="AE24" s="67">
        <v>86</v>
      </c>
      <c r="AF24" s="31" t="s">
        <v>14</v>
      </c>
      <c r="AG24" s="19" t="s">
        <v>543</v>
      </c>
      <c r="AH24" s="31" t="s">
        <v>1037</v>
      </c>
      <c r="AI24" s="32" t="s">
        <v>183</v>
      </c>
      <c r="AJ24" s="38" t="s">
        <v>547</v>
      </c>
      <c r="AK24" s="19" t="s">
        <v>1047</v>
      </c>
      <c r="AL24" s="38" t="s">
        <v>548</v>
      </c>
      <c r="AM24" s="19" t="s">
        <v>1051</v>
      </c>
      <c r="AN24" s="38" t="s">
        <v>1038</v>
      </c>
      <c r="AO24" s="19" t="s">
        <v>1039</v>
      </c>
      <c r="AP24" s="31" t="s">
        <v>7</v>
      </c>
      <c r="AQ24" s="19" t="s">
        <v>7</v>
      </c>
      <c r="AR24" s="33" t="s">
        <v>7</v>
      </c>
      <c r="AS24" s="34" t="s">
        <v>7</v>
      </c>
      <c r="AT24" s="33" t="s">
        <v>7</v>
      </c>
      <c r="AU24" s="34" t="s">
        <v>7</v>
      </c>
      <c r="AV24" s="33" t="s">
        <v>7</v>
      </c>
      <c r="AW24" s="34" t="s">
        <v>7</v>
      </c>
      <c r="AX24" s="33" t="s">
        <v>7</v>
      </c>
      <c r="AY24" s="34" t="s">
        <v>7</v>
      </c>
      <c r="AZ24" s="33" t="s">
        <v>7</v>
      </c>
      <c r="BA24" s="34" t="s">
        <v>7</v>
      </c>
    </row>
    <row r="25" spans="1:53" ht="8.25" customHeight="1" x14ac:dyDescent="0.25">
      <c r="A25" s="16">
        <v>24</v>
      </c>
      <c r="B25" s="17" t="s">
        <v>388</v>
      </c>
      <c r="C25" s="18" t="s">
        <v>608</v>
      </c>
      <c r="D25" s="33" t="s">
        <v>7</v>
      </c>
      <c r="E25" s="34" t="s">
        <v>7</v>
      </c>
      <c r="F25" s="29" t="s">
        <v>553</v>
      </c>
      <c r="G25" s="30" t="s">
        <v>544</v>
      </c>
      <c r="H25" s="33" t="s">
        <v>7</v>
      </c>
      <c r="I25" s="34" t="s">
        <v>7</v>
      </c>
      <c r="J25" s="40" t="s">
        <v>74</v>
      </c>
      <c r="K25" s="66" t="s">
        <v>163</v>
      </c>
      <c r="L25" s="40" t="s">
        <v>7</v>
      </c>
      <c r="M25" s="39" t="s">
        <v>7</v>
      </c>
      <c r="N25" s="40" t="s">
        <v>7</v>
      </c>
      <c r="O25" s="19" t="s">
        <v>7</v>
      </c>
      <c r="P25" s="40" t="s">
        <v>7</v>
      </c>
      <c r="Q25" s="19" t="s">
        <v>7</v>
      </c>
      <c r="R25" s="31" t="s">
        <v>7</v>
      </c>
      <c r="S25" s="19" t="s">
        <v>7</v>
      </c>
      <c r="T25" s="31" t="s">
        <v>76</v>
      </c>
      <c r="U25" s="32">
        <v>246</v>
      </c>
      <c r="V25" s="31" t="s">
        <v>77</v>
      </c>
      <c r="W25" s="32">
        <v>225</v>
      </c>
      <c r="X25" s="31" t="s">
        <v>181</v>
      </c>
      <c r="Y25" s="32" t="s">
        <v>113</v>
      </c>
      <c r="Z25" s="31" t="s">
        <v>182</v>
      </c>
      <c r="AA25" s="32" t="s">
        <v>114</v>
      </c>
      <c r="AB25" s="31" t="s">
        <v>184</v>
      </c>
      <c r="AC25" s="32" t="s">
        <v>115</v>
      </c>
      <c r="AD25" s="31" t="s">
        <v>1036</v>
      </c>
      <c r="AE25" s="67">
        <v>62</v>
      </c>
      <c r="AF25" s="31" t="s">
        <v>14</v>
      </c>
      <c r="AG25" s="19" t="s">
        <v>543</v>
      </c>
      <c r="AH25" s="31" t="s">
        <v>1037</v>
      </c>
      <c r="AI25" s="32" t="s">
        <v>183</v>
      </c>
      <c r="AJ25" s="38" t="s">
        <v>547</v>
      </c>
      <c r="AK25" s="19" t="s">
        <v>1047</v>
      </c>
      <c r="AL25" s="38" t="s">
        <v>548</v>
      </c>
      <c r="AM25" s="19" t="s">
        <v>1051</v>
      </c>
      <c r="AN25" s="38" t="s">
        <v>1038</v>
      </c>
      <c r="AO25" s="19" t="s">
        <v>1039</v>
      </c>
      <c r="AP25" s="31" t="s">
        <v>7</v>
      </c>
      <c r="AQ25" s="19" t="s">
        <v>7</v>
      </c>
      <c r="AR25" s="33" t="s">
        <v>7</v>
      </c>
      <c r="AS25" s="34" t="s">
        <v>7</v>
      </c>
      <c r="AT25" s="33" t="s">
        <v>7</v>
      </c>
      <c r="AU25" s="34" t="s">
        <v>7</v>
      </c>
      <c r="AV25" s="33" t="s">
        <v>7</v>
      </c>
      <c r="AW25" s="34" t="s">
        <v>7</v>
      </c>
      <c r="AX25" s="33" t="s">
        <v>7</v>
      </c>
      <c r="AY25" s="34" t="s">
        <v>7</v>
      </c>
      <c r="AZ25" s="33" t="s">
        <v>7</v>
      </c>
      <c r="BA25" s="34" t="s">
        <v>7</v>
      </c>
    </row>
    <row r="26" spans="1:53" ht="8.25" customHeight="1" x14ac:dyDescent="0.25">
      <c r="A26" s="16">
        <v>25</v>
      </c>
      <c r="B26" s="17" t="s">
        <v>389</v>
      </c>
      <c r="C26" s="18" t="s">
        <v>608</v>
      </c>
      <c r="D26" s="33" t="s">
        <v>7</v>
      </c>
      <c r="E26" s="34" t="s">
        <v>7</v>
      </c>
      <c r="F26" s="29" t="s">
        <v>553</v>
      </c>
      <c r="G26" s="30" t="s">
        <v>544</v>
      </c>
      <c r="H26" s="33" t="s">
        <v>7</v>
      </c>
      <c r="I26" s="34" t="s">
        <v>7</v>
      </c>
      <c r="J26" s="40" t="s">
        <v>74</v>
      </c>
      <c r="K26" s="66" t="s">
        <v>164</v>
      </c>
      <c r="L26" s="40" t="s">
        <v>7</v>
      </c>
      <c r="M26" s="39" t="s">
        <v>7</v>
      </c>
      <c r="N26" s="40" t="s">
        <v>7</v>
      </c>
      <c r="O26" s="19" t="s">
        <v>7</v>
      </c>
      <c r="P26" s="40" t="s">
        <v>7</v>
      </c>
      <c r="Q26" s="19" t="s">
        <v>7</v>
      </c>
      <c r="R26" s="31" t="s">
        <v>7</v>
      </c>
      <c r="S26" s="19" t="s">
        <v>7</v>
      </c>
      <c r="T26" s="31" t="s">
        <v>76</v>
      </c>
      <c r="U26" s="32">
        <v>253</v>
      </c>
      <c r="V26" s="31" t="s">
        <v>77</v>
      </c>
      <c r="W26" s="32">
        <v>225</v>
      </c>
      <c r="X26" s="31" t="s">
        <v>181</v>
      </c>
      <c r="Y26" s="32" t="s">
        <v>116</v>
      </c>
      <c r="Z26" s="31" t="s">
        <v>182</v>
      </c>
      <c r="AA26" s="32" t="s">
        <v>107</v>
      </c>
      <c r="AB26" s="31" t="s">
        <v>184</v>
      </c>
      <c r="AC26" s="32" t="s">
        <v>117</v>
      </c>
      <c r="AD26" s="31" t="s">
        <v>1036</v>
      </c>
      <c r="AE26" s="67">
        <v>73</v>
      </c>
      <c r="AF26" s="31" t="s">
        <v>14</v>
      </c>
      <c r="AG26" s="19" t="s">
        <v>543</v>
      </c>
      <c r="AH26" s="31" t="s">
        <v>1037</v>
      </c>
      <c r="AI26" s="32" t="s">
        <v>183</v>
      </c>
      <c r="AJ26" s="38" t="s">
        <v>547</v>
      </c>
      <c r="AK26" s="19" t="s">
        <v>1047</v>
      </c>
      <c r="AL26" s="38" t="s">
        <v>548</v>
      </c>
      <c r="AM26" s="19" t="s">
        <v>1051</v>
      </c>
      <c r="AN26" s="38" t="s">
        <v>1038</v>
      </c>
      <c r="AO26" s="19" t="s">
        <v>1039</v>
      </c>
      <c r="AP26" s="31" t="s">
        <v>7</v>
      </c>
      <c r="AQ26" s="19" t="s">
        <v>7</v>
      </c>
      <c r="AR26" s="33" t="s">
        <v>7</v>
      </c>
      <c r="AS26" s="34" t="s">
        <v>7</v>
      </c>
      <c r="AT26" s="33" t="s">
        <v>7</v>
      </c>
      <c r="AU26" s="34" t="s">
        <v>7</v>
      </c>
      <c r="AV26" s="33" t="s">
        <v>7</v>
      </c>
      <c r="AW26" s="34" t="s">
        <v>7</v>
      </c>
      <c r="AX26" s="33" t="s">
        <v>7</v>
      </c>
      <c r="AY26" s="34" t="s">
        <v>7</v>
      </c>
      <c r="AZ26" s="33" t="s">
        <v>7</v>
      </c>
      <c r="BA26" s="34" t="s">
        <v>7</v>
      </c>
    </row>
    <row r="27" spans="1:53" ht="8.25" customHeight="1" x14ac:dyDescent="0.25">
      <c r="A27" s="16">
        <v>26</v>
      </c>
      <c r="B27" s="17" t="s">
        <v>390</v>
      </c>
      <c r="C27" s="18" t="s">
        <v>608</v>
      </c>
      <c r="D27" s="33" t="s">
        <v>7</v>
      </c>
      <c r="E27" s="34" t="s">
        <v>7</v>
      </c>
      <c r="F27" s="29" t="s">
        <v>553</v>
      </c>
      <c r="G27" s="30" t="s">
        <v>544</v>
      </c>
      <c r="H27" s="33" t="s">
        <v>7</v>
      </c>
      <c r="I27" s="34" t="s">
        <v>7</v>
      </c>
      <c r="J27" s="40" t="s">
        <v>74</v>
      </c>
      <c r="K27" s="66" t="s">
        <v>165</v>
      </c>
      <c r="L27" s="40" t="s">
        <v>7</v>
      </c>
      <c r="M27" s="39" t="s">
        <v>7</v>
      </c>
      <c r="N27" s="40" t="s">
        <v>7</v>
      </c>
      <c r="O27" s="19" t="s">
        <v>7</v>
      </c>
      <c r="P27" s="40" t="s">
        <v>7</v>
      </c>
      <c r="Q27" s="19" t="s">
        <v>7</v>
      </c>
      <c r="R27" s="31" t="s">
        <v>7</v>
      </c>
      <c r="S27" s="19" t="s">
        <v>7</v>
      </c>
      <c r="T27" s="31" t="s">
        <v>76</v>
      </c>
      <c r="U27" s="32">
        <v>256</v>
      </c>
      <c r="V27" s="31" t="s">
        <v>77</v>
      </c>
      <c r="W27" s="32">
        <v>225</v>
      </c>
      <c r="X27" s="31" t="s">
        <v>181</v>
      </c>
      <c r="Y27" s="32" t="s">
        <v>118</v>
      </c>
      <c r="Z27" s="31" t="s">
        <v>182</v>
      </c>
      <c r="AA27" s="32" t="s">
        <v>119</v>
      </c>
      <c r="AB27" s="31" t="s">
        <v>184</v>
      </c>
      <c r="AC27" s="32" t="s">
        <v>120</v>
      </c>
      <c r="AD27" s="31" t="s">
        <v>1036</v>
      </c>
      <c r="AE27" s="67">
        <v>80</v>
      </c>
      <c r="AF27" s="31" t="s">
        <v>14</v>
      </c>
      <c r="AG27" s="19" t="s">
        <v>543</v>
      </c>
      <c r="AH27" s="31" t="s">
        <v>1037</v>
      </c>
      <c r="AI27" s="32" t="s">
        <v>183</v>
      </c>
      <c r="AJ27" s="38" t="s">
        <v>547</v>
      </c>
      <c r="AK27" s="19" t="s">
        <v>1047</v>
      </c>
      <c r="AL27" s="38" t="s">
        <v>548</v>
      </c>
      <c r="AM27" s="19" t="s">
        <v>1051</v>
      </c>
      <c r="AN27" s="38" t="s">
        <v>1038</v>
      </c>
      <c r="AO27" s="19" t="s">
        <v>1039</v>
      </c>
      <c r="AP27" s="31" t="s">
        <v>7</v>
      </c>
      <c r="AQ27" s="19" t="s">
        <v>7</v>
      </c>
      <c r="AR27" s="33" t="s">
        <v>7</v>
      </c>
      <c r="AS27" s="34" t="s">
        <v>7</v>
      </c>
      <c r="AT27" s="33" t="s">
        <v>7</v>
      </c>
      <c r="AU27" s="34" t="s">
        <v>7</v>
      </c>
      <c r="AV27" s="33" t="s">
        <v>7</v>
      </c>
      <c r="AW27" s="34" t="s">
        <v>7</v>
      </c>
      <c r="AX27" s="33" t="s">
        <v>7</v>
      </c>
      <c r="AY27" s="34" t="s">
        <v>7</v>
      </c>
      <c r="AZ27" s="33" t="s">
        <v>7</v>
      </c>
      <c r="BA27" s="34" t="s">
        <v>7</v>
      </c>
    </row>
    <row r="28" spans="1:53" ht="8.25" customHeight="1" x14ac:dyDescent="0.25">
      <c r="A28" s="16">
        <v>27</v>
      </c>
      <c r="B28" s="17" t="s">
        <v>391</v>
      </c>
      <c r="C28" s="18" t="s">
        <v>608</v>
      </c>
      <c r="D28" s="33" t="s">
        <v>7</v>
      </c>
      <c r="E28" s="34" t="s">
        <v>7</v>
      </c>
      <c r="F28" s="29" t="s">
        <v>553</v>
      </c>
      <c r="G28" s="30" t="s">
        <v>544</v>
      </c>
      <c r="H28" s="33" t="s">
        <v>7</v>
      </c>
      <c r="I28" s="34" t="s">
        <v>7</v>
      </c>
      <c r="J28" s="40" t="s">
        <v>74</v>
      </c>
      <c r="K28" s="66" t="s">
        <v>166</v>
      </c>
      <c r="L28" s="40" t="s">
        <v>7</v>
      </c>
      <c r="M28" s="39" t="s">
        <v>7</v>
      </c>
      <c r="N28" s="40" t="s">
        <v>7</v>
      </c>
      <c r="O28" s="19" t="s">
        <v>7</v>
      </c>
      <c r="P28" s="40" t="s">
        <v>7</v>
      </c>
      <c r="Q28" s="19" t="s">
        <v>7</v>
      </c>
      <c r="R28" s="31" t="s">
        <v>7</v>
      </c>
      <c r="S28" s="19" t="s">
        <v>7</v>
      </c>
      <c r="T28" s="31" t="s">
        <v>76</v>
      </c>
      <c r="U28" s="32">
        <v>254</v>
      </c>
      <c r="V28" s="31" t="s">
        <v>77</v>
      </c>
      <c r="W28" s="32">
        <v>225</v>
      </c>
      <c r="X28" s="31" t="s">
        <v>181</v>
      </c>
      <c r="Y28" s="32" t="s">
        <v>121</v>
      </c>
      <c r="Z28" s="31" t="s">
        <v>182</v>
      </c>
      <c r="AA28" s="32" t="s">
        <v>121</v>
      </c>
      <c r="AB28" s="31" t="s">
        <v>184</v>
      </c>
      <c r="AC28" s="32">
        <v>7</v>
      </c>
      <c r="AD28" s="31" t="s">
        <v>1036</v>
      </c>
      <c r="AE28" s="67">
        <v>85</v>
      </c>
      <c r="AF28" s="31" t="s">
        <v>14</v>
      </c>
      <c r="AG28" s="19" t="s">
        <v>543</v>
      </c>
      <c r="AH28" s="31" t="s">
        <v>1037</v>
      </c>
      <c r="AI28" s="32" t="s">
        <v>183</v>
      </c>
      <c r="AJ28" s="38" t="s">
        <v>547</v>
      </c>
      <c r="AK28" s="19" t="s">
        <v>1047</v>
      </c>
      <c r="AL28" s="38" t="s">
        <v>548</v>
      </c>
      <c r="AM28" s="19" t="s">
        <v>1051</v>
      </c>
      <c r="AN28" s="38" t="s">
        <v>1038</v>
      </c>
      <c r="AO28" s="19" t="s">
        <v>1039</v>
      </c>
      <c r="AP28" s="31" t="s">
        <v>7</v>
      </c>
      <c r="AQ28" s="19" t="s">
        <v>7</v>
      </c>
      <c r="AR28" s="33" t="s">
        <v>7</v>
      </c>
      <c r="AS28" s="34" t="s">
        <v>7</v>
      </c>
      <c r="AT28" s="33" t="s">
        <v>7</v>
      </c>
      <c r="AU28" s="34" t="s">
        <v>7</v>
      </c>
      <c r="AV28" s="33" t="s">
        <v>7</v>
      </c>
      <c r="AW28" s="34" t="s">
        <v>7</v>
      </c>
      <c r="AX28" s="33" t="s">
        <v>7</v>
      </c>
      <c r="AY28" s="34" t="s">
        <v>7</v>
      </c>
      <c r="AZ28" s="33" t="s">
        <v>7</v>
      </c>
      <c r="BA28" s="34" t="s">
        <v>7</v>
      </c>
    </row>
    <row r="29" spans="1:53" ht="8.25" customHeight="1" x14ac:dyDescent="0.25">
      <c r="A29" s="16">
        <v>28</v>
      </c>
      <c r="B29" s="17" t="s">
        <v>392</v>
      </c>
      <c r="C29" s="18" t="s">
        <v>608</v>
      </c>
      <c r="D29" s="33" t="s">
        <v>7</v>
      </c>
      <c r="E29" s="34" t="s">
        <v>7</v>
      </c>
      <c r="F29" s="29" t="s">
        <v>553</v>
      </c>
      <c r="G29" s="30" t="s">
        <v>544</v>
      </c>
      <c r="H29" s="33" t="s">
        <v>7</v>
      </c>
      <c r="I29" s="34" t="s">
        <v>7</v>
      </c>
      <c r="J29" s="40" t="s">
        <v>74</v>
      </c>
      <c r="K29" s="66" t="s">
        <v>167</v>
      </c>
      <c r="L29" s="40" t="s">
        <v>7</v>
      </c>
      <c r="M29" s="39" t="s">
        <v>7</v>
      </c>
      <c r="N29" s="40" t="s">
        <v>7</v>
      </c>
      <c r="O29" s="19" t="s">
        <v>7</v>
      </c>
      <c r="P29" s="40" t="s">
        <v>7</v>
      </c>
      <c r="Q29" s="19" t="s">
        <v>7</v>
      </c>
      <c r="R29" s="31" t="s">
        <v>7</v>
      </c>
      <c r="S29" s="19" t="s">
        <v>7</v>
      </c>
      <c r="T29" s="31" t="s">
        <v>76</v>
      </c>
      <c r="U29" s="32">
        <v>260</v>
      </c>
      <c r="V29" s="31" t="s">
        <v>77</v>
      </c>
      <c r="W29" s="32">
        <v>225</v>
      </c>
      <c r="X29" s="31" t="s">
        <v>181</v>
      </c>
      <c r="Y29" s="32" t="s">
        <v>114</v>
      </c>
      <c r="Z29" s="31" t="s">
        <v>182</v>
      </c>
      <c r="AA29" s="32" t="s">
        <v>122</v>
      </c>
      <c r="AB29" s="31" t="s">
        <v>184</v>
      </c>
      <c r="AC29" s="32" t="s">
        <v>123</v>
      </c>
      <c r="AD29" s="31" t="s">
        <v>1036</v>
      </c>
      <c r="AE29" s="67">
        <v>89</v>
      </c>
      <c r="AF29" s="31" t="s">
        <v>14</v>
      </c>
      <c r="AG29" s="19" t="s">
        <v>543</v>
      </c>
      <c r="AH29" s="31" t="s">
        <v>1037</v>
      </c>
      <c r="AI29" s="32" t="s">
        <v>183</v>
      </c>
      <c r="AJ29" s="38" t="s">
        <v>547</v>
      </c>
      <c r="AK29" s="19" t="s">
        <v>1047</v>
      </c>
      <c r="AL29" s="38" t="s">
        <v>548</v>
      </c>
      <c r="AM29" s="19" t="s">
        <v>1051</v>
      </c>
      <c r="AN29" s="38" t="s">
        <v>1038</v>
      </c>
      <c r="AO29" s="19" t="s">
        <v>1039</v>
      </c>
      <c r="AP29" s="31" t="s">
        <v>7</v>
      </c>
      <c r="AQ29" s="19" t="s">
        <v>7</v>
      </c>
      <c r="AR29" s="33" t="s">
        <v>7</v>
      </c>
      <c r="AS29" s="34" t="s">
        <v>7</v>
      </c>
      <c r="AT29" s="33" t="s">
        <v>7</v>
      </c>
      <c r="AU29" s="34" t="s">
        <v>7</v>
      </c>
      <c r="AV29" s="33" t="s">
        <v>7</v>
      </c>
      <c r="AW29" s="34" t="s">
        <v>7</v>
      </c>
      <c r="AX29" s="33" t="s">
        <v>7</v>
      </c>
      <c r="AY29" s="34" t="s">
        <v>7</v>
      </c>
      <c r="AZ29" s="33" t="s">
        <v>7</v>
      </c>
      <c r="BA29" s="34" t="s">
        <v>7</v>
      </c>
    </row>
    <row r="30" spans="1:53" ht="8.25" customHeight="1" x14ac:dyDescent="0.25">
      <c r="A30" s="16">
        <v>29</v>
      </c>
      <c r="B30" s="17" t="s">
        <v>393</v>
      </c>
      <c r="C30" s="18" t="s">
        <v>608</v>
      </c>
      <c r="D30" s="33" t="s">
        <v>7</v>
      </c>
      <c r="E30" s="34" t="s">
        <v>7</v>
      </c>
      <c r="F30" s="29" t="s">
        <v>553</v>
      </c>
      <c r="G30" s="30" t="s">
        <v>544</v>
      </c>
      <c r="H30" s="33" t="s">
        <v>7</v>
      </c>
      <c r="I30" s="34" t="s">
        <v>7</v>
      </c>
      <c r="J30" s="40" t="s">
        <v>74</v>
      </c>
      <c r="K30" s="66" t="s">
        <v>168</v>
      </c>
      <c r="L30" s="40" t="s">
        <v>7</v>
      </c>
      <c r="M30" s="39" t="s">
        <v>7</v>
      </c>
      <c r="N30" s="40" t="s">
        <v>7</v>
      </c>
      <c r="O30" s="19" t="s">
        <v>7</v>
      </c>
      <c r="P30" s="40" t="s">
        <v>7</v>
      </c>
      <c r="Q30" s="19" t="s">
        <v>7</v>
      </c>
      <c r="R30" s="31" t="s">
        <v>7</v>
      </c>
      <c r="S30" s="19" t="s">
        <v>7</v>
      </c>
      <c r="T30" s="31" t="s">
        <v>76</v>
      </c>
      <c r="U30" s="32">
        <v>264</v>
      </c>
      <c r="V30" s="31" t="s">
        <v>77</v>
      </c>
      <c r="W30" s="32">
        <v>225</v>
      </c>
      <c r="X30" s="31" t="s">
        <v>181</v>
      </c>
      <c r="Y30" s="32" t="s">
        <v>124</v>
      </c>
      <c r="Z30" s="31" t="s">
        <v>182</v>
      </c>
      <c r="AA30" s="32" t="s">
        <v>125</v>
      </c>
      <c r="AB30" s="31" t="s">
        <v>184</v>
      </c>
      <c r="AC30" s="32" t="s">
        <v>126</v>
      </c>
      <c r="AD30" s="31" t="s">
        <v>1036</v>
      </c>
      <c r="AE30" s="67">
        <v>101</v>
      </c>
      <c r="AF30" s="31" t="s">
        <v>14</v>
      </c>
      <c r="AG30" s="19" t="s">
        <v>543</v>
      </c>
      <c r="AH30" s="31" t="s">
        <v>1037</v>
      </c>
      <c r="AI30" s="32" t="s">
        <v>183</v>
      </c>
      <c r="AJ30" s="38" t="s">
        <v>547</v>
      </c>
      <c r="AK30" s="19" t="s">
        <v>1047</v>
      </c>
      <c r="AL30" s="38" t="s">
        <v>548</v>
      </c>
      <c r="AM30" s="19" t="s">
        <v>1051</v>
      </c>
      <c r="AN30" s="38" t="s">
        <v>1038</v>
      </c>
      <c r="AO30" s="19" t="s">
        <v>1039</v>
      </c>
      <c r="AP30" s="31" t="s">
        <v>7</v>
      </c>
      <c r="AQ30" s="19" t="s">
        <v>7</v>
      </c>
      <c r="AR30" s="33" t="s">
        <v>7</v>
      </c>
      <c r="AS30" s="34" t="s">
        <v>7</v>
      </c>
      <c r="AT30" s="33" t="s">
        <v>7</v>
      </c>
      <c r="AU30" s="34" t="s">
        <v>7</v>
      </c>
      <c r="AV30" s="33" t="s">
        <v>7</v>
      </c>
      <c r="AW30" s="34" t="s">
        <v>7</v>
      </c>
      <c r="AX30" s="33" t="s">
        <v>7</v>
      </c>
      <c r="AY30" s="34" t="s">
        <v>7</v>
      </c>
      <c r="AZ30" s="33" t="s">
        <v>7</v>
      </c>
      <c r="BA30" s="34" t="s">
        <v>7</v>
      </c>
    </row>
    <row r="31" spans="1:53" ht="8.25" customHeight="1" x14ac:dyDescent="0.25">
      <c r="A31" s="16">
        <v>30</v>
      </c>
      <c r="B31" s="17" t="s">
        <v>394</v>
      </c>
      <c r="C31" s="18" t="s">
        <v>608</v>
      </c>
      <c r="D31" s="33" t="s">
        <v>7</v>
      </c>
      <c r="E31" s="34" t="s">
        <v>7</v>
      </c>
      <c r="F31" s="29" t="s">
        <v>553</v>
      </c>
      <c r="G31" s="30" t="s">
        <v>544</v>
      </c>
      <c r="H31" s="33" t="s">
        <v>7</v>
      </c>
      <c r="I31" s="34" t="s">
        <v>7</v>
      </c>
      <c r="J31" s="40" t="s">
        <v>74</v>
      </c>
      <c r="K31" s="66" t="s">
        <v>169</v>
      </c>
      <c r="L31" s="40" t="s">
        <v>7</v>
      </c>
      <c r="M31" s="39" t="s">
        <v>7</v>
      </c>
      <c r="N31" s="40" t="s">
        <v>7</v>
      </c>
      <c r="O31" s="19" t="s">
        <v>7</v>
      </c>
      <c r="P31" s="40" t="s">
        <v>7</v>
      </c>
      <c r="Q31" s="19" t="s">
        <v>7</v>
      </c>
      <c r="R31" s="31" t="s">
        <v>7</v>
      </c>
      <c r="S31" s="19" t="s">
        <v>7</v>
      </c>
      <c r="T31" s="31" t="s">
        <v>76</v>
      </c>
      <c r="U31" s="32">
        <v>269</v>
      </c>
      <c r="V31" s="31" t="s">
        <v>77</v>
      </c>
      <c r="W31" s="32">
        <v>225</v>
      </c>
      <c r="X31" s="31" t="s">
        <v>181</v>
      </c>
      <c r="Y31" s="32" t="s">
        <v>127</v>
      </c>
      <c r="Z31" s="31" t="s">
        <v>182</v>
      </c>
      <c r="AA31" s="32" t="s">
        <v>128</v>
      </c>
      <c r="AB31" s="31" t="s">
        <v>184</v>
      </c>
      <c r="AC31" s="32" t="s">
        <v>129</v>
      </c>
      <c r="AD31" s="31" t="s">
        <v>1036</v>
      </c>
      <c r="AE31" s="67">
        <v>115</v>
      </c>
      <c r="AF31" s="31" t="s">
        <v>14</v>
      </c>
      <c r="AG31" s="19" t="s">
        <v>543</v>
      </c>
      <c r="AH31" s="31" t="s">
        <v>1037</v>
      </c>
      <c r="AI31" s="32" t="s">
        <v>183</v>
      </c>
      <c r="AJ31" s="38" t="s">
        <v>547</v>
      </c>
      <c r="AK31" s="19" t="s">
        <v>1047</v>
      </c>
      <c r="AL31" s="38" t="s">
        <v>548</v>
      </c>
      <c r="AM31" s="19" t="s">
        <v>1051</v>
      </c>
      <c r="AN31" s="38" t="s">
        <v>1038</v>
      </c>
      <c r="AO31" s="19" t="s">
        <v>1039</v>
      </c>
      <c r="AP31" s="31" t="s">
        <v>7</v>
      </c>
      <c r="AQ31" s="19" t="s">
        <v>7</v>
      </c>
      <c r="AR31" s="33" t="s">
        <v>7</v>
      </c>
      <c r="AS31" s="34" t="s">
        <v>7</v>
      </c>
      <c r="AT31" s="33" t="s">
        <v>7</v>
      </c>
      <c r="AU31" s="34" t="s">
        <v>7</v>
      </c>
      <c r="AV31" s="33" t="s">
        <v>7</v>
      </c>
      <c r="AW31" s="34" t="s">
        <v>7</v>
      </c>
      <c r="AX31" s="33" t="s">
        <v>7</v>
      </c>
      <c r="AY31" s="34" t="s">
        <v>7</v>
      </c>
      <c r="AZ31" s="33" t="s">
        <v>7</v>
      </c>
      <c r="BA31" s="34" t="s">
        <v>7</v>
      </c>
    </row>
    <row r="32" spans="1:53" ht="8.25" customHeight="1" x14ac:dyDescent="0.25">
      <c r="A32" s="16">
        <v>31</v>
      </c>
      <c r="B32" s="17" t="s">
        <v>395</v>
      </c>
      <c r="C32" s="18" t="s">
        <v>608</v>
      </c>
      <c r="D32" s="33" t="s">
        <v>7</v>
      </c>
      <c r="E32" s="34" t="s">
        <v>7</v>
      </c>
      <c r="F32" s="29" t="s">
        <v>553</v>
      </c>
      <c r="G32" s="30" t="s">
        <v>544</v>
      </c>
      <c r="H32" s="33" t="s">
        <v>7</v>
      </c>
      <c r="I32" s="34" t="s">
        <v>7</v>
      </c>
      <c r="J32" s="40" t="s">
        <v>74</v>
      </c>
      <c r="K32" s="66" t="s">
        <v>170</v>
      </c>
      <c r="L32" s="40" t="s">
        <v>7</v>
      </c>
      <c r="M32" s="39" t="s">
        <v>7</v>
      </c>
      <c r="N32" s="40" t="s">
        <v>7</v>
      </c>
      <c r="O32" s="19" t="s">
        <v>7</v>
      </c>
      <c r="P32" s="40" t="s">
        <v>7</v>
      </c>
      <c r="Q32" s="19" t="s">
        <v>7</v>
      </c>
      <c r="R32" s="31" t="s">
        <v>7</v>
      </c>
      <c r="S32" s="19" t="s">
        <v>7</v>
      </c>
      <c r="T32" s="31" t="s">
        <v>76</v>
      </c>
      <c r="U32" s="32">
        <v>299</v>
      </c>
      <c r="V32" s="31" t="s">
        <v>77</v>
      </c>
      <c r="W32" s="32">
        <v>277</v>
      </c>
      <c r="X32" s="31" t="s">
        <v>181</v>
      </c>
      <c r="Y32" s="32">
        <v>11</v>
      </c>
      <c r="Z32" s="31" t="s">
        <v>182</v>
      </c>
      <c r="AA32" s="32">
        <v>11</v>
      </c>
      <c r="AB32" s="31" t="s">
        <v>184</v>
      </c>
      <c r="AC32" s="32" t="s">
        <v>130</v>
      </c>
      <c r="AD32" s="31" t="s">
        <v>1036</v>
      </c>
      <c r="AE32" s="67">
        <v>79</v>
      </c>
      <c r="AF32" s="31" t="s">
        <v>14</v>
      </c>
      <c r="AG32" s="19" t="s">
        <v>543</v>
      </c>
      <c r="AH32" s="31" t="s">
        <v>1037</v>
      </c>
      <c r="AI32" s="32" t="s">
        <v>183</v>
      </c>
      <c r="AJ32" s="38" t="s">
        <v>547</v>
      </c>
      <c r="AK32" s="19" t="s">
        <v>1047</v>
      </c>
      <c r="AL32" s="38" t="s">
        <v>548</v>
      </c>
      <c r="AM32" s="19" t="s">
        <v>1051</v>
      </c>
      <c r="AN32" s="38" t="s">
        <v>1038</v>
      </c>
      <c r="AO32" s="19" t="s">
        <v>1039</v>
      </c>
      <c r="AP32" s="31" t="s">
        <v>7</v>
      </c>
      <c r="AQ32" s="19" t="s">
        <v>7</v>
      </c>
      <c r="AR32" s="33" t="s">
        <v>7</v>
      </c>
      <c r="AS32" s="34" t="s">
        <v>7</v>
      </c>
      <c r="AT32" s="33" t="s">
        <v>7</v>
      </c>
      <c r="AU32" s="34" t="s">
        <v>7</v>
      </c>
      <c r="AV32" s="33" t="s">
        <v>7</v>
      </c>
      <c r="AW32" s="34" t="s">
        <v>7</v>
      </c>
      <c r="AX32" s="33" t="s">
        <v>7</v>
      </c>
      <c r="AY32" s="34" t="s">
        <v>7</v>
      </c>
      <c r="AZ32" s="33" t="s">
        <v>7</v>
      </c>
      <c r="BA32" s="34" t="s">
        <v>7</v>
      </c>
    </row>
    <row r="33" spans="1:53" ht="8.25" customHeight="1" x14ac:dyDescent="0.25">
      <c r="A33" s="16">
        <v>32</v>
      </c>
      <c r="B33" s="17" t="s">
        <v>396</v>
      </c>
      <c r="C33" s="18" t="s">
        <v>608</v>
      </c>
      <c r="D33" s="33" t="s">
        <v>7</v>
      </c>
      <c r="E33" s="34" t="s">
        <v>7</v>
      </c>
      <c r="F33" s="29" t="s">
        <v>553</v>
      </c>
      <c r="G33" s="30" t="s">
        <v>544</v>
      </c>
      <c r="H33" s="33" t="s">
        <v>7</v>
      </c>
      <c r="I33" s="34" t="s">
        <v>7</v>
      </c>
      <c r="J33" s="40" t="s">
        <v>74</v>
      </c>
      <c r="K33" s="66" t="s">
        <v>171</v>
      </c>
      <c r="L33" s="40" t="s">
        <v>7</v>
      </c>
      <c r="M33" s="39" t="s">
        <v>7</v>
      </c>
      <c r="N33" s="40" t="s">
        <v>7</v>
      </c>
      <c r="O33" s="19" t="s">
        <v>7</v>
      </c>
      <c r="P33" s="40" t="s">
        <v>7</v>
      </c>
      <c r="Q33" s="19" t="s">
        <v>7</v>
      </c>
      <c r="R33" s="31" t="s">
        <v>7</v>
      </c>
      <c r="S33" s="19" t="s">
        <v>7</v>
      </c>
      <c r="T33" s="31" t="s">
        <v>76</v>
      </c>
      <c r="U33" s="32">
        <v>303</v>
      </c>
      <c r="V33" s="31" t="s">
        <v>77</v>
      </c>
      <c r="W33" s="32">
        <v>277</v>
      </c>
      <c r="X33" s="31" t="s">
        <v>181</v>
      </c>
      <c r="Y33" s="32" t="s">
        <v>131</v>
      </c>
      <c r="Z33" s="31" t="s">
        <v>182</v>
      </c>
      <c r="AA33" s="32" t="s">
        <v>131</v>
      </c>
      <c r="AB33" s="31" t="s">
        <v>184</v>
      </c>
      <c r="AC33" s="32" t="s">
        <v>132</v>
      </c>
      <c r="AD33" s="31" t="s">
        <v>1036</v>
      </c>
      <c r="AE33" s="67">
        <v>93</v>
      </c>
      <c r="AF33" s="31" t="s">
        <v>14</v>
      </c>
      <c r="AG33" s="19" t="s">
        <v>543</v>
      </c>
      <c r="AH33" s="31" t="s">
        <v>1037</v>
      </c>
      <c r="AI33" s="32" t="s">
        <v>183</v>
      </c>
      <c r="AJ33" s="38" t="s">
        <v>547</v>
      </c>
      <c r="AK33" s="19" t="s">
        <v>1047</v>
      </c>
      <c r="AL33" s="38" t="s">
        <v>548</v>
      </c>
      <c r="AM33" s="19" t="s">
        <v>1051</v>
      </c>
      <c r="AN33" s="38" t="s">
        <v>1038</v>
      </c>
      <c r="AO33" s="19" t="s">
        <v>1039</v>
      </c>
      <c r="AP33" s="31" t="s">
        <v>7</v>
      </c>
      <c r="AQ33" s="19" t="s">
        <v>7</v>
      </c>
      <c r="AR33" s="33" t="s">
        <v>7</v>
      </c>
      <c r="AS33" s="34" t="s">
        <v>7</v>
      </c>
      <c r="AT33" s="33" t="s">
        <v>7</v>
      </c>
      <c r="AU33" s="34" t="s">
        <v>7</v>
      </c>
      <c r="AV33" s="33" t="s">
        <v>7</v>
      </c>
      <c r="AW33" s="34" t="s">
        <v>7</v>
      </c>
      <c r="AX33" s="33" t="s">
        <v>7</v>
      </c>
      <c r="AY33" s="34" t="s">
        <v>7</v>
      </c>
      <c r="AZ33" s="33" t="s">
        <v>7</v>
      </c>
      <c r="BA33" s="34" t="s">
        <v>7</v>
      </c>
    </row>
    <row r="34" spans="1:53" ht="8.25" customHeight="1" x14ac:dyDescent="0.25">
      <c r="A34" s="16">
        <v>33</v>
      </c>
      <c r="B34" s="17" t="s">
        <v>397</v>
      </c>
      <c r="C34" s="18" t="s">
        <v>608</v>
      </c>
      <c r="D34" s="33" t="s">
        <v>7</v>
      </c>
      <c r="E34" s="34" t="s">
        <v>7</v>
      </c>
      <c r="F34" s="29" t="s">
        <v>553</v>
      </c>
      <c r="G34" s="30" t="s">
        <v>544</v>
      </c>
      <c r="H34" s="33" t="s">
        <v>7</v>
      </c>
      <c r="I34" s="34" t="s">
        <v>7</v>
      </c>
      <c r="J34" s="40" t="s">
        <v>74</v>
      </c>
      <c r="K34" s="66" t="s">
        <v>172</v>
      </c>
      <c r="L34" s="40" t="s">
        <v>7</v>
      </c>
      <c r="M34" s="39" t="s">
        <v>7</v>
      </c>
      <c r="N34" s="40" t="s">
        <v>7</v>
      </c>
      <c r="O34" s="19" t="s">
        <v>7</v>
      </c>
      <c r="P34" s="40" t="s">
        <v>7</v>
      </c>
      <c r="Q34" s="19" t="s">
        <v>7</v>
      </c>
      <c r="R34" s="31" t="s">
        <v>7</v>
      </c>
      <c r="S34" s="19" t="s">
        <v>7</v>
      </c>
      <c r="T34" s="31" t="s">
        <v>76</v>
      </c>
      <c r="U34" s="32">
        <v>308</v>
      </c>
      <c r="V34" s="31" t="s">
        <v>77</v>
      </c>
      <c r="W34" s="32">
        <v>277</v>
      </c>
      <c r="X34" s="31" t="s">
        <v>181</v>
      </c>
      <c r="Y34" s="32" t="s">
        <v>133</v>
      </c>
      <c r="Z34" s="31" t="s">
        <v>182</v>
      </c>
      <c r="AA34" s="32" t="s">
        <v>134</v>
      </c>
      <c r="AB34" s="31" t="s">
        <v>184</v>
      </c>
      <c r="AC34" s="32" t="s">
        <v>135</v>
      </c>
      <c r="AD34" s="31" t="s">
        <v>1036</v>
      </c>
      <c r="AE34" s="67">
        <v>97</v>
      </c>
      <c r="AF34" s="31" t="s">
        <v>14</v>
      </c>
      <c r="AG34" s="19" t="s">
        <v>543</v>
      </c>
      <c r="AH34" s="31" t="s">
        <v>1037</v>
      </c>
      <c r="AI34" s="32" t="s">
        <v>183</v>
      </c>
      <c r="AJ34" s="38" t="s">
        <v>547</v>
      </c>
      <c r="AK34" s="19" t="s">
        <v>1047</v>
      </c>
      <c r="AL34" s="38" t="s">
        <v>548</v>
      </c>
      <c r="AM34" s="19" t="s">
        <v>1051</v>
      </c>
      <c r="AN34" s="38" t="s">
        <v>1038</v>
      </c>
      <c r="AO34" s="19" t="s">
        <v>1039</v>
      </c>
      <c r="AP34" s="31" t="s">
        <v>7</v>
      </c>
      <c r="AQ34" s="19" t="s">
        <v>7</v>
      </c>
      <c r="AR34" s="33" t="s">
        <v>7</v>
      </c>
      <c r="AS34" s="34" t="s">
        <v>7</v>
      </c>
      <c r="AT34" s="33" t="s">
        <v>7</v>
      </c>
      <c r="AU34" s="34" t="s">
        <v>7</v>
      </c>
      <c r="AV34" s="33" t="s">
        <v>7</v>
      </c>
      <c r="AW34" s="34" t="s">
        <v>7</v>
      </c>
      <c r="AX34" s="33" t="s">
        <v>7</v>
      </c>
      <c r="AY34" s="34" t="s">
        <v>7</v>
      </c>
      <c r="AZ34" s="33" t="s">
        <v>7</v>
      </c>
      <c r="BA34" s="34" t="s">
        <v>7</v>
      </c>
    </row>
    <row r="35" spans="1:53" ht="8.25" customHeight="1" x14ac:dyDescent="0.25">
      <c r="A35" s="16">
        <v>34</v>
      </c>
      <c r="B35" s="17" t="s">
        <v>398</v>
      </c>
      <c r="C35" s="18" t="s">
        <v>608</v>
      </c>
      <c r="D35" s="33" t="s">
        <v>7</v>
      </c>
      <c r="E35" s="34" t="s">
        <v>7</v>
      </c>
      <c r="F35" s="29" t="s">
        <v>553</v>
      </c>
      <c r="G35" s="30" t="s">
        <v>544</v>
      </c>
      <c r="H35" s="33" t="s">
        <v>7</v>
      </c>
      <c r="I35" s="34" t="s">
        <v>7</v>
      </c>
      <c r="J35" s="40" t="s">
        <v>74</v>
      </c>
      <c r="K35" s="66" t="s">
        <v>173</v>
      </c>
      <c r="L35" s="40" t="s">
        <v>7</v>
      </c>
      <c r="M35" s="39" t="s">
        <v>7</v>
      </c>
      <c r="N35" s="40" t="s">
        <v>7</v>
      </c>
      <c r="O35" s="19" t="s">
        <v>7</v>
      </c>
      <c r="P35" s="40" t="s">
        <v>7</v>
      </c>
      <c r="Q35" s="19" t="s">
        <v>7</v>
      </c>
      <c r="R35" s="31" t="s">
        <v>7</v>
      </c>
      <c r="S35" s="19" t="s">
        <v>7</v>
      </c>
      <c r="T35" s="31" t="s">
        <v>76</v>
      </c>
      <c r="U35" s="32">
        <v>311</v>
      </c>
      <c r="V35" s="31" t="s">
        <v>77</v>
      </c>
      <c r="W35" s="32">
        <v>277</v>
      </c>
      <c r="X35" s="31" t="s">
        <v>181</v>
      </c>
      <c r="Y35" s="32" t="s">
        <v>136</v>
      </c>
      <c r="Z35" s="31" t="s">
        <v>182</v>
      </c>
      <c r="AA35" s="32">
        <v>17</v>
      </c>
      <c r="AB35" s="31" t="s">
        <v>184</v>
      </c>
      <c r="AC35" s="32" t="s">
        <v>137</v>
      </c>
      <c r="AD35" s="31" t="s">
        <v>1036</v>
      </c>
      <c r="AE35" s="67">
        <v>107</v>
      </c>
      <c r="AF35" s="31" t="s">
        <v>14</v>
      </c>
      <c r="AG35" s="19" t="s">
        <v>543</v>
      </c>
      <c r="AH35" s="31" t="s">
        <v>1037</v>
      </c>
      <c r="AI35" s="32" t="s">
        <v>183</v>
      </c>
      <c r="AJ35" s="38" t="s">
        <v>547</v>
      </c>
      <c r="AK35" s="19" t="s">
        <v>1047</v>
      </c>
      <c r="AL35" s="38" t="s">
        <v>548</v>
      </c>
      <c r="AM35" s="19" t="s">
        <v>1051</v>
      </c>
      <c r="AN35" s="38" t="s">
        <v>1038</v>
      </c>
      <c r="AO35" s="19" t="s">
        <v>1039</v>
      </c>
      <c r="AP35" s="31" t="s">
        <v>7</v>
      </c>
      <c r="AQ35" s="19" t="s">
        <v>7</v>
      </c>
      <c r="AR35" s="33" t="s">
        <v>7</v>
      </c>
      <c r="AS35" s="34" t="s">
        <v>7</v>
      </c>
      <c r="AT35" s="33" t="s">
        <v>7</v>
      </c>
      <c r="AU35" s="34" t="s">
        <v>7</v>
      </c>
      <c r="AV35" s="33" t="s">
        <v>7</v>
      </c>
      <c r="AW35" s="34" t="s">
        <v>7</v>
      </c>
      <c r="AX35" s="33" t="s">
        <v>7</v>
      </c>
      <c r="AY35" s="34" t="s">
        <v>7</v>
      </c>
      <c r="AZ35" s="33" t="s">
        <v>7</v>
      </c>
      <c r="BA35" s="34" t="s">
        <v>7</v>
      </c>
    </row>
    <row r="36" spans="1:53" ht="8.25" customHeight="1" x14ac:dyDescent="0.25">
      <c r="A36" s="16">
        <v>35</v>
      </c>
      <c r="B36" s="17" t="s">
        <v>399</v>
      </c>
      <c r="C36" s="18" t="s">
        <v>608</v>
      </c>
      <c r="D36" s="33" t="s">
        <v>7</v>
      </c>
      <c r="E36" s="34" t="s">
        <v>7</v>
      </c>
      <c r="F36" s="29" t="s">
        <v>553</v>
      </c>
      <c r="G36" s="30" t="s">
        <v>544</v>
      </c>
      <c r="H36" s="33" t="s">
        <v>7</v>
      </c>
      <c r="I36" s="34" t="s">
        <v>7</v>
      </c>
      <c r="J36" s="40" t="s">
        <v>74</v>
      </c>
      <c r="K36" s="66" t="s">
        <v>174</v>
      </c>
      <c r="L36" s="40" t="s">
        <v>7</v>
      </c>
      <c r="M36" s="39" t="s">
        <v>7</v>
      </c>
      <c r="N36" s="40" t="s">
        <v>7</v>
      </c>
      <c r="O36" s="19" t="s">
        <v>7</v>
      </c>
      <c r="P36" s="40" t="s">
        <v>7</v>
      </c>
      <c r="Q36" s="19" t="s">
        <v>7</v>
      </c>
      <c r="R36" s="31" t="s">
        <v>7</v>
      </c>
      <c r="S36" s="19" t="s">
        <v>7</v>
      </c>
      <c r="T36" s="31" t="s">
        <v>76</v>
      </c>
      <c r="U36" s="32">
        <v>308</v>
      </c>
      <c r="V36" s="31" t="s">
        <v>77</v>
      </c>
      <c r="W36" s="32">
        <v>277</v>
      </c>
      <c r="X36" s="31" t="s">
        <v>181</v>
      </c>
      <c r="Y36" s="32" t="s">
        <v>134</v>
      </c>
      <c r="Z36" s="31" t="s">
        <v>182</v>
      </c>
      <c r="AA36" s="32" t="s">
        <v>138</v>
      </c>
      <c r="AB36" s="31" t="s">
        <v>184</v>
      </c>
      <c r="AC36" s="32" t="s">
        <v>139</v>
      </c>
      <c r="AD36" s="31" t="s">
        <v>1036</v>
      </c>
      <c r="AE36" s="67">
        <v>110</v>
      </c>
      <c r="AF36" s="31" t="s">
        <v>14</v>
      </c>
      <c r="AG36" s="19" t="s">
        <v>543</v>
      </c>
      <c r="AH36" s="31" t="s">
        <v>1037</v>
      </c>
      <c r="AI36" s="32" t="s">
        <v>183</v>
      </c>
      <c r="AJ36" s="38" t="s">
        <v>547</v>
      </c>
      <c r="AK36" s="19" t="s">
        <v>1047</v>
      </c>
      <c r="AL36" s="38" t="s">
        <v>548</v>
      </c>
      <c r="AM36" s="19" t="s">
        <v>1051</v>
      </c>
      <c r="AN36" s="38" t="s">
        <v>1038</v>
      </c>
      <c r="AO36" s="19" t="s">
        <v>1039</v>
      </c>
      <c r="AP36" s="31" t="s">
        <v>7</v>
      </c>
      <c r="AQ36" s="19" t="s">
        <v>7</v>
      </c>
      <c r="AR36" s="33" t="s">
        <v>7</v>
      </c>
      <c r="AS36" s="34" t="s">
        <v>7</v>
      </c>
      <c r="AT36" s="33" t="s">
        <v>7</v>
      </c>
      <c r="AU36" s="34" t="s">
        <v>7</v>
      </c>
      <c r="AV36" s="33" t="s">
        <v>7</v>
      </c>
      <c r="AW36" s="34" t="s">
        <v>7</v>
      </c>
      <c r="AX36" s="33" t="s">
        <v>7</v>
      </c>
      <c r="AY36" s="34" t="s">
        <v>7</v>
      </c>
      <c r="AZ36" s="33" t="s">
        <v>7</v>
      </c>
      <c r="BA36" s="34" t="s">
        <v>7</v>
      </c>
    </row>
    <row r="37" spans="1:53" ht="8.25" customHeight="1" x14ac:dyDescent="0.25">
      <c r="A37" s="16">
        <v>36</v>
      </c>
      <c r="B37" s="17" t="s">
        <v>400</v>
      </c>
      <c r="C37" s="18" t="s">
        <v>608</v>
      </c>
      <c r="D37" s="33" t="s">
        <v>7</v>
      </c>
      <c r="E37" s="34" t="s">
        <v>7</v>
      </c>
      <c r="F37" s="29" t="s">
        <v>553</v>
      </c>
      <c r="G37" s="30" t="s">
        <v>544</v>
      </c>
      <c r="H37" s="33" t="s">
        <v>7</v>
      </c>
      <c r="I37" s="34" t="s">
        <v>7</v>
      </c>
      <c r="J37" s="40" t="s">
        <v>74</v>
      </c>
      <c r="K37" s="66" t="s">
        <v>175</v>
      </c>
      <c r="L37" s="40" t="s">
        <v>7</v>
      </c>
      <c r="M37" s="39" t="s">
        <v>7</v>
      </c>
      <c r="N37" s="40" t="s">
        <v>7</v>
      </c>
      <c r="O37" s="19" t="s">
        <v>7</v>
      </c>
      <c r="P37" s="40" t="s">
        <v>7</v>
      </c>
      <c r="Q37" s="19" t="s">
        <v>7</v>
      </c>
      <c r="R37" s="31" t="s">
        <v>7</v>
      </c>
      <c r="S37" s="19" t="s">
        <v>7</v>
      </c>
      <c r="T37" s="31" t="s">
        <v>76</v>
      </c>
      <c r="U37" s="32">
        <v>314</v>
      </c>
      <c r="V37" s="31" t="s">
        <v>77</v>
      </c>
      <c r="W37" s="32">
        <v>277</v>
      </c>
      <c r="X37" s="31" t="s">
        <v>181</v>
      </c>
      <c r="Y37" s="32" t="s">
        <v>124</v>
      </c>
      <c r="Z37" s="31" t="s">
        <v>182</v>
      </c>
      <c r="AA37" s="32" t="s">
        <v>140</v>
      </c>
      <c r="AB37" s="31" t="s">
        <v>184</v>
      </c>
      <c r="AC37" s="32" t="s">
        <v>141</v>
      </c>
      <c r="AD37" s="31" t="s">
        <v>1036</v>
      </c>
      <c r="AE37" s="67">
        <v>117</v>
      </c>
      <c r="AF37" s="31" t="s">
        <v>14</v>
      </c>
      <c r="AG37" s="19" t="s">
        <v>543</v>
      </c>
      <c r="AH37" s="31" t="s">
        <v>1037</v>
      </c>
      <c r="AI37" s="32" t="s">
        <v>183</v>
      </c>
      <c r="AJ37" s="38" t="s">
        <v>547</v>
      </c>
      <c r="AK37" s="19" t="s">
        <v>1047</v>
      </c>
      <c r="AL37" s="38" t="s">
        <v>548</v>
      </c>
      <c r="AM37" s="19" t="s">
        <v>1051</v>
      </c>
      <c r="AN37" s="38" t="s">
        <v>1038</v>
      </c>
      <c r="AO37" s="19" t="s">
        <v>1039</v>
      </c>
      <c r="AP37" s="31" t="s">
        <v>7</v>
      </c>
      <c r="AQ37" s="19" t="s">
        <v>7</v>
      </c>
      <c r="AR37" s="33" t="s">
        <v>7</v>
      </c>
      <c r="AS37" s="34" t="s">
        <v>7</v>
      </c>
      <c r="AT37" s="33" t="s">
        <v>7</v>
      </c>
      <c r="AU37" s="34" t="s">
        <v>7</v>
      </c>
      <c r="AV37" s="33" t="s">
        <v>7</v>
      </c>
      <c r="AW37" s="34" t="s">
        <v>7</v>
      </c>
      <c r="AX37" s="33" t="s">
        <v>7</v>
      </c>
      <c r="AY37" s="34" t="s">
        <v>7</v>
      </c>
      <c r="AZ37" s="33" t="s">
        <v>7</v>
      </c>
      <c r="BA37" s="34" t="s">
        <v>7</v>
      </c>
    </row>
    <row r="38" spans="1:53" ht="8.25" customHeight="1" x14ac:dyDescent="0.25">
      <c r="A38" s="16">
        <v>37</v>
      </c>
      <c r="B38" s="17" t="s">
        <v>401</v>
      </c>
      <c r="C38" s="18" t="s">
        <v>608</v>
      </c>
      <c r="D38" s="33" t="s">
        <v>7</v>
      </c>
      <c r="E38" s="34" t="s">
        <v>7</v>
      </c>
      <c r="F38" s="29" t="s">
        <v>553</v>
      </c>
      <c r="G38" s="30" t="s">
        <v>544</v>
      </c>
      <c r="H38" s="33" t="s">
        <v>7</v>
      </c>
      <c r="I38" s="34" t="s">
        <v>7</v>
      </c>
      <c r="J38" s="40" t="s">
        <v>74</v>
      </c>
      <c r="K38" s="66" t="s">
        <v>176</v>
      </c>
      <c r="L38" s="40" t="s">
        <v>7</v>
      </c>
      <c r="M38" s="39" t="s">
        <v>7</v>
      </c>
      <c r="N38" s="40" t="s">
        <v>7</v>
      </c>
      <c r="O38" s="19" t="s">
        <v>7</v>
      </c>
      <c r="P38" s="40" t="s">
        <v>7</v>
      </c>
      <c r="Q38" s="19" t="s">
        <v>7</v>
      </c>
      <c r="R38" s="31" t="s">
        <v>7</v>
      </c>
      <c r="S38" s="19" t="s">
        <v>7</v>
      </c>
      <c r="T38" s="31" t="s">
        <v>76</v>
      </c>
      <c r="U38" s="32">
        <v>312</v>
      </c>
      <c r="V38" s="31" t="s">
        <v>77</v>
      </c>
      <c r="W38" s="32">
        <v>277</v>
      </c>
      <c r="X38" s="31" t="s">
        <v>181</v>
      </c>
      <c r="Y38" s="32" t="s">
        <v>109</v>
      </c>
      <c r="Z38" s="31" t="s">
        <v>182</v>
      </c>
      <c r="AA38" s="32" t="s">
        <v>109</v>
      </c>
      <c r="AB38" s="31" t="s">
        <v>184</v>
      </c>
      <c r="AC38" s="32" t="s">
        <v>135</v>
      </c>
      <c r="AD38" s="31" t="s">
        <v>1036</v>
      </c>
      <c r="AE38" s="67">
        <v>125</v>
      </c>
      <c r="AF38" s="31" t="s">
        <v>14</v>
      </c>
      <c r="AG38" s="19" t="s">
        <v>543</v>
      </c>
      <c r="AH38" s="31" t="s">
        <v>1037</v>
      </c>
      <c r="AI38" s="32" t="s">
        <v>183</v>
      </c>
      <c r="AJ38" s="38" t="s">
        <v>547</v>
      </c>
      <c r="AK38" s="19" t="s">
        <v>1047</v>
      </c>
      <c r="AL38" s="38" t="s">
        <v>548</v>
      </c>
      <c r="AM38" s="19" t="s">
        <v>1051</v>
      </c>
      <c r="AN38" s="38" t="s">
        <v>1038</v>
      </c>
      <c r="AO38" s="19" t="s">
        <v>1039</v>
      </c>
      <c r="AP38" s="31" t="s">
        <v>7</v>
      </c>
      <c r="AQ38" s="19" t="s">
        <v>7</v>
      </c>
      <c r="AR38" s="33" t="s">
        <v>7</v>
      </c>
      <c r="AS38" s="34" t="s">
        <v>7</v>
      </c>
      <c r="AT38" s="33" t="s">
        <v>7</v>
      </c>
      <c r="AU38" s="34" t="s">
        <v>7</v>
      </c>
      <c r="AV38" s="33" t="s">
        <v>7</v>
      </c>
      <c r="AW38" s="34" t="s">
        <v>7</v>
      </c>
      <c r="AX38" s="33" t="s">
        <v>7</v>
      </c>
      <c r="AY38" s="34" t="s">
        <v>7</v>
      </c>
      <c r="AZ38" s="33" t="s">
        <v>7</v>
      </c>
      <c r="BA38" s="34" t="s">
        <v>7</v>
      </c>
    </row>
    <row r="39" spans="1:53" ht="8.25" customHeight="1" x14ac:dyDescent="0.25">
      <c r="A39" s="16">
        <v>38</v>
      </c>
      <c r="B39" s="17" t="s">
        <v>402</v>
      </c>
      <c r="C39" s="18" t="s">
        <v>608</v>
      </c>
      <c r="D39" s="33" t="s">
        <v>7</v>
      </c>
      <c r="E39" s="34" t="s">
        <v>7</v>
      </c>
      <c r="F39" s="29" t="s">
        <v>553</v>
      </c>
      <c r="G39" s="30" t="s">
        <v>544</v>
      </c>
      <c r="H39" s="33" t="s">
        <v>7</v>
      </c>
      <c r="I39" s="34" t="s">
        <v>7</v>
      </c>
      <c r="J39" s="40" t="s">
        <v>74</v>
      </c>
      <c r="K39" s="66" t="s">
        <v>177</v>
      </c>
      <c r="L39" s="40" t="s">
        <v>7</v>
      </c>
      <c r="M39" s="39" t="s">
        <v>7</v>
      </c>
      <c r="N39" s="40" t="s">
        <v>7</v>
      </c>
      <c r="O39" s="19" t="s">
        <v>7</v>
      </c>
      <c r="P39" s="40" t="s">
        <v>7</v>
      </c>
      <c r="Q39" s="19" t="s">
        <v>7</v>
      </c>
      <c r="R39" s="31" t="s">
        <v>7</v>
      </c>
      <c r="S39" s="19" t="s">
        <v>7</v>
      </c>
      <c r="T39" s="31" t="s">
        <v>76</v>
      </c>
      <c r="U39" s="32">
        <v>353</v>
      </c>
      <c r="V39" s="31" t="s">
        <v>77</v>
      </c>
      <c r="W39" s="32">
        <v>320</v>
      </c>
      <c r="X39" s="31" t="s">
        <v>181</v>
      </c>
      <c r="Y39" s="32" t="s">
        <v>142</v>
      </c>
      <c r="Z39" s="31" t="s">
        <v>182</v>
      </c>
      <c r="AA39" s="32" t="s">
        <v>143</v>
      </c>
      <c r="AB39" s="31" t="s">
        <v>184</v>
      </c>
      <c r="AC39" s="32" t="s">
        <v>144</v>
      </c>
      <c r="AD39" s="31" t="s">
        <v>1036</v>
      </c>
      <c r="AE39" s="67">
        <v>91</v>
      </c>
      <c r="AF39" s="31" t="s">
        <v>14</v>
      </c>
      <c r="AG39" s="19" t="s">
        <v>543</v>
      </c>
      <c r="AH39" s="31" t="s">
        <v>1037</v>
      </c>
      <c r="AI39" s="32" t="s">
        <v>183</v>
      </c>
      <c r="AJ39" s="38" t="s">
        <v>547</v>
      </c>
      <c r="AK39" s="19" t="s">
        <v>1047</v>
      </c>
      <c r="AL39" s="38" t="s">
        <v>548</v>
      </c>
      <c r="AM39" s="19" t="s">
        <v>1051</v>
      </c>
      <c r="AN39" s="38" t="s">
        <v>1038</v>
      </c>
      <c r="AO39" s="19" t="s">
        <v>1039</v>
      </c>
      <c r="AP39" s="31" t="s">
        <v>7</v>
      </c>
      <c r="AQ39" s="19" t="s">
        <v>7</v>
      </c>
      <c r="AR39" s="33" t="s">
        <v>7</v>
      </c>
      <c r="AS39" s="34" t="s">
        <v>7</v>
      </c>
      <c r="AT39" s="33" t="s">
        <v>7</v>
      </c>
      <c r="AU39" s="34" t="s">
        <v>7</v>
      </c>
      <c r="AV39" s="33" t="s">
        <v>7</v>
      </c>
      <c r="AW39" s="34" t="s">
        <v>7</v>
      </c>
      <c r="AX39" s="33" t="s">
        <v>7</v>
      </c>
      <c r="AY39" s="34" t="s">
        <v>7</v>
      </c>
      <c r="AZ39" s="33" t="s">
        <v>7</v>
      </c>
      <c r="BA39" s="34" t="s">
        <v>7</v>
      </c>
    </row>
    <row r="40" spans="1:53" ht="8.25" customHeight="1" x14ac:dyDescent="0.25">
      <c r="A40" s="16">
        <v>39</v>
      </c>
      <c r="B40" s="17" t="s">
        <v>403</v>
      </c>
      <c r="C40" s="18" t="s">
        <v>608</v>
      </c>
      <c r="D40" s="33" t="s">
        <v>7</v>
      </c>
      <c r="E40" s="34" t="s">
        <v>7</v>
      </c>
      <c r="F40" s="29" t="s">
        <v>553</v>
      </c>
      <c r="G40" s="30" t="s">
        <v>544</v>
      </c>
      <c r="H40" s="33" t="s">
        <v>7</v>
      </c>
      <c r="I40" s="34" t="s">
        <v>7</v>
      </c>
      <c r="J40" s="40" t="s">
        <v>74</v>
      </c>
      <c r="K40" s="66" t="s">
        <v>178</v>
      </c>
      <c r="L40" s="40" t="s">
        <v>7</v>
      </c>
      <c r="M40" s="39" t="s">
        <v>7</v>
      </c>
      <c r="N40" s="40" t="s">
        <v>7</v>
      </c>
      <c r="O40" s="19" t="s">
        <v>7</v>
      </c>
      <c r="P40" s="40" t="s">
        <v>7</v>
      </c>
      <c r="Q40" s="19" t="s">
        <v>7</v>
      </c>
      <c r="R40" s="31" t="s">
        <v>7</v>
      </c>
      <c r="S40" s="19" t="s">
        <v>7</v>
      </c>
      <c r="T40" s="31" t="s">
        <v>76</v>
      </c>
      <c r="U40" s="32">
        <v>357</v>
      </c>
      <c r="V40" s="31" t="s">
        <v>77</v>
      </c>
      <c r="W40" s="32">
        <v>320</v>
      </c>
      <c r="X40" s="31" t="s">
        <v>181</v>
      </c>
      <c r="Y40" s="32" t="s">
        <v>113</v>
      </c>
      <c r="Z40" s="31" t="s">
        <v>182</v>
      </c>
      <c r="AA40" s="32" t="s">
        <v>145</v>
      </c>
      <c r="AB40" s="31" t="s">
        <v>184</v>
      </c>
      <c r="AC40" s="32" t="s">
        <v>146</v>
      </c>
      <c r="AD40" s="31" t="s">
        <v>1036</v>
      </c>
      <c r="AE40" s="67">
        <v>101</v>
      </c>
      <c r="AF40" s="31" t="s">
        <v>14</v>
      </c>
      <c r="AG40" s="19" t="s">
        <v>543</v>
      </c>
      <c r="AH40" s="31" t="s">
        <v>1037</v>
      </c>
      <c r="AI40" s="32" t="s">
        <v>183</v>
      </c>
      <c r="AJ40" s="38" t="s">
        <v>547</v>
      </c>
      <c r="AK40" s="19" t="s">
        <v>1047</v>
      </c>
      <c r="AL40" s="38" t="s">
        <v>548</v>
      </c>
      <c r="AM40" s="19" t="s">
        <v>1051</v>
      </c>
      <c r="AN40" s="38" t="s">
        <v>1038</v>
      </c>
      <c r="AO40" s="19" t="s">
        <v>1039</v>
      </c>
      <c r="AP40" s="31" t="s">
        <v>7</v>
      </c>
      <c r="AQ40" s="19" t="s">
        <v>7</v>
      </c>
      <c r="AR40" s="33" t="s">
        <v>7</v>
      </c>
      <c r="AS40" s="34" t="s">
        <v>7</v>
      </c>
      <c r="AT40" s="33" t="s">
        <v>7</v>
      </c>
      <c r="AU40" s="34" t="s">
        <v>7</v>
      </c>
      <c r="AV40" s="33" t="s">
        <v>7</v>
      </c>
      <c r="AW40" s="34" t="s">
        <v>7</v>
      </c>
      <c r="AX40" s="33" t="s">
        <v>7</v>
      </c>
      <c r="AY40" s="34" t="s">
        <v>7</v>
      </c>
      <c r="AZ40" s="33" t="s">
        <v>7</v>
      </c>
      <c r="BA40" s="34" t="s">
        <v>7</v>
      </c>
    </row>
    <row r="41" spans="1:53" ht="8.25" customHeight="1" x14ac:dyDescent="0.25">
      <c r="A41" s="16">
        <v>40</v>
      </c>
      <c r="B41" s="17" t="s">
        <v>404</v>
      </c>
      <c r="C41" s="18" t="s">
        <v>608</v>
      </c>
      <c r="D41" s="33" t="s">
        <v>7</v>
      </c>
      <c r="E41" s="34" t="s">
        <v>7</v>
      </c>
      <c r="F41" s="29" t="s">
        <v>553</v>
      </c>
      <c r="G41" s="30" t="s">
        <v>544</v>
      </c>
      <c r="H41" s="33" t="s">
        <v>7</v>
      </c>
      <c r="I41" s="34" t="s">
        <v>7</v>
      </c>
      <c r="J41" s="40" t="s">
        <v>74</v>
      </c>
      <c r="K41" s="66" t="s">
        <v>179</v>
      </c>
      <c r="L41" s="40" t="s">
        <v>7</v>
      </c>
      <c r="M41" s="39" t="s">
        <v>7</v>
      </c>
      <c r="N41" s="40" t="s">
        <v>7</v>
      </c>
      <c r="O41" s="19" t="s">
        <v>7</v>
      </c>
      <c r="P41" s="40" t="s">
        <v>7</v>
      </c>
      <c r="Q41" s="19" t="s">
        <v>7</v>
      </c>
      <c r="R41" s="31" t="s">
        <v>7</v>
      </c>
      <c r="S41" s="19" t="s">
        <v>7</v>
      </c>
      <c r="T41" s="31" t="s">
        <v>76</v>
      </c>
      <c r="U41" s="32">
        <v>360</v>
      </c>
      <c r="V41" s="31" t="s">
        <v>77</v>
      </c>
      <c r="W41" s="32">
        <v>320</v>
      </c>
      <c r="X41" s="31" t="s">
        <v>181</v>
      </c>
      <c r="Y41" s="32" t="s">
        <v>147</v>
      </c>
      <c r="Z41" s="31" t="s">
        <v>182</v>
      </c>
      <c r="AA41" s="32" t="s">
        <v>148</v>
      </c>
      <c r="AB41" s="31" t="s">
        <v>184</v>
      </c>
      <c r="AC41" s="32" t="s">
        <v>149</v>
      </c>
      <c r="AD41" s="31" t="s">
        <v>1036</v>
      </c>
      <c r="AE41" s="67">
        <v>110</v>
      </c>
      <c r="AF41" s="31" t="s">
        <v>14</v>
      </c>
      <c r="AG41" s="19" t="s">
        <v>543</v>
      </c>
      <c r="AH41" s="31" t="s">
        <v>1037</v>
      </c>
      <c r="AI41" s="32" t="s">
        <v>183</v>
      </c>
      <c r="AJ41" s="38" t="s">
        <v>547</v>
      </c>
      <c r="AK41" s="19" t="s">
        <v>1047</v>
      </c>
      <c r="AL41" s="38" t="s">
        <v>548</v>
      </c>
      <c r="AM41" s="19" t="s">
        <v>1051</v>
      </c>
      <c r="AN41" s="38" t="s">
        <v>1038</v>
      </c>
      <c r="AO41" s="19" t="s">
        <v>1039</v>
      </c>
      <c r="AP41" s="31" t="s">
        <v>7</v>
      </c>
      <c r="AQ41" s="19" t="s">
        <v>7</v>
      </c>
      <c r="AR41" s="33" t="s">
        <v>7</v>
      </c>
      <c r="AS41" s="34" t="s">
        <v>7</v>
      </c>
      <c r="AT41" s="33" t="s">
        <v>7</v>
      </c>
      <c r="AU41" s="34" t="s">
        <v>7</v>
      </c>
      <c r="AV41" s="33" t="s">
        <v>7</v>
      </c>
      <c r="AW41" s="34" t="s">
        <v>7</v>
      </c>
      <c r="AX41" s="33" t="s">
        <v>7</v>
      </c>
      <c r="AY41" s="34" t="s">
        <v>7</v>
      </c>
      <c r="AZ41" s="33" t="s">
        <v>7</v>
      </c>
      <c r="BA41" s="34" t="s">
        <v>7</v>
      </c>
    </row>
    <row r="42" spans="1:53" ht="8.25" customHeight="1" x14ac:dyDescent="0.25">
      <c r="A42" s="16">
        <v>41</v>
      </c>
      <c r="B42" s="17" t="s">
        <v>405</v>
      </c>
      <c r="C42" s="18" t="s">
        <v>608</v>
      </c>
      <c r="D42" s="33" t="s">
        <v>7</v>
      </c>
      <c r="E42" s="34" t="s">
        <v>7</v>
      </c>
      <c r="F42" s="29" t="s">
        <v>553</v>
      </c>
      <c r="G42" s="30" t="s">
        <v>544</v>
      </c>
      <c r="H42" s="33" t="s">
        <v>7</v>
      </c>
      <c r="I42" s="34" t="s">
        <v>7</v>
      </c>
      <c r="J42" s="40" t="s">
        <v>74</v>
      </c>
      <c r="K42" s="66" t="s">
        <v>180</v>
      </c>
      <c r="L42" s="40" t="s">
        <v>7</v>
      </c>
      <c r="M42" s="39" t="s">
        <v>7</v>
      </c>
      <c r="N42" s="40" t="s">
        <v>7</v>
      </c>
      <c r="O42" s="19" t="s">
        <v>7</v>
      </c>
      <c r="P42" s="40" t="s">
        <v>7</v>
      </c>
      <c r="Q42" s="19" t="s">
        <v>7</v>
      </c>
      <c r="R42" s="31" t="s">
        <v>7</v>
      </c>
      <c r="S42" s="19" t="s">
        <v>7</v>
      </c>
      <c r="T42" s="31" t="s">
        <v>76</v>
      </c>
      <c r="U42" s="32">
        <v>363</v>
      </c>
      <c r="V42" s="31" t="s">
        <v>77</v>
      </c>
      <c r="W42" s="32">
        <v>320</v>
      </c>
      <c r="X42" s="31" t="s">
        <v>181</v>
      </c>
      <c r="Y42" s="32">
        <v>13</v>
      </c>
      <c r="Z42" s="31" t="s">
        <v>182</v>
      </c>
      <c r="AA42" s="32" t="s">
        <v>150</v>
      </c>
      <c r="AB42" s="31" t="s">
        <v>184</v>
      </c>
      <c r="AC42" s="32" t="s">
        <v>151</v>
      </c>
      <c r="AD42" s="31" t="s">
        <v>1036</v>
      </c>
      <c r="AE42" s="67">
        <v>122</v>
      </c>
      <c r="AF42" s="31" t="s">
        <v>14</v>
      </c>
      <c r="AG42" s="19" t="s">
        <v>543</v>
      </c>
      <c r="AH42" s="31" t="s">
        <v>1037</v>
      </c>
      <c r="AI42" s="32" t="s">
        <v>183</v>
      </c>
      <c r="AJ42" s="38" t="s">
        <v>547</v>
      </c>
      <c r="AK42" s="19" t="s">
        <v>1047</v>
      </c>
      <c r="AL42" s="38" t="s">
        <v>548</v>
      </c>
      <c r="AM42" s="19" t="s">
        <v>1051</v>
      </c>
      <c r="AN42" s="38" t="s">
        <v>1038</v>
      </c>
      <c r="AO42" s="19" t="s">
        <v>1039</v>
      </c>
      <c r="AP42" s="31" t="s">
        <v>7</v>
      </c>
      <c r="AQ42" s="19" t="s">
        <v>7</v>
      </c>
      <c r="AR42" s="33" t="s">
        <v>7</v>
      </c>
      <c r="AS42" s="34" t="s">
        <v>7</v>
      </c>
      <c r="AT42" s="33" t="s">
        <v>7</v>
      </c>
      <c r="AU42" s="34" t="s">
        <v>7</v>
      </c>
      <c r="AV42" s="33" t="s">
        <v>7</v>
      </c>
      <c r="AW42" s="34" t="s">
        <v>7</v>
      </c>
      <c r="AX42" s="33" t="s">
        <v>7</v>
      </c>
      <c r="AY42" s="34" t="s">
        <v>7</v>
      </c>
      <c r="AZ42" s="33" t="s">
        <v>7</v>
      </c>
      <c r="BA42" s="34" t="s">
        <v>7</v>
      </c>
    </row>
    <row r="43" spans="1:53" ht="8.25" customHeight="1" x14ac:dyDescent="0.25">
      <c r="A43" s="16">
        <v>42</v>
      </c>
      <c r="B43" s="17" t="s">
        <v>406</v>
      </c>
      <c r="C43" s="18" t="s">
        <v>609</v>
      </c>
      <c r="D43" s="33" t="s">
        <v>7</v>
      </c>
      <c r="E43" s="34" t="s">
        <v>7</v>
      </c>
      <c r="F43" s="29" t="s">
        <v>553</v>
      </c>
      <c r="G43" s="30" t="s">
        <v>544</v>
      </c>
      <c r="H43" s="33" t="s">
        <v>7</v>
      </c>
      <c r="I43" s="34" t="s">
        <v>7</v>
      </c>
      <c r="J43" s="40" t="s">
        <v>74</v>
      </c>
      <c r="K43" s="66" t="s">
        <v>75</v>
      </c>
      <c r="L43" s="40" t="s">
        <v>7</v>
      </c>
      <c r="M43" s="39" t="s">
        <v>7</v>
      </c>
      <c r="N43" s="40" t="s">
        <v>7</v>
      </c>
      <c r="O43" s="19" t="s">
        <v>7</v>
      </c>
      <c r="P43" s="40" t="s">
        <v>7</v>
      </c>
      <c r="Q43" s="19" t="s">
        <v>7</v>
      </c>
      <c r="R43" s="31" t="s">
        <v>7</v>
      </c>
      <c r="S43" s="19" t="s">
        <v>7</v>
      </c>
      <c r="T43" s="31" t="s">
        <v>76</v>
      </c>
      <c r="U43" s="32">
        <v>148</v>
      </c>
      <c r="V43" s="31" t="s">
        <v>77</v>
      </c>
      <c r="W43" s="32">
        <v>100</v>
      </c>
      <c r="X43" s="31" t="s">
        <v>181</v>
      </c>
      <c r="Y43" s="32" t="s">
        <v>185</v>
      </c>
      <c r="Z43" s="31" t="s">
        <v>182</v>
      </c>
      <c r="AA43" s="32" t="s">
        <v>186</v>
      </c>
      <c r="AB43" s="31" t="s">
        <v>184</v>
      </c>
      <c r="AC43" s="32" t="s">
        <v>187</v>
      </c>
      <c r="AD43" s="31" t="s">
        <v>1036</v>
      </c>
      <c r="AE43" s="32">
        <v>13</v>
      </c>
      <c r="AF43" s="31" t="s">
        <v>14</v>
      </c>
      <c r="AG43" s="19" t="s">
        <v>542</v>
      </c>
      <c r="AH43" s="31" t="s">
        <v>1037</v>
      </c>
      <c r="AI43" s="32" t="s">
        <v>183</v>
      </c>
      <c r="AJ43" s="38" t="s">
        <v>547</v>
      </c>
      <c r="AK43" s="19" t="s">
        <v>1048</v>
      </c>
      <c r="AL43" s="38" t="s">
        <v>548</v>
      </c>
      <c r="AM43" s="19" t="s">
        <v>1052</v>
      </c>
      <c r="AN43" s="38" t="s">
        <v>1038</v>
      </c>
      <c r="AO43" s="19" t="s">
        <v>1039</v>
      </c>
      <c r="AP43" s="31" t="s">
        <v>7</v>
      </c>
      <c r="AQ43" s="19" t="s">
        <v>7</v>
      </c>
      <c r="AR43" s="33" t="s">
        <v>7</v>
      </c>
      <c r="AS43" s="34" t="s">
        <v>7</v>
      </c>
      <c r="AT43" s="33" t="s">
        <v>7</v>
      </c>
      <c r="AU43" s="34" t="s">
        <v>7</v>
      </c>
      <c r="AV43" s="33" t="s">
        <v>7</v>
      </c>
      <c r="AW43" s="34" t="s">
        <v>7</v>
      </c>
      <c r="AX43" s="33" t="s">
        <v>7</v>
      </c>
      <c r="AY43" s="34" t="s">
        <v>7</v>
      </c>
      <c r="AZ43" s="33" t="s">
        <v>7</v>
      </c>
      <c r="BA43" s="34" t="s">
        <v>7</v>
      </c>
    </row>
    <row r="44" spans="1:53" ht="8.25" customHeight="1" x14ac:dyDescent="0.25">
      <c r="A44" s="16">
        <v>43</v>
      </c>
      <c r="B44" s="17" t="s">
        <v>407</v>
      </c>
      <c r="C44" s="18" t="s">
        <v>609</v>
      </c>
      <c r="D44" s="33" t="s">
        <v>7</v>
      </c>
      <c r="E44" s="34" t="s">
        <v>7</v>
      </c>
      <c r="F44" s="29" t="s">
        <v>553</v>
      </c>
      <c r="G44" s="30" t="s">
        <v>544</v>
      </c>
      <c r="H44" s="33" t="s">
        <v>7</v>
      </c>
      <c r="I44" s="34" t="s">
        <v>7</v>
      </c>
      <c r="J44" s="40" t="s">
        <v>74</v>
      </c>
      <c r="K44" s="66" t="s">
        <v>277</v>
      </c>
      <c r="L44" s="40" t="s">
        <v>7</v>
      </c>
      <c r="M44" s="39" t="s">
        <v>7</v>
      </c>
      <c r="N44" s="40" t="s">
        <v>7</v>
      </c>
      <c r="O44" s="19" t="s">
        <v>7</v>
      </c>
      <c r="P44" s="40" t="s">
        <v>7</v>
      </c>
      <c r="Q44" s="19" t="s">
        <v>7</v>
      </c>
      <c r="R44" s="31" t="s">
        <v>7</v>
      </c>
      <c r="S44" s="19" t="s">
        <v>7</v>
      </c>
      <c r="T44" s="31" t="s">
        <v>76</v>
      </c>
      <c r="U44" s="32">
        <v>153</v>
      </c>
      <c r="V44" s="31" t="s">
        <v>77</v>
      </c>
      <c r="W44" s="32">
        <v>102</v>
      </c>
      <c r="X44" s="31" t="s">
        <v>181</v>
      </c>
      <c r="Y44" s="32" t="s">
        <v>188</v>
      </c>
      <c r="Z44" s="31" t="s">
        <v>182</v>
      </c>
      <c r="AA44" s="32" t="s">
        <v>189</v>
      </c>
      <c r="AB44" s="31" t="s">
        <v>184</v>
      </c>
      <c r="AC44" s="32" t="s">
        <v>190</v>
      </c>
      <c r="AD44" s="31" t="s">
        <v>1036</v>
      </c>
      <c r="AE44" s="32">
        <v>18</v>
      </c>
      <c r="AF44" s="31" t="s">
        <v>14</v>
      </c>
      <c r="AG44" s="19" t="s">
        <v>542</v>
      </c>
      <c r="AH44" s="31" t="s">
        <v>1037</v>
      </c>
      <c r="AI44" s="32" t="s">
        <v>183</v>
      </c>
      <c r="AJ44" s="38" t="s">
        <v>547</v>
      </c>
      <c r="AK44" s="19" t="s">
        <v>1048</v>
      </c>
      <c r="AL44" s="38" t="s">
        <v>548</v>
      </c>
      <c r="AM44" s="19" t="s">
        <v>1052</v>
      </c>
      <c r="AN44" s="38" t="s">
        <v>1038</v>
      </c>
      <c r="AO44" s="19" t="s">
        <v>1039</v>
      </c>
      <c r="AP44" s="31" t="s">
        <v>7</v>
      </c>
      <c r="AQ44" s="19" t="s">
        <v>7</v>
      </c>
      <c r="AR44" s="33" t="s">
        <v>7</v>
      </c>
      <c r="AS44" s="34" t="s">
        <v>7</v>
      </c>
      <c r="AT44" s="33" t="s">
        <v>7</v>
      </c>
      <c r="AU44" s="34" t="s">
        <v>7</v>
      </c>
      <c r="AV44" s="33" t="s">
        <v>7</v>
      </c>
      <c r="AW44" s="34" t="s">
        <v>7</v>
      </c>
      <c r="AX44" s="33" t="s">
        <v>7</v>
      </c>
      <c r="AY44" s="34" t="s">
        <v>7</v>
      </c>
      <c r="AZ44" s="33" t="s">
        <v>7</v>
      </c>
      <c r="BA44" s="34" t="s">
        <v>7</v>
      </c>
    </row>
    <row r="45" spans="1:53" ht="8.25" customHeight="1" x14ac:dyDescent="0.25">
      <c r="A45" s="16">
        <v>44</v>
      </c>
      <c r="B45" s="17" t="s">
        <v>408</v>
      </c>
      <c r="C45" s="18" t="s">
        <v>609</v>
      </c>
      <c r="D45" s="33" t="s">
        <v>7</v>
      </c>
      <c r="E45" s="34" t="s">
        <v>7</v>
      </c>
      <c r="F45" s="29" t="s">
        <v>553</v>
      </c>
      <c r="G45" s="30" t="s">
        <v>544</v>
      </c>
      <c r="H45" s="33" t="s">
        <v>7</v>
      </c>
      <c r="I45" s="34" t="s">
        <v>7</v>
      </c>
      <c r="J45" s="40" t="s">
        <v>74</v>
      </c>
      <c r="K45" s="66" t="s">
        <v>278</v>
      </c>
      <c r="L45" s="40" t="s">
        <v>7</v>
      </c>
      <c r="M45" s="39" t="s">
        <v>7</v>
      </c>
      <c r="N45" s="40" t="s">
        <v>7</v>
      </c>
      <c r="O45" s="19" t="s">
        <v>7</v>
      </c>
      <c r="P45" s="40" t="s">
        <v>7</v>
      </c>
      <c r="Q45" s="19" t="s">
        <v>7</v>
      </c>
      <c r="R45" s="31" t="s">
        <v>7</v>
      </c>
      <c r="S45" s="19" t="s">
        <v>7</v>
      </c>
      <c r="T45" s="31" t="s">
        <v>76</v>
      </c>
      <c r="U45" s="32">
        <v>152</v>
      </c>
      <c r="V45" s="31" t="s">
        <v>77</v>
      </c>
      <c r="W45" s="32">
        <v>152</v>
      </c>
      <c r="X45" s="31" t="s">
        <v>181</v>
      </c>
      <c r="Y45" s="32" t="s">
        <v>188</v>
      </c>
      <c r="Z45" s="31" t="s">
        <v>182</v>
      </c>
      <c r="AA45" s="32" t="s">
        <v>81</v>
      </c>
      <c r="AB45" s="31" t="s">
        <v>184</v>
      </c>
      <c r="AC45" s="32" t="s">
        <v>191</v>
      </c>
      <c r="AD45" s="31" t="s">
        <v>1036</v>
      </c>
      <c r="AE45" s="32">
        <v>22</v>
      </c>
      <c r="AF45" s="31" t="s">
        <v>14</v>
      </c>
      <c r="AG45" s="19" t="s">
        <v>542</v>
      </c>
      <c r="AH45" s="31" t="s">
        <v>1037</v>
      </c>
      <c r="AI45" s="32" t="s">
        <v>183</v>
      </c>
      <c r="AJ45" s="38" t="s">
        <v>547</v>
      </c>
      <c r="AK45" s="19" t="s">
        <v>1048</v>
      </c>
      <c r="AL45" s="38" t="s">
        <v>548</v>
      </c>
      <c r="AM45" s="19" t="s">
        <v>1052</v>
      </c>
      <c r="AN45" s="38" t="s">
        <v>1038</v>
      </c>
      <c r="AO45" s="19" t="s">
        <v>1039</v>
      </c>
      <c r="AP45" s="31" t="s">
        <v>7</v>
      </c>
      <c r="AQ45" s="19" t="s">
        <v>7</v>
      </c>
      <c r="AR45" s="33" t="s">
        <v>7</v>
      </c>
      <c r="AS45" s="34" t="s">
        <v>7</v>
      </c>
      <c r="AT45" s="33" t="s">
        <v>7</v>
      </c>
      <c r="AU45" s="34" t="s">
        <v>7</v>
      </c>
      <c r="AV45" s="33" t="s">
        <v>7</v>
      </c>
      <c r="AW45" s="34" t="s">
        <v>7</v>
      </c>
      <c r="AX45" s="33" t="s">
        <v>7</v>
      </c>
      <c r="AY45" s="34" t="s">
        <v>7</v>
      </c>
      <c r="AZ45" s="33" t="s">
        <v>7</v>
      </c>
      <c r="BA45" s="34" t="s">
        <v>7</v>
      </c>
    </row>
    <row r="46" spans="1:53" ht="8.25" customHeight="1" x14ac:dyDescent="0.25">
      <c r="A46" s="16">
        <v>45</v>
      </c>
      <c r="B46" s="17" t="s">
        <v>409</v>
      </c>
      <c r="C46" s="18" t="s">
        <v>609</v>
      </c>
      <c r="D46" s="33" t="s">
        <v>7</v>
      </c>
      <c r="E46" s="34" t="s">
        <v>7</v>
      </c>
      <c r="F46" s="29" t="s">
        <v>553</v>
      </c>
      <c r="G46" s="30" t="s">
        <v>544</v>
      </c>
      <c r="H46" s="33" t="s">
        <v>7</v>
      </c>
      <c r="I46" s="34" t="s">
        <v>7</v>
      </c>
      <c r="J46" s="40" t="s">
        <v>74</v>
      </c>
      <c r="K46" s="66" t="s">
        <v>279</v>
      </c>
      <c r="L46" s="40" t="s">
        <v>7</v>
      </c>
      <c r="M46" s="39" t="s">
        <v>7</v>
      </c>
      <c r="N46" s="40" t="s">
        <v>7</v>
      </c>
      <c r="O46" s="19" t="s">
        <v>7</v>
      </c>
      <c r="P46" s="40" t="s">
        <v>7</v>
      </c>
      <c r="Q46" s="19" t="s">
        <v>7</v>
      </c>
      <c r="R46" s="31" t="s">
        <v>7</v>
      </c>
      <c r="S46" s="19" t="s">
        <v>7</v>
      </c>
      <c r="T46" s="31" t="s">
        <v>76</v>
      </c>
      <c r="U46" s="32">
        <v>160</v>
      </c>
      <c r="V46" s="31" t="s">
        <v>77</v>
      </c>
      <c r="W46" s="32">
        <v>102</v>
      </c>
      <c r="X46" s="31" t="s">
        <v>181</v>
      </c>
      <c r="Y46" s="32" t="s">
        <v>81</v>
      </c>
      <c r="Z46" s="31" t="s">
        <v>182</v>
      </c>
      <c r="AA46" s="32" t="s">
        <v>192</v>
      </c>
      <c r="AB46" s="31" t="s">
        <v>184</v>
      </c>
      <c r="AC46" s="32" t="s">
        <v>193</v>
      </c>
      <c r="AD46" s="31" t="s">
        <v>1036</v>
      </c>
      <c r="AE46" s="32">
        <v>24</v>
      </c>
      <c r="AF46" s="31" t="s">
        <v>14</v>
      </c>
      <c r="AG46" s="19" t="s">
        <v>542</v>
      </c>
      <c r="AH46" s="31" t="s">
        <v>1037</v>
      </c>
      <c r="AI46" s="32" t="s">
        <v>183</v>
      </c>
      <c r="AJ46" s="38" t="s">
        <v>547</v>
      </c>
      <c r="AK46" s="19" t="s">
        <v>1048</v>
      </c>
      <c r="AL46" s="38" t="s">
        <v>548</v>
      </c>
      <c r="AM46" s="19" t="s">
        <v>1052</v>
      </c>
      <c r="AN46" s="38" t="s">
        <v>1038</v>
      </c>
      <c r="AO46" s="19" t="s">
        <v>1039</v>
      </c>
      <c r="AP46" s="31" t="s">
        <v>7</v>
      </c>
      <c r="AQ46" s="19" t="s">
        <v>7</v>
      </c>
      <c r="AR46" s="33" t="s">
        <v>7</v>
      </c>
      <c r="AS46" s="34" t="s">
        <v>7</v>
      </c>
      <c r="AT46" s="33" t="s">
        <v>7</v>
      </c>
      <c r="AU46" s="34" t="s">
        <v>7</v>
      </c>
      <c r="AV46" s="33" t="s">
        <v>7</v>
      </c>
      <c r="AW46" s="34" t="s">
        <v>7</v>
      </c>
      <c r="AX46" s="33" t="s">
        <v>7</v>
      </c>
      <c r="AY46" s="34" t="s">
        <v>7</v>
      </c>
      <c r="AZ46" s="33" t="s">
        <v>7</v>
      </c>
      <c r="BA46" s="34" t="s">
        <v>7</v>
      </c>
    </row>
    <row r="47" spans="1:53" ht="8.25" customHeight="1" x14ac:dyDescent="0.25">
      <c r="A47" s="16">
        <v>46</v>
      </c>
      <c r="B47" s="17" t="s">
        <v>410</v>
      </c>
      <c r="C47" s="18" t="s">
        <v>609</v>
      </c>
      <c r="D47" s="33" t="s">
        <v>7</v>
      </c>
      <c r="E47" s="34" t="s">
        <v>7</v>
      </c>
      <c r="F47" s="29" t="s">
        <v>553</v>
      </c>
      <c r="G47" s="30" t="s">
        <v>544</v>
      </c>
      <c r="H47" s="33" t="s">
        <v>7</v>
      </c>
      <c r="I47" s="34" t="s">
        <v>7</v>
      </c>
      <c r="J47" s="40" t="s">
        <v>74</v>
      </c>
      <c r="K47" s="66" t="s">
        <v>280</v>
      </c>
      <c r="L47" s="40" t="s">
        <v>7</v>
      </c>
      <c r="M47" s="39" t="s">
        <v>7</v>
      </c>
      <c r="N47" s="40" t="s">
        <v>7</v>
      </c>
      <c r="O47" s="19" t="s">
        <v>7</v>
      </c>
      <c r="P47" s="40" t="s">
        <v>7</v>
      </c>
      <c r="Q47" s="19" t="s">
        <v>7</v>
      </c>
      <c r="R47" s="31" t="s">
        <v>7</v>
      </c>
      <c r="S47" s="19" t="s">
        <v>7</v>
      </c>
      <c r="T47" s="31" t="s">
        <v>76</v>
      </c>
      <c r="U47" s="32">
        <v>157</v>
      </c>
      <c r="V47" s="31" t="s">
        <v>77</v>
      </c>
      <c r="W47" s="32">
        <v>153</v>
      </c>
      <c r="X47" s="31" t="s">
        <v>181</v>
      </c>
      <c r="Y47" s="32" t="s">
        <v>81</v>
      </c>
      <c r="Z47" s="31" t="s">
        <v>182</v>
      </c>
      <c r="AA47" s="32" t="s">
        <v>194</v>
      </c>
      <c r="AB47" s="31" t="s">
        <v>184</v>
      </c>
      <c r="AC47" s="32" t="s">
        <v>195</v>
      </c>
      <c r="AD47" s="31" t="s">
        <v>1036</v>
      </c>
      <c r="AE47" s="32">
        <v>29</v>
      </c>
      <c r="AF47" s="31" t="s">
        <v>14</v>
      </c>
      <c r="AG47" s="19" t="s">
        <v>542</v>
      </c>
      <c r="AH47" s="31" t="s">
        <v>1037</v>
      </c>
      <c r="AI47" s="32" t="s">
        <v>183</v>
      </c>
      <c r="AJ47" s="38" t="s">
        <v>547</v>
      </c>
      <c r="AK47" s="19" t="s">
        <v>1048</v>
      </c>
      <c r="AL47" s="38" t="s">
        <v>548</v>
      </c>
      <c r="AM47" s="19" t="s">
        <v>1052</v>
      </c>
      <c r="AN47" s="38" t="s">
        <v>1038</v>
      </c>
      <c r="AO47" s="19" t="s">
        <v>1039</v>
      </c>
      <c r="AP47" s="31" t="s">
        <v>7</v>
      </c>
      <c r="AQ47" s="19" t="s">
        <v>7</v>
      </c>
      <c r="AR47" s="33" t="s">
        <v>7</v>
      </c>
      <c r="AS47" s="34" t="s">
        <v>7</v>
      </c>
      <c r="AT47" s="33" t="s">
        <v>7</v>
      </c>
      <c r="AU47" s="34" t="s">
        <v>7</v>
      </c>
      <c r="AV47" s="33" t="s">
        <v>7</v>
      </c>
      <c r="AW47" s="34" t="s">
        <v>7</v>
      </c>
      <c r="AX47" s="33" t="s">
        <v>7</v>
      </c>
      <c r="AY47" s="34" t="s">
        <v>7</v>
      </c>
      <c r="AZ47" s="33" t="s">
        <v>7</v>
      </c>
      <c r="BA47" s="34" t="s">
        <v>7</v>
      </c>
    </row>
    <row r="48" spans="1:53" ht="8.25" customHeight="1" x14ac:dyDescent="0.25">
      <c r="A48" s="16">
        <v>47</v>
      </c>
      <c r="B48" s="17" t="s">
        <v>411</v>
      </c>
      <c r="C48" s="18" t="s">
        <v>609</v>
      </c>
      <c r="D48" s="33" t="s">
        <v>7</v>
      </c>
      <c r="E48" s="34" t="s">
        <v>7</v>
      </c>
      <c r="F48" s="29" t="s">
        <v>553</v>
      </c>
      <c r="G48" s="30" t="s">
        <v>544</v>
      </c>
      <c r="H48" s="33" t="s">
        <v>7</v>
      </c>
      <c r="I48" s="34" t="s">
        <v>7</v>
      </c>
      <c r="J48" s="40" t="s">
        <v>74</v>
      </c>
      <c r="K48" s="66" t="s">
        <v>281</v>
      </c>
      <c r="L48" s="40" t="s">
        <v>7</v>
      </c>
      <c r="M48" s="39" t="s">
        <v>7</v>
      </c>
      <c r="N48" s="40" t="s">
        <v>7</v>
      </c>
      <c r="O48" s="19" t="s">
        <v>7</v>
      </c>
      <c r="P48" s="40" t="s">
        <v>7</v>
      </c>
      <c r="Q48" s="19" t="s">
        <v>7</v>
      </c>
      <c r="R48" s="31" t="s">
        <v>7</v>
      </c>
      <c r="S48" s="19" t="s">
        <v>7</v>
      </c>
      <c r="T48" s="31" t="s">
        <v>76</v>
      </c>
      <c r="U48" s="32">
        <v>162</v>
      </c>
      <c r="V48" s="31" t="s">
        <v>77</v>
      </c>
      <c r="W48" s="32">
        <v>154</v>
      </c>
      <c r="X48" s="31" t="s">
        <v>181</v>
      </c>
      <c r="Y48" s="32" t="s">
        <v>196</v>
      </c>
      <c r="Z48" s="31" t="s">
        <v>182</v>
      </c>
      <c r="AA48" s="32" t="s">
        <v>88</v>
      </c>
      <c r="AB48" s="31" t="s">
        <v>184</v>
      </c>
      <c r="AC48" s="32" t="s">
        <v>193</v>
      </c>
      <c r="AD48" s="31" t="s">
        <v>1036</v>
      </c>
      <c r="AE48" s="32">
        <v>37</v>
      </c>
      <c r="AF48" s="31" t="s">
        <v>14</v>
      </c>
      <c r="AG48" s="19" t="s">
        <v>542</v>
      </c>
      <c r="AH48" s="31" t="s">
        <v>1037</v>
      </c>
      <c r="AI48" s="32" t="s">
        <v>183</v>
      </c>
      <c r="AJ48" s="38" t="s">
        <v>547</v>
      </c>
      <c r="AK48" s="19" t="s">
        <v>1048</v>
      </c>
      <c r="AL48" s="38" t="s">
        <v>548</v>
      </c>
      <c r="AM48" s="19" t="s">
        <v>1052</v>
      </c>
      <c r="AN48" s="38" t="s">
        <v>1038</v>
      </c>
      <c r="AO48" s="19" t="s">
        <v>1039</v>
      </c>
      <c r="AP48" s="31" t="s">
        <v>7</v>
      </c>
      <c r="AQ48" s="19" t="s">
        <v>7</v>
      </c>
      <c r="AR48" s="33" t="s">
        <v>7</v>
      </c>
      <c r="AS48" s="34" t="s">
        <v>7</v>
      </c>
      <c r="AT48" s="33" t="s">
        <v>7</v>
      </c>
      <c r="AU48" s="34" t="s">
        <v>7</v>
      </c>
      <c r="AV48" s="33" t="s">
        <v>7</v>
      </c>
      <c r="AW48" s="34" t="s">
        <v>7</v>
      </c>
      <c r="AX48" s="33" t="s">
        <v>7</v>
      </c>
      <c r="AY48" s="34" t="s">
        <v>7</v>
      </c>
      <c r="AZ48" s="33" t="s">
        <v>7</v>
      </c>
      <c r="BA48" s="34" t="s">
        <v>7</v>
      </c>
    </row>
    <row r="49" spans="1:53" ht="8.25" customHeight="1" x14ac:dyDescent="0.25">
      <c r="A49" s="16">
        <v>48</v>
      </c>
      <c r="B49" s="17" t="s">
        <v>412</v>
      </c>
      <c r="C49" s="18" t="s">
        <v>609</v>
      </c>
      <c r="D49" s="33" t="s">
        <v>7</v>
      </c>
      <c r="E49" s="34" t="s">
        <v>7</v>
      </c>
      <c r="F49" s="29" t="s">
        <v>553</v>
      </c>
      <c r="G49" s="30" t="s">
        <v>544</v>
      </c>
      <c r="H49" s="33" t="s">
        <v>7</v>
      </c>
      <c r="I49" s="34" t="s">
        <v>7</v>
      </c>
      <c r="J49" s="40" t="s">
        <v>74</v>
      </c>
      <c r="K49" s="66" t="s">
        <v>282</v>
      </c>
      <c r="L49" s="40" t="s">
        <v>7</v>
      </c>
      <c r="M49" s="39" t="s">
        <v>7</v>
      </c>
      <c r="N49" s="40" t="s">
        <v>7</v>
      </c>
      <c r="O49" s="19" t="s">
        <v>7</v>
      </c>
      <c r="P49" s="40" t="s">
        <v>7</v>
      </c>
      <c r="Q49" s="19" t="s">
        <v>7</v>
      </c>
      <c r="R49" s="31" t="s">
        <v>7</v>
      </c>
      <c r="S49" s="19" t="s">
        <v>7</v>
      </c>
      <c r="T49" s="31" t="s">
        <v>76</v>
      </c>
      <c r="U49" s="32">
        <v>229</v>
      </c>
      <c r="V49" s="31" t="s">
        <v>77</v>
      </c>
      <c r="W49" s="32">
        <v>210</v>
      </c>
      <c r="X49" s="31" t="s">
        <v>181</v>
      </c>
      <c r="Y49" s="32" t="s">
        <v>197</v>
      </c>
      <c r="Z49" s="31" t="s">
        <v>182</v>
      </c>
      <c r="AA49" s="32" t="s">
        <v>198</v>
      </c>
      <c r="AB49" s="31" t="s">
        <v>184</v>
      </c>
      <c r="AC49" s="32" t="s">
        <v>199</v>
      </c>
      <c r="AD49" s="31" t="s">
        <v>1036</v>
      </c>
      <c r="AE49" s="32">
        <v>100</v>
      </c>
      <c r="AF49" s="31" t="s">
        <v>14</v>
      </c>
      <c r="AG49" s="19" t="s">
        <v>542</v>
      </c>
      <c r="AH49" s="31" t="s">
        <v>1037</v>
      </c>
      <c r="AI49" s="32" t="s">
        <v>183</v>
      </c>
      <c r="AJ49" s="38" t="s">
        <v>547</v>
      </c>
      <c r="AK49" s="19" t="s">
        <v>1048</v>
      </c>
      <c r="AL49" s="38" t="s">
        <v>548</v>
      </c>
      <c r="AM49" s="19" t="s">
        <v>1052</v>
      </c>
      <c r="AN49" s="38" t="s">
        <v>1038</v>
      </c>
      <c r="AO49" s="19" t="s">
        <v>1039</v>
      </c>
      <c r="AP49" s="31" t="s">
        <v>7</v>
      </c>
      <c r="AQ49" s="19" t="s">
        <v>7</v>
      </c>
      <c r="AR49" s="33" t="s">
        <v>7</v>
      </c>
      <c r="AS49" s="34" t="s">
        <v>7</v>
      </c>
      <c r="AT49" s="33" t="s">
        <v>7</v>
      </c>
      <c r="AU49" s="34" t="s">
        <v>7</v>
      </c>
      <c r="AV49" s="33" t="s">
        <v>7</v>
      </c>
      <c r="AW49" s="34" t="s">
        <v>7</v>
      </c>
      <c r="AX49" s="33" t="s">
        <v>7</v>
      </c>
      <c r="AY49" s="34" t="s">
        <v>7</v>
      </c>
      <c r="AZ49" s="33" t="s">
        <v>7</v>
      </c>
      <c r="BA49" s="34" t="s">
        <v>7</v>
      </c>
    </row>
    <row r="50" spans="1:53" ht="8.25" customHeight="1" x14ac:dyDescent="0.25">
      <c r="A50" s="16">
        <v>49</v>
      </c>
      <c r="B50" s="17" t="s">
        <v>413</v>
      </c>
      <c r="C50" s="18" t="s">
        <v>609</v>
      </c>
      <c r="D50" s="33" t="s">
        <v>7</v>
      </c>
      <c r="E50" s="34" t="s">
        <v>7</v>
      </c>
      <c r="F50" s="29" t="s">
        <v>553</v>
      </c>
      <c r="G50" s="30" t="s">
        <v>544</v>
      </c>
      <c r="H50" s="33" t="s">
        <v>7</v>
      </c>
      <c r="I50" s="34" t="s">
        <v>7</v>
      </c>
      <c r="J50" s="40" t="s">
        <v>74</v>
      </c>
      <c r="K50" s="66" t="s">
        <v>283</v>
      </c>
      <c r="L50" s="40" t="s">
        <v>7</v>
      </c>
      <c r="M50" s="39" t="s">
        <v>7</v>
      </c>
      <c r="N50" s="40" t="s">
        <v>7</v>
      </c>
      <c r="O50" s="19" t="s">
        <v>7</v>
      </c>
      <c r="P50" s="40" t="s">
        <v>7</v>
      </c>
      <c r="Q50" s="19" t="s">
        <v>7</v>
      </c>
      <c r="R50" s="31" t="s">
        <v>7</v>
      </c>
      <c r="S50" s="19" t="s">
        <v>7</v>
      </c>
      <c r="T50" s="31" t="s">
        <v>76</v>
      </c>
      <c r="U50" s="32">
        <v>200</v>
      </c>
      <c r="V50" s="31" t="s">
        <v>77</v>
      </c>
      <c r="W50" s="32">
        <v>100</v>
      </c>
      <c r="X50" s="31" t="s">
        <v>181</v>
      </c>
      <c r="Y50" s="32" t="s">
        <v>185</v>
      </c>
      <c r="Z50" s="31" t="s">
        <v>182</v>
      </c>
      <c r="AA50" s="32" t="s">
        <v>200</v>
      </c>
      <c r="AB50" s="31" t="s">
        <v>184</v>
      </c>
      <c r="AC50" s="32" t="s">
        <v>201</v>
      </c>
      <c r="AD50" s="31" t="s">
        <v>1036</v>
      </c>
      <c r="AE50" s="32">
        <v>15</v>
      </c>
      <c r="AF50" s="31" t="s">
        <v>14</v>
      </c>
      <c r="AG50" s="19" t="s">
        <v>542</v>
      </c>
      <c r="AH50" s="31" t="s">
        <v>1037</v>
      </c>
      <c r="AI50" s="32" t="s">
        <v>183</v>
      </c>
      <c r="AJ50" s="38" t="s">
        <v>547</v>
      </c>
      <c r="AK50" s="19" t="s">
        <v>1048</v>
      </c>
      <c r="AL50" s="38" t="s">
        <v>548</v>
      </c>
      <c r="AM50" s="19" t="s">
        <v>1052</v>
      </c>
      <c r="AN50" s="38" t="s">
        <v>1038</v>
      </c>
      <c r="AO50" s="19" t="s">
        <v>1039</v>
      </c>
      <c r="AP50" s="31" t="s">
        <v>7</v>
      </c>
      <c r="AQ50" s="19" t="s">
        <v>7</v>
      </c>
      <c r="AR50" s="33" t="s">
        <v>7</v>
      </c>
      <c r="AS50" s="34" t="s">
        <v>7</v>
      </c>
      <c r="AT50" s="33" t="s">
        <v>7</v>
      </c>
      <c r="AU50" s="34" t="s">
        <v>7</v>
      </c>
      <c r="AV50" s="33" t="s">
        <v>7</v>
      </c>
      <c r="AW50" s="34" t="s">
        <v>7</v>
      </c>
      <c r="AX50" s="33" t="s">
        <v>7</v>
      </c>
      <c r="AY50" s="34" t="s">
        <v>7</v>
      </c>
      <c r="AZ50" s="33" t="s">
        <v>7</v>
      </c>
      <c r="BA50" s="34" t="s">
        <v>7</v>
      </c>
    </row>
    <row r="51" spans="1:53" ht="8.25" customHeight="1" x14ac:dyDescent="0.25">
      <c r="A51" s="16">
        <v>50</v>
      </c>
      <c r="B51" s="17" t="s">
        <v>414</v>
      </c>
      <c r="C51" s="18" t="s">
        <v>609</v>
      </c>
      <c r="D51" s="33" t="s">
        <v>7</v>
      </c>
      <c r="E51" s="34" t="s">
        <v>7</v>
      </c>
      <c r="F51" s="29" t="s">
        <v>553</v>
      </c>
      <c r="G51" s="30" t="s">
        <v>544</v>
      </c>
      <c r="H51" s="33" t="s">
        <v>7</v>
      </c>
      <c r="I51" s="34" t="s">
        <v>7</v>
      </c>
      <c r="J51" s="40" t="s">
        <v>74</v>
      </c>
      <c r="K51" s="66" t="s">
        <v>284</v>
      </c>
      <c r="L51" s="40" t="s">
        <v>7</v>
      </c>
      <c r="M51" s="39" t="s">
        <v>7</v>
      </c>
      <c r="N51" s="40" t="s">
        <v>7</v>
      </c>
      <c r="O51" s="19" t="s">
        <v>7</v>
      </c>
      <c r="P51" s="40" t="s">
        <v>7</v>
      </c>
      <c r="Q51" s="19" t="s">
        <v>7</v>
      </c>
      <c r="R51" s="31" t="s">
        <v>7</v>
      </c>
      <c r="S51" s="19" t="s">
        <v>7</v>
      </c>
      <c r="T51" s="31" t="s">
        <v>76</v>
      </c>
      <c r="U51" s="32">
        <v>203</v>
      </c>
      <c r="V51" s="31" t="s">
        <v>77</v>
      </c>
      <c r="W51" s="32">
        <v>102</v>
      </c>
      <c r="X51" s="31" t="s">
        <v>181</v>
      </c>
      <c r="Y51" s="32" t="s">
        <v>188</v>
      </c>
      <c r="Z51" s="31" t="s">
        <v>182</v>
      </c>
      <c r="AA51" s="32" t="s">
        <v>202</v>
      </c>
      <c r="AB51" s="31" t="s">
        <v>184</v>
      </c>
      <c r="AC51" s="32" t="s">
        <v>203</v>
      </c>
      <c r="AD51" s="31" t="s">
        <v>1036</v>
      </c>
      <c r="AE51" s="32">
        <v>19</v>
      </c>
      <c r="AF51" s="31" t="s">
        <v>14</v>
      </c>
      <c r="AG51" s="19" t="s">
        <v>542</v>
      </c>
      <c r="AH51" s="31" t="s">
        <v>1037</v>
      </c>
      <c r="AI51" s="32" t="s">
        <v>183</v>
      </c>
      <c r="AJ51" s="38" t="s">
        <v>547</v>
      </c>
      <c r="AK51" s="19" t="s">
        <v>1048</v>
      </c>
      <c r="AL51" s="38" t="s">
        <v>548</v>
      </c>
      <c r="AM51" s="19" t="s">
        <v>1052</v>
      </c>
      <c r="AN51" s="38" t="s">
        <v>1038</v>
      </c>
      <c r="AO51" s="19" t="s">
        <v>1039</v>
      </c>
      <c r="AP51" s="31" t="s">
        <v>7</v>
      </c>
      <c r="AQ51" s="19" t="s">
        <v>7</v>
      </c>
      <c r="AR51" s="33" t="s">
        <v>7</v>
      </c>
      <c r="AS51" s="34" t="s">
        <v>7</v>
      </c>
      <c r="AT51" s="33" t="s">
        <v>7</v>
      </c>
      <c r="AU51" s="34" t="s">
        <v>7</v>
      </c>
      <c r="AV51" s="33" t="s">
        <v>7</v>
      </c>
      <c r="AW51" s="34" t="s">
        <v>7</v>
      </c>
      <c r="AX51" s="33" t="s">
        <v>7</v>
      </c>
      <c r="AY51" s="34" t="s">
        <v>7</v>
      </c>
      <c r="AZ51" s="33" t="s">
        <v>7</v>
      </c>
      <c r="BA51" s="34" t="s">
        <v>7</v>
      </c>
    </row>
    <row r="52" spans="1:53" ht="8.25" customHeight="1" x14ac:dyDescent="0.25">
      <c r="A52" s="16">
        <v>51</v>
      </c>
      <c r="B52" s="17" t="s">
        <v>415</v>
      </c>
      <c r="C52" s="18" t="s">
        <v>609</v>
      </c>
      <c r="D52" s="33" t="s">
        <v>7</v>
      </c>
      <c r="E52" s="34" t="s">
        <v>7</v>
      </c>
      <c r="F52" s="29" t="s">
        <v>553</v>
      </c>
      <c r="G52" s="30" t="s">
        <v>544</v>
      </c>
      <c r="H52" s="33" t="s">
        <v>7</v>
      </c>
      <c r="I52" s="34" t="s">
        <v>7</v>
      </c>
      <c r="J52" s="40" t="s">
        <v>74</v>
      </c>
      <c r="K52" s="66" t="s">
        <v>285</v>
      </c>
      <c r="L52" s="40" t="s">
        <v>7</v>
      </c>
      <c r="M52" s="39" t="s">
        <v>7</v>
      </c>
      <c r="N52" s="40" t="s">
        <v>7</v>
      </c>
      <c r="O52" s="19" t="s">
        <v>7</v>
      </c>
      <c r="P52" s="40" t="s">
        <v>7</v>
      </c>
      <c r="Q52" s="19" t="s">
        <v>7</v>
      </c>
      <c r="R52" s="31" t="s">
        <v>7</v>
      </c>
      <c r="S52" s="19" t="s">
        <v>7</v>
      </c>
      <c r="T52" s="31" t="s">
        <v>76</v>
      </c>
      <c r="U52" s="32">
        <v>206</v>
      </c>
      <c r="V52" s="31" t="s">
        <v>77</v>
      </c>
      <c r="W52" s="32">
        <v>102</v>
      </c>
      <c r="X52" s="31" t="s">
        <v>181</v>
      </c>
      <c r="Y52" s="32" t="s">
        <v>204</v>
      </c>
      <c r="Z52" s="31" t="s">
        <v>182</v>
      </c>
      <c r="AA52" s="32">
        <v>8</v>
      </c>
      <c r="AB52" s="31" t="s">
        <v>184</v>
      </c>
      <c r="AC52" s="32" t="s">
        <v>205</v>
      </c>
      <c r="AD52" s="31" t="s">
        <v>1036</v>
      </c>
      <c r="AE52" s="32">
        <v>22</v>
      </c>
      <c r="AF52" s="31" t="s">
        <v>14</v>
      </c>
      <c r="AG52" s="19" t="s">
        <v>542</v>
      </c>
      <c r="AH52" s="31" t="s">
        <v>1037</v>
      </c>
      <c r="AI52" s="32" t="s">
        <v>183</v>
      </c>
      <c r="AJ52" s="38" t="s">
        <v>547</v>
      </c>
      <c r="AK52" s="19" t="s">
        <v>1048</v>
      </c>
      <c r="AL52" s="38" t="s">
        <v>548</v>
      </c>
      <c r="AM52" s="19" t="s">
        <v>1052</v>
      </c>
      <c r="AN52" s="38" t="s">
        <v>1038</v>
      </c>
      <c r="AO52" s="19" t="s">
        <v>1039</v>
      </c>
      <c r="AP52" s="31" t="s">
        <v>7</v>
      </c>
      <c r="AQ52" s="19" t="s">
        <v>7</v>
      </c>
      <c r="AR52" s="33" t="s">
        <v>7</v>
      </c>
      <c r="AS52" s="34" t="s">
        <v>7</v>
      </c>
      <c r="AT52" s="33" t="s">
        <v>7</v>
      </c>
      <c r="AU52" s="34" t="s">
        <v>7</v>
      </c>
      <c r="AV52" s="33" t="s">
        <v>7</v>
      </c>
      <c r="AW52" s="34" t="s">
        <v>7</v>
      </c>
      <c r="AX52" s="33" t="s">
        <v>7</v>
      </c>
      <c r="AY52" s="34" t="s">
        <v>7</v>
      </c>
      <c r="AZ52" s="33" t="s">
        <v>7</v>
      </c>
      <c r="BA52" s="34" t="s">
        <v>7</v>
      </c>
    </row>
    <row r="53" spans="1:53" ht="8.25" customHeight="1" x14ac:dyDescent="0.25">
      <c r="A53" s="16">
        <v>52</v>
      </c>
      <c r="B53" s="17" t="s">
        <v>416</v>
      </c>
      <c r="C53" s="18" t="s">
        <v>609</v>
      </c>
      <c r="D53" s="33" t="s">
        <v>7</v>
      </c>
      <c r="E53" s="34" t="s">
        <v>7</v>
      </c>
      <c r="F53" s="29" t="s">
        <v>553</v>
      </c>
      <c r="G53" s="30" t="s">
        <v>544</v>
      </c>
      <c r="H53" s="33" t="s">
        <v>7</v>
      </c>
      <c r="I53" s="34" t="s">
        <v>7</v>
      </c>
      <c r="J53" s="40" t="s">
        <v>74</v>
      </c>
      <c r="K53" s="66" t="s">
        <v>286</v>
      </c>
      <c r="L53" s="40" t="s">
        <v>7</v>
      </c>
      <c r="M53" s="39" t="s">
        <v>7</v>
      </c>
      <c r="N53" s="40" t="s">
        <v>7</v>
      </c>
      <c r="O53" s="19" t="s">
        <v>7</v>
      </c>
      <c r="P53" s="40" t="s">
        <v>7</v>
      </c>
      <c r="Q53" s="19" t="s">
        <v>7</v>
      </c>
      <c r="R53" s="31" t="s">
        <v>7</v>
      </c>
      <c r="S53" s="19" t="s">
        <v>7</v>
      </c>
      <c r="T53" s="31" t="s">
        <v>76</v>
      </c>
      <c r="U53" s="32">
        <v>207</v>
      </c>
      <c r="V53" s="31" t="s">
        <v>77</v>
      </c>
      <c r="W53" s="32">
        <v>133</v>
      </c>
      <c r="X53" s="31" t="s">
        <v>181</v>
      </c>
      <c r="Y53" s="32" t="s">
        <v>188</v>
      </c>
      <c r="Z53" s="31" t="s">
        <v>182</v>
      </c>
      <c r="AA53" s="32" t="s">
        <v>135</v>
      </c>
      <c r="AB53" s="31" t="s">
        <v>184</v>
      </c>
      <c r="AC53" s="32" t="s">
        <v>203</v>
      </c>
      <c r="AD53" s="31" t="s">
        <v>1036</v>
      </c>
      <c r="AE53" s="32">
        <v>26</v>
      </c>
      <c r="AF53" s="31" t="s">
        <v>14</v>
      </c>
      <c r="AG53" s="19" t="s">
        <v>542</v>
      </c>
      <c r="AH53" s="31" t="s">
        <v>1037</v>
      </c>
      <c r="AI53" s="32" t="s">
        <v>183</v>
      </c>
      <c r="AJ53" s="38" t="s">
        <v>547</v>
      </c>
      <c r="AK53" s="19" t="s">
        <v>1048</v>
      </c>
      <c r="AL53" s="38" t="s">
        <v>548</v>
      </c>
      <c r="AM53" s="19" t="s">
        <v>1052</v>
      </c>
      <c r="AN53" s="38" t="s">
        <v>1038</v>
      </c>
      <c r="AO53" s="19" t="s">
        <v>1039</v>
      </c>
      <c r="AP53" s="31" t="s">
        <v>7</v>
      </c>
      <c r="AQ53" s="19" t="s">
        <v>7</v>
      </c>
      <c r="AR53" s="33" t="s">
        <v>7</v>
      </c>
      <c r="AS53" s="34" t="s">
        <v>7</v>
      </c>
      <c r="AT53" s="33" t="s">
        <v>7</v>
      </c>
      <c r="AU53" s="34" t="s">
        <v>7</v>
      </c>
      <c r="AV53" s="33" t="s">
        <v>7</v>
      </c>
      <c r="AW53" s="34" t="s">
        <v>7</v>
      </c>
      <c r="AX53" s="33" t="s">
        <v>7</v>
      </c>
      <c r="AY53" s="34" t="s">
        <v>7</v>
      </c>
      <c r="AZ53" s="33" t="s">
        <v>7</v>
      </c>
      <c r="BA53" s="34" t="s">
        <v>7</v>
      </c>
    </row>
    <row r="54" spans="1:53" ht="8.25" customHeight="1" x14ac:dyDescent="0.25">
      <c r="A54" s="16">
        <v>53</v>
      </c>
      <c r="B54" s="17" t="s">
        <v>417</v>
      </c>
      <c r="C54" s="18" t="s">
        <v>609</v>
      </c>
      <c r="D54" s="33" t="s">
        <v>7</v>
      </c>
      <c r="E54" s="34" t="s">
        <v>7</v>
      </c>
      <c r="F54" s="29" t="s">
        <v>553</v>
      </c>
      <c r="G54" s="30" t="s">
        <v>544</v>
      </c>
      <c r="H54" s="33" t="s">
        <v>7</v>
      </c>
      <c r="I54" s="34" t="s">
        <v>7</v>
      </c>
      <c r="J54" s="40" t="s">
        <v>74</v>
      </c>
      <c r="K54" s="66" t="s">
        <v>287</v>
      </c>
      <c r="L54" s="40" t="s">
        <v>7</v>
      </c>
      <c r="M54" s="39" t="s">
        <v>7</v>
      </c>
      <c r="N54" s="40" t="s">
        <v>7</v>
      </c>
      <c r="O54" s="19" t="s">
        <v>7</v>
      </c>
      <c r="P54" s="40" t="s">
        <v>7</v>
      </c>
      <c r="Q54" s="19" t="s">
        <v>7</v>
      </c>
      <c r="R54" s="31" t="s">
        <v>7</v>
      </c>
      <c r="S54" s="19" t="s">
        <v>7</v>
      </c>
      <c r="T54" s="31" t="s">
        <v>76</v>
      </c>
      <c r="U54" s="32">
        <v>210</v>
      </c>
      <c r="V54" s="31" t="s">
        <v>77</v>
      </c>
      <c r="W54" s="32">
        <v>134</v>
      </c>
      <c r="X54" s="31" t="s">
        <v>181</v>
      </c>
      <c r="Y54" s="32" t="s">
        <v>187</v>
      </c>
      <c r="Z54" s="31" t="s">
        <v>182</v>
      </c>
      <c r="AA54" s="32" t="s">
        <v>92</v>
      </c>
      <c r="AB54" s="31" t="s">
        <v>184</v>
      </c>
      <c r="AC54" s="32" t="s">
        <v>205</v>
      </c>
      <c r="AD54" s="31" t="s">
        <v>1036</v>
      </c>
      <c r="AE54" s="32">
        <v>31</v>
      </c>
      <c r="AF54" s="31" t="s">
        <v>14</v>
      </c>
      <c r="AG54" s="19" t="s">
        <v>542</v>
      </c>
      <c r="AH54" s="31" t="s">
        <v>1037</v>
      </c>
      <c r="AI54" s="32" t="s">
        <v>183</v>
      </c>
      <c r="AJ54" s="38" t="s">
        <v>547</v>
      </c>
      <c r="AK54" s="19" t="s">
        <v>1048</v>
      </c>
      <c r="AL54" s="38" t="s">
        <v>548</v>
      </c>
      <c r="AM54" s="19" t="s">
        <v>1052</v>
      </c>
      <c r="AN54" s="38" t="s">
        <v>1038</v>
      </c>
      <c r="AO54" s="19" t="s">
        <v>1039</v>
      </c>
      <c r="AP54" s="31" t="s">
        <v>7</v>
      </c>
      <c r="AQ54" s="19" t="s">
        <v>7</v>
      </c>
      <c r="AR54" s="33" t="s">
        <v>7</v>
      </c>
      <c r="AS54" s="34" t="s">
        <v>7</v>
      </c>
      <c r="AT54" s="33" t="s">
        <v>7</v>
      </c>
      <c r="AU54" s="34" t="s">
        <v>7</v>
      </c>
      <c r="AV54" s="33" t="s">
        <v>7</v>
      </c>
      <c r="AW54" s="34" t="s">
        <v>7</v>
      </c>
      <c r="AX54" s="33" t="s">
        <v>7</v>
      </c>
      <c r="AY54" s="34" t="s">
        <v>7</v>
      </c>
      <c r="AZ54" s="33" t="s">
        <v>7</v>
      </c>
      <c r="BA54" s="34" t="s">
        <v>7</v>
      </c>
    </row>
    <row r="55" spans="1:53" ht="8.25" customHeight="1" x14ac:dyDescent="0.25">
      <c r="A55" s="16">
        <v>54</v>
      </c>
      <c r="B55" s="17" t="s">
        <v>418</v>
      </c>
      <c r="C55" s="18" t="s">
        <v>609</v>
      </c>
      <c r="D55" s="33" t="s">
        <v>7</v>
      </c>
      <c r="E55" s="34" t="s">
        <v>7</v>
      </c>
      <c r="F55" s="29" t="s">
        <v>553</v>
      </c>
      <c r="G55" s="30" t="s">
        <v>544</v>
      </c>
      <c r="H55" s="33" t="s">
        <v>7</v>
      </c>
      <c r="I55" s="34" t="s">
        <v>7</v>
      </c>
      <c r="J55" s="40" t="s">
        <v>74</v>
      </c>
      <c r="K55" s="66" t="s">
        <v>288</v>
      </c>
      <c r="L55" s="40" t="s">
        <v>7</v>
      </c>
      <c r="M55" s="39" t="s">
        <v>7</v>
      </c>
      <c r="N55" s="40" t="s">
        <v>7</v>
      </c>
      <c r="O55" s="19" t="s">
        <v>7</v>
      </c>
      <c r="P55" s="40" t="s">
        <v>7</v>
      </c>
      <c r="Q55" s="19" t="s">
        <v>7</v>
      </c>
      <c r="R55" s="31" t="s">
        <v>7</v>
      </c>
      <c r="S55" s="19" t="s">
        <v>7</v>
      </c>
      <c r="T55" s="31" t="s">
        <v>76</v>
      </c>
      <c r="U55" s="32">
        <v>201</v>
      </c>
      <c r="V55" s="31" t="s">
        <v>77</v>
      </c>
      <c r="W55" s="32">
        <v>165</v>
      </c>
      <c r="X55" s="31" t="s">
        <v>181</v>
      </c>
      <c r="Y55" s="32" t="s">
        <v>204</v>
      </c>
      <c r="Z55" s="31" t="s">
        <v>182</v>
      </c>
      <c r="AA55" s="32" t="s">
        <v>92</v>
      </c>
      <c r="AB55" s="31" t="s">
        <v>184</v>
      </c>
      <c r="AC55" s="32">
        <v>10</v>
      </c>
      <c r="AD55" s="31" t="s">
        <v>1036</v>
      </c>
      <c r="AE55" s="32">
        <v>35</v>
      </c>
      <c r="AF55" s="31" t="s">
        <v>14</v>
      </c>
      <c r="AG55" s="19" t="s">
        <v>542</v>
      </c>
      <c r="AH55" s="31" t="s">
        <v>1037</v>
      </c>
      <c r="AI55" s="32" t="s">
        <v>183</v>
      </c>
      <c r="AJ55" s="38" t="s">
        <v>547</v>
      </c>
      <c r="AK55" s="19" t="s">
        <v>1048</v>
      </c>
      <c r="AL55" s="38" t="s">
        <v>548</v>
      </c>
      <c r="AM55" s="19" t="s">
        <v>1052</v>
      </c>
      <c r="AN55" s="38" t="s">
        <v>1038</v>
      </c>
      <c r="AO55" s="19" t="s">
        <v>1039</v>
      </c>
      <c r="AP55" s="31" t="s">
        <v>7</v>
      </c>
      <c r="AQ55" s="19" t="s">
        <v>7</v>
      </c>
      <c r="AR55" s="33" t="s">
        <v>7</v>
      </c>
      <c r="AS55" s="34" t="s">
        <v>7</v>
      </c>
      <c r="AT55" s="33" t="s">
        <v>7</v>
      </c>
      <c r="AU55" s="34" t="s">
        <v>7</v>
      </c>
      <c r="AV55" s="33" t="s">
        <v>7</v>
      </c>
      <c r="AW55" s="34" t="s">
        <v>7</v>
      </c>
      <c r="AX55" s="33" t="s">
        <v>7</v>
      </c>
      <c r="AY55" s="34" t="s">
        <v>7</v>
      </c>
      <c r="AZ55" s="33" t="s">
        <v>7</v>
      </c>
      <c r="BA55" s="34" t="s">
        <v>7</v>
      </c>
    </row>
    <row r="56" spans="1:53" ht="8.25" customHeight="1" x14ac:dyDescent="0.25">
      <c r="A56" s="16">
        <v>55</v>
      </c>
      <c r="B56" s="17" t="s">
        <v>419</v>
      </c>
      <c r="C56" s="18" t="s">
        <v>609</v>
      </c>
      <c r="D56" s="33" t="s">
        <v>7</v>
      </c>
      <c r="E56" s="34" t="s">
        <v>7</v>
      </c>
      <c r="F56" s="29" t="s">
        <v>553</v>
      </c>
      <c r="G56" s="30" t="s">
        <v>544</v>
      </c>
      <c r="H56" s="33" t="s">
        <v>7</v>
      </c>
      <c r="I56" s="34" t="s">
        <v>7</v>
      </c>
      <c r="J56" s="40" t="s">
        <v>74</v>
      </c>
      <c r="K56" s="66" t="s">
        <v>289</v>
      </c>
      <c r="L56" s="40" t="s">
        <v>7</v>
      </c>
      <c r="M56" s="39" t="s">
        <v>7</v>
      </c>
      <c r="N56" s="40" t="s">
        <v>7</v>
      </c>
      <c r="O56" s="19" t="s">
        <v>7</v>
      </c>
      <c r="P56" s="40" t="s">
        <v>7</v>
      </c>
      <c r="Q56" s="19" t="s">
        <v>7</v>
      </c>
      <c r="R56" s="31" t="s">
        <v>7</v>
      </c>
      <c r="S56" s="19" t="s">
        <v>7</v>
      </c>
      <c r="T56" s="31" t="s">
        <v>76</v>
      </c>
      <c r="U56" s="32">
        <v>205</v>
      </c>
      <c r="V56" s="31" t="s">
        <v>77</v>
      </c>
      <c r="W56" s="32">
        <v>166</v>
      </c>
      <c r="X56" s="31" t="s">
        <v>181</v>
      </c>
      <c r="Y56" s="32" t="s">
        <v>206</v>
      </c>
      <c r="Z56" s="31" t="s">
        <v>182</v>
      </c>
      <c r="AA56" s="32" t="s">
        <v>96</v>
      </c>
      <c r="AB56" s="31" t="s">
        <v>184</v>
      </c>
      <c r="AC56" s="32">
        <v>10</v>
      </c>
      <c r="AD56" s="31" t="s">
        <v>1036</v>
      </c>
      <c r="AE56" s="32">
        <v>41</v>
      </c>
      <c r="AF56" s="31" t="s">
        <v>14</v>
      </c>
      <c r="AG56" s="19" t="s">
        <v>542</v>
      </c>
      <c r="AH56" s="31" t="s">
        <v>1037</v>
      </c>
      <c r="AI56" s="32" t="s">
        <v>183</v>
      </c>
      <c r="AJ56" s="38" t="s">
        <v>547</v>
      </c>
      <c r="AK56" s="19" t="s">
        <v>1048</v>
      </c>
      <c r="AL56" s="38" t="s">
        <v>548</v>
      </c>
      <c r="AM56" s="19" t="s">
        <v>1052</v>
      </c>
      <c r="AN56" s="38" t="s">
        <v>1038</v>
      </c>
      <c r="AO56" s="19" t="s">
        <v>1039</v>
      </c>
      <c r="AP56" s="31" t="s">
        <v>7</v>
      </c>
      <c r="AQ56" s="19" t="s">
        <v>7</v>
      </c>
      <c r="AR56" s="33" t="s">
        <v>7</v>
      </c>
      <c r="AS56" s="34" t="s">
        <v>7</v>
      </c>
      <c r="AT56" s="33" t="s">
        <v>7</v>
      </c>
      <c r="AU56" s="34" t="s">
        <v>7</v>
      </c>
      <c r="AV56" s="33" t="s">
        <v>7</v>
      </c>
      <c r="AW56" s="34" t="s">
        <v>7</v>
      </c>
      <c r="AX56" s="33" t="s">
        <v>7</v>
      </c>
      <c r="AY56" s="34" t="s">
        <v>7</v>
      </c>
      <c r="AZ56" s="33" t="s">
        <v>7</v>
      </c>
      <c r="BA56" s="34" t="s">
        <v>7</v>
      </c>
    </row>
    <row r="57" spans="1:53" ht="8.25" customHeight="1" x14ac:dyDescent="0.25">
      <c r="A57" s="16">
        <v>56</v>
      </c>
      <c r="B57" s="17" t="s">
        <v>420</v>
      </c>
      <c r="C57" s="18" t="s">
        <v>609</v>
      </c>
      <c r="D57" s="33" t="s">
        <v>7</v>
      </c>
      <c r="E57" s="34" t="s">
        <v>7</v>
      </c>
      <c r="F57" s="29" t="s">
        <v>553</v>
      </c>
      <c r="G57" s="30" t="s">
        <v>544</v>
      </c>
      <c r="H57" s="33" t="s">
        <v>7</v>
      </c>
      <c r="I57" s="34" t="s">
        <v>7</v>
      </c>
      <c r="J57" s="40" t="s">
        <v>74</v>
      </c>
      <c r="K57" s="66" t="s">
        <v>290</v>
      </c>
      <c r="L57" s="40" t="s">
        <v>7</v>
      </c>
      <c r="M57" s="39" t="s">
        <v>7</v>
      </c>
      <c r="N57" s="40" t="s">
        <v>7</v>
      </c>
      <c r="O57" s="19" t="s">
        <v>7</v>
      </c>
      <c r="P57" s="40" t="s">
        <v>7</v>
      </c>
      <c r="Q57" s="19" t="s">
        <v>7</v>
      </c>
      <c r="R57" s="31" t="s">
        <v>7</v>
      </c>
      <c r="S57" s="19" t="s">
        <v>7</v>
      </c>
      <c r="T57" s="31" t="s">
        <v>76</v>
      </c>
      <c r="U57" s="32">
        <v>203</v>
      </c>
      <c r="V57" s="31" t="s">
        <v>77</v>
      </c>
      <c r="W57" s="32">
        <v>203</v>
      </c>
      <c r="X57" s="31" t="s">
        <v>181</v>
      </c>
      <c r="Y57" s="32" t="s">
        <v>206</v>
      </c>
      <c r="Z57" s="31" t="s">
        <v>182</v>
      </c>
      <c r="AA57" s="32">
        <v>11</v>
      </c>
      <c r="AB57" s="31" t="s">
        <v>184</v>
      </c>
      <c r="AC57" s="32" t="s">
        <v>199</v>
      </c>
      <c r="AD57" s="31" t="s">
        <v>1036</v>
      </c>
      <c r="AE57" s="32">
        <v>46</v>
      </c>
      <c r="AF57" s="31" t="s">
        <v>14</v>
      </c>
      <c r="AG57" s="19" t="s">
        <v>542</v>
      </c>
      <c r="AH57" s="31" t="s">
        <v>1037</v>
      </c>
      <c r="AI57" s="32" t="s">
        <v>183</v>
      </c>
      <c r="AJ57" s="38" t="s">
        <v>547</v>
      </c>
      <c r="AK57" s="19" t="s">
        <v>1048</v>
      </c>
      <c r="AL57" s="38" t="s">
        <v>548</v>
      </c>
      <c r="AM57" s="19" t="s">
        <v>1052</v>
      </c>
      <c r="AN57" s="38" t="s">
        <v>1038</v>
      </c>
      <c r="AO57" s="19" t="s">
        <v>1039</v>
      </c>
      <c r="AP57" s="31" t="s">
        <v>7</v>
      </c>
      <c r="AQ57" s="19" t="s">
        <v>7</v>
      </c>
      <c r="AR57" s="33" t="s">
        <v>7</v>
      </c>
      <c r="AS57" s="34" t="s">
        <v>7</v>
      </c>
      <c r="AT57" s="33" t="s">
        <v>7</v>
      </c>
      <c r="AU57" s="34" t="s">
        <v>7</v>
      </c>
      <c r="AV57" s="33" t="s">
        <v>7</v>
      </c>
      <c r="AW57" s="34" t="s">
        <v>7</v>
      </c>
      <c r="AX57" s="33" t="s">
        <v>7</v>
      </c>
      <c r="AY57" s="34" t="s">
        <v>7</v>
      </c>
      <c r="AZ57" s="33" t="s">
        <v>7</v>
      </c>
      <c r="BA57" s="34" t="s">
        <v>7</v>
      </c>
    </row>
    <row r="58" spans="1:53" ht="8.25" customHeight="1" x14ac:dyDescent="0.25">
      <c r="A58" s="16">
        <v>57</v>
      </c>
      <c r="B58" s="17" t="s">
        <v>421</v>
      </c>
      <c r="C58" s="18" t="s">
        <v>609</v>
      </c>
      <c r="D58" s="33" t="s">
        <v>7</v>
      </c>
      <c r="E58" s="34" t="s">
        <v>7</v>
      </c>
      <c r="F58" s="29" t="s">
        <v>553</v>
      </c>
      <c r="G58" s="30" t="s">
        <v>544</v>
      </c>
      <c r="H58" s="33" t="s">
        <v>7</v>
      </c>
      <c r="I58" s="34" t="s">
        <v>7</v>
      </c>
      <c r="J58" s="40" t="s">
        <v>74</v>
      </c>
      <c r="K58" s="66" t="s">
        <v>291</v>
      </c>
      <c r="L58" s="40" t="s">
        <v>7</v>
      </c>
      <c r="M58" s="39" t="s">
        <v>7</v>
      </c>
      <c r="N58" s="40" t="s">
        <v>7</v>
      </c>
      <c r="O58" s="19" t="s">
        <v>7</v>
      </c>
      <c r="P58" s="40" t="s">
        <v>7</v>
      </c>
      <c r="Q58" s="19" t="s">
        <v>7</v>
      </c>
      <c r="R58" s="31" t="s">
        <v>7</v>
      </c>
      <c r="S58" s="19" t="s">
        <v>7</v>
      </c>
      <c r="T58" s="31" t="s">
        <v>76</v>
      </c>
      <c r="U58" s="32">
        <v>206</v>
      </c>
      <c r="V58" s="31" t="s">
        <v>77</v>
      </c>
      <c r="W58" s="32">
        <v>204</v>
      </c>
      <c r="X58" s="31" t="s">
        <v>181</v>
      </c>
      <c r="Y58" s="32" t="s">
        <v>207</v>
      </c>
      <c r="Z58" s="31" t="s">
        <v>182</v>
      </c>
      <c r="AA58" s="32" t="s">
        <v>102</v>
      </c>
      <c r="AB58" s="31" t="s">
        <v>184</v>
      </c>
      <c r="AC58" s="32">
        <v>10</v>
      </c>
      <c r="AD58" s="31" t="s">
        <v>1036</v>
      </c>
      <c r="AE58" s="32">
        <v>52</v>
      </c>
      <c r="AF58" s="31" t="s">
        <v>14</v>
      </c>
      <c r="AG58" s="19" t="s">
        <v>542</v>
      </c>
      <c r="AH58" s="31" t="s">
        <v>1037</v>
      </c>
      <c r="AI58" s="32" t="s">
        <v>183</v>
      </c>
      <c r="AJ58" s="38" t="s">
        <v>547</v>
      </c>
      <c r="AK58" s="19" t="s">
        <v>1048</v>
      </c>
      <c r="AL58" s="38" t="s">
        <v>548</v>
      </c>
      <c r="AM58" s="19" t="s">
        <v>1052</v>
      </c>
      <c r="AN58" s="38" t="s">
        <v>1038</v>
      </c>
      <c r="AO58" s="19" t="s">
        <v>1039</v>
      </c>
      <c r="AP58" s="31" t="s">
        <v>7</v>
      </c>
      <c r="AQ58" s="19" t="s">
        <v>7</v>
      </c>
      <c r="AR58" s="33" t="s">
        <v>7</v>
      </c>
      <c r="AS58" s="34" t="s">
        <v>7</v>
      </c>
      <c r="AT58" s="33" t="s">
        <v>7</v>
      </c>
      <c r="AU58" s="34" t="s">
        <v>7</v>
      </c>
      <c r="AV58" s="33" t="s">
        <v>7</v>
      </c>
      <c r="AW58" s="34" t="s">
        <v>7</v>
      </c>
      <c r="AX58" s="33" t="s">
        <v>7</v>
      </c>
      <c r="AY58" s="34" t="s">
        <v>7</v>
      </c>
      <c r="AZ58" s="33" t="s">
        <v>7</v>
      </c>
      <c r="BA58" s="34" t="s">
        <v>7</v>
      </c>
    </row>
    <row r="59" spans="1:53" ht="8.25" customHeight="1" x14ac:dyDescent="0.25">
      <c r="A59" s="16">
        <v>58</v>
      </c>
      <c r="B59" s="17" t="s">
        <v>422</v>
      </c>
      <c r="C59" s="18" t="s">
        <v>609</v>
      </c>
      <c r="D59" s="33" t="s">
        <v>7</v>
      </c>
      <c r="E59" s="34" t="s">
        <v>7</v>
      </c>
      <c r="F59" s="29" t="s">
        <v>553</v>
      </c>
      <c r="G59" s="30" t="s">
        <v>544</v>
      </c>
      <c r="H59" s="33" t="s">
        <v>7</v>
      </c>
      <c r="I59" s="34" t="s">
        <v>7</v>
      </c>
      <c r="J59" s="40" t="s">
        <v>74</v>
      </c>
      <c r="K59" s="66" t="s">
        <v>292</v>
      </c>
      <c r="L59" s="40" t="s">
        <v>7</v>
      </c>
      <c r="M59" s="39" t="s">
        <v>7</v>
      </c>
      <c r="N59" s="40" t="s">
        <v>7</v>
      </c>
      <c r="O59" s="19" t="s">
        <v>7</v>
      </c>
      <c r="P59" s="40" t="s">
        <v>7</v>
      </c>
      <c r="Q59" s="19" t="s">
        <v>7</v>
      </c>
      <c r="R59" s="31" t="s">
        <v>7</v>
      </c>
      <c r="S59" s="19" t="s">
        <v>7</v>
      </c>
      <c r="T59" s="31" t="s">
        <v>76</v>
      </c>
      <c r="U59" s="32">
        <v>210</v>
      </c>
      <c r="V59" s="31" t="s">
        <v>77</v>
      </c>
      <c r="W59" s="32">
        <v>205</v>
      </c>
      <c r="X59" s="31" t="s">
        <v>181</v>
      </c>
      <c r="Y59" s="32" t="s">
        <v>208</v>
      </c>
      <c r="Z59" s="31" t="s">
        <v>182</v>
      </c>
      <c r="AA59" s="32" t="s">
        <v>107</v>
      </c>
      <c r="AB59" s="31" t="s">
        <v>184</v>
      </c>
      <c r="AC59" s="32">
        <v>10</v>
      </c>
      <c r="AD59" s="31" t="s">
        <v>1036</v>
      </c>
      <c r="AE59" s="32">
        <v>59</v>
      </c>
      <c r="AF59" s="31" t="s">
        <v>14</v>
      </c>
      <c r="AG59" s="19" t="s">
        <v>542</v>
      </c>
      <c r="AH59" s="31" t="s">
        <v>1037</v>
      </c>
      <c r="AI59" s="32" t="s">
        <v>183</v>
      </c>
      <c r="AJ59" s="38" t="s">
        <v>547</v>
      </c>
      <c r="AK59" s="19" t="s">
        <v>1048</v>
      </c>
      <c r="AL59" s="38" t="s">
        <v>548</v>
      </c>
      <c r="AM59" s="19" t="s">
        <v>1052</v>
      </c>
      <c r="AN59" s="38" t="s">
        <v>1038</v>
      </c>
      <c r="AO59" s="19" t="s">
        <v>1039</v>
      </c>
      <c r="AP59" s="31" t="s">
        <v>7</v>
      </c>
      <c r="AQ59" s="19" t="s">
        <v>7</v>
      </c>
      <c r="AR59" s="33" t="s">
        <v>7</v>
      </c>
      <c r="AS59" s="34" t="s">
        <v>7</v>
      </c>
      <c r="AT59" s="33" t="s">
        <v>7</v>
      </c>
      <c r="AU59" s="34" t="s">
        <v>7</v>
      </c>
      <c r="AV59" s="33" t="s">
        <v>7</v>
      </c>
      <c r="AW59" s="34" t="s">
        <v>7</v>
      </c>
      <c r="AX59" s="33" t="s">
        <v>7</v>
      </c>
      <c r="AY59" s="34" t="s">
        <v>7</v>
      </c>
      <c r="AZ59" s="33" t="s">
        <v>7</v>
      </c>
      <c r="BA59" s="34" t="s">
        <v>7</v>
      </c>
    </row>
    <row r="60" spans="1:53" ht="8.25" customHeight="1" x14ac:dyDescent="0.25">
      <c r="A60" s="16">
        <v>59</v>
      </c>
      <c r="B60" s="17" t="s">
        <v>423</v>
      </c>
      <c r="C60" s="18" t="s">
        <v>609</v>
      </c>
      <c r="D60" s="33" t="s">
        <v>7</v>
      </c>
      <c r="E60" s="34" t="s">
        <v>7</v>
      </c>
      <c r="F60" s="29" t="s">
        <v>553</v>
      </c>
      <c r="G60" s="30" t="s">
        <v>544</v>
      </c>
      <c r="H60" s="33" t="s">
        <v>7</v>
      </c>
      <c r="I60" s="34" t="s">
        <v>7</v>
      </c>
      <c r="J60" s="40" t="s">
        <v>74</v>
      </c>
      <c r="K60" s="66" t="s">
        <v>293</v>
      </c>
      <c r="L60" s="40" t="s">
        <v>7</v>
      </c>
      <c r="M60" s="39" t="s">
        <v>7</v>
      </c>
      <c r="N60" s="40" t="s">
        <v>7</v>
      </c>
      <c r="O60" s="19" t="s">
        <v>7</v>
      </c>
      <c r="P60" s="40" t="s">
        <v>7</v>
      </c>
      <c r="Q60" s="19" t="s">
        <v>7</v>
      </c>
      <c r="R60" s="31" t="s">
        <v>7</v>
      </c>
      <c r="S60" s="19" t="s">
        <v>7</v>
      </c>
      <c r="T60" s="31" t="s">
        <v>76</v>
      </c>
      <c r="U60" s="32">
        <v>216</v>
      </c>
      <c r="V60" s="31" t="s">
        <v>77</v>
      </c>
      <c r="W60" s="32">
        <v>206</v>
      </c>
      <c r="X60" s="31" t="s">
        <v>181</v>
      </c>
      <c r="Y60" s="32" t="s">
        <v>92</v>
      </c>
      <c r="Z60" s="31" t="s">
        <v>182</v>
      </c>
      <c r="AA60" s="32" t="s">
        <v>109</v>
      </c>
      <c r="AB60" s="31" t="s">
        <v>184</v>
      </c>
      <c r="AC60" s="32">
        <v>10</v>
      </c>
      <c r="AD60" s="31" t="s">
        <v>1036</v>
      </c>
      <c r="AE60" s="32">
        <v>71</v>
      </c>
      <c r="AF60" s="31" t="s">
        <v>14</v>
      </c>
      <c r="AG60" s="19" t="s">
        <v>542</v>
      </c>
      <c r="AH60" s="31" t="s">
        <v>1037</v>
      </c>
      <c r="AI60" s="32" t="s">
        <v>183</v>
      </c>
      <c r="AJ60" s="38" t="s">
        <v>547</v>
      </c>
      <c r="AK60" s="19" t="s">
        <v>1048</v>
      </c>
      <c r="AL60" s="38" t="s">
        <v>548</v>
      </c>
      <c r="AM60" s="19" t="s">
        <v>1052</v>
      </c>
      <c r="AN60" s="38" t="s">
        <v>1038</v>
      </c>
      <c r="AO60" s="19" t="s">
        <v>1039</v>
      </c>
      <c r="AP60" s="31" t="s">
        <v>7</v>
      </c>
      <c r="AQ60" s="19" t="s">
        <v>7</v>
      </c>
      <c r="AR60" s="33" t="s">
        <v>7</v>
      </c>
      <c r="AS60" s="34" t="s">
        <v>7</v>
      </c>
      <c r="AT60" s="33" t="s">
        <v>7</v>
      </c>
      <c r="AU60" s="34" t="s">
        <v>7</v>
      </c>
      <c r="AV60" s="33" t="s">
        <v>7</v>
      </c>
      <c r="AW60" s="34" t="s">
        <v>7</v>
      </c>
      <c r="AX60" s="33" t="s">
        <v>7</v>
      </c>
      <c r="AY60" s="34" t="s">
        <v>7</v>
      </c>
      <c r="AZ60" s="33" t="s">
        <v>7</v>
      </c>
      <c r="BA60" s="34" t="s">
        <v>7</v>
      </c>
    </row>
    <row r="61" spans="1:53" ht="8.25" customHeight="1" x14ac:dyDescent="0.25">
      <c r="A61" s="16">
        <v>60</v>
      </c>
      <c r="B61" s="17" t="s">
        <v>424</v>
      </c>
      <c r="C61" s="18" t="s">
        <v>609</v>
      </c>
      <c r="D61" s="33" t="s">
        <v>7</v>
      </c>
      <c r="E61" s="34" t="s">
        <v>7</v>
      </c>
      <c r="F61" s="29" t="s">
        <v>553</v>
      </c>
      <c r="G61" s="30" t="s">
        <v>544</v>
      </c>
      <c r="H61" s="33" t="s">
        <v>7</v>
      </c>
      <c r="I61" s="34" t="s">
        <v>7</v>
      </c>
      <c r="J61" s="40" t="s">
        <v>74</v>
      </c>
      <c r="K61" s="66" t="s">
        <v>294</v>
      </c>
      <c r="L61" s="40" t="s">
        <v>7</v>
      </c>
      <c r="M61" s="39" t="s">
        <v>7</v>
      </c>
      <c r="N61" s="40" t="s">
        <v>7</v>
      </c>
      <c r="O61" s="19" t="s">
        <v>7</v>
      </c>
      <c r="P61" s="40" t="s">
        <v>7</v>
      </c>
      <c r="Q61" s="19" t="s">
        <v>7</v>
      </c>
      <c r="R61" s="31" t="s">
        <v>7</v>
      </c>
      <c r="S61" s="19" t="s">
        <v>7</v>
      </c>
      <c r="T61" s="31" t="s">
        <v>76</v>
      </c>
      <c r="U61" s="32">
        <v>222</v>
      </c>
      <c r="V61" s="31" t="s">
        <v>77</v>
      </c>
      <c r="W61" s="32">
        <v>209</v>
      </c>
      <c r="X61" s="31" t="s">
        <v>181</v>
      </c>
      <c r="Y61" s="32">
        <v>13</v>
      </c>
      <c r="Z61" s="31" t="s">
        <v>182</v>
      </c>
      <c r="AA61" s="32" t="s">
        <v>111</v>
      </c>
      <c r="AB61" s="31" t="s">
        <v>184</v>
      </c>
      <c r="AC61" s="32" t="s">
        <v>133</v>
      </c>
      <c r="AD61" s="31" t="s">
        <v>1036</v>
      </c>
      <c r="AE61" s="32">
        <v>86</v>
      </c>
      <c r="AF61" s="31" t="s">
        <v>14</v>
      </c>
      <c r="AG61" s="19" t="s">
        <v>542</v>
      </c>
      <c r="AH61" s="31" t="s">
        <v>1037</v>
      </c>
      <c r="AI61" s="32" t="s">
        <v>183</v>
      </c>
      <c r="AJ61" s="38" t="s">
        <v>547</v>
      </c>
      <c r="AK61" s="19" t="s">
        <v>1048</v>
      </c>
      <c r="AL61" s="38" t="s">
        <v>548</v>
      </c>
      <c r="AM61" s="19" t="s">
        <v>1052</v>
      </c>
      <c r="AN61" s="38" t="s">
        <v>1038</v>
      </c>
      <c r="AO61" s="19" t="s">
        <v>1039</v>
      </c>
      <c r="AP61" s="31" t="s">
        <v>7</v>
      </c>
      <c r="AQ61" s="19" t="s">
        <v>7</v>
      </c>
      <c r="AR61" s="33" t="s">
        <v>7</v>
      </c>
      <c r="AS61" s="34" t="s">
        <v>7</v>
      </c>
      <c r="AT61" s="33" t="s">
        <v>7</v>
      </c>
      <c r="AU61" s="34" t="s">
        <v>7</v>
      </c>
      <c r="AV61" s="33" t="s">
        <v>7</v>
      </c>
      <c r="AW61" s="34" t="s">
        <v>7</v>
      </c>
      <c r="AX61" s="33" t="s">
        <v>7</v>
      </c>
      <c r="AY61" s="34" t="s">
        <v>7</v>
      </c>
      <c r="AZ61" s="33" t="s">
        <v>7</v>
      </c>
      <c r="BA61" s="34" t="s">
        <v>7</v>
      </c>
    </row>
    <row r="62" spans="1:53" ht="8.25" customHeight="1" x14ac:dyDescent="0.25">
      <c r="A62" s="16">
        <v>61</v>
      </c>
      <c r="B62" s="17" t="s">
        <v>425</v>
      </c>
      <c r="C62" s="18" t="s">
        <v>609</v>
      </c>
      <c r="D62" s="33" t="s">
        <v>7</v>
      </c>
      <c r="E62" s="34" t="s">
        <v>7</v>
      </c>
      <c r="F62" s="29" t="s">
        <v>553</v>
      </c>
      <c r="G62" s="30" t="s">
        <v>544</v>
      </c>
      <c r="H62" s="33" t="s">
        <v>7</v>
      </c>
      <c r="I62" s="34" t="s">
        <v>7</v>
      </c>
      <c r="J62" s="40" t="s">
        <v>74</v>
      </c>
      <c r="K62" s="66" t="s">
        <v>295</v>
      </c>
      <c r="L62" s="40" t="s">
        <v>7</v>
      </c>
      <c r="M62" s="39" t="s">
        <v>7</v>
      </c>
      <c r="N62" s="40" t="s">
        <v>7</v>
      </c>
      <c r="O62" s="19" t="s">
        <v>7</v>
      </c>
      <c r="P62" s="40" t="s">
        <v>7</v>
      </c>
      <c r="Q62" s="19" t="s">
        <v>7</v>
      </c>
      <c r="R62" s="31" t="s">
        <v>7</v>
      </c>
      <c r="S62" s="19" t="s">
        <v>7</v>
      </c>
      <c r="T62" s="31" t="s">
        <v>76</v>
      </c>
      <c r="U62" s="32">
        <v>264</v>
      </c>
      <c r="V62" s="31" t="s">
        <v>77</v>
      </c>
      <c r="W62" s="32">
        <v>257</v>
      </c>
      <c r="X62" s="31" t="s">
        <v>181</v>
      </c>
      <c r="Y62" s="32" t="s">
        <v>124</v>
      </c>
      <c r="Z62" s="31" t="s">
        <v>182</v>
      </c>
      <c r="AA62" s="32" t="s">
        <v>125</v>
      </c>
      <c r="AB62" s="31" t="s">
        <v>184</v>
      </c>
      <c r="AC62" s="32" t="s">
        <v>209</v>
      </c>
      <c r="AD62" s="31" t="s">
        <v>1036</v>
      </c>
      <c r="AE62" s="32">
        <v>101</v>
      </c>
      <c r="AF62" s="31" t="s">
        <v>14</v>
      </c>
      <c r="AG62" s="19" t="s">
        <v>542</v>
      </c>
      <c r="AH62" s="31" t="s">
        <v>1037</v>
      </c>
      <c r="AI62" s="32" t="s">
        <v>183</v>
      </c>
      <c r="AJ62" s="38" t="s">
        <v>547</v>
      </c>
      <c r="AK62" s="19" t="s">
        <v>1048</v>
      </c>
      <c r="AL62" s="38" t="s">
        <v>548</v>
      </c>
      <c r="AM62" s="19" t="s">
        <v>1052</v>
      </c>
      <c r="AN62" s="38" t="s">
        <v>1038</v>
      </c>
      <c r="AO62" s="19" t="s">
        <v>1039</v>
      </c>
      <c r="AP62" s="31" t="s">
        <v>7</v>
      </c>
      <c r="AQ62" s="19" t="s">
        <v>7</v>
      </c>
      <c r="AR62" s="33" t="s">
        <v>7</v>
      </c>
      <c r="AS62" s="34" t="s">
        <v>7</v>
      </c>
      <c r="AT62" s="33" t="s">
        <v>7</v>
      </c>
      <c r="AU62" s="34" t="s">
        <v>7</v>
      </c>
      <c r="AV62" s="33" t="s">
        <v>7</v>
      </c>
      <c r="AW62" s="34" t="s">
        <v>7</v>
      </c>
      <c r="AX62" s="33" t="s">
        <v>7</v>
      </c>
      <c r="AY62" s="34" t="s">
        <v>7</v>
      </c>
      <c r="AZ62" s="33" t="s">
        <v>7</v>
      </c>
      <c r="BA62" s="34" t="s">
        <v>7</v>
      </c>
    </row>
    <row r="63" spans="1:53" ht="8.25" customHeight="1" x14ac:dyDescent="0.25">
      <c r="A63" s="16">
        <v>62</v>
      </c>
      <c r="B63" s="17" t="s">
        <v>426</v>
      </c>
      <c r="C63" s="18" t="s">
        <v>609</v>
      </c>
      <c r="D63" s="33" t="s">
        <v>7</v>
      </c>
      <c r="E63" s="34" t="s">
        <v>7</v>
      </c>
      <c r="F63" s="29" t="s">
        <v>553</v>
      </c>
      <c r="G63" s="30" t="s">
        <v>544</v>
      </c>
      <c r="H63" s="33" t="s">
        <v>7</v>
      </c>
      <c r="I63" s="34" t="s">
        <v>7</v>
      </c>
      <c r="J63" s="40" t="s">
        <v>74</v>
      </c>
      <c r="K63" s="66" t="s">
        <v>296</v>
      </c>
      <c r="L63" s="40" t="s">
        <v>7</v>
      </c>
      <c r="M63" s="39" t="s">
        <v>7</v>
      </c>
      <c r="N63" s="40" t="s">
        <v>7</v>
      </c>
      <c r="O63" s="19" t="s">
        <v>7</v>
      </c>
      <c r="P63" s="40" t="s">
        <v>7</v>
      </c>
      <c r="Q63" s="19" t="s">
        <v>7</v>
      </c>
      <c r="R63" s="31" t="s">
        <v>7</v>
      </c>
      <c r="S63" s="19" t="s">
        <v>7</v>
      </c>
      <c r="T63" s="31" t="s">
        <v>76</v>
      </c>
      <c r="U63" s="32">
        <v>269</v>
      </c>
      <c r="V63" s="31" t="s">
        <v>77</v>
      </c>
      <c r="W63" s="32">
        <v>259</v>
      </c>
      <c r="X63" s="31" t="s">
        <v>181</v>
      </c>
      <c r="Y63" s="32" t="s">
        <v>127</v>
      </c>
      <c r="Z63" s="31" t="s">
        <v>182</v>
      </c>
      <c r="AA63" s="32" t="s">
        <v>128</v>
      </c>
      <c r="AB63" s="31" t="s">
        <v>184</v>
      </c>
      <c r="AC63" s="32" t="s">
        <v>209</v>
      </c>
      <c r="AD63" s="31" t="s">
        <v>1036</v>
      </c>
      <c r="AE63" s="32">
        <v>115</v>
      </c>
      <c r="AF63" s="31" t="s">
        <v>14</v>
      </c>
      <c r="AG63" s="19" t="s">
        <v>542</v>
      </c>
      <c r="AH63" s="31" t="s">
        <v>1037</v>
      </c>
      <c r="AI63" s="32" t="s">
        <v>183</v>
      </c>
      <c r="AJ63" s="38" t="s">
        <v>547</v>
      </c>
      <c r="AK63" s="19" t="s">
        <v>1048</v>
      </c>
      <c r="AL63" s="38" t="s">
        <v>548</v>
      </c>
      <c r="AM63" s="19" t="s">
        <v>1052</v>
      </c>
      <c r="AN63" s="38" t="s">
        <v>1038</v>
      </c>
      <c r="AO63" s="19" t="s">
        <v>1039</v>
      </c>
      <c r="AP63" s="31" t="s">
        <v>7</v>
      </c>
      <c r="AQ63" s="19" t="s">
        <v>7</v>
      </c>
      <c r="AR63" s="33" t="s">
        <v>7</v>
      </c>
      <c r="AS63" s="34" t="s">
        <v>7</v>
      </c>
      <c r="AT63" s="33" t="s">
        <v>7</v>
      </c>
      <c r="AU63" s="34" t="s">
        <v>7</v>
      </c>
      <c r="AV63" s="33" t="s">
        <v>7</v>
      </c>
      <c r="AW63" s="34" t="s">
        <v>7</v>
      </c>
      <c r="AX63" s="33" t="s">
        <v>7</v>
      </c>
      <c r="AY63" s="34" t="s">
        <v>7</v>
      </c>
      <c r="AZ63" s="33" t="s">
        <v>7</v>
      </c>
      <c r="BA63" s="34" t="s">
        <v>7</v>
      </c>
    </row>
    <row r="64" spans="1:53" ht="8.25" customHeight="1" x14ac:dyDescent="0.25">
      <c r="A64" s="16">
        <v>63</v>
      </c>
      <c r="B64" s="17" t="s">
        <v>427</v>
      </c>
      <c r="C64" s="18" t="s">
        <v>609</v>
      </c>
      <c r="D64" s="33" t="s">
        <v>7</v>
      </c>
      <c r="E64" s="34" t="s">
        <v>7</v>
      </c>
      <c r="F64" s="29" t="s">
        <v>553</v>
      </c>
      <c r="G64" s="30" t="s">
        <v>544</v>
      </c>
      <c r="H64" s="33" t="s">
        <v>7</v>
      </c>
      <c r="I64" s="34" t="s">
        <v>7</v>
      </c>
      <c r="J64" s="40" t="s">
        <v>74</v>
      </c>
      <c r="K64" s="66" t="s">
        <v>297</v>
      </c>
      <c r="L64" s="40" t="s">
        <v>7</v>
      </c>
      <c r="M64" s="39" t="s">
        <v>7</v>
      </c>
      <c r="N64" s="40" t="s">
        <v>7</v>
      </c>
      <c r="O64" s="19" t="s">
        <v>7</v>
      </c>
      <c r="P64" s="40" t="s">
        <v>7</v>
      </c>
      <c r="Q64" s="19" t="s">
        <v>7</v>
      </c>
      <c r="R64" s="31" t="s">
        <v>7</v>
      </c>
      <c r="S64" s="19" t="s">
        <v>7</v>
      </c>
      <c r="T64" s="31" t="s">
        <v>76</v>
      </c>
      <c r="U64" s="32">
        <v>275</v>
      </c>
      <c r="V64" s="31" t="s">
        <v>77</v>
      </c>
      <c r="W64" s="32">
        <v>261</v>
      </c>
      <c r="X64" s="31" t="s">
        <v>181</v>
      </c>
      <c r="Y64" s="32" t="s">
        <v>134</v>
      </c>
      <c r="Z64" s="31" t="s">
        <v>182</v>
      </c>
      <c r="AA64" s="32" t="s">
        <v>210</v>
      </c>
      <c r="AB64" s="31" t="s">
        <v>184</v>
      </c>
      <c r="AC64" s="32" t="s">
        <v>209</v>
      </c>
      <c r="AD64" s="31" t="s">
        <v>1036</v>
      </c>
      <c r="AE64" s="32">
        <v>131</v>
      </c>
      <c r="AF64" s="31" t="s">
        <v>14</v>
      </c>
      <c r="AG64" s="19" t="s">
        <v>542</v>
      </c>
      <c r="AH64" s="31" t="s">
        <v>1037</v>
      </c>
      <c r="AI64" s="32" t="s">
        <v>183</v>
      </c>
      <c r="AJ64" s="38" t="s">
        <v>547</v>
      </c>
      <c r="AK64" s="19" t="s">
        <v>1048</v>
      </c>
      <c r="AL64" s="38" t="s">
        <v>548</v>
      </c>
      <c r="AM64" s="19" t="s">
        <v>1052</v>
      </c>
      <c r="AN64" s="38" t="s">
        <v>1038</v>
      </c>
      <c r="AO64" s="19" t="s">
        <v>1039</v>
      </c>
      <c r="AP64" s="31" t="s">
        <v>7</v>
      </c>
      <c r="AQ64" s="19" t="s">
        <v>7</v>
      </c>
      <c r="AR64" s="33" t="s">
        <v>7</v>
      </c>
      <c r="AS64" s="34" t="s">
        <v>7</v>
      </c>
      <c r="AT64" s="33" t="s">
        <v>7</v>
      </c>
      <c r="AU64" s="34" t="s">
        <v>7</v>
      </c>
      <c r="AV64" s="33" t="s">
        <v>7</v>
      </c>
      <c r="AW64" s="34" t="s">
        <v>7</v>
      </c>
      <c r="AX64" s="33" t="s">
        <v>7</v>
      </c>
      <c r="AY64" s="34" t="s">
        <v>7</v>
      </c>
      <c r="AZ64" s="33" t="s">
        <v>7</v>
      </c>
      <c r="BA64" s="34" t="s">
        <v>7</v>
      </c>
    </row>
    <row r="65" spans="1:53" ht="8.25" customHeight="1" x14ac:dyDescent="0.25">
      <c r="A65" s="16">
        <v>64</v>
      </c>
      <c r="B65" s="17" t="s">
        <v>428</v>
      </c>
      <c r="C65" s="18" t="s">
        <v>609</v>
      </c>
      <c r="D65" s="33" t="s">
        <v>7</v>
      </c>
      <c r="E65" s="34" t="s">
        <v>7</v>
      </c>
      <c r="F65" s="29" t="s">
        <v>553</v>
      </c>
      <c r="G65" s="30" t="s">
        <v>544</v>
      </c>
      <c r="H65" s="33" t="s">
        <v>7</v>
      </c>
      <c r="I65" s="34" t="s">
        <v>7</v>
      </c>
      <c r="J65" s="40" t="s">
        <v>74</v>
      </c>
      <c r="K65" s="66" t="s">
        <v>298</v>
      </c>
      <c r="L65" s="40" t="s">
        <v>7</v>
      </c>
      <c r="M65" s="39" t="s">
        <v>7</v>
      </c>
      <c r="N65" s="40" t="s">
        <v>7</v>
      </c>
      <c r="O65" s="19" t="s">
        <v>7</v>
      </c>
      <c r="P65" s="40" t="s">
        <v>7</v>
      </c>
      <c r="Q65" s="19" t="s">
        <v>7</v>
      </c>
      <c r="R65" s="31" t="s">
        <v>7</v>
      </c>
      <c r="S65" s="19" t="s">
        <v>7</v>
      </c>
      <c r="T65" s="31" t="s">
        <v>76</v>
      </c>
      <c r="U65" s="32">
        <v>282</v>
      </c>
      <c r="V65" s="31" t="s">
        <v>77</v>
      </c>
      <c r="W65" s="32">
        <v>263</v>
      </c>
      <c r="X65" s="31" t="s">
        <v>181</v>
      </c>
      <c r="Y65" s="32" t="s">
        <v>122</v>
      </c>
      <c r="Z65" s="31" t="s">
        <v>182</v>
      </c>
      <c r="AA65" s="32" t="s">
        <v>211</v>
      </c>
      <c r="AB65" s="31" t="s">
        <v>184</v>
      </c>
      <c r="AC65" s="32" t="s">
        <v>209</v>
      </c>
      <c r="AD65" s="31" t="s">
        <v>1036</v>
      </c>
      <c r="AE65" s="32">
        <v>149</v>
      </c>
      <c r="AF65" s="31" t="s">
        <v>14</v>
      </c>
      <c r="AG65" s="19" t="s">
        <v>542</v>
      </c>
      <c r="AH65" s="31" t="s">
        <v>1037</v>
      </c>
      <c r="AI65" s="32" t="s">
        <v>183</v>
      </c>
      <c r="AJ65" s="38" t="s">
        <v>547</v>
      </c>
      <c r="AK65" s="19" t="s">
        <v>1048</v>
      </c>
      <c r="AL65" s="38" t="s">
        <v>548</v>
      </c>
      <c r="AM65" s="19" t="s">
        <v>1052</v>
      </c>
      <c r="AN65" s="38" t="s">
        <v>1038</v>
      </c>
      <c r="AO65" s="19" t="s">
        <v>1039</v>
      </c>
      <c r="AP65" s="31" t="s">
        <v>7</v>
      </c>
      <c r="AQ65" s="19" t="s">
        <v>7</v>
      </c>
      <c r="AR65" s="33" t="s">
        <v>7</v>
      </c>
      <c r="AS65" s="34" t="s">
        <v>7</v>
      </c>
      <c r="AT65" s="33" t="s">
        <v>7</v>
      </c>
      <c r="AU65" s="34" t="s">
        <v>7</v>
      </c>
      <c r="AV65" s="33" t="s">
        <v>7</v>
      </c>
      <c r="AW65" s="34" t="s">
        <v>7</v>
      </c>
      <c r="AX65" s="33" t="s">
        <v>7</v>
      </c>
      <c r="AY65" s="34" t="s">
        <v>7</v>
      </c>
      <c r="AZ65" s="33" t="s">
        <v>7</v>
      </c>
      <c r="BA65" s="34" t="s">
        <v>7</v>
      </c>
    </row>
    <row r="66" spans="1:53" ht="8.25" customHeight="1" x14ac:dyDescent="0.25">
      <c r="A66" s="16">
        <v>65</v>
      </c>
      <c r="B66" s="17" t="s">
        <v>429</v>
      </c>
      <c r="C66" s="18" t="s">
        <v>609</v>
      </c>
      <c r="D66" s="33" t="s">
        <v>7</v>
      </c>
      <c r="E66" s="34" t="s">
        <v>7</v>
      </c>
      <c r="F66" s="29" t="s">
        <v>553</v>
      </c>
      <c r="G66" s="30" t="s">
        <v>544</v>
      </c>
      <c r="H66" s="33" t="s">
        <v>7</v>
      </c>
      <c r="I66" s="34" t="s">
        <v>7</v>
      </c>
      <c r="J66" s="40" t="s">
        <v>74</v>
      </c>
      <c r="K66" s="66" t="s">
        <v>299</v>
      </c>
      <c r="L66" s="40" t="s">
        <v>7</v>
      </c>
      <c r="M66" s="39" t="s">
        <v>7</v>
      </c>
      <c r="N66" s="40" t="s">
        <v>7</v>
      </c>
      <c r="O66" s="19" t="s">
        <v>7</v>
      </c>
      <c r="P66" s="40" t="s">
        <v>7</v>
      </c>
      <c r="Q66" s="19" t="s">
        <v>7</v>
      </c>
      <c r="R66" s="31" t="s">
        <v>7</v>
      </c>
      <c r="S66" s="19" t="s">
        <v>7</v>
      </c>
      <c r="T66" s="31" t="s">
        <v>76</v>
      </c>
      <c r="U66" s="32">
        <v>289</v>
      </c>
      <c r="V66" s="31" t="s">
        <v>77</v>
      </c>
      <c r="W66" s="32">
        <v>265</v>
      </c>
      <c r="X66" s="31" t="s">
        <v>181</v>
      </c>
      <c r="Y66" s="32" t="s">
        <v>212</v>
      </c>
      <c r="Z66" s="31" t="s">
        <v>182</v>
      </c>
      <c r="AA66" s="32" t="s">
        <v>213</v>
      </c>
      <c r="AB66" s="31" t="s">
        <v>184</v>
      </c>
      <c r="AC66" s="32" t="s">
        <v>209</v>
      </c>
      <c r="AD66" s="31" t="s">
        <v>1036</v>
      </c>
      <c r="AE66" s="32">
        <v>167</v>
      </c>
      <c r="AF66" s="31" t="s">
        <v>14</v>
      </c>
      <c r="AG66" s="19" t="s">
        <v>542</v>
      </c>
      <c r="AH66" s="31" t="s">
        <v>1037</v>
      </c>
      <c r="AI66" s="32" t="s">
        <v>183</v>
      </c>
      <c r="AJ66" s="38" t="s">
        <v>547</v>
      </c>
      <c r="AK66" s="19" t="s">
        <v>1048</v>
      </c>
      <c r="AL66" s="38" t="s">
        <v>548</v>
      </c>
      <c r="AM66" s="19" t="s">
        <v>1052</v>
      </c>
      <c r="AN66" s="38" t="s">
        <v>1038</v>
      </c>
      <c r="AO66" s="19" t="s">
        <v>1039</v>
      </c>
      <c r="AP66" s="31" t="s">
        <v>7</v>
      </c>
      <c r="AQ66" s="19" t="s">
        <v>7</v>
      </c>
      <c r="AR66" s="33" t="s">
        <v>7</v>
      </c>
      <c r="AS66" s="34" t="s">
        <v>7</v>
      </c>
      <c r="AT66" s="33" t="s">
        <v>7</v>
      </c>
      <c r="AU66" s="34" t="s">
        <v>7</v>
      </c>
      <c r="AV66" s="33" t="s">
        <v>7</v>
      </c>
      <c r="AW66" s="34" t="s">
        <v>7</v>
      </c>
      <c r="AX66" s="33" t="s">
        <v>7</v>
      </c>
      <c r="AY66" s="34" t="s">
        <v>7</v>
      </c>
      <c r="AZ66" s="33" t="s">
        <v>7</v>
      </c>
      <c r="BA66" s="34" t="s">
        <v>7</v>
      </c>
    </row>
    <row r="67" spans="1:53" ht="8.25" customHeight="1" x14ac:dyDescent="0.25">
      <c r="A67" s="16">
        <v>66</v>
      </c>
      <c r="B67" s="17" t="s">
        <v>430</v>
      </c>
      <c r="C67" s="18" t="s">
        <v>609</v>
      </c>
      <c r="D67" s="33" t="s">
        <v>7</v>
      </c>
      <c r="E67" s="34" t="s">
        <v>7</v>
      </c>
      <c r="F67" s="29" t="s">
        <v>553</v>
      </c>
      <c r="G67" s="30" t="s">
        <v>544</v>
      </c>
      <c r="H67" s="33" t="s">
        <v>7</v>
      </c>
      <c r="I67" s="34" t="s">
        <v>7</v>
      </c>
      <c r="J67" s="40" t="s">
        <v>74</v>
      </c>
      <c r="K67" s="66" t="s">
        <v>300</v>
      </c>
      <c r="L67" s="40" t="s">
        <v>7</v>
      </c>
      <c r="M67" s="39" t="s">
        <v>7</v>
      </c>
      <c r="N67" s="40" t="s">
        <v>7</v>
      </c>
      <c r="O67" s="19" t="s">
        <v>7</v>
      </c>
      <c r="P67" s="40" t="s">
        <v>7</v>
      </c>
      <c r="Q67" s="19" t="s">
        <v>7</v>
      </c>
      <c r="R67" s="31" t="s">
        <v>7</v>
      </c>
      <c r="S67" s="19" t="s">
        <v>7</v>
      </c>
      <c r="T67" s="31" t="s">
        <v>76</v>
      </c>
      <c r="U67" s="32">
        <v>251</v>
      </c>
      <c r="V67" s="31" t="s">
        <v>77</v>
      </c>
      <c r="W67" s="32">
        <v>101</v>
      </c>
      <c r="X67" s="31" t="s">
        <v>181</v>
      </c>
      <c r="Y67" s="32" t="s">
        <v>214</v>
      </c>
      <c r="Z67" s="31" t="s">
        <v>182</v>
      </c>
      <c r="AA67" s="32" t="s">
        <v>215</v>
      </c>
      <c r="AB67" s="31" t="s">
        <v>184</v>
      </c>
      <c r="AC67" s="32" t="s">
        <v>216</v>
      </c>
      <c r="AD67" s="31" t="s">
        <v>1036</v>
      </c>
      <c r="AE67" s="32">
        <v>17</v>
      </c>
      <c r="AF67" s="31" t="s">
        <v>14</v>
      </c>
      <c r="AG67" s="19" t="s">
        <v>542</v>
      </c>
      <c r="AH67" s="31" t="s">
        <v>1037</v>
      </c>
      <c r="AI67" s="32" t="s">
        <v>183</v>
      </c>
      <c r="AJ67" s="38" t="s">
        <v>547</v>
      </c>
      <c r="AK67" s="19" t="s">
        <v>1048</v>
      </c>
      <c r="AL67" s="38" t="s">
        <v>548</v>
      </c>
      <c r="AM67" s="19" t="s">
        <v>1052</v>
      </c>
      <c r="AN67" s="38" t="s">
        <v>1038</v>
      </c>
      <c r="AO67" s="19" t="s">
        <v>1039</v>
      </c>
      <c r="AP67" s="31" t="s">
        <v>7</v>
      </c>
      <c r="AQ67" s="19" t="s">
        <v>7</v>
      </c>
      <c r="AR67" s="33" t="s">
        <v>7</v>
      </c>
      <c r="AS67" s="34" t="s">
        <v>7</v>
      </c>
      <c r="AT67" s="33" t="s">
        <v>7</v>
      </c>
      <c r="AU67" s="34" t="s">
        <v>7</v>
      </c>
      <c r="AV67" s="33" t="s">
        <v>7</v>
      </c>
      <c r="AW67" s="34" t="s">
        <v>7</v>
      </c>
      <c r="AX67" s="33" t="s">
        <v>7</v>
      </c>
      <c r="AY67" s="34" t="s">
        <v>7</v>
      </c>
      <c r="AZ67" s="33" t="s">
        <v>7</v>
      </c>
      <c r="BA67" s="34" t="s">
        <v>7</v>
      </c>
    </row>
    <row r="68" spans="1:53" ht="8.25" customHeight="1" x14ac:dyDescent="0.25">
      <c r="A68" s="16">
        <v>67</v>
      </c>
      <c r="B68" s="17" t="s">
        <v>431</v>
      </c>
      <c r="C68" s="18" t="s">
        <v>609</v>
      </c>
      <c r="D68" s="33" t="s">
        <v>7</v>
      </c>
      <c r="E68" s="34" t="s">
        <v>7</v>
      </c>
      <c r="F68" s="29" t="s">
        <v>553</v>
      </c>
      <c r="G68" s="30" t="s">
        <v>544</v>
      </c>
      <c r="H68" s="33" t="s">
        <v>7</v>
      </c>
      <c r="I68" s="34" t="s">
        <v>7</v>
      </c>
      <c r="J68" s="40" t="s">
        <v>74</v>
      </c>
      <c r="K68" s="66" t="s">
        <v>301</v>
      </c>
      <c r="L68" s="40" t="s">
        <v>7</v>
      </c>
      <c r="M68" s="39" t="s">
        <v>7</v>
      </c>
      <c r="N68" s="40" t="s">
        <v>7</v>
      </c>
      <c r="O68" s="19" t="s">
        <v>7</v>
      </c>
      <c r="P68" s="40" t="s">
        <v>7</v>
      </c>
      <c r="Q68" s="19" t="s">
        <v>7</v>
      </c>
      <c r="R68" s="31" t="s">
        <v>7</v>
      </c>
      <c r="S68" s="19" t="s">
        <v>7</v>
      </c>
      <c r="T68" s="31" t="s">
        <v>76</v>
      </c>
      <c r="U68" s="32">
        <v>254</v>
      </c>
      <c r="V68" s="31" t="s">
        <v>77</v>
      </c>
      <c r="W68" s="32">
        <v>102</v>
      </c>
      <c r="X68" s="31" t="s">
        <v>181</v>
      </c>
      <c r="Y68" s="32" t="s">
        <v>188</v>
      </c>
      <c r="Z68" s="31" t="s">
        <v>182</v>
      </c>
      <c r="AA68" s="32" t="s">
        <v>217</v>
      </c>
      <c r="AB68" s="31" t="s">
        <v>184</v>
      </c>
      <c r="AC68" s="32" t="s">
        <v>218</v>
      </c>
      <c r="AD68" s="31" t="s">
        <v>1036</v>
      </c>
      <c r="AE68" s="32">
        <v>22</v>
      </c>
      <c r="AF68" s="31" t="s">
        <v>14</v>
      </c>
      <c r="AG68" s="19" t="s">
        <v>542</v>
      </c>
      <c r="AH68" s="31" t="s">
        <v>1037</v>
      </c>
      <c r="AI68" s="32" t="s">
        <v>183</v>
      </c>
      <c r="AJ68" s="38" t="s">
        <v>547</v>
      </c>
      <c r="AK68" s="19" t="s">
        <v>1048</v>
      </c>
      <c r="AL68" s="38" t="s">
        <v>548</v>
      </c>
      <c r="AM68" s="19" t="s">
        <v>1052</v>
      </c>
      <c r="AN68" s="38" t="s">
        <v>1038</v>
      </c>
      <c r="AO68" s="19" t="s">
        <v>1039</v>
      </c>
      <c r="AP68" s="31" t="s">
        <v>7</v>
      </c>
      <c r="AQ68" s="19" t="s">
        <v>7</v>
      </c>
      <c r="AR68" s="33" t="s">
        <v>7</v>
      </c>
      <c r="AS68" s="34" t="s">
        <v>7</v>
      </c>
      <c r="AT68" s="33" t="s">
        <v>7</v>
      </c>
      <c r="AU68" s="34" t="s">
        <v>7</v>
      </c>
      <c r="AV68" s="33" t="s">
        <v>7</v>
      </c>
      <c r="AW68" s="34" t="s">
        <v>7</v>
      </c>
      <c r="AX68" s="33" t="s">
        <v>7</v>
      </c>
      <c r="AY68" s="34" t="s">
        <v>7</v>
      </c>
      <c r="AZ68" s="33" t="s">
        <v>7</v>
      </c>
      <c r="BA68" s="34" t="s">
        <v>7</v>
      </c>
    </row>
    <row r="69" spans="1:53" ht="8.25" customHeight="1" x14ac:dyDescent="0.25">
      <c r="A69" s="16">
        <v>68</v>
      </c>
      <c r="B69" s="17" t="s">
        <v>432</v>
      </c>
      <c r="C69" s="18" t="s">
        <v>609</v>
      </c>
      <c r="D69" s="33" t="s">
        <v>7</v>
      </c>
      <c r="E69" s="34" t="s">
        <v>7</v>
      </c>
      <c r="F69" s="29" t="s">
        <v>553</v>
      </c>
      <c r="G69" s="30" t="s">
        <v>544</v>
      </c>
      <c r="H69" s="33" t="s">
        <v>7</v>
      </c>
      <c r="I69" s="34" t="s">
        <v>7</v>
      </c>
      <c r="J69" s="40" t="s">
        <v>74</v>
      </c>
      <c r="K69" s="66" t="s">
        <v>302</v>
      </c>
      <c r="L69" s="40" t="s">
        <v>7</v>
      </c>
      <c r="M69" s="39" t="s">
        <v>7</v>
      </c>
      <c r="N69" s="40" t="s">
        <v>7</v>
      </c>
      <c r="O69" s="19" t="s">
        <v>7</v>
      </c>
      <c r="P69" s="40" t="s">
        <v>7</v>
      </c>
      <c r="Q69" s="19" t="s">
        <v>7</v>
      </c>
      <c r="R69" s="31" t="s">
        <v>7</v>
      </c>
      <c r="S69" s="19" t="s">
        <v>7</v>
      </c>
      <c r="T69" s="31" t="s">
        <v>76</v>
      </c>
      <c r="U69" s="32">
        <v>257</v>
      </c>
      <c r="V69" s="31" t="s">
        <v>77</v>
      </c>
      <c r="W69" s="32">
        <v>102</v>
      </c>
      <c r="X69" s="31" t="s">
        <v>181</v>
      </c>
      <c r="Y69" s="32" t="s">
        <v>219</v>
      </c>
      <c r="Z69" s="31" t="s">
        <v>182</v>
      </c>
      <c r="AA69" s="32" t="s">
        <v>135</v>
      </c>
      <c r="AB69" s="31" t="s">
        <v>184</v>
      </c>
      <c r="AC69" s="32" t="s">
        <v>203</v>
      </c>
      <c r="AD69" s="31" t="s">
        <v>1036</v>
      </c>
      <c r="AE69" s="32">
        <v>25</v>
      </c>
      <c r="AF69" s="31" t="s">
        <v>14</v>
      </c>
      <c r="AG69" s="19" t="s">
        <v>542</v>
      </c>
      <c r="AH69" s="31" t="s">
        <v>1037</v>
      </c>
      <c r="AI69" s="32" t="s">
        <v>183</v>
      </c>
      <c r="AJ69" s="38" t="s">
        <v>547</v>
      </c>
      <c r="AK69" s="19" t="s">
        <v>1048</v>
      </c>
      <c r="AL69" s="38" t="s">
        <v>548</v>
      </c>
      <c r="AM69" s="19" t="s">
        <v>1052</v>
      </c>
      <c r="AN69" s="38" t="s">
        <v>1038</v>
      </c>
      <c r="AO69" s="19" t="s">
        <v>1039</v>
      </c>
      <c r="AP69" s="31" t="s">
        <v>7</v>
      </c>
      <c r="AQ69" s="19" t="s">
        <v>7</v>
      </c>
      <c r="AR69" s="33" t="s">
        <v>7</v>
      </c>
      <c r="AS69" s="34" t="s">
        <v>7</v>
      </c>
      <c r="AT69" s="33" t="s">
        <v>7</v>
      </c>
      <c r="AU69" s="34" t="s">
        <v>7</v>
      </c>
      <c r="AV69" s="33" t="s">
        <v>7</v>
      </c>
      <c r="AW69" s="34" t="s">
        <v>7</v>
      </c>
      <c r="AX69" s="33" t="s">
        <v>7</v>
      </c>
      <c r="AY69" s="34" t="s">
        <v>7</v>
      </c>
      <c r="AZ69" s="33" t="s">
        <v>7</v>
      </c>
      <c r="BA69" s="34" t="s">
        <v>7</v>
      </c>
    </row>
    <row r="70" spans="1:53" ht="8.25" customHeight="1" x14ac:dyDescent="0.25">
      <c r="A70" s="16">
        <v>69</v>
      </c>
      <c r="B70" s="17" t="s">
        <v>433</v>
      </c>
      <c r="C70" s="18" t="s">
        <v>609</v>
      </c>
      <c r="D70" s="33" t="s">
        <v>7</v>
      </c>
      <c r="E70" s="34" t="s">
        <v>7</v>
      </c>
      <c r="F70" s="29" t="s">
        <v>553</v>
      </c>
      <c r="G70" s="30" t="s">
        <v>544</v>
      </c>
      <c r="H70" s="33" t="s">
        <v>7</v>
      </c>
      <c r="I70" s="34" t="s">
        <v>7</v>
      </c>
      <c r="J70" s="40" t="s">
        <v>74</v>
      </c>
      <c r="K70" s="66" t="s">
        <v>303</v>
      </c>
      <c r="L70" s="40" t="s">
        <v>7</v>
      </c>
      <c r="M70" s="39" t="s">
        <v>7</v>
      </c>
      <c r="N70" s="40" t="s">
        <v>7</v>
      </c>
      <c r="O70" s="19" t="s">
        <v>7</v>
      </c>
      <c r="P70" s="40" t="s">
        <v>7</v>
      </c>
      <c r="Q70" s="19" t="s">
        <v>7</v>
      </c>
      <c r="R70" s="31" t="s">
        <v>7</v>
      </c>
      <c r="S70" s="19" t="s">
        <v>7</v>
      </c>
      <c r="T70" s="31" t="s">
        <v>76</v>
      </c>
      <c r="U70" s="32">
        <v>260</v>
      </c>
      <c r="V70" s="31" t="s">
        <v>77</v>
      </c>
      <c r="W70" s="32">
        <v>102</v>
      </c>
      <c r="X70" s="31" t="s">
        <v>181</v>
      </c>
      <c r="Y70" s="32" t="s">
        <v>187</v>
      </c>
      <c r="Z70" s="31" t="s">
        <v>182</v>
      </c>
      <c r="AA70" s="32">
        <v>10</v>
      </c>
      <c r="AB70" s="31" t="s">
        <v>184</v>
      </c>
      <c r="AC70" s="32" t="s">
        <v>220</v>
      </c>
      <c r="AD70" s="31" t="s">
        <v>1036</v>
      </c>
      <c r="AE70" s="32">
        <v>28</v>
      </c>
      <c r="AF70" s="31" t="s">
        <v>14</v>
      </c>
      <c r="AG70" s="19" t="s">
        <v>542</v>
      </c>
      <c r="AH70" s="31" t="s">
        <v>1037</v>
      </c>
      <c r="AI70" s="32" t="s">
        <v>183</v>
      </c>
      <c r="AJ70" s="38" t="s">
        <v>547</v>
      </c>
      <c r="AK70" s="19" t="s">
        <v>1048</v>
      </c>
      <c r="AL70" s="38" t="s">
        <v>548</v>
      </c>
      <c r="AM70" s="19" t="s">
        <v>1052</v>
      </c>
      <c r="AN70" s="38" t="s">
        <v>1038</v>
      </c>
      <c r="AO70" s="19" t="s">
        <v>1039</v>
      </c>
      <c r="AP70" s="31" t="s">
        <v>7</v>
      </c>
      <c r="AQ70" s="19" t="s">
        <v>7</v>
      </c>
      <c r="AR70" s="33" t="s">
        <v>7</v>
      </c>
      <c r="AS70" s="34" t="s">
        <v>7</v>
      </c>
      <c r="AT70" s="33" t="s">
        <v>7</v>
      </c>
      <c r="AU70" s="34" t="s">
        <v>7</v>
      </c>
      <c r="AV70" s="33" t="s">
        <v>7</v>
      </c>
      <c r="AW70" s="34" t="s">
        <v>7</v>
      </c>
      <c r="AX70" s="33" t="s">
        <v>7</v>
      </c>
      <c r="AY70" s="34" t="s">
        <v>7</v>
      </c>
      <c r="AZ70" s="33" t="s">
        <v>7</v>
      </c>
      <c r="BA70" s="34" t="s">
        <v>7</v>
      </c>
    </row>
    <row r="71" spans="1:53" ht="8.25" customHeight="1" x14ac:dyDescent="0.25">
      <c r="A71" s="16">
        <v>70</v>
      </c>
      <c r="B71" s="17" t="s">
        <v>434</v>
      </c>
      <c r="C71" s="18" t="s">
        <v>609</v>
      </c>
      <c r="D71" s="33" t="s">
        <v>7</v>
      </c>
      <c r="E71" s="34" t="s">
        <v>7</v>
      </c>
      <c r="F71" s="29" t="s">
        <v>553</v>
      </c>
      <c r="G71" s="30" t="s">
        <v>544</v>
      </c>
      <c r="H71" s="33" t="s">
        <v>7</v>
      </c>
      <c r="I71" s="34" t="s">
        <v>7</v>
      </c>
      <c r="J71" s="40" t="s">
        <v>74</v>
      </c>
      <c r="K71" s="66" t="s">
        <v>304</v>
      </c>
      <c r="L71" s="40" t="s">
        <v>7</v>
      </c>
      <c r="M71" s="39" t="s">
        <v>7</v>
      </c>
      <c r="N71" s="40" t="s">
        <v>7</v>
      </c>
      <c r="O71" s="19" t="s">
        <v>7</v>
      </c>
      <c r="P71" s="40" t="s">
        <v>7</v>
      </c>
      <c r="Q71" s="19" t="s">
        <v>7</v>
      </c>
      <c r="R71" s="31" t="s">
        <v>7</v>
      </c>
      <c r="S71" s="19" t="s">
        <v>7</v>
      </c>
      <c r="T71" s="31" t="s">
        <v>76</v>
      </c>
      <c r="U71" s="32">
        <v>258</v>
      </c>
      <c r="V71" s="31" t="s">
        <v>77</v>
      </c>
      <c r="W71" s="32">
        <v>146</v>
      </c>
      <c r="X71" s="31" t="s">
        <v>181</v>
      </c>
      <c r="Y71" s="32" t="s">
        <v>219</v>
      </c>
      <c r="Z71" s="31" t="s">
        <v>182</v>
      </c>
      <c r="AA71" s="32" t="s">
        <v>208</v>
      </c>
      <c r="AB71" s="31" t="s">
        <v>184</v>
      </c>
      <c r="AC71" s="32" t="s">
        <v>221</v>
      </c>
      <c r="AD71" s="31" t="s">
        <v>1036</v>
      </c>
      <c r="AE71" s="32">
        <v>32</v>
      </c>
      <c r="AF71" s="31" t="s">
        <v>14</v>
      </c>
      <c r="AG71" s="19" t="s">
        <v>542</v>
      </c>
      <c r="AH71" s="31" t="s">
        <v>1037</v>
      </c>
      <c r="AI71" s="32" t="s">
        <v>183</v>
      </c>
      <c r="AJ71" s="38" t="s">
        <v>547</v>
      </c>
      <c r="AK71" s="19" t="s">
        <v>1048</v>
      </c>
      <c r="AL71" s="38" t="s">
        <v>548</v>
      </c>
      <c r="AM71" s="19" t="s">
        <v>1052</v>
      </c>
      <c r="AN71" s="38" t="s">
        <v>1038</v>
      </c>
      <c r="AO71" s="19" t="s">
        <v>1039</v>
      </c>
      <c r="AP71" s="31" t="s">
        <v>7</v>
      </c>
      <c r="AQ71" s="19" t="s">
        <v>7</v>
      </c>
      <c r="AR71" s="33" t="s">
        <v>7</v>
      </c>
      <c r="AS71" s="34" t="s">
        <v>7</v>
      </c>
      <c r="AT71" s="33" t="s">
        <v>7</v>
      </c>
      <c r="AU71" s="34" t="s">
        <v>7</v>
      </c>
      <c r="AV71" s="33" t="s">
        <v>7</v>
      </c>
      <c r="AW71" s="34" t="s">
        <v>7</v>
      </c>
      <c r="AX71" s="33" t="s">
        <v>7</v>
      </c>
      <c r="AY71" s="34" t="s">
        <v>7</v>
      </c>
      <c r="AZ71" s="33" t="s">
        <v>7</v>
      </c>
      <c r="BA71" s="34" t="s">
        <v>7</v>
      </c>
    </row>
    <row r="72" spans="1:53" ht="8.25" customHeight="1" x14ac:dyDescent="0.25">
      <c r="A72" s="16">
        <v>71</v>
      </c>
      <c r="B72" s="17" t="s">
        <v>435</v>
      </c>
      <c r="C72" s="18" t="s">
        <v>609</v>
      </c>
      <c r="D72" s="33" t="s">
        <v>7</v>
      </c>
      <c r="E72" s="34" t="s">
        <v>7</v>
      </c>
      <c r="F72" s="29" t="s">
        <v>553</v>
      </c>
      <c r="G72" s="30" t="s">
        <v>544</v>
      </c>
      <c r="H72" s="33" t="s">
        <v>7</v>
      </c>
      <c r="I72" s="34" t="s">
        <v>7</v>
      </c>
      <c r="J72" s="40" t="s">
        <v>74</v>
      </c>
      <c r="K72" s="66" t="s">
        <v>305</v>
      </c>
      <c r="L72" s="40" t="s">
        <v>7</v>
      </c>
      <c r="M72" s="39" t="s">
        <v>7</v>
      </c>
      <c r="N72" s="40" t="s">
        <v>7</v>
      </c>
      <c r="O72" s="19" t="s">
        <v>7</v>
      </c>
      <c r="P72" s="40" t="s">
        <v>7</v>
      </c>
      <c r="Q72" s="19" t="s">
        <v>7</v>
      </c>
      <c r="R72" s="31" t="s">
        <v>7</v>
      </c>
      <c r="S72" s="19" t="s">
        <v>7</v>
      </c>
      <c r="T72" s="31" t="s">
        <v>76</v>
      </c>
      <c r="U72" s="32">
        <v>262</v>
      </c>
      <c r="V72" s="31" t="s">
        <v>77</v>
      </c>
      <c r="W72" s="32">
        <v>147</v>
      </c>
      <c r="X72" s="31" t="s">
        <v>181</v>
      </c>
      <c r="Y72" s="32" t="s">
        <v>81</v>
      </c>
      <c r="Z72" s="31" t="s">
        <v>182</v>
      </c>
      <c r="AA72" s="32" t="s">
        <v>222</v>
      </c>
      <c r="AB72" s="31" t="s">
        <v>184</v>
      </c>
      <c r="AC72" s="32" t="s">
        <v>205</v>
      </c>
      <c r="AD72" s="31" t="s">
        <v>1036</v>
      </c>
      <c r="AE72" s="32">
        <v>38</v>
      </c>
      <c r="AF72" s="31" t="s">
        <v>14</v>
      </c>
      <c r="AG72" s="19" t="s">
        <v>542</v>
      </c>
      <c r="AH72" s="31" t="s">
        <v>1037</v>
      </c>
      <c r="AI72" s="32" t="s">
        <v>183</v>
      </c>
      <c r="AJ72" s="38" t="s">
        <v>547</v>
      </c>
      <c r="AK72" s="19" t="s">
        <v>1048</v>
      </c>
      <c r="AL72" s="38" t="s">
        <v>548</v>
      </c>
      <c r="AM72" s="19" t="s">
        <v>1052</v>
      </c>
      <c r="AN72" s="38" t="s">
        <v>1038</v>
      </c>
      <c r="AO72" s="19" t="s">
        <v>1039</v>
      </c>
      <c r="AP72" s="31" t="s">
        <v>7</v>
      </c>
      <c r="AQ72" s="19" t="s">
        <v>7</v>
      </c>
      <c r="AR72" s="33" t="s">
        <v>7</v>
      </c>
      <c r="AS72" s="34" t="s">
        <v>7</v>
      </c>
      <c r="AT72" s="33" t="s">
        <v>7</v>
      </c>
      <c r="AU72" s="34" t="s">
        <v>7</v>
      </c>
      <c r="AV72" s="33" t="s">
        <v>7</v>
      </c>
      <c r="AW72" s="34" t="s">
        <v>7</v>
      </c>
      <c r="AX72" s="33" t="s">
        <v>7</v>
      </c>
      <c r="AY72" s="34" t="s">
        <v>7</v>
      </c>
      <c r="AZ72" s="33" t="s">
        <v>7</v>
      </c>
      <c r="BA72" s="34" t="s">
        <v>7</v>
      </c>
    </row>
    <row r="73" spans="1:53" ht="8.25" customHeight="1" x14ac:dyDescent="0.25">
      <c r="A73" s="16">
        <v>72</v>
      </c>
      <c r="B73" s="17" t="s">
        <v>436</v>
      </c>
      <c r="C73" s="18" t="s">
        <v>609</v>
      </c>
      <c r="D73" s="33" t="s">
        <v>7</v>
      </c>
      <c r="E73" s="34" t="s">
        <v>7</v>
      </c>
      <c r="F73" s="29" t="s">
        <v>553</v>
      </c>
      <c r="G73" s="30" t="s">
        <v>544</v>
      </c>
      <c r="H73" s="33" t="s">
        <v>7</v>
      </c>
      <c r="I73" s="34" t="s">
        <v>7</v>
      </c>
      <c r="J73" s="40" t="s">
        <v>74</v>
      </c>
      <c r="K73" s="66" t="s">
        <v>306</v>
      </c>
      <c r="L73" s="40" t="s">
        <v>7</v>
      </c>
      <c r="M73" s="39" t="s">
        <v>7</v>
      </c>
      <c r="N73" s="40" t="s">
        <v>7</v>
      </c>
      <c r="O73" s="19" t="s">
        <v>7</v>
      </c>
      <c r="P73" s="40" t="s">
        <v>7</v>
      </c>
      <c r="Q73" s="19" t="s">
        <v>7</v>
      </c>
      <c r="R73" s="31" t="s">
        <v>7</v>
      </c>
      <c r="S73" s="19" t="s">
        <v>7</v>
      </c>
      <c r="T73" s="31" t="s">
        <v>76</v>
      </c>
      <c r="U73" s="32">
        <v>266</v>
      </c>
      <c r="V73" s="31" t="s">
        <v>77</v>
      </c>
      <c r="W73" s="32">
        <v>148</v>
      </c>
      <c r="X73" s="31" t="s">
        <v>181</v>
      </c>
      <c r="Y73" s="32" t="s">
        <v>203</v>
      </c>
      <c r="Z73" s="31" t="s">
        <v>182</v>
      </c>
      <c r="AA73" s="32">
        <v>13</v>
      </c>
      <c r="AB73" s="31" t="s">
        <v>184</v>
      </c>
      <c r="AC73" s="32" t="s">
        <v>205</v>
      </c>
      <c r="AD73" s="31" t="s">
        <v>1036</v>
      </c>
      <c r="AE73" s="32">
        <v>44</v>
      </c>
      <c r="AF73" s="31" t="s">
        <v>14</v>
      </c>
      <c r="AG73" s="19" t="s">
        <v>542</v>
      </c>
      <c r="AH73" s="31" t="s">
        <v>1037</v>
      </c>
      <c r="AI73" s="32" t="s">
        <v>183</v>
      </c>
      <c r="AJ73" s="38" t="s">
        <v>547</v>
      </c>
      <c r="AK73" s="19" t="s">
        <v>1048</v>
      </c>
      <c r="AL73" s="38" t="s">
        <v>548</v>
      </c>
      <c r="AM73" s="19" t="s">
        <v>1052</v>
      </c>
      <c r="AN73" s="38" t="s">
        <v>1038</v>
      </c>
      <c r="AO73" s="19" t="s">
        <v>1039</v>
      </c>
      <c r="AP73" s="31" t="s">
        <v>7</v>
      </c>
      <c r="AQ73" s="19" t="s">
        <v>7</v>
      </c>
      <c r="AR73" s="33" t="s">
        <v>7</v>
      </c>
      <c r="AS73" s="34" t="s">
        <v>7</v>
      </c>
      <c r="AT73" s="33" t="s">
        <v>7</v>
      </c>
      <c r="AU73" s="34" t="s">
        <v>7</v>
      </c>
      <c r="AV73" s="33" t="s">
        <v>7</v>
      </c>
      <c r="AW73" s="34" t="s">
        <v>7</v>
      </c>
      <c r="AX73" s="33" t="s">
        <v>7</v>
      </c>
      <c r="AY73" s="34" t="s">
        <v>7</v>
      </c>
      <c r="AZ73" s="33" t="s">
        <v>7</v>
      </c>
      <c r="BA73" s="34" t="s">
        <v>7</v>
      </c>
    </row>
    <row r="74" spans="1:53" ht="8.25" customHeight="1" x14ac:dyDescent="0.25">
      <c r="A74" s="16">
        <v>73</v>
      </c>
      <c r="B74" s="17" t="s">
        <v>437</v>
      </c>
      <c r="C74" s="18" t="s">
        <v>609</v>
      </c>
      <c r="D74" s="33" t="s">
        <v>7</v>
      </c>
      <c r="E74" s="34" t="s">
        <v>7</v>
      </c>
      <c r="F74" s="29" t="s">
        <v>553</v>
      </c>
      <c r="G74" s="30" t="s">
        <v>544</v>
      </c>
      <c r="H74" s="33" t="s">
        <v>7</v>
      </c>
      <c r="I74" s="34" t="s">
        <v>7</v>
      </c>
      <c r="J74" s="40" t="s">
        <v>74</v>
      </c>
      <c r="K74" s="66" t="s">
        <v>307</v>
      </c>
      <c r="L74" s="40" t="s">
        <v>7</v>
      </c>
      <c r="M74" s="39" t="s">
        <v>7</v>
      </c>
      <c r="N74" s="40" t="s">
        <v>7</v>
      </c>
      <c r="O74" s="19" t="s">
        <v>7</v>
      </c>
      <c r="P74" s="40" t="s">
        <v>7</v>
      </c>
      <c r="Q74" s="19" t="s">
        <v>7</v>
      </c>
      <c r="R74" s="31" t="s">
        <v>7</v>
      </c>
      <c r="S74" s="19" t="s">
        <v>7</v>
      </c>
      <c r="T74" s="31" t="s">
        <v>76</v>
      </c>
      <c r="U74" s="32">
        <v>253</v>
      </c>
      <c r="V74" s="31" t="s">
        <v>77</v>
      </c>
      <c r="W74" s="32">
        <v>254</v>
      </c>
      <c r="X74" s="31" t="s">
        <v>181</v>
      </c>
      <c r="Y74" s="32" t="s">
        <v>223</v>
      </c>
      <c r="Z74" s="31" t="s">
        <v>182</v>
      </c>
      <c r="AA74" s="32" t="s">
        <v>107</v>
      </c>
      <c r="AB74" s="31" t="s">
        <v>184</v>
      </c>
      <c r="AC74" s="32" t="s">
        <v>209</v>
      </c>
      <c r="AD74" s="31" t="s">
        <v>1036</v>
      </c>
      <c r="AE74" s="32">
        <v>73</v>
      </c>
      <c r="AF74" s="31" t="s">
        <v>14</v>
      </c>
      <c r="AG74" s="19" t="s">
        <v>542</v>
      </c>
      <c r="AH74" s="31" t="s">
        <v>1037</v>
      </c>
      <c r="AI74" s="32" t="s">
        <v>183</v>
      </c>
      <c r="AJ74" s="38" t="s">
        <v>547</v>
      </c>
      <c r="AK74" s="19" t="s">
        <v>1048</v>
      </c>
      <c r="AL74" s="38" t="s">
        <v>548</v>
      </c>
      <c r="AM74" s="19" t="s">
        <v>1052</v>
      </c>
      <c r="AN74" s="38" t="s">
        <v>1038</v>
      </c>
      <c r="AO74" s="19" t="s">
        <v>1039</v>
      </c>
      <c r="AP74" s="31" t="s">
        <v>7</v>
      </c>
      <c r="AQ74" s="19" t="s">
        <v>7</v>
      </c>
      <c r="AR74" s="33" t="s">
        <v>7</v>
      </c>
      <c r="AS74" s="34" t="s">
        <v>7</v>
      </c>
      <c r="AT74" s="33" t="s">
        <v>7</v>
      </c>
      <c r="AU74" s="34" t="s">
        <v>7</v>
      </c>
      <c r="AV74" s="33" t="s">
        <v>7</v>
      </c>
      <c r="AW74" s="34" t="s">
        <v>7</v>
      </c>
      <c r="AX74" s="33" t="s">
        <v>7</v>
      </c>
      <c r="AY74" s="34" t="s">
        <v>7</v>
      </c>
      <c r="AZ74" s="33" t="s">
        <v>7</v>
      </c>
      <c r="BA74" s="34" t="s">
        <v>7</v>
      </c>
    </row>
    <row r="75" spans="1:53" ht="8.25" customHeight="1" x14ac:dyDescent="0.25">
      <c r="A75" s="16">
        <v>74</v>
      </c>
      <c r="B75" s="17" t="s">
        <v>438</v>
      </c>
      <c r="C75" s="18" t="s">
        <v>609</v>
      </c>
      <c r="D75" s="33" t="s">
        <v>7</v>
      </c>
      <c r="E75" s="34" t="s">
        <v>7</v>
      </c>
      <c r="F75" s="29" t="s">
        <v>553</v>
      </c>
      <c r="G75" s="30" t="s">
        <v>544</v>
      </c>
      <c r="H75" s="33" t="s">
        <v>7</v>
      </c>
      <c r="I75" s="34" t="s">
        <v>7</v>
      </c>
      <c r="J75" s="40" t="s">
        <v>74</v>
      </c>
      <c r="K75" s="66" t="s">
        <v>308</v>
      </c>
      <c r="L75" s="40" t="s">
        <v>7</v>
      </c>
      <c r="M75" s="39" t="s">
        <v>7</v>
      </c>
      <c r="N75" s="40" t="s">
        <v>7</v>
      </c>
      <c r="O75" s="19" t="s">
        <v>7</v>
      </c>
      <c r="P75" s="40" t="s">
        <v>7</v>
      </c>
      <c r="Q75" s="19" t="s">
        <v>7</v>
      </c>
      <c r="R75" s="31" t="s">
        <v>7</v>
      </c>
      <c r="S75" s="19" t="s">
        <v>7</v>
      </c>
      <c r="T75" s="31" t="s">
        <v>76</v>
      </c>
      <c r="U75" s="32">
        <v>256</v>
      </c>
      <c r="V75" s="31" t="s">
        <v>77</v>
      </c>
      <c r="W75" s="32">
        <v>255</v>
      </c>
      <c r="X75" s="31" t="s">
        <v>181</v>
      </c>
      <c r="Y75" s="32" t="s">
        <v>118</v>
      </c>
      <c r="Z75" s="31" t="s">
        <v>182</v>
      </c>
      <c r="AA75" s="32" t="s">
        <v>119</v>
      </c>
      <c r="AB75" s="31" t="s">
        <v>184</v>
      </c>
      <c r="AC75" s="32" t="s">
        <v>224</v>
      </c>
      <c r="AD75" s="31" t="s">
        <v>1036</v>
      </c>
      <c r="AE75" s="32">
        <v>80</v>
      </c>
      <c r="AF75" s="31" t="s">
        <v>14</v>
      </c>
      <c r="AG75" s="19" t="s">
        <v>542</v>
      </c>
      <c r="AH75" s="31" t="s">
        <v>1037</v>
      </c>
      <c r="AI75" s="32" t="s">
        <v>183</v>
      </c>
      <c r="AJ75" s="38" t="s">
        <v>547</v>
      </c>
      <c r="AK75" s="19" t="s">
        <v>1048</v>
      </c>
      <c r="AL75" s="38" t="s">
        <v>548</v>
      </c>
      <c r="AM75" s="19" t="s">
        <v>1052</v>
      </c>
      <c r="AN75" s="38" t="s">
        <v>1038</v>
      </c>
      <c r="AO75" s="19" t="s">
        <v>1039</v>
      </c>
      <c r="AP75" s="31" t="s">
        <v>7</v>
      </c>
      <c r="AQ75" s="19" t="s">
        <v>7</v>
      </c>
      <c r="AR75" s="33" t="s">
        <v>7</v>
      </c>
      <c r="AS75" s="34" t="s">
        <v>7</v>
      </c>
      <c r="AT75" s="33" t="s">
        <v>7</v>
      </c>
      <c r="AU75" s="34" t="s">
        <v>7</v>
      </c>
      <c r="AV75" s="33" t="s">
        <v>7</v>
      </c>
      <c r="AW75" s="34" t="s">
        <v>7</v>
      </c>
      <c r="AX75" s="33" t="s">
        <v>7</v>
      </c>
      <c r="AY75" s="34" t="s">
        <v>7</v>
      </c>
      <c r="AZ75" s="33" t="s">
        <v>7</v>
      </c>
      <c r="BA75" s="34" t="s">
        <v>7</v>
      </c>
    </row>
    <row r="76" spans="1:53" ht="8.25" customHeight="1" x14ac:dyDescent="0.25">
      <c r="A76" s="16">
        <v>75</v>
      </c>
      <c r="B76" s="17" t="s">
        <v>439</v>
      </c>
      <c r="C76" s="18" t="s">
        <v>609</v>
      </c>
      <c r="D76" s="33" t="s">
        <v>7</v>
      </c>
      <c r="E76" s="34" t="s">
        <v>7</v>
      </c>
      <c r="F76" s="29" t="s">
        <v>553</v>
      </c>
      <c r="G76" s="30" t="s">
        <v>544</v>
      </c>
      <c r="H76" s="33" t="s">
        <v>7</v>
      </c>
      <c r="I76" s="34" t="s">
        <v>7</v>
      </c>
      <c r="J76" s="40" t="s">
        <v>74</v>
      </c>
      <c r="K76" s="66" t="s">
        <v>309</v>
      </c>
      <c r="L76" s="40" t="s">
        <v>7</v>
      </c>
      <c r="M76" s="39" t="s">
        <v>7</v>
      </c>
      <c r="N76" s="40" t="s">
        <v>7</v>
      </c>
      <c r="O76" s="19" t="s">
        <v>7</v>
      </c>
      <c r="P76" s="40" t="s">
        <v>7</v>
      </c>
      <c r="Q76" s="19" t="s">
        <v>7</v>
      </c>
      <c r="R76" s="31" t="s">
        <v>7</v>
      </c>
      <c r="S76" s="19" t="s">
        <v>7</v>
      </c>
      <c r="T76" s="31" t="s">
        <v>76</v>
      </c>
      <c r="U76" s="32">
        <v>260</v>
      </c>
      <c r="V76" s="31" t="s">
        <v>77</v>
      </c>
      <c r="W76" s="32">
        <v>256</v>
      </c>
      <c r="X76" s="31" t="s">
        <v>181</v>
      </c>
      <c r="Y76" s="32" t="s">
        <v>114</v>
      </c>
      <c r="Z76" s="31" t="s">
        <v>182</v>
      </c>
      <c r="AA76" s="32" t="s">
        <v>122</v>
      </c>
      <c r="AB76" s="31" t="s">
        <v>184</v>
      </c>
      <c r="AC76" s="32" t="s">
        <v>209</v>
      </c>
      <c r="AD76" s="31" t="s">
        <v>1036</v>
      </c>
      <c r="AE76" s="32">
        <v>89</v>
      </c>
      <c r="AF76" s="31" t="s">
        <v>14</v>
      </c>
      <c r="AG76" s="19" t="s">
        <v>542</v>
      </c>
      <c r="AH76" s="31" t="s">
        <v>1037</v>
      </c>
      <c r="AI76" s="32" t="s">
        <v>183</v>
      </c>
      <c r="AJ76" s="38" t="s">
        <v>547</v>
      </c>
      <c r="AK76" s="19" t="s">
        <v>1048</v>
      </c>
      <c r="AL76" s="38" t="s">
        <v>548</v>
      </c>
      <c r="AM76" s="19" t="s">
        <v>1052</v>
      </c>
      <c r="AN76" s="38" t="s">
        <v>1038</v>
      </c>
      <c r="AO76" s="19" t="s">
        <v>1039</v>
      </c>
      <c r="AP76" s="31" t="s">
        <v>7</v>
      </c>
      <c r="AQ76" s="19" t="s">
        <v>7</v>
      </c>
      <c r="AR76" s="33" t="s">
        <v>7</v>
      </c>
      <c r="AS76" s="34" t="s">
        <v>7</v>
      </c>
      <c r="AT76" s="33" t="s">
        <v>7</v>
      </c>
      <c r="AU76" s="34" t="s">
        <v>7</v>
      </c>
      <c r="AV76" s="33" t="s">
        <v>7</v>
      </c>
      <c r="AW76" s="34" t="s">
        <v>7</v>
      </c>
      <c r="AX76" s="33" t="s">
        <v>7</v>
      </c>
      <c r="AY76" s="34" t="s">
        <v>7</v>
      </c>
      <c r="AZ76" s="33" t="s">
        <v>7</v>
      </c>
      <c r="BA76" s="34" t="s">
        <v>7</v>
      </c>
    </row>
    <row r="77" spans="1:53" ht="8.25" customHeight="1" x14ac:dyDescent="0.25">
      <c r="A77" s="16">
        <v>76</v>
      </c>
      <c r="B77" s="17" t="s">
        <v>440</v>
      </c>
      <c r="C77" s="18" t="s">
        <v>609</v>
      </c>
      <c r="D77" s="33" t="s">
        <v>7</v>
      </c>
      <c r="E77" s="34" t="s">
        <v>7</v>
      </c>
      <c r="F77" s="29" t="s">
        <v>553</v>
      </c>
      <c r="G77" s="30" t="s">
        <v>544</v>
      </c>
      <c r="H77" s="33" t="s">
        <v>7</v>
      </c>
      <c r="I77" s="34" t="s">
        <v>7</v>
      </c>
      <c r="J77" s="40" t="s">
        <v>74</v>
      </c>
      <c r="K77" s="66" t="s">
        <v>310</v>
      </c>
      <c r="L77" s="40" t="s">
        <v>7</v>
      </c>
      <c r="M77" s="39" t="s">
        <v>7</v>
      </c>
      <c r="N77" s="40" t="s">
        <v>7</v>
      </c>
      <c r="O77" s="19" t="s">
        <v>7</v>
      </c>
      <c r="P77" s="40" t="s">
        <v>7</v>
      </c>
      <c r="Q77" s="19" t="s">
        <v>7</v>
      </c>
      <c r="R77" s="31" t="s">
        <v>7</v>
      </c>
      <c r="S77" s="19" t="s">
        <v>7</v>
      </c>
      <c r="T77" s="31" t="s">
        <v>76</v>
      </c>
      <c r="U77" s="32">
        <v>311</v>
      </c>
      <c r="V77" s="31" t="s">
        <v>77</v>
      </c>
      <c r="W77" s="32">
        <v>306</v>
      </c>
      <c r="X77" s="31" t="s">
        <v>181</v>
      </c>
      <c r="Y77" s="32" t="s">
        <v>136</v>
      </c>
      <c r="Z77" s="31" t="s">
        <v>182</v>
      </c>
      <c r="AA77" s="32">
        <v>17</v>
      </c>
      <c r="AB77" s="31" t="s">
        <v>184</v>
      </c>
      <c r="AC77" s="32" t="s">
        <v>225</v>
      </c>
      <c r="AD77" s="31" t="s">
        <v>1036</v>
      </c>
      <c r="AE77" s="32">
        <v>107</v>
      </c>
      <c r="AF77" s="31" t="s">
        <v>14</v>
      </c>
      <c r="AG77" s="19" t="s">
        <v>542</v>
      </c>
      <c r="AH77" s="31" t="s">
        <v>1037</v>
      </c>
      <c r="AI77" s="32" t="s">
        <v>183</v>
      </c>
      <c r="AJ77" s="38" t="s">
        <v>547</v>
      </c>
      <c r="AK77" s="19" t="s">
        <v>1048</v>
      </c>
      <c r="AL77" s="38" t="s">
        <v>548</v>
      </c>
      <c r="AM77" s="19" t="s">
        <v>1052</v>
      </c>
      <c r="AN77" s="38" t="s">
        <v>1038</v>
      </c>
      <c r="AO77" s="19" t="s">
        <v>1039</v>
      </c>
      <c r="AP77" s="31" t="s">
        <v>7</v>
      </c>
      <c r="AQ77" s="19" t="s">
        <v>7</v>
      </c>
      <c r="AR77" s="33" t="s">
        <v>7</v>
      </c>
      <c r="AS77" s="34" t="s">
        <v>7</v>
      </c>
      <c r="AT77" s="33" t="s">
        <v>7</v>
      </c>
      <c r="AU77" s="34" t="s">
        <v>7</v>
      </c>
      <c r="AV77" s="33" t="s">
        <v>7</v>
      </c>
      <c r="AW77" s="34" t="s">
        <v>7</v>
      </c>
      <c r="AX77" s="33" t="s">
        <v>7</v>
      </c>
      <c r="AY77" s="34" t="s">
        <v>7</v>
      </c>
      <c r="AZ77" s="33" t="s">
        <v>7</v>
      </c>
      <c r="BA77" s="34" t="s">
        <v>7</v>
      </c>
    </row>
    <row r="78" spans="1:53" ht="8.25" customHeight="1" x14ac:dyDescent="0.25">
      <c r="A78" s="16">
        <v>77</v>
      </c>
      <c r="B78" s="17" t="s">
        <v>441</v>
      </c>
      <c r="C78" s="18" t="s">
        <v>609</v>
      </c>
      <c r="D78" s="33" t="s">
        <v>7</v>
      </c>
      <c r="E78" s="34" t="s">
        <v>7</v>
      </c>
      <c r="F78" s="29" t="s">
        <v>553</v>
      </c>
      <c r="G78" s="30" t="s">
        <v>544</v>
      </c>
      <c r="H78" s="33" t="s">
        <v>7</v>
      </c>
      <c r="I78" s="34" t="s">
        <v>7</v>
      </c>
      <c r="J78" s="40" t="s">
        <v>74</v>
      </c>
      <c r="K78" s="66" t="s">
        <v>311</v>
      </c>
      <c r="L78" s="40" t="s">
        <v>7</v>
      </c>
      <c r="M78" s="39" t="s">
        <v>7</v>
      </c>
      <c r="N78" s="40" t="s">
        <v>7</v>
      </c>
      <c r="O78" s="19" t="s">
        <v>7</v>
      </c>
      <c r="P78" s="40" t="s">
        <v>7</v>
      </c>
      <c r="Q78" s="19" t="s">
        <v>7</v>
      </c>
      <c r="R78" s="31" t="s">
        <v>7</v>
      </c>
      <c r="S78" s="19" t="s">
        <v>7</v>
      </c>
      <c r="T78" s="31" t="s">
        <v>76</v>
      </c>
      <c r="U78" s="32">
        <v>314</v>
      </c>
      <c r="V78" s="31" t="s">
        <v>77</v>
      </c>
      <c r="W78" s="32">
        <v>307</v>
      </c>
      <c r="X78" s="31" t="s">
        <v>181</v>
      </c>
      <c r="Y78" s="32" t="s">
        <v>124</v>
      </c>
      <c r="Z78" s="31" t="s">
        <v>182</v>
      </c>
      <c r="AA78" s="32" t="s">
        <v>140</v>
      </c>
      <c r="AB78" s="31" t="s">
        <v>184</v>
      </c>
      <c r="AC78" s="32" t="s">
        <v>226</v>
      </c>
      <c r="AD78" s="31" t="s">
        <v>1036</v>
      </c>
      <c r="AE78" s="32">
        <v>117</v>
      </c>
      <c r="AF78" s="31" t="s">
        <v>14</v>
      </c>
      <c r="AG78" s="19" t="s">
        <v>542</v>
      </c>
      <c r="AH78" s="31" t="s">
        <v>1037</v>
      </c>
      <c r="AI78" s="32" t="s">
        <v>183</v>
      </c>
      <c r="AJ78" s="38" t="s">
        <v>547</v>
      </c>
      <c r="AK78" s="19" t="s">
        <v>1048</v>
      </c>
      <c r="AL78" s="38" t="s">
        <v>548</v>
      </c>
      <c r="AM78" s="19" t="s">
        <v>1052</v>
      </c>
      <c r="AN78" s="38" t="s">
        <v>1038</v>
      </c>
      <c r="AO78" s="19" t="s">
        <v>1039</v>
      </c>
      <c r="AP78" s="31" t="s">
        <v>7</v>
      </c>
      <c r="AQ78" s="19" t="s">
        <v>7</v>
      </c>
      <c r="AR78" s="33" t="s">
        <v>7</v>
      </c>
      <c r="AS78" s="34" t="s">
        <v>7</v>
      </c>
      <c r="AT78" s="33" t="s">
        <v>7</v>
      </c>
      <c r="AU78" s="34" t="s">
        <v>7</v>
      </c>
      <c r="AV78" s="33" t="s">
        <v>7</v>
      </c>
      <c r="AW78" s="34" t="s">
        <v>7</v>
      </c>
      <c r="AX78" s="33" t="s">
        <v>7</v>
      </c>
      <c r="AY78" s="34" t="s">
        <v>7</v>
      </c>
      <c r="AZ78" s="33" t="s">
        <v>7</v>
      </c>
      <c r="BA78" s="34" t="s">
        <v>7</v>
      </c>
    </row>
    <row r="79" spans="1:53" ht="8.25" customHeight="1" x14ac:dyDescent="0.25">
      <c r="A79" s="16">
        <v>78</v>
      </c>
      <c r="B79" s="17" t="s">
        <v>442</v>
      </c>
      <c r="C79" s="18" t="s">
        <v>609</v>
      </c>
      <c r="D79" s="33" t="s">
        <v>7</v>
      </c>
      <c r="E79" s="34" t="s">
        <v>7</v>
      </c>
      <c r="F79" s="29" t="s">
        <v>553</v>
      </c>
      <c r="G79" s="30" t="s">
        <v>544</v>
      </c>
      <c r="H79" s="33" t="s">
        <v>7</v>
      </c>
      <c r="I79" s="34" t="s">
        <v>7</v>
      </c>
      <c r="J79" s="40" t="s">
        <v>74</v>
      </c>
      <c r="K79" s="66" t="s">
        <v>312</v>
      </c>
      <c r="L79" s="40" t="s">
        <v>7</v>
      </c>
      <c r="M79" s="39" t="s">
        <v>7</v>
      </c>
      <c r="N79" s="40" t="s">
        <v>7</v>
      </c>
      <c r="O79" s="19" t="s">
        <v>7</v>
      </c>
      <c r="P79" s="40" t="s">
        <v>7</v>
      </c>
      <c r="Q79" s="19" t="s">
        <v>7</v>
      </c>
      <c r="R79" s="31" t="s">
        <v>7</v>
      </c>
      <c r="S79" s="19" t="s">
        <v>7</v>
      </c>
      <c r="T79" s="31" t="s">
        <v>76</v>
      </c>
      <c r="U79" s="32">
        <v>318</v>
      </c>
      <c r="V79" s="31" t="s">
        <v>77</v>
      </c>
      <c r="W79" s="32">
        <v>308</v>
      </c>
      <c r="X79" s="31" t="s">
        <v>181</v>
      </c>
      <c r="Y79" s="32" t="s">
        <v>131</v>
      </c>
      <c r="Z79" s="31" t="s">
        <v>182</v>
      </c>
      <c r="AA79" s="32" t="s">
        <v>111</v>
      </c>
      <c r="AB79" s="31" t="s">
        <v>184</v>
      </c>
      <c r="AC79" s="32" t="s">
        <v>227</v>
      </c>
      <c r="AD79" s="31" t="s">
        <v>1036</v>
      </c>
      <c r="AE79" s="32">
        <v>129</v>
      </c>
      <c r="AF79" s="31" t="s">
        <v>14</v>
      </c>
      <c r="AG79" s="19" t="s">
        <v>542</v>
      </c>
      <c r="AH79" s="31" t="s">
        <v>1037</v>
      </c>
      <c r="AI79" s="32" t="s">
        <v>183</v>
      </c>
      <c r="AJ79" s="38" t="s">
        <v>547</v>
      </c>
      <c r="AK79" s="19" t="s">
        <v>1048</v>
      </c>
      <c r="AL79" s="38" t="s">
        <v>548</v>
      </c>
      <c r="AM79" s="19" t="s">
        <v>1052</v>
      </c>
      <c r="AN79" s="38" t="s">
        <v>1038</v>
      </c>
      <c r="AO79" s="19" t="s">
        <v>1039</v>
      </c>
      <c r="AP79" s="31" t="s">
        <v>7</v>
      </c>
      <c r="AQ79" s="19" t="s">
        <v>7</v>
      </c>
      <c r="AR79" s="33" t="s">
        <v>7</v>
      </c>
      <c r="AS79" s="34" t="s">
        <v>7</v>
      </c>
      <c r="AT79" s="33" t="s">
        <v>7</v>
      </c>
      <c r="AU79" s="34" t="s">
        <v>7</v>
      </c>
      <c r="AV79" s="33" t="s">
        <v>7</v>
      </c>
      <c r="AW79" s="34" t="s">
        <v>7</v>
      </c>
      <c r="AX79" s="33" t="s">
        <v>7</v>
      </c>
      <c r="AY79" s="34" t="s">
        <v>7</v>
      </c>
      <c r="AZ79" s="33" t="s">
        <v>7</v>
      </c>
      <c r="BA79" s="34" t="s">
        <v>7</v>
      </c>
    </row>
    <row r="80" spans="1:53" ht="8.25" customHeight="1" x14ac:dyDescent="0.25">
      <c r="A80" s="16">
        <v>79</v>
      </c>
      <c r="B80" s="17" t="s">
        <v>443</v>
      </c>
      <c r="C80" s="18" t="s">
        <v>609</v>
      </c>
      <c r="D80" s="33" t="s">
        <v>7</v>
      </c>
      <c r="E80" s="34" t="s">
        <v>7</v>
      </c>
      <c r="F80" s="29" t="s">
        <v>553</v>
      </c>
      <c r="G80" s="30" t="s">
        <v>544</v>
      </c>
      <c r="H80" s="33" t="s">
        <v>7</v>
      </c>
      <c r="I80" s="34" t="s">
        <v>7</v>
      </c>
      <c r="J80" s="40" t="s">
        <v>74</v>
      </c>
      <c r="K80" s="66" t="s">
        <v>313</v>
      </c>
      <c r="L80" s="40" t="s">
        <v>7</v>
      </c>
      <c r="M80" s="39" t="s">
        <v>7</v>
      </c>
      <c r="N80" s="40" t="s">
        <v>7</v>
      </c>
      <c r="O80" s="19" t="s">
        <v>7</v>
      </c>
      <c r="P80" s="40" t="s">
        <v>7</v>
      </c>
      <c r="Q80" s="19" t="s">
        <v>7</v>
      </c>
      <c r="R80" s="31" t="s">
        <v>7</v>
      </c>
      <c r="S80" s="19" t="s">
        <v>7</v>
      </c>
      <c r="T80" s="31" t="s">
        <v>76</v>
      </c>
      <c r="U80" s="32">
        <v>323</v>
      </c>
      <c r="V80" s="31" t="s">
        <v>77</v>
      </c>
      <c r="W80" s="32">
        <v>309</v>
      </c>
      <c r="X80" s="31" t="s">
        <v>181</v>
      </c>
      <c r="Y80" s="32">
        <v>14</v>
      </c>
      <c r="Z80" s="31" t="s">
        <v>182</v>
      </c>
      <c r="AA80" s="32" t="s">
        <v>228</v>
      </c>
      <c r="AB80" s="31" t="s">
        <v>184</v>
      </c>
      <c r="AC80" s="32" t="s">
        <v>227</v>
      </c>
      <c r="AD80" s="31" t="s">
        <v>1036</v>
      </c>
      <c r="AE80" s="32">
        <v>143</v>
      </c>
      <c r="AF80" s="31" t="s">
        <v>14</v>
      </c>
      <c r="AG80" s="19" t="s">
        <v>542</v>
      </c>
      <c r="AH80" s="31" t="s">
        <v>1037</v>
      </c>
      <c r="AI80" s="32" t="s">
        <v>183</v>
      </c>
      <c r="AJ80" s="38" t="s">
        <v>547</v>
      </c>
      <c r="AK80" s="19" t="s">
        <v>1048</v>
      </c>
      <c r="AL80" s="38" t="s">
        <v>548</v>
      </c>
      <c r="AM80" s="19" t="s">
        <v>1052</v>
      </c>
      <c r="AN80" s="38" t="s">
        <v>1038</v>
      </c>
      <c r="AO80" s="19" t="s">
        <v>1039</v>
      </c>
      <c r="AP80" s="31" t="s">
        <v>7</v>
      </c>
      <c r="AQ80" s="19" t="s">
        <v>7</v>
      </c>
      <c r="AR80" s="33" t="s">
        <v>7</v>
      </c>
      <c r="AS80" s="34" t="s">
        <v>7</v>
      </c>
      <c r="AT80" s="33" t="s">
        <v>7</v>
      </c>
      <c r="AU80" s="34" t="s">
        <v>7</v>
      </c>
      <c r="AV80" s="33" t="s">
        <v>7</v>
      </c>
      <c r="AW80" s="34" t="s">
        <v>7</v>
      </c>
      <c r="AX80" s="33" t="s">
        <v>7</v>
      </c>
      <c r="AY80" s="34" t="s">
        <v>7</v>
      </c>
      <c r="AZ80" s="33" t="s">
        <v>7</v>
      </c>
      <c r="BA80" s="34" t="s">
        <v>7</v>
      </c>
    </row>
    <row r="81" spans="1:53" ht="8.25" customHeight="1" x14ac:dyDescent="0.25">
      <c r="A81" s="16">
        <v>80</v>
      </c>
      <c r="B81" s="17" t="s">
        <v>444</v>
      </c>
      <c r="C81" s="18" t="s">
        <v>609</v>
      </c>
      <c r="D81" s="33" t="s">
        <v>7</v>
      </c>
      <c r="E81" s="34" t="s">
        <v>7</v>
      </c>
      <c r="F81" s="29" t="s">
        <v>553</v>
      </c>
      <c r="G81" s="30" t="s">
        <v>544</v>
      </c>
      <c r="H81" s="33" t="s">
        <v>7</v>
      </c>
      <c r="I81" s="34" t="s">
        <v>7</v>
      </c>
      <c r="J81" s="40" t="s">
        <v>74</v>
      </c>
      <c r="K81" s="66" t="s">
        <v>314</v>
      </c>
      <c r="L81" s="40" t="s">
        <v>7</v>
      </c>
      <c r="M81" s="39" t="s">
        <v>7</v>
      </c>
      <c r="N81" s="40" t="s">
        <v>7</v>
      </c>
      <c r="O81" s="19" t="s">
        <v>7</v>
      </c>
      <c r="P81" s="40" t="s">
        <v>7</v>
      </c>
      <c r="Q81" s="19" t="s">
        <v>7</v>
      </c>
      <c r="R81" s="31" t="s">
        <v>7</v>
      </c>
      <c r="S81" s="19" t="s">
        <v>7</v>
      </c>
      <c r="T81" s="31" t="s">
        <v>76</v>
      </c>
      <c r="U81" s="32">
        <v>327</v>
      </c>
      <c r="V81" s="31" t="s">
        <v>77</v>
      </c>
      <c r="W81" s="32">
        <v>310</v>
      </c>
      <c r="X81" s="31" t="s">
        <v>181</v>
      </c>
      <c r="Y81" s="32" t="s">
        <v>138</v>
      </c>
      <c r="Z81" s="31" t="s">
        <v>182</v>
      </c>
      <c r="AA81" s="32" t="s">
        <v>210</v>
      </c>
      <c r="AB81" s="31" t="s">
        <v>184</v>
      </c>
      <c r="AC81" s="32" t="s">
        <v>225</v>
      </c>
      <c r="AD81" s="31" t="s">
        <v>1036</v>
      </c>
      <c r="AE81" s="32">
        <v>158</v>
      </c>
      <c r="AF81" s="31" t="s">
        <v>14</v>
      </c>
      <c r="AG81" s="19" t="s">
        <v>542</v>
      </c>
      <c r="AH81" s="31" t="s">
        <v>1037</v>
      </c>
      <c r="AI81" s="32" t="s">
        <v>183</v>
      </c>
      <c r="AJ81" s="38" t="s">
        <v>547</v>
      </c>
      <c r="AK81" s="19" t="s">
        <v>1048</v>
      </c>
      <c r="AL81" s="38" t="s">
        <v>548</v>
      </c>
      <c r="AM81" s="19" t="s">
        <v>1052</v>
      </c>
      <c r="AN81" s="38" t="s">
        <v>1038</v>
      </c>
      <c r="AO81" s="19" t="s">
        <v>1039</v>
      </c>
      <c r="AP81" s="31" t="s">
        <v>7</v>
      </c>
      <c r="AQ81" s="19" t="s">
        <v>7</v>
      </c>
      <c r="AR81" s="33" t="s">
        <v>7</v>
      </c>
      <c r="AS81" s="34" t="s">
        <v>7</v>
      </c>
      <c r="AT81" s="33" t="s">
        <v>7</v>
      </c>
      <c r="AU81" s="34" t="s">
        <v>7</v>
      </c>
      <c r="AV81" s="33" t="s">
        <v>7</v>
      </c>
      <c r="AW81" s="34" t="s">
        <v>7</v>
      </c>
      <c r="AX81" s="33" t="s">
        <v>7</v>
      </c>
      <c r="AY81" s="34" t="s">
        <v>7</v>
      </c>
      <c r="AZ81" s="33" t="s">
        <v>7</v>
      </c>
      <c r="BA81" s="34" t="s">
        <v>7</v>
      </c>
    </row>
    <row r="82" spans="1:53" ht="8.25" customHeight="1" x14ac:dyDescent="0.25">
      <c r="A82" s="16">
        <v>81</v>
      </c>
      <c r="B82" s="17" t="s">
        <v>445</v>
      </c>
      <c r="C82" s="18" t="s">
        <v>609</v>
      </c>
      <c r="D82" s="33" t="s">
        <v>7</v>
      </c>
      <c r="E82" s="34" t="s">
        <v>7</v>
      </c>
      <c r="F82" s="29" t="s">
        <v>553</v>
      </c>
      <c r="G82" s="30" t="s">
        <v>544</v>
      </c>
      <c r="H82" s="33" t="s">
        <v>7</v>
      </c>
      <c r="I82" s="34" t="s">
        <v>7</v>
      </c>
      <c r="J82" s="40" t="s">
        <v>74</v>
      </c>
      <c r="K82" s="66" t="s">
        <v>315</v>
      </c>
      <c r="L82" s="40" t="s">
        <v>7</v>
      </c>
      <c r="M82" s="39" t="s">
        <v>7</v>
      </c>
      <c r="N82" s="40" t="s">
        <v>7</v>
      </c>
      <c r="O82" s="19" t="s">
        <v>7</v>
      </c>
      <c r="P82" s="40" t="s">
        <v>7</v>
      </c>
      <c r="Q82" s="19" t="s">
        <v>7</v>
      </c>
      <c r="R82" s="31" t="s">
        <v>7</v>
      </c>
      <c r="S82" s="19" t="s">
        <v>7</v>
      </c>
      <c r="T82" s="31" t="s">
        <v>76</v>
      </c>
      <c r="U82" s="32">
        <v>333</v>
      </c>
      <c r="V82" s="31" t="s">
        <v>77</v>
      </c>
      <c r="W82" s="32">
        <v>313</v>
      </c>
      <c r="X82" s="31" t="s">
        <v>181</v>
      </c>
      <c r="Y82" s="32">
        <v>18</v>
      </c>
      <c r="Z82" s="31" t="s">
        <v>182</v>
      </c>
      <c r="AA82" s="32" t="s">
        <v>229</v>
      </c>
      <c r="AB82" s="31" t="s">
        <v>184</v>
      </c>
      <c r="AC82" s="32">
        <v>15</v>
      </c>
      <c r="AD82" s="31" t="s">
        <v>1036</v>
      </c>
      <c r="AE82" s="32">
        <v>179</v>
      </c>
      <c r="AF82" s="31" t="s">
        <v>14</v>
      </c>
      <c r="AG82" s="19" t="s">
        <v>542</v>
      </c>
      <c r="AH82" s="31" t="s">
        <v>1037</v>
      </c>
      <c r="AI82" s="32" t="s">
        <v>183</v>
      </c>
      <c r="AJ82" s="38" t="s">
        <v>547</v>
      </c>
      <c r="AK82" s="19" t="s">
        <v>1048</v>
      </c>
      <c r="AL82" s="38" t="s">
        <v>548</v>
      </c>
      <c r="AM82" s="19" t="s">
        <v>1052</v>
      </c>
      <c r="AN82" s="38" t="s">
        <v>1038</v>
      </c>
      <c r="AO82" s="19" t="s">
        <v>1039</v>
      </c>
      <c r="AP82" s="31" t="s">
        <v>7</v>
      </c>
      <c r="AQ82" s="19" t="s">
        <v>7</v>
      </c>
      <c r="AR82" s="33" t="s">
        <v>7</v>
      </c>
      <c r="AS82" s="34" t="s">
        <v>7</v>
      </c>
      <c r="AT82" s="33" t="s">
        <v>7</v>
      </c>
      <c r="AU82" s="34" t="s">
        <v>7</v>
      </c>
      <c r="AV82" s="33" t="s">
        <v>7</v>
      </c>
      <c r="AW82" s="34" t="s">
        <v>7</v>
      </c>
      <c r="AX82" s="33" t="s">
        <v>7</v>
      </c>
      <c r="AY82" s="34" t="s">
        <v>7</v>
      </c>
      <c r="AZ82" s="33" t="s">
        <v>7</v>
      </c>
      <c r="BA82" s="34" t="s">
        <v>7</v>
      </c>
    </row>
    <row r="83" spans="1:53" ht="8.25" customHeight="1" x14ac:dyDescent="0.25">
      <c r="A83" s="16">
        <v>82</v>
      </c>
      <c r="B83" s="17" t="s">
        <v>446</v>
      </c>
      <c r="C83" s="18" t="s">
        <v>609</v>
      </c>
      <c r="D83" s="33" t="s">
        <v>7</v>
      </c>
      <c r="E83" s="34" t="s">
        <v>7</v>
      </c>
      <c r="F83" s="29" t="s">
        <v>553</v>
      </c>
      <c r="G83" s="30" t="s">
        <v>544</v>
      </c>
      <c r="H83" s="33" t="s">
        <v>7</v>
      </c>
      <c r="I83" s="34" t="s">
        <v>7</v>
      </c>
      <c r="J83" s="40" t="s">
        <v>74</v>
      </c>
      <c r="K83" s="66" t="s">
        <v>316</v>
      </c>
      <c r="L83" s="40" t="s">
        <v>7</v>
      </c>
      <c r="M83" s="39" t="s">
        <v>7</v>
      </c>
      <c r="N83" s="40" t="s">
        <v>7</v>
      </c>
      <c r="O83" s="19" t="s">
        <v>7</v>
      </c>
      <c r="P83" s="40" t="s">
        <v>7</v>
      </c>
      <c r="Q83" s="19" t="s">
        <v>7</v>
      </c>
      <c r="R83" s="31" t="s">
        <v>7</v>
      </c>
      <c r="S83" s="19" t="s">
        <v>7</v>
      </c>
      <c r="T83" s="31" t="s">
        <v>76</v>
      </c>
      <c r="U83" s="32">
        <v>341</v>
      </c>
      <c r="V83" s="31" t="s">
        <v>77</v>
      </c>
      <c r="W83" s="32">
        <v>315</v>
      </c>
      <c r="X83" s="31" t="s">
        <v>181</v>
      </c>
      <c r="Y83" s="32" t="s">
        <v>230</v>
      </c>
      <c r="Z83" s="31" t="s">
        <v>182</v>
      </c>
      <c r="AA83" s="32" t="s">
        <v>213</v>
      </c>
      <c r="AB83" s="31" t="s">
        <v>184</v>
      </c>
      <c r="AC83" s="32" t="s">
        <v>227</v>
      </c>
      <c r="AD83" s="31" t="s">
        <v>1036</v>
      </c>
      <c r="AE83" s="32">
        <v>202</v>
      </c>
      <c r="AF83" s="31" t="s">
        <v>14</v>
      </c>
      <c r="AG83" s="19" t="s">
        <v>542</v>
      </c>
      <c r="AH83" s="31" t="s">
        <v>1037</v>
      </c>
      <c r="AI83" s="32" t="s">
        <v>183</v>
      </c>
      <c r="AJ83" s="38" t="s">
        <v>547</v>
      </c>
      <c r="AK83" s="19" t="s">
        <v>1048</v>
      </c>
      <c r="AL83" s="38" t="s">
        <v>548</v>
      </c>
      <c r="AM83" s="19" t="s">
        <v>1052</v>
      </c>
      <c r="AN83" s="38" t="s">
        <v>1038</v>
      </c>
      <c r="AO83" s="19" t="s">
        <v>1039</v>
      </c>
      <c r="AP83" s="31" t="s">
        <v>7</v>
      </c>
      <c r="AQ83" s="19" t="s">
        <v>7</v>
      </c>
      <c r="AR83" s="33" t="s">
        <v>7</v>
      </c>
      <c r="AS83" s="34" t="s">
        <v>7</v>
      </c>
      <c r="AT83" s="33" t="s">
        <v>7</v>
      </c>
      <c r="AU83" s="34" t="s">
        <v>7</v>
      </c>
      <c r="AV83" s="33" t="s">
        <v>7</v>
      </c>
      <c r="AW83" s="34" t="s">
        <v>7</v>
      </c>
      <c r="AX83" s="33" t="s">
        <v>7</v>
      </c>
      <c r="AY83" s="34" t="s">
        <v>7</v>
      </c>
      <c r="AZ83" s="33" t="s">
        <v>7</v>
      </c>
      <c r="BA83" s="34" t="s">
        <v>7</v>
      </c>
    </row>
    <row r="84" spans="1:53" ht="8.25" customHeight="1" x14ac:dyDescent="0.25">
      <c r="A84" s="16">
        <v>83</v>
      </c>
      <c r="B84" s="17" t="s">
        <v>447</v>
      </c>
      <c r="C84" s="18" t="s">
        <v>609</v>
      </c>
      <c r="D84" s="33" t="s">
        <v>7</v>
      </c>
      <c r="E84" s="34" t="s">
        <v>7</v>
      </c>
      <c r="F84" s="29" t="s">
        <v>553</v>
      </c>
      <c r="G84" s="30" t="s">
        <v>544</v>
      </c>
      <c r="H84" s="33" t="s">
        <v>7</v>
      </c>
      <c r="I84" s="34" t="s">
        <v>7</v>
      </c>
      <c r="J84" s="40" t="s">
        <v>74</v>
      </c>
      <c r="K84" s="66" t="s">
        <v>317</v>
      </c>
      <c r="L84" s="40" t="s">
        <v>7</v>
      </c>
      <c r="M84" s="39" t="s">
        <v>7</v>
      </c>
      <c r="N84" s="40" t="s">
        <v>7</v>
      </c>
      <c r="O84" s="19" t="s">
        <v>7</v>
      </c>
      <c r="P84" s="40" t="s">
        <v>7</v>
      </c>
      <c r="Q84" s="19" t="s">
        <v>7</v>
      </c>
      <c r="R84" s="31" t="s">
        <v>7</v>
      </c>
      <c r="S84" s="19" t="s">
        <v>7</v>
      </c>
      <c r="T84" s="31" t="s">
        <v>76</v>
      </c>
      <c r="U84" s="32">
        <v>303</v>
      </c>
      <c r="V84" s="31" t="s">
        <v>77</v>
      </c>
      <c r="W84" s="32">
        <v>101</v>
      </c>
      <c r="X84" s="31" t="s">
        <v>181</v>
      </c>
      <c r="Y84" s="32" t="s">
        <v>231</v>
      </c>
      <c r="Z84" s="31" t="s">
        <v>182</v>
      </c>
      <c r="AA84" s="32" t="s">
        <v>232</v>
      </c>
      <c r="AB84" s="31" t="s">
        <v>184</v>
      </c>
      <c r="AC84" s="32" t="s">
        <v>233</v>
      </c>
      <c r="AD84" s="31" t="s">
        <v>1036</v>
      </c>
      <c r="AE84" s="32">
        <v>21</v>
      </c>
      <c r="AF84" s="31" t="s">
        <v>14</v>
      </c>
      <c r="AG84" s="19" t="s">
        <v>542</v>
      </c>
      <c r="AH84" s="31" t="s">
        <v>1037</v>
      </c>
      <c r="AI84" s="32" t="s">
        <v>183</v>
      </c>
      <c r="AJ84" s="38" t="s">
        <v>547</v>
      </c>
      <c r="AK84" s="19" t="s">
        <v>1048</v>
      </c>
      <c r="AL84" s="38" t="s">
        <v>548</v>
      </c>
      <c r="AM84" s="19" t="s">
        <v>1052</v>
      </c>
      <c r="AN84" s="38" t="s">
        <v>1038</v>
      </c>
      <c r="AO84" s="19" t="s">
        <v>1039</v>
      </c>
      <c r="AP84" s="31" t="s">
        <v>7</v>
      </c>
      <c r="AQ84" s="19" t="s">
        <v>7</v>
      </c>
      <c r="AR84" s="33" t="s">
        <v>7</v>
      </c>
      <c r="AS84" s="34" t="s">
        <v>7</v>
      </c>
      <c r="AT84" s="33" t="s">
        <v>7</v>
      </c>
      <c r="AU84" s="34" t="s">
        <v>7</v>
      </c>
      <c r="AV84" s="33" t="s">
        <v>7</v>
      </c>
      <c r="AW84" s="34" t="s">
        <v>7</v>
      </c>
      <c r="AX84" s="33" t="s">
        <v>7</v>
      </c>
      <c r="AY84" s="34" t="s">
        <v>7</v>
      </c>
      <c r="AZ84" s="33" t="s">
        <v>7</v>
      </c>
      <c r="BA84" s="34" t="s">
        <v>7</v>
      </c>
    </row>
    <row r="85" spans="1:53" ht="8.25" customHeight="1" x14ac:dyDescent="0.25">
      <c r="A85" s="16">
        <v>84</v>
      </c>
      <c r="B85" s="17" t="s">
        <v>448</v>
      </c>
      <c r="C85" s="18" t="s">
        <v>609</v>
      </c>
      <c r="D85" s="33" t="s">
        <v>7</v>
      </c>
      <c r="E85" s="34" t="s">
        <v>7</v>
      </c>
      <c r="F85" s="29" t="s">
        <v>553</v>
      </c>
      <c r="G85" s="30" t="s">
        <v>544</v>
      </c>
      <c r="H85" s="33" t="s">
        <v>7</v>
      </c>
      <c r="I85" s="34" t="s">
        <v>7</v>
      </c>
      <c r="J85" s="40" t="s">
        <v>74</v>
      </c>
      <c r="K85" s="66" t="s">
        <v>318</v>
      </c>
      <c r="L85" s="40" t="s">
        <v>7</v>
      </c>
      <c r="M85" s="39" t="s">
        <v>7</v>
      </c>
      <c r="N85" s="40" t="s">
        <v>7</v>
      </c>
      <c r="O85" s="19" t="s">
        <v>7</v>
      </c>
      <c r="P85" s="40" t="s">
        <v>7</v>
      </c>
      <c r="Q85" s="19" t="s">
        <v>7</v>
      </c>
      <c r="R85" s="31" t="s">
        <v>7</v>
      </c>
      <c r="S85" s="19" t="s">
        <v>7</v>
      </c>
      <c r="T85" s="31" t="s">
        <v>76</v>
      </c>
      <c r="U85" s="32">
        <v>305</v>
      </c>
      <c r="V85" s="31" t="s">
        <v>77</v>
      </c>
      <c r="W85" s="32">
        <v>101</v>
      </c>
      <c r="X85" s="31" t="s">
        <v>181</v>
      </c>
      <c r="Y85" s="32" t="s">
        <v>234</v>
      </c>
      <c r="Z85" s="31" t="s">
        <v>182</v>
      </c>
      <c r="AA85" s="32" t="s">
        <v>235</v>
      </c>
      <c r="AB85" s="31" t="s">
        <v>184</v>
      </c>
      <c r="AC85" s="32" t="s">
        <v>216</v>
      </c>
      <c r="AD85" s="31" t="s">
        <v>1036</v>
      </c>
      <c r="AE85" s="32">
        <v>23</v>
      </c>
      <c r="AF85" s="31" t="s">
        <v>14</v>
      </c>
      <c r="AG85" s="19" t="s">
        <v>542</v>
      </c>
      <c r="AH85" s="31" t="s">
        <v>1037</v>
      </c>
      <c r="AI85" s="32" t="s">
        <v>183</v>
      </c>
      <c r="AJ85" s="38" t="s">
        <v>547</v>
      </c>
      <c r="AK85" s="19" t="s">
        <v>1048</v>
      </c>
      <c r="AL85" s="38" t="s">
        <v>548</v>
      </c>
      <c r="AM85" s="19" t="s">
        <v>1052</v>
      </c>
      <c r="AN85" s="38" t="s">
        <v>1038</v>
      </c>
      <c r="AO85" s="19" t="s">
        <v>1039</v>
      </c>
      <c r="AP85" s="31" t="s">
        <v>7</v>
      </c>
      <c r="AQ85" s="19" t="s">
        <v>7</v>
      </c>
      <c r="AR85" s="33" t="s">
        <v>7</v>
      </c>
      <c r="AS85" s="34" t="s">
        <v>7</v>
      </c>
      <c r="AT85" s="33" t="s">
        <v>7</v>
      </c>
      <c r="AU85" s="34" t="s">
        <v>7</v>
      </c>
      <c r="AV85" s="33" t="s">
        <v>7</v>
      </c>
      <c r="AW85" s="34" t="s">
        <v>7</v>
      </c>
      <c r="AX85" s="33" t="s">
        <v>7</v>
      </c>
      <c r="AY85" s="34" t="s">
        <v>7</v>
      </c>
      <c r="AZ85" s="33" t="s">
        <v>7</v>
      </c>
      <c r="BA85" s="34" t="s">
        <v>7</v>
      </c>
    </row>
    <row r="86" spans="1:53" ht="8.25" customHeight="1" x14ac:dyDescent="0.25">
      <c r="A86" s="16">
        <v>85</v>
      </c>
      <c r="B86" s="17" t="s">
        <v>449</v>
      </c>
      <c r="C86" s="18" t="s">
        <v>609</v>
      </c>
      <c r="D86" s="33" t="s">
        <v>7</v>
      </c>
      <c r="E86" s="34" t="s">
        <v>7</v>
      </c>
      <c r="F86" s="29" t="s">
        <v>553</v>
      </c>
      <c r="G86" s="30" t="s">
        <v>544</v>
      </c>
      <c r="H86" s="33" t="s">
        <v>7</v>
      </c>
      <c r="I86" s="34" t="s">
        <v>7</v>
      </c>
      <c r="J86" s="40" t="s">
        <v>74</v>
      </c>
      <c r="K86" s="66" t="s">
        <v>319</v>
      </c>
      <c r="L86" s="40" t="s">
        <v>7</v>
      </c>
      <c r="M86" s="39" t="s">
        <v>7</v>
      </c>
      <c r="N86" s="40" t="s">
        <v>7</v>
      </c>
      <c r="O86" s="19" t="s">
        <v>7</v>
      </c>
      <c r="P86" s="40" t="s">
        <v>7</v>
      </c>
      <c r="Q86" s="19" t="s">
        <v>7</v>
      </c>
      <c r="R86" s="31" t="s">
        <v>7</v>
      </c>
      <c r="S86" s="19" t="s">
        <v>7</v>
      </c>
      <c r="T86" s="31" t="s">
        <v>76</v>
      </c>
      <c r="U86" s="32">
        <v>309</v>
      </c>
      <c r="V86" s="31" t="s">
        <v>77</v>
      </c>
      <c r="W86" s="32">
        <v>102</v>
      </c>
      <c r="X86" s="31" t="s">
        <v>181</v>
      </c>
      <c r="Y86" s="32" t="s">
        <v>236</v>
      </c>
      <c r="Z86" s="31" t="s">
        <v>182</v>
      </c>
      <c r="AA86" s="32" t="s">
        <v>237</v>
      </c>
      <c r="AB86" s="31" t="s">
        <v>184</v>
      </c>
      <c r="AC86" s="32" t="s">
        <v>238</v>
      </c>
      <c r="AD86" s="31" t="s">
        <v>1036</v>
      </c>
      <c r="AE86" s="32">
        <v>28</v>
      </c>
      <c r="AF86" s="31" t="s">
        <v>14</v>
      </c>
      <c r="AG86" s="19" t="s">
        <v>542</v>
      </c>
      <c r="AH86" s="31" t="s">
        <v>1037</v>
      </c>
      <c r="AI86" s="32" t="s">
        <v>183</v>
      </c>
      <c r="AJ86" s="38" t="s">
        <v>547</v>
      </c>
      <c r="AK86" s="19" t="s">
        <v>1048</v>
      </c>
      <c r="AL86" s="38" t="s">
        <v>548</v>
      </c>
      <c r="AM86" s="19" t="s">
        <v>1052</v>
      </c>
      <c r="AN86" s="38" t="s">
        <v>1038</v>
      </c>
      <c r="AO86" s="19" t="s">
        <v>1039</v>
      </c>
      <c r="AP86" s="31" t="s">
        <v>7</v>
      </c>
      <c r="AQ86" s="19" t="s">
        <v>7</v>
      </c>
      <c r="AR86" s="33" t="s">
        <v>7</v>
      </c>
      <c r="AS86" s="34" t="s">
        <v>7</v>
      </c>
      <c r="AT86" s="33" t="s">
        <v>7</v>
      </c>
      <c r="AU86" s="34" t="s">
        <v>7</v>
      </c>
      <c r="AV86" s="33" t="s">
        <v>7</v>
      </c>
      <c r="AW86" s="34" t="s">
        <v>7</v>
      </c>
      <c r="AX86" s="33" t="s">
        <v>7</v>
      </c>
      <c r="AY86" s="34" t="s">
        <v>7</v>
      </c>
      <c r="AZ86" s="33" t="s">
        <v>7</v>
      </c>
      <c r="BA86" s="34" t="s">
        <v>7</v>
      </c>
    </row>
    <row r="87" spans="1:53" ht="8.25" customHeight="1" x14ac:dyDescent="0.25">
      <c r="A87" s="16">
        <v>86</v>
      </c>
      <c r="B87" s="17" t="s">
        <v>450</v>
      </c>
      <c r="C87" s="18" t="s">
        <v>609</v>
      </c>
      <c r="D87" s="33" t="s">
        <v>7</v>
      </c>
      <c r="E87" s="34" t="s">
        <v>7</v>
      </c>
      <c r="F87" s="29" t="s">
        <v>553</v>
      </c>
      <c r="G87" s="30" t="s">
        <v>544</v>
      </c>
      <c r="H87" s="33" t="s">
        <v>7</v>
      </c>
      <c r="I87" s="34" t="s">
        <v>7</v>
      </c>
      <c r="J87" s="40" t="s">
        <v>74</v>
      </c>
      <c r="K87" s="66" t="s">
        <v>320</v>
      </c>
      <c r="L87" s="40" t="s">
        <v>7</v>
      </c>
      <c r="M87" s="39" t="s">
        <v>7</v>
      </c>
      <c r="N87" s="40" t="s">
        <v>7</v>
      </c>
      <c r="O87" s="19" t="s">
        <v>7</v>
      </c>
      <c r="P87" s="40" t="s">
        <v>7</v>
      </c>
      <c r="Q87" s="19" t="s">
        <v>7</v>
      </c>
      <c r="R87" s="31" t="s">
        <v>7</v>
      </c>
      <c r="S87" s="19" t="s">
        <v>7</v>
      </c>
      <c r="T87" s="31" t="s">
        <v>76</v>
      </c>
      <c r="U87" s="32">
        <v>313</v>
      </c>
      <c r="V87" s="31" t="s">
        <v>77</v>
      </c>
      <c r="W87" s="32">
        <v>102</v>
      </c>
      <c r="X87" s="31" t="s">
        <v>181</v>
      </c>
      <c r="Y87" s="32" t="s">
        <v>81</v>
      </c>
      <c r="Z87" s="31" t="s">
        <v>182</v>
      </c>
      <c r="AA87" s="32" t="s">
        <v>239</v>
      </c>
      <c r="AB87" s="31" t="s">
        <v>184</v>
      </c>
      <c r="AC87" s="32" t="s">
        <v>205</v>
      </c>
      <c r="AD87" s="31" t="s">
        <v>1036</v>
      </c>
      <c r="AE87" s="32">
        <v>32</v>
      </c>
      <c r="AF87" s="31" t="s">
        <v>14</v>
      </c>
      <c r="AG87" s="19" t="s">
        <v>542</v>
      </c>
      <c r="AH87" s="31" t="s">
        <v>1037</v>
      </c>
      <c r="AI87" s="32" t="s">
        <v>183</v>
      </c>
      <c r="AJ87" s="38" t="s">
        <v>547</v>
      </c>
      <c r="AK87" s="19" t="s">
        <v>1048</v>
      </c>
      <c r="AL87" s="38" t="s">
        <v>548</v>
      </c>
      <c r="AM87" s="19" t="s">
        <v>1052</v>
      </c>
      <c r="AN87" s="38" t="s">
        <v>1038</v>
      </c>
      <c r="AO87" s="19" t="s">
        <v>1039</v>
      </c>
      <c r="AP87" s="31" t="s">
        <v>7</v>
      </c>
      <c r="AQ87" s="19" t="s">
        <v>7</v>
      </c>
      <c r="AR87" s="33" t="s">
        <v>7</v>
      </c>
      <c r="AS87" s="34" t="s">
        <v>7</v>
      </c>
      <c r="AT87" s="33" t="s">
        <v>7</v>
      </c>
      <c r="AU87" s="34" t="s">
        <v>7</v>
      </c>
      <c r="AV87" s="33" t="s">
        <v>7</v>
      </c>
      <c r="AW87" s="34" t="s">
        <v>7</v>
      </c>
      <c r="AX87" s="33" t="s">
        <v>7</v>
      </c>
      <c r="AY87" s="34" t="s">
        <v>7</v>
      </c>
      <c r="AZ87" s="33" t="s">
        <v>7</v>
      </c>
      <c r="BA87" s="34" t="s">
        <v>7</v>
      </c>
    </row>
    <row r="88" spans="1:53" ht="8.25" customHeight="1" x14ac:dyDescent="0.25">
      <c r="A88" s="16">
        <v>87</v>
      </c>
      <c r="B88" s="17" t="s">
        <v>451</v>
      </c>
      <c r="C88" s="18" t="s">
        <v>609</v>
      </c>
      <c r="D88" s="33" t="s">
        <v>7</v>
      </c>
      <c r="E88" s="34" t="s">
        <v>7</v>
      </c>
      <c r="F88" s="29" t="s">
        <v>553</v>
      </c>
      <c r="G88" s="30" t="s">
        <v>544</v>
      </c>
      <c r="H88" s="33" t="s">
        <v>7</v>
      </c>
      <c r="I88" s="34" t="s">
        <v>7</v>
      </c>
      <c r="J88" s="40" t="s">
        <v>74</v>
      </c>
      <c r="K88" s="66" t="s">
        <v>321</v>
      </c>
      <c r="L88" s="40" t="s">
        <v>7</v>
      </c>
      <c r="M88" s="39" t="s">
        <v>7</v>
      </c>
      <c r="N88" s="40" t="s">
        <v>7</v>
      </c>
      <c r="O88" s="19" t="s">
        <v>7</v>
      </c>
      <c r="P88" s="40" t="s">
        <v>7</v>
      </c>
      <c r="Q88" s="19" t="s">
        <v>7</v>
      </c>
      <c r="R88" s="31" t="s">
        <v>7</v>
      </c>
      <c r="S88" s="19" t="s">
        <v>7</v>
      </c>
      <c r="T88" s="31" t="s">
        <v>76</v>
      </c>
      <c r="U88" s="32">
        <v>310</v>
      </c>
      <c r="V88" s="31" t="s">
        <v>77</v>
      </c>
      <c r="W88" s="32">
        <v>165</v>
      </c>
      <c r="X88" s="31" t="s">
        <v>181</v>
      </c>
      <c r="Y88" s="32" t="s">
        <v>188</v>
      </c>
      <c r="Z88" s="31" t="s">
        <v>182</v>
      </c>
      <c r="AA88" s="32" t="s">
        <v>240</v>
      </c>
      <c r="AB88" s="31" t="s">
        <v>184</v>
      </c>
      <c r="AC88" s="32" t="s">
        <v>241</v>
      </c>
      <c r="AD88" s="31" t="s">
        <v>1036</v>
      </c>
      <c r="AE88" s="32">
        <v>38</v>
      </c>
      <c r="AF88" s="31" t="s">
        <v>14</v>
      </c>
      <c r="AG88" s="19" t="s">
        <v>542</v>
      </c>
      <c r="AH88" s="31" t="s">
        <v>1037</v>
      </c>
      <c r="AI88" s="32" t="s">
        <v>183</v>
      </c>
      <c r="AJ88" s="38" t="s">
        <v>547</v>
      </c>
      <c r="AK88" s="19" t="s">
        <v>1048</v>
      </c>
      <c r="AL88" s="38" t="s">
        <v>548</v>
      </c>
      <c r="AM88" s="19" t="s">
        <v>1052</v>
      </c>
      <c r="AN88" s="38" t="s">
        <v>1038</v>
      </c>
      <c r="AO88" s="19" t="s">
        <v>1039</v>
      </c>
      <c r="AP88" s="31" t="s">
        <v>7</v>
      </c>
      <c r="AQ88" s="19" t="s">
        <v>7</v>
      </c>
      <c r="AR88" s="33" t="s">
        <v>7</v>
      </c>
      <c r="AS88" s="34" t="s">
        <v>7</v>
      </c>
      <c r="AT88" s="33" t="s">
        <v>7</v>
      </c>
      <c r="AU88" s="34" t="s">
        <v>7</v>
      </c>
      <c r="AV88" s="33" t="s">
        <v>7</v>
      </c>
      <c r="AW88" s="34" t="s">
        <v>7</v>
      </c>
      <c r="AX88" s="33" t="s">
        <v>7</v>
      </c>
      <c r="AY88" s="34" t="s">
        <v>7</v>
      </c>
      <c r="AZ88" s="33" t="s">
        <v>7</v>
      </c>
      <c r="BA88" s="34" t="s">
        <v>7</v>
      </c>
    </row>
    <row r="89" spans="1:53" ht="8.25" customHeight="1" x14ac:dyDescent="0.25">
      <c r="A89" s="16">
        <v>88</v>
      </c>
      <c r="B89" s="17" t="s">
        <v>452</v>
      </c>
      <c r="C89" s="18" t="s">
        <v>609</v>
      </c>
      <c r="D89" s="33" t="s">
        <v>7</v>
      </c>
      <c r="E89" s="34" t="s">
        <v>7</v>
      </c>
      <c r="F89" s="29" t="s">
        <v>553</v>
      </c>
      <c r="G89" s="30" t="s">
        <v>544</v>
      </c>
      <c r="H89" s="33" t="s">
        <v>7</v>
      </c>
      <c r="I89" s="34" t="s">
        <v>7</v>
      </c>
      <c r="J89" s="40" t="s">
        <v>74</v>
      </c>
      <c r="K89" s="66" t="s">
        <v>322</v>
      </c>
      <c r="L89" s="40" t="s">
        <v>7</v>
      </c>
      <c r="M89" s="39" t="s">
        <v>7</v>
      </c>
      <c r="N89" s="40" t="s">
        <v>7</v>
      </c>
      <c r="O89" s="19" t="s">
        <v>7</v>
      </c>
      <c r="P89" s="40" t="s">
        <v>7</v>
      </c>
      <c r="Q89" s="19" t="s">
        <v>7</v>
      </c>
      <c r="R89" s="31" t="s">
        <v>7</v>
      </c>
      <c r="S89" s="19" t="s">
        <v>7</v>
      </c>
      <c r="T89" s="31" t="s">
        <v>76</v>
      </c>
      <c r="U89" s="32">
        <v>313</v>
      </c>
      <c r="V89" s="31" t="s">
        <v>77</v>
      </c>
      <c r="W89" s="32">
        <v>166</v>
      </c>
      <c r="X89" s="31" t="s">
        <v>181</v>
      </c>
      <c r="Y89" s="32" t="s">
        <v>81</v>
      </c>
      <c r="Z89" s="31" t="s">
        <v>182</v>
      </c>
      <c r="AA89" s="32" t="s">
        <v>222</v>
      </c>
      <c r="AB89" s="31" t="s">
        <v>184</v>
      </c>
      <c r="AC89" s="32" t="s">
        <v>205</v>
      </c>
      <c r="AD89" s="31" t="s">
        <v>1036</v>
      </c>
      <c r="AE89" s="32">
        <v>44</v>
      </c>
      <c r="AF89" s="31" t="s">
        <v>14</v>
      </c>
      <c r="AG89" s="19" t="s">
        <v>542</v>
      </c>
      <c r="AH89" s="31" t="s">
        <v>1037</v>
      </c>
      <c r="AI89" s="32" t="s">
        <v>183</v>
      </c>
      <c r="AJ89" s="38" t="s">
        <v>547</v>
      </c>
      <c r="AK89" s="19" t="s">
        <v>1048</v>
      </c>
      <c r="AL89" s="38" t="s">
        <v>548</v>
      </c>
      <c r="AM89" s="19" t="s">
        <v>1052</v>
      </c>
      <c r="AN89" s="38" t="s">
        <v>1038</v>
      </c>
      <c r="AO89" s="19" t="s">
        <v>1039</v>
      </c>
      <c r="AP89" s="31" t="s">
        <v>7</v>
      </c>
      <c r="AQ89" s="19" t="s">
        <v>7</v>
      </c>
      <c r="AR89" s="33" t="s">
        <v>7</v>
      </c>
      <c r="AS89" s="34" t="s">
        <v>7</v>
      </c>
      <c r="AT89" s="33" t="s">
        <v>7</v>
      </c>
      <c r="AU89" s="34" t="s">
        <v>7</v>
      </c>
      <c r="AV89" s="33" t="s">
        <v>7</v>
      </c>
      <c r="AW89" s="34" t="s">
        <v>7</v>
      </c>
      <c r="AX89" s="33" t="s">
        <v>7</v>
      </c>
      <c r="AY89" s="34" t="s">
        <v>7</v>
      </c>
      <c r="AZ89" s="33" t="s">
        <v>7</v>
      </c>
      <c r="BA89" s="34" t="s">
        <v>7</v>
      </c>
    </row>
    <row r="90" spans="1:53" ht="8.25" customHeight="1" x14ac:dyDescent="0.25">
      <c r="A90" s="16">
        <v>89</v>
      </c>
      <c r="B90" s="17" t="s">
        <v>453</v>
      </c>
      <c r="C90" s="18" t="s">
        <v>609</v>
      </c>
      <c r="D90" s="33" t="s">
        <v>7</v>
      </c>
      <c r="E90" s="34" t="s">
        <v>7</v>
      </c>
      <c r="F90" s="29" t="s">
        <v>553</v>
      </c>
      <c r="G90" s="30" t="s">
        <v>544</v>
      </c>
      <c r="H90" s="33" t="s">
        <v>7</v>
      </c>
      <c r="I90" s="34" t="s">
        <v>7</v>
      </c>
      <c r="J90" s="40" t="s">
        <v>74</v>
      </c>
      <c r="K90" s="66" t="s">
        <v>323</v>
      </c>
      <c r="L90" s="40" t="s">
        <v>7</v>
      </c>
      <c r="M90" s="39" t="s">
        <v>7</v>
      </c>
      <c r="N90" s="40" t="s">
        <v>7</v>
      </c>
      <c r="O90" s="19" t="s">
        <v>7</v>
      </c>
      <c r="P90" s="40" t="s">
        <v>7</v>
      </c>
      <c r="Q90" s="19" t="s">
        <v>7</v>
      </c>
      <c r="R90" s="31" t="s">
        <v>7</v>
      </c>
      <c r="S90" s="19" t="s">
        <v>7</v>
      </c>
      <c r="T90" s="31" t="s">
        <v>76</v>
      </c>
      <c r="U90" s="32">
        <v>317</v>
      </c>
      <c r="V90" s="31" t="s">
        <v>77</v>
      </c>
      <c r="W90" s="32">
        <v>167</v>
      </c>
      <c r="X90" s="31" t="s">
        <v>181</v>
      </c>
      <c r="Y90" s="32" t="s">
        <v>203</v>
      </c>
      <c r="Z90" s="31" t="s">
        <v>182</v>
      </c>
      <c r="AA90" s="32" t="s">
        <v>242</v>
      </c>
      <c r="AB90" s="31" t="s">
        <v>184</v>
      </c>
      <c r="AC90" s="32" t="s">
        <v>205</v>
      </c>
      <c r="AD90" s="31" t="s">
        <v>1036</v>
      </c>
      <c r="AE90" s="32">
        <v>52</v>
      </c>
      <c r="AF90" s="31" t="s">
        <v>14</v>
      </c>
      <c r="AG90" s="19" t="s">
        <v>542</v>
      </c>
      <c r="AH90" s="31" t="s">
        <v>1037</v>
      </c>
      <c r="AI90" s="32" t="s">
        <v>183</v>
      </c>
      <c r="AJ90" s="38" t="s">
        <v>547</v>
      </c>
      <c r="AK90" s="19" t="s">
        <v>1048</v>
      </c>
      <c r="AL90" s="38" t="s">
        <v>548</v>
      </c>
      <c r="AM90" s="19" t="s">
        <v>1052</v>
      </c>
      <c r="AN90" s="38" t="s">
        <v>1038</v>
      </c>
      <c r="AO90" s="19" t="s">
        <v>1039</v>
      </c>
      <c r="AP90" s="31" t="s">
        <v>7</v>
      </c>
      <c r="AQ90" s="19" t="s">
        <v>7</v>
      </c>
      <c r="AR90" s="33" t="s">
        <v>7</v>
      </c>
      <c r="AS90" s="34" t="s">
        <v>7</v>
      </c>
      <c r="AT90" s="33" t="s">
        <v>7</v>
      </c>
      <c r="AU90" s="34" t="s">
        <v>7</v>
      </c>
      <c r="AV90" s="33" t="s">
        <v>7</v>
      </c>
      <c r="AW90" s="34" t="s">
        <v>7</v>
      </c>
      <c r="AX90" s="33" t="s">
        <v>7</v>
      </c>
      <c r="AY90" s="34" t="s">
        <v>7</v>
      </c>
      <c r="AZ90" s="33" t="s">
        <v>7</v>
      </c>
      <c r="BA90" s="34" t="s">
        <v>7</v>
      </c>
    </row>
    <row r="91" spans="1:53" ht="8.25" customHeight="1" x14ac:dyDescent="0.25">
      <c r="A91" s="16">
        <v>90</v>
      </c>
      <c r="B91" s="17" t="s">
        <v>503</v>
      </c>
      <c r="C91" s="18" t="s">
        <v>609</v>
      </c>
      <c r="D91" s="33" t="s">
        <v>7</v>
      </c>
      <c r="E91" s="34" t="s">
        <v>7</v>
      </c>
      <c r="F91" s="29" t="s">
        <v>553</v>
      </c>
      <c r="G91" s="30" t="s">
        <v>544</v>
      </c>
      <c r="H91" s="33" t="s">
        <v>7</v>
      </c>
      <c r="I91" s="34" t="s">
        <v>7</v>
      </c>
      <c r="J91" s="40" t="s">
        <v>74</v>
      </c>
      <c r="K91" s="66" t="s">
        <v>324</v>
      </c>
      <c r="L91" s="40" t="s">
        <v>7</v>
      </c>
      <c r="M91" s="39" t="s">
        <v>7</v>
      </c>
      <c r="N91" s="40" t="s">
        <v>7</v>
      </c>
      <c r="O91" s="19" t="s">
        <v>7</v>
      </c>
      <c r="P91" s="40" t="s">
        <v>7</v>
      </c>
      <c r="Q91" s="19" t="s">
        <v>7</v>
      </c>
      <c r="R91" s="31" t="s">
        <v>7</v>
      </c>
      <c r="S91" s="19" t="s">
        <v>7</v>
      </c>
      <c r="T91" s="31" t="s">
        <v>76</v>
      </c>
      <c r="U91" s="32">
        <v>303</v>
      </c>
      <c r="V91" s="31" t="s">
        <v>77</v>
      </c>
      <c r="W91" s="32">
        <v>203</v>
      </c>
      <c r="X91" s="31" t="s">
        <v>181</v>
      </c>
      <c r="Y91" s="32" t="s">
        <v>243</v>
      </c>
      <c r="Z91" s="31" t="s">
        <v>182</v>
      </c>
      <c r="AA91" s="32" t="s">
        <v>131</v>
      </c>
      <c r="AB91" s="31" t="s">
        <v>184</v>
      </c>
      <c r="AC91" s="32" t="s">
        <v>187</v>
      </c>
      <c r="AD91" s="31" t="s">
        <v>1036</v>
      </c>
      <c r="AE91" s="32">
        <v>60</v>
      </c>
      <c r="AF91" s="31" t="s">
        <v>14</v>
      </c>
      <c r="AG91" s="19" t="s">
        <v>542</v>
      </c>
      <c r="AH91" s="31" t="s">
        <v>1037</v>
      </c>
      <c r="AI91" s="32" t="s">
        <v>183</v>
      </c>
      <c r="AJ91" s="38" t="s">
        <v>547</v>
      </c>
      <c r="AK91" s="19" t="s">
        <v>1048</v>
      </c>
      <c r="AL91" s="38" t="s">
        <v>548</v>
      </c>
      <c r="AM91" s="19" t="s">
        <v>1052</v>
      </c>
      <c r="AN91" s="38" t="s">
        <v>1038</v>
      </c>
      <c r="AO91" s="19" t="s">
        <v>1039</v>
      </c>
      <c r="AP91" s="31" t="s">
        <v>7</v>
      </c>
      <c r="AQ91" s="19" t="s">
        <v>7</v>
      </c>
      <c r="AR91" s="33" t="s">
        <v>7</v>
      </c>
      <c r="AS91" s="34" t="s">
        <v>7</v>
      </c>
      <c r="AT91" s="33" t="s">
        <v>7</v>
      </c>
      <c r="AU91" s="34" t="s">
        <v>7</v>
      </c>
      <c r="AV91" s="33" t="s">
        <v>7</v>
      </c>
      <c r="AW91" s="34" t="s">
        <v>7</v>
      </c>
      <c r="AX91" s="33" t="s">
        <v>7</v>
      </c>
      <c r="AY91" s="34" t="s">
        <v>7</v>
      </c>
      <c r="AZ91" s="33" t="s">
        <v>7</v>
      </c>
      <c r="BA91" s="34" t="s">
        <v>7</v>
      </c>
    </row>
    <row r="92" spans="1:53" ht="8.25" customHeight="1" x14ac:dyDescent="0.25">
      <c r="A92" s="16">
        <v>91</v>
      </c>
      <c r="B92" s="17" t="s">
        <v>504</v>
      </c>
      <c r="C92" s="18" t="s">
        <v>609</v>
      </c>
      <c r="D92" s="33" t="s">
        <v>7</v>
      </c>
      <c r="E92" s="34" t="s">
        <v>7</v>
      </c>
      <c r="F92" s="29" t="s">
        <v>553</v>
      </c>
      <c r="G92" s="30" t="s">
        <v>544</v>
      </c>
      <c r="H92" s="33" t="s">
        <v>7</v>
      </c>
      <c r="I92" s="34" t="s">
        <v>7</v>
      </c>
      <c r="J92" s="40" t="s">
        <v>74</v>
      </c>
      <c r="K92" s="66" t="s">
        <v>325</v>
      </c>
      <c r="L92" s="40" t="s">
        <v>7</v>
      </c>
      <c r="M92" s="39" t="s">
        <v>7</v>
      </c>
      <c r="N92" s="40" t="s">
        <v>7</v>
      </c>
      <c r="O92" s="19" t="s">
        <v>7</v>
      </c>
      <c r="P92" s="40" t="s">
        <v>7</v>
      </c>
      <c r="Q92" s="19" t="s">
        <v>7</v>
      </c>
      <c r="R92" s="31" t="s">
        <v>7</v>
      </c>
      <c r="S92" s="19" t="s">
        <v>7</v>
      </c>
      <c r="T92" s="31" t="s">
        <v>76</v>
      </c>
      <c r="U92" s="32">
        <v>306</v>
      </c>
      <c r="V92" s="31" t="s">
        <v>77</v>
      </c>
      <c r="W92" s="32">
        <v>204</v>
      </c>
      <c r="X92" s="31" t="s">
        <v>181</v>
      </c>
      <c r="Y92" s="32" t="s">
        <v>244</v>
      </c>
      <c r="Z92" s="31" t="s">
        <v>182</v>
      </c>
      <c r="AA92" s="32" t="s">
        <v>245</v>
      </c>
      <c r="AB92" s="31" t="s">
        <v>184</v>
      </c>
      <c r="AC92" s="32" t="s">
        <v>187</v>
      </c>
      <c r="AD92" s="31" t="s">
        <v>1036</v>
      </c>
      <c r="AE92" s="32">
        <v>67</v>
      </c>
      <c r="AF92" s="31" t="s">
        <v>14</v>
      </c>
      <c r="AG92" s="19" t="s">
        <v>542</v>
      </c>
      <c r="AH92" s="31" t="s">
        <v>1037</v>
      </c>
      <c r="AI92" s="32" t="s">
        <v>183</v>
      </c>
      <c r="AJ92" s="38" t="s">
        <v>547</v>
      </c>
      <c r="AK92" s="19" t="s">
        <v>1048</v>
      </c>
      <c r="AL92" s="38" t="s">
        <v>548</v>
      </c>
      <c r="AM92" s="19" t="s">
        <v>1052</v>
      </c>
      <c r="AN92" s="38" t="s">
        <v>1038</v>
      </c>
      <c r="AO92" s="19" t="s">
        <v>1039</v>
      </c>
      <c r="AP92" s="31" t="s">
        <v>7</v>
      </c>
      <c r="AQ92" s="19" t="s">
        <v>7</v>
      </c>
      <c r="AR92" s="33" t="s">
        <v>7</v>
      </c>
      <c r="AS92" s="34" t="s">
        <v>7</v>
      </c>
      <c r="AT92" s="33" t="s">
        <v>7</v>
      </c>
      <c r="AU92" s="34" t="s">
        <v>7</v>
      </c>
      <c r="AV92" s="33" t="s">
        <v>7</v>
      </c>
      <c r="AW92" s="34" t="s">
        <v>7</v>
      </c>
      <c r="AX92" s="33" t="s">
        <v>7</v>
      </c>
      <c r="AY92" s="34" t="s">
        <v>7</v>
      </c>
      <c r="AZ92" s="33" t="s">
        <v>7</v>
      </c>
      <c r="BA92" s="34" t="s">
        <v>7</v>
      </c>
    </row>
    <row r="93" spans="1:53" ht="8.25" customHeight="1" x14ac:dyDescent="0.25">
      <c r="A93" s="16">
        <v>92</v>
      </c>
      <c r="B93" s="17" t="s">
        <v>505</v>
      </c>
      <c r="C93" s="18" t="s">
        <v>609</v>
      </c>
      <c r="D93" s="33" t="s">
        <v>7</v>
      </c>
      <c r="E93" s="34" t="s">
        <v>7</v>
      </c>
      <c r="F93" s="29" t="s">
        <v>553</v>
      </c>
      <c r="G93" s="30" t="s">
        <v>544</v>
      </c>
      <c r="H93" s="33" t="s">
        <v>7</v>
      </c>
      <c r="I93" s="34" t="s">
        <v>7</v>
      </c>
      <c r="J93" s="40" t="s">
        <v>74</v>
      </c>
      <c r="K93" s="66" t="s">
        <v>326</v>
      </c>
      <c r="L93" s="40" t="s">
        <v>7</v>
      </c>
      <c r="M93" s="39" t="s">
        <v>7</v>
      </c>
      <c r="N93" s="40" t="s">
        <v>7</v>
      </c>
      <c r="O93" s="19" t="s">
        <v>7</v>
      </c>
      <c r="P93" s="40" t="s">
        <v>7</v>
      </c>
      <c r="Q93" s="19" t="s">
        <v>7</v>
      </c>
      <c r="R93" s="31" t="s">
        <v>7</v>
      </c>
      <c r="S93" s="19" t="s">
        <v>7</v>
      </c>
      <c r="T93" s="31" t="s">
        <v>76</v>
      </c>
      <c r="U93" s="32">
        <v>310</v>
      </c>
      <c r="V93" s="31" t="s">
        <v>77</v>
      </c>
      <c r="W93" s="32">
        <v>205</v>
      </c>
      <c r="X93" s="31" t="s">
        <v>181</v>
      </c>
      <c r="Y93" s="32" t="s">
        <v>118</v>
      </c>
      <c r="Z93" s="31" t="s">
        <v>182</v>
      </c>
      <c r="AA93" s="32" t="s">
        <v>246</v>
      </c>
      <c r="AB93" s="31" t="s">
        <v>184</v>
      </c>
      <c r="AC93" s="32" t="s">
        <v>187</v>
      </c>
      <c r="AD93" s="31" t="s">
        <v>1036</v>
      </c>
      <c r="AE93" s="32">
        <v>74</v>
      </c>
      <c r="AF93" s="31" t="s">
        <v>14</v>
      </c>
      <c r="AG93" s="19" t="s">
        <v>542</v>
      </c>
      <c r="AH93" s="31" t="s">
        <v>1037</v>
      </c>
      <c r="AI93" s="32" t="s">
        <v>183</v>
      </c>
      <c r="AJ93" s="38" t="s">
        <v>547</v>
      </c>
      <c r="AK93" s="19" t="s">
        <v>1048</v>
      </c>
      <c r="AL93" s="38" t="s">
        <v>548</v>
      </c>
      <c r="AM93" s="19" t="s">
        <v>1052</v>
      </c>
      <c r="AN93" s="38" t="s">
        <v>1038</v>
      </c>
      <c r="AO93" s="19" t="s">
        <v>1039</v>
      </c>
      <c r="AP93" s="31" t="s">
        <v>7</v>
      </c>
      <c r="AQ93" s="19" t="s">
        <v>7</v>
      </c>
      <c r="AR93" s="33" t="s">
        <v>7</v>
      </c>
      <c r="AS93" s="34" t="s">
        <v>7</v>
      </c>
      <c r="AT93" s="33" t="s">
        <v>7</v>
      </c>
      <c r="AU93" s="34" t="s">
        <v>7</v>
      </c>
      <c r="AV93" s="33" t="s">
        <v>7</v>
      </c>
      <c r="AW93" s="34" t="s">
        <v>7</v>
      </c>
      <c r="AX93" s="33" t="s">
        <v>7</v>
      </c>
      <c r="AY93" s="34" t="s">
        <v>7</v>
      </c>
      <c r="AZ93" s="33" t="s">
        <v>7</v>
      </c>
      <c r="BA93" s="34" t="s">
        <v>7</v>
      </c>
    </row>
    <row r="94" spans="1:53" ht="8.25" customHeight="1" x14ac:dyDescent="0.25">
      <c r="A94" s="16">
        <v>93</v>
      </c>
      <c r="B94" s="17" t="s">
        <v>454</v>
      </c>
      <c r="C94" s="18" t="s">
        <v>609</v>
      </c>
      <c r="D94" s="33" t="s">
        <v>7</v>
      </c>
      <c r="E94" s="34" t="s">
        <v>7</v>
      </c>
      <c r="F94" s="29" t="s">
        <v>553</v>
      </c>
      <c r="G94" s="30" t="s">
        <v>544</v>
      </c>
      <c r="H94" s="33" t="s">
        <v>7</v>
      </c>
      <c r="I94" s="34" t="s">
        <v>7</v>
      </c>
      <c r="J94" s="40" t="s">
        <v>74</v>
      </c>
      <c r="K94" s="66" t="s">
        <v>327</v>
      </c>
      <c r="L94" s="40" t="s">
        <v>7</v>
      </c>
      <c r="M94" s="39" t="s">
        <v>7</v>
      </c>
      <c r="N94" s="40" t="s">
        <v>7</v>
      </c>
      <c r="O94" s="19" t="s">
        <v>7</v>
      </c>
      <c r="P94" s="40" t="s">
        <v>7</v>
      </c>
      <c r="Q94" s="19" t="s">
        <v>7</v>
      </c>
      <c r="R94" s="31" t="s">
        <v>7</v>
      </c>
      <c r="S94" s="19" t="s">
        <v>7</v>
      </c>
      <c r="T94" s="31" t="s">
        <v>76</v>
      </c>
      <c r="U94" s="32">
        <v>308</v>
      </c>
      <c r="V94" s="31" t="s">
        <v>77</v>
      </c>
      <c r="W94" s="32">
        <v>305</v>
      </c>
      <c r="X94" s="31" t="s">
        <v>181</v>
      </c>
      <c r="Y94" s="32" t="s">
        <v>247</v>
      </c>
      <c r="Z94" s="31" t="s">
        <v>182</v>
      </c>
      <c r="AA94" s="32" t="s">
        <v>134</v>
      </c>
      <c r="AB94" s="31" t="s">
        <v>184</v>
      </c>
      <c r="AC94" s="32" t="s">
        <v>226</v>
      </c>
      <c r="AD94" s="31" t="s">
        <v>1036</v>
      </c>
      <c r="AE94" s="32">
        <v>97</v>
      </c>
      <c r="AF94" s="31" t="s">
        <v>14</v>
      </c>
      <c r="AG94" s="19" t="s">
        <v>542</v>
      </c>
      <c r="AH94" s="31" t="s">
        <v>1037</v>
      </c>
      <c r="AI94" s="32" t="s">
        <v>183</v>
      </c>
      <c r="AJ94" s="38" t="s">
        <v>547</v>
      </c>
      <c r="AK94" s="19" t="s">
        <v>1048</v>
      </c>
      <c r="AL94" s="38" t="s">
        <v>548</v>
      </c>
      <c r="AM94" s="19" t="s">
        <v>1052</v>
      </c>
      <c r="AN94" s="38" t="s">
        <v>1038</v>
      </c>
      <c r="AO94" s="19" t="s">
        <v>1039</v>
      </c>
      <c r="AP94" s="31" t="s">
        <v>7</v>
      </c>
      <c r="AQ94" s="19" t="s">
        <v>7</v>
      </c>
      <c r="AR94" s="33" t="s">
        <v>7</v>
      </c>
      <c r="AS94" s="34" t="s">
        <v>7</v>
      </c>
      <c r="AT94" s="33" t="s">
        <v>7</v>
      </c>
      <c r="AU94" s="34" t="s">
        <v>7</v>
      </c>
      <c r="AV94" s="33" t="s">
        <v>7</v>
      </c>
      <c r="AW94" s="34" t="s">
        <v>7</v>
      </c>
      <c r="AX94" s="33" t="s">
        <v>7</v>
      </c>
      <c r="AY94" s="34" t="s">
        <v>7</v>
      </c>
      <c r="AZ94" s="33" t="s">
        <v>7</v>
      </c>
      <c r="BA94" s="34" t="s">
        <v>7</v>
      </c>
    </row>
    <row r="95" spans="1:53" ht="8.25" customHeight="1" x14ac:dyDescent="0.25">
      <c r="A95" s="16">
        <v>94</v>
      </c>
      <c r="B95" s="17" t="s">
        <v>455</v>
      </c>
      <c r="C95" s="18" t="s">
        <v>609</v>
      </c>
      <c r="D95" s="33" t="s">
        <v>7</v>
      </c>
      <c r="E95" s="34" t="s">
        <v>7</v>
      </c>
      <c r="F95" s="29" t="s">
        <v>553</v>
      </c>
      <c r="G95" s="30" t="s">
        <v>544</v>
      </c>
      <c r="H95" s="33" t="s">
        <v>7</v>
      </c>
      <c r="I95" s="34" t="s">
        <v>7</v>
      </c>
      <c r="J95" s="40" t="s">
        <v>74</v>
      </c>
      <c r="K95" s="66" t="s">
        <v>328</v>
      </c>
      <c r="L95" s="40" t="s">
        <v>7</v>
      </c>
      <c r="M95" s="39" t="s">
        <v>7</v>
      </c>
      <c r="N95" s="40" t="s">
        <v>7</v>
      </c>
      <c r="O95" s="19" t="s">
        <v>7</v>
      </c>
      <c r="P95" s="40" t="s">
        <v>7</v>
      </c>
      <c r="Q95" s="19" t="s">
        <v>7</v>
      </c>
      <c r="R95" s="31" t="s">
        <v>7</v>
      </c>
      <c r="S95" s="19" t="s">
        <v>7</v>
      </c>
      <c r="T95" s="31" t="s">
        <v>76</v>
      </c>
      <c r="U95" s="32">
        <v>357</v>
      </c>
      <c r="V95" s="31" t="s">
        <v>77</v>
      </c>
      <c r="W95" s="32">
        <v>255</v>
      </c>
      <c r="X95" s="31" t="s">
        <v>181</v>
      </c>
      <c r="Y95" s="32" t="s">
        <v>113</v>
      </c>
      <c r="Z95" s="31" t="s">
        <v>182</v>
      </c>
      <c r="AA95" s="32" t="s">
        <v>145</v>
      </c>
      <c r="AB95" s="31" t="s">
        <v>184</v>
      </c>
      <c r="AC95" s="32">
        <v>15</v>
      </c>
      <c r="AD95" s="31" t="s">
        <v>1036</v>
      </c>
      <c r="AE95" s="32">
        <v>101</v>
      </c>
      <c r="AF95" s="31" t="s">
        <v>14</v>
      </c>
      <c r="AG95" s="19" t="s">
        <v>542</v>
      </c>
      <c r="AH95" s="31" t="s">
        <v>1037</v>
      </c>
      <c r="AI95" s="32" t="s">
        <v>183</v>
      </c>
      <c r="AJ95" s="38" t="s">
        <v>547</v>
      </c>
      <c r="AK95" s="19" t="s">
        <v>1048</v>
      </c>
      <c r="AL95" s="38" t="s">
        <v>548</v>
      </c>
      <c r="AM95" s="19" t="s">
        <v>1052</v>
      </c>
      <c r="AN95" s="38" t="s">
        <v>1038</v>
      </c>
      <c r="AO95" s="19" t="s">
        <v>1039</v>
      </c>
      <c r="AP95" s="31" t="s">
        <v>7</v>
      </c>
      <c r="AQ95" s="19" t="s">
        <v>7</v>
      </c>
      <c r="AR95" s="33" t="s">
        <v>7</v>
      </c>
      <c r="AS95" s="34" t="s">
        <v>7</v>
      </c>
      <c r="AT95" s="33" t="s">
        <v>7</v>
      </c>
      <c r="AU95" s="34" t="s">
        <v>7</v>
      </c>
      <c r="AV95" s="33" t="s">
        <v>7</v>
      </c>
      <c r="AW95" s="34" t="s">
        <v>7</v>
      </c>
      <c r="AX95" s="33" t="s">
        <v>7</v>
      </c>
      <c r="AY95" s="34" t="s">
        <v>7</v>
      </c>
      <c r="AZ95" s="33" t="s">
        <v>7</v>
      </c>
      <c r="BA95" s="34" t="s">
        <v>7</v>
      </c>
    </row>
    <row r="96" spans="1:53" ht="8.25" customHeight="1" x14ac:dyDescent="0.25">
      <c r="A96" s="16">
        <v>95</v>
      </c>
      <c r="B96" s="17" t="s">
        <v>456</v>
      </c>
      <c r="C96" s="18" t="s">
        <v>609</v>
      </c>
      <c r="D96" s="33" t="s">
        <v>7</v>
      </c>
      <c r="E96" s="34" t="s">
        <v>7</v>
      </c>
      <c r="F96" s="29" t="s">
        <v>553</v>
      </c>
      <c r="G96" s="30" t="s">
        <v>544</v>
      </c>
      <c r="H96" s="33" t="s">
        <v>7</v>
      </c>
      <c r="I96" s="34" t="s">
        <v>7</v>
      </c>
      <c r="J96" s="40" t="s">
        <v>74</v>
      </c>
      <c r="K96" s="66" t="s">
        <v>329</v>
      </c>
      <c r="L96" s="40" t="s">
        <v>7</v>
      </c>
      <c r="M96" s="39" t="s">
        <v>7</v>
      </c>
      <c r="N96" s="40" t="s">
        <v>7</v>
      </c>
      <c r="O96" s="19" t="s">
        <v>7</v>
      </c>
      <c r="P96" s="40" t="s">
        <v>7</v>
      </c>
      <c r="Q96" s="19" t="s">
        <v>7</v>
      </c>
      <c r="R96" s="31" t="s">
        <v>7</v>
      </c>
      <c r="S96" s="19" t="s">
        <v>7</v>
      </c>
      <c r="T96" s="31" t="s">
        <v>76</v>
      </c>
      <c r="U96" s="32">
        <v>360</v>
      </c>
      <c r="V96" s="31" t="s">
        <v>77</v>
      </c>
      <c r="W96" s="32">
        <v>256</v>
      </c>
      <c r="X96" s="31" t="s">
        <v>181</v>
      </c>
      <c r="Y96" s="32" t="s">
        <v>147</v>
      </c>
      <c r="Z96" s="31" t="s">
        <v>182</v>
      </c>
      <c r="AA96" s="32" t="s">
        <v>148</v>
      </c>
      <c r="AB96" s="31" t="s">
        <v>184</v>
      </c>
      <c r="AC96" s="32" t="s">
        <v>227</v>
      </c>
      <c r="AD96" s="31" t="s">
        <v>1036</v>
      </c>
      <c r="AE96" s="32">
        <v>110</v>
      </c>
      <c r="AF96" s="31" t="s">
        <v>14</v>
      </c>
      <c r="AG96" s="19" t="s">
        <v>542</v>
      </c>
      <c r="AH96" s="31" t="s">
        <v>1037</v>
      </c>
      <c r="AI96" s="32" t="s">
        <v>183</v>
      </c>
      <c r="AJ96" s="38" t="s">
        <v>547</v>
      </c>
      <c r="AK96" s="19" t="s">
        <v>1048</v>
      </c>
      <c r="AL96" s="38" t="s">
        <v>548</v>
      </c>
      <c r="AM96" s="19" t="s">
        <v>1052</v>
      </c>
      <c r="AN96" s="38" t="s">
        <v>1038</v>
      </c>
      <c r="AO96" s="19" t="s">
        <v>1039</v>
      </c>
      <c r="AP96" s="31" t="s">
        <v>7</v>
      </c>
      <c r="AQ96" s="19" t="s">
        <v>7</v>
      </c>
      <c r="AR96" s="33" t="s">
        <v>7</v>
      </c>
      <c r="AS96" s="34" t="s">
        <v>7</v>
      </c>
      <c r="AT96" s="33" t="s">
        <v>7</v>
      </c>
      <c r="AU96" s="34" t="s">
        <v>7</v>
      </c>
      <c r="AV96" s="33" t="s">
        <v>7</v>
      </c>
      <c r="AW96" s="34" t="s">
        <v>7</v>
      </c>
      <c r="AX96" s="33" t="s">
        <v>7</v>
      </c>
      <c r="AY96" s="34" t="s">
        <v>7</v>
      </c>
      <c r="AZ96" s="33" t="s">
        <v>7</v>
      </c>
      <c r="BA96" s="34" t="s">
        <v>7</v>
      </c>
    </row>
    <row r="97" spans="1:53" ht="8.25" customHeight="1" x14ac:dyDescent="0.25">
      <c r="A97" s="16">
        <v>96</v>
      </c>
      <c r="B97" s="17" t="s">
        <v>457</v>
      </c>
      <c r="C97" s="18" t="s">
        <v>609</v>
      </c>
      <c r="D97" s="33" t="s">
        <v>7</v>
      </c>
      <c r="E97" s="34" t="s">
        <v>7</v>
      </c>
      <c r="F97" s="29" t="s">
        <v>553</v>
      </c>
      <c r="G97" s="30" t="s">
        <v>544</v>
      </c>
      <c r="H97" s="33" t="s">
        <v>7</v>
      </c>
      <c r="I97" s="34" t="s">
        <v>7</v>
      </c>
      <c r="J97" s="40" t="s">
        <v>74</v>
      </c>
      <c r="K97" s="66" t="s">
        <v>330</v>
      </c>
      <c r="L97" s="40" t="s">
        <v>7</v>
      </c>
      <c r="M97" s="39" t="s">
        <v>7</v>
      </c>
      <c r="N97" s="40" t="s">
        <v>7</v>
      </c>
      <c r="O97" s="19" t="s">
        <v>7</v>
      </c>
      <c r="P97" s="40" t="s">
        <v>7</v>
      </c>
      <c r="Q97" s="19" t="s">
        <v>7</v>
      </c>
      <c r="R97" s="31" t="s">
        <v>7</v>
      </c>
      <c r="S97" s="19" t="s">
        <v>7</v>
      </c>
      <c r="T97" s="31" t="s">
        <v>76</v>
      </c>
      <c r="U97" s="32">
        <v>363</v>
      </c>
      <c r="V97" s="31" t="s">
        <v>77</v>
      </c>
      <c r="W97" s="32">
        <v>257</v>
      </c>
      <c r="X97" s="31" t="s">
        <v>181</v>
      </c>
      <c r="Y97" s="32">
        <v>13</v>
      </c>
      <c r="Z97" s="31" t="s">
        <v>182</v>
      </c>
      <c r="AA97" s="32" t="s">
        <v>150</v>
      </c>
      <c r="AB97" s="31" t="s">
        <v>184</v>
      </c>
      <c r="AC97" s="32" t="s">
        <v>226</v>
      </c>
      <c r="AD97" s="31" t="s">
        <v>1036</v>
      </c>
      <c r="AE97" s="32">
        <v>122</v>
      </c>
      <c r="AF97" s="31" t="s">
        <v>14</v>
      </c>
      <c r="AG97" s="19" t="s">
        <v>542</v>
      </c>
      <c r="AH97" s="31" t="s">
        <v>1037</v>
      </c>
      <c r="AI97" s="32" t="s">
        <v>183</v>
      </c>
      <c r="AJ97" s="38" t="s">
        <v>547</v>
      </c>
      <c r="AK97" s="19" t="s">
        <v>1048</v>
      </c>
      <c r="AL97" s="38" t="s">
        <v>548</v>
      </c>
      <c r="AM97" s="19" t="s">
        <v>1052</v>
      </c>
      <c r="AN97" s="38" t="s">
        <v>1038</v>
      </c>
      <c r="AO97" s="19" t="s">
        <v>1039</v>
      </c>
      <c r="AP97" s="31" t="s">
        <v>7</v>
      </c>
      <c r="AQ97" s="19" t="s">
        <v>7</v>
      </c>
      <c r="AR97" s="33" t="s">
        <v>7</v>
      </c>
      <c r="AS97" s="34" t="s">
        <v>7</v>
      </c>
      <c r="AT97" s="33" t="s">
        <v>7</v>
      </c>
      <c r="AU97" s="34" t="s">
        <v>7</v>
      </c>
      <c r="AV97" s="33" t="s">
        <v>7</v>
      </c>
      <c r="AW97" s="34" t="s">
        <v>7</v>
      </c>
      <c r="AX97" s="33" t="s">
        <v>7</v>
      </c>
      <c r="AY97" s="34" t="s">
        <v>7</v>
      </c>
      <c r="AZ97" s="33" t="s">
        <v>7</v>
      </c>
      <c r="BA97" s="34" t="s">
        <v>7</v>
      </c>
    </row>
    <row r="98" spans="1:53" ht="8.25" customHeight="1" x14ac:dyDescent="0.25">
      <c r="A98" s="16">
        <v>97</v>
      </c>
      <c r="B98" s="17" t="s">
        <v>458</v>
      </c>
      <c r="C98" s="18" t="s">
        <v>609</v>
      </c>
      <c r="D98" s="33" t="s">
        <v>7</v>
      </c>
      <c r="E98" s="34" t="s">
        <v>7</v>
      </c>
      <c r="F98" s="29" t="s">
        <v>553</v>
      </c>
      <c r="G98" s="30" t="s">
        <v>544</v>
      </c>
      <c r="H98" s="33" t="s">
        <v>7</v>
      </c>
      <c r="I98" s="34" t="s">
        <v>7</v>
      </c>
      <c r="J98" s="40" t="s">
        <v>74</v>
      </c>
      <c r="K98" s="66" t="s">
        <v>331</v>
      </c>
      <c r="L98" s="40" t="s">
        <v>7</v>
      </c>
      <c r="M98" s="39" t="s">
        <v>7</v>
      </c>
      <c r="N98" s="40" t="s">
        <v>7</v>
      </c>
      <c r="O98" s="19" t="s">
        <v>7</v>
      </c>
      <c r="P98" s="40" t="s">
        <v>7</v>
      </c>
      <c r="Q98" s="19" t="s">
        <v>7</v>
      </c>
      <c r="R98" s="31" t="s">
        <v>7</v>
      </c>
      <c r="S98" s="19" t="s">
        <v>7</v>
      </c>
      <c r="T98" s="31" t="s">
        <v>76</v>
      </c>
      <c r="U98" s="32">
        <v>349</v>
      </c>
      <c r="V98" s="31" t="s">
        <v>77</v>
      </c>
      <c r="W98" s="32">
        <v>127</v>
      </c>
      <c r="X98" s="31" t="s">
        <v>181</v>
      </c>
      <c r="Y98" s="32" t="s">
        <v>188</v>
      </c>
      <c r="Z98" s="31" t="s">
        <v>182</v>
      </c>
      <c r="AA98" s="32" t="s">
        <v>248</v>
      </c>
      <c r="AB98" s="31" t="s">
        <v>184</v>
      </c>
      <c r="AC98" s="32" t="s">
        <v>249</v>
      </c>
      <c r="AD98" s="31" t="s">
        <v>1036</v>
      </c>
      <c r="AE98" s="32">
        <v>32</v>
      </c>
      <c r="AF98" s="31" t="s">
        <v>14</v>
      </c>
      <c r="AG98" s="19" t="s">
        <v>542</v>
      </c>
      <c r="AH98" s="31" t="s">
        <v>1037</v>
      </c>
      <c r="AI98" s="32" t="s">
        <v>183</v>
      </c>
      <c r="AJ98" s="38" t="s">
        <v>547</v>
      </c>
      <c r="AK98" s="19" t="s">
        <v>1048</v>
      </c>
      <c r="AL98" s="38" t="s">
        <v>548</v>
      </c>
      <c r="AM98" s="19" t="s">
        <v>1052</v>
      </c>
      <c r="AN98" s="38" t="s">
        <v>1038</v>
      </c>
      <c r="AO98" s="19" t="s">
        <v>1039</v>
      </c>
      <c r="AP98" s="31" t="s">
        <v>7</v>
      </c>
      <c r="AQ98" s="19" t="s">
        <v>7</v>
      </c>
      <c r="AR98" s="33" t="s">
        <v>7</v>
      </c>
      <c r="AS98" s="34" t="s">
        <v>7</v>
      </c>
      <c r="AT98" s="33" t="s">
        <v>7</v>
      </c>
      <c r="AU98" s="34" t="s">
        <v>7</v>
      </c>
      <c r="AV98" s="33" t="s">
        <v>7</v>
      </c>
      <c r="AW98" s="34" t="s">
        <v>7</v>
      </c>
      <c r="AX98" s="33" t="s">
        <v>7</v>
      </c>
      <c r="AY98" s="34" t="s">
        <v>7</v>
      </c>
      <c r="AZ98" s="33" t="s">
        <v>7</v>
      </c>
      <c r="BA98" s="34" t="s">
        <v>7</v>
      </c>
    </row>
    <row r="99" spans="1:53" ht="8.25" customHeight="1" x14ac:dyDescent="0.25">
      <c r="A99" s="16">
        <v>98</v>
      </c>
      <c r="B99" s="17" t="s">
        <v>459</v>
      </c>
      <c r="C99" s="18" t="s">
        <v>609</v>
      </c>
      <c r="D99" s="33" t="s">
        <v>7</v>
      </c>
      <c r="E99" s="34" t="s">
        <v>7</v>
      </c>
      <c r="F99" s="29" t="s">
        <v>553</v>
      </c>
      <c r="G99" s="30" t="s">
        <v>544</v>
      </c>
      <c r="H99" s="33" t="s">
        <v>7</v>
      </c>
      <c r="I99" s="34" t="s">
        <v>7</v>
      </c>
      <c r="J99" s="40" t="s">
        <v>74</v>
      </c>
      <c r="K99" s="66" t="s">
        <v>332</v>
      </c>
      <c r="L99" s="40" t="s">
        <v>7</v>
      </c>
      <c r="M99" s="39" t="s">
        <v>7</v>
      </c>
      <c r="N99" s="40" t="s">
        <v>7</v>
      </c>
      <c r="O99" s="19" t="s">
        <v>7</v>
      </c>
      <c r="P99" s="40" t="s">
        <v>7</v>
      </c>
      <c r="Q99" s="19" t="s">
        <v>7</v>
      </c>
      <c r="R99" s="31" t="s">
        <v>7</v>
      </c>
      <c r="S99" s="19" t="s">
        <v>7</v>
      </c>
      <c r="T99" s="31" t="s">
        <v>76</v>
      </c>
      <c r="U99" s="32">
        <v>353</v>
      </c>
      <c r="V99" s="31" t="s">
        <v>77</v>
      </c>
      <c r="W99" s="32">
        <v>128</v>
      </c>
      <c r="X99" s="31" t="s">
        <v>181</v>
      </c>
      <c r="Y99" s="32" t="s">
        <v>202</v>
      </c>
      <c r="Z99" s="31" t="s">
        <v>182</v>
      </c>
      <c r="AA99" s="32" t="s">
        <v>114</v>
      </c>
      <c r="AB99" s="31" t="s">
        <v>184</v>
      </c>
      <c r="AC99" s="32" t="s">
        <v>199</v>
      </c>
      <c r="AD99" s="31" t="s">
        <v>1036</v>
      </c>
      <c r="AE99" s="32">
        <v>39</v>
      </c>
      <c r="AF99" s="31" t="s">
        <v>14</v>
      </c>
      <c r="AG99" s="19" t="s">
        <v>542</v>
      </c>
      <c r="AH99" s="31" t="s">
        <v>1037</v>
      </c>
      <c r="AI99" s="32" t="s">
        <v>183</v>
      </c>
      <c r="AJ99" s="38" t="s">
        <v>547</v>
      </c>
      <c r="AK99" s="19" t="s">
        <v>1048</v>
      </c>
      <c r="AL99" s="38" t="s">
        <v>548</v>
      </c>
      <c r="AM99" s="19" t="s">
        <v>1052</v>
      </c>
      <c r="AN99" s="38" t="s">
        <v>1038</v>
      </c>
      <c r="AO99" s="19" t="s">
        <v>1039</v>
      </c>
      <c r="AP99" s="31" t="s">
        <v>7</v>
      </c>
      <c r="AQ99" s="19" t="s">
        <v>7</v>
      </c>
      <c r="AR99" s="33" t="s">
        <v>7</v>
      </c>
      <c r="AS99" s="34" t="s">
        <v>7</v>
      </c>
      <c r="AT99" s="33" t="s">
        <v>7</v>
      </c>
      <c r="AU99" s="34" t="s">
        <v>7</v>
      </c>
      <c r="AV99" s="33" t="s">
        <v>7</v>
      </c>
      <c r="AW99" s="34" t="s">
        <v>7</v>
      </c>
      <c r="AX99" s="33" t="s">
        <v>7</v>
      </c>
      <c r="AY99" s="34" t="s">
        <v>7</v>
      </c>
      <c r="AZ99" s="33" t="s">
        <v>7</v>
      </c>
      <c r="BA99" s="34" t="s">
        <v>7</v>
      </c>
    </row>
    <row r="100" spans="1:53" ht="8.25" customHeight="1" x14ac:dyDescent="0.25">
      <c r="A100" s="16">
        <v>99</v>
      </c>
      <c r="B100" s="17" t="s">
        <v>460</v>
      </c>
      <c r="C100" s="18" t="s">
        <v>609</v>
      </c>
      <c r="D100" s="33" t="s">
        <v>7</v>
      </c>
      <c r="E100" s="34" t="s">
        <v>7</v>
      </c>
      <c r="F100" s="29" t="s">
        <v>553</v>
      </c>
      <c r="G100" s="30" t="s">
        <v>544</v>
      </c>
      <c r="H100" s="33" t="s">
        <v>7</v>
      </c>
      <c r="I100" s="34" t="s">
        <v>7</v>
      </c>
      <c r="J100" s="40" t="s">
        <v>74</v>
      </c>
      <c r="K100" s="66" t="s">
        <v>333</v>
      </c>
      <c r="L100" s="40" t="s">
        <v>7</v>
      </c>
      <c r="M100" s="39" t="s">
        <v>7</v>
      </c>
      <c r="N100" s="40" t="s">
        <v>7</v>
      </c>
      <c r="O100" s="19" t="s">
        <v>7</v>
      </c>
      <c r="P100" s="40" t="s">
        <v>7</v>
      </c>
      <c r="Q100" s="19" t="s">
        <v>7</v>
      </c>
      <c r="R100" s="31" t="s">
        <v>7</v>
      </c>
      <c r="S100" s="19" t="s">
        <v>7</v>
      </c>
      <c r="T100" s="31" t="s">
        <v>76</v>
      </c>
      <c r="U100" s="32">
        <v>352</v>
      </c>
      <c r="V100" s="31" t="s">
        <v>77</v>
      </c>
      <c r="W100" s="32">
        <v>171</v>
      </c>
      <c r="X100" s="31" t="s">
        <v>181</v>
      </c>
      <c r="Y100" s="32" t="s">
        <v>217</v>
      </c>
      <c r="Z100" s="31" t="s">
        <v>182</v>
      </c>
      <c r="AA100" s="32" t="s">
        <v>250</v>
      </c>
      <c r="AB100" s="31" t="s">
        <v>184</v>
      </c>
      <c r="AC100" s="32" t="s">
        <v>251</v>
      </c>
      <c r="AD100" s="31" t="s">
        <v>1036</v>
      </c>
      <c r="AE100" s="32">
        <v>44</v>
      </c>
      <c r="AF100" s="31" t="s">
        <v>14</v>
      </c>
      <c r="AG100" s="19" t="s">
        <v>542</v>
      </c>
      <c r="AH100" s="31" t="s">
        <v>1037</v>
      </c>
      <c r="AI100" s="32" t="s">
        <v>183</v>
      </c>
      <c r="AJ100" s="38" t="s">
        <v>547</v>
      </c>
      <c r="AK100" s="19" t="s">
        <v>1048</v>
      </c>
      <c r="AL100" s="38" t="s">
        <v>548</v>
      </c>
      <c r="AM100" s="19" t="s">
        <v>1052</v>
      </c>
      <c r="AN100" s="38" t="s">
        <v>1038</v>
      </c>
      <c r="AO100" s="19" t="s">
        <v>1039</v>
      </c>
      <c r="AP100" s="31" t="s">
        <v>7</v>
      </c>
      <c r="AQ100" s="19" t="s">
        <v>7</v>
      </c>
      <c r="AR100" s="33" t="s">
        <v>7</v>
      </c>
      <c r="AS100" s="34" t="s">
        <v>7</v>
      </c>
      <c r="AT100" s="33" t="s">
        <v>7</v>
      </c>
      <c r="AU100" s="34" t="s">
        <v>7</v>
      </c>
      <c r="AV100" s="33" t="s">
        <v>7</v>
      </c>
      <c r="AW100" s="34" t="s">
        <v>7</v>
      </c>
      <c r="AX100" s="33" t="s">
        <v>7</v>
      </c>
      <c r="AY100" s="34" t="s">
        <v>7</v>
      </c>
      <c r="AZ100" s="33" t="s">
        <v>7</v>
      </c>
      <c r="BA100" s="34" t="s">
        <v>7</v>
      </c>
    </row>
    <row r="101" spans="1:53" ht="8.25" customHeight="1" x14ac:dyDescent="0.25">
      <c r="A101" s="16">
        <v>100</v>
      </c>
      <c r="B101" s="17" t="s">
        <v>461</v>
      </c>
      <c r="C101" s="18" t="s">
        <v>609</v>
      </c>
      <c r="D101" s="33" t="s">
        <v>7</v>
      </c>
      <c r="E101" s="34" t="s">
        <v>7</v>
      </c>
      <c r="F101" s="29" t="s">
        <v>553</v>
      </c>
      <c r="G101" s="30" t="s">
        <v>544</v>
      </c>
      <c r="H101" s="33" t="s">
        <v>7</v>
      </c>
      <c r="I101" s="34" t="s">
        <v>7</v>
      </c>
      <c r="J101" s="40" t="s">
        <v>74</v>
      </c>
      <c r="K101" s="66" t="s">
        <v>334</v>
      </c>
      <c r="L101" s="40" t="s">
        <v>7</v>
      </c>
      <c r="M101" s="39" t="s">
        <v>7</v>
      </c>
      <c r="N101" s="40" t="s">
        <v>7</v>
      </c>
      <c r="O101" s="19" t="s">
        <v>7</v>
      </c>
      <c r="P101" s="40" t="s">
        <v>7</v>
      </c>
      <c r="Q101" s="19" t="s">
        <v>7</v>
      </c>
      <c r="R101" s="31" t="s">
        <v>7</v>
      </c>
      <c r="S101" s="19" t="s">
        <v>7</v>
      </c>
      <c r="T101" s="31" t="s">
        <v>76</v>
      </c>
      <c r="U101" s="32">
        <v>355</v>
      </c>
      <c r="V101" s="31" t="s">
        <v>77</v>
      </c>
      <c r="W101" s="32">
        <v>171</v>
      </c>
      <c r="X101" s="31" t="s">
        <v>181</v>
      </c>
      <c r="Y101" s="32" t="s">
        <v>206</v>
      </c>
      <c r="Z101" s="31" t="s">
        <v>182</v>
      </c>
      <c r="AA101" s="32" t="s">
        <v>88</v>
      </c>
      <c r="AB101" s="31" t="s">
        <v>184</v>
      </c>
      <c r="AC101" s="32" t="s">
        <v>199</v>
      </c>
      <c r="AD101" s="31" t="s">
        <v>1036</v>
      </c>
      <c r="AE101" s="32">
        <v>51</v>
      </c>
      <c r="AF101" s="31" t="s">
        <v>14</v>
      </c>
      <c r="AG101" s="19" t="s">
        <v>542</v>
      </c>
      <c r="AH101" s="31" t="s">
        <v>1037</v>
      </c>
      <c r="AI101" s="32" t="s">
        <v>183</v>
      </c>
      <c r="AJ101" s="38" t="s">
        <v>547</v>
      </c>
      <c r="AK101" s="19" t="s">
        <v>1048</v>
      </c>
      <c r="AL101" s="38" t="s">
        <v>548</v>
      </c>
      <c r="AM101" s="19" t="s">
        <v>1052</v>
      </c>
      <c r="AN101" s="38" t="s">
        <v>1038</v>
      </c>
      <c r="AO101" s="19" t="s">
        <v>1039</v>
      </c>
      <c r="AP101" s="31" t="s">
        <v>7</v>
      </c>
      <c r="AQ101" s="19" t="s">
        <v>7</v>
      </c>
      <c r="AR101" s="33" t="s">
        <v>7</v>
      </c>
      <c r="AS101" s="34" t="s">
        <v>7</v>
      </c>
      <c r="AT101" s="33" t="s">
        <v>7</v>
      </c>
      <c r="AU101" s="34" t="s">
        <v>7</v>
      </c>
      <c r="AV101" s="33" t="s">
        <v>7</v>
      </c>
      <c r="AW101" s="34" t="s">
        <v>7</v>
      </c>
      <c r="AX101" s="33" t="s">
        <v>7</v>
      </c>
      <c r="AY101" s="34" t="s">
        <v>7</v>
      </c>
      <c r="AZ101" s="33" t="s">
        <v>7</v>
      </c>
      <c r="BA101" s="34" t="s">
        <v>7</v>
      </c>
    </row>
    <row r="102" spans="1:53" ht="8.25" customHeight="1" x14ac:dyDescent="0.25">
      <c r="A102" s="16">
        <v>101</v>
      </c>
      <c r="B102" s="17" t="s">
        <v>462</v>
      </c>
      <c r="C102" s="18" t="s">
        <v>609</v>
      </c>
      <c r="D102" s="33" t="s">
        <v>7</v>
      </c>
      <c r="E102" s="34" t="s">
        <v>7</v>
      </c>
      <c r="F102" s="29" t="s">
        <v>553</v>
      </c>
      <c r="G102" s="30" t="s">
        <v>544</v>
      </c>
      <c r="H102" s="33" t="s">
        <v>7</v>
      </c>
      <c r="I102" s="34" t="s">
        <v>7</v>
      </c>
      <c r="J102" s="40" t="s">
        <v>74</v>
      </c>
      <c r="K102" s="66" t="s">
        <v>335</v>
      </c>
      <c r="L102" s="40" t="s">
        <v>7</v>
      </c>
      <c r="M102" s="39" t="s">
        <v>7</v>
      </c>
      <c r="N102" s="40" t="s">
        <v>7</v>
      </c>
      <c r="O102" s="19" t="s">
        <v>7</v>
      </c>
      <c r="P102" s="40" t="s">
        <v>7</v>
      </c>
      <c r="Q102" s="19" t="s">
        <v>7</v>
      </c>
      <c r="R102" s="31" t="s">
        <v>7</v>
      </c>
      <c r="S102" s="19" t="s">
        <v>7</v>
      </c>
      <c r="T102" s="31" t="s">
        <v>76</v>
      </c>
      <c r="U102" s="32">
        <v>358</v>
      </c>
      <c r="V102" s="31" t="s">
        <v>77</v>
      </c>
      <c r="W102" s="32">
        <v>172</v>
      </c>
      <c r="X102" s="31" t="s">
        <v>181</v>
      </c>
      <c r="Y102" s="32" t="s">
        <v>207</v>
      </c>
      <c r="Z102" s="31" t="s">
        <v>182</v>
      </c>
      <c r="AA102" s="32" t="s">
        <v>131</v>
      </c>
      <c r="AB102" s="31" t="s">
        <v>184</v>
      </c>
      <c r="AC102" s="32" t="s">
        <v>199</v>
      </c>
      <c r="AD102" s="31" t="s">
        <v>1036</v>
      </c>
      <c r="AE102" s="32">
        <v>57</v>
      </c>
      <c r="AF102" s="31" t="s">
        <v>14</v>
      </c>
      <c r="AG102" s="19" t="s">
        <v>542</v>
      </c>
      <c r="AH102" s="31" t="s">
        <v>1037</v>
      </c>
      <c r="AI102" s="32" t="s">
        <v>183</v>
      </c>
      <c r="AJ102" s="38" t="s">
        <v>547</v>
      </c>
      <c r="AK102" s="19" t="s">
        <v>1048</v>
      </c>
      <c r="AL102" s="38" t="s">
        <v>548</v>
      </c>
      <c r="AM102" s="19" t="s">
        <v>1052</v>
      </c>
      <c r="AN102" s="38" t="s">
        <v>1038</v>
      </c>
      <c r="AO102" s="19" t="s">
        <v>1039</v>
      </c>
      <c r="AP102" s="31" t="s">
        <v>7</v>
      </c>
      <c r="AQ102" s="19" t="s">
        <v>7</v>
      </c>
      <c r="AR102" s="33" t="s">
        <v>7</v>
      </c>
      <c r="AS102" s="34" t="s">
        <v>7</v>
      </c>
      <c r="AT102" s="33" t="s">
        <v>7</v>
      </c>
      <c r="AU102" s="34" t="s">
        <v>7</v>
      </c>
      <c r="AV102" s="33" t="s">
        <v>7</v>
      </c>
      <c r="AW102" s="34" t="s">
        <v>7</v>
      </c>
      <c r="AX102" s="33" t="s">
        <v>7</v>
      </c>
      <c r="AY102" s="34" t="s">
        <v>7</v>
      </c>
      <c r="AZ102" s="33" t="s">
        <v>7</v>
      </c>
      <c r="BA102" s="34" t="s">
        <v>7</v>
      </c>
    </row>
    <row r="103" spans="1:53" ht="8.25" customHeight="1" x14ac:dyDescent="0.25">
      <c r="A103" s="16">
        <v>102</v>
      </c>
      <c r="B103" s="17" t="s">
        <v>463</v>
      </c>
      <c r="C103" s="18" t="s">
        <v>609</v>
      </c>
      <c r="D103" s="33" t="s">
        <v>7</v>
      </c>
      <c r="E103" s="34" t="s">
        <v>7</v>
      </c>
      <c r="F103" s="29" t="s">
        <v>553</v>
      </c>
      <c r="G103" s="30" t="s">
        <v>544</v>
      </c>
      <c r="H103" s="33" t="s">
        <v>7</v>
      </c>
      <c r="I103" s="34" t="s">
        <v>7</v>
      </c>
      <c r="J103" s="40" t="s">
        <v>74</v>
      </c>
      <c r="K103" s="66" t="s">
        <v>336</v>
      </c>
      <c r="L103" s="40" t="s">
        <v>7</v>
      </c>
      <c r="M103" s="39" t="s">
        <v>7</v>
      </c>
      <c r="N103" s="40" t="s">
        <v>7</v>
      </c>
      <c r="O103" s="19" t="s">
        <v>7</v>
      </c>
      <c r="P103" s="40" t="s">
        <v>7</v>
      </c>
      <c r="Q103" s="19" t="s">
        <v>7</v>
      </c>
      <c r="R103" s="31" t="s">
        <v>7</v>
      </c>
      <c r="S103" s="19" t="s">
        <v>7</v>
      </c>
      <c r="T103" s="31" t="s">
        <v>76</v>
      </c>
      <c r="U103" s="32">
        <v>347</v>
      </c>
      <c r="V103" s="31" t="s">
        <v>77</v>
      </c>
      <c r="W103" s="32">
        <v>203</v>
      </c>
      <c r="X103" s="31" t="s">
        <v>181</v>
      </c>
      <c r="Y103" s="32" t="s">
        <v>252</v>
      </c>
      <c r="Z103" s="31" t="s">
        <v>182</v>
      </c>
      <c r="AA103" s="32" t="s">
        <v>127</v>
      </c>
      <c r="AB103" s="31" t="s">
        <v>184</v>
      </c>
      <c r="AC103" s="32" t="s">
        <v>253</v>
      </c>
      <c r="AD103" s="31" t="s">
        <v>1036</v>
      </c>
      <c r="AE103" s="32">
        <v>64</v>
      </c>
      <c r="AF103" s="31" t="s">
        <v>14</v>
      </c>
      <c r="AG103" s="19" t="s">
        <v>542</v>
      </c>
      <c r="AH103" s="31" t="s">
        <v>1037</v>
      </c>
      <c r="AI103" s="32" t="s">
        <v>183</v>
      </c>
      <c r="AJ103" s="38" t="s">
        <v>547</v>
      </c>
      <c r="AK103" s="19" t="s">
        <v>1048</v>
      </c>
      <c r="AL103" s="38" t="s">
        <v>548</v>
      </c>
      <c r="AM103" s="19" t="s">
        <v>1052</v>
      </c>
      <c r="AN103" s="38" t="s">
        <v>1038</v>
      </c>
      <c r="AO103" s="19" t="s">
        <v>1039</v>
      </c>
      <c r="AP103" s="31" t="s">
        <v>7</v>
      </c>
      <c r="AQ103" s="19" t="s">
        <v>7</v>
      </c>
      <c r="AR103" s="33" t="s">
        <v>7</v>
      </c>
      <c r="AS103" s="34" t="s">
        <v>7</v>
      </c>
      <c r="AT103" s="33" t="s">
        <v>7</v>
      </c>
      <c r="AU103" s="34" t="s">
        <v>7</v>
      </c>
      <c r="AV103" s="33" t="s">
        <v>7</v>
      </c>
      <c r="AW103" s="34" t="s">
        <v>7</v>
      </c>
      <c r="AX103" s="33" t="s">
        <v>7</v>
      </c>
      <c r="AY103" s="34" t="s">
        <v>7</v>
      </c>
      <c r="AZ103" s="33" t="s">
        <v>7</v>
      </c>
      <c r="BA103" s="34" t="s">
        <v>7</v>
      </c>
    </row>
    <row r="104" spans="1:53" ht="8.25" customHeight="1" x14ac:dyDescent="0.25">
      <c r="A104" s="16">
        <v>103</v>
      </c>
      <c r="B104" s="17" t="s">
        <v>464</v>
      </c>
      <c r="C104" s="18" t="s">
        <v>609</v>
      </c>
      <c r="D104" s="33" t="s">
        <v>7</v>
      </c>
      <c r="E104" s="34" t="s">
        <v>7</v>
      </c>
      <c r="F104" s="29" t="s">
        <v>553</v>
      </c>
      <c r="G104" s="30" t="s">
        <v>544</v>
      </c>
      <c r="H104" s="33" t="s">
        <v>7</v>
      </c>
      <c r="I104" s="34" t="s">
        <v>7</v>
      </c>
      <c r="J104" s="40" t="s">
        <v>74</v>
      </c>
      <c r="K104" s="66" t="s">
        <v>337</v>
      </c>
      <c r="L104" s="40" t="s">
        <v>7</v>
      </c>
      <c r="M104" s="39" t="s">
        <v>7</v>
      </c>
      <c r="N104" s="40" t="s">
        <v>7</v>
      </c>
      <c r="O104" s="19" t="s">
        <v>7</v>
      </c>
      <c r="P104" s="40" t="s">
        <v>7</v>
      </c>
      <c r="Q104" s="19" t="s">
        <v>7</v>
      </c>
      <c r="R104" s="31" t="s">
        <v>7</v>
      </c>
      <c r="S104" s="19" t="s">
        <v>7</v>
      </c>
      <c r="T104" s="31" t="s">
        <v>76</v>
      </c>
      <c r="U104" s="32">
        <v>350</v>
      </c>
      <c r="V104" s="31" t="s">
        <v>77</v>
      </c>
      <c r="W104" s="32">
        <v>204</v>
      </c>
      <c r="X104" s="31" t="s">
        <v>181</v>
      </c>
      <c r="Y104" s="32" t="s">
        <v>223</v>
      </c>
      <c r="Z104" s="31" t="s">
        <v>182</v>
      </c>
      <c r="AA104" s="32" t="s">
        <v>226</v>
      </c>
      <c r="AB104" s="31" t="s">
        <v>184</v>
      </c>
      <c r="AC104" s="32" t="s">
        <v>226</v>
      </c>
      <c r="AD104" s="31" t="s">
        <v>1036</v>
      </c>
      <c r="AE104" s="32">
        <v>72</v>
      </c>
      <c r="AF104" s="31" t="s">
        <v>14</v>
      </c>
      <c r="AG104" s="19" t="s">
        <v>542</v>
      </c>
      <c r="AH104" s="31" t="s">
        <v>1037</v>
      </c>
      <c r="AI104" s="32" t="s">
        <v>183</v>
      </c>
      <c r="AJ104" s="38" t="s">
        <v>547</v>
      </c>
      <c r="AK104" s="19" t="s">
        <v>1048</v>
      </c>
      <c r="AL104" s="38" t="s">
        <v>548</v>
      </c>
      <c r="AM104" s="19" t="s">
        <v>1052</v>
      </c>
      <c r="AN104" s="38" t="s">
        <v>1038</v>
      </c>
      <c r="AO104" s="19" t="s">
        <v>1039</v>
      </c>
      <c r="AP104" s="31" t="s">
        <v>7</v>
      </c>
      <c r="AQ104" s="19" t="s">
        <v>7</v>
      </c>
      <c r="AR104" s="33" t="s">
        <v>7</v>
      </c>
      <c r="AS104" s="34" t="s">
        <v>7</v>
      </c>
      <c r="AT104" s="33" t="s">
        <v>7</v>
      </c>
      <c r="AU104" s="34" t="s">
        <v>7</v>
      </c>
      <c r="AV104" s="33" t="s">
        <v>7</v>
      </c>
      <c r="AW104" s="34" t="s">
        <v>7</v>
      </c>
      <c r="AX104" s="33" t="s">
        <v>7</v>
      </c>
      <c r="AY104" s="34" t="s">
        <v>7</v>
      </c>
      <c r="AZ104" s="33" t="s">
        <v>7</v>
      </c>
      <c r="BA104" s="34" t="s">
        <v>7</v>
      </c>
    </row>
    <row r="105" spans="1:53" ht="8.25" customHeight="1" x14ac:dyDescent="0.25">
      <c r="A105" s="16">
        <v>104</v>
      </c>
      <c r="B105" s="17" t="s">
        <v>465</v>
      </c>
      <c r="C105" s="18" t="s">
        <v>609</v>
      </c>
      <c r="D105" s="33" t="s">
        <v>7</v>
      </c>
      <c r="E105" s="34" t="s">
        <v>7</v>
      </c>
      <c r="F105" s="29" t="s">
        <v>553</v>
      </c>
      <c r="G105" s="30" t="s">
        <v>544</v>
      </c>
      <c r="H105" s="33" t="s">
        <v>7</v>
      </c>
      <c r="I105" s="34" t="s">
        <v>7</v>
      </c>
      <c r="J105" s="40" t="s">
        <v>74</v>
      </c>
      <c r="K105" s="66" t="s">
        <v>338</v>
      </c>
      <c r="L105" s="40" t="s">
        <v>7</v>
      </c>
      <c r="M105" s="39" t="s">
        <v>7</v>
      </c>
      <c r="N105" s="40" t="s">
        <v>7</v>
      </c>
      <c r="O105" s="19" t="s">
        <v>7</v>
      </c>
      <c r="P105" s="40" t="s">
        <v>7</v>
      </c>
      <c r="Q105" s="19" t="s">
        <v>7</v>
      </c>
      <c r="R105" s="31" t="s">
        <v>7</v>
      </c>
      <c r="S105" s="19" t="s">
        <v>7</v>
      </c>
      <c r="T105" s="31" t="s">
        <v>76</v>
      </c>
      <c r="U105" s="32">
        <v>354</v>
      </c>
      <c r="V105" s="31" t="s">
        <v>77</v>
      </c>
      <c r="W105" s="32">
        <v>205</v>
      </c>
      <c r="X105" s="31" t="s">
        <v>181</v>
      </c>
      <c r="Y105" s="32" t="s">
        <v>118</v>
      </c>
      <c r="Z105" s="31" t="s">
        <v>182</v>
      </c>
      <c r="AA105" s="32" t="s">
        <v>254</v>
      </c>
      <c r="AB105" s="31" t="s">
        <v>184</v>
      </c>
      <c r="AC105" s="32">
        <v>15</v>
      </c>
      <c r="AD105" s="31" t="s">
        <v>1036</v>
      </c>
      <c r="AE105" s="32">
        <v>79</v>
      </c>
      <c r="AF105" s="31" t="s">
        <v>14</v>
      </c>
      <c r="AG105" s="19" t="s">
        <v>542</v>
      </c>
      <c r="AH105" s="31" t="s">
        <v>1037</v>
      </c>
      <c r="AI105" s="32" t="s">
        <v>183</v>
      </c>
      <c r="AJ105" s="38" t="s">
        <v>547</v>
      </c>
      <c r="AK105" s="19" t="s">
        <v>1048</v>
      </c>
      <c r="AL105" s="38" t="s">
        <v>548</v>
      </c>
      <c r="AM105" s="19" t="s">
        <v>1052</v>
      </c>
      <c r="AN105" s="38" t="s">
        <v>1038</v>
      </c>
      <c r="AO105" s="19" t="s">
        <v>1039</v>
      </c>
      <c r="AP105" s="31" t="s">
        <v>7</v>
      </c>
      <c r="AQ105" s="19" t="s">
        <v>7</v>
      </c>
      <c r="AR105" s="33" t="s">
        <v>7</v>
      </c>
      <c r="AS105" s="34" t="s">
        <v>7</v>
      </c>
      <c r="AT105" s="33" t="s">
        <v>7</v>
      </c>
      <c r="AU105" s="34" t="s">
        <v>7</v>
      </c>
      <c r="AV105" s="33" t="s">
        <v>7</v>
      </c>
      <c r="AW105" s="34" t="s">
        <v>7</v>
      </c>
      <c r="AX105" s="33" t="s">
        <v>7</v>
      </c>
      <c r="AY105" s="34" t="s">
        <v>7</v>
      </c>
      <c r="AZ105" s="33" t="s">
        <v>7</v>
      </c>
      <c r="BA105" s="34" t="s">
        <v>7</v>
      </c>
    </row>
    <row r="106" spans="1:53" ht="8.25" customHeight="1" x14ac:dyDescent="0.25">
      <c r="A106" s="16">
        <v>105</v>
      </c>
      <c r="B106" s="17" t="s">
        <v>466</v>
      </c>
      <c r="C106" s="18" t="s">
        <v>609</v>
      </c>
      <c r="D106" s="33" t="s">
        <v>7</v>
      </c>
      <c r="E106" s="34" t="s">
        <v>7</v>
      </c>
      <c r="F106" s="29" t="s">
        <v>553</v>
      </c>
      <c r="G106" s="30" t="s">
        <v>544</v>
      </c>
      <c r="H106" s="33" t="s">
        <v>7</v>
      </c>
      <c r="I106" s="34" t="s">
        <v>7</v>
      </c>
      <c r="J106" s="40" t="s">
        <v>74</v>
      </c>
      <c r="K106" s="66" t="s">
        <v>339</v>
      </c>
      <c r="L106" s="40" t="s">
        <v>7</v>
      </c>
      <c r="M106" s="39" t="s">
        <v>7</v>
      </c>
      <c r="N106" s="40" t="s">
        <v>7</v>
      </c>
      <c r="O106" s="19" t="s">
        <v>7</v>
      </c>
      <c r="P106" s="40" t="s">
        <v>7</v>
      </c>
      <c r="Q106" s="19" t="s">
        <v>7</v>
      </c>
      <c r="R106" s="31" t="s">
        <v>7</v>
      </c>
      <c r="S106" s="19" t="s">
        <v>7</v>
      </c>
      <c r="T106" s="31" t="s">
        <v>76</v>
      </c>
      <c r="U106" s="32">
        <v>353</v>
      </c>
      <c r="V106" s="31" t="s">
        <v>77</v>
      </c>
      <c r="W106" s="32">
        <v>254</v>
      </c>
      <c r="X106" s="31" t="s">
        <v>181</v>
      </c>
      <c r="Y106" s="32" t="s">
        <v>255</v>
      </c>
      <c r="Z106" s="31" t="s">
        <v>182</v>
      </c>
      <c r="AA106" s="32" t="s">
        <v>143</v>
      </c>
      <c r="AB106" s="31" t="s">
        <v>184</v>
      </c>
      <c r="AC106" s="32" t="s">
        <v>226</v>
      </c>
      <c r="AD106" s="31" t="s">
        <v>1036</v>
      </c>
      <c r="AE106" s="32">
        <v>91</v>
      </c>
      <c r="AF106" s="31" t="s">
        <v>14</v>
      </c>
      <c r="AG106" s="19" t="s">
        <v>542</v>
      </c>
      <c r="AH106" s="31" t="s">
        <v>1037</v>
      </c>
      <c r="AI106" s="32" t="s">
        <v>183</v>
      </c>
      <c r="AJ106" s="38" t="s">
        <v>547</v>
      </c>
      <c r="AK106" s="19" t="s">
        <v>1048</v>
      </c>
      <c r="AL106" s="38" t="s">
        <v>548</v>
      </c>
      <c r="AM106" s="19" t="s">
        <v>1052</v>
      </c>
      <c r="AN106" s="38" t="s">
        <v>1038</v>
      </c>
      <c r="AO106" s="19" t="s">
        <v>1039</v>
      </c>
      <c r="AP106" s="31" t="s">
        <v>7</v>
      </c>
      <c r="AQ106" s="19" t="s">
        <v>7</v>
      </c>
      <c r="AR106" s="33" t="s">
        <v>7</v>
      </c>
      <c r="AS106" s="34" t="s">
        <v>7</v>
      </c>
      <c r="AT106" s="33" t="s">
        <v>7</v>
      </c>
      <c r="AU106" s="34" t="s">
        <v>7</v>
      </c>
      <c r="AV106" s="33" t="s">
        <v>7</v>
      </c>
      <c r="AW106" s="34" t="s">
        <v>7</v>
      </c>
      <c r="AX106" s="33" t="s">
        <v>7</v>
      </c>
      <c r="AY106" s="34" t="s">
        <v>7</v>
      </c>
      <c r="AZ106" s="33" t="s">
        <v>7</v>
      </c>
      <c r="BA106" s="34" t="s">
        <v>7</v>
      </c>
    </row>
    <row r="107" spans="1:53" ht="8.25" customHeight="1" x14ac:dyDescent="0.25">
      <c r="A107" s="16">
        <v>106</v>
      </c>
      <c r="B107" s="17" t="s">
        <v>467</v>
      </c>
      <c r="C107" s="18" t="s">
        <v>609</v>
      </c>
      <c r="D107" s="33" t="s">
        <v>7</v>
      </c>
      <c r="E107" s="34" t="s">
        <v>7</v>
      </c>
      <c r="F107" s="29" t="s">
        <v>553</v>
      </c>
      <c r="G107" s="30" t="s">
        <v>544</v>
      </c>
      <c r="H107" s="33" t="s">
        <v>7</v>
      </c>
      <c r="I107" s="34" t="s">
        <v>7</v>
      </c>
      <c r="J107" s="40" t="s">
        <v>74</v>
      </c>
      <c r="K107" s="66" t="s">
        <v>340</v>
      </c>
      <c r="L107" s="40" t="s">
        <v>7</v>
      </c>
      <c r="M107" s="39" t="s">
        <v>7</v>
      </c>
      <c r="N107" s="40" t="s">
        <v>7</v>
      </c>
      <c r="O107" s="19" t="s">
        <v>7</v>
      </c>
      <c r="P107" s="40" t="s">
        <v>7</v>
      </c>
      <c r="Q107" s="19" t="s">
        <v>7</v>
      </c>
      <c r="R107" s="31" t="s">
        <v>7</v>
      </c>
      <c r="S107" s="19" t="s">
        <v>7</v>
      </c>
      <c r="T107" s="31" t="s">
        <v>76</v>
      </c>
      <c r="U107" s="32">
        <v>399</v>
      </c>
      <c r="V107" s="31" t="s">
        <v>77</v>
      </c>
      <c r="W107" s="32">
        <v>140</v>
      </c>
      <c r="X107" s="31" t="s">
        <v>181</v>
      </c>
      <c r="Y107" s="32" t="s">
        <v>187</v>
      </c>
      <c r="Z107" s="31" t="s">
        <v>182</v>
      </c>
      <c r="AA107" s="32" t="s">
        <v>256</v>
      </c>
      <c r="AB107" s="31" t="s">
        <v>184</v>
      </c>
      <c r="AC107" s="32" t="s">
        <v>257</v>
      </c>
      <c r="AD107" s="31" t="s">
        <v>1036</v>
      </c>
      <c r="AE107" s="32">
        <v>38</v>
      </c>
      <c r="AF107" s="31" t="s">
        <v>14</v>
      </c>
      <c r="AG107" s="19" t="s">
        <v>542</v>
      </c>
      <c r="AH107" s="31" t="s">
        <v>1037</v>
      </c>
      <c r="AI107" s="32" t="s">
        <v>183</v>
      </c>
      <c r="AJ107" s="38" t="s">
        <v>547</v>
      </c>
      <c r="AK107" s="19" t="s">
        <v>1048</v>
      </c>
      <c r="AL107" s="38" t="s">
        <v>548</v>
      </c>
      <c r="AM107" s="19" t="s">
        <v>1052</v>
      </c>
      <c r="AN107" s="38" t="s">
        <v>1038</v>
      </c>
      <c r="AO107" s="19" t="s">
        <v>1039</v>
      </c>
      <c r="AP107" s="31" t="s">
        <v>7</v>
      </c>
      <c r="AQ107" s="19" t="s">
        <v>7</v>
      </c>
      <c r="AR107" s="33" t="s">
        <v>7</v>
      </c>
      <c r="AS107" s="34" t="s">
        <v>7</v>
      </c>
      <c r="AT107" s="33" t="s">
        <v>7</v>
      </c>
      <c r="AU107" s="34" t="s">
        <v>7</v>
      </c>
      <c r="AV107" s="33" t="s">
        <v>7</v>
      </c>
      <c r="AW107" s="34" t="s">
        <v>7</v>
      </c>
      <c r="AX107" s="33" t="s">
        <v>7</v>
      </c>
      <c r="AY107" s="34" t="s">
        <v>7</v>
      </c>
      <c r="AZ107" s="33" t="s">
        <v>7</v>
      </c>
      <c r="BA107" s="34" t="s">
        <v>7</v>
      </c>
    </row>
    <row r="108" spans="1:53" ht="8.25" customHeight="1" x14ac:dyDescent="0.25">
      <c r="A108" s="16">
        <v>107</v>
      </c>
      <c r="B108" s="17" t="s">
        <v>468</v>
      </c>
      <c r="C108" s="18" t="s">
        <v>609</v>
      </c>
      <c r="D108" s="33" t="s">
        <v>7</v>
      </c>
      <c r="E108" s="34" t="s">
        <v>7</v>
      </c>
      <c r="F108" s="29" t="s">
        <v>553</v>
      </c>
      <c r="G108" s="30" t="s">
        <v>544</v>
      </c>
      <c r="H108" s="33" t="s">
        <v>7</v>
      </c>
      <c r="I108" s="34" t="s">
        <v>7</v>
      </c>
      <c r="J108" s="40" t="s">
        <v>74</v>
      </c>
      <c r="K108" s="66" t="s">
        <v>341</v>
      </c>
      <c r="L108" s="40" t="s">
        <v>7</v>
      </c>
      <c r="M108" s="39" t="s">
        <v>7</v>
      </c>
      <c r="N108" s="40" t="s">
        <v>7</v>
      </c>
      <c r="O108" s="19" t="s">
        <v>7</v>
      </c>
      <c r="P108" s="40" t="s">
        <v>7</v>
      </c>
      <c r="Q108" s="19" t="s">
        <v>7</v>
      </c>
      <c r="R108" s="31" t="s">
        <v>7</v>
      </c>
      <c r="S108" s="19" t="s">
        <v>7</v>
      </c>
      <c r="T108" s="31" t="s">
        <v>76</v>
      </c>
      <c r="U108" s="32">
        <v>403</v>
      </c>
      <c r="V108" s="31" t="s">
        <v>77</v>
      </c>
      <c r="W108" s="32">
        <v>140</v>
      </c>
      <c r="X108" s="31" t="s">
        <v>181</v>
      </c>
      <c r="Y108" s="32" t="s">
        <v>258</v>
      </c>
      <c r="Z108" s="31" t="s">
        <v>182</v>
      </c>
      <c r="AA108" s="32" t="s">
        <v>222</v>
      </c>
      <c r="AB108" s="31" t="s">
        <v>184</v>
      </c>
      <c r="AC108" s="32" t="s">
        <v>92</v>
      </c>
      <c r="AD108" s="31" t="s">
        <v>1036</v>
      </c>
      <c r="AE108" s="32">
        <v>46</v>
      </c>
      <c r="AF108" s="31" t="s">
        <v>14</v>
      </c>
      <c r="AG108" s="19" t="s">
        <v>542</v>
      </c>
      <c r="AH108" s="31" t="s">
        <v>1037</v>
      </c>
      <c r="AI108" s="32" t="s">
        <v>183</v>
      </c>
      <c r="AJ108" s="38" t="s">
        <v>547</v>
      </c>
      <c r="AK108" s="19" t="s">
        <v>1048</v>
      </c>
      <c r="AL108" s="38" t="s">
        <v>548</v>
      </c>
      <c r="AM108" s="19" t="s">
        <v>1052</v>
      </c>
      <c r="AN108" s="38" t="s">
        <v>1038</v>
      </c>
      <c r="AO108" s="19" t="s">
        <v>1039</v>
      </c>
      <c r="AP108" s="31" t="s">
        <v>7</v>
      </c>
      <c r="AQ108" s="19" t="s">
        <v>7</v>
      </c>
      <c r="AR108" s="33" t="s">
        <v>7</v>
      </c>
      <c r="AS108" s="34" t="s">
        <v>7</v>
      </c>
      <c r="AT108" s="33" t="s">
        <v>7</v>
      </c>
      <c r="AU108" s="34" t="s">
        <v>7</v>
      </c>
      <c r="AV108" s="33" t="s">
        <v>7</v>
      </c>
      <c r="AW108" s="34" t="s">
        <v>7</v>
      </c>
      <c r="AX108" s="33" t="s">
        <v>7</v>
      </c>
      <c r="AY108" s="34" t="s">
        <v>7</v>
      </c>
      <c r="AZ108" s="33" t="s">
        <v>7</v>
      </c>
      <c r="BA108" s="34" t="s">
        <v>7</v>
      </c>
    </row>
    <row r="109" spans="1:53" ht="8.25" customHeight="1" x14ac:dyDescent="0.25">
      <c r="A109" s="16">
        <v>108</v>
      </c>
      <c r="B109" s="17" t="s">
        <v>469</v>
      </c>
      <c r="C109" s="18" t="s">
        <v>609</v>
      </c>
      <c r="D109" s="33" t="s">
        <v>7</v>
      </c>
      <c r="E109" s="34" t="s">
        <v>7</v>
      </c>
      <c r="F109" s="29" t="s">
        <v>553</v>
      </c>
      <c r="G109" s="30" t="s">
        <v>544</v>
      </c>
      <c r="H109" s="33" t="s">
        <v>7</v>
      </c>
      <c r="I109" s="34" t="s">
        <v>7</v>
      </c>
      <c r="J109" s="40" t="s">
        <v>74</v>
      </c>
      <c r="K109" s="66" t="s">
        <v>342</v>
      </c>
      <c r="L109" s="40" t="s">
        <v>7</v>
      </c>
      <c r="M109" s="39" t="s">
        <v>7</v>
      </c>
      <c r="N109" s="40" t="s">
        <v>7</v>
      </c>
      <c r="O109" s="19" t="s">
        <v>7</v>
      </c>
      <c r="P109" s="40" t="s">
        <v>7</v>
      </c>
      <c r="Q109" s="19" t="s">
        <v>7</v>
      </c>
      <c r="R109" s="31" t="s">
        <v>7</v>
      </c>
      <c r="S109" s="19" t="s">
        <v>7</v>
      </c>
      <c r="T109" s="31" t="s">
        <v>76</v>
      </c>
      <c r="U109" s="32">
        <v>403</v>
      </c>
      <c r="V109" s="31" t="s">
        <v>77</v>
      </c>
      <c r="W109" s="32">
        <v>177</v>
      </c>
      <c r="X109" s="31" t="s">
        <v>181</v>
      </c>
      <c r="Y109" s="32" t="s">
        <v>259</v>
      </c>
      <c r="Z109" s="31" t="s">
        <v>182</v>
      </c>
      <c r="AA109" s="32" t="s">
        <v>136</v>
      </c>
      <c r="AB109" s="31" t="s">
        <v>184</v>
      </c>
      <c r="AC109" s="32" t="s">
        <v>92</v>
      </c>
      <c r="AD109" s="31" t="s">
        <v>1036</v>
      </c>
      <c r="AE109" s="32">
        <v>53</v>
      </c>
      <c r="AF109" s="31" t="s">
        <v>14</v>
      </c>
      <c r="AG109" s="19" t="s">
        <v>542</v>
      </c>
      <c r="AH109" s="31" t="s">
        <v>1037</v>
      </c>
      <c r="AI109" s="32" t="s">
        <v>183</v>
      </c>
      <c r="AJ109" s="38" t="s">
        <v>547</v>
      </c>
      <c r="AK109" s="19" t="s">
        <v>1048</v>
      </c>
      <c r="AL109" s="38" t="s">
        <v>548</v>
      </c>
      <c r="AM109" s="19" t="s">
        <v>1052</v>
      </c>
      <c r="AN109" s="38" t="s">
        <v>1038</v>
      </c>
      <c r="AO109" s="19" t="s">
        <v>1039</v>
      </c>
      <c r="AP109" s="31" t="s">
        <v>7</v>
      </c>
      <c r="AQ109" s="19" t="s">
        <v>7</v>
      </c>
      <c r="AR109" s="33" t="s">
        <v>7</v>
      </c>
      <c r="AS109" s="34" t="s">
        <v>7</v>
      </c>
      <c r="AT109" s="33" t="s">
        <v>7</v>
      </c>
      <c r="AU109" s="34" t="s">
        <v>7</v>
      </c>
      <c r="AV109" s="33" t="s">
        <v>7</v>
      </c>
      <c r="AW109" s="34" t="s">
        <v>7</v>
      </c>
      <c r="AX109" s="33" t="s">
        <v>7</v>
      </c>
      <c r="AY109" s="34" t="s">
        <v>7</v>
      </c>
      <c r="AZ109" s="33" t="s">
        <v>7</v>
      </c>
      <c r="BA109" s="34" t="s">
        <v>7</v>
      </c>
    </row>
    <row r="110" spans="1:53" ht="8.25" customHeight="1" x14ac:dyDescent="0.25">
      <c r="A110" s="16">
        <v>109</v>
      </c>
      <c r="B110" s="17" t="s">
        <v>470</v>
      </c>
      <c r="C110" s="18" t="s">
        <v>609</v>
      </c>
      <c r="D110" s="33" t="s">
        <v>7</v>
      </c>
      <c r="E110" s="34" t="s">
        <v>7</v>
      </c>
      <c r="F110" s="29" t="s">
        <v>553</v>
      </c>
      <c r="G110" s="30" t="s">
        <v>544</v>
      </c>
      <c r="H110" s="33" t="s">
        <v>7</v>
      </c>
      <c r="I110" s="34" t="s">
        <v>7</v>
      </c>
      <c r="J110" s="40" t="s">
        <v>74</v>
      </c>
      <c r="K110" s="66" t="s">
        <v>343</v>
      </c>
      <c r="L110" s="40" t="s">
        <v>7</v>
      </c>
      <c r="M110" s="39" t="s">
        <v>7</v>
      </c>
      <c r="N110" s="40" t="s">
        <v>7</v>
      </c>
      <c r="O110" s="19" t="s">
        <v>7</v>
      </c>
      <c r="P110" s="40" t="s">
        <v>7</v>
      </c>
      <c r="Q110" s="19" t="s">
        <v>7</v>
      </c>
      <c r="R110" s="31" t="s">
        <v>7</v>
      </c>
      <c r="S110" s="19" t="s">
        <v>7</v>
      </c>
      <c r="T110" s="31" t="s">
        <v>76</v>
      </c>
      <c r="U110" s="32">
        <v>407</v>
      </c>
      <c r="V110" s="31" t="s">
        <v>77</v>
      </c>
      <c r="W110" s="32">
        <v>178</v>
      </c>
      <c r="X110" s="31" t="s">
        <v>181</v>
      </c>
      <c r="Y110" s="32" t="s">
        <v>252</v>
      </c>
      <c r="Z110" s="31" t="s">
        <v>182</v>
      </c>
      <c r="AA110" s="32" t="s">
        <v>224</v>
      </c>
      <c r="AB110" s="31" t="s">
        <v>184</v>
      </c>
      <c r="AC110" s="32" t="s">
        <v>92</v>
      </c>
      <c r="AD110" s="31" t="s">
        <v>1036</v>
      </c>
      <c r="AE110" s="32">
        <v>60</v>
      </c>
      <c r="AF110" s="31" t="s">
        <v>14</v>
      </c>
      <c r="AG110" s="19" t="s">
        <v>542</v>
      </c>
      <c r="AH110" s="31" t="s">
        <v>1037</v>
      </c>
      <c r="AI110" s="32" t="s">
        <v>183</v>
      </c>
      <c r="AJ110" s="38" t="s">
        <v>547</v>
      </c>
      <c r="AK110" s="19" t="s">
        <v>1048</v>
      </c>
      <c r="AL110" s="38" t="s">
        <v>548</v>
      </c>
      <c r="AM110" s="19" t="s">
        <v>1052</v>
      </c>
      <c r="AN110" s="38" t="s">
        <v>1038</v>
      </c>
      <c r="AO110" s="19" t="s">
        <v>1039</v>
      </c>
      <c r="AP110" s="31" t="s">
        <v>7</v>
      </c>
      <c r="AQ110" s="19" t="s">
        <v>7</v>
      </c>
      <c r="AR110" s="33" t="s">
        <v>7</v>
      </c>
      <c r="AS110" s="34" t="s">
        <v>7</v>
      </c>
      <c r="AT110" s="33" t="s">
        <v>7</v>
      </c>
      <c r="AU110" s="34" t="s">
        <v>7</v>
      </c>
      <c r="AV110" s="33" t="s">
        <v>7</v>
      </c>
      <c r="AW110" s="34" t="s">
        <v>7</v>
      </c>
      <c r="AX110" s="33" t="s">
        <v>7</v>
      </c>
      <c r="AY110" s="34" t="s">
        <v>7</v>
      </c>
      <c r="AZ110" s="33" t="s">
        <v>7</v>
      </c>
      <c r="BA110" s="34" t="s">
        <v>7</v>
      </c>
    </row>
    <row r="111" spans="1:53" ht="8.25" customHeight="1" x14ac:dyDescent="0.25">
      <c r="A111" s="16">
        <v>110</v>
      </c>
      <c r="B111" s="17" t="s">
        <v>471</v>
      </c>
      <c r="C111" s="18" t="s">
        <v>609</v>
      </c>
      <c r="D111" s="33" t="s">
        <v>7</v>
      </c>
      <c r="E111" s="34" t="s">
        <v>7</v>
      </c>
      <c r="F111" s="29" t="s">
        <v>553</v>
      </c>
      <c r="G111" s="30" t="s">
        <v>544</v>
      </c>
      <c r="H111" s="33" t="s">
        <v>7</v>
      </c>
      <c r="I111" s="34" t="s">
        <v>7</v>
      </c>
      <c r="J111" s="40" t="s">
        <v>74</v>
      </c>
      <c r="K111" s="66" t="s">
        <v>344</v>
      </c>
      <c r="L111" s="40" t="s">
        <v>7</v>
      </c>
      <c r="M111" s="39" t="s">
        <v>7</v>
      </c>
      <c r="N111" s="40" t="s">
        <v>7</v>
      </c>
      <c r="O111" s="19" t="s">
        <v>7</v>
      </c>
      <c r="P111" s="40" t="s">
        <v>7</v>
      </c>
      <c r="Q111" s="19" t="s">
        <v>7</v>
      </c>
      <c r="R111" s="31" t="s">
        <v>7</v>
      </c>
      <c r="S111" s="19" t="s">
        <v>7</v>
      </c>
      <c r="T111" s="31" t="s">
        <v>76</v>
      </c>
      <c r="U111" s="32">
        <v>410</v>
      </c>
      <c r="V111" s="31" t="s">
        <v>77</v>
      </c>
      <c r="W111" s="32">
        <v>179</v>
      </c>
      <c r="X111" s="31" t="s">
        <v>181</v>
      </c>
      <c r="Y111" s="32" t="s">
        <v>256</v>
      </c>
      <c r="Z111" s="31" t="s">
        <v>182</v>
      </c>
      <c r="AA111" s="32" t="s">
        <v>121</v>
      </c>
      <c r="AB111" s="31" t="s">
        <v>184</v>
      </c>
      <c r="AC111" s="32" t="s">
        <v>92</v>
      </c>
      <c r="AD111" s="31" t="s">
        <v>1036</v>
      </c>
      <c r="AE111" s="32">
        <v>67</v>
      </c>
      <c r="AF111" s="31" t="s">
        <v>14</v>
      </c>
      <c r="AG111" s="19" t="s">
        <v>542</v>
      </c>
      <c r="AH111" s="31" t="s">
        <v>1037</v>
      </c>
      <c r="AI111" s="32" t="s">
        <v>183</v>
      </c>
      <c r="AJ111" s="38" t="s">
        <v>547</v>
      </c>
      <c r="AK111" s="19" t="s">
        <v>1048</v>
      </c>
      <c r="AL111" s="38" t="s">
        <v>548</v>
      </c>
      <c r="AM111" s="19" t="s">
        <v>1052</v>
      </c>
      <c r="AN111" s="38" t="s">
        <v>1038</v>
      </c>
      <c r="AO111" s="19" t="s">
        <v>1039</v>
      </c>
      <c r="AP111" s="31" t="s">
        <v>7</v>
      </c>
      <c r="AQ111" s="19" t="s">
        <v>7</v>
      </c>
      <c r="AR111" s="33" t="s">
        <v>7</v>
      </c>
      <c r="AS111" s="34" t="s">
        <v>7</v>
      </c>
      <c r="AT111" s="33" t="s">
        <v>7</v>
      </c>
      <c r="AU111" s="34" t="s">
        <v>7</v>
      </c>
      <c r="AV111" s="33" t="s">
        <v>7</v>
      </c>
      <c r="AW111" s="34" t="s">
        <v>7</v>
      </c>
      <c r="AX111" s="33" t="s">
        <v>7</v>
      </c>
      <c r="AY111" s="34" t="s">
        <v>7</v>
      </c>
      <c r="AZ111" s="33" t="s">
        <v>7</v>
      </c>
      <c r="BA111" s="34" t="s">
        <v>7</v>
      </c>
    </row>
    <row r="112" spans="1:53" ht="8.25" customHeight="1" x14ac:dyDescent="0.25">
      <c r="A112" s="16">
        <v>111</v>
      </c>
      <c r="B112" s="17" t="s">
        <v>472</v>
      </c>
      <c r="C112" s="18" t="s">
        <v>609</v>
      </c>
      <c r="D112" s="33" t="s">
        <v>7</v>
      </c>
      <c r="E112" s="34" t="s">
        <v>7</v>
      </c>
      <c r="F112" s="29" t="s">
        <v>553</v>
      </c>
      <c r="G112" s="30" t="s">
        <v>544</v>
      </c>
      <c r="H112" s="33" t="s">
        <v>7</v>
      </c>
      <c r="I112" s="34" t="s">
        <v>7</v>
      </c>
      <c r="J112" s="40" t="s">
        <v>74</v>
      </c>
      <c r="K112" s="66" t="s">
        <v>345</v>
      </c>
      <c r="L112" s="40" t="s">
        <v>7</v>
      </c>
      <c r="M112" s="39" t="s">
        <v>7</v>
      </c>
      <c r="N112" s="40" t="s">
        <v>7</v>
      </c>
      <c r="O112" s="19" t="s">
        <v>7</v>
      </c>
      <c r="P112" s="40" t="s">
        <v>7</v>
      </c>
      <c r="Q112" s="19" t="s">
        <v>7</v>
      </c>
      <c r="R112" s="31" t="s">
        <v>7</v>
      </c>
      <c r="S112" s="19" t="s">
        <v>7</v>
      </c>
      <c r="T112" s="31" t="s">
        <v>76</v>
      </c>
      <c r="U112" s="32">
        <v>413</v>
      </c>
      <c r="V112" s="31" t="s">
        <v>77</v>
      </c>
      <c r="W112" s="32">
        <v>180</v>
      </c>
      <c r="X112" s="31" t="s">
        <v>181</v>
      </c>
      <c r="Y112" s="32" t="s">
        <v>240</v>
      </c>
      <c r="Z112" s="31" t="s">
        <v>182</v>
      </c>
      <c r="AA112" s="32">
        <v>16</v>
      </c>
      <c r="AB112" s="31" t="s">
        <v>184</v>
      </c>
      <c r="AC112" s="32" t="s">
        <v>92</v>
      </c>
      <c r="AD112" s="31" t="s">
        <v>1036</v>
      </c>
      <c r="AE112" s="32">
        <v>75</v>
      </c>
      <c r="AF112" s="31" t="s">
        <v>14</v>
      </c>
      <c r="AG112" s="19" t="s">
        <v>542</v>
      </c>
      <c r="AH112" s="31" t="s">
        <v>1037</v>
      </c>
      <c r="AI112" s="32" t="s">
        <v>183</v>
      </c>
      <c r="AJ112" s="38" t="s">
        <v>547</v>
      </c>
      <c r="AK112" s="19" t="s">
        <v>1048</v>
      </c>
      <c r="AL112" s="38" t="s">
        <v>548</v>
      </c>
      <c r="AM112" s="19" t="s">
        <v>1052</v>
      </c>
      <c r="AN112" s="38" t="s">
        <v>1038</v>
      </c>
      <c r="AO112" s="19" t="s">
        <v>1039</v>
      </c>
      <c r="AP112" s="31" t="s">
        <v>7</v>
      </c>
      <c r="AQ112" s="19" t="s">
        <v>7</v>
      </c>
      <c r="AR112" s="33" t="s">
        <v>7</v>
      </c>
      <c r="AS112" s="34" t="s">
        <v>7</v>
      </c>
      <c r="AT112" s="33" t="s">
        <v>7</v>
      </c>
      <c r="AU112" s="34" t="s">
        <v>7</v>
      </c>
      <c r="AV112" s="33" t="s">
        <v>7</v>
      </c>
      <c r="AW112" s="34" t="s">
        <v>7</v>
      </c>
      <c r="AX112" s="33" t="s">
        <v>7</v>
      </c>
      <c r="AY112" s="34" t="s">
        <v>7</v>
      </c>
      <c r="AZ112" s="33" t="s">
        <v>7</v>
      </c>
      <c r="BA112" s="34" t="s">
        <v>7</v>
      </c>
    </row>
    <row r="113" spans="1:53" ht="8.25" customHeight="1" x14ac:dyDescent="0.25">
      <c r="A113" s="16">
        <v>112</v>
      </c>
      <c r="B113" s="17" t="s">
        <v>473</v>
      </c>
      <c r="C113" s="18" t="s">
        <v>609</v>
      </c>
      <c r="D113" s="33" t="s">
        <v>7</v>
      </c>
      <c r="E113" s="34" t="s">
        <v>7</v>
      </c>
      <c r="F113" s="29" t="s">
        <v>553</v>
      </c>
      <c r="G113" s="30" t="s">
        <v>544</v>
      </c>
      <c r="H113" s="33" t="s">
        <v>7</v>
      </c>
      <c r="I113" s="34" t="s">
        <v>7</v>
      </c>
      <c r="J113" s="40" t="s">
        <v>74</v>
      </c>
      <c r="K113" s="66" t="s">
        <v>346</v>
      </c>
      <c r="L113" s="40" t="s">
        <v>7</v>
      </c>
      <c r="M113" s="39" t="s">
        <v>7</v>
      </c>
      <c r="N113" s="40" t="s">
        <v>7</v>
      </c>
      <c r="O113" s="19" t="s">
        <v>7</v>
      </c>
      <c r="P113" s="40" t="s">
        <v>7</v>
      </c>
      <c r="Q113" s="19" t="s">
        <v>7</v>
      </c>
      <c r="R113" s="31" t="s">
        <v>7</v>
      </c>
      <c r="S113" s="19" t="s">
        <v>7</v>
      </c>
      <c r="T113" s="31" t="s">
        <v>76</v>
      </c>
      <c r="U113" s="32">
        <v>417</v>
      </c>
      <c r="V113" s="31" t="s">
        <v>77</v>
      </c>
      <c r="W113" s="32">
        <v>181</v>
      </c>
      <c r="X113" s="31" t="s">
        <v>181</v>
      </c>
      <c r="Y113" s="32" t="s">
        <v>136</v>
      </c>
      <c r="Z113" s="31" t="s">
        <v>182</v>
      </c>
      <c r="AA113" s="32" t="s">
        <v>260</v>
      </c>
      <c r="AB113" s="31" t="s">
        <v>184</v>
      </c>
      <c r="AC113" s="32" t="s">
        <v>92</v>
      </c>
      <c r="AD113" s="31" t="s">
        <v>1036</v>
      </c>
      <c r="AE113" s="32">
        <v>85</v>
      </c>
      <c r="AF113" s="31" t="s">
        <v>14</v>
      </c>
      <c r="AG113" s="19" t="s">
        <v>542</v>
      </c>
      <c r="AH113" s="31" t="s">
        <v>1037</v>
      </c>
      <c r="AI113" s="32" t="s">
        <v>183</v>
      </c>
      <c r="AJ113" s="38" t="s">
        <v>547</v>
      </c>
      <c r="AK113" s="19" t="s">
        <v>1048</v>
      </c>
      <c r="AL113" s="38" t="s">
        <v>548</v>
      </c>
      <c r="AM113" s="19" t="s">
        <v>1052</v>
      </c>
      <c r="AN113" s="38" t="s">
        <v>1038</v>
      </c>
      <c r="AO113" s="19" t="s">
        <v>1039</v>
      </c>
      <c r="AP113" s="31" t="s">
        <v>7</v>
      </c>
      <c r="AQ113" s="19" t="s">
        <v>7</v>
      </c>
      <c r="AR113" s="33" t="s">
        <v>7</v>
      </c>
      <c r="AS113" s="34" t="s">
        <v>7</v>
      </c>
      <c r="AT113" s="33" t="s">
        <v>7</v>
      </c>
      <c r="AU113" s="34" t="s">
        <v>7</v>
      </c>
      <c r="AV113" s="33" t="s">
        <v>7</v>
      </c>
      <c r="AW113" s="34" t="s">
        <v>7</v>
      </c>
      <c r="AX113" s="33" t="s">
        <v>7</v>
      </c>
      <c r="AY113" s="34" t="s">
        <v>7</v>
      </c>
      <c r="AZ113" s="33" t="s">
        <v>7</v>
      </c>
      <c r="BA113" s="34" t="s">
        <v>7</v>
      </c>
    </row>
    <row r="114" spans="1:53" ht="8.25" customHeight="1" x14ac:dyDescent="0.25">
      <c r="A114" s="16">
        <v>113</v>
      </c>
      <c r="B114" s="17" t="s">
        <v>474</v>
      </c>
      <c r="C114" s="18" t="s">
        <v>609</v>
      </c>
      <c r="D114" s="33" t="s">
        <v>7</v>
      </c>
      <c r="E114" s="34" t="s">
        <v>7</v>
      </c>
      <c r="F114" s="29" t="s">
        <v>553</v>
      </c>
      <c r="G114" s="30" t="s">
        <v>544</v>
      </c>
      <c r="H114" s="33" t="s">
        <v>7</v>
      </c>
      <c r="I114" s="34" t="s">
        <v>7</v>
      </c>
      <c r="J114" s="40" t="s">
        <v>74</v>
      </c>
      <c r="K114" s="66" t="s">
        <v>347</v>
      </c>
      <c r="L114" s="40" t="s">
        <v>7</v>
      </c>
      <c r="M114" s="39" t="s">
        <v>7</v>
      </c>
      <c r="N114" s="40" t="s">
        <v>7</v>
      </c>
      <c r="O114" s="19" t="s">
        <v>7</v>
      </c>
      <c r="P114" s="40" t="s">
        <v>7</v>
      </c>
      <c r="Q114" s="19" t="s">
        <v>7</v>
      </c>
      <c r="R114" s="31" t="s">
        <v>7</v>
      </c>
      <c r="S114" s="19" t="s">
        <v>7</v>
      </c>
      <c r="T114" s="31" t="s">
        <v>76</v>
      </c>
      <c r="U114" s="32">
        <v>469</v>
      </c>
      <c r="V114" s="31" t="s">
        <v>77</v>
      </c>
      <c r="W114" s="32">
        <v>194</v>
      </c>
      <c r="X114" s="31" t="s">
        <v>181</v>
      </c>
      <c r="Y114" s="32" t="s">
        <v>102</v>
      </c>
      <c r="Z114" s="31" t="s">
        <v>182</v>
      </c>
      <c r="AA114" s="32" t="s">
        <v>111</v>
      </c>
      <c r="AB114" s="31" t="s">
        <v>184</v>
      </c>
      <c r="AC114" s="32" t="s">
        <v>199</v>
      </c>
      <c r="AD114" s="31" t="s">
        <v>1036</v>
      </c>
      <c r="AE114" s="32">
        <v>106</v>
      </c>
      <c r="AF114" s="31" t="s">
        <v>14</v>
      </c>
      <c r="AG114" s="19" t="s">
        <v>542</v>
      </c>
      <c r="AH114" s="31" t="s">
        <v>1037</v>
      </c>
      <c r="AI114" s="32" t="s">
        <v>183</v>
      </c>
      <c r="AJ114" s="38" t="s">
        <v>547</v>
      </c>
      <c r="AK114" s="19" t="s">
        <v>1048</v>
      </c>
      <c r="AL114" s="38" t="s">
        <v>548</v>
      </c>
      <c r="AM114" s="19" t="s">
        <v>1052</v>
      </c>
      <c r="AN114" s="38" t="s">
        <v>1038</v>
      </c>
      <c r="AO114" s="19" t="s">
        <v>1039</v>
      </c>
      <c r="AP114" s="31" t="s">
        <v>7</v>
      </c>
      <c r="AQ114" s="19" t="s">
        <v>7</v>
      </c>
      <c r="AR114" s="33" t="s">
        <v>7</v>
      </c>
      <c r="AS114" s="34" t="s">
        <v>7</v>
      </c>
      <c r="AT114" s="33" t="s">
        <v>7</v>
      </c>
      <c r="AU114" s="34" t="s">
        <v>7</v>
      </c>
      <c r="AV114" s="33" t="s">
        <v>7</v>
      </c>
      <c r="AW114" s="34" t="s">
        <v>7</v>
      </c>
      <c r="AX114" s="33" t="s">
        <v>7</v>
      </c>
      <c r="AY114" s="34" t="s">
        <v>7</v>
      </c>
      <c r="AZ114" s="33" t="s">
        <v>7</v>
      </c>
      <c r="BA114" s="34" t="s">
        <v>7</v>
      </c>
    </row>
    <row r="115" spans="1:53" ht="8.25" customHeight="1" x14ac:dyDescent="0.25">
      <c r="A115" s="16">
        <v>114</v>
      </c>
      <c r="B115" s="17" t="s">
        <v>475</v>
      </c>
      <c r="C115" s="18" t="s">
        <v>609</v>
      </c>
      <c r="D115" s="33" t="s">
        <v>7</v>
      </c>
      <c r="E115" s="34" t="s">
        <v>7</v>
      </c>
      <c r="F115" s="29" t="s">
        <v>553</v>
      </c>
      <c r="G115" s="30" t="s">
        <v>544</v>
      </c>
      <c r="H115" s="33" t="s">
        <v>7</v>
      </c>
      <c r="I115" s="34" t="s">
        <v>7</v>
      </c>
      <c r="J115" s="40" t="s">
        <v>74</v>
      </c>
      <c r="K115" s="66" t="s">
        <v>348</v>
      </c>
      <c r="L115" s="40" t="s">
        <v>7</v>
      </c>
      <c r="M115" s="39" t="s">
        <v>7</v>
      </c>
      <c r="N115" s="40" t="s">
        <v>7</v>
      </c>
      <c r="O115" s="19" t="s">
        <v>7</v>
      </c>
      <c r="P115" s="40" t="s">
        <v>7</v>
      </c>
      <c r="Q115" s="19" t="s">
        <v>7</v>
      </c>
      <c r="R115" s="31" t="s">
        <v>7</v>
      </c>
      <c r="S115" s="19" t="s">
        <v>7</v>
      </c>
      <c r="T115" s="31" t="s">
        <v>76</v>
      </c>
      <c r="U115" s="32">
        <v>450</v>
      </c>
      <c r="V115" s="31" t="s">
        <v>77</v>
      </c>
      <c r="W115" s="32">
        <v>152</v>
      </c>
      <c r="X115" s="31" t="s">
        <v>181</v>
      </c>
      <c r="Y115" s="32" t="s">
        <v>203</v>
      </c>
      <c r="Z115" s="31" t="s">
        <v>182</v>
      </c>
      <c r="AA115" s="32" t="s">
        <v>239</v>
      </c>
      <c r="AB115" s="31" t="s">
        <v>184</v>
      </c>
      <c r="AC115" s="32" t="s">
        <v>92</v>
      </c>
      <c r="AD115" s="31" t="s">
        <v>1036</v>
      </c>
      <c r="AE115" s="32">
        <v>52</v>
      </c>
      <c r="AF115" s="31" t="s">
        <v>14</v>
      </c>
      <c r="AG115" s="19" t="s">
        <v>542</v>
      </c>
      <c r="AH115" s="31" t="s">
        <v>1037</v>
      </c>
      <c r="AI115" s="32" t="s">
        <v>183</v>
      </c>
      <c r="AJ115" s="38" t="s">
        <v>547</v>
      </c>
      <c r="AK115" s="19" t="s">
        <v>1048</v>
      </c>
      <c r="AL115" s="38" t="s">
        <v>548</v>
      </c>
      <c r="AM115" s="19" t="s">
        <v>1052</v>
      </c>
      <c r="AN115" s="38" t="s">
        <v>1038</v>
      </c>
      <c r="AO115" s="19" t="s">
        <v>1039</v>
      </c>
      <c r="AP115" s="31" t="s">
        <v>7</v>
      </c>
      <c r="AQ115" s="19" t="s">
        <v>7</v>
      </c>
      <c r="AR115" s="33" t="s">
        <v>7</v>
      </c>
      <c r="AS115" s="34" t="s">
        <v>7</v>
      </c>
      <c r="AT115" s="33" t="s">
        <v>7</v>
      </c>
      <c r="AU115" s="34" t="s">
        <v>7</v>
      </c>
      <c r="AV115" s="33" t="s">
        <v>7</v>
      </c>
      <c r="AW115" s="34" t="s">
        <v>7</v>
      </c>
      <c r="AX115" s="33" t="s">
        <v>7</v>
      </c>
      <c r="AY115" s="34" t="s">
        <v>7</v>
      </c>
      <c r="AZ115" s="33" t="s">
        <v>7</v>
      </c>
      <c r="BA115" s="34" t="s">
        <v>7</v>
      </c>
    </row>
    <row r="116" spans="1:53" ht="8.25" customHeight="1" x14ac:dyDescent="0.25">
      <c r="A116" s="16">
        <v>115</v>
      </c>
      <c r="B116" s="17" t="s">
        <v>476</v>
      </c>
      <c r="C116" s="18" t="s">
        <v>609</v>
      </c>
      <c r="D116" s="33" t="s">
        <v>7</v>
      </c>
      <c r="E116" s="34" t="s">
        <v>7</v>
      </c>
      <c r="F116" s="29" t="s">
        <v>553</v>
      </c>
      <c r="G116" s="30" t="s">
        <v>544</v>
      </c>
      <c r="H116" s="33" t="s">
        <v>7</v>
      </c>
      <c r="I116" s="34" t="s">
        <v>7</v>
      </c>
      <c r="J116" s="40" t="s">
        <v>74</v>
      </c>
      <c r="K116" s="66" t="s">
        <v>349</v>
      </c>
      <c r="L116" s="40" t="s">
        <v>7</v>
      </c>
      <c r="M116" s="39" t="s">
        <v>7</v>
      </c>
      <c r="N116" s="40" t="s">
        <v>7</v>
      </c>
      <c r="O116" s="19" t="s">
        <v>7</v>
      </c>
      <c r="P116" s="40" t="s">
        <v>7</v>
      </c>
      <c r="Q116" s="19" t="s">
        <v>7</v>
      </c>
      <c r="R116" s="31" t="s">
        <v>7</v>
      </c>
      <c r="S116" s="19" t="s">
        <v>7</v>
      </c>
      <c r="T116" s="31" t="s">
        <v>76</v>
      </c>
      <c r="U116" s="32">
        <v>455</v>
      </c>
      <c r="V116" s="31" t="s">
        <v>77</v>
      </c>
      <c r="W116" s="32">
        <v>153</v>
      </c>
      <c r="X116" s="31" t="s">
        <v>181</v>
      </c>
      <c r="Y116" s="32">
        <v>8</v>
      </c>
      <c r="Z116" s="31" t="s">
        <v>182</v>
      </c>
      <c r="AA116" s="32" t="s">
        <v>261</v>
      </c>
      <c r="AB116" s="31" t="s">
        <v>184</v>
      </c>
      <c r="AC116" s="32" t="s">
        <v>92</v>
      </c>
      <c r="AD116" s="31" t="s">
        <v>1036</v>
      </c>
      <c r="AE116" s="32">
        <v>60</v>
      </c>
      <c r="AF116" s="31" t="s">
        <v>14</v>
      </c>
      <c r="AG116" s="19" t="s">
        <v>542</v>
      </c>
      <c r="AH116" s="31" t="s">
        <v>1037</v>
      </c>
      <c r="AI116" s="32" t="s">
        <v>183</v>
      </c>
      <c r="AJ116" s="38" t="s">
        <v>547</v>
      </c>
      <c r="AK116" s="19" t="s">
        <v>1048</v>
      </c>
      <c r="AL116" s="38" t="s">
        <v>548</v>
      </c>
      <c r="AM116" s="19" t="s">
        <v>1052</v>
      </c>
      <c r="AN116" s="38" t="s">
        <v>1038</v>
      </c>
      <c r="AO116" s="19" t="s">
        <v>1039</v>
      </c>
      <c r="AP116" s="31" t="s">
        <v>7</v>
      </c>
      <c r="AQ116" s="19" t="s">
        <v>7</v>
      </c>
      <c r="AR116" s="33" t="s">
        <v>7</v>
      </c>
      <c r="AS116" s="34" t="s">
        <v>7</v>
      </c>
      <c r="AT116" s="33" t="s">
        <v>7</v>
      </c>
      <c r="AU116" s="34" t="s">
        <v>7</v>
      </c>
      <c r="AV116" s="33" t="s">
        <v>7</v>
      </c>
      <c r="AW116" s="34" t="s">
        <v>7</v>
      </c>
      <c r="AX116" s="33" t="s">
        <v>7</v>
      </c>
      <c r="AY116" s="34" t="s">
        <v>7</v>
      </c>
      <c r="AZ116" s="33" t="s">
        <v>7</v>
      </c>
      <c r="BA116" s="34" t="s">
        <v>7</v>
      </c>
    </row>
    <row r="117" spans="1:53" ht="8.25" customHeight="1" x14ac:dyDescent="0.25">
      <c r="A117" s="16">
        <v>116</v>
      </c>
      <c r="B117" s="17" t="s">
        <v>477</v>
      </c>
      <c r="C117" s="18" t="s">
        <v>609</v>
      </c>
      <c r="D117" s="33" t="s">
        <v>7</v>
      </c>
      <c r="E117" s="34" t="s">
        <v>7</v>
      </c>
      <c r="F117" s="29" t="s">
        <v>553</v>
      </c>
      <c r="G117" s="30" t="s">
        <v>544</v>
      </c>
      <c r="H117" s="33" t="s">
        <v>7</v>
      </c>
      <c r="I117" s="34" t="s">
        <v>7</v>
      </c>
      <c r="J117" s="40" t="s">
        <v>74</v>
      </c>
      <c r="K117" s="66" t="s">
        <v>350</v>
      </c>
      <c r="L117" s="40" t="s">
        <v>7</v>
      </c>
      <c r="M117" s="39" t="s">
        <v>7</v>
      </c>
      <c r="N117" s="40" t="s">
        <v>7</v>
      </c>
      <c r="O117" s="19" t="s">
        <v>7</v>
      </c>
      <c r="P117" s="40" t="s">
        <v>7</v>
      </c>
      <c r="Q117" s="19" t="s">
        <v>7</v>
      </c>
      <c r="R117" s="31" t="s">
        <v>7</v>
      </c>
      <c r="S117" s="19" t="s">
        <v>7</v>
      </c>
      <c r="T117" s="31" t="s">
        <v>76</v>
      </c>
      <c r="U117" s="32">
        <v>459</v>
      </c>
      <c r="V117" s="31" t="s">
        <v>77</v>
      </c>
      <c r="W117" s="32">
        <v>154</v>
      </c>
      <c r="X117" s="31" t="s">
        <v>181</v>
      </c>
      <c r="Y117" s="32" t="s">
        <v>208</v>
      </c>
      <c r="Z117" s="31" t="s">
        <v>182</v>
      </c>
      <c r="AA117" s="32" t="s">
        <v>134</v>
      </c>
      <c r="AB117" s="31" t="s">
        <v>184</v>
      </c>
      <c r="AC117" s="32" t="s">
        <v>192</v>
      </c>
      <c r="AD117" s="31" t="s">
        <v>1036</v>
      </c>
      <c r="AE117" s="32">
        <v>68</v>
      </c>
      <c r="AF117" s="31" t="s">
        <v>14</v>
      </c>
      <c r="AG117" s="19" t="s">
        <v>542</v>
      </c>
      <c r="AH117" s="31" t="s">
        <v>1037</v>
      </c>
      <c r="AI117" s="32" t="s">
        <v>183</v>
      </c>
      <c r="AJ117" s="38" t="s">
        <v>547</v>
      </c>
      <c r="AK117" s="19" t="s">
        <v>1048</v>
      </c>
      <c r="AL117" s="38" t="s">
        <v>548</v>
      </c>
      <c r="AM117" s="19" t="s">
        <v>1052</v>
      </c>
      <c r="AN117" s="38" t="s">
        <v>1038</v>
      </c>
      <c r="AO117" s="19" t="s">
        <v>1039</v>
      </c>
      <c r="AP117" s="31" t="s">
        <v>7</v>
      </c>
      <c r="AQ117" s="19" t="s">
        <v>7</v>
      </c>
      <c r="AR117" s="33" t="s">
        <v>7</v>
      </c>
      <c r="AS117" s="34" t="s">
        <v>7</v>
      </c>
      <c r="AT117" s="33" t="s">
        <v>7</v>
      </c>
      <c r="AU117" s="34" t="s">
        <v>7</v>
      </c>
      <c r="AV117" s="33" t="s">
        <v>7</v>
      </c>
      <c r="AW117" s="34" t="s">
        <v>7</v>
      </c>
      <c r="AX117" s="33" t="s">
        <v>7</v>
      </c>
      <c r="AY117" s="34" t="s">
        <v>7</v>
      </c>
      <c r="AZ117" s="33" t="s">
        <v>7</v>
      </c>
      <c r="BA117" s="34" t="s">
        <v>7</v>
      </c>
    </row>
    <row r="118" spans="1:53" ht="8.25" customHeight="1" x14ac:dyDescent="0.25">
      <c r="A118" s="16">
        <v>117</v>
      </c>
      <c r="B118" s="17" t="s">
        <v>478</v>
      </c>
      <c r="C118" s="18" t="s">
        <v>609</v>
      </c>
      <c r="D118" s="33" t="s">
        <v>7</v>
      </c>
      <c r="E118" s="34" t="s">
        <v>7</v>
      </c>
      <c r="F118" s="29" t="s">
        <v>553</v>
      </c>
      <c r="G118" s="30" t="s">
        <v>544</v>
      </c>
      <c r="H118" s="33" t="s">
        <v>7</v>
      </c>
      <c r="I118" s="34" t="s">
        <v>7</v>
      </c>
      <c r="J118" s="40" t="s">
        <v>74</v>
      </c>
      <c r="K118" s="66" t="s">
        <v>351</v>
      </c>
      <c r="L118" s="40" t="s">
        <v>7</v>
      </c>
      <c r="M118" s="39" t="s">
        <v>7</v>
      </c>
      <c r="N118" s="40" t="s">
        <v>7</v>
      </c>
      <c r="O118" s="19" t="s">
        <v>7</v>
      </c>
      <c r="P118" s="40" t="s">
        <v>7</v>
      </c>
      <c r="Q118" s="19" t="s">
        <v>7</v>
      </c>
      <c r="R118" s="31" t="s">
        <v>7</v>
      </c>
      <c r="S118" s="19" t="s">
        <v>7</v>
      </c>
      <c r="T118" s="31" t="s">
        <v>76</v>
      </c>
      <c r="U118" s="32">
        <v>457</v>
      </c>
      <c r="V118" s="31" t="s">
        <v>77</v>
      </c>
      <c r="W118" s="32">
        <v>190</v>
      </c>
      <c r="X118" s="31" t="s">
        <v>181</v>
      </c>
      <c r="Y118" s="32" t="s">
        <v>262</v>
      </c>
      <c r="Z118" s="31" t="s">
        <v>182</v>
      </c>
      <c r="AA118" s="32" t="s">
        <v>197</v>
      </c>
      <c r="AB118" s="31" t="s">
        <v>184</v>
      </c>
      <c r="AC118" s="32" t="s">
        <v>92</v>
      </c>
      <c r="AD118" s="31" t="s">
        <v>1036</v>
      </c>
      <c r="AE118" s="32">
        <v>74</v>
      </c>
      <c r="AF118" s="31" t="s">
        <v>14</v>
      </c>
      <c r="AG118" s="19" t="s">
        <v>542</v>
      </c>
      <c r="AH118" s="31" t="s">
        <v>1037</v>
      </c>
      <c r="AI118" s="32" t="s">
        <v>183</v>
      </c>
      <c r="AJ118" s="38" t="s">
        <v>547</v>
      </c>
      <c r="AK118" s="19" t="s">
        <v>1048</v>
      </c>
      <c r="AL118" s="38" t="s">
        <v>548</v>
      </c>
      <c r="AM118" s="19" t="s">
        <v>1052</v>
      </c>
      <c r="AN118" s="38" t="s">
        <v>1038</v>
      </c>
      <c r="AO118" s="19" t="s">
        <v>1039</v>
      </c>
      <c r="AP118" s="31" t="s">
        <v>7</v>
      </c>
      <c r="AQ118" s="19" t="s">
        <v>7</v>
      </c>
      <c r="AR118" s="33" t="s">
        <v>7</v>
      </c>
      <c r="AS118" s="34" t="s">
        <v>7</v>
      </c>
      <c r="AT118" s="33" t="s">
        <v>7</v>
      </c>
      <c r="AU118" s="34" t="s">
        <v>7</v>
      </c>
      <c r="AV118" s="33" t="s">
        <v>7</v>
      </c>
      <c r="AW118" s="34" t="s">
        <v>7</v>
      </c>
      <c r="AX118" s="33" t="s">
        <v>7</v>
      </c>
      <c r="AY118" s="34" t="s">
        <v>7</v>
      </c>
      <c r="AZ118" s="33" t="s">
        <v>7</v>
      </c>
      <c r="BA118" s="34" t="s">
        <v>7</v>
      </c>
    </row>
    <row r="119" spans="1:53" ht="8.25" customHeight="1" x14ac:dyDescent="0.25">
      <c r="A119" s="16">
        <v>118</v>
      </c>
      <c r="B119" s="17" t="s">
        <v>479</v>
      </c>
      <c r="C119" s="18" t="s">
        <v>609</v>
      </c>
      <c r="D119" s="33" t="s">
        <v>7</v>
      </c>
      <c r="E119" s="34" t="s">
        <v>7</v>
      </c>
      <c r="F119" s="29" t="s">
        <v>553</v>
      </c>
      <c r="G119" s="30" t="s">
        <v>544</v>
      </c>
      <c r="H119" s="33" t="s">
        <v>7</v>
      </c>
      <c r="I119" s="34" t="s">
        <v>7</v>
      </c>
      <c r="J119" s="40" t="s">
        <v>74</v>
      </c>
      <c r="K119" s="66" t="s">
        <v>352</v>
      </c>
      <c r="L119" s="40" t="s">
        <v>7</v>
      </c>
      <c r="M119" s="39" t="s">
        <v>7</v>
      </c>
      <c r="N119" s="40" t="s">
        <v>7</v>
      </c>
      <c r="O119" s="19" t="s">
        <v>7</v>
      </c>
      <c r="P119" s="40" t="s">
        <v>7</v>
      </c>
      <c r="Q119" s="19" t="s">
        <v>7</v>
      </c>
      <c r="R119" s="31" t="s">
        <v>7</v>
      </c>
      <c r="S119" s="19" t="s">
        <v>7</v>
      </c>
      <c r="T119" s="31" t="s">
        <v>76</v>
      </c>
      <c r="U119" s="32">
        <v>460</v>
      </c>
      <c r="V119" s="31" t="s">
        <v>77</v>
      </c>
      <c r="W119" s="32">
        <v>191</v>
      </c>
      <c r="X119" s="31" t="s">
        <v>181</v>
      </c>
      <c r="Y119" s="32" t="s">
        <v>247</v>
      </c>
      <c r="Z119" s="31" t="s">
        <v>182</v>
      </c>
      <c r="AA119" s="32">
        <v>16</v>
      </c>
      <c r="AB119" s="31" t="s">
        <v>184</v>
      </c>
      <c r="AC119" s="32" t="s">
        <v>92</v>
      </c>
      <c r="AD119" s="31" t="s">
        <v>1036</v>
      </c>
      <c r="AE119" s="32">
        <v>82</v>
      </c>
      <c r="AF119" s="31" t="s">
        <v>14</v>
      </c>
      <c r="AG119" s="19" t="s">
        <v>542</v>
      </c>
      <c r="AH119" s="31" t="s">
        <v>1037</v>
      </c>
      <c r="AI119" s="32" t="s">
        <v>183</v>
      </c>
      <c r="AJ119" s="38" t="s">
        <v>547</v>
      </c>
      <c r="AK119" s="19" t="s">
        <v>1048</v>
      </c>
      <c r="AL119" s="38" t="s">
        <v>548</v>
      </c>
      <c r="AM119" s="19" t="s">
        <v>1052</v>
      </c>
      <c r="AN119" s="38" t="s">
        <v>1038</v>
      </c>
      <c r="AO119" s="19" t="s">
        <v>1039</v>
      </c>
      <c r="AP119" s="31" t="s">
        <v>7</v>
      </c>
      <c r="AQ119" s="19" t="s">
        <v>7</v>
      </c>
      <c r="AR119" s="33" t="s">
        <v>7</v>
      </c>
      <c r="AS119" s="34" t="s">
        <v>7</v>
      </c>
      <c r="AT119" s="33" t="s">
        <v>7</v>
      </c>
      <c r="AU119" s="34" t="s">
        <v>7</v>
      </c>
      <c r="AV119" s="33" t="s">
        <v>7</v>
      </c>
      <c r="AW119" s="34" t="s">
        <v>7</v>
      </c>
      <c r="AX119" s="33" t="s">
        <v>7</v>
      </c>
      <c r="AY119" s="34" t="s">
        <v>7</v>
      </c>
      <c r="AZ119" s="33" t="s">
        <v>7</v>
      </c>
      <c r="BA119" s="34" t="s">
        <v>7</v>
      </c>
    </row>
    <row r="120" spans="1:53" ht="8.25" customHeight="1" x14ac:dyDescent="0.25">
      <c r="A120" s="16">
        <v>119</v>
      </c>
      <c r="B120" s="17" t="s">
        <v>480</v>
      </c>
      <c r="C120" s="18" t="s">
        <v>609</v>
      </c>
      <c r="D120" s="33" t="s">
        <v>7</v>
      </c>
      <c r="E120" s="34" t="s">
        <v>7</v>
      </c>
      <c r="F120" s="29" t="s">
        <v>553</v>
      </c>
      <c r="G120" s="30" t="s">
        <v>544</v>
      </c>
      <c r="H120" s="33" t="s">
        <v>7</v>
      </c>
      <c r="I120" s="34" t="s">
        <v>7</v>
      </c>
      <c r="J120" s="40" t="s">
        <v>74</v>
      </c>
      <c r="K120" s="66" t="s">
        <v>353</v>
      </c>
      <c r="L120" s="40" t="s">
        <v>7</v>
      </c>
      <c r="M120" s="39" t="s">
        <v>7</v>
      </c>
      <c r="N120" s="40" t="s">
        <v>7</v>
      </c>
      <c r="O120" s="19" t="s">
        <v>7</v>
      </c>
      <c r="P120" s="40" t="s">
        <v>7</v>
      </c>
      <c r="Q120" s="19" t="s">
        <v>7</v>
      </c>
      <c r="R120" s="31" t="s">
        <v>7</v>
      </c>
      <c r="S120" s="19" t="s">
        <v>7</v>
      </c>
      <c r="T120" s="31" t="s">
        <v>76</v>
      </c>
      <c r="U120" s="32">
        <v>463</v>
      </c>
      <c r="V120" s="31" t="s">
        <v>77</v>
      </c>
      <c r="W120" s="32">
        <v>192</v>
      </c>
      <c r="X120" s="31" t="s">
        <v>181</v>
      </c>
      <c r="Y120" s="32" t="s">
        <v>113</v>
      </c>
      <c r="Z120" s="31" t="s">
        <v>182</v>
      </c>
      <c r="AA120" s="32" t="s">
        <v>263</v>
      </c>
      <c r="AB120" s="31" t="s">
        <v>184</v>
      </c>
      <c r="AC120" s="32" t="s">
        <v>92</v>
      </c>
      <c r="AD120" s="31" t="s">
        <v>1036</v>
      </c>
      <c r="AE120" s="32">
        <v>89</v>
      </c>
      <c r="AF120" s="31" t="s">
        <v>14</v>
      </c>
      <c r="AG120" s="19" t="s">
        <v>542</v>
      </c>
      <c r="AH120" s="31" t="s">
        <v>1037</v>
      </c>
      <c r="AI120" s="32" t="s">
        <v>183</v>
      </c>
      <c r="AJ120" s="38" t="s">
        <v>547</v>
      </c>
      <c r="AK120" s="19" t="s">
        <v>1048</v>
      </c>
      <c r="AL120" s="38" t="s">
        <v>548</v>
      </c>
      <c r="AM120" s="19" t="s">
        <v>1052</v>
      </c>
      <c r="AN120" s="38" t="s">
        <v>1038</v>
      </c>
      <c r="AO120" s="19" t="s">
        <v>1039</v>
      </c>
      <c r="AP120" s="31" t="s">
        <v>7</v>
      </c>
      <c r="AQ120" s="19" t="s">
        <v>7</v>
      </c>
      <c r="AR120" s="33" t="s">
        <v>7</v>
      </c>
      <c r="AS120" s="34" t="s">
        <v>7</v>
      </c>
      <c r="AT120" s="33" t="s">
        <v>7</v>
      </c>
      <c r="AU120" s="34" t="s">
        <v>7</v>
      </c>
      <c r="AV120" s="33" t="s">
        <v>7</v>
      </c>
      <c r="AW120" s="34" t="s">
        <v>7</v>
      </c>
      <c r="AX120" s="33" t="s">
        <v>7</v>
      </c>
      <c r="AY120" s="34" t="s">
        <v>7</v>
      </c>
      <c r="AZ120" s="33" t="s">
        <v>7</v>
      </c>
      <c r="BA120" s="34" t="s">
        <v>7</v>
      </c>
    </row>
    <row r="121" spans="1:53" ht="8.25" customHeight="1" x14ac:dyDescent="0.25">
      <c r="A121" s="16">
        <v>120</v>
      </c>
      <c r="B121" s="17" t="s">
        <v>481</v>
      </c>
      <c r="C121" s="18" t="s">
        <v>609</v>
      </c>
      <c r="D121" s="33" t="s">
        <v>7</v>
      </c>
      <c r="E121" s="34" t="s">
        <v>7</v>
      </c>
      <c r="F121" s="29" t="s">
        <v>553</v>
      </c>
      <c r="G121" s="30" t="s">
        <v>544</v>
      </c>
      <c r="H121" s="33" t="s">
        <v>7</v>
      </c>
      <c r="I121" s="34" t="s">
        <v>7</v>
      </c>
      <c r="J121" s="40" t="s">
        <v>74</v>
      </c>
      <c r="K121" s="66" t="s">
        <v>354</v>
      </c>
      <c r="L121" s="40" t="s">
        <v>7</v>
      </c>
      <c r="M121" s="39" t="s">
        <v>7</v>
      </c>
      <c r="N121" s="40" t="s">
        <v>7</v>
      </c>
      <c r="O121" s="19" t="s">
        <v>7</v>
      </c>
      <c r="P121" s="40" t="s">
        <v>7</v>
      </c>
      <c r="Q121" s="19" t="s">
        <v>7</v>
      </c>
      <c r="R121" s="31" t="s">
        <v>7</v>
      </c>
      <c r="S121" s="19" t="s">
        <v>7</v>
      </c>
      <c r="T121" s="31" t="s">
        <v>76</v>
      </c>
      <c r="U121" s="32">
        <v>466</v>
      </c>
      <c r="V121" s="31" t="s">
        <v>77</v>
      </c>
      <c r="W121" s="32">
        <v>193</v>
      </c>
      <c r="X121" s="31" t="s">
        <v>181</v>
      </c>
      <c r="Y121" s="32" t="s">
        <v>147</v>
      </c>
      <c r="Z121" s="31" t="s">
        <v>182</v>
      </c>
      <c r="AA121" s="32" t="s">
        <v>264</v>
      </c>
      <c r="AB121" s="31" t="s">
        <v>184</v>
      </c>
      <c r="AC121" s="32" t="s">
        <v>199</v>
      </c>
      <c r="AD121" s="31" t="s">
        <v>1036</v>
      </c>
      <c r="AE121" s="32">
        <v>97</v>
      </c>
      <c r="AF121" s="31" t="s">
        <v>14</v>
      </c>
      <c r="AG121" s="19" t="s">
        <v>542</v>
      </c>
      <c r="AH121" s="31" t="s">
        <v>1037</v>
      </c>
      <c r="AI121" s="32" t="s">
        <v>183</v>
      </c>
      <c r="AJ121" s="38" t="s">
        <v>547</v>
      </c>
      <c r="AK121" s="19" t="s">
        <v>1048</v>
      </c>
      <c r="AL121" s="38" t="s">
        <v>548</v>
      </c>
      <c r="AM121" s="19" t="s">
        <v>1052</v>
      </c>
      <c r="AN121" s="38" t="s">
        <v>1038</v>
      </c>
      <c r="AO121" s="19" t="s">
        <v>1039</v>
      </c>
      <c r="AP121" s="31" t="s">
        <v>7</v>
      </c>
      <c r="AQ121" s="19" t="s">
        <v>7</v>
      </c>
      <c r="AR121" s="33" t="s">
        <v>7</v>
      </c>
      <c r="AS121" s="34" t="s">
        <v>7</v>
      </c>
      <c r="AT121" s="33" t="s">
        <v>7</v>
      </c>
      <c r="AU121" s="34" t="s">
        <v>7</v>
      </c>
      <c r="AV121" s="33" t="s">
        <v>7</v>
      </c>
      <c r="AW121" s="34" t="s">
        <v>7</v>
      </c>
      <c r="AX121" s="33" t="s">
        <v>7</v>
      </c>
      <c r="AY121" s="34" t="s">
        <v>7</v>
      </c>
      <c r="AZ121" s="33" t="s">
        <v>7</v>
      </c>
      <c r="BA121" s="34" t="s">
        <v>7</v>
      </c>
    </row>
    <row r="122" spans="1:53" ht="8.25" customHeight="1" x14ac:dyDescent="0.25">
      <c r="A122" s="16">
        <v>121</v>
      </c>
      <c r="B122" s="17" t="s">
        <v>482</v>
      </c>
      <c r="C122" s="18" t="s">
        <v>609</v>
      </c>
      <c r="D122" s="33" t="s">
        <v>7</v>
      </c>
      <c r="E122" s="34" t="s">
        <v>7</v>
      </c>
      <c r="F122" s="29" t="s">
        <v>553</v>
      </c>
      <c r="G122" s="30" t="s">
        <v>544</v>
      </c>
      <c r="H122" s="33" t="s">
        <v>7</v>
      </c>
      <c r="I122" s="34" t="s">
        <v>7</v>
      </c>
      <c r="J122" s="40" t="s">
        <v>74</v>
      </c>
      <c r="K122" s="66" t="s">
        <v>355</v>
      </c>
      <c r="L122" s="40" t="s">
        <v>7</v>
      </c>
      <c r="M122" s="39" t="s">
        <v>7</v>
      </c>
      <c r="N122" s="40" t="s">
        <v>7</v>
      </c>
      <c r="O122" s="19" t="s">
        <v>7</v>
      </c>
      <c r="P122" s="40" t="s">
        <v>7</v>
      </c>
      <c r="Q122" s="19" t="s">
        <v>7</v>
      </c>
      <c r="R122" s="31" t="s">
        <v>7</v>
      </c>
      <c r="S122" s="19" t="s">
        <v>7</v>
      </c>
      <c r="T122" s="31" t="s">
        <v>76</v>
      </c>
      <c r="U122" s="32">
        <v>537</v>
      </c>
      <c r="V122" s="31" t="s">
        <v>77</v>
      </c>
      <c r="W122" s="32">
        <v>210</v>
      </c>
      <c r="X122" s="31" t="s">
        <v>181</v>
      </c>
      <c r="Y122" s="32" t="s">
        <v>136</v>
      </c>
      <c r="Z122" s="31" t="s">
        <v>182</v>
      </c>
      <c r="AA122" s="32" t="s">
        <v>109</v>
      </c>
      <c r="AB122" s="31" t="s">
        <v>184</v>
      </c>
      <c r="AC122" s="32" t="s">
        <v>224</v>
      </c>
      <c r="AD122" s="31" t="s">
        <v>1036</v>
      </c>
      <c r="AE122" s="32">
        <v>101</v>
      </c>
      <c r="AF122" s="31" t="s">
        <v>14</v>
      </c>
      <c r="AG122" s="19" t="s">
        <v>542</v>
      </c>
      <c r="AH122" s="31" t="s">
        <v>1037</v>
      </c>
      <c r="AI122" s="32" t="s">
        <v>183</v>
      </c>
      <c r="AJ122" s="38" t="s">
        <v>547</v>
      </c>
      <c r="AK122" s="19" t="s">
        <v>1048</v>
      </c>
      <c r="AL122" s="38" t="s">
        <v>548</v>
      </c>
      <c r="AM122" s="19" t="s">
        <v>1052</v>
      </c>
      <c r="AN122" s="38" t="s">
        <v>1038</v>
      </c>
      <c r="AO122" s="19" t="s">
        <v>1039</v>
      </c>
      <c r="AP122" s="31" t="s">
        <v>7</v>
      </c>
      <c r="AQ122" s="19" t="s">
        <v>7</v>
      </c>
      <c r="AR122" s="33" t="s">
        <v>7</v>
      </c>
      <c r="AS122" s="34" t="s">
        <v>7</v>
      </c>
      <c r="AT122" s="33" t="s">
        <v>7</v>
      </c>
      <c r="AU122" s="34" t="s">
        <v>7</v>
      </c>
      <c r="AV122" s="33" t="s">
        <v>7</v>
      </c>
      <c r="AW122" s="34" t="s">
        <v>7</v>
      </c>
      <c r="AX122" s="33" t="s">
        <v>7</v>
      </c>
      <c r="AY122" s="34" t="s">
        <v>7</v>
      </c>
      <c r="AZ122" s="33" t="s">
        <v>7</v>
      </c>
      <c r="BA122" s="34" t="s">
        <v>7</v>
      </c>
    </row>
    <row r="123" spans="1:53" ht="8.25" customHeight="1" x14ac:dyDescent="0.25">
      <c r="A123" s="16">
        <v>122</v>
      </c>
      <c r="B123" s="17" t="s">
        <v>483</v>
      </c>
      <c r="C123" s="18" t="s">
        <v>609</v>
      </c>
      <c r="D123" s="33" t="s">
        <v>7</v>
      </c>
      <c r="E123" s="34" t="s">
        <v>7</v>
      </c>
      <c r="F123" s="29" t="s">
        <v>553</v>
      </c>
      <c r="G123" s="30" t="s">
        <v>544</v>
      </c>
      <c r="H123" s="33" t="s">
        <v>7</v>
      </c>
      <c r="I123" s="34" t="s">
        <v>7</v>
      </c>
      <c r="J123" s="40" t="s">
        <v>74</v>
      </c>
      <c r="K123" s="66" t="s">
        <v>356</v>
      </c>
      <c r="L123" s="40" t="s">
        <v>7</v>
      </c>
      <c r="M123" s="39" t="s">
        <v>7</v>
      </c>
      <c r="N123" s="40" t="s">
        <v>7</v>
      </c>
      <c r="O123" s="19" t="s">
        <v>7</v>
      </c>
      <c r="P123" s="40" t="s">
        <v>7</v>
      </c>
      <c r="Q123" s="19" t="s">
        <v>7</v>
      </c>
      <c r="R123" s="31" t="s">
        <v>7</v>
      </c>
      <c r="S123" s="19" t="s">
        <v>7</v>
      </c>
      <c r="T123" s="31" t="s">
        <v>76</v>
      </c>
      <c r="U123" s="32">
        <v>539</v>
      </c>
      <c r="V123" s="31" t="s">
        <v>77</v>
      </c>
      <c r="W123" s="32">
        <v>211</v>
      </c>
      <c r="X123" s="31" t="s">
        <v>181</v>
      </c>
      <c r="Y123" s="32" t="s">
        <v>88</v>
      </c>
      <c r="Z123" s="31" t="s">
        <v>182</v>
      </c>
      <c r="AA123" s="32" t="s">
        <v>265</v>
      </c>
      <c r="AB123" s="31" t="s">
        <v>184</v>
      </c>
      <c r="AC123" s="32" t="s">
        <v>209</v>
      </c>
      <c r="AD123" s="31" t="s">
        <v>1036</v>
      </c>
      <c r="AE123" s="32">
        <v>109</v>
      </c>
      <c r="AF123" s="31" t="s">
        <v>14</v>
      </c>
      <c r="AG123" s="19" t="s">
        <v>542</v>
      </c>
      <c r="AH123" s="31" t="s">
        <v>1037</v>
      </c>
      <c r="AI123" s="32" t="s">
        <v>183</v>
      </c>
      <c r="AJ123" s="38" t="s">
        <v>547</v>
      </c>
      <c r="AK123" s="19" t="s">
        <v>1048</v>
      </c>
      <c r="AL123" s="38" t="s">
        <v>548</v>
      </c>
      <c r="AM123" s="19" t="s">
        <v>1052</v>
      </c>
      <c r="AN123" s="38" t="s">
        <v>1038</v>
      </c>
      <c r="AO123" s="19" t="s">
        <v>1039</v>
      </c>
      <c r="AP123" s="31" t="s">
        <v>7</v>
      </c>
      <c r="AQ123" s="19" t="s">
        <v>7</v>
      </c>
      <c r="AR123" s="33" t="s">
        <v>7</v>
      </c>
      <c r="AS123" s="34" t="s">
        <v>7</v>
      </c>
      <c r="AT123" s="33" t="s">
        <v>7</v>
      </c>
      <c r="AU123" s="34" t="s">
        <v>7</v>
      </c>
      <c r="AV123" s="33" t="s">
        <v>7</v>
      </c>
      <c r="AW123" s="34" t="s">
        <v>7</v>
      </c>
      <c r="AX123" s="33" t="s">
        <v>7</v>
      </c>
      <c r="AY123" s="34" t="s">
        <v>7</v>
      </c>
      <c r="AZ123" s="33" t="s">
        <v>7</v>
      </c>
      <c r="BA123" s="34" t="s">
        <v>7</v>
      </c>
    </row>
    <row r="124" spans="1:53" ht="8.25" customHeight="1" x14ac:dyDescent="0.25">
      <c r="A124" s="16">
        <v>123</v>
      </c>
      <c r="B124" s="17" t="s">
        <v>484</v>
      </c>
      <c r="C124" s="18" t="s">
        <v>609</v>
      </c>
      <c r="D124" s="33" t="s">
        <v>7</v>
      </c>
      <c r="E124" s="34" t="s">
        <v>7</v>
      </c>
      <c r="F124" s="29" t="s">
        <v>553</v>
      </c>
      <c r="G124" s="30" t="s">
        <v>544</v>
      </c>
      <c r="H124" s="33" t="s">
        <v>7</v>
      </c>
      <c r="I124" s="34" t="s">
        <v>7</v>
      </c>
      <c r="J124" s="40" t="s">
        <v>74</v>
      </c>
      <c r="K124" s="66" t="s">
        <v>357</v>
      </c>
      <c r="L124" s="40" t="s">
        <v>7</v>
      </c>
      <c r="M124" s="39" t="s">
        <v>7</v>
      </c>
      <c r="N124" s="40" t="s">
        <v>7</v>
      </c>
      <c r="O124" s="19" t="s">
        <v>7</v>
      </c>
      <c r="P124" s="40" t="s">
        <v>7</v>
      </c>
      <c r="Q124" s="19" t="s">
        <v>7</v>
      </c>
      <c r="R124" s="31" t="s">
        <v>7</v>
      </c>
      <c r="S124" s="19" t="s">
        <v>7</v>
      </c>
      <c r="T124" s="31" t="s">
        <v>76</v>
      </c>
      <c r="U124" s="32">
        <v>544</v>
      </c>
      <c r="V124" s="31" t="s">
        <v>77</v>
      </c>
      <c r="W124" s="32">
        <v>212</v>
      </c>
      <c r="X124" s="31" t="s">
        <v>181</v>
      </c>
      <c r="Y124" s="32" t="s">
        <v>131</v>
      </c>
      <c r="Z124" s="31" t="s">
        <v>182</v>
      </c>
      <c r="AA124" s="32" t="s">
        <v>266</v>
      </c>
      <c r="AB124" s="31" t="s">
        <v>184</v>
      </c>
      <c r="AC124" s="32" t="s">
        <v>224</v>
      </c>
      <c r="AD124" s="31" t="s">
        <v>1036</v>
      </c>
      <c r="AE124" s="32">
        <v>123</v>
      </c>
      <c r="AF124" s="31" t="s">
        <v>14</v>
      </c>
      <c r="AG124" s="19" t="s">
        <v>542</v>
      </c>
      <c r="AH124" s="31" t="s">
        <v>1037</v>
      </c>
      <c r="AI124" s="32" t="s">
        <v>183</v>
      </c>
      <c r="AJ124" s="38" t="s">
        <v>547</v>
      </c>
      <c r="AK124" s="19" t="s">
        <v>1048</v>
      </c>
      <c r="AL124" s="38" t="s">
        <v>548</v>
      </c>
      <c r="AM124" s="19" t="s">
        <v>1052</v>
      </c>
      <c r="AN124" s="38" t="s">
        <v>1038</v>
      </c>
      <c r="AO124" s="19" t="s">
        <v>1039</v>
      </c>
      <c r="AP124" s="31" t="s">
        <v>7</v>
      </c>
      <c r="AQ124" s="19" t="s">
        <v>7</v>
      </c>
      <c r="AR124" s="33" t="s">
        <v>7</v>
      </c>
      <c r="AS124" s="34" t="s">
        <v>7</v>
      </c>
      <c r="AT124" s="33" t="s">
        <v>7</v>
      </c>
      <c r="AU124" s="34" t="s">
        <v>7</v>
      </c>
      <c r="AV124" s="33" t="s">
        <v>7</v>
      </c>
      <c r="AW124" s="34" t="s">
        <v>7</v>
      </c>
      <c r="AX124" s="33" t="s">
        <v>7</v>
      </c>
      <c r="AY124" s="34" t="s">
        <v>7</v>
      </c>
      <c r="AZ124" s="33" t="s">
        <v>7</v>
      </c>
      <c r="BA124" s="34" t="s">
        <v>7</v>
      </c>
    </row>
    <row r="125" spans="1:53" ht="8.25" customHeight="1" x14ac:dyDescent="0.25">
      <c r="A125" s="16">
        <v>124</v>
      </c>
      <c r="B125" s="17" t="s">
        <v>485</v>
      </c>
      <c r="C125" s="18" t="s">
        <v>609</v>
      </c>
      <c r="D125" s="33" t="s">
        <v>7</v>
      </c>
      <c r="E125" s="34" t="s">
        <v>7</v>
      </c>
      <c r="F125" s="29" t="s">
        <v>553</v>
      </c>
      <c r="G125" s="30" t="s">
        <v>544</v>
      </c>
      <c r="H125" s="33" t="s">
        <v>7</v>
      </c>
      <c r="I125" s="34" t="s">
        <v>7</v>
      </c>
      <c r="J125" s="40" t="s">
        <v>74</v>
      </c>
      <c r="K125" s="66" t="s">
        <v>358</v>
      </c>
      <c r="L125" s="40" t="s">
        <v>7</v>
      </c>
      <c r="M125" s="39" t="s">
        <v>7</v>
      </c>
      <c r="N125" s="40" t="s">
        <v>7</v>
      </c>
      <c r="O125" s="19" t="s">
        <v>7</v>
      </c>
      <c r="P125" s="40" t="s">
        <v>7</v>
      </c>
      <c r="Q125" s="19" t="s">
        <v>7</v>
      </c>
      <c r="R125" s="31" t="s">
        <v>7</v>
      </c>
      <c r="S125" s="19" t="s">
        <v>7</v>
      </c>
      <c r="T125" s="31" t="s">
        <v>76</v>
      </c>
      <c r="U125" s="32">
        <v>549</v>
      </c>
      <c r="V125" s="31" t="s">
        <v>77</v>
      </c>
      <c r="W125" s="32">
        <v>214</v>
      </c>
      <c r="X125" s="31" t="s">
        <v>181</v>
      </c>
      <c r="Y125" s="32" t="s">
        <v>267</v>
      </c>
      <c r="Z125" s="31" t="s">
        <v>182</v>
      </c>
      <c r="AA125" s="32" t="s">
        <v>268</v>
      </c>
      <c r="AB125" s="31" t="s">
        <v>184</v>
      </c>
      <c r="AC125" s="32" t="s">
        <v>209</v>
      </c>
      <c r="AD125" s="31" t="s">
        <v>1036</v>
      </c>
      <c r="AE125" s="32">
        <v>138</v>
      </c>
      <c r="AF125" s="31" t="s">
        <v>14</v>
      </c>
      <c r="AG125" s="19" t="s">
        <v>542</v>
      </c>
      <c r="AH125" s="31" t="s">
        <v>1037</v>
      </c>
      <c r="AI125" s="32" t="s">
        <v>183</v>
      </c>
      <c r="AJ125" s="38" t="s">
        <v>547</v>
      </c>
      <c r="AK125" s="19" t="s">
        <v>1048</v>
      </c>
      <c r="AL125" s="38" t="s">
        <v>548</v>
      </c>
      <c r="AM125" s="19" t="s">
        <v>1052</v>
      </c>
      <c r="AN125" s="38" t="s">
        <v>1038</v>
      </c>
      <c r="AO125" s="19" t="s">
        <v>1039</v>
      </c>
      <c r="AP125" s="31" t="s">
        <v>7</v>
      </c>
      <c r="AQ125" s="19" t="s">
        <v>7</v>
      </c>
      <c r="AR125" s="33" t="s">
        <v>7</v>
      </c>
      <c r="AS125" s="34" t="s">
        <v>7</v>
      </c>
      <c r="AT125" s="33" t="s">
        <v>7</v>
      </c>
      <c r="AU125" s="34" t="s">
        <v>7</v>
      </c>
      <c r="AV125" s="33" t="s">
        <v>7</v>
      </c>
      <c r="AW125" s="34" t="s">
        <v>7</v>
      </c>
      <c r="AX125" s="33" t="s">
        <v>7</v>
      </c>
      <c r="AY125" s="34" t="s">
        <v>7</v>
      </c>
      <c r="AZ125" s="33" t="s">
        <v>7</v>
      </c>
      <c r="BA125" s="34" t="s">
        <v>7</v>
      </c>
    </row>
    <row r="126" spans="1:53" ht="8.25" customHeight="1" x14ac:dyDescent="0.25">
      <c r="A126" s="16">
        <v>125</v>
      </c>
      <c r="B126" s="17" t="s">
        <v>486</v>
      </c>
      <c r="C126" s="18" t="s">
        <v>609</v>
      </c>
      <c r="D126" s="33" t="s">
        <v>7</v>
      </c>
      <c r="E126" s="34" t="s">
        <v>7</v>
      </c>
      <c r="F126" s="29" t="s">
        <v>553</v>
      </c>
      <c r="G126" s="30" t="s">
        <v>544</v>
      </c>
      <c r="H126" s="33" t="s">
        <v>7</v>
      </c>
      <c r="I126" s="34" t="s">
        <v>7</v>
      </c>
      <c r="J126" s="40" t="s">
        <v>74</v>
      </c>
      <c r="K126" s="66" t="s">
        <v>359</v>
      </c>
      <c r="L126" s="40" t="s">
        <v>7</v>
      </c>
      <c r="M126" s="39" t="s">
        <v>7</v>
      </c>
      <c r="N126" s="40" t="s">
        <v>7</v>
      </c>
      <c r="O126" s="19" t="s">
        <v>7</v>
      </c>
      <c r="P126" s="40" t="s">
        <v>7</v>
      </c>
      <c r="Q126" s="19" t="s">
        <v>7</v>
      </c>
      <c r="R126" s="31" t="s">
        <v>7</v>
      </c>
      <c r="S126" s="19" t="s">
        <v>7</v>
      </c>
      <c r="T126" s="31" t="s">
        <v>76</v>
      </c>
      <c r="U126" s="32">
        <v>525</v>
      </c>
      <c r="V126" s="31" t="s">
        <v>77</v>
      </c>
      <c r="W126" s="32">
        <v>165</v>
      </c>
      <c r="X126" s="31" t="s">
        <v>181</v>
      </c>
      <c r="Y126" s="32" t="s">
        <v>237</v>
      </c>
      <c r="Z126" s="31" t="s">
        <v>182</v>
      </c>
      <c r="AA126" s="32" t="s">
        <v>147</v>
      </c>
      <c r="AB126" s="31" t="s">
        <v>184</v>
      </c>
      <c r="AC126" s="32" t="s">
        <v>209</v>
      </c>
      <c r="AD126" s="31" t="s">
        <v>1036</v>
      </c>
      <c r="AE126" s="32">
        <v>66</v>
      </c>
      <c r="AF126" s="31" t="s">
        <v>14</v>
      </c>
      <c r="AG126" s="19" t="s">
        <v>542</v>
      </c>
      <c r="AH126" s="31" t="s">
        <v>1037</v>
      </c>
      <c r="AI126" s="32" t="s">
        <v>183</v>
      </c>
      <c r="AJ126" s="38" t="s">
        <v>547</v>
      </c>
      <c r="AK126" s="19" t="s">
        <v>1048</v>
      </c>
      <c r="AL126" s="38" t="s">
        <v>548</v>
      </c>
      <c r="AM126" s="19" t="s">
        <v>1052</v>
      </c>
      <c r="AN126" s="38" t="s">
        <v>1038</v>
      </c>
      <c r="AO126" s="19" t="s">
        <v>1039</v>
      </c>
      <c r="AP126" s="31" t="s">
        <v>7</v>
      </c>
      <c r="AQ126" s="19" t="s">
        <v>7</v>
      </c>
      <c r="AR126" s="33" t="s">
        <v>7</v>
      </c>
      <c r="AS126" s="34" t="s">
        <v>7</v>
      </c>
      <c r="AT126" s="33" t="s">
        <v>7</v>
      </c>
      <c r="AU126" s="34" t="s">
        <v>7</v>
      </c>
      <c r="AV126" s="33" t="s">
        <v>7</v>
      </c>
      <c r="AW126" s="34" t="s">
        <v>7</v>
      </c>
      <c r="AX126" s="33" t="s">
        <v>7</v>
      </c>
      <c r="AY126" s="34" t="s">
        <v>7</v>
      </c>
      <c r="AZ126" s="33" t="s">
        <v>7</v>
      </c>
      <c r="BA126" s="34" t="s">
        <v>7</v>
      </c>
    </row>
    <row r="127" spans="1:53" ht="8.25" customHeight="1" x14ac:dyDescent="0.25">
      <c r="A127" s="16">
        <v>126</v>
      </c>
      <c r="B127" s="17" t="s">
        <v>487</v>
      </c>
      <c r="C127" s="18" t="s">
        <v>609</v>
      </c>
      <c r="D127" s="33" t="s">
        <v>7</v>
      </c>
      <c r="E127" s="34" t="s">
        <v>7</v>
      </c>
      <c r="F127" s="29" t="s">
        <v>553</v>
      </c>
      <c r="G127" s="30" t="s">
        <v>544</v>
      </c>
      <c r="H127" s="33" t="s">
        <v>7</v>
      </c>
      <c r="I127" s="34" t="s">
        <v>7</v>
      </c>
      <c r="J127" s="40" t="s">
        <v>74</v>
      </c>
      <c r="K127" s="66" t="s">
        <v>360</v>
      </c>
      <c r="L127" s="40" t="s">
        <v>7</v>
      </c>
      <c r="M127" s="39" t="s">
        <v>7</v>
      </c>
      <c r="N127" s="40" t="s">
        <v>7</v>
      </c>
      <c r="O127" s="19" t="s">
        <v>7</v>
      </c>
      <c r="P127" s="40" t="s">
        <v>7</v>
      </c>
      <c r="Q127" s="19" t="s">
        <v>7</v>
      </c>
      <c r="R127" s="31" t="s">
        <v>7</v>
      </c>
      <c r="S127" s="19" t="s">
        <v>7</v>
      </c>
      <c r="T127" s="31" t="s">
        <v>76</v>
      </c>
      <c r="U127" s="32">
        <v>524</v>
      </c>
      <c r="V127" s="31" t="s">
        <v>77</v>
      </c>
      <c r="W127" s="32">
        <v>207</v>
      </c>
      <c r="X127" s="31" t="s">
        <v>181</v>
      </c>
      <c r="Y127" s="32" t="s">
        <v>237</v>
      </c>
      <c r="Z127" s="31" t="s">
        <v>182</v>
      </c>
      <c r="AA127" s="32" t="s">
        <v>136</v>
      </c>
      <c r="AB127" s="31" t="s">
        <v>184</v>
      </c>
      <c r="AC127" s="32" t="s">
        <v>209</v>
      </c>
      <c r="AD127" s="31" t="s">
        <v>1036</v>
      </c>
      <c r="AE127" s="32">
        <v>72</v>
      </c>
      <c r="AF127" s="31" t="s">
        <v>14</v>
      </c>
      <c r="AG127" s="19" t="s">
        <v>542</v>
      </c>
      <c r="AH127" s="31" t="s">
        <v>1037</v>
      </c>
      <c r="AI127" s="32" t="s">
        <v>183</v>
      </c>
      <c r="AJ127" s="38" t="s">
        <v>547</v>
      </c>
      <c r="AK127" s="19" t="s">
        <v>1048</v>
      </c>
      <c r="AL127" s="38" t="s">
        <v>548</v>
      </c>
      <c r="AM127" s="19" t="s">
        <v>1052</v>
      </c>
      <c r="AN127" s="38" t="s">
        <v>1038</v>
      </c>
      <c r="AO127" s="19" t="s">
        <v>1039</v>
      </c>
      <c r="AP127" s="31" t="s">
        <v>7</v>
      </c>
      <c r="AQ127" s="19" t="s">
        <v>7</v>
      </c>
      <c r="AR127" s="33" t="s">
        <v>7</v>
      </c>
      <c r="AS127" s="34" t="s">
        <v>7</v>
      </c>
      <c r="AT127" s="33" t="s">
        <v>7</v>
      </c>
      <c r="AU127" s="34" t="s">
        <v>7</v>
      </c>
      <c r="AV127" s="33" t="s">
        <v>7</v>
      </c>
      <c r="AW127" s="34" t="s">
        <v>7</v>
      </c>
      <c r="AX127" s="33" t="s">
        <v>7</v>
      </c>
      <c r="AY127" s="34" t="s">
        <v>7</v>
      </c>
      <c r="AZ127" s="33" t="s">
        <v>7</v>
      </c>
      <c r="BA127" s="34" t="s">
        <v>7</v>
      </c>
    </row>
    <row r="128" spans="1:53" ht="8.25" customHeight="1" x14ac:dyDescent="0.25">
      <c r="A128" s="16">
        <v>127</v>
      </c>
      <c r="B128" s="17" t="s">
        <v>488</v>
      </c>
      <c r="C128" s="18" t="s">
        <v>609</v>
      </c>
      <c r="D128" s="33" t="s">
        <v>7</v>
      </c>
      <c r="E128" s="34" t="s">
        <v>7</v>
      </c>
      <c r="F128" s="29" t="s">
        <v>553</v>
      </c>
      <c r="G128" s="30" t="s">
        <v>544</v>
      </c>
      <c r="H128" s="33" t="s">
        <v>7</v>
      </c>
      <c r="I128" s="34" t="s">
        <v>7</v>
      </c>
      <c r="J128" s="40" t="s">
        <v>74</v>
      </c>
      <c r="K128" s="66" t="s">
        <v>361</v>
      </c>
      <c r="L128" s="40" t="s">
        <v>7</v>
      </c>
      <c r="M128" s="39" t="s">
        <v>7</v>
      </c>
      <c r="N128" s="40" t="s">
        <v>7</v>
      </c>
      <c r="O128" s="19" t="s">
        <v>7</v>
      </c>
      <c r="P128" s="40" t="s">
        <v>7</v>
      </c>
      <c r="Q128" s="19" t="s">
        <v>7</v>
      </c>
      <c r="R128" s="31" t="s">
        <v>7</v>
      </c>
      <c r="S128" s="19" t="s">
        <v>7</v>
      </c>
      <c r="T128" s="31" t="s">
        <v>76</v>
      </c>
      <c r="U128" s="32">
        <v>529</v>
      </c>
      <c r="V128" s="31" t="s">
        <v>77</v>
      </c>
      <c r="W128" s="32">
        <v>166</v>
      </c>
      <c r="X128" s="31" t="s">
        <v>181</v>
      </c>
      <c r="Y128" s="32" t="s">
        <v>240</v>
      </c>
      <c r="Z128" s="31" t="s">
        <v>182</v>
      </c>
      <c r="AA128" s="32" t="s">
        <v>269</v>
      </c>
      <c r="AB128" s="31" t="s">
        <v>184</v>
      </c>
      <c r="AC128" s="32" t="s">
        <v>224</v>
      </c>
      <c r="AD128" s="31" t="s">
        <v>1036</v>
      </c>
      <c r="AE128" s="32">
        <v>74</v>
      </c>
      <c r="AF128" s="31" t="s">
        <v>14</v>
      </c>
      <c r="AG128" s="19" t="s">
        <v>542</v>
      </c>
      <c r="AH128" s="31" t="s">
        <v>1037</v>
      </c>
      <c r="AI128" s="32" t="s">
        <v>183</v>
      </c>
      <c r="AJ128" s="38" t="s">
        <v>547</v>
      </c>
      <c r="AK128" s="19" t="s">
        <v>1048</v>
      </c>
      <c r="AL128" s="38" t="s">
        <v>548</v>
      </c>
      <c r="AM128" s="19" t="s">
        <v>1052</v>
      </c>
      <c r="AN128" s="38" t="s">
        <v>1038</v>
      </c>
      <c r="AO128" s="19" t="s">
        <v>1039</v>
      </c>
      <c r="AP128" s="31" t="s">
        <v>7</v>
      </c>
      <c r="AQ128" s="19" t="s">
        <v>7</v>
      </c>
      <c r="AR128" s="33" t="s">
        <v>7</v>
      </c>
      <c r="AS128" s="34" t="s">
        <v>7</v>
      </c>
      <c r="AT128" s="33" t="s">
        <v>7</v>
      </c>
      <c r="AU128" s="34" t="s">
        <v>7</v>
      </c>
      <c r="AV128" s="33" t="s">
        <v>7</v>
      </c>
      <c r="AW128" s="34" t="s">
        <v>7</v>
      </c>
      <c r="AX128" s="33" t="s">
        <v>7</v>
      </c>
      <c r="AY128" s="34" t="s">
        <v>7</v>
      </c>
      <c r="AZ128" s="33" t="s">
        <v>7</v>
      </c>
      <c r="BA128" s="34" t="s">
        <v>7</v>
      </c>
    </row>
    <row r="129" spans="1:53" ht="8.25" customHeight="1" x14ac:dyDescent="0.25">
      <c r="A129" s="16">
        <v>128</v>
      </c>
      <c r="B129" s="17" t="s">
        <v>489</v>
      </c>
      <c r="C129" s="18" t="s">
        <v>609</v>
      </c>
      <c r="D129" s="33" t="s">
        <v>7</v>
      </c>
      <c r="E129" s="34" t="s">
        <v>7</v>
      </c>
      <c r="F129" s="29" t="s">
        <v>553</v>
      </c>
      <c r="G129" s="30" t="s">
        <v>544</v>
      </c>
      <c r="H129" s="33" t="s">
        <v>7</v>
      </c>
      <c r="I129" s="34" t="s">
        <v>7</v>
      </c>
      <c r="J129" s="40" t="s">
        <v>74</v>
      </c>
      <c r="K129" s="66" t="s">
        <v>362</v>
      </c>
      <c r="L129" s="40" t="s">
        <v>7</v>
      </c>
      <c r="M129" s="39" t="s">
        <v>7</v>
      </c>
      <c r="N129" s="40" t="s">
        <v>7</v>
      </c>
      <c r="O129" s="19" t="s">
        <v>7</v>
      </c>
      <c r="P129" s="40" t="s">
        <v>7</v>
      </c>
      <c r="Q129" s="19" t="s">
        <v>7</v>
      </c>
      <c r="R129" s="31" t="s">
        <v>7</v>
      </c>
      <c r="S129" s="19" t="s">
        <v>7</v>
      </c>
      <c r="T129" s="31" t="s">
        <v>76</v>
      </c>
      <c r="U129" s="32">
        <v>528</v>
      </c>
      <c r="V129" s="31" t="s">
        <v>77</v>
      </c>
      <c r="W129" s="32">
        <v>209</v>
      </c>
      <c r="X129" s="31" t="s">
        <v>181</v>
      </c>
      <c r="Y129" s="32" t="s">
        <v>255</v>
      </c>
      <c r="Z129" s="31" t="s">
        <v>182</v>
      </c>
      <c r="AA129" s="32" t="s">
        <v>261</v>
      </c>
      <c r="AB129" s="31" t="s">
        <v>184</v>
      </c>
      <c r="AC129" s="32" t="s">
        <v>102</v>
      </c>
      <c r="AD129" s="31" t="s">
        <v>1036</v>
      </c>
      <c r="AE129" s="32">
        <v>82</v>
      </c>
      <c r="AF129" s="31" t="s">
        <v>14</v>
      </c>
      <c r="AG129" s="19" t="s">
        <v>542</v>
      </c>
      <c r="AH129" s="31" t="s">
        <v>1037</v>
      </c>
      <c r="AI129" s="32" t="s">
        <v>183</v>
      </c>
      <c r="AJ129" s="38" t="s">
        <v>547</v>
      </c>
      <c r="AK129" s="19" t="s">
        <v>1048</v>
      </c>
      <c r="AL129" s="38" t="s">
        <v>548</v>
      </c>
      <c r="AM129" s="19" t="s">
        <v>1052</v>
      </c>
      <c r="AN129" s="38" t="s">
        <v>1038</v>
      </c>
      <c r="AO129" s="19" t="s">
        <v>1039</v>
      </c>
      <c r="AP129" s="31" t="s">
        <v>7</v>
      </c>
      <c r="AQ129" s="19" t="s">
        <v>7</v>
      </c>
      <c r="AR129" s="33" t="s">
        <v>7</v>
      </c>
      <c r="AS129" s="34" t="s">
        <v>7</v>
      </c>
      <c r="AT129" s="33" t="s">
        <v>7</v>
      </c>
      <c r="AU129" s="34" t="s">
        <v>7</v>
      </c>
      <c r="AV129" s="33" t="s">
        <v>7</v>
      </c>
      <c r="AW129" s="34" t="s">
        <v>7</v>
      </c>
      <c r="AX129" s="33" t="s">
        <v>7</v>
      </c>
      <c r="AY129" s="34" t="s">
        <v>7</v>
      </c>
      <c r="AZ129" s="33" t="s">
        <v>7</v>
      </c>
      <c r="BA129" s="34" t="s">
        <v>7</v>
      </c>
    </row>
    <row r="130" spans="1:53" ht="8.25" customHeight="1" x14ac:dyDescent="0.25">
      <c r="A130" s="16">
        <v>129</v>
      </c>
      <c r="B130" s="17" t="s">
        <v>490</v>
      </c>
      <c r="C130" s="18" t="s">
        <v>609</v>
      </c>
      <c r="D130" s="33" t="s">
        <v>7</v>
      </c>
      <c r="E130" s="34" t="s">
        <v>7</v>
      </c>
      <c r="F130" s="29" t="s">
        <v>553</v>
      </c>
      <c r="G130" s="30" t="s">
        <v>544</v>
      </c>
      <c r="H130" s="33" t="s">
        <v>7</v>
      </c>
      <c r="I130" s="34" t="s">
        <v>7</v>
      </c>
      <c r="J130" s="40" t="s">
        <v>74</v>
      </c>
      <c r="K130" s="66" t="s">
        <v>363</v>
      </c>
      <c r="L130" s="40" t="s">
        <v>7</v>
      </c>
      <c r="M130" s="39" t="s">
        <v>7</v>
      </c>
      <c r="N130" s="40" t="s">
        <v>7</v>
      </c>
      <c r="O130" s="19" t="s">
        <v>7</v>
      </c>
      <c r="P130" s="40" t="s">
        <v>7</v>
      </c>
      <c r="Q130" s="19" t="s">
        <v>7</v>
      </c>
      <c r="R130" s="31" t="s">
        <v>7</v>
      </c>
      <c r="S130" s="19" t="s">
        <v>7</v>
      </c>
      <c r="T130" s="31" t="s">
        <v>76</v>
      </c>
      <c r="U130" s="32">
        <v>535</v>
      </c>
      <c r="V130" s="31" t="s">
        <v>77</v>
      </c>
      <c r="W130" s="32">
        <v>166</v>
      </c>
      <c r="X130" s="31" t="s">
        <v>181</v>
      </c>
      <c r="Y130" s="32" t="s">
        <v>192</v>
      </c>
      <c r="Z130" s="31" t="s">
        <v>182</v>
      </c>
      <c r="AA130" s="32" t="s">
        <v>270</v>
      </c>
      <c r="AB130" s="31" t="s">
        <v>184</v>
      </c>
      <c r="AC130" s="32" t="s">
        <v>209</v>
      </c>
      <c r="AD130" s="31" t="s">
        <v>1036</v>
      </c>
      <c r="AE130" s="32">
        <v>85</v>
      </c>
      <c r="AF130" s="31" t="s">
        <v>14</v>
      </c>
      <c r="AG130" s="19" t="s">
        <v>542</v>
      </c>
      <c r="AH130" s="31" t="s">
        <v>1037</v>
      </c>
      <c r="AI130" s="32" t="s">
        <v>183</v>
      </c>
      <c r="AJ130" s="38" t="s">
        <v>547</v>
      </c>
      <c r="AK130" s="19" t="s">
        <v>1048</v>
      </c>
      <c r="AL130" s="38" t="s">
        <v>548</v>
      </c>
      <c r="AM130" s="19" t="s">
        <v>1052</v>
      </c>
      <c r="AN130" s="38" t="s">
        <v>1038</v>
      </c>
      <c r="AO130" s="19" t="s">
        <v>1039</v>
      </c>
      <c r="AP130" s="31" t="s">
        <v>7</v>
      </c>
      <c r="AQ130" s="19" t="s">
        <v>7</v>
      </c>
      <c r="AR130" s="33" t="s">
        <v>7</v>
      </c>
      <c r="AS130" s="34" t="s">
        <v>7</v>
      </c>
      <c r="AT130" s="33" t="s">
        <v>7</v>
      </c>
      <c r="AU130" s="34" t="s">
        <v>7</v>
      </c>
      <c r="AV130" s="33" t="s">
        <v>7</v>
      </c>
      <c r="AW130" s="34" t="s">
        <v>7</v>
      </c>
      <c r="AX130" s="33" t="s">
        <v>7</v>
      </c>
      <c r="AY130" s="34" t="s">
        <v>7</v>
      </c>
      <c r="AZ130" s="33" t="s">
        <v>7</v>
      </c>
      <c r="BA130" s="34" t="s">
        <v>7</v>
      </c>
    </row>
    <row r="131" spans="1:53" ht="8.25" customHeight="1" x14ac:dyDescent="0.25">
      <c r="A131" s="16">
        <v>130</v>
      </c>
      <c r="B131" s="17" t="s">
        <v>491</v>
      </c>
      <c r="C131" s="18" t="s">
        <v>609</v>
      </c>
      <c r="D131" s="33" t="s">
        <v>7</v>
      </c>
      <c r="E131" s="34" t="s">
        <v>7</v>
      </c>
      <c r="F131" s="29" t="s">
        <v>553</v>
      </c>
      <c r="G131" s="30" t="s">
        <v>544</v>
      </c>
      <c r="H131" s="33" t="s">
        <v>7</v>
      </c>
      <c r="I131" s="34" t="s">
        <v>7</v>
      </c>
      <c r="J131" s="40" t="s">
        <v>74</v>
      </c>
      <c r="K131" s="66" t="s">
        <v>364</v>
      </c>
      <c r="L131" s="40" t="s">
        <v>7</v>
      </c>
      <c r="M131" s="39" t="s">
        <v>7</v>
      </c>
      <c r="N131" s="40" t="s">
        <v>7</v>
      </c>
      <c r="O131" s="19" t="s">
        <v>7</v>
      </c>
      <c r="P131" s="40" t="s">
        <v>7</v>
      </c>
      <c r="Q131" s="19" t="s">
        <v>7</v>
      </c>
      <c r="R131" s="31" t="s">
        <v>7</v>
      </c>
      <c r="S131" s="19" t="s">
        <v>7</v>
      </c>
      <c r="T131" s="31" t="s">
        <v>76</v>
      </c>
      <c r="U131" s="32">
        <v>533</v>
      </c>
      <c r="V131" s="31" t="s">
        <v>77</v>
      </c>
      <c r="W131" s="32">
        <v>209</v>
      </c>
      <c r="X131" s="31" t="s">
        <v>181</v>
      </c>
      <c r="Y131" s="32" t="s">
        <v>92</v>
      </c>
      <c r="Z131" s="31" t="s">
        <v>182</v>
      </c>
      <c r="AA131" s="32" t="s">
        <v>119</v>
      </c>
      <c r="AB131" s="31" t="s">
        <v>184</v>
      </c>
      <c r="AC131" s="32" t="s">
        <v>224</v>
      </c>
      <c r="AD131" s="31" t="s">
        <v>1036</v>
      </c>
      <c r="AE131" s="32">
        <v>92</v>
      </c>
      <c r="AF131" s="31" t="s">
        <v>14</v>
      </c>
      <c r="AG131" s="19" t="s">
        <v>542</v>
      </c>
      <c r="AH131" s="31" t="s">
        <v>1037</v>
      </c>
      <c r="AI131" s="32" t="s">
        <v>183</v>
      </c>
      <c r="AJ131" s="38" t="s">
        <v>547</v>
      </c>
      <c r="AK131" s="19" t="s">
        <v>1048</v>
      </c>
      <c r="AL131" s="38" t="s">
        <v>548</v>
      </c>
      <c r="AM131" s="19" t="s">
        <v>1052</v>
      </c>
      <c r="AN131" s="38" t="s">
        <v>1038</v>
      </c>
      <c r="AO131" s="19" t="s">
        <v>1039</v>
      </c>
      <c r="AP131" s="31" t="s">
        <v>7</v>
      </c>
      <c r="AQ131" s="19" t="s">
        <v>7</v>
      </c>
      <c r="AR131" s="33" t="s">
        <v>7</v>
      </c>
      <c r="AS131" s="34" t="s">
        <v>7</v>
      </c>
      <c r="AT131" s="33" t="s">
        <v>7</v>
      </c>
      <c r="AU131" s="34" t="s">
        <v>7</v>
      </c>
      <c r="AV131" s="33" t="s">
        <v>7</v>
      </c>
      <c r="AW131" s="34" t="s">
        <v>7</v>
      </c>
      <c r="AX131" s="33" t="s">
        <v>7</v>
      </c>
      <c r="AY131" s="34" t="s">
        <v>7</v>
      </c>
      <c r="AZ131" s="33" t="s">
        <v>7</v>
      </c>
      <c r="BA131" s="34" t="s">
        <v>7</v>
      </c>
    </row>
    <row r="132" spans="1:53" ht="8.25" customHeight="1" x14ac:dyDescent="0.25">
      <c r="A132" s="16">
        <v>131</v>
      </c>
      <c r="B132" s="17" t="s">
        <v>492</v>
      </c>
      <c r="C132" s="18" t="s">
        <v>609</v>
      </c>
      <c r="D132" s="33" t="s">
        <v>7</v>
      </c>
      <c r="E132" s="34" t="s">
        <v>7</v>
      </c>
      <c r="F132" s="29" t="s">
        <v>553</v>
      </c>
      <c r="G132" s="30" t="s">
        <v>544</v>
      </c>
      <c r="H132" s="33" t="s">
        <v>7</v>
      </c>
      <c r="I132" s="34" t="s">
        <v>7</v>
      </c>
      <c r="J132" s="40" t="s">
        <v>74</v>
      </c>
      <c r="K132" s="66" t="s">
        <v>365</v>
      </c>
      <c r="L132" s="40" t="s">
        <v>7</v>
      </c>
      <c r="M132" s="39" t="s">
        <v>7</v>
      </c>
      <c r="N132" s="40" t="s">
        <v>7</v>
      </c>
      <c r="O132" s="19" t="s">
        <v>7</v>
      </c>
      <c r="P132" s="40" t="s">
        <v>7</v>
      </c>
      <c r="Q132" s="19" t="s">
        <v>7</v>
      </c>
      <c r="R132" s="31" t="s">
        <v>7</v>
      </c>
      <c r="S132" s="19" t="s">
        <v>7</v>
      </c>
      <c r="T132" s="31" t="s">
        <v>76</v>
      </c>
      <c r="U132" s="32">
        <v>603</v>
      </c>
      <c r="V132" s="31" t="s">
        <v>77</v>
      </c>
      <c r="W132" s="32">
        <v>228</v>
      </c>
      <c r="X132" s="31" t="s">
        <v>181</v>
      </c>
      <c r="Y132" s="32" t="s">
        <v>113</v>
      </c>
      <c r="Z132" s="31" t="s">
        <v>182</v>
      </c>
      <c r="AA132" s="32" t="s">
        <v>253</v>
      </c>
      <c r="AB132" s="31" t="s">
        <v>184</v>
      </c>
      <c r="AC132" s="32" t="s">
        <v>224</v>
      </c>
      <c r="AD132" s="31" t="s">
        <v>1036</v>
      </c>
      <c r="AE132" s="32">
        <v>101</v>
      </c>
      <c r="AF132" s="31" t="s">
        <v>14</v>
      </c>
      <c r="AG132" s="19" t="s">
        <v>542</v>
      </c>
      <c r="AH132" s="31" t="s">
        <v>1037</v>
      </c>
      <c r="AI132" s="32" t="s">
        <v>183</v>
      </c>
      <c r="AJ132" s="38" t="s">
        <v>547</v>
      </c>
      <c r="AK132" s="19" t="s">
        <v>1048</v>
      </c>
      <c r="AL132" s="38" t="s">
        <v>548</v>
      </c>
      <c r="AM132" s="19" t="s">
        <v>1052</v>
      </c>
      <c r="AN132" s="38" t="s">
        <v>1038</v>
      </c>
      <c r="AO132" s="19" t="s">
        <v>1039</v>
      </c>
      <c r="AP132" s="31" t="s">
        <v>7</v>
      </c>
      <c r="AQ132" s="19" t="s">
        <v>7</v>
      </c>
      <c r="AR132" s="33" t="s">
        <v>7</v>
      </c>
      <c r="AS132" s="34" t="s">
        <v>7</v>
      </c>
      <c r="AT132" s="33" t="s">
        <v>7</v>
      </c>
      <c r="AU132" s="34" t="s">
        <v>7</v>
      </c>
      <c r="AV132" s="33" t="s">
        <v>7</v>
      </c>
      <c r="AW132" s="34" t="s">
        <v>7</v>
      </c>
      <c r="AX132" s="33" t="s">
        <v>7</v>
      </c>
      <c r="AY132" s="34" t="s">
        <v>7</v>
      </c>
      <c r="AZ132" s="33" t="s">
        <v>7</v>
      </c>
      <c r="BA132" s="34" t="s">
        <v>7</v>
      </c>
    </row>
    <row r="133" spans="1:53" ht="8.25" customHeight="1" x14ac:dyDescent="0.25">
      <c r="A133" s="16">
        <v>132</v>
      </c>
      <c r="B133" s="17" t="s">
        <v>493</v>
      </c>
      <c r="C133" s="18" t="s">
        <v>609</v>
      </c>
      <c r="D133" s="33" t="s">
        <v>7</v>
      </c>
      <c r="E133" s="34" t="s">
        <v>7</v>
      </c>
      <c r="F133" s="29" t="s">
        <v>553</v>
      </c>
      <c r="G133" s="30" t="s">
        <v>544</v>
      </c>
      <c r="H133" s="33" t="s">
        <v>7</v>
      </c>
      <c r="I133" s="34" t="s">
        <v>7</v>
      </c>
      <c r="J133" s="40" t="s">
        <v>74</v>
      </c>
      <c r="K133" s="66" t="s">
        <v>366</v>
      </c>
      <c r="L133" s="40" t="s">
        <v>7</v>
      </c>
      <c r="M133" s="39" t="s">
        <v>7</v>
      </c>
      <c r="N133" s="40" t="s">
        <v>7</v>
      </c>
      <c r="O133" s="19" t="s">
        <v>7</v>
      </c>
      <c r="P133" s="40" t="s">
        <v>7</v>
      </c>
      <c r="Q133" s="19" t="s">
        <v>7</v>
      </c>
      <c r="R133" s="31" t="s">
        <v>7</v>
      </c>
      <c r="S133" s="19" t="s">
        <v>7</v>
      </c>
      <c r="T133" s="31" t="s">
        <v>76</v>
      </c>
      <c r="U133" s="32">
        <v>608</v>
      </c>
      <c r="V133" s="31" t="s">
        <v>77</v>
      </c>
      <c r="W133" s="32">
        <v>228</v>
      </c>
      <c r="X133" s="31" t="s">
        <v>181</v>
      </c>
      <c r="Y133" s="32" t="s">
        <v>222</v>
      </c>
      <c r="Z133" s="31" t="s">
        <v>182</v>
      </c>
      <c r="AA133" s="32" t="s">
        <v>122</v>
      </c>
      <c r="AB133" s="31" t="s">
        <v>184</v>
      </c>
      <c r="AC133" s="32" t="s">
        <v>209</v>
      </c>
      <c r="AD133" s="31" t="s">
        <v>1036</v>
      </c>
      <c r="AE133" s="32">
        <v>113</v>
      </c>
      <c r="AF133" s="31" t="s">
        <v>14</v>
      </c>
      <c r="AG133" s="19" t="s">
        <v>542</v>
      </c>
      <c r="AH133" s="31" t="s">
        <v>1037</v>
      </c>
      <c r="AI133" s="32" t="s">
        <v>183</v>
      </c>
      <c r="AJ133" s="38" t="s">
        <v>547</v>
      </c>
      <c r="AK133" s="19" t="s">
        <v>1048</v>
      </c>
      <c r="AL133" s="38" t="s">
        <v>548</v>
      </c>
      <c r="AM133" s="19" t="s">
        <v>1052</v>
      </c>
      <c r="AN133" s="38" t="s">
        <v>1038</v>
      </c>
      <c r="AO133" s="19" t="s">
        <v>1039</v>
      </c>
      <c r="AP133" s="31" t="s">
        <v>7</v>
      </c>
      <c r="AQ133" s="19" t="s">
        <v>7</v>
      </c>
      <c r="AR133" s="33" t="s">
        <v>7</v>
      </c>
      <c r="AS133" s="34" t="s">
        <v>7</v>
      </c>
      <c r="AT133" s="33" t="s">
        <v>7</v>
      </c>
      <c r="AU133" s="34" t="s">
        <v>7</v>
      </c>
      <c r="AV133" s="33" t="s">
        <v>7</v>
      </c>
      <c r="AW133" s="34" t="s">
        <v>7</v>
      </c>
      <c r="AX133" s="33" t="s">
        <v>7</v>
      </c>
      <c r="AY133" s="34" t="s">
        <v>7</v>
      </c>
      <c r="AZ133" s="33" t="s">
        <v>7</v>
      </c>
      <c r="BA133" s="34" t="s">
        <v>7</v>
      </c>
    </row>
    <row r="134" spans="1:53" ht="8.25" customHeight="1" x14ac:dyDescent="0.25">
      <c r="A134" s="16">
        <v>133</v>
      </c>
      <c r="B134" s="17" t="s">
        <v>494</v>
      </c>
      <c r="C134" s="18" t="s">
        <v>609</v>
      </c>
      <c r="D134" s="33" t="s">
        <v>7</v>
      </c>
      <c r="E134" s="34" t="s">
        <v>7</v>
      </c>
      <c r="F134" s="29" t="s">
        <v>553</v>
      </c>
      <c r="G134" s="30" t="s">
        <v>544</v>
      </c>
      <c r="H134" s="33" t="s">
        <v>7</v>
      </c>
      <c r="I134" s="34" t="s">
        <v>7</v>
      </c>
      <c r="J134" s="40" t="s">
        <v>74</v>
      </c>
      <c r="K134" s="66" t="s">
        <v>367</v>
      </c>
      <c r="L134" s="40" t="s">
        <v>7</v>
      </c>
      <c r="M134" s="39" t="s">
        <v>7</v>
      </c>
      <c r="N134" s="40" t="s">
        <v>7</v>
      </c>
      <c r="O134" s="19" t="s">
        <v>7</v>
      </c>
      <c r="P134" s="40" t="s">
        <v>7</v>
      </c>
      <c r="Q134" s="19" t="s">
        <v>7</v>
      </c>
      <c r="R134" s="31" t="s">
        <v>7</v>
      </c>
      <c r="S134" s="19" t="s">
        <v>7</v>
      </c>
      <c r="T134" s="31" t="s">
        <v>76</v>
      </c>
      <c r="U134" s="32">
        <v>612</v>
      </c>
      <c r="V134" s="31" t="s">
        <v>77</v>
      </c>
      <c r="W134" s="32">
        <v>229</v>
      </c>
      <c r="X134" s="31" t="s">
        <v>181</v>
      </c>
      <c r="Y134" s="32" t="s">
        <v>124</v>
      </c>
      <c r="Z134" s="31" t="s">
        <v>182</v>
      </c>
      <c r="AA134" s="32" t="s">
        <v>125</v>
      </c>
      <c r="AB134" s="31" t="s">
        <v>184</v>
      </c>
      <c r="AC134" s="32" t="s">
        <v>209</v>
      </c>
      <c r="AD134" s="31" t="s">
        <v>1036</v>
      </c>
      <c r="AE134" s="32">
        <v>125</v>
      </c>
      <c r="AF134" s="31" t="s">
        <v>14</v>
      </c>
      <c r="AG134" s="19" t="s">
        <v>542</v>
      </c>
      <c r="AH134" s="31" t="s">
        <v>1037</v>
      </c>
      <c r="AI134" s="32" t="s">
        <v>183</v>
      </c>
      <c r="AJ134" s="38" t="s">
        <v>547</v>
      </c>
      <c r="AK134" s="19" t="s">
        <v>1048</v>
      </c>
      <c r="AL134" s="38" t="s">
        <v>548</v>
      </c>
      <c r="AM134" s="19" t="s">
        <v>1052</v>
      </c>
      <c r="AN134" s="38" t="s">
        <v>1038</v>
      </c>
      <c r="AO134" s="19" t="s">
        <v>1039</v>
      </c>
      <c r="AP134" s="31" t="s">
        <v>7</v>
      </c>
      <c r="AQ134" s="19" t="s">
        <v>7</v>
      </c>
      <c r="AR134" s="33" t="s">
        <v>7</v>
      </c>
      <c r="AS134" s="34" t="s">
        <v>7</v>
      </c>
      <c r="AT134" s="33" t="s">
        <v>7</v>
      </c>
      <c r="AU134" s="34" t="s">
        <v>7</v>
      </c>
      <c r="AV134" s="33" t="s">
        <v>7</v>
      </c>
      <c r="AW134" s="34" t="s">
        <v>7</v>
      </c>
      <c r="AX134" s="33" t="s">
        <v>7</v>
      </c>
      <c r="AY134" s="34" t="s">
        <v>7</v>
      </c>
      <c r="AZ134" s="33" t="s">
        <v>7</v>
      </c>
      <c r="BA134" s="34" t="s">
        <v>7</v>
      </c>
    </row>
    <row r="135" spans="1:53" ht="8.25" customHeight="1" x14ac:dyDescent="0.25">
      <c r="A135" s="16">
        <v>134</v>
      </c>
      <c r="B135" s="17" t="s">
        <v>495</v>
      </c>
      <c r="C135" s="18" t="s">
        <v>609</v>
      </c>
      <c r="D135" s="33" t="s">
        <v>7</v>
      </c>
      <c r="E135" s="34" t="s">
        <v>7</v>
      </c>
      <c r="F135" s="29" t="s">
        <v>553</v>
      </c>
      <c r="G135" s="30" t="s">
        <v>544</v>
      </c>
      <c r="H135" s="33" t="s">
        <v>7</v>
      </c>
      <c r="I135" s="34" t="s">
        <v>7</v>
      </c>
      <c r="J135" s="40" t="s">
        <v>74</v>
      </c>
      <c r="K135" s="66" t="s">
        <v>368</v>
      </c>
      <c r="L135" s="40" t="s">
        <v>7</v>
      </c>
      <c r="M135" s="39" t="s">
        <v>7</v>
      </c>
      <c r="N135" s="40" t="s">
        <v>7</v>
      </c>
      <c r="O135" s="19" t="s">
        <v>7</v>
      </c>
      <c r="P135" s="40" t="s">
        <v>7</v>
      </c>
      <c r="Q135" s="19" t="s">
        <v>7</v>
      </c>
      <c r="R135" s="31" t="s">
        <v>7</v>
      </c>
      <c r="S135" s="19" t="s">
        <v>7</v>
      </c>
      <c r="T135" s="31" t="s">
        <v>76</v>
      </c>
      <c r="U135" s="32">
        <v>617</v>
      </c>
      <c r="V135" s="31" t="s">
        <v>77</v>
      </c>
      <c r="W135" s="32">
        <v>230</v>
      </c>
      <c r="X135" s="31" t="s">
        <v>181</v>
      </c>
      <c r="Y135" s="32" t="s">
        <v>131</v>
      </c>
      <c r="Z135" s="31" t="s">
        <v>182</v>
      </c>
      <c r="AA135" s="32" t="s">
        <v>271</v>
      </c>
      <c r="AB135" s="31" t="s">
        <v>184</v>
      </c>
      <c r="AC135" s="32" t="s">
        <v>272</v>
      </c>
      <c r="AD135" s="31" t="s">
        <v>1036</v>
      </c>
      <c r="AE135" s="32">
        <v>140</v>
      </c>
      <c r="AF135" s="31" t="s">
        <v>14</v>
      </c>
      <c r="AG135" s="19" t="s">
        <v>542</v>
      </c>
      <c r="AH135" s="31" t="s">
        <v>1037</v>
      </c>
      <c r="AI135" s="32" t="s">
        <v>183</v>
      </c>
      <c r="AJ135" s="38" t="s">
        <v>547</v>
      </c>
      <c r="AK135" s="19" t="s">
        <v>1048</v>
      </c>
      <c r="AL135" s="38" t="s">
        <v>548</v>
      </c>
      <c r="AM135" s="19" t="s">
        <v>1052</v>
      </c>
      <c r="AN135" s="38" t="s">
        <v>1038</v>
      </c>
      <c r="AO135" s="19" t="s">
        <v>1039</v>
      </c>
      <c r="AP135" s="31" t="s">
        <v>7</v>
      </c>
      <c r="AQ135" s="19" t="s">
        <v>7</v>
      </c>
      <c r="AR135" s="33" t="s">
        <v>7</v>
      </c>
      <c r="AS135" s="34" t="s">
        <v>7</v>
      </c>
      <c r="AT135" s="33" t="s">
        <v>7</v>
      </c>
      <c r="AU135" s="34" t="s">
        <v>7</v>
      </c>
      <c r="AV135" s="33" t="s">
        <v>7</v>
      </c>
      <c r="AW135" s="34" t="s">
        <v>7</v>
      </c>
      <c r="AX135" s="33" t="s">
        <v>7</v>
      </c>
      <c r="AY135" s="34" t="s">
        <v>7</v>
      </c>
      <c r="AZ135" s="33" t="s">
        <v>7</v>
      </c>
      <c r="BA135" s="34" t="s">
        <v>7</v>
      </c>
    </row>
    <row r="136" spans="1:53" ht="8.25" customHeight="1" x14ac:dyDescent="0.25">
      <c r="A136" s="16">
        <v>135</v>
      </c>
      <c r="B136" s="17" t="s">
        <v>496</v>
      </c>
      <c r="C136" s="18" t="s">
        <v>609</v>
      </c>
      <c r="D136" s="33" t="s">
        <v>7</v>
      </c>
      <c r="E136" s="34" t="s">
        <v>7</v>
      </c>
      <c r="F136" s="29" t="s">
        <v>553</v>
      </c>
      <c r="G136" s="30" t="s">
        <v>544</v>
      </c>
      <c r="H136" s="33" t="s">
        <v>7</v>
      </c>
      <c r="I136" s="34" t="s">
        <v>7</v>
      </c>
      <c r="J136" s="40" t="s">
        <v>74</v>
      </c>
      <c r="K136" s="66" t="s">
        <v>369</v>
      </c>
      <c r="L136" s="40" t="s">
        <v>7</v>
      </c>
      <c r="M136" s="39" t="s">
        <v>7</v>
      </c>
      <c r="N136" s="40" t="s">
        <v>7</v>
      </c>
      <c r="O136" s="19" t="s">
        <v>7</v>
      </c>
      <c r="P136" s="40" t="s">
        <v>7</v>
      </c>
      <c r="Q136" s="19" t="s">
        <v>7</v>
      </c>
      <c r="R136" s="31" t="s">
        <v>7</v>
      </c>
      <c r="S136" s="19" t="s">
        <v>7</v>
      </c>
      <c r="T136" s="31" t="s">
        <v>76</v>
      </c>
      <c r="U136" s="32">
        <v>623</v>
      </c>
      <c r="V136" s="31" t="s">
        <v>77</v>
      </c>
      <c r="W136" s="32">
        <v>229</v>
      </c>
      <c r="X136" s="31" t="s">
        <v>181</v>
      </c>
      <c r="Y136" s="32">
        <v>14</v>
      </c>
      <c r="Z136" s="31" t="s">
        <v>182</v>
      </c>
      <c r="AA136" s="32" t="s">
        <v>273</v>
      </c>
      <c r="AB136" s="31" t="s">
        <v>184</v>
      </c>
      <c r="AC136" s="32" t="s">
        <v>209</v>
      </c>
      <c r="AD136" s="31" t="s">
        <v>1036</v>
      </c>
      <c r="AE136" s="32">
        <v>153</v>
      </c>
      <c r="AF136" s="31" t="s">
        <v>14</v>
      </c>
      <c r="AG136" s="19" t="s">
        <v>542</v>
      </c>
      <c r="AH136" s="31" t="s">
        <v>1037</v>
      </c>
      <c r="AI136" s="32" t="s">
        <v>183</v>
      </c>
      <c r="AJ136" s="38" t="s">
        <v>547</v>
      </c>
      <c r="AK136" s="19" t="s">
        <v>1048</v>
      </c>
      <c r="AL136" s="38" t="s">
        <v>548</v>
      </c>
      <c r="AM136" s="19" t="s">
        <v>1052</v>
      </c>
      <c r="AN136" s="38" t="s">
        <v>1038</v>
      </c>
      <c r="AO136" s="19" t="s">
        <v>1039</v>
      </c>
      <c r="AP136" s="31" t="s">
        <v>7</v>
      </c>
      <c r="AQ136" s="19" t="s">
        <v>7</v>
      </c>
      <c r="AR136" s="33" t="s">
        <v>7</v>
      </c>
      <c r="AS136" s="34" t="s">
        <v>7</v>
      </c>
      <c r="AT136" s="33" t="s">
        <v>7</v>
      </c>
      <c r="AU136" s="34" t="s">
        <v>7</v>
      </c>
      <c r="AV136" s="33" t="s">
        <v>7</v>
      </c>
      <c r="AW136" s="34" t="s">
        <v>7</v>
      </c>
      <c r="AX136" s="33" t="s">
        <v>7</v>
      </c>
      <c r="AY136" s="34" t="s">
        <v>7</v>
      </c>
      <c r="AZ136" s="33" t="s">
        <v>7</v>
      </c>
      <c r="BA136" s="34" t="s">
        <v>7</v>
      </c>
    </row>
    <row r="137" spans="1:53" ht="8.25" customHeight="1" x14ac:dyDescent="0.25">
      <c r="A137" s="16">
        <v>136</v>
      </c>
      <c r="B137" s="17" t="s">
        <v>497</v>
      </c>
      <c r="C137" s="18" t="s">
        <v>609</v>
      </c>
      <c r="D137" s="33" t="s">
        <v>7</v>
      </c>
      <c r="E137" s="34" t="s">
        <v>7</v>
      </c>
      <c r="F137" s="29" t="s">
        <v>553</v>
      </c>
      <c r="G137" s="30" t="s">
        <v>544</v>
      </c>
      <c r="H137" s="33" t="s">
        <v>7</v>
      </c>
      <c r="I137" s="34" t="s">
        <v>7</v>
      </c>
      <c r="J137" s="40" t="s">
        <v>74</v>
      </c>
      <c r="K137" s="66" t="s">
        <v>370</v>
      </c>
      <c r="L137" s="40" t="s">
        <v>7</v>
      </c>
      <c r="M137" s="39" t="s">
        <v>7</v>
      </c>
      <c r="N137" s="40" t="s">
        <v>7</v>
      </c>
      <c r="O137" s="19" t="s">
        <v>7</v>
      </c>
      <c r="P137" s="40" t="s">
        <v>7</v>
      </c>
      <c r="Q137" s="19" t="s">
        <v>7</v>
      </c>
      <c r="R137" s="31" t="s">
        <v>7</v>
      </c>
      <c r="S137" s="19" t="s">
        <v>7</v>
      </c>
      <c r="T137" s="31" t="s">
        <v>76</v>
      </c>
      <c r="U137" s="32">
        <v>611</v>
      </c>
      <c r="V137" s="31" t="s">
        <v>77</v>
      </c>
      <c r="W137" s="32">
        <v>324</v>
      </c>
      <c r="X137" s="31" t="s">
        <v>181</v>
      </c>
      <c r="Y137" s="32" t="s">
        <v>209</v>
      </c>
      <c r="Z137" s="31" t="s">
        <v>182</v>
      </c>
      <c r="AA137" s="32" t="s">
        <v>264</v>
      </c>
      <c r="AB137" s="31" t="s">
        <v>184</v>
      </c>
      <c r="AC137" s="32" t="s">
        <v>209</v>
      </c>
      <c r="AD137" s="31" t="s">
        <v>1036</v>
      </c>
      <c r="AE137" s="32">
        <v>155</v>
      </c>
      <c r="AF137" s="31" t="s">
        <v>14</v>
      </c>
      <c r="AG137" s="19" t="s">
        <v>542</v>
      </c>
      <c r="AH137" s="31" t="s">
        <v>1037</v>
      </c>
      <c r="AI137" s="32" t="s">
        <v>183</v>
      </c>
      <c r="AJ137" s="38" t="s">
        <v>547</v>
      </c>
      <c r="AK137" s="19" t="s">
        <v>1048</v>
      </c>
      <c r="AL137" s="38" t="s">
        <v>548</v>
      </c>
      <c r="AM137" s="19" t="s">
        <v>1052</v>
      </c>
      <c r="AN137" s="38" t="s">
        <v>1038</v>
      </c>
      <c r="AO137" s="19" t="s">
        <v>1039</v>
      </c>
      <c r="AP137" s="31" t="s">
        <v>7</v>
      </c>
      <c r="AQ137" s="19" t="s">
        <v>7</v>
      </c>
      <c r="AR137" s="33" t="s">
        <v>7</v>
      </c>
      <c r="AS137" s="34" t="s">
        <v>7</v>
      </c>
      <c r="AT137" s="33" t="s">
        <v>7</v>
      </c>
      <c r="AU137" s="34" t="s">
        <v>7</v>
      </c>
      <c r="AV137" s="33" t="s">
        <v>7</v>
      </c>
      <c r="AW137" s="34" t="s">
        <v>7</v>
      </c>
      <c r="AX137" s="33" t="s">
        <v>7</v>
      </c>
      <c r="AY137" s="34" t="s">
        <v>7</v>
      </c>
      <c r="AZ137" s="33" t="s">
        <v>7</v>
      </c>
      <c r="BA137" s="34" t="s">
        <v>7</v>
      </c>
    </row>
    <row r="138" spans="1:53" ht="8.25" customHeight="1" x14ac:dyDescent="0.25">
      <c r="A138" s="16">
        <v>137</v>
      </c>
      <c r="B138" s="17" t="s">
        <v>498</v>
      </c>
      <c r="C138" s="18" t="s">
        <v>609</v>
      </c>
      <c r="D138" s="33" t="s">
        <v>7</v>
      </c>
      <c r="E138" s="34" t="s">
        <v>7</v>
      </c>
      <c r="F138" s="29" t="s">
        <v>553</v>
      </c>
      <c r="G138" s="30" t="s">
        <v>544</v>
      </c>
      <c r="H138" s="33" t="s">
        <v>7</v>
      </c>
      <c r="I138" s="34" t="s">
        <v>7</v>
      </c>
      <c r="J138" s="40" t="s">
        <v>74</v>
      </c>
      <c r="K138" s="66" t="s">
        <v>371</v>
      </c>
      <c r="L138" s="40" t="s">
        <v>7</v>
      </c>
      <c r="M138" s="39" t="s">
        <v>7</v>
      </c>
      <c r="N138" s="40" t="s">
        <v>7</v>
      </c>
      <c r="O138" s="19" t="s">
        <v>7</v>
      </c>
      <c r="P138" s="40" t="s">
        <v>7</v>
      </c>
      <c r="Q138" s="19" t="s">
        <v>7</v>
      </c>
      <c r="R138" s="31" t="s">
        <v>7</v>
      </c>
      <c r="S138" s="19" t="s">
        <v>7</v>
      </c>
      <c r="T138" s="31" t="s">
        <v>76</v>
      </c>
      <c r="U138" s="32">
        <v>616</v>
      </c>
      <c r="V138" s="31" t="s">
        <v>77</v>
      </c>
      <c r="W138" s="32">
        <v>325</v>
      </c>
      <c r="X138" s="31" t="s">
        <v>181</v>
      </c>
      <c r="Y138" s="32">
        <v>14</v>
      </c>
      <c r="Z138" s="31" t="s">
        <v>182</v>
      </c>
      <c r="AA138" s="32" t="s">
        <v>274</v>
      </c>
      <c r="AB138" s="31" t="s">
        <v>184</v>
      </c>
      <c r="AC138" s="32" t="s">
        <v>209</v>
      </c>
      <c r="AD138" s="31" t="s">
        <v>1036</v>
      </c>
      <c r="AE138" s="32">
        <v>174</v>
      </c>
      <c r="AF138" s="31" t="s">
        <v>14</v>
      </c>
      <c r="AG138" s="19" t="s">
        <v>542</v>
      </c>
      <c r="AH138" s="31" t="s">
        <v>1037</v>
      </c>
      <c r="AI138" s="32" t="s">
        <v>183</v>
      </c>
      <c r="AJ138" s="38" t="s">
        <v>547</v>
      </c>
      <c r="AK138" s="19" t="s">
        <v>1048</v>
      </c>
      <c r="AL138" s="38" t="s">
        <v>548</v>
      </c>
      <c r="AM138" s="19" t="s">
        <v>1052</v>
      </c>
      <c r="AN138" s="38" t="s">
        <v>1038</v>
      </c>
      <c r="AO138" s="19" t="s">
        <v>1039</v>
      </c>
      <c r="AP138" s="31" t="s">
        <v>7</v>
      </c>
      <c r="AQ138" s="19" t="s">
        <v>7</v>
      </c>
      <c r="AR138" s="33" t="s">
        <v>7</v>
      </c>
      <c r="AS138" s="34" t="s">
        <v>7</v>
      </c>
      <c r="AT138" s="33" t="s">
        <v>7</v>
      </c>
      <c r="AU138" s="34" t="s">
        <v>7</v>
      </c>
      <c r="AV138" s="33" t="s">
        <v>7</v>
      </c>
      <c r="AW138" s="34" t="s">
        <v>7</v>
      </c>
      <c r="AX138" s="33" t="s">
        <v>7</v>
      </c>
      <c r="AY138" s="34" t="s">
        <v>7</v>
      </c>
      <c r="AZ138" s="33" t="s">
        <v>7</v>
      </c>
      <c r="BA138" s="34" t="s">
        <v>7</v>
      </c>
    </row>
    <row r="139" spans="1:53" ht="8.25" customHeight="1" x14ac:dyDescent="0.25">
      <c r="A139" s="16">
        <v>138</v>
      </c>
      <c r="B139" s="17" t="s">
        <v>499</v>
      </c>
      <c r="C139" s="18" t="s">
        <v>609</v>
      </c>
      <c r="D139" s="33" t="s">
        <v>7</v>
      </c>
      <c r="E139" s="34" t="s">
        <v>7</v>
      </c>
      <c r="F139" s="29" t="s">
        <v>553</v>
      </c>
      <c r="G139" s="30" t="s">
        <v>544</v>
      </c>
      <c r="H139" s="33" t="s">
        <v>7</v>
      </c>
      <c r="I139" s="34" t="s">
        <v>7</v>
      </c>
      <c r="J139" s="40" t="s">
        <v>74</v>
      </c>
      <c r="K139" s="66" t="s">
        <v>372</v>
      </c>
      <c r="L139" s="40" t="s">
        <v>7</v>
      </c>
      <c r="M139" s="39" t="s">
        <v>7</v>
      </c>
      <c r="N139" s="40" t="s">
        <v>7</v>
      </c>
      <c r="O139" s="19" t="s">
        <v>7</v>
      </c>
      <c r="P139" s="40" t="s">
        <v>7</v>
      </c>
      <c r="Q139" s="19" t="s">
        <v>7</v>
      </c>
      <c r="R139" s="31" t="s">
        <v>7</v>
      </c>
      <c r="S139" s="19" t="s">
        <v>7</v>
      </c>
      <c r="T139" s="31" t="s">
        <v>76</v>
      </c>
      <c r="U139" s="32">
        <v>622</v>
      </c>
      <c r="V139" s="31" t="s">
        <v>77</v>
      </c>
      <c r="W139" s="32">
        <v>328</v>
      </c>
      <c r="X139" s="31" t="s">
        <v>181</v>
      </c>
      <c r="Y139" s="32" t="s">
        <v>134</v>
      </c>
      <c r="Z139" s="31" t="s">
        <v>182</v>
      </c>
      <c r="AA139" s="32" t="s">
        <v>275</v>
      </c>
      <c r="AB139" s="31" t="s">
        <v>184</v>
      </c>
      <c r="AC139" s="32" t="s">
        <v>209</v>
      </c>
      <c r="AD139" s="31" t="s">
        <v>1036</v>
      </c>
      <c r="AE139" s="32">
        <v>195</v>
      </c>
      <c r="AF139" s="31" t="s">
        <v>14</v>
      </c>
      <c r="AG139" s="19" t="s">
        <v>542</v>
      </c>
      <c r="AH139" s="31" t="s">
        <v>1037</v>
      </c>
      <c r="AI139" s="32" t="s">
        <v>183</v>
      </c>
      <c r="AJ139" s="38" t="s">
        <v>547</v>
      </c>
      <c r="AK139" s="19" t="s">
        <v>1048</v>
      </c>
      <c r="AL139" s="38" t="s">
        <v>548</v>
      </c>
      <c r="AM139" s="19" t="s">
        <v>1052</v>
      </c>
      <c r="AN139" s="38" t="s">
        <v>1038</v>
      </c>
      <c r="AO139" s="19" t="s">
        <v>1039</v>
      </c>
      <c r="AP139" s="31" t="s">
        <v>7</v>
      </c>
      <c r="AQ139" s="19" t="s">
        <v>7</v>
      </c>
      <c r="AR139" s="33" t="s">
        <v>7</v>
      </c>
      <c r="AS139" s="34" t="s">
        <v>7</v>
      </c>
      <c r="AT139" s="33" t="s">
        <v>7</v>
      </c>
      <c r="AU139" s="34" t="s">
        <v>7</v>
      </c>
      <c r="AV139" s="33" t="s">
        <v>7</v>
      </c>
      <c r="AW139" s="34" t="s">
        <v>7</v>
      </c>
      <c r="AX139" s="33" t="s">
        <v>7</v>
      </c>
      <c r="AY139" s="34" t="s">
        <v>7</v>
      </c>
      <c r="AZ139" s="33" t="s">
        <v>7</v>
      </c>
      <c r="BA139" s="34" t="s">
        <v>7</v>
      </c>
    </row>
    <row r="140" spans="1:53" ht="8.25" customHeight="1" x14ac:dyDescent="0.25">
      <c r="A140" s="16">
        <v>139</v>
      </c>
      <c r="B140" s="17" t="s">
        <v>500</v>
      </c>
      <c r="C140" s="18" t="s">
        <v>609</v>
      </c>
      <c r="D140" s="33" t="s">
        <v>7</v>
      </c>
      <c r="E140" s="34" t="s">
        <v>7</v>
      </c>
      <c r="F140" s="29" t="s">
        <v>553</v>
      </c>
      <c r="G140" s="30" t="s">
        <v>544</v>
      </c>
      <c r="H140" s="33" t="s">
        <v>7</v>
      </c>
      <c r="I140" s="34" t="s">
        <v>7</v>
      </c>
      <c r="J140" s="40" t="s">
        <v>74</v>
      </c>
      <c r="K140" s="66" t="s">
        <v>373</v>
      </c>
      <c r="L140" s="40" t="s">
        <v>7</v>
      </c>
      <c r="M140" s="39" t="s">
        <v>7</v>
      </c>
      <c r="N140" s="40" t="s">
        <v>7</v>
      </c>
      <c r="O140" s="19" t="s">
        <v>7</v>
      </c>
      <c r="P140" s="40" t="s">
        <v>7</v>
      </c>
      <c r="Q140" s="19" t="s">
        <v>7</v>
      </c>
      <c r="R140" s="31" t="s">
        <v>7</v>
      </c>
      <c r="S140" s="19" t="s">
        <v>7</v>
      </c>
      <c r="T140" s="31" t="s">
        <v>76</v>
      </c>
      <c r="U140" s="32">
        <v>599</v>
      </c>
      <c r="V140" s="31" t="s">
        <v>77</v>
      </c>
      <c r="W140" s="32">
        <v>178</v>
      </c>
      <c r="X140" s="31" t="s">
        <v>181</v>
      </c>
      <c r="Y140" s="32">
        <v>10</v>
      </c>
      <c r="Z140" s="31" t="s">
        <v>182</v>
      </c>
      <c r="AA140" s="32" t="s">
        <v>224</v>
      </c>
      <c r="AB140" s="31" t="s">
        <v>184</v>
      </c>
      <c r="AC140" s="32" t="s">
        <v>272</v>
      </c>
      <c r="AD140" s="31" t="s">
        <v>1036</v>
      </c>
      <c r="AE140" s="32">
        <v>82</v>
      </c>
      <c r="AF140" s="31" t="s">
        <v>14</v>
      </c>
      <c r="AG140" s="19" t="s">
        <v>542</v>
      </c>
      <c r="AH140" s="31" t="s">
        <v>1037</v>
      </c>
      <c r="AI140" s="32" t="s">
        <v>183</v>
      </c>
      <c r="AJ140" s="38" t="s">
        <v>547</v>
      </c>
      <c r="AK140" s="19" t="s">
        <v>1048</v>
      </c>
      <c r="AL140" s="38" t="s">
        <v>548</v>
      </c>
      <c r="AM140" s="19" t="s">
        <v>1052</v>
      </c>
      <c r="AN140" s="38" t="s">
        <v>1038</v>
      </c>
      <c r="AO140" s="19" t="s">
        <v>1039</v>
      </c>
      <c r="AP140" s="31" t="s">
        <v>7</v>
      </c>
      <c r="AQ140" s="19" t="s">
        <v>7</v>
      </c>
      <c r="AR140" s="33" t="s">
        <v>7</v>
      </c>
      <c r="AS140" s="34" t="s">
        <v>7</v>
      </c>
      <c r="AT140" s="33" t="s">
        <v>7</v>
      </c>
      <c r="AU140" s="34" t="s">
        <v>7</v>
      </c>
      <c r="AV140" s="33" t="s">
        <v>7</v>
      </c>
      <c r="AW140" s="34" t="s">
        <v>7</v>
      </c>
      <c r="AX140" s="33" t="s">
        <v>7</v>
      </c>
      <c r="AY140" s="34" t="s">
        <v>7</v>
      </c>
      <c r="AZ140" s="33" t="s">
        <v>7</v>
      </c>
      <c r="BA140" s="34" t="s">
        <v>7</v>
      </c>
    </row>
    <row r="141" spans="1:53" ht="8.25" customHeight="1" x14ac:dyDescent="0.25">
      <c r="A141" s="16">
        <v>140</v>
      </c>
      <c r="B141" s="17" t="s">
        <v>501</v>
      </c>
      <c r="C141" s="18" t="s">
        <v>609</v>
      </c>
      <c r="D141" s="33" t="s">
        <v>7</v>
      </c>
      <c r="E141" s="34" t="s">
        <v>7</v>
      </c>
      <c r="F141" s="29" t="s">
        <v>553</v>
      </c>
      <c r="G141" s="30" t="s">
        <v>544</v>
      </c>
      <c r="H141" s="33" t="s">
        <v>7</v>
      </c>
      <c r="I141" s="34" t="s">
        <v>7</v>
      </c>
      <c r="J141" s="40" t="s">
        <v>74</v>
      </c>
      <c r="K141" s="66" t="s">
        <v>374</v>
      </c>
      <c r="L141" s="40" t="s">
        <v>7</v>
      </c>
      <c r="M141" s="39" t="s">
        <v>7</v>
      </c>
      <c r="N141" s="40" t="s">
        <v>7</v>
      </c>
      <c r="O141" s="19" t="s">
        <v>7</v>
      </c>
      <c r="P141" s="40" t="s">
        <v>7</v>
      </c>
      <c r="Q141" s="19" t="s">
        <v>7</v>
      </c>
      <c r="R141" s="31" t="s">
        <v>7</v>
      </c>
      <c r="S141" s="19" t="s">
        <v>7</v>
      </c>
      <c r="T141" s="31" t="s">
        <v>76</v>
      </c>
      <c r="U141" s="32">
        <v>603</v>
      </c>
      <c r="V141" s="31" t="s">
        <v>77</v>
      </c>
      <c r="W141" s="32">
        <v>179</v>
      </c>
      <c r="X141" s="31" t="s">
        <v>181</v>
      </c>
      <c r="Y141" s="32" t="s">
        <v>136</v>
      </c>
      <c r="Z141" s="31" t="s">
        <v>182</v>
      </c>
      <c r="AA141" s="32">
        <v>15</v>
      </c>
      <c r="AB141" s="31" t="s">
        <v>184</v>
      </c>
      <c r="AC141" s="32" t="s">
        <v>209</v>
      </c>
      <c r="AD141" s="31" t="s">
        <v>1036</v>
      </c>
      <c r="AE141" s="32">
        <v>92</v>
      </c>
      <c r="AF141" s="31" t="s">
        <v>14</v>
      </c>
      <c r="AG141" s="19" t="s">
        <v>542</v>
      </c>
      <c r="AH141" s="31" t="s">
        <v>1037</v>
      </c>
      <c r="AI141" s="32" t="s">
        <v>183</v>
      </c>
      <c r="AJ141" s="38" t="s">
        <v>547</v>
      </c>
      <c r="AK141" s="19" t="s">
        <v>1048</v>
      </c>
      <c r="AL141" s="38" t="s">
        <v>548</v>
      </c>
      <c r="AM141" s="19" t="s">
        <v>1052</v>
      </c>
      <c r="AN141" s="38" t="s">
        <v>1038</v>
      </c>
      <c r="AO141" s="19" t="s">
        <v>1039</v>
      </c>
      <c r="AP141" s="31" t="s">
        <v>7</v>
      </c>
      <c r="AQ141" s="19" t="s">
        <v>7</v>
      </c>
      <c r="AR141" s="33" t="s">
        <v>7</v>
      </c>
      <c r="AS141" s="34" t="s">
        <v>7</v>
      </c>
      <c r="AT141" s="33" t="s">
        <v>7</v>
      </c>
      <c r="AU141" s="34" t="s">
        <v>7</v>
      </c>
      <c r="AV141" s="33" t="s">
        <v>7</v>
      </c>
      <c r="AW141" s="34" t="s">
        <v>7</v>
      </c>
      <c r="AX141" s="33" t="s">
        <v>7</v>
      </c>
      <c r="AY141" s="34" t="s">
        <v>7</v>
      </c>
      <c r="AZ141" s="33" t="s">
        <v>7</v>
      </c>
      <c r="BA141" s="34" t="s">
        <v>7</v>
      </c>
    </row>
    <row r="142" spans="1:53" ht="8.25" customHeight="1" x14ac:dyDescent="0.25">
      <c r="A142" s="16">
        <v>141</v>
      </c>
      <c r="B142" s="17" t="s">
        <v>502</v>
      </c>
      <c r="C142" s="18" t="s">
        <v>609</v>
      </c>
      <c r="D142" s="33" t="s">
        <v>7</v>
      </c>
      <c r="E142" s="34" t="s">
        <v>7</v>
      </c>
      <c r="F142" s="29" t="s">
        <v>553</v>
      </c>
      <c r="G142" s="30" t="s">
        <v>544</v>
      </c>
      <c r="H142" s="33" t="s">
        <v>7</v>
      </c>
      <c r="I142" s="34" t="s">
        <v>7</v>
      </c>
      <c r="J142" s="40" t="s">
        <v>74</v>
      </c>
      <c r="K142" s="66" t="s">
        <v>375</v>
      </c>
      <c r="L142" s="40" t="s">
        <v>7</v>
      </c>
      <c r="M142" s="39" t="s">
        <v>7</v>
      </c>
      <c r="N142" s="40" t="s">
        <v>7</v>
      </c>
      <c r="O142" s="19" t="s">
        <v>7</v>
      </c>
      <c r="P142" s="40" t="s">
        <v>7</v>
      </c>
      <c r="Q142" s="19" t="s">
        <v>7</v>
      </c>
      <c r="R142" s="31" t="s">
        <v>7</v>
      </c>
      <c r="S142" s="19" t="s">
        <v>7</v>
      </c>
      <c r="T142" s="31" t="s">
        <v>76</v>
      </c>
      <c r="U142" s="32">
        <v>627</v>
      </c>
      <c r="V142" s="31" t="s">
        <v>77</v>
      </c>
      <c r="W142" s="32">
        <v>328</v>
      </c>
      <c r="X142" s="31" t="s">
        <v>181</v>
      </c>
      <c r="Y142" s="32" t="s">
        <v>270</v>
      </c>
      <c r="Z142" s="31" t="s">
        <v>182</v>
      </c>
      <c r="AA142" s="32" t="s">
        <v>276</v>
      </c>
      <c r="AB142" s="31" t="s">
        <v>184</v>
      </c>
      <c r="AC142" s="32" t="s">
        <v>209</v>
      </c>
      <c r="AD142" s="31" t="s">
        <v>1036</v>
      </c>
      <c r="AE142" s="32">
        <v>217</v>
      </c>
      <c r="AF142" s="31" t="s">
        <v>14</v>
      </c>
      <c r="AG142" s="19" t="s">
        <v>542</v>
      </c>
      <c r="AH142" s="31" t="s">
        <v>1037</v>
      </c>
      <c r="AI142" s="32" t="s">
        <v>183</v>
      </c>
      <c r="AJ142" s="38" t="s">
        <v>547</v>
      </c>
      <c r="AK142" s="19" t="s">
        <v>1048</v>
      </c>
      <c r="AL142" s="38" t="s">
        <v>548</v>
      </c>
      <c r="AM142" s="19" t="s">
        <v>1052</v>
      </c>
      <c r="AN142" s="38" t="s">
        <v>1038</v>
      </c>
      <c r="AO142" s="19" t="s">
        <v>1039</v>
      </c>
      <c r="AP142" s="31" t="s">
        <v>7</v>
      </c>
      <c r="AQ142" s="19" t="s">
        <v>7</v>
      </c>
      <c r="AR142" s="33" t="s">
        <v>7</v>
      </c>
      <c r="AS142" s="34" t="s">
        <v>7</v>
      </c>
      <c r="AT142" s="33" t="s">
        <v>7</v>
      </c>
      <c r="AU142" s="34" t="s">
        <v>7</v>
      </c>
      <c r="AV142" s="33" t="s">
        <v>7</v>
      </c>
      <c r="AW142" s="34" t="s">
        <v>7</v>
      </c>
      <c r="AX142" s="33" t="s">
        <v>7</v>
      </c>
      <c r="AY142" s="34" t="s">
        <v>7</v>
      </c>
      <c r="AZ142" s="33" t="s">
        <v>7</v>
      </c>
      <c r="BA142" s="34" t="s">
        <v>7</v>
      </c>
    </row>
    <row r="143" spans="1:53" ht="8.25" customHeight="1" x14ac:dyDescent="0.25">
      <c r="A143" s="16">
        <v>142</v>
      </c>
      <c r="B143" s="17" t="s">
        <v>518</v>
      </c>
      <c r="C143" s="36" t="s">
        <v>527</v>
      </c>
      <c r="D143" s="33" t="s">
        <v>7</v>
      </c>
      <c r="E143" s="34" t="s">
        <v>7</v>
      </c>
      <c r="F143" s="33" t="s">
        <v>7</v>
      </c>
      <c r="G143" s="34" t="s">
        <v>7</v>
      </c>
      <c r="H143" s="33" t="s">
        <v>7</v>
      </c>
      <c r="I143" s="34" t="s">
        <v>7</v>
      </c>
      <c r="J143" s="40" t="s">
        <v>528</v>
      </c>
      <c r="K143" s="66" t="s">
        <v>529</v>
      </c>
      <c r="L143" s="40" t="s">
        <v>7</v>
      </c>
      <c r="M143" s="39" t="s">
        <v>7</v>
      </c>
      <c r="N143" s="40" t="s">
        <v>7</v>
      </c>
      <c r="O143" s="19" t="s">
        <v>7</v>
      </c>
      <c r="P143" s="40" t="s">
        <v>7</v>
      </c>
      <c r="Q143" s="19" t="s">
        <v>7</v>
      </c>
      <c r="R143" s="31" t="s">
        <v>7</v>
      </c>
      <c r="S143" s="19" t="s">
        <v>7</v>
      </c>
      <c r="T143" s="31" t="s">
        <v>7</v>
      </c>
      <c r="U143" s="19" t="s">
        <v>7</v>
      </c>
      <c r="V143" s="31" t="s">
        <v>7</v>
      </c>
      <c r="W143" s="19" t="s">
        <v>7</v>
      </c>
      <c r="X143" s="31" t="s">
        <v>7</v>
      </c>
      <c r="Y143" s="19" t="s">
        <v>7</v>
      </c>
      <c r="Z143" s="31" t="s">
        <v>7</v>
      </c>
      <c r="AA143" s="19" t="s">
        <v>7</v>
      </c>
      <c r="AB143" s="31" t="s">
        <v>7</v>
      </c>
      <c r="AC143" s="19" t="s">
        <v>7</v>
      </c>
      <c r="AD143" s="31" t="s">
        <v>7</v>
      </c>
      <c r="AE143" s="19" t="s">
        <v>7</v>
      </c>
      <c r="AF143" s="31" t="s">
        <v>14</v>
      </c>
      <c r="AG143" s="32" t="s">
        <v>533</v>
      </c>
      <c r="AH143" s="31" t="s">
        <v>7</v>
      </c>
      <c r="AI143" s="19" t="s">
        <v>7</v>
      </c>
      <c r="AJ143" s="38" t="s">
        <v>547</v>
      </c>
      <c r="AK143" s="19" t="s">
        <v>1049</v>
      </c>
      <c r="AL143" s="38" t="s">
        <v>548</v>
      </c>
      <c r="AM143" s="19" t="s">
        <v>1053</v>
      </c>
      <c r="AN143" s="38" t="s">
        <v>1038</v>
      </c>
      <c r="AO143" s="19" t="s">
        <v>1039</v>
      </c>
      <c r="AP143" s="31" t="s">
        <v>7</v>
      </c>
      <c r="AQ143" s="19" t="s">
        <v>7</v>
      </c>
      <c r="AR143" s="33" t="s">
        <v>7</v>
      </c>
      <c r="AS143" s="34" t="s">
        <v>7</v>
      </c>
      <c r="AT143" s="33" t="s">
        <v>7</v>
      </c>
      <c r="AU143" s="34" t="s">
        <v>7</v>
      </c>
      <c r="AV143" s="33" t="s">
        <v>7</v>
      </c>
      <c r="AW143" s="34" t="s">
        <v>7</v>
      </c>
      <c r="AX143" s="33" t="s">
        <v>7</v>
      </c>
      <c r="AY143" s="34" t="s">
        <v>7</v>
      </c>
      <c r="AZ143" s="33" t="s">
        <v>7</v>
      </c>
      <c r="BA143" s="34" t="s">
        <v>7</v>
      </c>
    </row>
    <row r="144" spans="1:53" ht="8.25" customHeight="1" x14ac:dyDescent="0.25">
      <c r="A144" s="16">
        <v>143</v>
      </c>
      <c r="B144" s="17" t="s">
        <v>519</v>
      </c>
      <c r="C144" s="36" t="s">
        <v>527</v>
      </c>
      <c r="D144" s="33" t="s">
        <v>7</v>
      </c>
      <c r="E144" s="34" t="s">
        <v>7</v>
      </c>
      <c r="F144" s="33" t="s">
        <v>7</v>
      </c>
      <c r="G144" s="34" t="s">
        <v>7</v>
      </c>
      <c r="H144" s="33" t="s">
        <v>7</v>
      </c>
      <c r="I144" s="34" t="s">
        <v>7</v>
      </c>
      <c r="J144" s="40" t="s">
        <v>528</v>
      </c>
      <c r="K144" s="66" t="s">
        <v>531</v>
      </c>
      <c r="L144" s="40" t="s">
        <v>7</v>
      </c>
      <c r="M144" s="39" t="s">
        <v>7</v>
      </c>
      <c r="N144" s="40" t="s">
        <v>7</v>
      </c>
      <c r="O144" s="19" t="s">
        <v>7</v>
      </c>
      <c r="P144" s="40" t="s">
        <v>7</v>
      </c>
      <c r="Q144" s="19" t="s">
        <v>7</v>
      </c>
      <c r="R144" s="31" t="s">
        <v>7</v>
      </c>
      <c r="S144" s="19" t="s">
        <v>7</v>
      </c>
      <c r="T144" s="31" t="s">
        <v>7</v>
      </c>
      <c r="U144" s="19" t="s">
        <v>7</v>
      </c>
      <c r="V144" s="31" t="s">
        <v>7</v>
      </c>
      <c r="W144" s="19" t="s">
        <v>7</v>
      </c>
      <c r="X144" s="31" t="s">
        <v>7</v>
      </c>
      <c r="Y144" s="19" t="s">
        <v>7</v>
      </c>
      <c r="Z144" s="31" t="s">
        <v>7</v>
      </c>
      <c r="AA144" s="19" t="s">
        <v>7</v>
      </c>
      <c r="AB144" s="31" t="s">
        <v>7</v>
      </c>
      <c r="AC144" s="19" t="s">
        <v>7</v>
      </c>
      <c r="AD144" s="31" t="s">
        <v>7</v>
      </c>
      <c r="AE144" s="19" t="s">
        <v>7</v>
      </c>
      <c r="AF144" s="31" t="s">
        <v>14</v>
      </c>
      <c r="AG144" s="32" t="s">
        <v>534</v>
      </c>
      <c r="AH144" s="31" t="s">
        <v>7</v>
      </c>
      <c r="AI144" s="19" t="s">
        <v>7</v>
      </c>
      <c r="AJ144" s="38" t="s">
        <v>547</v>
      </c>
      <c r="AK144" s="19" t="s">
        <v>1049</v>
      </c>
      <c r="AL144" s="38" t="s">
        <v>548</v>
      </c>
      <c r="AM144" s="19" t="s">
        <v>1053</v>
      </c>
      <c r="AN144" s="38" t="s">
        <v>1038</v>
      </c>
      <c r="AO144" s="19" t="s">
        <v>1039</v>
      </c>
      <c r="AP144" s="31" t="s">
        <v>7</v>
      </c>
      <c r="AQ144" s="19" t="s">
        <v>7</v>
      </c>
      <c r="AR144" s="33" t="s">
        <v>7</v>
      </c>
      <c r="AS144" s="34" t="s">
        <v>7</v>
      </c>
      <c r="AT144" s="33" t="s">
        <v>7</v>
      </c>
      <c r="AU144" s="34" t="s">
        <v>7</v>
      </c>
      <c r="AV144" s="33" t="s">
        <v>7</v>
      </c>
      <c r="AW144" s="34" t="s">
        <v>7</v>
      </c>
      <c r="AX144" s="33" t="s">
        <v>7</v>
      </c>
      <c r="AY144" s="34" t="s">
        <v>7</v>
      </c>
      <c r="AZ144" s="33" t="s">
        <v>7</v>
      </c>
      <c r="BA144" s="34" t="s">
        <v>7</v>
      </c>
    </row>
    <row r="145" spans="1:53" ht="8.25" customHeight="1" x14ac:dyDescent="0.25">
      <c r="A145" s="16">
        <v>144</v>
      </c>
      <c r="B145" s="17" t="s">
        <v>520</v>
      </c>
      <c r="C145" s="36" t="s">
        <v>527</v>
      </c>
      <c r="D145" s="33" t="s">
        <v>7</v>
      </c>
      <c r="E145" s="34" t="s">
        <v>7</v>
      </c>
      <c r="F145" s="33" t="s">
        <v>7</v>
      </c>
      <c r="G145" s="34" t="s">
        <v>7</v>
      </c>
      <c r="H145" s="33" t="s">
        <v>7</v>
      </c>
      <c r="I145" s="34" t="s">
        <v>7</v>
      </c>
      <c r="J145" s="40" t="s">
        <v>528</v>
      </c>
      <c r="K145" s="66" t="s">
        <v>532</v>
      </c>
      <c r="L145" s="40" t="s">
        <v>7</v>
      </c>
      <c r="M145" s="39" t="s">
        <v>7</v>
      </c>
      <c r="N145" s="40" t="s">
        <v>7</v>
      </c>
      <c r="O145" s="19" t="s">
        <v>7</v>
      </c>
      <c r="P145" s="40" t="s">
        <v>7</v>
      </c>
      <c r="Q145" s="19" t="s">
        <v>7</v>
      </c>
      <c r="R145" s="31" t="s">
        <v>7</v>
      </c>
      <c r="S145" s="19" t="s">
        <v>7</v>
      </c>
      <c r="T145" s="31" t="s">
        <v>7</v>
      </c>
      <c r="U145" s="19" t="s">
        <v>7</v>
      </c>
      <c r="V145" s="31" t="s">
        <v>7</v>
      </c>
      <c r="W145" s="19" t="s">
        <v>7</v>
      </c>
      <c r="X145" s="31" t="s">
        <v>7</v>
      </c>
      <c r="Y145" s="19" t="s">
        <v>7</v>
      </c>
      <c r="Z145" s="31" t="s">
        <v>7</v>
      </c>
      <c r="AA145" s="19" t="s">
        <v>7</v>
      </c>
      <c r="AB145" s="31" t="s">
        <v>7</v>
      </c>
      <c r="AC145" s="19" t="s">
        <v>7</v>
      </c>
      <c r="AD145" s="31" t="s">
        <v>7</v>
      </c>
      <c r="AE145" s="19" t="s">
        <v>7</v>
      </c>
      <c r="AF145" s="31" t="s">
        <v>14</v>
      </c>
      <c r="AG145" s="32" t="s">
        <v>535</v>
      </c>
      <c r="AH145" s="31" t="s">
        <v>7</v>
      </c>
      <c r="AI145" s="19" t="s">
        <v>7</v>
      </c>
      <c r="AJ145" s="38" t="s">
        <v>547</v>
      </c>
      <c r="AK145" s="19" t="s">
        <v>1049</v>
      </c>
      <c r="AL145" s="38" t="s">
        <v>548</v>
      </c>
      <c r="AM145" s="19" t="s">
        <v>1053</v>
      </c>
      <c r="AN145" s="38" t="s">
        <v>1038</v>
      </c>
      <c r="AO145" s="19" t="s">
        <v>1039</v>
      </c>
      <c r="AP145" s="31" t="s">
        <v>7</v>
      </c>
      <c r="AQ145" s="19" t="s">
        <v>7</v>
      </c>
      <c r="AR145" s="33" t="s">
        <v>7</v>
      </c>
      <c r="AS145" s="34" t="s">
        <v>7</v>
      </c>
      <c r="AT145" s="33" t="s">
        <v>7</v>
      </c>
      <c r="AU145" s="34" t="s">
        <v>7</v>
      </c>
      <c r="AV145" s="33" t="s">
        <v>7</v>
      </c>
      <c r="AW145" s="34" t="s">
        <v>7</v>
      </c>
      <c r="AX145" s="33" t="s">
        <v>7</v>
      </c>
      <c r="AY145" s="34" t="s">
        <v>7</v>
      </c>
      <c r="AZ145" s="33" t="s">
        <v>7</v>
      </c>
      <c r="BA145" s="34" t="s">
        <v>7</v>
      </c>
    </row>
    <row r="146" spans="1:53" ht="8.25" customHeight="1" x14ac:dyDescent="0.25">
      <c r="A146" s="16">
        <v>145</v>
      </c>
      <c r="B146" s="17" t="s">
        <v>521</v>
      </c>
      <c r="C146" s="36" t="s">
        <v>527</v>
      </c>
      <c r="D146" s="33" t="s">
        <v>7</v>
      </c>
      <c r="E146" s="34" t="s">
        <v>7</v>
      </c>
      <c r="F146" s="33" t="s">
        <v>7</v>
      </c>
      <c r="G146" s="34" t="s">
        <v>7</v>
      </c>
      <c r="H146" s="33" t="s">
        <v>7</v>
      </c>
      <c r="I146" s="34" t="s">
        <v>7</v>
      </c>
      <c r="J146" s="40" t="s">
        <v>528</v>
      </c>
      <c r="K146" s="66" t="s">
        <v>530</v>
      </c>
      <c r="L146" s="40" t="s">
        <v>7</v>
      </c>
      <c r="M146" s="39" t="s">
        <v>7</v>
      </c>
      <c r="N146" s="40" t="s">
        <v>7</v>
      </c>
      <c r="O146" s="19" t="s">
        <v>7</v>
      </c>
      <c r="P146" s="40" t="s">
        <v>7</v>
      </c>
      <c r="Q146" s="19" t="s">
        <v>7</v>
      </c>
      <c r="R146" s="31" t="s">
        <v>7</v>
      </c>
      <c r="S146" s="19" t="s">
        <v>7</v>
      </c>
      <c r="T146" s="31" t="s">
        <v>7</v>
      </c>
      <c r="U146" s="19" t="s">
        <v>7</v>
      </c>
      <c r="V146" s="31" t="s">
        <v>7</v>
      </c>
      <c r="W146" s="19" t="s">
        <v>7</v>
      </c>
      <c r="X146" s="31" t="s">
        <v>7</v>
      </c>
      <c r="Y146" s="19" t="s">
        <v>7</v>
      </c>
      <c r="Z146" s="31" t="s">
        <v>7</v>
      </c>
      <c r="AA146" s="19" t="s">
        <v>7</v>
      </c>
      <c r="AB146" s="31" t="s">
        <v>7</v>
      </c>
      <c r="AC146" s="19" t="s">
        <v>7</v>
      </c>
      <c r="AD146" s="31" t="s">
        <v>7</v>
      </c>
      <c r="AE146" s="19" t="s">
        <v>7</v>
      </c>
      <c r="AF146" s="31" t="s">
        <v>14</v>
      </c>
      <c r="AG146" s="32" t="s">
        <v>536</v>
      </c>
      <c r="AH146" s="31" t="s">
        <v>7</v>
      </c>
      <c r="AI146" s="19" t="s">
        <v>7</v>
      </c>
      <c r="AJ146" s="38" t="s">
        <v>547</v>
      </c>
      <c r="AK146" s="19" t="s">
        <v>1049</v>
      </c>
      <c r="AL146" s="38" t="s">
        <v>548</v>
      </c>
      <c r="AM146" s="19" t="s">
        <v>1053</v>
      </c>
      <c r="AN146" s="38" t="s">
        <v>1038</v>
      </c>
      <c r="AO146" s="19" t="s">
        <v>1039</v>
      </c>
      <c r="AP146" s="31" t="s">
        <v>7</v>
      </c>
      <c r="AQ146" s="19" t="s">
        <v>7</v>
      </c>
      <c r="AR146" s="33" t="s">
        <v>7</v>
      </c>
      <c r="AS146" s="34" t="s">
        <v>7</v>
      </c>
      <c r="AT146" s="33" t="s">
        <v>7</v>
      </c>
      <c r="AU146" s="34" t="s">
        <v>7</v>
      </c>
      <c r="AV146" s="33" t="s">
        <v>7</v>
      </c>
      <c r="AW146" s="34" t="s">
        <v>7</v>
      </c>
      <c r="AX146" s="33" t="s">
        <v>7</v>
      </c>
      <c r="AY146" s="34" t="s">
        <v>7</v>
      </c>
      <c r="AZ146" s="33" t="s">
        <v>7</v>
      </c>
      <c r="BA146" s="34" t="s">
        <v>7</v>
      </c>
    </row>
    <row r="147" spans="1:53" ht="8.25" customHeight="1" x14ac:dyDescent="0.25">
      <c r="A147" s="16">
        <v>146</v>
      </c>
      <c r="B147" s="17" t="s">
        <v>78</v>
      </c>
      <c r="C147" s="68" t="s">
        <v>1628</v>
      </c>
      <c r="D147" s="33" t="s">
        <v>1627</v>
      </c>
      <c r="E147" s="34" t="s">
        <v>1625</v>
      </c>
      <c r="F147" s="29" t="s">
        <v>7</v>
      </c>
      <c r="G147" s="30" t="s">
        <v>7</v>
      </c>
      <c r="H147" s="33" t="s">
        <v>7</v>
      </c>
      <c r="I147" s="34" t="s">
        <v>7</v>
      </c>
      <c r="J147" s="40" t="s">
        <v>7</v>
      </c>
      <c r="K147" s="39" t="s">
        <v>7</v>
      </c>
      <c r="L147" s="40" t="s">
        <v>7</v>
      </c>
      <c r="M147" s="39" t="s">
        <v>7</v>
      </c>
      <c r="N147" s="40" t="s">
        <v>7</v>
      </c>
      <c r="O147" s="19" t="s">
        <v>7</v>
      </c>
      <c r="P147" s="40" t="s">
        <v>7</v>
      </c>
      <c r="Q147" s="19" t="s">
        <v>7</v>
      </c>
      <c r="R147" s="31" t="s">
        <v>7</v>
      </c>
      <c r="S147" s="19" t="s">
        <v>7</v>
      </c>
      <c r="T147" s="31" t="s">
        <v>7</v>
      </c>
      <c r="U147" s="19" t="s">
        <v>7</v>
      </c>
      <c r="V147" s="31" t="s">
        <v>7</v>
      </c>
      <c r="W147" s="19" t="s">
        <v>7</v>
      </c>
      <c r="X147" s="31" t="s">
        <v>7</v>
      </c>
      <c r="Y147" s="19" t="s">
        <v>7</v>
      </c>
      <c r="Z147" s="31" t="s">
        <v>7</v>
      </c>
      <c r="AA147" s="19" t="s">
        <v>7</v>
      </c>
      <c r="AB147" s="31" t="s">
        <v>7</v>
      </c>
      <c r="AC147" s="19" t="s">
        <v>7</v>
      </c>
      <c r="AD147" s="31" t="s">
        <v>7</v>
      </c>
      <c r="AE147" s="19" t="s">
        <v>7</v>
      </c>
      <c r="AF147" s="31" t="s">
        <v>14</v>
      </c>
      <c r="AG147" s="39" t="s">
        <v>563</v>
      </c>
      <c r="AH147" s="31" t="s">
        <v>7</v>
      </c>
      <c r="AI147" s="19" t="s">
        <v>7</v>
      </c>
      <c r="AJ147" s="31" t="s">
        <v>7</v>
      </c>
      <c r="AK147" s="19" t="s">
        <v>7</v>
      </c>
      <c r="AL147" s="31" t="s">
        <v>7</v>
      </c>
      <c r="AM147" s="19" t="s">
        <v>7</v>
      </c>
      <c r="AN147" s="31" t="s">
        <v>7</v>
      </c>
      <c r="AO147" s="19" t="s">
        <v>7</v>
      </c>
      <c r="AP147" s="31" t="s">
        <v>7</v>
      </c>
      <c r="AQ147" s="19" t="s">
        <v>7</v>
      </c>
      <c r="AR147" s="33" t="s">
        <v>1271</v>
      </c>
      <c r="AS147" s="34" t="s">
        <v>1195</v>
      </c>
      <c r="AT147" s="33" t="s">
        <v>7</v>
      </c>
      <c r="AU147" s="34" t="s">
        <v>7</v>
      </c>
      <c r="AV147" s="33" t="s">
        <v>7</v>
      </c>
      <c r="AW147" s="34" t="s">
        <v>7</v>
      </c>
      <c r="AX147" s="33" t="s">
        <v>7</v>
      </c>
      <c r="AY147" s="34" t="s">
        <v>7</v>
      </c>
      <c r="AZ147" s="33" t="s">
        <v>7</v>
      </c>
      <c r="BA147" s="34" t="s">
        <v>7</v>
      </c>
    </row>
    <row r="148" spans="1:53" ht="8.25" customHeight="1" x14ac:dyDescent="0.25">
      <c r="A148" s="16">
        <v>147</v>
      </c>
      <c r="B148" s="17" t="s">
        <v>79</v>
      </c>
      <c r="C148" s="68" t="s">
        <v>1628</v>
      </c>
      <c r="D148" s="33" t="s">
        <v>1627</v>
      </c>
      <c r="E148" s="34" t="s">
        <v>1625</v>
      </c>
      <c r="F148" s="29" t="s">
        <v>7</v>
      </c>
      <c r="G148" s="30" t="s">
        <v>7</v>
      </c>
      <c r="H148" s="33" t="s">
        <v>7</v>
      </c>
      <c r="I148" s="34" t="s">
        <v>7</v>
      </c>
      <c r="J148" s="40" t="s">
        <v>7</v>
      </c>
      <c r="K148" s="39" t="s">
        <v>7</v>
      </c>
      <c r="L148" s="40" t="s">
        <v>7</v>
      </c>
      <c r="M148" s="39" t="s">
        <v>7</v>
      </c>
      <c r="N148" s="40" t="s">
        <v>7</v>
      </c>
      <c r="O148" s="19" t="s">
        <v>7</v>
      </c>
      <c r="P148" s="40" t="s">
        <v>7</v>
      </c>
      <c r="Q148" s="19" t="s">
        <v>7</v>
      </c>
      <c r="R148" s="31" t="s">
        <v>7</v>
      </c>
      <c r="S148" s="19" t="s">
        <v>7</v>
      </c>
      <c r="T148" s="31" t="s">
        <v>7</v>
      </c>
      <c r="U148" s="19" t="s">
        <v>7</v>
      </c>
      <c r="V148" s="31" t="s">
        <v>7</v>
      </c>
      <c r="W148" s="19" t="s">
        <v>7</v>
      </c>
      <c r="X148" s="31" t="s">
        <v>7</v>
      </c>
      <c r="Y148" s="19" t="s">
        <v>7</v>
      </c>
      <c r="Z148" s="31" t="s">
        <v>7</v>
      </c>
      <c r="AA148" s="19" t="s">
        <v>7</v>
      </c>
      <c r="AB148" s="31" t="s">
        <v>7</v>
      </c>
      <c r="AC148" s="19" t="s">
        <v>7</v>
      </c>
      <c r="AD148" s="31" t="s">
        <v>7</v>
      </c>
      <c r="AE148" s="19" t="s">
        <v>7</v>
      </c>
      <c r="AF148" s="31" t="s">
        <v>14</v>
      </c>
      <c r="AG148" s="39" t="s">
        <v>564</v>
      </c>
      <c r="AH148" s="31" t="s">
        <v>7</v>
      </c>
      <c r="AI148" s="19" t="s">
        <v>7</v>
      </c>
      <c r="AJ148" s="31" t="s">
        <v>7</v>
      </c>
      <c r="AK148" s="19" t="s">
        <v>7</v>
      </c>
      <c r="AL148" s="31" t="s">
        <v>7</v>
      </c>
      <c r="AM148" s="19" t="s">
        <v>7</v>
      </c>
      <c r="AN148" s="31" t="s">
        <v>7</v>
      </c>
      <c r="AO148" s="19" t="s">
        <v>7</v>
      </c>
      <c r="AP148" s="31" t="s">
        <v>7</v>
      </c>
      <c r="AQ148" s="19" t="s">
        <v>7</v>
      </c>
      <c r="AR148" s="33" t="s">
        <v>1271</v>
      </c>
      <c r="AS148" s="34" t="s">
        <v>1195</v>
      </c>
      <c r="AT148" s="33" t="s">
        <v>7</v>
      </c>
      <c r="AU148" s="34" t="s">
        <v>7</v>
      </c>
      <c r="AV148" s="33" t="s">
        <v>7</v>
      </c>
      <c r="AW148" s="34" t="s">
        <v>7</v>
      </c>
      <c r="AX148" s="33" t="s">
        <v>7</v>
      </c>
      <c r="AY148" s="34" t="s">
        <v>7</v>
      </c>
      <c r="AZ148" s="33" t="s">
        <v>7</v>
      </c>
      <c r="BA148" s="34" t="s">
        <v>7</v>
      </c>
    </row>
    <row r="149" spans="1:53" ht="8.25" customHeight="1" x14ac:dyDescent="0.25">
      <c r="A149" s="16">
        <v>148</v>
      </c>
      <c r="B149" s="17" t="s">
        <v>376</v>
      </c>
      <c r="C149" s="68" t="s">
        <v>1628</v>
      </c>
      <c r="D149" s="33" t="s">
        <v>1627</v>
      </c>
      <c r="E149" s="34" t="s">
        <v>1625</v>
      </c>
      <c r="F149" s="29" t="s">
        <v>7</v>
      </c>
      <c r="G149" s="30" t="s">
        <v>7</v>
      </c>
      <c r="H149" s="33" t="s">
        <v>7</v>
      </c>
      <c r="I149" s="34" t="s">
        <v>7</v>
      </c>
      <c r="J149" s="40" t="s">
        <v>7</v>
      </c>
      <c r="K149" s="39" t="s">
        <v>7</v>
      </c>
      <c r="L149" s="40" t="s">
        <v>7</v>
      </c>
      <c r="M149" s="39" t="s">
        <v>7</v>
      </c>
      <c r="N149" s="40" t="s">
        <v>7</v>
      </c>
      <c r="O149" s="19" t="s">
        <v>7</v>
      </c>
      <c r="P149" s="40" t="s">
        <v>7</v>
      </c>
      <c r="Q149" s="19" t="s">
        <v>7</v>
      </c>
      <c r="R149" s="31" t="s">
        <v>7</v>
      </c>
      <c r="S149" s="19" t="s">
        <v>7</v>
      </c>
      <c r="T149" s="31" t="s">
        <v>7</v>
      </c>
      <c r="U149" s="19" t="s">
        <v>7</v>
      </c>
      <c r="V149" s="31" t="s">
        <v>7</v>
      </c>
      <c r="W149" s="19" t="s">
        <v>7</v>
      </c>
      <c r="X149" s="31" t="s">
        <v>7</v>
      </c>
      <c r="Y149" s="19" t="s">
        <v>7</v>
      </c>
      <c r="Z149" s="31" t="s">
        <v>7</v>
      </c>
      <c r="AA149" s="19" t="s">
        <v>7</v>
      </c>
      <c r="AB149" s="31" t="s">
        <v>7</v>
      </c>
      <c r="AC149" s="19" t="s">
        <v>7</v>
      </c>
      <c r="AD149" s="31" t="s">
        <v>7</v>
      </c>
      <c r="AE149" s="19" t="s">
        <v>7</v>
      </c>
      <c r="AF149" s="31" t="s">
        <v>14</v>
      </c>
      <c r="AG149" s="39" t="s">
        <v>565</v>
      </c>
      <c r="AH149" s="31" t="s">
        <v>7</v>
      </c>
      <c r="AI149" s="19" t="s">
        <v>7</v>
      </c>
      <c r="AJ149" s="31" t="s">
        <v>7</v>
      </c>
      <c r="AK149" s="19" t="s">
        <v>7</v>
      </c>
      <c r="AL149" s="31" t="s">
        <v>7</v>
      </c>
      <c r="AM149" s="19" t="s">
        <v>7</v>
      </c>
      <c r="AN149" s="31" t="s">
        <v>7</v>
      </c>
      <c r="AO149" s="19" t="s">
        <v>7</v>
      </c>
      <c r="AP149" s="31" t="s">
        <v>7</v>
      </c>
      <c r="AQ149" s="19" t="s">
        <v>7</v>
      </c>
      <c r="AR149" s="33" t="s">
        <v>1271</v>
      </c>
      <c r="AS149" s="34" t="s">
        <v>1195</v>
      </c>
      <c r="AT149" s="33" t="s">
        <v>7</v>
      </c>
      <c r="AU149" s="34" t="s">
        <v>7</v>
      </c>
      <c r="AV149" s="33" t="s">
        <v>7</v>
      </c>
      <c r="AW149" s="34" t="s">
        <v>7</v>
      </c>
      <c r="AX149" s="33" t="s">
        <v>7</v>
      </c>
      <c r="AY149" s="34" t="s">
        <v>7</v>
      </c>
      <c r="AZ149" s="33" t="s">
        <v>7</v>
      </c>
      <c r="BA149" s="34" t="s">
        <v>7</v>
      </c>
    </row>
    <row r="150" spans="1:53" ht="8.25" customHeight="1" x14ac:dyDescent="0.25">
      <c r="A150" s="16">
        <v>149</v>
      </c>
      <c r="B150" s="17" t="s">
        <v>507</v>
      </c>
      <c r="C150" s="69" t="s">
        <v>1202</v>
      </c>
      <c r="D150" s="33" t="s">
        <v>1273</v>
      </c>
      <c r="E150" s="34" t="s">
        <v>78</v>
      </c>
      <c r="F150" s="33" t="s">
        <v>1273</v>
      </c>
      <c r="G150" s="34" t="s">
        <v>376</v>
      </c>
      <c r="H150" s="29" t="s">
        <v>516</v>
      </c>
      <c r="I150" s="30" t="s">
        <v>406</v>
      </c>
      <c r="J150" s="40" t="s">
        <v>7</v>
      </c>
      <c r="K150" s="39" t="s">
        <v>7</v>
      </c>
      <c r="L150" s="40" t="s">
        <v>7</v>
      </c>
      <c r="M150" s="39" t="s">
        <v>7</v>
      </c>
      <c r="N150" s="40" t="s">
        <v>7</v>
      </c>
      <c r="O150" s="19" t="s">
        <v>7</v>
      </c>
      <c r="P150" s="40" t="s">
        <v>7</v>
      </c>
      <c r="Q150" s="19" t="s">
        <v>7</v>
      </c>
      <c r="R150" s="31" t="s">
        <v>7</v>
      </c>
      <c r="S150" s="19" t="s">
        <v>7</v>
      </c>
      <c r="T150" s="31" t="s">
        <v>7</v>
      </c>
      <c r="U150" s="19" t="s">
        <v>7</v>
      </c>
      <c r="V150" s="31" t="s">
        <v>7</v>
      </c>
      <c r="W150" s="19" t="s">
        <v>7</v>
      </c>
      <c r="X150" s="31" t="s">
        <v>7</v>
      </c>
      <c r="Y150" s="19" t="s">
        <v>7</v>
      </c>
      <c r="Z150" s="31" t="s">
        <v>7</v>
      </c>
      <c r="AA150" s="19" t="s">
        <v>7</v>
      </c>
      <c r="AB150" s="31" t="s">
        <v>7</v>
      </c>
      <c r="AC150" s="19" t="s">
        <v>7</v>
      </c>
      <c r="AD150" s="31" t="s">
        <v>7</v>
      </c>
      <c r="AE150" s="19" t="s">
        <v>7</v>
      </c>
      <c r="AF150" s="31" t="s">
        <v>14</v>
      </c>
      <c r="AG150" s="39" t="s">
        <v>511</v>
      </c>
      <c r="AH150" s="31" t="s">
        <v>7</v>
      </c>
      <c r="AI150" s="19" t="s">
        <v>7</v>
      </c>
      <c r="AJ150" s="38" t="s">
        <v>547</v>
      </c>
      <c r="AK150" s="19" t="s">
        <v>1048</v>
      </c>
      <c r="AL150" s="38" t="s">
        <v>548</v>
      </c>
      <c r="AM150" s="19" t="s">
        <v>1052</v>
      </c>
      <c r="AN150" s="38" t="s">
        <v>1038</v>
      </c>
      <c r="AO150" s="19" t="s">
        <v>1274</v>
      </c>
      <c r="AP150" s="31" t="s">
        <v>7</v>
      </c>
      <c r="AQ150" s="19" t="s">
        <v>7</v>
      </c>
      <c r="AR150" s="33" t="s">
        <v>1271</v>
      </c>
      <c r="AS150" s="34" t="s">
        <v>1195</v>
      </c>
      <c r="AT150" s="33" t="s">
        <v>7</v>
      </c>
      <c r="AU150" s="34" t="s">
        <v>7</v>
      </c>
      <c r="AV150" s="33" t="s">
        <v>7</v>
      </c>
      <c r="AW150" s="34" t="s">
        <v>7</v>
      </c>
      <c r="AX150" s="33" t="s">
        <v>7</v>
      </c>
      <c r="AY150" s="34" t="s">
        <v>7</v>
      </c>
      <c r="AZ150" s="33" t="s">
        <v>7</v>
      </c>
      <c r="BA150" s="34" t="s">
        <v>7</v>
      </c>
    </row>
    <row r="151" spans="1:53" ht="8.25" customHeight="1" x14ac:dyDescent="0.25">
      <c r="A151" s="16">
        <v>150</v>
      </c>
      <c r="B151" s="17" t="s">
        <v>508</v>
      </c>
      <c r="C151" s="69" t="s">
        <v>1202</v>
      </c>
      <c r="D151" s="33" t="s">
        <v>1273</v>
      </c>
      <c r="E151" s="34" t="s">
        <v>78</v>
      </c>
      <c r="F151" s="33" t="s">
        <v>1273</v>
      </c>
      <c r="G151" s="34" t="s">
        <v>376</v>
      </c>
      <c r="H151" s="29" t="s">
        <v>516</v>
      </c>
      <c r="I151" s="30" t="s">
        <v>406</v>
      </c>
      <c r="J151" s="40" t="s">
        <v>7</v>
      </c>
      <c r="K151" s="39" t="s">
        <v>7</v>
      </c>
      <c r="L151" s="40" t="s">
        <v>7</v>
      </c>
      <c r="M151" s="39" t="s">
        <v>7</v>
      </c>
      <c r="N151" s="40" t="s">
        <v>7</v>
      </c>
      <c r="O151" s="19" t="s">
        <v>7</v>
      </c>
      <c r="P151" s="40" t="s">
        <v>7</v>
      </c>
      <c r="Q151" s="19" t="s">
        <v>7</v>
      </c>
      <c r="R151" s="31" t="s">
        <v>7</v>
      </c>
      <c r="S151" s="19" t="s">
        <v>7</v>
      </c>
      <c r="T151" s="31" t="s">
        <v>7</v>
      </c>
      <c r="U151" s="19" t="s">
        <v>7</v>
      </c>
      <c r="V151" s="31" t="s">
        <v>7</v>
      </c>
      <c r="W151" s="19" t="s">
        <v>7</v>
      </c>
      <c r="X151" s="31" t="s">
        <v>7</v>
      </c>
      <c r="Y151" s="19" t="s">
        <v>7</v>
      </c>
      <c r="Z151" s="31" t="s">
        <v>7</v>
      </c>
      <c r="AA151" s="19" t="s">
        <v>7</v>
      </c>
      <c r="AB151" s="31" t="s">
        <v>7</v>
      </c>
      <c r="AC151" s="19" t="s">
        <v>7</v>
      </c>
      <c r="AD151" s="31" t="s">
        <v>7</v>
      </c>
      <c r="AE151" s="19" t="s">
        <v>7</v>
      </c>
      <c r="AF151" s="31" t="s">
        <v>14</v>
      </c>
      <c r="AG151" s="39" t="s">
        <v>511</v>
      </c>
      <c r="AH151" s="31" t="s">
        <v>7</v>
      </c>
      <c r="AI151" s="19" t="s">
        <v>7</v>
      </c>
      <c r="AJ151" s="38" t="s">
        <v>547</v>
      </c>
      <c r="AK151" s="19" t="s">
        <v>1048</v>
      </c>
      <c r="AL151" s="38" t="s">
        <v>548</v>
      </c>
      <c r="AM151" s="19" t="s">
        <v>1052</v>
      </c>
      <c r="AN151" s="38" t="s">
        <v>1038</v>
      </c>
      <c r="AO151" s="19" t="s">
        <v>1274</v>
      </c>
      <c r="AP151" s="31" t="s">
        <v>7</v>
      </c>
      <c r="AQ151" s="19" t="s">
        <v>7</v>
      </c>
      <c r="AR151" s="33" t="s">
        <v>1271</v>
      </c>
      <c r="AS151" s="34" t="s">
        <v>1195</v>
      </c>
      <c r="AT151" s="33" t="s">
        <v>7</v>
      </c>
      <c r="AU151" s="34" t="s">
        <v>7</v>
      </c>
      <c r="AV151" s="33" t="s">
        <v>7</v>
      </c>
      <c r="AW151" s="34" t="s">
        <v>7</v>
      </c>
      <c r="AX151" s="33" t="s">
        <v>7</v>
      </c>
      <c r="AY151" s="34" t="s">
        <v>7</v>
      </c>
      <c r="AZ151" s="33" t="s">
        <v>7</v>
      </c>
      <c r="BA151" s="34" t="s">
        <v>7</v>
      </c>
    </row>
    <row r="152" spans="1:53" ht="8.25" customHeight="1" x14ac:dyDescent="0.25">
      <c r="A152" s="16">
        <v>151</v>
      </c>
      <c r="B152" s="17" t="s">
        <v>509</v>
      </c>
      <c r="C152" s="69" t="s">
        <v>1202</v>
      </c>
      <c r="D152" s="33" t="s">
        <v>1273</v>
      </c>
      <c r="E152" s="34" t="s">
        <v>78</v>
      </c>
      <c r="F152" s="33" t="s">
        <v>1273</v>
      </c>
      <c r="G152" s="34" t="s">
        <v>376</v>
      </c>
      <c r="H152" s="29" t="s">
        <v>516</v>
      </c>
      <c r="I152" s="30" t="s">
        <v>407</v>
      </c>
      <c r="J152" s="40" t="s">
        <v>7</v>
      </c>
      <c r="K152" s="39" t="s">
        <v>7</v>
      </c>
      <c r="L152" s="40" t="s">
        <v>7</v>
      </c>
      <c r="M152" s="39" t="s">
        <v>7</v>
      </c>
      <c r="N152" s="40" t="s">
        <v>7</v>
      </c>
      <c r="O152" s="19" t="s">
        <v>7</v>
      </c>
      <c r="P152" s="40" t="s">
        <v>7</v>
      </c>
      <c r="Q152" s="19" t="s">
        <v>7</v>
      </c>
      <c r="R152" s="31" t="s">
        <v>7</v>
      </c>
      <c r="S152" s="19" t="s">
        <v>7</v>
      </c>
      <c r="T152" s="31" t="s">
        <v>7</v>
      </c>
      <c r="U152" s="19" t="s">
        <v>7</v>
      </c>
      <c r="V152" s="31" t="s">
        <v>7</v>
      </c>
      <c r="W152" s="19" t="s">
        <v>7</v>
      </c>
      <c r="X152" s="31" t="s">
        <v>7</v>
      </c>
      <c r="Y152" s="19" t="s">
        <v>7</v>
      </c>
      <c r="Z152" s="31" t="s">
        <v>7</v>
      </c>
      <c r="AA152" s="19" t="s">
        <v>7</v>
      </c>
      <c r="AB152" s="31" t="s">
        <v>7</v>
      </c>
      <c r="AC152" s="19" t="s">
        <v>7</v>
      </c>
      <c r="AD152" s="31" t="s">
        <v>7</v>
      </c>
      <c r="AE152" s="19" t="s">
        <v>7</v>
      </c>
      <c r="AF152" s="31" t="s">
        <v>14</v>
      </c>
      <c r="AG152" s="39" t="s">
        <v>511</v>
      </c>
      <c r="AH152" s="31" t="s">
        <v>7</v>
      </c>
      <c r="AI152" s="19" t="s">
        <v>7</v>
      </c>
      <c r="AJ152" s="38" t="s">
        <v>547</v>
      </c>
      <c r="AK152" s="19" t="s">
        <v>1048</v>
      </c>
      <c r="AL152" s="38" t="s">
        <v>548</v>
      </c>
      <c r="AM152" s="19" t="s">
        <v>1052</v>
      </c>
      <c r="AN152" s="38" t="s">
        <v>1038</v>
      </c>
      <c r="AO152" s="19" t="s">
        <v>1274</v>
      </c>
      <c r="AP152" s="31" t="s">
        <v>7</v>
      </c>
      <c r="AQ152" s="19" t="s">
        <v>7</v>
      </c>
      <c r="AR152" s="33" t="s">
        <v>1271</v>
      </c>
      <c r="AS152" s="34" t="s">
        <v>1195</v>
      </c>
      <c r="AT152" s="33" t="s">
        <v>7</v>
      </c>
      <c r="AU152" s="34" t="s">
        <v>7</v>
      </c>
      <c r="AV152" s="33" t="s">
        <v>7</v>
      </c>
      <c r="AW152" s="34" t="s">
        <v>7</v>
      </c>
      <c r="AX152" s="33" t="s">
        <v>7</v>
      </c>
      <c r="AY152" s="34" t="s">
        <v>7</v>
      </c>
      <c r="AZ152" s="33" t="s">
        <v>7</v>
      </c>
      <c r="BA152" s="34" t="s">
        <v>7</v>
      </c>
    </row>
    <row r="153" spans="1:53" ht="8.25" customHeight="1" x14ac:dyDescent="0.25">
      <c r="A153" s="16">
        <v>152</v>
      </c>
      <c r="B153" s="17" t="s">
        <v>510</v>
      </c>
      <c r="C153" s="69" t="s">
        <v>1202</v>
      </c>
      <c r="D153" s="33" t="s">
        <v>1273</v>
      </c>
      <c r="E153" s="34" t="s">
        <v>78</v>
      </c>
      <c r="F153" s="33" t="s">
        <v>1273</v>
      </c>
      <c r="G153" s="34" t="s">
        <v>376</v>
      </c>
      <c r="H153" s="29" t="s">
        <v>516</v>
      </c>
      <c r="I153" s="30" t="s">
        <v>407</v>
      </c>
      <c r="J153" s="40" t="s">
        <v>7</v>
      </c>
      <c r="K153" s="39" t="s">
        <v>7</v>
      </c>
      <c r="L153" s="40" t="s">
        <v>7</v>
      </c>
      <c r="M153" s="39" t="s">
        <v>7</v>
      </c>
      <c r="N153" s="40" t="s">
        <v>7</v>
      </c>
      <c r="O153" s="19" t="s">
        <v>7</v>
      </c>
      <c r="P153" s="40" t="s">
        <v>7</v>
      </c>
      <c r="Q153" s="19" t="s">
        <v>7</v>
      </c>
      <c r="R153" s="31" t="s">
        <v>7</v>
      </c>
      <c r="S153" s="19" t="s">
        <v>7</v>
      </c>
      <c r="T153" s="31" t="s">
        <v>7</v>
      </c>
      <c r="U153" s="19" t="s">
        <v>7</v>
      </c>
      <c r="V153" s="31" t="s">
        <v>7</v>
      </c>
      <c r="W153" s="19" t="s">
        <v>7</v>
      </c>
      <c r="X153" s="31" t="s">
        <v>7</v>
      </c>
      <c r="Y153" s="19" t="s">
        <v>7</v>
      </c>
      <c r="Z153" s="31" t="s">
        <v>7</v>
      </c>
      <c r="AA153" s="19" t="s">
        <v>7</v>
      </c>
      <c r="AB153" s="31" t="s">
        <v>7</v>
      </c>
      <c r="AC153" s="19" t="s">
        <v>7</v>
      </c>
      <c r="AD153" s="31" t="s">
        <v>7</v>
      </c>
      <c r="AE153" s="19" t="s">
        <v>7</v>
      </c>
      <c r="AF153" s="31" t="s">
        <v>14</v>
      </c>
      <c r="AG153" s="39" t="s">
        <v>511</v>
      </c>
      <c r="AH153" s="31" t="s">
        <v>7</v>
      </c>
      <c r="AI153" s="19" t="s">
        <v>7</v>
      </c>
      <c r="AJ153" s="38" t="s">
        <v>547</v>
      </c>
      <c r="AK153" s="19" t="s">
        <v>1048</v>
      </c>
      <c r="AL153" s="38" t="s">
        <v>548</v>
      </c>
      <c r="AM153" s="19" t="s">
        <v>1052</v>
      </c>
      <c r="AN153" s="38" t="s">
        <v>1038</v>
      </c>
      <c r="AO153" s="19" t="s">
        <v>1274</v>
      </c>
      <c r="AP153" s="31" t="s">
        <v>7</v>
      </c>
      <c r="AQ153" s="19" t="s">
        <v>7</v>
      </c>
      <c r="AR153" s="33" t="s">
        <v>1271</v>
      </c>
      <c r="AS153" s="34" t="s">
        <v>1195</v>
      </c>
      <c r="AT153" s="33" t="s">
        <v>7</v>
      </c>
      <c r="AU153" s="34" t="s">
        <v>7</v>
      </c>
      <c r="AV153" s="33" t="s">
        <v>7</v>
      </c>
      <c r="AW153" s="34" t="s">
        <v>7</v>
      </c>
      <c r="AX153" s="33" t="s">
        <v>7</v>
      </c>
      <c r="AY153" s="34" t="s">
        <v>7</v>
      </c>
      <c r="AZ153" s="33" t="s">
        <v>7</v>
      </c>
      <c r="BA153" s="34" t="s">
        <v>7</v>
      </c>
    </row>
    <row r="154" spans="1:53" ht="8.25" customHeight="1" x14ac:dyDescent="0.25">
      <c r="A154" s="16">
        <v>153</v>
      </c>
      <c r="B154" s="17" t="s">
        <v>512</v>
      </c>
      <c r="C154" s="69" t="s">
        <v>1203</v>
      </c>
      <c r="D154" s="33" t="s">
        <v>1273</v>
      </c>
      <c r="E154" s="34" t="s">
        <v>78</v>
      </c>
      <c r="F154" s="33" t="s">
        <v>1273</v>
      </c>
      <c r="G154" s="34" t="s">
        <v>376</v>
      </c>
      <c r="H154" s="29" t="s">
        <v>516</v>
      </c>
      <c r="I154" s="30" t="s">
        <v>407</v>
      </c>
      <c r="J154" s="40" t="s">
        <v>7</v>
      </c>
      <c r="K154" s="39" t="s">
        <v>7</v>
      </c>
      <c r="L154" s="40" t="s">
        <v>7</v>
      </c>
      <c r="M154" s="39" t="s">
        <v>7</v>
      </c>
      <c r="N154" s="40" t="s">
        <v>7</v>
      </c>
      <c r="O154" s="19" t="s">
        <v>7</v>
      </c>
      <c r="P154" s="40" t="s">
        <v>7</v>
      </c>
      <c r="Q154" s="19" t="s">
        <v>7</v>
      </c>
      <c r="R154" s="31" t="s">
        <v>7</v>
      </c>
      <c r="S154" s="19" t="s">
        <v>7</v>
      </c>
      <c r="T154" s="31" t="s">
        <v>7</v>
      </c>
      <c r="U154" s="19" t="s">
        <v>7</v>
      </c>
      <c r="V154" s="31" t="s">
        <v>7</v>
      </c>
      <c r="W154" s="19" t="s">
        <v>7</v>
      </c>
      <c r="X154" s="31" t="s">
        <v>7</v>
      </c>
      <c r="Y154" s="19" t="s">
        <v>7</v>
      </c>
      <c r="Z154" s="31" t="s">
        <v>7</v>
      </c>
      <c r="AA154" s="19" t="s">
        <v>7</v>
      </c>
      <c r="AB154" s="31" t="s">
        <v>7</v>
      </c>
      <c r="AC154" s="19" t="s">
        <v>7</v>
      </c>
      <c r="AD154" s="31" t="s">
        <v>7</v>
      </c>
      <c r="AE154" s="19" t="s">
        <v>7</v>
      </c>
      <c r="AF154" s="31" t="s">
        <v>14</v>
      </c>
      <c r="AG154" s="39" t="s">
        <v>517</v>
      </c>
      <c r="AH154" s="31" t="s">
        <v>7</v>
      </c>
      <c r="AI154" s="19" t="s">
        <v>7</v>
      </c>
      <c r="AJ154" s="38" t="s">
        <v>547</v>
      </c>
      <c r="AK154" s="19" t="s">
        <v>1048</v>
      </c>
      <c r="AL154" s="38" t="s">
        <v>548</v>
      </c>
      <c r="AM154" s="19" t="s">
        <v>1052</v>
      </c>
      <c r="AN154" s="38" t="s">
        <v>1038</v>
      </c>
      <c r="AO154" s="19" t="s">
        <v>1274</v>
      </c>
      <c r="AP154" s="31" t="s">
        <v>7</v>
      </c>
      <c r="AQ154" s="19" t="s">
        <v>7</v>
      </c>
      <c r="AR154" s="33" t="s">
        <v>1271</v>
      </c>
      <c r="AS154" s="34" t="s">
        <v>1195</v>
      </c>
      <c r="AT154" s="33" t="s">
        <v>7</v>
      </c>
      <c r="AU154" s="34" t="s">
        <v>7</v>
      </c>
      <c r="AV154" s="33" t="s">
        <v>7</v>
      </c>
      <c r="AW154" s="34" t="s">
        <v>7</v>
      </c>
      <c r="AX154" s="33" t="s">
        <v>7</v>
      </c>
      <c r="AY154" s="34" t="s">
        <v>7</v>
      </c>
      <c r="AZ154" s="33" t="s">
        <v>7</v>
      </c>
      <c r="BA154" s="34" t="s">
        <v>7</v>
      </c>
    </row>
    <row r="155" spans="1:53" ht="8.25" customHeight="1" x14ac:dyDescent="0.25">
      <c r="A155" s="16">
        <v>154</v>
      </c>
      <c r="B155" s="17" t="s">
        <v>513</v>
      </c>
      <c r="C155" s="69" t="s">
        <v>1203</v>
      </c>
      <c r="D155" s="33" t="s">
        <v>1273</v>
      </c>
      <c r="E155" s="34" t="s">
        <v>78</v>
      </c>
      <c r="F155" s="33" t="s">
        <v>1273</v>
      </c>
      <c r="G155" s="34" t="s">
        <v>376</v>
      </c>
      <c r="H155" s="29" t="s">
        <v>516</v>
      </c>
      <c r="I155" s="30" t="s">
        <v>407</v>
      </c>
      <c r="J155" s="40" t="s">
        <v>7</v>
      </c>
      <c r="K155" s="39" t="s">
        <v>7</v>
      </c>
      <c r="L155" s="40" t="s">
        <v>7</v>
      </c>
      <c r="M155" s="39" t="s">
        <v>7</v>
      </c>
      <c r="N155" s="40" t="s">
        <v>7</v>
      </c>
      <c r="O155" s="19" t="s">
        <v>7</v>
      </c>
      <c r="P155" s="40" t="s">
        <v>7</v>
      </c>
      <c r="Q155" s="19" t="s">
        <v>7</v>
      </c>
      <c r="R155" s="31" t="s">
        <v>7</v>
      </c>
      <c r="S155" s="19" t="s">
        <v>7</v>
      </c>
      <c r="T155" s="31" t="s">
        <v>7</v>
      </c>
      <c r="U155" s="19" t="s">
        <v>7</v>
      </c>
      <c r="V155" s="31" t="s">
        <v>7</v>
      </c>
      <c r="W155" s="19" t="s">
        <v>7</v>
      </c>
      <c r="X155" s="31" t="s">
        <v>7</v>
      </c>
      <c r="Y155" s="19" t="s">
        <v>7</v>
      </c>
      <c r="Z155" s="31" t="s">
        <v>7</v>
      </c>
      <c r="AA155" s="19" t="s">
        <v>7</v>
      </c>
      <c r="AB155" s="31" t="s">
        <v>7</v>
      </c>
      <c r="AC155" s="19" t="s">
        <v>7</v>
      </c>
      <c r="AD155" s="31" t="s">
        <v>7</v>
      </c>
      <c r="AE155" s="19" t="s">
        <v>7</v>
      </c>
      <c r="AF155" s="31" t="s">
        <v>14</v>
      </c>
      <c r="AG155" s="39" t="s">
        <v>517</v>
      </c>
      <c r="AH155" s="31" t="s">
        <v>7</v>
      </c>
      <c r="AI155" s="19" t="s">
        <v>7</v>
      </c>
      <c r="AJ155" s="38" t="s">
        <v>547</v>
      </c>
      <c r="AK155" s="19" t="s">
        <v>1048</v>
      </c>
      <c r="AL155" s="38" t="s">
        <v>548</v>
      </c>
      <c r="AM155" s="19" t="s">
        <v>1052</v>
      </c>
      <c r="AN155" s="38" t="s">
        <v>1038</v>
      </c>
      <c r="AO155" s="19" t="s">
        <v>1274</v>
      </c>
      <c r="AP155" s="31" t="s">
        <v>7</v>
      </c>
      <c r="AQ155" s="19" t="s">
        <v>7</v>
      </c>
      <c r="AR155" s="33" t="s">
        <v>1271</v>
      </c>
      <c r="AS155" s="34" t="s">
        <v>1195</v>
      </c>
      <c r="AT155" s="33" t="s">
        <v>7</v>
      </c>
      <c r="AU155" s="34" t="s">
        <v>7</v>
      </c>
      <c r="AV155" s="33" t="s">
        <v>7</v>
      </c>
      <c r="AW155" s="34" t="s">
        <v>7</v>
      </c>
      <c r="AX155" s="33" t="s">
        <v>7</v>
      </c>
      <c r="AY155" s="34" t="s">
        <v>7</v>
      </c>
      <c r="AZ155" s="33" t="s">
        <v>7</v>
      </c>
      <c r="BA155" s="34" t="s">
        <v>7</v>
      </c>
    </row>
    <row r="156" spans="1:53" ht="8.25" customHeight="1" x14ac:dyDescent="0.25">
      <c r="A156" s="16">
        <v>155</v>
      </c>
      <c r="B156" s="17" t="s">
        <v>514</v>
      </c>
      <c r="C156" s="69" t="s">
        <v>1203</v>
      </c>
      <c r="D156" s="33" t="s">
        <v>1273</v>
      </c>
      <c r="E156" s="34" t="s">
        <v>78</v>
      </c>
      <c r="F156" s="33" t="s">
        <v>1273</v>
      </c>
      <c r="G156" s="34" t="s">
        <v>376</v>
      </c>
      <c r="H156" s="29" t="s">
        <v>516</v>
      </c>
      <c r="I156" s="30" t="s">
        <v>408</v>
      </c>
      <c r="J156" s="40" t="s">
        <v>7</v>
      </c>
      <c r="K156" s="39" t="s">
        <v>7</v>
      </c>
      <c r="L156" s="40" t="s">
        <v>7</v>
      </c>
      <c r="M156" s="39" t="s">
        <v>7</v>
      </c>
      <c r="N156" s="40" t="s">
        <v>7</v>
      </c>
      <c r="O156" s="19" t="s">
        <v>7</v>
      </c>
      <c r="P156" s="40" t="s">
        <v>7</v>
      </c>
      <c r="Q156" s="19" t="s">
        <v>7</v>
      </c>
      <c r="R156" s="31" t="s">
        <v>7</v>
      </c>
      <c r="S156" s="19" t="s">
        <v>7</v>
      </c>
      <c r="T156" s="31" t="s">
        <v>7</v>
      </c>
      <c r="U156" s="19" t="s">
        <v>7</v>
      </c>
      <c r="V156" s="31" t="s">
        <v>7</v>
      </c>
      <c r="W156" s="19" t="s">
        <v>7</v>
      </c>
      <c r="X156" s="31" t="s">
        <v>7</v>
      </c>
      <c r="Y156" s="19" t="s">
        <v>7</v>
      </c>
      <c r="Z156" s="31" t="s">
        <v>7</v>
      </c>
      <c r="AA156" s="19" t="s">
        <v>7</v>
      </c>
      <c r="AB156" s="31" t="s">
        <v>7</v>
      </c>
      <c r="AC156" s="19" t="s">
        <v>7</v>
      </c>
      <c r="AD156" s="31" t="s">
        <v>7</v>
      </c>
      <c r="AE156" s="19" t="s">
        <v>7</v>
      </c>
      <c r="AF156" s="31" t="s">
        <v>14</v>
      </c>
      <c r="AG156" s="39" t="s">
        <v>517</v>
      </c>
      <c r="AH156" s="31" t="s">
        <v>7</v>
      </c>
      <c r="AI156" s="19" t="s">
        <v>7</v>
      </c>
      <c r="AJ156" s="38" t="s">
        <v>547</v>
      </c>
      <c r="AK156" s="19" t="s">
        <v>1048</v>
      </c>
      <c r="AL156" s="38" t="s">
        <v>548</v>
      </c>
      <c r="AM156" s="19" t="s">
        <v>1052</v>
      </c>
      <c r="AN156" s="38" t="s">
        <v>1038</v>
      </c>
      <c r="AO156" s="19" t="s">
        <v>1274</v>
      </c>
      <c r="AP156" s="31" t="s">
        <v>7</v>
      </c>
      <c r="AQ156" s="19" t="s">
        <v>7</v>
      </c>
      <c r="AR156" s="33" t="s">
        <v>1271</v>
      </c>
      <c r="AS156" s="34" t="s">
        <v>1195</v>
      </c>
      <c r="AT156" s="33" t="s">
        <v>7</v>
      </c>
      <c r="AU156" s="34" t="s">
        <v>7</v>
      </c>
      <c r="AV156" s="33" t="s">
        <v>7</v>
      </c>
      <c r="AW156" s="34" t="s">
        <v>7</v>
      </c>
      <c r="AX156" s="33" t="s">
        <v>7</v>
      </c>
      <c r="AY156" s="34" t="s">
        <v>7</v>
      </c>
      <c r="AZ156" s="33" t="s">
        <v>7</v>
      </c>
      <c r="BA156" s="34" t="s">
        <v>7</v>
      </c>
    </row>
    <row r="157" spans="1:53" ht="8.25" customHeight="1" x14ac:dyDescent="0.25">
      <c r="A157" s="16">
        <v>156</v>
      </c>
      <c r="B157" s="17" t="s">
        <v>515</v>
      </c>
      <c r="C157" s="69" t="s">
        <v>1203</v>
      </c>
      <c r="D157" s="33" t="s">
        <v>1273</v>
      </c>
      <c r="E157" s="34" t="s">
        <v>78</v>
      </c>
      <c r="F157" s="33" t="s">
        <v>1273</v>
      </c>
      <c r="G157" s="34" t="s">
        <v>376</v>
      </c>
      <c r="H157" s="29" t="s">
        <v>516</v>
      </c>
      <c r="I157" s="30" t="s">
        <v>408</v>
      </c>
      <c r="J157" s="40" t="s">
        <v>7</v>
      </c>
      <c r="K157" s="39" t="s">
        <v>7</v>
      </c>
      <c r="L157" s="40" t="s">
        <v>7</v>
      </c>
      <c r="M157" s="39" t="s">
        <v>7</v>
      </c>
      <c r="N157" s="40" t="s">
        <v>7</v>
      </c>
      <c r="O157" s="19" t="s">
        <v>7</v>
      </c>
      <c r="P157" s="40" t="s">
        <v>7</v>
      </c>
      <c r="Q157" s="19" t="s">
        <v>7</v>
      </c>
      <c r="R157" s="31" t="s">
        <v>7</v>
      </c>
      <c r="S157" s="19" t="s">
        <v>7</v>
      </c>
      <c r="T157" s="31" t="s">
        <v>7</v>
      </c>
      <c r="U157" s="19" t="s">
        <v>7</v>
      </c>
      <c r="V157" s="31" t="s">
        <v>7</v>
      </c>
      <c r="W157" s="19" t="s">
        <v>7</v>
      </c>
      <c r="X157" s="31" t="s">
        <v>7</v>
      </c>
      <c r="Y157" s="19" t="s">
        <v>7</v>
      </c>
      <c r="Z157" s="31" t="s">
        <v>7</v>
      </c>
      <c r="AA157" s="19" t="s">
        <v>7</v>
      </c>
      <c r="AB157" s="31" t="s">
        <v>7</v>
      </c>
      <c r="AC157" s="19" t="s">
        <v>7</v>
      </c>
      <c r="AD157" s="31" t="s">
        <v>7</v>
      </c>
      <c r="AE157" s="19" t="s">
        <v>7</v>
      </c>
      <c r="AF157" s="31" t="s">
        <v>14</v>
      </c>
      <c r="AG157" s="39" t="s">
        <v>517</v>
      </c>
      <c r="AH157" s="31" t="s">
        <v>7</v>
      </c>
      <c r="AI157" s="19" t="s">
        <v>7</v>
      </c>
      <c r="AJ157" s="38" t="s">
        <v>547</v>
      </c>
      <c r="AK157" s="19" t="s">
        <v>1048</v>
      </c>
      <c r="AL157" s="38" t="s">
        <v>548</v>
      </c>
      <c r="AM157" s="19" t="s">
        <v>1052</v>
      </c>
      <c r="AN157" s="38" t="s">
        <v>1038</v>
      </c>
      <c r="AO157" s="19" t="s">
        <v>1274</v>
      </c>
      <c r="AP157" s="31" t="s">
        <v>7</v>
      </c>
      <c r="AQ157" s="19" t="s">
        <v>7</v>
      </c>
      <c r="AR157" s="33" t="s">
        <v>1271</v>
      </c>
      <c r="AS157" s="34" t="s">
        <v>1195</v>
      </c>
      <c r="AT157" s="33" t="s">
        <v>7</v>
      </c>
      <c r="AU157" s="34" t="s">
        <v>7</v>
      </c>
      <c r="AV157" s="33" t="s">
        <v>7</v>
      </c>
      <c r="AW157" s="34" t="s">
        <v>7</v>
      </c>
      <c r="AX157" s="33" t="s">
        <v>7</v>
      </c>
      <c r="AY157" s="34" t="s">
        <v>7</v>
      </c>
      <c r="AZ157" s="33" t="s">
        <v>7</v>
      </c>
      <c r="BA157" s="34" t="s">
        <v>7</v>
      </c>
    </row>
    <row r="158" spans="1:53" ht="8.25" customHeight="1" x14ac:dyDescent="0.25">
      <c r="A158" s="16">
        <v>157</v>
      </c>
      <c r="B158" s="62" t="s">
        <v>1176</v>
      </c>
      <c r="C158" s="37" t="s">
        <v>1290</v>
      </c>
      <c r="D158" s="33" t="s">
        <v>7</v>
      </c>
      <c r="E158" s="34" t="s">
        <v>7</v>
      </c>
      <c r="F158" s="33" t="s">
        <v>7</v>
      </c>
      <c r="G158" s="34" t="s">
        <v>7</v>
      </c>
      <c r="H158" s="33" t="s">
        <v>7</v>
      </c>
      <c r="I158" s="34" t="s">
        <v>7</v>
      </c>
      <c r="J158" s="40" t="s">
        <v>7</v>
      </c>
      <c r="K158" s="39" t="s">
        <v>7</v>
      </c>
      <c r="L158" s="40" t="s">
        <v>1178</v>
      </c>
      <c r="M158" s="39" t="s">
        <v>1179</v>
      </c>
      <c r="N158" s="40" t="s">
        <v>1180</v>
      </c>
      <c r="O158" s="19" t="s">
        <v>1181</v>
      </c>
      <c r="P158" s="40" t="s">
        <v>7</v>
      </c>
      <c r="Q158" s="19" t="s">
        <v>7</v>
      </c>
      <c r="R158" s="31" t="s">
        <v>7</v>
      </c>
      <c r="S158" s="19" t="s">
        <v>7</v>
      </c>
      <c r="T158" s="31" t="s">
        <v>7</v>
      </c>
      <c r="U158" s="19" t="s">
        <v>7</v>
      </c>
      <c r="V158" s="31" t="s">
        <v>7</v>
      </c>
      <c r="W158" s="19" t="s">
        <v>7</v>
      </c>
      <c r="X158" s="31" t="s">
        <v>7</v>
      </c>
      <c r="Y158" s="19" t="s">
        <v>7</v>
      </c>
      <c r="Z158" s="31" t="s">
        <v>7</v>
      </c>
      <c r="AA158" s="19" t="s">
        <v>7</v>
      </c>
      <c r="AB158" s="31" t="s">
        <v>7</v>
      </c>
      <c r="AC158" s="19" t="s">
        <v>7</v>
      </c>
      <c r="AD158" s="31" t="s">
        <v>7</v>
      </c>
      <c r="AE158" s="19" t="s">
        <v>7</v>
      </c>
      <c r="AF158" s="63" t="s">
        <v>14</v>
      </c>
      <c r="AG158" s="19" t="s">
        <v>1177</v>
      </c>
      <c r="AH158" s="31" t="s">
        <v>7</v>
      </c>
      <c r="AI158" s="19" t="s">
        <v>7</v>
      </c>
      <c r="AJ158" s="31" t="s">
        <v>7</v>
      </c>
      <c r="AK158" s="19" t="s">
        <v>7</v>
      </c>
      <c r="AL158" s="31" t="s">
        <v>7</v>
      </c>
      <c r="AM158" s="19" t="s">
        <v>7</v>
      </c>
      <c r="AN158" s="31" t="s">
        <v>7</v>
      </c>
      <c r="AO158" s="19" t="s">
        <v>7</v>
      </c>
      <c r="AP158" s="64" t="str">
        <f t="shared" ref="AP158:AP162" si="0">IF(AQ158="null", "null", "método.revit")</f>
        <v>método.revit</v>
      </c>
      <c r="AQ158" s="65" t="s">
        <v>1182</v>
      </c>
      <c r="AR158" s="33" t="s">
        <v>7</v>
      </c>
      <c r="AS158" s="34" t="s">
        <v>7</v>
      </c>
      <c r="AT158" s="33" t="s">
        <v>7</v>
      </c>
      <c r="AU158" s="34" t="s">
        <v>7</v>
      </c>
      <c r="AV158" s="33" t="s">
        <v>7</v>
      </c>
      <c r="AW158" s="34" t="s">
        <v>7</v>
      </c>
      <c r="AX158" s="33" t="s">
        <v>7</v>
      </c>
      <c r="AY158" s="34" t="s">
        <v>7</v>
      </c>
      <c r="AZ158" s="33" t="s">
        <v>7</v>
      </c>
      <c r="BA158" s="34" t="s">
        <v>7</v>
      </c>
    </row>
    <row r="159" spans="1:53" ht="8.25" customHeight="1" x14ac:dyDescent="0.25">
      <c r="A159" s="16">
        <v>158</v>
      </c>
      <c r="B159" s="62" t="s">
        <v>1183</v>
      </c>
      <c r="C159" s="37" t="s">
        <v>1290</v>
      </c>
      <c r="D159" s="33" t="s">
        <v>7</v>
      </c>
      <c r="E159" s="34" t="s">
        <v>7</v>
      </c>
      <c r="F159" s="33" t="s">
        <v>7</v>
      </c>
      <c r="G159" s="34" t="s">
        <v>7</v>
      </c>
      <c r="H159" s="33" t="s">
        <v>7</v>
      </c>
      <c r="I159" s="34" t="s">
        <v>7</v>
      </c>
      <c r="J159" s="40" t="s">
        <v>7</v>
      </c>
      <c r="K159" s="39" t="s">
        <v>7</v>
      </c>
      <c r="L159" s="40" t="s">
        <v>1178</v>
      </c>
      <c r="M159" s="39" t="s">
        <v>1179</v>
      </c>
      <c r="N159" s="40" t="s">
        <v>1180</v>
      </c>
      <c r="O159" s="19" t="s">
        <v>1185</v>
      </c>
      <c r="P159" s="40" t="s">
        <v>7</v>
      </c>
      <c r="Q159" s="19" t="s">
        <v>7</v>
      </c>
      <c r="R159" s="31" t="s">
        <v>7</v>
      </c>
      <c r="S159" s="19" t="s">
        <v>7</v>
      </c>
      <c r="T159" s="31" t="s">
        <v>7</v>
      </c>
      <c r="U159" s="19" t="s">
        <v>7</v>
      </c>
      <c r="V159" s="31" t="s">
        <v>7</v>
      </c>
      <c r="W159" s="19" t="s">
        <v>7</v>
      </c>
      <c r="X159" s="31" t="s">
        <v>7</v>
      </c>
      <c r="Y159" s="19" t="s">
        <v>7</v>
      </c>
      <c r="Z159" s="31" t="s">
        <v>7</v>
      </c>
      <c r="AA159" s="19" t="s">
        <v>7</v>
      </c>
      <c r="AB159" s="31" t="s">
        <v>7</v>
      </c>
      <c r="AC159" s="19" t="s">
        <v>7</v>
      </c>
      <c r="AD159" s="31" t="s">
        <v>7</v>
      </c>
      <c r="AE159" s="19" t="s">
        <v>7</v>
      </c>
      <c r="AF159" s="63" t="s">
        <v>14</v>
      </c>
      <c r="AG159" s="19" t="s">
        <v>1184</v>
      </c>
      <c r="AH159" s="31" t="s">
        <v>7</v>
      </c>
      <c r="AI159" s="19" t="s">
        <v>7</v>
      </c>
      <c r="AJ159" s="31" t="s">
        <v>7</v>
      </c>
      <c r="AK159" s="19" t="s">
        <v>7</v>
      </c>
      <c r="AL159" s="31" t="s">
        <v>7</v>
      </c>
      <c r="AM159" s="19" t="s">
        <v>7</v>
      </c>
      <c r="AN159" s="31" t="s">
        <v>7</v>
      </c>
      <c r="AO159" s="19" t="s">
        <v>7</v>
      </c>
      <c r="AP159" s="64" t="str">
        <f t="shared" si="0"/>
        <v>método.revit</v>
      </c>
      <c r="AQ159" s="65" t="s">
        <v>1186</v>
      </c>
      <c r="AR159" s="33" t="s">
        <v>7</v>
      </c>
      <c r="AS159" s="34" t="s">
        <v>7</v>
      </c>
      <c r="AT159" s="33" t="s">
        <v>7</v>
      </c>
      <c r="AU159" s="34" t="s">
        <v>7</v>
      </c>
      <c r="AV159" s="33" t="s">
        <v>7</v>
      </c>
      <c r="AW159" s="34" t="s">
        <v>7</v>
      </c>
      <c r="AX159" s="33" t="s">
        <v>7</v>
      </c>
      <c r="AY159" s="34" t="s">
        <v>7</v>
      </c>
      <c r="AZ159" s="33" t="s">
        <v>7</v>
      </c>
      <c r="BA159" s="34" t="s">
        <v>7</v>
      </c>
    </row>
    <row r="160" spans="1:53" ht="8.25" customHeight="1" x14ac:dyDescent="0.25">
      <c r="A160" s="16">
        <v>159</v>
      </c>
      <c r="B160" s="62" t="s">
        <v>1187</v>
      </c>
      <c r="C160" s="37" t="s">
        <v>1290</v>
      </c>
      <c r="D160" s="33" t="s">
        <v>7</v>
      </c>
      <c r="E160" s="34" t="s">
        <v>7</v>
      </c>
      <c r="F160" s="33" t="s">
        <v>7</v>
      </c>
      <c r="G160" s="34" t="s">
        <v>7</v>
      </c>
      <c r="H160" s="33" t="s">
        <v>7</v>
      </c>
      <c r="I160" s="34" t="s">
        <v>7</v>
      </c>
      <c r="J160" s="40" t="s">
        <v>7</v>
      </c>
      <c r="K160" s="39" t="s">
        <v>7</v>
      </c>
      <c r="L160" s="40" t="s">
        <v>1178</v>
      </c>
      <c r="M160" s="39" t="s">
        <v>1179</v>
      </c>
      <c r="N160" s="40" t="s">
        <v>1180</v>
      </c>
      <c r="O160" s="19" t="s">
        <v>1189</v>
      </c>
      <c r="P160" s="40" t="s">
        <v>7</v>
      </c>
      <c r="Q160" s="19" t="s">
        <v>7</v>
      </c>
      <c r="R160" s="31" t="s">
        <v>7</v>
      </c>
      <c r="S160" s="19" t="s">
        <v>7</v>
      </c>
      <c r="T160" s="31" t="s">
        <v>7</v>
      </c>
      <c r="U160" s="19" t="s">
        <v>7</v>
      </c>
      <c r="V160" s="31" t="s">
        <v>7</v>
      </c>
      <c r="W160" s="19" t="s">
        <v>7</v>
      </c>
      <c r="X160" s="31" t="s">
        <v>7</v>
      </c>
      <c r="Y160" s="19" t="s">
        <v>7</v>
      </c>
      <c r="Z160" s="31" t="s">
        <v>7</v>
      </c>
      <c r="AA160" s="19" t="s">
        <v>7</v>
      </c>
      <c r="AB160" s="31" t="s">
        <v>7</v>
      </c>
      <c r="AC160" s="19" t="s">
        <v>7</v>
      </c>
      <c r="AD160" s="31" t="s">
        <v>7</v>
      </c>
      <c r="AE160" s="19" t="s">
        <v>7</v>
      </c>
      <c r="AF160" s="63" t="s">
        <v>14</v>
      </c>
      <c r="AG160" s="19" t="s">
        <v>1188</v>
      </c>
      <c r="AH160" s="31" t="s">
        <v>7</v>
      </c>
      <c r="AI160" s="19" t="s">
        <v>7</v>
      </c>
      <c r="AJ160" s="31" t="s">
        <v>7</v>
      </c>
      <c r="AK160" s="19" t="s">
        <v>7</v>
      </c>
      <c r="AL160" s="31" t="s">
        <v>7</v>
      </c>
      <c r="AM160" s="19" t="s">
        <v>7</v>
      </c>
      <c r="AN160" s="31" t="s">
        <v>7</v>
      </c>
      <c r="AO160" s="19" t="s">
        <v>7</v>
      </c>
      <c r="AP160" s="64" t="str">
        <f t="shared" si="0"/>
        <v>método.revit</v>
      </c>
      <c r="AQ160" s="65" t="s">
        <v>1190</v>
      </c>
      <c r="AR160" s="33" t="s">
        <v>7</v>
      </c>
      <c r="AS160" s="34" t="s">
        <v>7</v>
      </c>
      <c r="AT160" s="33" t="s">
        <v>7</v>
      </c>
      <c r="AU160" s="34" t="s">
        <v>7</v>
      </c>
      <c r="AV160" s="33" t="s">
        <v>7</v>
      </c>
      <c r="AW160" s="34" t="s">
        <v>7</v>
      </c>
      <c r="AX160" s="33" t="s">
        <v>7</v>
      </c>
      <c r="AY160" s="34" t="s">
        <v>7</v>
      </c>
      <c r="AZ160" s="33" t="s">
        <v>7</v>
      </c>
      <c r="BA160" s="34" t="s">
        <v>7</v>
      </c>
    </row>
    <row r="161" spans="1:53" ht="8.25" customHeight="1" x14ac:dyDescent="0.25">
      <c r="A161" s="16">
        <v>160</v>
      </c>
      <c r="B161" s="62" t="s">
        <v>1191</v>
      </c>
      <c r="C161" s="37" t="s">
        <v>1290</v>
      </c>
      <c r="D161" s="33" t="s">
        <v>7</v>
      </c>
      <c r="E161" s="34" t="s">
        <v>7</v>
      </c>
      <c r="F161" s="33" t="s">
        <v>7</v>
      </c>
      <c r="G161" s="34" t="s">
        <v>7</v>
      </c>
      <c r="H161" s="33" t="s">
        <v>7</v>
      </c>
      <c r="I161" s="34" t="s">
        <v>7</v>
      </c>
      <c r="J161" s="40" t="s">
        <v>7</v>
      </c>
      <c r="K161" s="39" t="s">
        <v>7</v>
      </c>
      <c r="L161" s="40" t="s">
        <v>1178</v>
      </c>
      <c r="M161" s="39" t="s">
        <v>1179</v>
      </c>
      <c r="N161" s="40" t="s">
        <v>1180</v>
      </c>
      <c r="O161" s="19" t="s">
        <v>1193</v>
      </c>
      <c r="P161" s="40" t="s">
        <v>7</v>
      </c>
      <c r="Q161" s="19" t="s">
        <v>7</v>
      </c>
      <c r="R161" s="31" t="s">
        <v>7</v>
      </c>
      <c r="S161" s="19" t="s">
        <v>7</v>
      </c>
      <c r="T161" s="31" t="s">
        <v>7</v>
      </c>
      <c r="U161" s="19" t="s">
        <v>7</v>
      </c>
      <c r="V161" s="31" t="s">
        <v>7</v>
      </c>
      <c r="W161" s="19" t="s">
        <v>7</v>
      </c>
      <c r="X161" s="31" t="s">
        <v>7</v>
      </c>
      <c r="Y161" s="19" t="s">
        <v>7</v>
      </c>
      <c r="Z161" s="31" t="s">
        <v>7</v>
      </c>
      <c r="AA161" s="19" t="s">
        <v>7</v>
      </c>
      <c r="AB161" s="31" t="s">
        <v>7</v>
      </c>
      <c r="AC161" s="19" t="s">
        <v>7</v>
      </c>
      <c r="AD161" s="31" t="s">
        <v>7</v>
      </c>
      <c r="AE161" s="19" t="s">
        <v>7</v>
      </c>
      <c r="AF161" s="63" t="s">
        <v>14</v>
      </c>
      <c r="AG161" s="19" t="s">
        <v>1192</v>
      </c>
      <c r="AH161" s="31" t="s">
        <v>7</v>
      </c>
      <c r="AI161" s="19" t="s">
        <v>7</v>
      </c>
      <c r="AJ161" s="31" t="s">
        <v>7</v>
      </c>
      <c r="AK161" s="19" t="s">
        <v>7</v>
      </c>
      <c r="AL161" s="31" t="s">
        <v>7</v>
      </c>
      <c r="AM161" s="19" t="s">
        <v>7</v>
      </c>
      <c r="AN161" s="31" t="s">
        <v>7</v>
      </c>
      <c r="AO161" s="19" t="s">
        <v>7</v>
      </c>
      <c r="AP161" s="64" t="str">
        <f t="shared" si="0"/>
        <v>método.revit</v>
      </c>
      <c r="AQ161" s="65" t="s">
        <v>1194</v>
      </c>
      <c r="AR161" s="33" t="s">
        <v>7</v>
      </c>
      <c r="AS161" s="34" t="s">
        <v>7</v>
      </c>
      <c r="AT161" s="33" t="s">
        <v>7</v>
      </c>
      <c r="AU161" s="34" t="s">
        <v>7</v>
      </c>
      <c r="AV161" s="33" t="s">
        <v>7</v>
      </c>
      <c r="AW161" s="34" t="s">
        <v>7</v>
      </c>
      <c r="AX161" s="33" t="s">
        <v>7</v>
      </c>
      <c r="AY161" s="34" t="s">
        <v>7</v>
      </c>
      <c r="AZ161" s="33" t="s">
        <v>7</v>
      </c>
      <c r="BA161" s="34" t="s">
        <v>7</v>
      </c>
    </row>
    <row r="162" spans="1:53" ht="8.25" customHeight="1" x14ac:dyDescent="0.25">
      <c r="A162" s="16">
        <v>161</v>
      </c>
      <c r="B162" s="62" t="s">
        <v>1195</v>
      </c>
      <c r="C162" s="37" t="s">
        <v>1290</v>
      </c>
      <c r="D162" s="33" t="s">
        <v>7</v>
      </c>
      <c r="E162" s="34" t="s">
        <v>7</v>
      </c>
      <c r="F162" s="33" t="s">
        <v>7</v>
      </c>
      <c r="G162" s="34" t="s">
        <v>7</v>
      </c>
      <c r="H162" s="33" t="s">
        <v>7</v>
      </c>
      <c r="I162" s="34" t="s">
        <v>7</v>
      </c>
      <c r="J162" s="40" t="s">
        <v>7</v>
      </c>
      <c r="K162" s="39" t="s">
        <v>7</v>
      </c>
      <c r="L162" s="40" t="s">
        <v>1178</v>
      </c>
      <c r="M162" s="39" t="s">
        <v>1179</v>
      </c>
      <c r="N162" s="40" t="s">
        <v>1180</v>
      </c>
      <c r="O162" s="19" t="s">
        <v>1197</v>
      </c>
      <c r="P162" s="40" t="s">
        <v>7</v>
      </c>
      <c r="Q162" s="19" t="s">
        <v>7</v>
      </c>
      <c r="R162" s="31" t="s">
        <v>7</v>
      </c>
      <c r="S162" s="19" t="s">
        <v>7</v>
      </c>
      <c r="T162" s="31" t="s">
        <v>7</v>
      </c>
      <c r="U162" s="19" t="s">
        <v>7</v>
      </c>
      <c r="V162" s="31" t="s">
        <v>7</v>
      </c>
      <c r="W162" s="19" t="s">
        <v>7</v>
      </c>
      <c r="X162" s="31" t="s">
        <v>7</v>
      </c>
      <c r="Y162" s="19" t="s">
        <v>7</v>
      </c>
      <c r="Z162" s="31" t="s">
        <v>7</v>
      </c>
      <c r="AA162" s="19" t="s">
        <v>7</v>
      </c>
      <c r="AB162" s="31" t="s">
        <v>7</v>
      </c>
      <c r="AC162" s="19" t="s">
        <v>7</v>
      </c>
      <c r="AD162" s="31" t="s">
        <v>7</v>
      </c>
      <c r="AE162" s="19" t="s">
        <v>7</v>
      </c>
      <c r="AF162" s="63" t="s">
        <v>14</v>
      </c>
      <c r="AG162" s="19" t="s">
        <v>1196</v>
      </c>
      <c r="AH162" s="31" t="s">
        <v>7</v>
      </c>
      <c r="AI162" s="19" t="s">
        <v>7</v>
      </c>
      <c r="AJ162" s="31" t="s">
        <v>7</v>
      </c>
      <c r="AK162" s="19" t="s">
        <v>7</v>
      </c>
      <c r="AL162" s="31" t="s">
        <v>7</v>
      </c>
      <c r="AM162" s="19" t="s">
        <v>7</v>
      </c>
      <c r="AN162" s="31" t="s">
        <v>7</v>
      </c>
      <c r="AO162" s="19" t="s">
        <v>7</v>
      </c>
      <c r="AP162" s="64" t="str">
        <f t="shared" si="0"/>
        <v>método.revit</v>
      </c>
      <c r="AQ162" s="65" t="s">
        <v>1198</v>
      </c>
      <c r="AR162" s="33" t="s">
        <v>7</v>
      </c>
      <c r="AS162" s="34" t="s">
        <v>7</v>
      </c>
      <c r="AT162" s="33" t="s">
        <v>7</v>
      </c>
      <c r="AU162" s="34" t="s">
        <v>7</v>
      </c>
      <c r="AV162" s="33" t="s">
        <v>7</v>
      </c>
      <c r="AW162" s="34" t="s">
        <v>7</v>
      </c>
      <c r="AX162" s="33" t="s">
        <v>7</v>
      </c>
      <c r="AY162" s="34" t="s">
        <v>7</v>
      </c>
      <c r="AZ162" s="33" t="s">
        <v>7</v>
      </c>
      <c r="BA162" s="34" t="s">
        <v>7</v>
      </c>
    </row>
  </sheetData>
  <conditionalFormatting sqref="B1:B157">
    <cfRule type="duplicateValues" dxfId="7" priority="6"/>
    <cfRule type="duplicateValues" dxfId="6" priority="7"/>
    <cfRule type="duplicateValues" dxfId="5" priority="8"/>
    <cfRule type="duplicateValues" dxfId="4" priority="9"/>
  </conditionalFormatting>
  <conditionalFormatting sqref="B1:B162">
    <cfRule type="duplicateValues" dxfId="3" priority="2"/>
  </conditionalFormatting>
  <conditionalFormatting sqref="B158:B162">
    <cfRule type="duplicateValues" dxfId="2" priority="3"/>
    <cfRule type="duplicateValues" dxfId="1" priority="4"/>
  </conditionalFormatting>
  <conditionalFormatting sqref="AJ5:AJ13 AL5:AL13 AN5:AO13">
    <cfRule type="cellIs" dxfId="0" priority="5"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2026-09-18T18:53:27Z</dcterms:modified>
</cp:coreProperties>
</file>