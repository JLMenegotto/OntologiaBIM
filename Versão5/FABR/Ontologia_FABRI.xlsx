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D4B41B58-D32F-4EC1-8F56-5EA4E184CA59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Planilha1" sheetId="40" r:id="rId3"/>
    <sheet name="Disjunt" sheetId="36" r:id="rId4"/>
    <sheet name="Interop" sheetId="37" r:id="rId5"/>
    <sheet name="FatosIn" sheetId="38" r:id="rId6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7" i="40"/>
  <c r="U7" i="40"/>
  <c r="T7" i="40"/>
  <c r="S7" i="40"/>
  <c r="O7" i="40"/>
  <c r="N7" i="40"/>
  <c r="M7" i="40"/>
  <c r="L7" i="40"/>
  <c r="W4" i="40"/>
  <c r="U4" i="40"/>
  <c r="T4" i="40"/>
  <c r="S4" i="40"/>
  <c r="O4" i="40"/>
  <c r="N4" i="40"/>
  <c r="M4" i="40"/>
  <c r="L4" i="40"/>
  <c r="W14" i="40"/>
  <c r="U14" i="40"/>
  <c r="T14" i="40"/>
  <c r="S14" i="40"/>
  <c r="O14" i="40"/>
  <c r="N14" i="40"/>
  <c r="M14" i="40"/>
  <c r="L14" i="40"/>
  <c r="W15" i="40"/>
  <c r="U15" i="40"/>
  <c r="T15" i="40"/>
  <c r="S15" i="40"/>
  <c r="O15" i="40"/>
  <c r="N15" i="40"/>
  <c r="M15" i="40"/>
  <c r="L15" i="40"/>
  <c r="W29" i="40"/>
  <c r="U29" i="40"/>
  <c r="T29" i="40"/>
  <c r="S29" i="40"/>
  <c r="O29" i="40"/>
  <c r="N29" i="40"/>
  <c r="M29" i="40"/>
  <c r="L29" i="40"/>
  <c r="W21" i="40"/>
  <c r="U21" i="40"/>
  <c r="T21" i="40"/>
  <c r="S21" i="40"/>
  <c r="O21" i="40"/>
  <c r="N21" i="40"/>
  <c r="M21" i="40"/>
  <c r="L21" i="40"/>
  <c r="W22" i="40"/>
  <c r="U22" i="40"/>
  <c r="T22" i="40"/>
  <c r="S22" i="40"/>
  <c r="O22" i="40"/>
  <c r="N22" i="40"/>
  <c r="M22" i="40"/>
  <c r="L22" i="40"/>
  <c r="W28" i="40"/>
  <c r="U28" i="40"/>
  <c r="T28" i="40"/>
  <c r="S28" i="40"/>
  <c r="O28" i="40"/>
  <c r="N28" i="40"/>
  <c r="M28" i="40"/>
  <c r="L28" i="40"/>
  <c r="W27" i="40"/>
  <c r="U27" i="40"/>
  <c r="T27" i="40"/>
  <c r="S27" i="40"/>
  <c r="O27" i="40"/>
  <c r="N27" i="40"/>
  <c r="M27" i="40"/>
  <c r="L27" i="40"/>
  <c r="W18" i="40"/>
  <c r="U18" i="40"/>
  <c r="T18" i="40"/>
  <c r="S18" i="40"/>
  <c r="O18" i="40"/>
  <c r="N18" i="40"/>
  <c r="M18" i="40"/>
  <c r="L18" i="40"/>
  <c r="W2" i="40"/>
  <c r="U2" i="40"/>
  <c r="T2" i="40"/>
  <c r="S2" i="40"/>
  <c r="O2" i="40"/>
  <c r="N2" i="40"/>
  <c r="M2" i="40"/>
  <c r="L2" i="40"/>
  <c r="W25" i="40"/>
  <c r="U25" i="40"/>
  <c r="T25" i="40"/>
  <c r="S25" i="40"/>
  <c r="O25" i="40"/>
  <c r="N25" i="40"/>
  <c r="M25" i="40"/>
  <c r="L25" i="40"/>
  <c r="W12" i="40"/>
  <c r="U12" i="40"/>
  <c r="T12" i="40"/>
  <c r="S12" i="40"/>
  <c r="O12" i="40"/>
  <c r="N12" i="40"/>
  <c r="M12" i="40"/>
  <c r="L12" i="40"/>
  <c r="W16" i="40"/>
  <c r="U16" i="40"/>
  <c r="T16" i="40"/>
  <c r="S16" i="40"/>
  <c r="O16" i="40"/>
  <c r="N16" i="40"/>
  <c r="M16" i="40"/>
  <c r="L16" i="40"/>
  <c r="W17" i="40"/>
  <c r="U17" i="40"/>
  <c r="T17" i="40"/>
  <c r="S17" i="40"/>
  <c r="O17" i="40"/>
  <c r="N17" i="40"/>
  <c r="M17" i="40"/>
  <c r="L17" i="40"/>
  <c r="W1" i="40"/>
  <c r="U1" i="40"/>
  <c r="T1" i="40"/>
  <c r="S1" i="40"/>
  <c r="O1" i="40"/>
  <c r="N1" i="40"/>
  <c r="M1" i="40"/>
  <c r="L1" i="40"/>
  <c r="W24" i="40"/>
  <c r="U24" i="40"/>
  <c r="T24" i="40"/>
  <c r="S24" i="40"/>
  <c r="O24" i="40"/>
  <c r="N24" i="40"/>
  <c r="M24" i="40"/>
  <c r="L24" i="40"/>
  <c r="W5" i="40"/>
  <c r="U5" i="40"/>
  <c r="T5" i="40"/>
  <c r="S5" i="40"/>
  <c r="O5" i="40"/>
  <c r="N5" i="40"/>
  <c r="M5" i="40"/>
  <c r="L5" i="40"/>
  <c r="W13" i="40"/>
  <c r="U13" i="40"/>
  <c r="T13" i="40"/>
  <c r="S13" i="40"/>
  <c r="O13" i="40"/>
  <c r="N13" i="40"/>
  <c r="M13" i="40"/>
  <c r="L13" i="40"/>
  <c r="W6" i="40"/>
  <c r="U6" i="40"/>
  <c r="T6" i="40"/>
  <c r="S6" i="40"/>
  <c r="O6" i="40"/>
  <c r="N6" i="40"/>
  <c r="M6" i="40"/>
  <c r="L6" i="40"/>
  <c r="W20" i="40"/>
  <c r="U20" i="40"/>
  <c r="T20" i="40"/>
  <c r="S20" i="40"/>
  <c r="O20" i="40"/>
  <c r="N20" i="40"/>
  <c r="M20" i="40"/>
  <c r="L20" i="40"/>
  <c r="W19" i="40"/>
  <c r="U19" i="40"/>
  <c r="T19" i="40"/>
  <c r="S19" i="40"/>
  <c r="O19" i="40"/>
  <c r="N19" i="40"/>
  <c r="M19" i="40"/>
  <c r="L19" i="40"/>
  <c r="W11" i="40"/>
  <c r="U11" i="40"/>
  <c r="T11" i="40"/>
  <c r="S11" i="40"/>
  <c r="O11" i="40"/>
  <c r="N11" i="40"/>
  <c r="M11" i="40"/>
  <c r="L11" i="40"/>
  <c r="W3" i="40"/>
  <c r="U3" i="40"/>
  <c r="T3" i="40"/>
  <c r="S3" i="40"/>
  <c r="O3" i="40"/>
  <c r="N3" i="40"/>
  <c r="M3" i="40"/>
  <c r="L3" i="40"/>
  <c r="W26" i="40"/>
  <c r="U26" i="40"/>
  <c r="T26" i="40"/>
  <c r="S26" i="40"/>
  <c r="O26" i="40"/>
  <c r="N26" i="40"/>
  <c r="M26" i="40"/>
  <c r="L26" i="40"/>
  <c r="W23" i="40"/>
  <c r="U23" i="40"/>
  <c r="T23" i="40"/>
  <c r="S23" i="40"/>
  <c r="O23" i="40"/>
  <c r="N23" i="40"/>
  <c r="M23" i="40"/>
  <c r="L23" i="40"/>
  <c r="W10" i="40"/>
  <c r="U10" i="40"/>
  <c r="T10" i="40"/>
  <c r="S10" i="40"/>
  <c r="O10" i="40"/>
  <c r="N10" i="40"/>
  <c r="M10" i="40"/>
  <c r="L10" i="40"/>
  <c r="W8" i="40"/>
  <c r="U8" i="40"/>
  <c r="T8" i="40"/>
  <c r="S8" i="40"/>
  <c r="O8" i="40"/>
  <c r="N8" i="40"/>
  <c r="M8" i="40"/>
  <c r="L8" i="40"/>
  <c r="W9" i="40"/>
  <c r="U9" i="40"/>
  <c r="T9" i="40"/>
  <c r="S9" i="40"/>
  <c r="O9" i="40"/>
  <c r="N9" i="40"/>
  <c r="M9" i="40"/>
  <c r="L9" i="40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Q29" i="40"/>
  <c r="Q1" i="40"/>
  <c r="Q10" i="40"/>
  <c r="AA18" i="40"/>
  <c r="AA20" i="40"/>
  <c r="Q14" i="40"/>
  <c r="Q16" i="40"/>
  <c r="Q26" i="40"/>
  <c r="AA3" i="40"/>
  <c r="AA28" i="40"/>
  <c r="AA13" i="40"/>
  <c r="AA4" i="40"/>
  <c r="AA12" i="40"/>
  <c r="Q7" i="40"/>
  <c r="Q25" i="40"/>
  <c r="Q11" i="40"/>
  <c r="AA21" i="40"/>
  <c r="AA24" i="40"/>
  <c r="AA8" i="40"/>
  <c r="Q18" i="40"/>
  <c r="Q20" i="40"/>
  <c r="AA15" i="40"/>
  <c r="AA17" i="40"/>
  <c r="AA23" i="40"/>
  <c r="Q28" i="40"/>
  <c r="Q13" i="40"/>
  <c r="Q21" i="40"/>
  <c r="Q24" i="40"/>
  <c r="Q8" i="40"/>
  <c r="AA2" i="40"/>
  <c r="AA19" i="40"/>
  <c r="Q15" i="40"/>
  <c r="Q17" i="40"/>
  <c r="Q23" i="40"/>
  <c r="AA27" i="40"/>
  <c r="AA6" i="40"/>
  <c r="Q4" i="40"/>
  <c r="Q12" i="40"/>
  <c r="Q3" i="40"/>
  <c r="AA22" i="40"/>
  <c r="AA5" i="40"/>
  <c r="AA9" i="40"/>
  <c r="Q2" i="40"/>
  <c r="Q19" i="40"/>
  <c r="AA29" i="40"/>
  <c r="AA1" i="40"/>
  <c r="AA10" i="40"/>
  <c r="Q27" i="40"/>
  <c r="Q6" i="40"/>
  <c r="AA14" i="40"/>
  <c r="AA16" i="40"/>
  <c r="AA26" i="40"/>
  <c r="Q22" i="40"/>
  <c r="Q5" i="40"/>
  <c r="Q9" i="40"/>
  <c r="AA7" i="40"/>
  <c r="AA25" i="40"/>
  <c r="AA11" i="40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<sst xmlns="http://schemas.openxmlformats.org/spreadsheetml/2006/main" count="3958" uniqueCount="612">
  <si>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</si>
  <si>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</si>
  <si>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</si>
  <si>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</si>
  <si>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</si>
  <si>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</si>
  <si>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</si>
  <si>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</si>
  <si>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</si>
  <si>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</si>
  <si>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</si>
  <si>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</si>
  <si>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</si>
  <si>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</si>
  <si>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</si>
  <si>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</si>
  <si>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</si>
  <si>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</si>
  <si>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</si>
  <si>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</si>
  <si>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</si>
  <si>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</si>
  <si>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</si>
  <si>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</si>
  <si>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</si>
  <si>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</si>
  <si>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</si>
  <si>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</si>
  <si>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</si>
  <si>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</si>
  <si>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</si>
  <si>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</si>
  <si>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</si>
  <si>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</si>
  <si>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</si>
  <si>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</si>
  <si>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</si>
  <si>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</si>
  <si>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</si>
  <si>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</si>
  <si>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</si>
  <si>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</si>
  <si>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</si>
  <si>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</si>
  <si>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</si>
  <si>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</si>
  <si>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</si>
  <si>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</si>
  <si>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</si>
  <si>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</si>
  <si>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</si>
  <si>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</si>
  <si>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</si>
  <si>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</si>
  <si>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</si>
  <si>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</si>
  <si>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</si>
  <si>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</si>
  <si>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</si>
  <si>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</si>
  <si>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</si>
  <si>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</si>
  <si>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</si>
  <si>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</si>
  <si>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</si>
  <si>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</si>
  <si>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</si>
  <si>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</si>
  <si>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</si>
  <si>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</si>
  <si>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</si>
  <si>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</si>
  <si>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</si>
  <si>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</si>
  <si>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</si>
  <si>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</si>
  <si>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</si>
  <si>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</si>
  <si>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</si>
  <si>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</si>
  <si>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</si>
  <si>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</si>
  <si>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</si>
  <si>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</si>
  <si>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</si>
  <si>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</si>
  <si>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</si>
  <si>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</si>
  <si>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</si>
  <si>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</si>
  <si>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</si>
  <si>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</si>
  <si>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</si>
  <si>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</si>
  <si>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</si>
  <si>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</si>
  <si>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</si>
  <si>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</si>
  <si>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</si>
  <si>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</si>
  <si>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</si>
  <si>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</si>
  <si>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</si>
  <si>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</si>
  <si>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</si>
  <si>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</si>
  <si>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</si>
  <si>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</si>
  <si>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</si>
  <si>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</si>
  <si>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</si>
  <si>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</si>
  <si>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</si>
  <si>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</si>
  <si>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</si>
  <si>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</si>
  <si>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</si>
  <si>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</si>
  <si>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</si>
  <si>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</si>
  <si>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</si>
  <si>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</si>
  <si>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</si>
  <si>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</si>
  <si>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</si>
  <si>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</si>
  <si>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</si>
  <si>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</si>
  <si>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</si>
  <si>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</si>
  <si>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</si>
  <si>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</si>
  <si>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</si>
  <si>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</si>
  <si>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</si>
  <si>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</si>
  <si>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</si>
  <si>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</si>
  <si>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</si>
  <si>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</si>
  <si>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</si>
  <si>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</si>
  <si>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</si>
  <si>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</si>
  <si>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</si>
  <si>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</si>
  <si>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</si>
  <si>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</si>
  <si>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</si>
  <si>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</si>
  <si>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</si>
  <si>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</si>
  <si>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</si>
  <si>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</si>
  <si>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</si>
  <si>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</si>
  <si>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</si>
  <si>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</si>
  <si>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</si>
  <si>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</si>
  <si>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</si>
  <si>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</si>
  <si>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</si>
  <si>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</si>
  <si>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</si>
  <si>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</si>
  <si>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</si>
  <si>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</si>
  <si>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</si>
  <si>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</si>
  <si>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</si>
  <si>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</si>
  <si>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</si>
  <si>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</si>
  <si>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</si>
  <si>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</si>
  <si>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</si>
  <si>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</si>
  <si>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</si>
  <si>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</si>
  <si>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</si>
  <si>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</si>
  <si>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</si>
  <si>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</si>
  <si>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</si>
  <si>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</si>
  <si>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</si>
  <si>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</si>
  <si>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</si>
  <si>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</si>
  <si>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</si>
  <si>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</si>
  <si>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</si>
  <si>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</si>
  <si>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</si>
  <si>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</si>
  <si>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</si>
  <si>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</si>
  <si>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</si>
  <si>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</si>
  <si>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</si>
  <si>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</si>
  <si>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</si>
  <si>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</si>
  <si>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</si>
  <si>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</si>
  <si>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</si>
  <si>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</si>
  <si>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</si>
  <si>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</si>
  <si>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</si>
  <si>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</si>
  <si>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</si>
  <si>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</si>
  <si>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</si>
  <si>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</si>
  <si>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</si>
  <si>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</si>
  <si>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</si>
  <si>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</si>
  <si>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</si>
  <si>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</si>
  <si>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</si>
  <si>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</si>
  <si>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</si>
  <si>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</si>
  <si>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</si>
  <si>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</si>
  <si>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</si>
  <si>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</si>
  <si>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</si>
  <si>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</si>
  <si>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</si>
  <si>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</si>
  <si>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</si>
  <si>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</si>
  <si>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</si>
  <si>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</si>
  <si>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</si>
  <si>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</si>
  <si>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</si>
  <si>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</si>
  <si>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</si>
  <si>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</si>
  <si>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</si>
  <si>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</si>
  <si>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</si>
  <si>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</si>
  <si>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</si>
  <si>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</si>
  <si>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</si>
  <si>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Catálogo.Projeto.01</t>
  </si>
  <si>
    <t>Projeto.01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</si>
  <si>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</si>
  <si>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</si>
  <si>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</si>
  <si>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</si>
  <si>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</si>
  <si>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</si>
  <si>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</si>
  <si>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</si>
  <si>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</si>
  <si>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</si>
  <si>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</si>
  <si>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</si>
  <si>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</si>
  <si>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</si>
  <si>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"Soluções de construção a seco: Drywall, tetos, forros e fachadas."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</si>
  <si>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</si>
  <si>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</si>
  <si>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</si>
  <si>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</si>
  <si>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</si>
  <si>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</si>
  <si>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</si>
  <si>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</si>
  <si>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</si>
  <si>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</si>
  <si>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</si>
  <si>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</si>
  <si>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</si>
  <si>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</si>
  <si>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</si>
  <si>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</si>
  <si>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</si>
  <si>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"Peças para saneamento básico em Ferro Fundido Dúctil: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</si>
  <si>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</si>
  <si>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</si>
  <si>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</si>
  <si>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</si>
  <si>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</si>
  <si>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</si>
  <si>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</si>
  <si>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</si>
  <si>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</si>
  <si>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</si>
  <si>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</si>
  <si>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</si>
  <si>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</si>
  <si>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</si>
  <si>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</si>
  <si>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</si>
  <si>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</si>
  <si>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</si>
  <si>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</si>
  <si>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</si>
  <si>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</si>
  <si>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</si>
  <si>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com toda a informação do projeto."</t>
  </si>
  <si>
    <t>"Contêiner do catálogo de Fabricante de ntes usados no projeto."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</si>
  <si>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</si>
  <si>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</si>
  <si>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</si>
  <si>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</si>
  <si>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</si>
  <si>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</si>
  <si>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</si>
  <si>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</si>
  <si>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</si>
  <si>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</si>
  <si>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</si>
  <si>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</si>
  <si>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</si>
  <si>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</si>
  <si>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</si>
  <si>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</si>
  <si>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</si>
  <si>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</si>
  <si>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Mec.Fornecimento</t>
  </si>
  <si>
    <t>Mec.Projetista</t>
  </si>
  <si>
    <t>Mec.Serviço</t>
  </si>
  <si>
    <t>Mob.Consultor</t>
  </si>
  <si>
    <t>Mob.Empresa.Consultora</t>
  </si>
  <si>
    <t>Mob.Fabricante</t>
  </si>
  <si>
    <t>Mob.Fornecimento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</si>
  <si>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</si>
  <si>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</si>
  <si>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</si>
  <si>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</si>
  <si>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</si>
  <si>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</si>
  <si>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</si>
  <si>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</si>
  <si>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</si>
  <si>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</si>
  <si>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Lab.Fornecimento</t>
  </si>
  <si>
    <t>Lab.Projetista</t>
  </si>
  <si>
    <t>Lab.Serviço</t>
  </si>
  <si>
    <t>Ins.Consultor</t>
  </si>
  <si>
    <t>Ins.Empresa.Consultora</t>
  </si>
  <si>
    <t>Ins.Fabricante</t>
  </si>
  <si>
    <t>Ins.Fornecimento</t>
  </si>
  <si>
    <t>Ins.Projetista</t>
  </si>
  <si>
    <t>Ins.Serviço</t>
  </si>
  <si>
    <t>Arq.Consultor</t>
  </si>
  <si>
    <t>Arq.EmpresArq.Consultora</t>
  </si>
  <si>
    <t>Arq.Fabricante</t>
  </si>
  <si>
    <t>Arq.Fornecimento</t>
  </si>
  <si>
    <t>Arq.Projetista</t>
  </si>
  <si>
    <t>Arq.Serviço</t>
  </si>
  <si>
    <t>Est.Consultor</t>
  </si>
  <si>
    <t>Est.Empresa.Consultora</t>
  </si>
  <si>
    <t>Est.Fabricante</t>
  </si>
  <si>
    <t>Est.Fornecimento</t>
  </si>
  <si>
    <t>Est.Projetista</t>
  </si>
  <si>
    <t>Est.Serviço</t>
  </si>
  <si>
    <t>Geo.Consultor</t>
  </si>
  <si>
    <t>Geo.Empresa.Consultora</t>
  </si>
  <si>
    <t>Geo.Fabricante</t>
  </si>
  <si>
    <t>Geo.Fornecimento</t>
  </si>
  <si>
    <t>Geo.Projetista</t>
  </si>
  <si>
    <t>Geo.Serviço</t>
  </si>
  <si>
    <t>Hos.Consultor</t>
  </si>
  <si>
    <t>Hos.Empresa.Consultora</t>
  </si>
  <si>
    <t>Hos.Fabricante</t>
  </si>
  <si>
    <t>Hos.Fornecimento</t>
  </si>
  <si>
    <t>Hos.Projetista</t>
  </si>
  <si>
    <t>Hos.Serviço</t>
  </si>
  <si>
    <t>Ino.Consultor</t>
  </si>
  <si>
    <t>Ino.Empresa.Consultora</t>
  </si>
  <si>
    <t>Ino.Fabricante</t>
  </si>
  <si>
    <t>Ino.Fornecimento</t>
  </si>
  <si>
    <t>Ino.Projetista</t>
  </si>
  <si>
    <t>Ino.Serviço</t>
  </si>
  <si>
    <t>Acu.Consultor</t>
  </si>
  <si>
    <t>Acu.EmpresAcu.Consultora</t>
  </si>
  <si>
    <t>Acu.Fabricante</t>
  </si>
  <si>
    <t>Acu.Fornecimento</t>
  </si>
  <si>
    <t>Acu.Projetista</t>
  </si>
  <si>
    <t>Acu.Serviço</t>
  </si>
  <si>
    <t>Ger.Consultor</t>
  </si>
  <si>
    <t>Ger.Empresa.Consultora</t>
  </si>
  <si>
    <t>Ger.Fabricante</t>
  </si>
  <si>
    <t>Ger.Fornecimento</t>
  </si>
  <si>
    <t>Ger.Projetista</t>
  </si>
  <si>
    <t>Ger.Serviço</t>
  </si>
  <si>
    <t>Ger.Vendedor</t>
  </si>
  <si>
    <t>Ilu.Consultor</t>
  </si>
  <si>
    <t>Ilu.Empresa.Consultora</t>
  </si>
  <si>
    <t>Ilu.Fabricante</t>
  </si>
  <si>
    <t>Ilu.Fornecimento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</si>
  <si>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</si>
  <si>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</si>
  <si>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</si>
  <si>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</si>
  <si>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</si>
  <si>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</si>
  <si>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</si>
  <si>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</si>
  <si>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</si>
  <si>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</si>
  <si>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</si>
  <si>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</si>
  <si>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</si>
  <si>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</si>
  <si>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</si>
  <si>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Tel.Fornecimento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</si>
  <si>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</si>
  <si>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</si>
  <si>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</si>
  <si>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</si>
  <si>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</si>
  <si>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</si>
  <si>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</si>
  <si>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</si>
  <si>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</si>
  <si>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</si>
  <si>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</si>
  <si>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</si>
  <si>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</si>
  <si>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</si>
  <si>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</si>
  <si>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</si>
  <si>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</si>
  <si>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</si>
  <si>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</si>
  <si>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</si>
  <si>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</si>
  <si>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</si>
  <si>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</si>
  <si>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</si>
  <si>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</si>
  <si>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</si>
  <si>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</si>
  <si>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</si>
  <si>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</si>
  <si>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</si>
  <si>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</si>
  <si>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</si>
  <si>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</si>
  <si>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</si>
  <si>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</si>
  <si>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</si>
  <si>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</si>
  <si>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</si>
  <si>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</si>
  <si>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</si>
  <si>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</si>
  <si>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</si>
  <si>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</si>
  <si>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</si>
  <si>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</si>
  <si>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</si>
  <si>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</si>
  <si>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</si>
  <si>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</si>
  <si>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</si>
  <si>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Arq.Venda</t>
  </si>
  <si>
    <t>Arq.Compra</t>
  </si>
  <si>
    <t>Est.Venda</t>
  </si>
  <si>
    <t>Geo.Venda</t>
  </si>
  <si>
    <t>Hos.Venda</t>
  </si>
  <si>
    <t>Ins.Venda</t>
  </si>
  <si>
    <t>Lab.Venda</t>
  </si>
  <si>
    <t>Mob.Venda</t>
  </si>
  <si>
    <t>Mec.Venda</t>
  </si>
  <si>
    <t>Ino.Venda</t>
  </si>
  <si>
    <t>Acu.Venda</t>
  </si>
  <si>
    <t>Ger.Venda</t>
  </si>
  <si>
    <t>Ilu.Venda</t>
  </si>
  <si>
    <t>Tel.Venda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</si>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</sst>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46014.561425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tabSelected="1" zoomScale="205" zoomScaleNormal="205" workbookViewId="0">
      <pane ySplit="1" topLeftCell="A127" activePane="bottomLeft" state="frozen"/>
      <selection pane="bottomLeft" activeCell="A148" sqref="A148"/>
    </sheetView>
  </sheetViews>
  <sheetFormatPr defaultColWidth="2.69140625" defaultRowHeight="6.55" customHeight="1" x14ac:dyDescent="0.4"/>
  <cols>
    <col min="1" max="1" width="2.3046875" customWidth="1"/>
    <col min="2" max="2" width="4.61328125" customWidth="1"/>
    <col min="3" max="3" width="6.3046875" customWidth="1"/>
    <col min="4" max="4" width="12.3828125" customWidth="1"/>
    <col min="5" max="5" width="10.84375" customWidth="1"/>
    <col min="6" max="6" width="15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1328125" bestFit="1" customWidth="1"/>
    <col min="16" max="16" width="36.3828125" bestFit="1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10.3046875" customWidth="1"/>
    <col min="26" max="26" width="1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55" customHeight="1" x14ac:dyDescent="0.4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>SUBSTITUTE(C2, ".", " ")</f>
        <v>Gestão</v>
      </c>
      <c r="T2" s="43" t="str">
        <f>SUBSTITUTE(D2, ".", " ")</f>
        <v>Produzido</v>
      </c>
      <c r="U2" s="43" t="str">
        <f>SUBSTITUTE(E2, ".", " ")</f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6.9" customHeight="1" x14ac:dyDescent="0.4">
      <c r="A3" s="51">
        <v>3</v>
      </c>
      <c r="B3" s="52" t="s">
        <v>75</v>
      </c>
      <c r="C3" s="52" t="s">
        <v>95</v>
      </c>
      <c r="D3" s="52" t="s">
        <v>317</v>
      </c>
      <c r="E3" s="52" t="s">
        <v>165</v>
      </c>
      <c r="F3" s="57" t="s">
        <v>484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>_xlfn.CONCAT(SUBSTITUTE(D3,"."," "))</f>
        <v>Segmentos dos Profissionais</v>
      </c>
      <c r="N3" s="23" t="str">
        <f>_xlfn.CONCAT(SUBSTITUTE(E3,"."," "))</f>
        <v>Segmento de Acústica</v>
      </c>
      <c r="O3" s="23" t="str">
        <f>_xlfn.CONCAT(SUBSTITUTE(F3,"."," "))</f>
        <v>Acu Compra</v>
      </c>
      <c r="P3" s="23" t="s">
        <v>504</v>
      </c>
      <c r="Q3" s="26" t="str">
        <f>_xlfn.TRANSLATE(P3,"pt","es")</f>
        <v>Proveedor de acústica: Es una compra de productos</v>
      </c>
      <c r="R3" s="42" t="s">
        <v>9</v>
      </c>
      <c r="S3" s="43" t="str">
        <f>SUBSTITUTE(C3, ".", " ")</f>
        <v>Fornecedores</v>
      </c>
      <c r="T3" s="43" t="str">
        <f>SUBSTITUTE(D3, ".", " ")</f>
        <v>Segmentos dos Profissionais</v>
      </c>
      <c r="U3" s="43" t="str">
        <f>SUBSTITUTE(E3, ".", " ")</f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506</v>
      </c>
      <c r="AA3" s="45" t="str">
        <f>_xlfn.TRANSLATE(P3,"pt","en")</f>
        <v>Acoustics Supplier: It is a purchase of products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317</v>
      </c>
      <c r="E4" s="52" t="s">
        <v>165</v>
      </c>
      <c r="F4" s="57" t="s">
        <v>384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>_xlfn.CONCAT(SUBSTITUTE(D4,"."," "))</f>
        <v>Segmentos dos Profissionais</v>
      </c>
      <c r="N4" s="23" t="str">
        <f>_xlfn.CONCAT(SUBSTITUTE(E4,"."," "))</f>
        <v>Segmento de Acústica</v>
      </c>
      <c r="O4" s="23" t="str">
        <f>_xlfn.CONCAT(SUBSTITUTE(F4,"."," "))</f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>SUBSTITUTE(C4, ".", " ")</f>
        <v>Fornecedores</v>
      </c>
      <c r="T4" s="43" t="str">
        <f>SUBSTITUTE(D4, ".", " ")</f>
        <v>Segmentos dos Profissionais</v>
      </c>
      <c r="U4" s="43" t="str">
        <f>SUBSTITUTE(E4, ".", " ")</f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435</v>
      </c>
      <c r="AA4" s="45" t="str">
        <f>_xlfn.TRANSLATE(P4,"pt","en")</f>
        <v>Acoustics Supplier: is a self-employed consultant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317</v>
      </c>
      <c r="E5" s="52" t="s">
        <v>165</v>
      </c>
      <c r="F5" s="57" t="s">
        <v>568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519</v>
      </c>
      <c r="N5" s="23" t="s">
        <v>544</v>
      </c>
      <c r="O5" s="23" t="s">
        <v>545</v>
      </c>
      <c r="P5" s="23" t="s">
        <v>581</v>
      </c>
      <c r="Q5" s="26" t="s">
        <v>603</v>
      </c>
      <c r="R5" s="42" t="s">
        <v>9</v>
      </c>
      <c r="S5" s="43" t="s">
        <v>95</v>
      </c>
      <c r="T5" s="43" t="s">
        <v>519</v>
      </c>
      <c r="U5" s="43" t="s">
        <v>544</v>
      </c>
      <c r="V5" s="41" t="s">
        <v>184</v>
      </c>
      <c r="W5" s="60" t="s">
        <v>546</v>
      </c>
      <c r="X5" s="41" t="s">
        <v>9</v>
      </c>
      <c r="Y5" s="41" t="s">
        <v>9</v>
      </c>
      <c r="Z5" s="41" t="s">
        <v>572</v>
      </c>
      <c r="AA5" s="45" t="s">
        <v>593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317</v>
      </c>
      <c r="E6" s="52" t="s">
        <v>165</v>
      </c>
      <c r="F6" s="57" t="s">
        <v>385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>_xlfn.CONCAT(SUBSTITUTE(C6,"1.",""))</f>
        <v>Fornecedores</v>
      </c>
      <c r="M6" s="23" t="str">
        <f>_xlfn.CONCAT(SUBSTITUTE(D6,"."," "))</f>
        <v>Segmentos dos Profissionais</v>
      </c>
      <c r="N6" s="23" t="str">
        <f>_xlfn.CONCAT(SUBSTITUTE(E6,"."," "))</f>
        <v>Segmento de Acústica</v>
      </c>
      <c r="O6" s="23" t="str">
        <f>_xlfn.CONCAT(SUBSTITUTE(F6,"."," "))</f>
        <v>Acu EmpresAcu Consultora</v>
      </c>
      <c r="P6" s="23" t="s">
        <v>172</v>
      </c>
      <c r="Q6" s="26" t="str">
        <f>_xlfn.TRANSLATE(P6,"pt","es")</f>
        <v>Proveedor en el segmento de acústica: es una empresa de consultoría</v>
      </c>
      <c r="R6" s="42" t="s">
        <v>9</v>
      </c>
      <c r="S6" s="43" t="str">
        <f>SUBSTITUTE(C6, ".", " ")</f>
        <v>Fornecedores</v>
      </c>
      <c r="T6" s="43" t="str">
        <f>SUBSTITUTE(D6, ".", " ")</f>
        <v>Segmentos dos Profissionais</v>
      </c>
      <c r="U6" s="43" t="str">
        <f>SUBSTITUTE(E6, ".", " ")</f>
        <v>Segmento de Acústica</v>
      </c>
      <c r="V6" s="41" t="s">
        <v>184</v>
      </c>
      <c r="W6" s="60" t="str">
        <f>CONCATENATE("Key.Fab.",A6)</f>
        <v>Key.Fab.6</v>
      </c>
      <c r="X6" s="41" t="s">
        <v>9</v>
      </c>
      <c r="Y6" s="41" t="s">
        <v>9</v>
      </c>
      <c r="Z6" s="41" t="s">
        <v>435</v>
      </c>
      <c r="AA6" s="45" t="str">
        <f>_xlfn.TRANSLATE(P6,"pt","en")</f>
        <v>Supplier in the acoustics segment: it is a consulting company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317</v>
      </c>
      <c r="E7" s="52" t="s">
        <v>165</v>
      </c>
      <c r="F7" s="57" t="s">
        <v>386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>_xlfn.CONCAT(SUBSTITUTE(C7,"1.",""))</f>
        <v>Fornecedores</v>
      </c>
      <c r="M7" s="23" t="str">
        <f>_xlfn.CONCAT(SUBSTITUTE(D7,"."," "))</f>
        <v>Segmentos dos Profissionais</v>
      </c>
      <c r="N7" s="23" t="str">
        <f>_xlfn.CONCAT(SUBSTITUTE(E7,"."," "))</f>
        <v>Segmento de Acústica</v>
      </c>
      <c r="O7" s="23" t="str">
        <f>_xlfn.CONCAT(SUBSTITUTE(F7,"."," "))</f>
        <v>Acu Fabricante</v>
      </c>
      <c r="P7" s="23" t="s">
        <v>173</v>
      </c>
      <c r="Q7" s="26" t="str">
        <f>_xlfn.TRANSLATE(P7,"pt","es")</f>
        <v>Proveedor del segmento de acústica: es un fabricante de productos</v>
      </c>
      <c r="R7" s="42" t="s">
        <v>9</v>
      </c>
      <c r="S7" s="43" t="str">
        <f>SUBSTITUTE(C7, ".", " ")</f>
        <v>Fornecedores</v>
      </c>
      <c r="T7" s="43" t="str">
        <f>SUBSTITUTE(D7, ".", " ")</f>
        <v>Segmentos dos Profissionais</v>
      </c>
      <c r="U7" s="43" t="str">
        <f>SUBSTITUTE(E7, ".", " ")</f>
        <v>Segmento de Acústica</v>
      </c>
      <c r="V7" s="41" t="s">
        <v>184</v>
      </c>
      <c r="W7" s="60" t="str">
        <f>CONCATENATE("Key.Fab.",A7)</f>
        <v>Key.Fab.7</v>
      </c>
      <c r="X7" s="41" t="s">
        <v>9</v>
      </c>
      <c r="Y7" s="41" t="s">
        <v>9</v>
      </c>
      <c r="Z7" s="41" t="s">
        <v>426</v>
      </c>
      <c r="AA7" s="45" t="str">
        <f>_xlfn.TRANSLATE(P7,"pt","en")</f>
        <v>Acoustics Segment Supplier: is a manufacturer of products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317</v>
      </c>
      <c r="E8" s="52" t="s">
        <v>165</v>
      </c>
      <c r="F8" s="57" t="s">
        <v>387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>_xlfn.CONCAT(SUBSTITUTE(C8,"1.",""))</f>
        <v>Fornecedores</v>
      </c>
      <c r="M8" s="23" t="str">
        <f>_xlfn.CONCAT(SUBSTITUTE(D8,"."," "))</f>
        <v>Segmentos dos Profissionais</v>
      </c>
      <c r="N8" s="23" t="str">
        <f>_xlfn.CONCAT(SUBSTITUTE(E8,"."," "))</f>
        <v>Segmento de Acústica</v>
      </c>
      <c r="O8" s="23" t="str">
        <f>_xlfn.CONCAT(SUBSTITUTE(F8,"."," "))</f>
        <v>Acu Fornecimento</v>
      </c>
      <c r="P8" s="23" t="s">
        <v>175</v>
      </c>
      <c r="Q8" s="26" t="str">
        <f>_xlfn.TRANSLATE(P8,"pt","es")</f>
        <v>Proveedor del segmento acústico: es un proveedor</v>
      </c>
      <c r="R8" s="42" t="s">
        <v>9</v>
      </c>
      <c r="S8" s="43" t="str">
        <f>SUBSTITUTE(C8, ".", " ")</f>
        <v>Fornecedores</v>
      </c>
      <c r="T8" s="43" t="str">
        <f>SUBSTITUTE(D8, ".", " ")</f>
        <v>Segmentos dos Profissionais</v>
      </c>
      <c r="U8" s="43" t="str">
        <f>SUBSTITUTE(E8, ".", " ")</f>
        <v>Segmento de Acústica</v>
      </c>
      <c r="V8" s="41" t="s">
        <v>184</v>
      </c>
      <c r="W8" s="60" t="str">
        <f>CONCATENATE("Key.Fab.",A8)</f>
        <v>Key.Fab.8</v>
      </c>
      <c r="X8" s="41" t="s">
        <v>9</v>
      </c>
      <c r="Y8" s="41" t="s">
        <v>9</v>
      </c>
      <c r="Z8" s="41" t="s">
        <v>433</v>
      </c>
      <c r="AA8" s="45" t="str">
        <f>_xlfn.TRANSLATE(P8,"pt","en")</f>
        <v>Acoustics segment supplier: is a supplier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317</v>
      </c>
      <c r="E9" s="52" t="s">
        <v>165</v>
      </c>
      <c r="F9" s="57" t="s">
        <v>388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>_xlfn.CONCAT(SUBSTITUTE(C9,"1.",""))</f>
        <v>Fornecedores</v>
      </c>
      <c r="M9" s="23" t="str">
        <f>_xlfn.CONCAT(SUBSTITUTE(D9,"."," "))</f>
        <v>Segmentos dos Profissionais</v>
      </c>
      <c r="N9" s="23" t="str">
        <f>_xlfn.CONCAT(SUBSTITUTE(E9,"."," "))</f>
        <v>Segmento de Acústica</v>
      </c>
      <c r="O9" s="23" t="str">
        <f>_xlfn.CONCAT(SUBSTITUTE(F9,"."," "))</f>
        <v>Acu Projetista</v>
      </c>
      <c r="P9" s="23" t="s">
        <v>232</v>
      </c>
      <c r="Q9" s="26" t="str">
        <f>_xlfn.TRANSLATE(P9,"pt","es")</f>
        <v>Proveedor de acústica: es una empresa de diseño o diseño</v>
      </c>
      <c r="R9" s="42" t="s">
        <v>9</v>
      </c>
      <c r="S9" s="43" t="str">
        <f>SUBSTITUTE(C9, ".", " ")</f>
        <v>Fornecedores</v>
      </c>
      <c r="T9" s="43" t="str">
        <f>SUBSTITUTE(D9, ".", " ")</f>
        <v>Segmentos dos Profissionais</v>
      </c>
      <c r="U9" s="43" t="str">
        <f>SUBSTITUTE(E9, ".", " ")</f>
        <v>Segmento de Acústica</v>
      </c>
      <c r="V9" s="41" t="s">
        <v>184</v>
      </c>
      <c r="W9" s="60" t="str">
        <f>CONCATENATE("Key.Fab.",A9)</f>
        <v>Key.Fab.9</v>
      </c>
      <c r="X9" s="41" t="s">
        <v>9</v>
      </c>
      <c r="Y9" s="41" t="s">
        <v>9</v>
      </c>
      <c r="Z9" s="41" t="s">
        <v>437</v>
      </c>
      <c r="AA9" s="45" t="str">
        <f>_xlfn.TRANSLATE(P9,"pt","en")</f>
        <v>Acoustics Supplier: is a Designer or Design Company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317</v>
      </c>
      <c r="E10" s="52" t="s">
        <v>165</v>
      </c>
      <c r="F10" s="57" t="s">
        <v>389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>_xlfn.CONCAT(SUBSTITUTE(C10,"1.",""))</f>
        <v>Fornecedores</v>
      </c>
      <c r="M10" s="23" t="str">
        <f>_xlfn.CONCAT(SUBSTITUTE(D10,"."," "))</f>
        <v>Segmentos dos Profissionais</v>
      </c>
      <c r="N10" s="23" t="str">
        <f>_xlfn.CONCAT(SUBSTITUTE(E10,"."," "))</f>
        <v>Segmento de Acústica</v>
      </c>
      <c r="O10" s="23" t="str">
        <f>_xlfn.CONCAT(SUBSTITUTE(F10,"."," "))</f>
        <v>Acu Serviço</v>
      </c>
      <c r="P10" s="23" t="s">
        <v>170</v>
      </c>
      <c r="Q10" s="26" t="str">
        <f>_xlfn.TRANSLATE(P10,"pt","es")</f>
        <v>Proveedor de acústica: Es un servicio</v>
      </c>
      <c r="R10" s="42" t="s">
        <v>9</v>
      </c>
      <c r="S10" s="43" t="str">
        <f>SUBSTITUTE(C10, ".", " ")</f>
        <v>Fornecedores</v>
      </c>
      <c r="T10" s="43" t="str">
        <f>SUBSTITUTE(D10, ".", " ")</f>
        <v>Segmentos dos Profissionais</v>
      </c>
      <c r="U10" s="43" t="str">
        <f>SUBSTITUTE(E10, ".", " ")</f>
        <v>Segmento de Acústica</v>
      </c>
      <c r="V10" s="41" t="s">
        <v>184</v>
      </c>
      <c r="W10" s="60" t="str">
        <f>CONCATENATE("Key.Fab.",A10)</f>
        <v>Key.Fab.10</v>
      </c>
      <c r="X10" s="41" t="s">
        <v>9</v>
      </c>
      <c r="Y10" s="41" t="s">
        <v>9</v>
      </c>
      <c r="Z10" s="41" t="s">
        <v>436</v>
      </c>
      <c r="AA10" s="45" t="str">
        <f>_xlfn.TRANSLATE(P10,"pt","en")</f>
        <v>Acoustics Supplier: It's a Service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317</v>
      </c>
      <c r="E11" s="52" t="s">
        <v>165</v>
      </c>
      <c r="F11" s="57" t="s">
        <v>477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>_xlfn.CONCAT(SUBSTITUTE(C11,"1.",""))</f>
        <v>Fornecedores</v>
      </c>
      <c r="M11" s="23" t="str">
        <f>_xlfn.CONCAT(SUBSTITUTE(D11,"."," "))</f>
        <v>Segmentos dos Profissionais</v>
      </c>
      <c r="N11" s="23" t="str">
        <f>_xlfn.CONCAT(SUBSTITUTE(E11,"."," "))</f>
        <v>Segmento de Acústica</v>
      </c>
      <c r="O11" s="23" t="str">
        <f>_xlfn.CONCAT(SUBSTITUTE(F11,"."," "))</f>
        <v>Acu Venda</v>
      </c>
      <c r="P11" s="23" t="s">
        <v>515</v>
      </c>
      <c r="Q11" s="26" t="str">
        <f>_xlfn.TRANSLATE(P11,"pt","es")</f>
        <v>Proveedor en el segmento de acústica: es una venta de productos</v>
      </c>
      <c r="R11" s="42" t="s">
        <v>9</v>
      </c>
      <c r="S11" s="43" t="str">
        <f>SUBSTITUTE(C11, ".", " ")</f>
        <v>Fornecedores</v>
      </c>
      <c r="T11" s="43" t="str">
        <f>SUBSTITUTE(D11, ".", " ")</f>
        <v>Segmentos dos Profissionais</v>
      </c>
      <c r="U11" s="43" t="str">
        <f>SUBSTITUTE(E11, ".", " ")</f>
        <v>Segmento de Acústica</v>
      </c>
      <c r="V11" s="41" t="s">
        <v>184</v>
      </c>
      <c r="W11" s="60" t="str">
        <f>CONCATENATE("Key.Fab.",A11)</f>
        <v>Key.Fab.11</v>
      </c>
      <c r="X11" s="41" t="s">
        <v>9</v>
      </c>
      <c r="Y11" s="41" t="s">
        <v>9</v>
      </c>
      <c r="Z11" s="41" t="s">
        <v>434</v>
      </c>
      <c r="AA11" s="45" t="str">
        <f>_xlfn.TRANSLATE(P11,"pt","en")</f>
        <v>Supplier in the acoustics segment: it is a sale of products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317</v>
      </c>
      <c r="E12" s="52" t="s">
        <v>96</v>
      </c>
      <c r="F12" s="57" t="s">
        <v>468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>_xlfn.CONCAT(SUBSTITUTE(C12,"1.",""))</f>
        <v>Fornecedores</v>
      </c>
      <c r="M12" s="23" t="str">
        <f>_xlfn.CONCAT(SUBSTITUTE(D12,"."," "))</f>
        <v>Segmentos dos Profissionais</v>
      </c>
      <c r="N12" s="23" t="str">
        <f>_xlfn.CONCAT(SUBSTITUTE(E12,"."," "))</f>
        <v>Segmento de Arquitetura</v>
      </c>
      <c r="O12" s="23" t="str">
        <f>_xlfn.CONCAT(SUBSTITUTE(F12,"."," "))</f>
        <v>Arq Compra</v>
      </c>
      <c r="P12" s="23" t="s">
        <v>495</v>
      </c>
      <c r="Q12" s="26" t="str">
        <f>_xlfn.TRANSLATE(P12,"pt","es")</f>
        <v>Proveedor de arquitectura: Es una compra de productos</v>
      </c>
      <c r="R12" s="42" t="s">
        <v>9</v>
      </c>
      <c r="S12" s="43" t="str">
        <f>SUBSTITUTE(C12, ".", " ")</f>
        <v>Fornecedores</v>
      </c>
      <c r="T12" s="43" t="str">
        <f>SUBSTITUTE(D12, ".", " ")</f>
        <v>Segmentos dos Profissionais</v>
      </c>
      <c r="U12" s="43" t="str">
        <f>SUBSTITUTE(E12, ".", " ")</f>
        <v>Segmento de Arquitetura</v>
      </c>
      <c r="V12" s="41" t="s">
        <v>184</v>
      </c>
      <c r="W12" s="60" t="str">
        <f>CONCATENATE("Key.Fab.",A12)</f>
        <v>Key.Fab.12</v>
      </c>
      <c r="X12" s="41" t="s">
        <v>9</v>
      </c>
      <c r="Y12" s="41" t="s">
        <v>9</v>
      </c>
      <c r="Z12" s="41" t="s">
        <v>506</v>
      </c>
      <c r="AA12" s="45" t="str">
        <f>_xlfn.TRANSLATE(P12,"pt","en")</f>
        <v>Architecture Vendor: It's a purchase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317</v>
      </c>
      <c r="E13" s="52" t="s">
        <v>96</v>
      </c>
      <c r="F13" s="57" t="s">
        <v>354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>_xlfn.CONCAT(SUBSTITUTE(C13,"1.",""))</f>
        <v>Fornecedores</v>
      </c>
      <c r="M13" s="23" t="str">
        <f>_xlfn.CONCAT(SUBSTITUTE(D13,"."," "))</f>
        <v>Segmentos dos Profissionais</v>
      </c>
      <c r="N13" s="23" t="str">
        <f>_xlfn.CONCAT(SUBSTITUTE(E13,"."," "))</f>
        <v>Segmento de Arquitetura</v>
      </c>
      <c r="O13" s="23" t="str">
        <f>_xlfn.CONCAT(SUBSTITUTE(F13,"."," "))</f>
        <v>Arq Consultor</v>
      </c>
      <c r="P13" s="23" t="s">
        <v>167</v>
      </c>
      <c r="Q13" s="26" t="str">
        <f>_xlfn.TRANSLATE(P13,"pt","es")</f>
        <v>Proveedor de arquitectura: es consultor autónomo</v>
      </c>
      <c r="R13" s="42" t="s">
        <v>9</v>
      </c>
      <c r="S13" s="43" t="str">
        <f>SUBSTITUTE(C13, ".", " ")</f>
        <v>Fornecedores</v>
      </c>
      <c r="T13" s="43" t="str">
        <f>SUBSTITUTE(D13, ".", " ")</f>
        <v>Segmentos dos Profissionais</v>
      </c>
      <c r="U13" s="43" t="str">
        <f>SUBSTITUTE(E13, ".", " ")</f>
        <v>Segmento de Arquitetura</v>
      </c>
      <c r="V13" s="41" t="s">
        <v>184</v>
      </c>
      <c r="W13" s="60" t="str">
        <f>CONCATENATE("Key.Fab.",A13)</f>
        <v>Key.Fab.13</v>
      </c>
      <c r="X13" s="41" t="s">
        <v>9</v>
      </c>
      <c r="Y13" s="41" t="s">
        <v>9</v>
      </c>
      <c r="Z13" s="41" t="s">
        <v>435</v>
      </c>
      <c r="AA13" s="45" t="str">
        <f>_xlfn.TRANSLATE(P13,"pt","en")</f>
        <v>Architecture Vendor: is a self-employed consultant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317</v>
      </c>
      <c r="E14" s="52" t="s">
        <v>96</v>
      </c>
      <c r="F14" s="57" t="s">
        <v>559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519</v>
      </c>
      <c r="N14" s="23" t="s">
        <v>556</v>
      </c>
      <c r="O14" s="23" t="s">
        <v>557</v>
      </c>
      <c r="P14" s="23" t="s">
        <v>611</v>
      </c>
      <c r="Q14" s="26" t="s">
        <v>610</v>
      </c>
      <c r="R14" s="42" t="s">
        <v>9</v>
      </c>
      <c r="S14" s="43" t="s">
        <v>95</v>
      </c>
      <c r="T14" s="43" t="s">
        <v>519</v>
      </c>
      <c r="U14" s="43" t="s">
        <v>556</v>
      </c>
      <c r="V14" s="41" t="s">
        <v>184</v>
      </c>
      <c r="W14" s="60" t="s">
        <v>558</v>
      </c>
      <c r="X14" s="41" t="s">
        <v>9</v>
      </c>
      <c r="Y14" s="41" t="s">
        <v>9</v>
      </c>
      <c r="Z14" s="41" t="s">
        <v>572</v>
      </c>
      <c r="AA14" s="45" t="s">
        <v>597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317</v>
      </c>
      <c r="E15" s="52" t="s">
        <v>96</v>
      </c>
      <c r="F15" s="57" t="s">
        <v>355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>_xlfn.CONCAT(SUBSTITUTE(C15,"1.",""))</f>
        <v>Fornecedores</v>
      </c>
      <c r="M15" s="23" t="str">
        <f>_xlfn.CONCAT(SUBSTITUTE(D15,"."," "))</f>
        <v>Segmentos dos Profissionais</v>
      </c>
      <c r="N15" s="23" t="str">
        <f>_xlfn.CONCAT(SUBSTITUTE(E15,"."," "))</f>
        <v>Segmento de Arquitetura</v>
      </c>
      <c r="O15" s="23" t="str">
        <f>_xlfn.CONCAT(SUBSTITUTE(F15,"."," "))</f>
        <v>Arq EmpresArq Consultora</v>
      </c>
      <c r="P15" s="23" t="s">
        <v>168</v>
      </c>
      <c r="Q15" s="26" t="str">
        <f>_xlfn.TRANSLATE(P15,"pt","es")</f>
        <v>Proveedor en el segmento de arquitectura: es una empresa de consultoría</v>
      </c>
      <c r="R15" s="42" t="s">
        <v>9</v>
      </c>
      <c r="S15" s="43" t="str">
        <f>SUBSTITUTE(C15, ".", " ")</f>
        <v>Fornecedores</v>
      </c>
      <c r="T15" s="43" t="str">
        <f>SUBSTITUTE(D15, ".", " ")</f>
        <v>Segmentos dos Profissionais</v>
      </c>
      <c r="U15" s="43" t="str">
        <f>SUBSTITUTE(E15, ".", " ")</f>
        <v>Segmento de Arquitetura</v>
      </c>
      <c r="V15" s="41" t="s">
        <v>184</v>
      </c>
      <c r="W15" s="60" t="str">
        <f>CONCATENATE("Key.Fab.",A15)</f>
        <v>Key.Fab.15</v>
      </c>
      <c r="X15" s="41" t="s">
        <v>9</v>
      </c>
      <c r="Y15" s="41" t="s">
        <v>9</v>
      </c>
      <c r="Z15" s="41" t="s">
        <v>435</v>
      </c>
      <c r="AA15" s="45" t="str">
        <f>_xlfn.TRANSLATE(P15,"pt","en")</f>
        <v>Supplier in the architecture segment: it is a consulting company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317</v>
      </c>
      <c r="E16" s="52" t="s">
        <v>96</v>
      </c>
      <c r="F16" s="57" t="s">
        <v>356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>_xlfn.CONCAT(SUBSTITUTE(C16,"1.",""))</f>
        <v>Fornecedores</v>
      </c>
      <c r="M16" s="23" t="str">
        <f>_xlfn.CONCAT(SUBSTITUTE(D16,"."," "))</f>
        <v>Segmentos dos Profissionais</v>
      </c>
      <c r="N16" s="23" t="str">
        <f>_xlfn.CONCAT(SUBSTITUTE(E16,"."," "))</f>
        <v>Segmento de Arquitetura</v>
      </c>
      <c r="O16" s="23" t="str">
        <f>_xlfn.CONCAT(SUBSTITUTE(F16,"."," "))</f>
        <v>Arq Fabricante</v>
      </c>
      <c r="P16" s="23" t="s">
        <v>169</v>
      </c>
      <c r="Q16" s="26" t="str">
        <f>_xlfn.TRANSLATE(P16,"pt","es")</f>
        <v>Proveedor de arquitectura: es un fabricante de productos</v>
      </c>
      <c r="R16" s="42" t="s">
        <v>9</v>
      </c>
      <c r="S16" s="43" t="str">
        <f>SUBSTITUTE(C16, ".", " ")</f>
        <v>Fornecedores</v>
      </c>
      <c r="T16" s="43" t="str">
        <f>SUBSTITUTE(D16, ".", " ")</f>
        <v>Segmentos dos Profissionais</v>
      </c>
      <c r="U16" s="43" t="str">
        <f>SUBSTITUTE(E16, ".", " ")</f>
        <v>Segmento de Arquitetura</v>
      </c>
      <c r="V16" s="41" t="s">
        <v>184</v>
      </c>
      <c r="W16" s="60" t="str">
        <f>CONCATENATE("Key.Fab.",A16)</f>
        <v>Key.Fab.16</v>
      </c>
      <c r="X16" s="41" t="s">
        <v>9</v>
      </c>
      <c r="Y16" s="41" t="s">
        <v>9</v>
      </c>
      <c r="Z16" s="41" t="s">
        <v>426</v>
      </c>
      <c r="AA16" s="45" t="str">
        <f>_xlfn.TRANSLATE(P16,"pt","en")</f>
        <v>Architecture Vendor: is a manufacturer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317</v>
      </c>
      <c r="E17" s="52" t="s">
        <v>96</v>
      </c>
      <c r="F17" s="57" t="s">
        <v>357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>_xlfn.CONCAT(SUBSTITUTE(C17,"1.",""))</f>
        <v>Fornecedores</v>
      </c>
      <c r="M17" s="23" t="str">
        <f>_xlfn.CONCAT(SUBSTITUTE(D17,"."," "))</f>
        <v>Segmentos dos Profissionais</v>
      </c>
      <c r="N17" s="23" t="str">
        <f>_xlfn.CONCAT(SUBSTITUTE(E17,"."," "))</f>
        <v>Segmento de Arquitetura</v>
      </c>
      <c r="O17" s="23" t="str">
        <f>_xlfn.CONCAT(SUBSTITUTE(F17,"."," "))</f>
        <v>Arq Fornecimento</v>
      </c>
      <c r="P17" s="23" t="s">
        <v>174</v>
      </c>
      <c r="Q17" s="26" t="str">
        <f>_xlfn.TRANSLATE(P17,"pt","es")</f>
        <v>Proveedor de arquitectura: es un proveedor</v>
      </c>
      <c r="R17" s="42" t="s">
        <v>9</v>
      </c>
      <c r="S17" s="43" t="str">
        <f>SUBSTITUTE(C17, ".", " ")</f>
        <v>Fornecedores</v>
      </c>
      <c r="T17" s="43" t="str">
        <f>SUBSTITUTE(D17, ".", " ")</f>
        <v>Segmentos dos Profissionais</v>
      </c>
      <c r="U17" s="43" t="str">
        <f>SUBSTITUTE(E17, ".", " ")</f>
        <v>Segmento de Arquitetura</v>
      </c>
      <c r="V17" s="41" t="s">
        <v>184</v>
      </c>
      <c r="W17" s="60" t="str">
        <f>CONCATENATE("Key.Fab.",A17)</f>
        <v>Key.Fab.17</v>
      </c>
      <c r="X17" s="41" t="s">
        <v>9</v>
      </c>
      <c r="Y17" s="41" t="s">
        <v>9</v>
      </c>
      <c r="Z17" s="41" t="s">
        <v>433</v>
      </c>
      <c r="AA17" s="45" t="str">
        <f>_xlfn.TRANSLATE(P17,"pt","en")</f>
        <v>Architecture Vendor: is a vendor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317</v>
      </c>
      <c r="E18" s="52" t="s">
        <v>96</v>
      </c>
      <c r="F18" s="57" t="s">
        <v>358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>_xlfn.CONCAT(SUBSTITUTE(C18,"1.",""))</f>
        <v>Fornecedores</v>
      </c>
      <c r="M18" s="23" t="str">
        <f>_xlfn.CONCAT(SUBSTITUTE(D18,"."," "))</f>
        <v>Segmentos dos Profissionais</v>
      </c>
      <c r="N18" s="23" t="str">
        <f>_xlfn.CONCAT(SUBSTITUTE(E18,"."," "))</f>
        <v>Segmento de Arquitetura</v>
      </c>
      <c r="O18" s="23" t="str">
        <f>_xlfn.CONCAT(SUBSTITUTE(F18,"."," "))</f>
        <v>Arq Projetista</v>
      </c>
      <c r="P18" s="23" t="s">
        <v>224</v>
      </c>
      <c r="Q18" s="26" t="str">
        <f>_xlfn.TRANSLATE(P18,"pt","es")</f>
        <v>Proveedor de Arquitectura: es una empresa de diseñador o diseño</v>
      </c>
      <c r="R18" s="42" t="s">
        <v>9</v>
      </c>
      <c r="S18" s="43" t="str">
        <f>SUBSTITUTE(C18, ".", " ")</f>
        <v>Fornecedores</v>
      </c>
      <c r="T18" s="43" t="str">
        <f>SUBSTITUTE(D18, ".", " ")</f>
        <v>Segmentos dos Profissionais</v>
      </c>
      <c r="U18" s="43" t="str">
        <f>SUBSTITUTE(E18, ".", " ")</f>
        <v>Segmento de Arquitetura</v>
      </c>
      <c r="V18" s="41" t="s">
        <v>184</v>
      </c>
      <c r="W18" s="60" t="str">
        <f>CONCATENATE("Key.Fab.",A18)</f>
        <v>Key.Fab.18</v>
      </c>
      <c r="X18" s="41" t="s">
        <v>9</v>
      </c>
      <c r="Y18" s="41" t="s">
        <v>9</v>
      </c>
      <c r="Z18" s="41" t="s">
        <v>427</v>
      </c>
      <c r="AA18" s="45" t="str">
        <f>_xlfn.TRANSLATE(P18,"pt","en")</f>
        <v>Architecture Vendor: is a Designer or Design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317</v>
      </c>
      <c r="E19" s="52" t="s">
        <v>96</v>
      </c>
      <c r="F19" s="57" t="s">
        <v>359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>_xlfn.CONCAT(SUBSTITUTE(C19,"1.",""))</f>
        <v>Fornecedores</v>
      </c>
      <c r="M19" s="23" t="str">
        <f>_xlfn.CONCAT(SUBSTITUTE(D19,"."," "))</f>
        <v>Segmentos dos Profissionais</v>
      </c>
      <c r="N19" s="23" t="str">
        <f>_xlfn.CONCAT(SUBSTITUTE(E19,"."," "))</f>
        <v>Segmento de Arquitetura</v>
      </c>
      <c r="O19" s="23" t="str">
        <f>_xlfn.CONCAT(SUBSTITUTE(F19,"."," "))</f>
        <v>Arq Serviço</v>
      </c>
      <c r="P19" s="23" t="s">
        <v>166</v>
      </c>
      <c r="Q19" s="26" t="str">
        <f>_xlfn.TRANSLATE(P19,"pt","es")</f>
        <v>Proveedor de arquitectura: Es un servicio</v>
      </c>
      <c r="R19" s="42" t="s">
        <v>9</v>
      </c>
      <c r="S19" s="43" t="str">
        <f>SUBSTITUTE(C19, ".", " ")</f>
        <v>Fornecedores</v>
      </c>
      <c r="T19" s="43" t="str">
        <f>SUBSTITUTE(D19, ".", " ")</f>
        <v>Segmentos dos Profissionais</v>
      </c>
      <c r="U19" s="43" t="str">
        <f>SUBSTITUTE(E19, ".", " ")</f>
        <v>Segmento de Arquitetura</v>
      </c>
      <c r="V19" s="41" t="s">
        <v>184</v>
      </c>
      <c r="W19" s="60" t="str">
        <f>CONCATENATE("Key.Fab.",A19)</f>
        <v>Key.Fab.19</v>
      </c>
      <c r="X19" s="41" t="s">
        <v>9</v>
      </c>
      <c r="Y19" s="41" t="s">
        <v>9</v>
      </c>
      <c r="Z19" s="41" t="s">
        <v>436</v>
      </c>
      <c r="AA19" s="45" t="str">
        <f>_xlfn.TRANSLATE(P19,"pt","en")</f>
        <v>Architecture Vendor: It's a service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317</v>
      </c>
      <c r="E20" s="52" t="s">
        <v>96</v>
      </c>
      <c r="F20" s="57" t="s">
        <v>467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>_xlfn.CONCAT(SUBSTITUTE(C20,"1.",""))</f>
        <v>Fornecedores</v>
      </c>
      <c r="M20" s="23" t="str">
        <f>_xlfn.CONCAT(SUBSTITUTE(D20,"."," "))</f>
        <v>Segmentos dos Profissionais</v>
      </c>
      <c r="N20" s="23" t="str">
        <f>_xlfn.CONCAT(SUBSTITUTE(E20,"."," "))</f>
        <v>Segmento de Arquitetura</v>
      </c>
      <c r="O20" s="23" t="str">
        <f>_xlfn.CONCAT(SUBSTITUTE(F20,"."," "))</f>
        <v>Arq Venda</v>
      </c>
      <c r="P20" s="23" t="s">
        <v>611</v>
      </c>
      <c r="Q20" s="26" t="str">
        <f>_xlfn.TRANSLATE(P20,"pt","es")</f>
        <v>Proveedor de arquitectura: Es una venta de producto</v>
      </c>
      <c r="R20" s="42" t="s">
        <v>9</v>
      </c>
      <c r="S20" s="43" t="str">
        <f>SUBSTITUTE(C20, ".", " ")</f>
        <v>Fornecedores</v>
      </c>
      <c r="T20" s="43" t="str">
        <f>SUBSTITUTE(D20, ".", " ")</f>
        <v>Segmentos dos Profissionais</v>
      </c>
      <c r="U20" s="43" t="str">
        <f>SUBSTITUTE(E20, ".", " ")</f>
        <v>Segmento de Arquitetura</v>
      </c>
      <c r="V20" s="41" t="s">
        <v>184</v>
      </c>
      <c r="W20" s="60" t="str">
        <f>CONCATENATE("Key.Fab.",A20)</f>
        <v>Key.Fab.20</v>
      </c>
      <c r="X20" s="41" t="s">
        <v>9</v>
      </c>
      <c r="Y20" s="41" t="s">
        <v>9</v>
      </c>
      <c r="Z20" s="41" t="s">
        <v>434</v>
      </c>
      <c r="AA20" s="45" t="str">
        <f>_xlfn.TRANSLATE(P20,"pt","en")</f>
        <v>Architecture Vendor: It's a product sale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317</v>
      </c>
      <c r="E21" s="52" t="s">
        <v>97</v>
      </c>
      <c r="F21" s="57" t="s">
        <v>492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>_xlfn.CONCAT(SUBSTITUTE(C21,"1.",""))</f>
        <v>Fornecedores</v>
      </c>
      <c r="M21" s="23" t="str">
        <f>_xlfn.CONCAT(SUBSTITUTE(D21,"."," "))</f>
        <v>Segmentos dos Profissionais</v>
      </c>
      <c r="N21" s="23" t="str">
        <f>_xlfn.CONCAT(SUBSTITUTE(E21,"."," "))</f>
        <v>Segmento de Estrutura</v>
      </c>
      <c r="O21" s="23" t="str">
        <f>_xlfn.CONCAT(SUBSTITUTE(F21,"."," "))</f>
        <v>Est Compra</v>
      </c>
      <c r="P21" s="23" t="s">
        <v>496</v>
      </c>
      <c r="Q21" s="26" t="str">
        <f>_xlfn.TRANSLATE(P21,"pt","es")</f>
        <v>Proveedor en el segmento estructural: es una compra de productos</v>
      </c>
      <c r="R21" s="42" t="s">
        <v>9</v>
      </c>
      <c r="S21" s="43" t="str">
        <f>SUBSTITUTE(C21, ".", " ")</f>
        <v>Fornecedores</v>
      </c>
      <c r="T21" s="43" t="str">
        <f>SUBSTITUTE(D21, ".", " ")</f>
        <v>Segmentos dos Profissionais</v>
      </c>
      <c r="U21" s="43" t="str">
        <f>SUBSTITUTE(E21, ".", " ")</f>
        <v>Segmento de Estrutura</v>
      </c>
      <c r="V21" s="41" t="s">
        <v>184</v>
      </c>
      <c r="W21" s="60" t="str">
        <f>CONCATENATE("Key.Fab.",A21)</f>
        <v>Key.Fab.21</v>
      </c>
      <c r="X21" s="41" t="s">
        <v>9</v>
      </c>
      <c r="Y21" s="41" t="s">
        <v>9</v>
      </c>
      <c r="Z21" s="41" t="s">
        <v>506</v>
      </c>
      <c r="AA21" s="45" t="str">
        <f>_xlfn.TRANSLATE(P21,"pt","en")</f>
        <v>Supplier in the structure segment: it is a purchase of products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317</v>
      </c>
      <c r="E22" s="52" t="s">
        <v>97</v>
      </c>
      <c r="F22" s="57" t="s">
        <v>360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>_xlfn.CONCAT(SUBSTITUTE(C22,"1.",""))</f>
        <v>Fornecedores</v>
      </c>
      <c r="M22" s="23" t="str">
        <f>_xlfn.CONCAT(SUBSTITUTE(D22,"."," "))</f>
        <v>Segmentos dos Profissionais</v>
      </c>
      <c r="N22" s="23" t="str">
        <f>_xlfn.CONCAT(SUBSTITUTE(E22,"."," "))</f>
        <v>Segmento de Estrutura</v>
      </c>
      <c r="O22" s="23" t="str">
        <f>_xlfn.CONCAT(SUBSTITUTE(F22,"."," "))</f>
        <v>Est Consultor</v>
      </c>
      <c r="P22" s="23" t="s">
        <v>104</v>
      </c>
      <c r="Q22" s="26" t="str">
        <f>_xlfn.TRANSLATE(P22,"pt","es")</f>
        <v>Proveedor del segmento de estructura: es consultor autónomo</v>
      </c>
      <c r="R22" s="42" t="s">
        <v>9</v>
      </c>
      <c r="S22" s="43" t="str">
        <f>SUBSTITUTE(C22, ".", " ")</f>
        <v>Fornecedores</v>
      </c>
      <c r="T22" s="43" t="str">
        <f>SUBSTITUTE(D22, ".", " ")</f>
        <v>Segmentos dos Profissionais</v>
      </c>
      <c r="U22" s="43" t="str">
        <f>SUBSTITUTE(E22, ".", " ")</f>
        <v>Segmento de Estrutura</v>
      </c>
      <c r="V22" s="41" t="s">
        <v>184</v>
      </c>
      <c r="W22" s="60" t="str">
        <f>CONCATENATE("Key.Fab.",A22)</f>
        <v>Key.Fab.22</v>
      </c>
      <c r="X22" s="41" t="s">
        <v>9</v>
      </c>
      <c r="Y22" s="41" t="s">
        <v>9</v>
      </c>
      <c r="Z22" s="41" t="s">
        <v>435</v>
      </c>
      <c r="AA22" s="45" t="str">
        <f>_xlfn.TRANSLATE(P22,"pt","en")</f>
        <v>Structure segment supplier: is a self-employed consultant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317</v>
      </c>
      <c r="E23" s="52" t="s">
        <v>97</v>
      </c>
      <c r="F23" s="57" t="s">
        <v>560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519</v>
      </c>
      <c r="N23" s="23" t="s">
        <v>520</v>
      </c>
      <c r="O23" s="23" t="s">
        <v>521</v>
      </c>
      <c r="P23" s="23" t="s">
        <v>573</v>
      </c>
      <c r="Q23" s="26" t="s">
        <v>598</v>
      </c>
      <c r="R23" s="42" t="s">
        <v>9</v>
      </c>
      <c r="S23" s="43" t="s">
        <v>95</v>
      </c>
      <c r="T23" s="43" t="s">
        <v>519</v>
      </c>
      <c r="U23" s="43" t="s">
        <v>520</v>
      </c>
      <c r="V23" s="41" t="s">
        <v>184</v>
      </c>
      <c r="W23" s="60" t="s">
        <v>522</v>
      </c>
      <c r="X23" s="41" t="s">
        <v>9</v>
      </c>
      <c r="Y23" s="41" t="s">
        <v>9</v>
      </c>
      <c r="Z23" s="41" t="s">
        <v>572</v>
      </c>
      <c r="AA23" s="45" t="s">
        <v>585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317</v>
      </c>
      <c r="E24" s="52" t="s">
        <v>97</v>
      </c>
      <c r="F24" s="57" t="s">
        <v>361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>_xlfn.CONCAT(SUBSTITUTE(C24,"1.",""))</f>
        <v>Fornecedores</v>
      </c>
      <c r="M24" s="23" t="str">
        <f>_xlfn.CONCAT(SUBSTITUTE(D24,"."," "))</f>
        <v>Segmentos dos Profissionais</v>
      </c>
      <c r="N24" s="23" t="str">
        <f>_xlfn.CONCAT(SUBSTITUTE(E24,"."," "))</f>
        <v>Segmento de Estrutura</v>
      </c>
      <c r="O24" s="23" t="str">
        <f>_xlfn.CONCAT(SUBSTITUTE(F24,"."," "))</f>
        <v>Est Empresa Consultora</v>
      </c>
      <c r="P24" s="23" t="s">
        <v>105</v>
      </c>
      <c r="Q24" s="26" t="str">
        <f>_xlfn.TRANSLATE(P24,"pt","es")</f>
        <v>Proveedor del segmento de estructuras: es una empresa de consultoría</v>
      </c>
      <c r="R24" s="42" t="s">
        <v>9</v>
      </c>
      <c r="S24" s="43" t="str">
        <f>SUBSTITUTE(C24, ".", " ")</f>
        <v>Fornecedores</v>
      </c>
      <c r="T24" s="43" t="str">
        <f>SUBSTITUTE(D24, ".", " ")</f>
        <v>Segmentos dos Profissionais</v>
      </c>
      <c r="U24" s="43" t="str">
        <f>SUBSTITUTE(E24, ".", " ")</f>
        <v>Segmento de Estrutura</v>
      </c>
      <c r="V24" s="41" t="s">
        <v>184</v>
      </c>
      <c r="W24" s="60" t="str">
        <f>CONCATENATE("Key.Fab.",A24)</f>
        <v>Key.Fab.24</v>
      </c>
      <c r="X24" s="41" t="s">
        <v>9</v>
      </c>
      <c r="Y24" s="41" t="s">
        <v>9</v>
      </c>
      <c r="Z24" s="41" t="s">
        <v>435</v>
      </c>
      <c r="AA24" s="45" t="str">
        <f>_xlfn.TRANSLATE(P24,"pt","en")</f>
        <v>Supplier of the structure segment: it is a consulting company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317</v>
      </c>
      <c r="E25" s="52" t="s">
        <v>97</v>
      </c>
      <c r="F25" s="57" t="s">
        <v>362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>_xlfn.CONCAT(SUBSTITUTE(C25,"1.",""))</f>
        <v>Fornecedores</v>
      </c>
      <c r="M25" s="23" t="str">
        <f>_xlfn.CONCAT(SUBSTITUTE(D25,"."," "))</f>
        <v>Segmentos dos Profissionais</v>
      </c>
      <c r="N25" s="23" t="str">
        <f>_xlfn.CONCAT(SUBSTITUTE(E25,"."," "))</f>
        <v>Segmento de Estrutura</v>
      </c>
      <c r="O25" s="23" t="str">
        <f>_xlfn.CONCAT(SUBSTITUTE(F25,"."," "))</f>
        <v>Est Fabricante</v>
      </c>
      <c r="P25" s="23" t="s">
        <v>106</v>
      </c>
      <c r="Q25" s="26" t="str">
        <f>_xlfn.TRANSLATE(P25,"pt","es")</f>
        <v>Proveedor del segmento de estructuras: es un fabricante de productos</v>
      </c>
      <c r="R25" s="42" t="s">
        <v>9</v>
      </c>
      <c r="S25" s="43" t="str">
        <f>SUBSTITUTE(C25, ".", " ")</f>
        <v>Fornecedores</v>
      </c>
      <c r="T25" s="43" t="str">
        <f>SUBSTITUTE(D25, ".", " ")</f>
        <v>Segmentos dos Profissionais</v>
      </c>
      <c r="U25" s="43" t="str">
        <f>SUBSTITUTE(E25, ".", " ")</f>
        <v>Segmento de Estrutura</v>
      </c>
      <c r="V25" s="41" t="s">
        <v>184</v>
      </c>
      <c r="W25" s="60" t="str">
        <f>CONCATENATE("Key.Fab.",A25)</f>
        <v>Key.Fab.25</v>
      </c>
      <c r="X25" s="41" t="s">
        <v>9</v>
      </c>
      <c r="Y25" s="41" t="s">
        <v>9</v>
      </c>
      <c r="Z25" s="41" t="s">
        <v>426</v>
      </c>
      <c r="AA25" s="45" t="str">
        <f>_xlfn.TRANSLATE(P25,"pt","en")</f>
        <v>Supplier of the structure segment: it is a manufacturer of products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317</v>
      </c>
      <c r="E26" s="52" t="s">
        <v>97</v>
      </c>
      <c r="F26" s="57" t="s">
        <v>363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>_xlfn.CONCAT(SUBSTITUTE(C26,"1.",""))</f>
        <v>Fornecedores</v>
      </c>
      <c r="M26" s="23" t="str">
        <f>_xlfn.CONCAT(SUBSTITUTE(D26,"."," "))</f>
        <v>Segmentos dos Profissionais</v>
      </c>
      <c r="N26" s="23" t="str">
        <f>_xlfn.CONCAT(SUBSTITUTE(E26,"."," "))</f>
        <v>Segmento de Estrutura</v>
      </c>
      <c r="O26" s="23" t="str">
        <f>_xlfn.CONCAT(SUBSTITUTE(F26,"."," "))</f>
        <v>Est Fornecimento</v>
      </c>
      <c r="P26" s="23" t="s">
        <v>176</v>
      </c>
      <c r="Q26" s="26" t="str">
        <f>_xlfn.TRANSLATE(P26,"pt","es")</f>
        <v>Proveedor del segmento de estructura: es un proveedor</v>
      </c>
      <c r="R26" s="42" t="s">
        <v>9</v>
      </c>
      <c r="S26" s="43" t="str">
        <f>SUBSTITUTE(C26, ".", " ")</f>
        <v>Fornecedores</v>
      </c>
      <c r="T26" s="43" t="str">
        <f>SUBSTITUTE(D26, ".", " ")</f>
        <v>Segmentos dos Profissionais</v>
      </c>
      <c r="U26" s="43" t="str">
        <f>SUBSTITUTE(E26, ".", " ")</f>
        <v>Segmento de Estrutura</v>
      </c>
      <c r="V26" s="41" t="s">
        <v>184</v>
      </c>
      <c r="W26" s="60" t="str">
        <f>CONCATENATE("Key.Fab.",A26)</f>
        <v>Key.Fab.26</v>
      </c>
      <c r="X26" s="41" t="s">
        <v>9</v>
      </c>
      <c r="Y26" s="41" t="s">
        <v>9</v>
      </c>
      <c r="Z26" s="41" t="s">
        <v>433</v>
      </c>
      <c r="AA26" s="45" t="str">
        <f>_xlfn.TRANSLATE(P26,"pt","en")</f>
        <v>Structure segment supplier: is a supplier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317</v>
      </c>
      <c r="E27" s="52" t="s">
        <v>97</v>
      </c>
      <c r="F27" s="57" t="s">
        <v>364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>_xlfn.CONCAT(SUBSTITUTE(C27,"1.",""))</f>
        <v>Fornecedores</v>
      </c>
      <c r="M27" s="23" t="str">
        <f>_xlfn.CONCAT(SUBSTITUTE(D27,"."," "))</f>
        <v>Segmentos dos Profissionais</v>
      </c>
      <c r="N27" s="23" t="str">
        <f>_xlfn.CONCAT(SUBSTITUTE(E27,"."," "))</f>
        <v>Segmento de Estrutura</v>
      </c>
      <c r="O27" s="23" t="str">
        <f>_xlfn.CONCAT(SUBSTITUTE(F27,"."," "))</f>
        <v>Est Projetista</v>
      </c>
      <c r="P27" s="23" t="s">
        <v>225</v>
      </c>
      <c r="Q27" s="26" t="str">
        <f>_xlfn.TRANSLATE(P27,"pt","es")</f>
        <v>Proveedor en el segmento de estructuras: es un diseñador o empresa de diseño</v>
      </c>
      <c r="R27" s="42" t="s">
        <v>9</v>
      </c>
      <c r="S27" s="43" t="str">
        <f>SUBSTITUTE(C27, ".", " ")</f>
        <v>Fornecedores</v>
      </c>
      <c r="T27" s="43" t="str">
        <f>SUBSTITUTE(D27, ".", " ")</f>
        <v>Segmentos dos Profissionais</v>
      </c>
      <c r="U27" s="43" t="str">
        <f>SUBSTITUTE(E27, ".", " ")</f>
        <v>Segmento de Estrutura</v>
      </c>
      <c r="V27" s="41" t="s">
        <v>184</v>
      </c>
      <c r="W27" s="60" t="str">
        <f>CONCATENATE("Key.Fab.",A27)</f>
        <v>Key.Fab.27</v>
      </c>
      <c r="X27" s="41" t="s">
        <v>9</v>
      </c>
      <c r="Y27" s="41" t="s">
        <v>9</v>
      </c>
      <c r="Z27" s="41" t="s">
        <v>428</v>
      </c>
      <c r="AA27" s="45" t="str">
        <f>_xlfn.TRANSLATE(P27,"pt","en")</f>
        <v>Supplier in the structure segment: is a Designer or Design Company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317</v>
      </c>
      <c r="E28" s="52" t="s">
        <v>97</v>
      </c>
      <c r="F28" s="57" t="s">
        <v>365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>_xlfn.CONCAT(SUBSTITUTE(C28,"1.",""))</f>
        <v>Fornecedores</v>
      </c>
      <c r="M28" s="23" t="str">
        <f>_xlfn.CONCAT(SUBSTITUTE(D28,"."," "))</f>
        <v>Segmentos dos Profissionais</v>
      </c>
      <c r="N28" s="23" t="str">
        <f>_xlfn.CONCAT(SUBSTITUTE(E28,"."," "))</f>
        <v>Segmento de Estrutura</v>
      </c>
      <c r="O28" s="23" t="str">
        <f>_xlfn.CONCAT(SUBSTITUTE(F28,"."," "))</f>
        <v>Est Serviço</v>
      </c>
      <c r="P28" s="23" t="s">
        <v>103</v>
      </c>
      <c r="Q28" s="26" t="str">
        <f>_xlfn.TRANSLATE(P28,"pt","es")</f>
        <v>Proveedor de segmento estructural: es un servicio</v>
      </c>
      <c r="R28" s="42" t="s">
        <v>9</v>
      </c>
      <c r="S28" s="43" t="str">
        <f>SUBSTITUTE(C28, ".", " ")</f>
        <v>Fornecedores</v>
      </c>
      <c r="T28" s="43" t="str">
        <f>SUBSTITUTE(D28, ".", " ")</f>
        <v>Segmentos dos Profissionais</v>
      </c>
      <c r="U28" s="43" t="str">
        <f>SUBSTITUTE(E28, ".", " ")</f>
        <v>Segmento de Estrutura</v>
      </c>
      <c r="V28" s="41" t="s">
        <v>184</v>
      </c>
      <c r="W28" s="60" t="str">
        <f>CONCATENATE("Key.Fab.",A28)</f>
        <v>Key.Fab.28</v>
      </c>
      <c r="X28" s="41" t="s">
        <v>9</v>
      </c>
      <c r="Y28" s="41" t="s">
        <v>9</v>
      </c>
      <c r="Z28" s="41" t="s">
        <v>436</v>
      </c>
      <c r="AA28" s="45" t="str">
        <f>_xlfn.TRANSLATE(P28,"pt","en")</f>
        <v>Structure segment supplier: it is a service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317</v>
      </c>
      <c r="E29" s="52" t="s">
        <v>97</v>
      </c>
      <c r="F29" s="57" t="s">
        <v>469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>_xlfn.CONCAT(SUBSTITUTE(C29,"1.",""))</f>
        <v>Fornecedores</v>
      </c>
      <c r="M29" s="23" t="str">
        <f>_xlfn.CONCAT(SUBSTITUTE(D29,"."," "))</f>
        <v>Segmentos dos Profissionais</v>
      </c>
      <c r="N29" s="23" t="str">
        <f>_xlfn.CONCAT(SUBSTITUTE(E29,"."," "))</f>
        <v>Segmento de Estrutura</v>
      </c>
      <c r="O29" s="23" t="str">
        <f>_xlfn.CONCAT(SUBSTITUTE(F29,"."," "))</f>
        <v>Est Venda</v>
      </c>
      <c r="P29" s="23" t="s">
        <v>507</v>
      </c>
      <c r="Q29" s="26" t="str">
        <f>_xlfn.TRANSLATE(P29,"pt","es")</f>
        <v>Proveedor del segmento estructural: es una venta de productos</v>
      </c>
      <c r="R29" s="42" t="s">
        <v>9</v>
      </c>
      <c r="S29" s="43" t="str">
        <f>SUBSTITUTE(C29, ".", " ")</f>
        <v>Fornecedores</v>
      </c>
      <c r="T29" s="43" t="str">
        <f>SUBSTITUTE(D29, ".", " ")</f>
        <v>Segmentos dos Profissionais</v>
      </c>
      <c r="U29" s="43" t="str">
        <f>SUBSTITUTE(E29, ".", " ")</f>
        <v>Segmento de Estrutura</v>
      </c>
      <c r="V29" s="41" t="s">
        <v>184</v>
      </c>
      <c r="W29" s="60" t="str">
        <f>CONCATENATE("Key.Fab.",A29)</f>
        <v>Key.Fab.29</v>
      </c>
      <c r="X29" s="41" t="s">
        <v>9</v>
      </c>
      <c r="Y29" s="41" t="s">
        <v>9</v>
      </c>
      <c r="Z29" s="41" t="s">
        <v>434</v>
      </c>
      <c r="AA29" s="45" t="str">
        <f>_xlfn.TRANSLATE(P29,"pt","en")</f>
        <v>Structure segment supplier: it is a sale of products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317</v>
      </c>
      <c r="E30" s="52" t="s">
        <v>185</v>
      </c>
      <c r="F30" s="57" t="s">
        <v>491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>_xlfn.CONCAT(SUBSTITUTE(C30,"1.",""))</f>
        <v>Fornecedores</v>
      </c>
      <c r="M30" s="23" t="str">
        <f>_xlfn.CONCAT(SUBSTITUTE(D30,"."," "))</f>
        <v>Segmentos dos Profissionais</v>
      </c>
      <c r="N30" s="23" t="str">
        <f>_xlfn.CONCAT(SUBSTITUTE(E30,"."," "))</f>
        <v>Segmento de Geotécnica</v>
      </c>
      <c r="O30" s="23" t="str">
        <f>_xlfn.CONCAT(SUBSTITUTE(F30,"."," "))</f>
        <v>Geo Compra</v>
      </c>
      <c r="P30" s="23" t="s">
        <v>497</v>
      </c>
      <c r="Q30" s="26" t="str">
        <f>_xlfn.TRANSLATE(P30,"pt","es")</f>
        <v>Proveedor del segmento geotécnico: es una compra de productos</v>
      </c>
      <c r="R30" s="42" t="s">
        <v>9</v>
      </c>
      <c r="S30" s="43" t="str">
        <f>SUBSTITUTE(C30, ".", " ")</f>
        <v>Fornecedores</v>
      </c>
      <c r="T30" s="43" t="str">
        <f>SUBSTITUTE(D30, ".", " ")</f>
        <v>Segmentos dos Profissionais</v>
      </c>
      <c r="U30" s="43" t="str">
        <f>SUBSTITUTE(E30, ".", " ")</f>
        <v>Segmento de Geotécnica</v>
      </c>
      <c r="V30" s="41" t="s">
        <v>184</v>
      </c>
      <c r="W30" s="60" t="str">
        <f>CONCATENATE("Key.Fab.",A30)</f>
        <v>Key.Fab.30</v>
      </c>
      <c r="X30" s="41" t="s">
        <v>9</v>
      </c>
      <c r="Y30" s="41" t="s">
        <v>9</v>
      </c>
      <c r="Z30" s="41" t="s">
        <v>506</v>
      </c>
      <c r="AA30" s="45" t="str">
        <f>_xlfn.TRANSLATE(P30,"pt","en")</f>
        <v>Geotechnical segment supplier: it is a purchase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317</v>
      </c>
      <c r="E31" s="52" t="s">
        <v>185</v>
      </c>
      <c r="F31" s="57" t="s">
        <v>366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>_xlfn.CONCAT(SUBSTITUTE(C31,"1.",""))</f>
        <v>Fornecedores</v>
      </c>
      <c r="M31" s="23" t="str">
        <f>_xlfn.CONCAT(SUBSTITUTE(D31,"."," "))</f>
        <v>Segmentos dos Profissionais</v>
      </c>
      <c r="N31" s="23" t="str">
        <f>_xlfn.CONCAT(SUBSTITUTE(E31,"."," "))</f>
        <v>Segmento de Geotécnica</v>
      </c>
      <c r="O31" s="23" t="str">
        <f>_xlfn.CONCAT(SUBSTITUTE(F31,"."," "))</f>
        <v>Geo Consultor</v>
      </c>
      <c r="P31" s="23" t="s">
        <v>124</v>
      </c>
      <c r="Q31" s="26" t="str">
        <f>_xlfn.TRANSLATE(P31,"pt","es")</f>
        <v>Proveedor geotécnico: es consultor autónomo</v>
      </c>
      <c r="R31" s="42" t="s">
        <v>9</v>
      </c>
      <c r="S31" s="43" t="str">
        <f>SUBSTITUTE(C31, ".", " ")</f>
        <v>Fornecedores</v>
      </c>
      <c r="T31" s="43" t="str">
        <f>SUBSTITUTE(D31, ".", " ")</f>
        <v>Segmentos dos Profissionais</v>
      </c>
      <c r="U31" s="43" t="str">
        <f>SUBSTITUTE(E31, ".", " ")</f>
        <v>Segmento de Geotécnica</v>
      </c>
      <c r="V31" s="41" t="s">
        <v>184</v>
      </c>
      <c r="W31" s="60" t="str">
        <f>CONCATENATE("Key.Fab.",A31)</f>
        <v>Key.Fab.31</v>
      </c>
      <c r="X31" s="41" t="s">
        <v>9</v>
      </c>
      <c r="Y31" s="41" t="s">
        <v>9</v>
      </c>
      <c r="Z31" s="41" t="s">
        <v>435</v>
      </c>
      <c r="AA31" s="45" t="str">
        <f>_xlfn.TRANSLATE(P31,"pt","en")</f>
        <v>Geotechnical Supplier: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317</v>
      </c>
      <c r="E32" s="52" t="s">
        <v>185</v>
      </c>
      <c r="F32" s="57" t="s">
        <v>561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519</v>
      </c>
      <c r="N32" s="23" t="s">
        <v>523</v>
      </c>
      <c r="O32" s="23" t="s">
        <v>524</v>
      </c>
      <c r="P32" s="23" t="s">
        <v>574</v>
      </c>
      <c r="Q32" s="26" t="s">
        <v>599</v>
      </c>
      <c r="R32" s="42" t="s">
        <v>9</v>
      </c>
      <c r="S32" s="43" t="s">
        <v>95</v>
      </c>
      <c r="T32" s="43" t="s">
        <v>519</v>
      </c>
      <c r="U32" s="43" t="s">
        <v>523</v>
      </c>
      <c r="V32" s="41" t="s">
        <v>184</v>
      </c>
      <c r="W32" s="60" t="s">
        <v>525</v>
      </c>
      <c r="X32" s="41" t="s">
        <v>9</v>
      </c>
      <c r="Y32" s="41" t="s">
        <v>9</v>
      </c>
      <c r="Z32" s="41" t="s">
        <v>572</v>
      </c>
      <c r="AA32" s="45" t="s">
        <v>586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317</v>
      </c>
      <c r="E33" s="52" t="s">
        <v>185</v>
      </c>
      <c r="F33" s="57" t="s">
        <v>367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>_xlfn.CONCAT(SUBSTITUTE(C33,"1.",""))</f>
        <v>Fornecedores</v>
      </c>
      <c r="M33" s="23" t="str">
        <f>_xlfn.CONCAT(SUBSTITUTE(D33,"."," "))</f>
        <v>Segmentos dos Profissionais</v>
      </c>
      <c r="N33" s="23" t="str">
        <f>_xlfn.CONCAT(SUBSTITUTE(E33,"."," "))</f>
        <v>Segmento de Geotécnica</v>
      </c>
      <c r="O33" s="23" t="str">
        <f>_xlfn.CONCAT(SUBSTITUTE(F33,"."," "))</f>
        <v>Geo Empresa Consultora</v>
      </c>
      <c r="P33" s="23" t="s">
        <v>125</v>
      </c>
      <c r="Q33" s="26" t="str">
        <f>_xlfn.TRANSLATE(P33,"pt","es")</f>
        <v>Proveedor en el segmento geotécnico: es una empresa de consultoría</v>
      </c>
      <c r="R33" s="42" t="s">
        <v>9</v>
      </c>
      <c r="S33" s="43" t="str">
        <f>SUBSTITUTE(C33, ".", " ")</f>
        <v>Fornecedores</v>
      </c>
      <c r="T33" s="43" t="str">
        <f>SUBSTITUTE(D33, ".", " ")</f>
        <v>Segmentos dos Profissionais</v>
      </c>
      <c r="U33" s="43" t="str">
        <f>SUBSTITUTE(E33, ".", " ")</f>
        <v>Segmento de Geotécnica</v>
      </c>
      <c r="V33" s="41" t="s">
        <v>184</v>
      </c>
      <c r="W33" s="60" t="str">
        <f>CONCATENATE("Key.Fab.",A33)</f>
        <v>Key.Fab.33</v>
      </c>
      <c r="X33" s="41" t="s">
        <v>9</v>
      </c>
      <c r="Y33" s="41" t="s">
        <v>9</v>
      </c>
      <c r="Z33" s="41" t="s">
        <v>435</v>
      </c>
      <c r="AA33" s="45" t="str">
        <f>_xlfn.TRANSLATE(P33,"pt","en")</f>
        <v>Supplier in the geotechnical segment: it is a consulting company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317</v>
      </c>
      <c r="E34" s="52" t="s">
        <v>185</v>
      </c>
      <c r="F34" s="57" t="s">
        <v>368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>_xlfn.CONCAT(SUBSTITUTE(C34,"1.",""))</f>
        <v>Fornecedores</v>
      </c>
      <c r="M34" s="23" t="str">
        <f>_xlfn.CONCAT(SUBSTITUTE(D34,"."," "))</f>
        <v>Segmentos dos Profissionais</v>
      </c>
      <c r="N34" s="23" t="str">
        <f>_xlfn.CONCAT(SUBSTITUTE(E34,"."," "))</f>
        <v>Segmento de Geotécnica</v>
      </c>
      <c r="O34" s="23" t="str">
        <f>_xlfn.CONCAT(SUBSTITUTE(F34,"."," "))</f>
        <v>Geo Fabricante</v>
      </c>
      <c r="P34" s="23" t="s">
        <v>126</v>
      </c>
      <c r="Q34" s="26" t="str">
        <f>_xlfn.TRANSLATE(P34,"pt","es")</f>
        <v>Proveedor del segmento geotécnico: es fabricante de</v>
      </c>
      <c r="R34" s="42" t="s">
        <v>9</v>
      </c>
      <c r="S34" s="43" t="str">
        <f>SUBSTITUTE(C34, ".", " ")</f>
        <v>Fornecedores</v>
      </c>
      <c r="T34" s="43" t="str">
        <f>SUBSTITUTE(D34, ".", " ")</f>
        <v>Segmentos dos Profissionais</v>
      </c>
      <c r="U34" s="43" t="str">
        <f>SUBSTITUTE(E34, ".", " ")</f>
        <v>Segmento de Geotécnica</v>
      </c>
      <c r="V34" s="41" t="s">
        <v>184</v>
      </c>
      <c r="W34" s="60" t="str">
        <f>CONCATENATE("Key.Fab.",A34)</f>
        <v>Key.Fab.34</v>
      </c>
      <c r="X34" s="41" t="s">
        <v>9</v>
      </c>
      <c r="Y34" s="41" t="s">
        <v>9</v>
      </c>
      <c r="Z34" s="41" t="s">
        <v>426</v>
      </c>
      <c r="AA34" s="45" t="str">
        <f>_xlfn.TRANSLATE(P34,"pt","en")</f>
        <v>Geotechnical Segment Supplier: is a manufacturer of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317</v>
      </c>
      <c r="E35" s="52" t="s">
        <v>185</v>
      </c>
      <c r="F35" s="57" t="s">
        <v>369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>_xlfn.CONCAT(SUBSTITUTE(C35,"1.",""))</f>
        <v>Fornecedores</v>
      </c>
      <c r="M35" s="23" t="str">
        <f>_xlfn.CONCAT(SUBSTITUTE(D35,"."," "))</f>
        <v>Segmentos dos Profissionais</v>
      </c>
      <c r="N35" s="23" t="str">
        <f>_xlfn.CONCAT(SUBSTITUTE(E35,"."," "))</f>
        <v>Segmento de Geotécnica</v>
      </c>
      <c r="O35" s="23" t="str">
        <f>_xlfn.CONCAT(SUBSTITUTE(F35,"."," "))</f>
        <v>Geo Fornecimento</v>
      </c>
      <c r="P35" s="23" t="s">
        <v>177</v>
      </c>
      <c r="Q35" s="26" t="str">
        <f>_xlfn.TRANSLATE(P35,"pt","es")</f>
        <v>Proveedor del segmento geotécnico: es un proveedor</v>
      </c>
      <c r="R35" s="42" t="s">
        <v>9</v>
      </c>
      <c r="S35" s="43" t="str">
        <f>SUBSTITUTE(C35, ".", " ")</f>
        <v>Fornecedores</v>
      </c>
      <c r="T35" s="43" t="str">
        <f>SUBSTITUTE(D35, ".", " ")</f>
        <v>Segmentos dos Profissionais</v>
      </c>
      <c r="U35" s="43" t="str">
        <f>SUBSTITUTE(E35, ".", " ")</f>
        <v>Segmento de Geotécnica</v>
      </c>
      <c r="V35" s="41" t="s">
        <v>184</v>
      </c>
      <c r="W35" s="60" t="str">
        <f>CONCATENATE("Key.Fab.",A35)</f>
        <v>Key.Fab.35</v>
      </c>
      <c r="X35" s="41" t="s">
        <v>9</v>
      </c>
      <c r="Y35" s="41" t="s">
        <v>9</v>
      </c>
      <c r="Z35" s="41" t="s">
        <v>433</v>
      </c>
      <c r="AA35" s="45" t="str">
        <f>_xlfn.TRANSLATE(P35,"pt","en")</f>
        <v>Geotechnical Segment Supplier: is a supplier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317</v>
      </c>
      <c r="E36" s="52" t="s">
        <v>185</v>
      </c>
      <c r="F36" s="57" t="s">
        <v>370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>_xlfn.CONCAT(SUBSTITUTE(C36,"1.",""))</f>
        <v>Fornecedores</v>
      </c>
      <c r="M36" s="23" t="str">
        <f>_xlfn.CONCAT(SUBSTITUTE(D36,"."," "))</f>
        <v>Segmentos dos Profissionais</v>
      </c>
      <c r="N36" s="23" t="str">
        <f>_xlfn.CONCAT(SUBSTITUTE(E36,"."," "))</f>
        <v>Segmento de Geotécnica</v>
      </c>
      <c r="O36" s="23" t="str">
        <f>_xlfn.CONCAT(SUBSTITUTE(F36,"."," "))</f>
        <v>Geo Projetista</v>
      </c>
      <c r="P36" s="23" t="s">
        <v>226</v>
      </c>
      <c r="Q36" s="26" t="str">
        <f>_xlfn.TRANSLATE(P36,"pt","es")</f>
        <v>Proveedor del segmento geotécnico: es una empresa de diseño o diseñador</v>
      </c>
      <c r="R36" s="42" t="s">
        <v>9</v>
      </c>
      <c r="S36" s="43" t="str">
        <f>SUBSTITUTE(C36, ".", " ")</f>
        <v>Fornecedores</v>
      </c>
      <c r="T36" s="43" t="str">
        <f>SUBSTITUTE(D36, ".", " ")</f>
        <v>Segmentos dos Profissionais</v>
      </c>
      <c r="U36" s="43" t="str">
        <f>SUBSTITUTE(E36, ".", " ")</f>
        <v>Segmento de Geotécnica</v>
      </c>
      <c r="V36" s="41" t="s">
        <v>184</v>
      </c>
      <c r="W36" s="60" t="str">
        <f>CONCATENATE("Key.Fab.",A36)</f>
        <v>Key.Fab.36</v>
      </c>
      <c r="X36" s="41" t="s">
        <v>9</v>
      </c>
      <c r="Y36" s="41" t="s">
        <v>9</v>
      </c>
      <c r="Z36" s="41" t="s">
        <v>428</v>
      </c>
      <c r="AA36" s="45" t="str">
        <f>_xlfn.TRANSLATE(P36,"pt","en")</f>
        <v>Geotechnical Segment Supplier: is a Designer or Design Company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317</v>
      </c>
      <c r="E37" s="52" t="s">
        <v>185</v>
      </c>
      <c r="F37" s="57" t="s">
        <v>371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>_xlfn.CONCAT(SUBSTITUTE(C37,"1.",""))</f>
        <v>Fornecedores</v>
      </c>
      <c r="M37" s="23" t="str">
        <f>_xlfn.CONCAT(SUBSTITUTE(D37,"."," "))</f>
        <v>Segmentos dos Profissionais</v>
      </c>
      <c r="N37" s="23" t="str">
        <f>_xlfn.CONCAT(SUBSTITUTE(E37,"."," "))</f>
        <v>Segmento de Geotécnica</v>
      </c>
      <c r="O37" s="23" t="str">
        <f>_xlfn.CONCAT(SUBSTITUTE(F37,"."," "))</f>
        <v>Geo Serviço</v>
      </c>
      <c r="P37" s="23" t="s">
        <v>123</v>
      </c>
      <c r="Q37" s="26" t="str">
        <f>_xlfn.TRANSLATE(P37,"pt","es")</f>
        <v>Proveedor geotécnico: es un servicio</v>
      </c>
      <c r="R37" s="42" t="s">
        <v>9</v>
      </c>
      <c r="S37" s="43" t="str">
        <f>SUBSTITUTE(C37, ".", " ")</f>
        <v>Fornecedores</v>
      </c>
      <c r="T37" s="43" t="str">
        <f>SUBSTITUTE(D37, ".", " ")</f>
        <v>Segmentos dos Profissionais</v>
      </c>
      <c r="U37" s="43" t="str">
        <f>SUBSTITUTE(E37, ".", " ")</f>
        <v>Segmento de Geotécnica</v>
      </c>
      <c r="V37" s="41" t="s">
        <v>184</v>
      </c>
      <c r="W37" s="60" t="str">
        <f>CONCATENATE("Key.Fab.",A37)</f>
        <v>Key.Fab.37</v>
      </c>
      <c r="X37" s="41" t="s">
        <v>9</v>
      </c>
      <c r="Y37" s="41" t="s">
        <v>9</v>
      </c>
      <c r="Z37" s="41" t="s">
        <v>436</v>
      </c>
      <c r="AA37" s="45" t="str">
        <f>_xlfn.TRANSLATE(P37,"pt","en")</f>
        <v>Geotechnical Supplier: It's a Service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317</v>
      </c>
      <c r="E38" s="52" t="s">
        <v>185</v>
      </c>
      <c r="F38" s="57" t="s">
        <v>470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>_xlfn.CONCAT(SUBSTITUTE(C38,"1.",""))</f>
        <v>Fornecedores</v>
      </c>
      <c r="M38" s="23" t="str">
        <f>_xlfn.CONCAT(SUBSTITUTE(D38,"."," "))</f>
        <v>Segmentos dos Profissionais</v>
      </c>
      <c r="N38" s="23" t="str">
        <f>_xlfn.CONCAT(SUBSTITUTE(E38,"."," "))</f>
        <v>Segmento de Geotécnica</v>
      </c>
      <c r="O38" s="23" t="str">
        <f>_xlfn.CONCAT(SUBSTITUTE(F38,"."," "))</f>
        <v>Geo Venda</v>
      </c>
      <c r="P38" s="23" t="s">
        <v>508</v>
      </c>
      <c r="Q38" s="26" t="str">
        <f>_xlfn.TRANSLATE(P38,"pt","es")</f>
        <v>Proveedor del segmento geotécnico: Es una venta de productos</v>
      </c>
      <c r="R38" s="42" t="s">
        <v>9</v>
      </c>
      <c r="S38" s="43" t="str">
        <f>SUBSTITUTE(C38, ".", " ")</f>
        <v>Fornecedores</v>
      </c>
      <c r="T38" s="43" t="str">
        <f>SUBSTITUTE(D38, ".", " ")</f>
        <v>Segmentos dos Profissionais</v>
      </c>
      <c r="U38" s="43" t="str">
        <f>SUBSTITUTE(E38, ".", " ")</f>
        <v>Segmento de Geotécnica</v>
      </c>
      <c r="V38" s="41" t="s">
        <v>184</v>
      </c>
      <c r="W38" s="60" t="str">
        <f>CONCATENATE("Key.Fab.",A38)</f>
        <v>Key.Fab.38</v>
      </c>
      <c r="X38" s="41" t="s">
        <v>9</v>
      </c>
      <c r="Y38" s="41" t="s">
        <v>9</v>
      </c>
      <c r="Z38" s="41" t="s">
        <v>434</v>
      </c>
      <c r="AA38" s="45" t="str">
        <f>_xlfn.TRANSLATE(P38,"pt","en")</f>
        <v>Geotechnical Segment Supplier: It is a sale of products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317</v>
      </c>
      <c r="E39" s="52" t="s">
        <v>221</v>
      </c>
      <c r="F39" s="57" t="s">
        <v>483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>_xlfn.CONCAT(SUBSTITUTE(C39,"1.",""))</f>
        <v>Fornecedores</v>
      </c>
      <c r="M39" s="23" t="str">
        <f>_xlfn.CONCAT(SUBSTITUTE(D39,"."," "))</f>
        <v>Segmentos dos Profissionais</v>
      </c>
      <c r="N39" s="23" t="str">
        <f>_xlfn.CONCAT(SUBSTITUTE(E39,"."," "))</f>
        <v>Segmento Geral</v>
      </c>
      <c r="O39" s="23" t="str">
        <f>_xlfn.CONCAT(SUBSTITUTE(F39,"."," "))</f>
        <v>Ger Compra</v>
      </c>
      <c r="P39" s="23" t="s">
        <v>505</v>
      </c>
      <c r="Q39" s="26" t="str">
        <f>_xlfn.TRANSLATE(P39,"pt","es")</f>
        <v>Proveedor del segmento general: es una compra de productos</v>
      </c>
      <c r="R39" s="42" t="s">
        <v>9</v>
      </c>
      <c r="S39" s="43" t="str">
        <f>SUBSTITUTE(C39, ".", " ")</f>
        <v>Fornecedores</v>
      </c>
      <c r="T39" s="43" t="str">
        <f>SUBSTITUTE(D39, ".", " ")</f>
        <v>Segmentos dos Profissionais</v>
      </c>
      <c r="U39" s="43" t="str">
        <f>SUBSTITUTE(E39, ".", " ")</f>
        <v>Segmento Geral</v>
      </c>
      <c r="V39" s="41" t="s">
        <v>184</v>
      </c>
      <c r="W39" s="60" t="str">
        <f>CONCATENATE("Key.Fab.",A39)</f>
        <v>Key.Fab.39</v>
      </c>
      <c r="X39" s="41" t="s">
        <v>9</v>
      </c>
      <c r="Y39" s="41" t="s">
        <v>9</v>
      </c>
      <c r="Z39" s="41" t="s">
        <v>506</v>
      </c>
      <c r="AA39" s="45" t="str">
        <f>_xlfn.TRANSLATE(P39,"pt","en")</f>
        <v>General segment supplier: it is a purchase of products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317</v>
      </c>
      <c r="E40" s="52" t="s">
        <v>221</v>
      </c>
      <c r="F40" s="57" t="s">
        <v>390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>_xlfn.CONCAT(SUBSTITUTE(C40,"1.",""))</f>
        <v>Fornecedores</v>
      </c>
      <c r="M40" s="23" t="str">
        <f>_xlfn.CONCAT(SUBSTITUTE(D40,"."," "))</f>
        <v>Segmentos dos Profissionais</v>
      </c>
      <c r="N40" s="23" t="str">
        <f>_xlfn.CONCAT(SUBSTITUTE(E40,"."," "))</f>
        <v>Segmento Geral</v>
      </c>
      <c r="O40" s="23" t="str">
        <f>_xlfn.CONCAT(SUBSTITUTE(F40,"."," "))</f>
        <v>Ger Consultor</v>
      </c>
      <c r="P40" s="23" t="s">
        <v>186</v>
      </c>
      <c r="Q40" s="26" t="str">
        <f>_xlfn.TRANSLATE(P40,"pt","es")</f>
        <v>Proveedor del segmento general: es un consultor autónomo</v>
      </c>
      <c r="R40" s="42" t="s">
        <v>9</v>
      </c>
      <c r="S40" s="43" t="str">
        <f>SUBSTITUTE(C40, ".", " ")</f>
        <v>Fornecedores</v>
      </c>
      <c r="T40" s="43" t="str">
        <f>SUBSTITUTE(D40, ".", " ")</f>
        <v>Segmentos dos Profissionais</v>
      </c>
      <c r="U40" s="43" t="str">
        <f>SUBSTITUTE(E40, ".", " ")</f>
        <v>Segmento Geral</v>
      </c>
      <c r="V40" s="41" t="s">
        <v>184</v>
      </c>
      <c r="W40" s="60" t="str">
        <f>CONCATENATE("Key.Fab.",A40)</f>
        <v>Key.Fab.40</v>
      </c>
      <c r="X40" s="41" t="s">
        <v>9</v>
      </c>
      <c r="Y40" s="41" t="s">
        <v>9</v>
      </c>
      <c r="Z40" s="41" t="s">
        <v>435</v>
      </c>
      <c r="AA40" s="45" t="str">
        <f>_xlfn.TRANSLATE(P40,"pt","en")</f>
        <v>General segment supplier: is a self-employed consultant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317</v>
      </c>
      <c r="E41" s="52" t="s">
        <v>221</v>
      </c>
      <c r="F41" s="57" t="s">
        <v>569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519</v>
      </c>
      <c r="N41" s="23" t="s">
        <v>547</v>
      </c>
      <c r="O41" s="23" t="s">
        <v>548</v>
      </c>
      <c r="P41" s="23" t="s">
        <v>582</v>
      </c>
      <c r="Q41" s="26" t="s">
        <v>604</v>
      </c>
      <c r="R41" s="42" t="s">
        <v>9</v>
      </c>
      <c r="S41" s="43" t="s">
        <v>95</v>
      </c>
      <c r="T41" s="43" t="s">
        <v>519</v>
      </c>
      <c r="U41" s="43" t="s">
        <v>547</v>
      </c>
      <c r="V41" s="41" t="s">
        <v>184</v>
      </c>
      <c r="W41" s="60" t="s">
        <v>549</v>
      </c>
      <c r="X41" s="41" t="s">
        <v>9</v>
      </c>
      <c r="Y41" s="41" t="s">
        <v>9</v>
      </c>
      <c r="Z41" s="41" t="s">
        <v>572</v>
      </c>
      <c r="AA41" s="45" t="s">
        <v>594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317</v>
      </c>
      <c r="E42" s="52" t="s">
        <v>221</v>
      </c>
      <c r="F42" s="57" t="s">
        <v>391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>_xlfn.CONCAT(SUBSTITUTE(C42,"1.",""))</f>
        <v>Fornecedores</v>
      </c>
      <c r="M42" s="23" t="str">
        <f>_xlfn.CONCAT(SUBSTITUTE(D42,"."," "))</f>
        <v>Segmentos dos Profissionais</v>
      </c>
      <c r="N42" s="23" t="str">
        <f>_xlfn.CONCAT(SUBSTITUTE(E42,"."," "))</f>
        <v>Segmento Geral</v>
      </c>
      <c r="O42" s="23" t="str">
        <f>_xlfn.CONCAT(SUBSTITUTE(F42,"."," "))</f>
        <v>Ger Empresa Consultora</v>
      </c>
      <c r="P42" s="23" t="s">
        <v>187</v>
      </c>
      <c r="Q42" s="26" t="str">
        <f>_xlfn.TRANSLATE(P42,"pt","es")</f>
        <v>Proveedor de segmento general: es una empresa de consultoría</v>
      </c>
      <c r="R42" s="42" t="s">
        <v>9</v>
      </c>
      <c r="S42" s="43" t="str">
        <f>SUBSTITUTE(C42, ".", " ")</f>
        <v>Fornecedores</v>
      </c>
      <c r="T42" s="43" t="str">
        <f>SUBSTITUTE(D42, ".", " ")</f>
        <v>Segmentos dos Profissionais</v>
      </c>
      <c r="U42" s="43" t="str">
        <f>SUBSTITUTE(E42, ".", " ")</f>
        <v>Segmento Geral</v>
      </c>
      <c r="V42" s="41" t="s">
        <v>184</v>
      </c>
      <c r="W42" s="60" t="str">
        <f>CONCATENATE("Key.Fab.",A42)</f>
        <v>Key.Fab.42</v>
      </c>
      <c r="X42" s="41" t="s">
        <v>9</v>
      </c>
      <c r="Y42" s="41" t="s">
        <v>9</v>
      </c>
      <c r="Z42" s="41" t="s">
        <v>435</v>
      </c>
      <c r="AA42" s="45" t="str">
        <f>_xlfn.TRANSLATE(P42,"pt","en")</f>
        <v>General segment supplier: it is a consulting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317</v>
      </c>
      <c r="E43" s="52" t="s">
        <v>221</v>
      </c>
      <c r="F43" s="57" t="s">
        <v>392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>_xlfn.CONCAT(SUBSTITUTE(C43,"1.",""))</f>
        <v>Fornecedores</v>
      </c>
      <c r="M43" s="23" t="str">
        <f>_xlfn.CONCAT(SUBSTITUTE(D43,"."," "))</f>
        <v>Segmentos dos Profissionais</v>
      </c>
      <c r="N43" s="23" t="str">
        <f>_xlfn.CONCAT(SUBSTITUTE(E43,"."," "))</f>
        <v>Segmento Geral</v>
      </c>
      <c r="O43" s="23" t="str">
        <f>_xlfn.CONCAT(SUBSTITUTE(F43,"."," "))</f>
        <v>Ger Fabricante</v>
      </c>
      <c r="P43" s="23" t="s">
        <v>188</v>
      </c>
      <c r="Q43" s="26" t="str">
        <f>_xlfn.TRANSLATE(P43,"pt","es")</f>
        <v>Proveedor del segmento general: es un fabricante de productos</v>
      </c>
      <c r="R43" s="42" t="s">
        <v>9</v>
      </c>
      <c r="S43" s="43" t="str">
        <f>SUBSTITUTE(C43, ".", " ")</f>
        <v>Fornecedores</v>
      </c>
      <c r="T43" s="43" t="str">
        <f>SUBSTITUTE(D43, ".", " ")</f>
        <v>Segmentos dos Profissionais</v>
      </c>
      <c r="U43" s="43" t="str">
        <f>SUBSTITUTE(E43, ".", " ")</f>
        <v>Segmento Geral</v>
      </c>
      <c r="V43" s="41" t="s">
        <v>184</v>
      </c>
      <c r="W43" s="60" t="str">
        <f>CONCATENATE("Key.Fab.",A43)</f>
        <v>Key.Fab.43</v>
      </c>
      <c r="X43" s="41" t="s">
        <v>9</v>
      </c>
      <c r="Y43" s="41" t="s">
        <v>9</v>
      </c>
      <c r="Z43" s="41" t="s">
        <v>426</v>
      </c>
      <c r="AA43" s="45" t="str">
        <f>_xlfn.TRANSLATE(P43,"pt","en")</f>
        <v>General segment supplier: is a manufacturer of products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317</v>
      </c>
      <c r="E44" s="52" t="s">
        <v>221</v>
      </c>
      <c r="F44" s="57" t="s">
        <v>393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>_xlfn.CONCAT(SUBSTITUTE(C44,"1.",""))</f>
        <v>Fornecedores</v>
      </c>
      <c r="M44" s="23" t="str">
        <f>_xlfn.CONCAT(SUBSTITUTE(D44,"."," "))</f>
        <v>Segmentos dos Profissionais</v>
      </c>
      <c r="N44" s="23" t="str">
        <f>_xlfn.CONCAT(SUBSTITUTE(E44,"."," "))</f>
        <v>Segmento Geral</v>
      </c>
      <c r="O44" s="23" t="str">
        <f>_xlfn.CONCAT(SUBSTITUTE(F44,"."," "))</f>
        <v>Ger Fornecimento</v>
      </c>
      <c r="P44" s="23" t="s">
        <v>189</v>
      </c>
      <c r="Q44" s="26" t="str">
        <f>_xlfn.TRANSLATE(P44,"pt","es")</f>
        <v>Proveedor del segmento general: es un proveedor</v>
      </c>
      <c r="R44" s="42" t="s">
        <v>9</v>
      </c>
      <c r="S44" s="43" t="str">
        <f>SUBSTITUTE(C44, ".", " ")</f>
        <v>Fornecedores</v>
      </c>
      <c r="T44" s="43" t="str">
        <f>SUBSTITUTE(D44, ".", " ")</f>
        <v>Segmentos dos Profissionais</v>
      </c>
      <c r="U44" s="43" t="str">
        <f>SUBSTITUTE(E44, ".", " ")</f>
        <v>Segmento Geral</v>
      </c>
      <c r="V44" s="41" t="s">
        <v>184</v>
      </c>
      <c r="W44" s="60" t="str">
        <f>CONCATENATE("Key.Fab.",A44)</f>
        <v>Key.Fab.44</v>
      </c>
      <c r="X44" s="41" t="s">
        <v>9</v>
      </c>
      <c r="Y44" s="41" t="s">
        <v>9</v>
      </c>
      <c r="Z44" s="41" t="s">
        <v>433</v>
      </c>
      <c r="AA44" s="45" t="str">
        <f>_xlfn.TRANSLATE(P44,"pt","en")</f>
        <v>General segment supplier: is a supplier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317</v>
      </c>
      <c r="E45" s="52" t="s">
        <v>221</v>
      </c>
      <c r="F45" s="57" t="s">
        <v>394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>_xlfn.CONCAT(SUBSTITUTE(C45,"1.",""))</f>
        <v>Fornecedores</v>
      </c>
      <c r="M45" s="23" t="str">
        <f>_xlfn.CONCAT(SUBSTITUTE(D45,"."," "))</f>
        <v>Segmentos dos Profissionais</v>
      </c>
      <c r="N45" s="23" t="str">
        <f>_xlfn.CONCAT(SUBSTITUTE(E45,"."," "))</f>
        <v>Segmento Geral</v>
      </c>
      <c r="O45" s="23" t="str">
        <f>_xlfn.CONCAT(SUBSTITUTE(F45,"."," "))</f>
        <v>Ger Projetista</v>
      </c>
      <c r="P45" s="23" t="s">
        <v>233</v>
      </c>
      <c r="Q45" s="26" t="str">
        <f>_xlfn.TRANSLATE(P45,"pt","es")</f>
        <v>Proveedor del segmento general: es una empresa de diseño o diseñador</v>
      </c>
      <c r="R45" s="42" t="s">
        <v>9</v>
      </c>
      <c r="S45" s="43" t="str">
        <f>SUBSTITUTE(C45, ".", " ")</f>
        <v>Fornecedores</v>
      </c>
      <c r="T45" s="43" t="str">
        <f>SUBSTITUTE(D45, ".", " ")</f>
        <v>Segmentos dos Profissionais</v>
      </c>
      <c r="U45" s="43" t="str">
        <f>SUBSTITUTE(E45, ".", " ")</f>
        <v>Segmento Geral</v>
      </c>
      <c r="V45" s="41" t="s">
        <v>184</v>
      </c>
      <c r="W45" s="60" t="str">
        <f>CONCATENATE("Key.Fab.",A45)</f>
        <v>Key.Fab.45</v>
      </c>
      <c r="X45" s="41" t="s">
        <v>9</v>
      </c>
      <c r="Y45" s="41" t="s">
        <v>9</v>
      </c>
      <c r="Z45" s="41" t="s">
        <v>437</v>
      </c>
      <c r="AA45" s="45" t="str">
        <f>_xlfn.TRANSLATE(P45,"pt","en")</f>
        <v>General Segment Supplier: is a Designer or Design Company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317</v>
      </c>
      <c r="E46" s="52" t="s">
        <v>221</v>
      </c>
      <c r="F46" s="57" t="s">
        <v>395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>_xlfn.CONCAT(SUBSTITUTE(C46,"1.",""))</f>
        <v>Fornecedores</v>
      </c>
      <c r="M46" s="23" t="str">
        <f>_xlfn.CONCAT(SUBSTITUTE(D46,"."," "))</f>
        <v>Segmentos dos Profissionais</v>
      </c>
      <c r="N46" s="23" t="str">
        <f>_xlfn.CONCAT(SUBSTITUTE(E46,"."," "))</f>
        <v>Segmento Geral</v>
      </c>
      <c r="O46" s="23" t="str">
        <f>_xlfn.CONCAT(SUBSTITUTE(F46,"."," "))</f>
        <v>Ger Serviço</v>
      </c>
      <c r="P46" s="23" t="s">
        <v>190</v>
      </c>
      <c r="Q46" s="26" t="str">
        <f>_xlfn.TRANSLATE(P46,"pt","es")</f>
        <v>Proveedor del segmento general: Es un servicio</v>
      </c>
      <c r="R46" s="42" t="s">
        <v>9</v>
      </c>
      <c r="S46" s="43" t="str">
        <f>SUBSTITUTE(C46, ".", " ")</f>
        <v>Fornecedores</v>
      </c>
      <c r="T46" s="43" t="str">
        <f>SUBSTITUTE(D46, ".", " ")</f>
        <v>Segmentos dos Profissionais</v>
      </c>
      <c r="U46" s="43" t="str">
        <f>SUBSTITUTE(E46, ".", " ")</f>
        <v>Segmento Geral</v>
      </c>
      <c r="V46" s="41" t="s">
        <v>184</v>
      </c>
      <c r="W46" s="60" t="str">
        <f>CONCATENATE("Key.Fab.",A46)</f>
        <v>Key.Fab.46</v>
      </c>
      <c r="X46" s="41" t="s">
        <v>9</v>
      </c>
      <c r="Y46" s="41" t="s">
        <v>9</v>
      </c>
      <c r="Z46" s="41" t="s">
        <v>436</v>
      </c>
      <c r="AA46" s="45" t="str">
        <f>_xlfn.TRANSLATE(P46,"pt","en")</f>
        <v>General Segment Supplier: It is a service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317</v>
      </c>
      <c r="E47" s="52" t="s">
        <v>221</v>
      </c>
      <c r="F47" s="57" t="s">
        <v>478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>_xlfn.CONCAT(SUBSTITUTE(C47,"1.",""))</f>
        <v>Fornecedores</v>
      </c>
      <c r="M47" s="23" t="str">
        <f>_xlfn.CONCAT(SUBSTITUTE(D47,"."," "))</f>
        <v>Segmentos dos Profissionais</v>
      </c>
      <c r="N47" s="23" t="str">
        <f>_xlfn.CONCAT(SUBSTITUTE(E47,"."," "))</f>
        <v>Segmento Geral</v>
      </c>
      <c r="O47" s="23" t="str">
        <f>_xlfn.CONCAT(SUBSTITUTE(F47,"."," "))</f>
        <v>Ger Venda</v>
      </c>
      <c r="P47" s="23" t="s">
        <v>516</v>
      </c>
      <c r="Q47" s="26" t="str">
        <f>_xlfn.TRANSLATE(P47,"pt","es")</f>
        <v>Proveedor del segmento general: es una venta de productos</v>
      </c>
      <c r="R47" s="42" t="s">
        <v>9</v>
      </c>
      <c r="S47" s="43" t="str">
        <f>SUBSTITUTE(C47, ".", " ")</f>
        <v>Fornecedores</v>
      </c>
      <c r="T47" s="43" t="str">
        <f>SUBSTITUTE(D47, ".", " ")</f>
        <v>Segmentos dos Profissionais</v>
      </c>
      <c r="U47" s="43" t="str">
        <f>SUBSTITUTE(E47, ".", " ")</f>
        <v>Segmento Geral</v>
      </c>
      <c r="V47" s="41" t="s">
        <v>184</v>
      </c>
      <c r="W47" s="60" t="str">
        <f>CONCATENATE("Key.Fab.",A47)</f>
        <v>Key.Fab.47</v>
      </c>
      <c r="X47" s="41" t="s">
        <v>9</v>
      </c>
      <c r="Y47" s="41" t="s">
        <v>9</v>
      </c>
      <c r="Z47" s="41" t="s">
        <v>434</v>
      </c>
      <c r="AA47" s="45" t="str">
        <f>_xlfn.TRANSLATE(P47,"pt","en")</f>
        <v>General segment supplier: it is a sale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317</v>
      </c>
      <c r="E48" s="52" t="s">
        <v>101</v>
      </c>
      <c r="F48" s="57" t="s">
        <v>490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>_xlfn.CONCAT(SUBSTITUTE(C48,"1.",""))</f>
        <v>Fornecedores</v>
      </c>
      <c r="M48" s="23" t="str">
        <f>_xlfn.CONCAT(SUBSTITUTE(D48,"."," "))</f>
        <v>Segmentos dos Profissionais</v>
      </c>
      <c r="N48" s="23" t="str">
        <f>_xlfn.CONCAT(SUBSTITUTE(E48,"."," "))</f>
        <v>Segmento Hospitalar</v>
      </c>
      <c r="O48" s="23" t="str">
        <f>_xlfn.CONCAT(SUBSTITUTE(F48,"."," "))</f>
        <v>Hos Compra</v>
      </c>
      <c r="P48" s="23" t="s">
        <v>498</v>
      </c>
      <c r="Q48" s="26" t="str">
        <f>_xlfn.TRANSLATE(P48,"pt","es")</f>
        <v>Proveedor del segmento hospitalario: es una compra de productos</v>
      </c>
      <c r="R48" s="42" t="s">
        <v>9</v>
      </c>
      <c r="S48" s="43" t="str">
        <f>SUBSTITUTE(C48, ".", " ")</f>
        <v>Fornecedores</v>
      </c>
      <c r="T48" s="43" t="str">
        <f>SUBSTITUTE(D48, ".", " ")</f>
        <v>Segmentos dos Profissionais</v>
      </c>
      <c r="U48" s="43" t="str">
        <f>SUBSTITUTE(E48, ".", " ")</f>
        <v>Segmento Hospitalar</v>
      </c>
      <c r="V48" s="41" t="s">
        <v>184</v>
      </c>
      <c r="W48" s="60" t="str">
        <f>CONCATENATE("Key.Fab.",A48)</f>
        <v>Key.Fab.48</v>
      </c>
      <c r="X48" s="41" t="s">
        <v>9</v>
      </c>
      <c r="Y48" s="41" t="s">
        <v>9</v>
      </c>
      <c r="Z48" s="41" t="s">
        <v>506</v>
      </c>
      <c r="AA48" s="45" t="str">
        <f>_xlfn.TRANSLATE(P48,"pt","en")</f>
        <v>Hospital segment supplier: it is a purchase of products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317</v>
      </c>
      <c r="E49" s="52" t="s">
        <v>101</v>
      </c>
      <c r="F49" s="57" t="s">
        <v>372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>_xlfn.CONCAT(SUBSTITUTE(C49,"1.",""))</f>
        <v>Fornecedores</v>
      </c>
      <c r="M49" s="23" t="str">
        <f>_xlfn.CONCAT(SUBSTITUTE(D49,"."," "))</f>
        <v>Segmentos dos Profissionais</v>
      </c>
      <c r="N49" s="23" t="str">
        <f>_xlfn.CONCAT(SUBSTITUTE(E49,"."," "))</f>
        <v>Segmento Hospitalar</v>
      </c>
      <c r="O49" s="23" t="str">
        <f>_xlfn.CONCAT(SUBSTITUTE(F49,"."," "))</f>
        <v>Hos Consultor</v>
      </c>
      <c r="P49" s="23" t="s">
        <v>128</v>
      </c>
      <c r="Q49" s="26" t="str">
        <f>_xlfn.TRANSLATE(P49,"pt","es")</f>
        <v>Proveedor del segmento hospitalario: es consultor autónomo</v>
      </c>
      <c r="R49" s="42" t="s">
        <v>9</v>
      </c>
      <c r="S49" s="43" t="str">
        <f>SUBSTITUTE(C49, ".", " ")</f>
        <v>Fornecedores</v>
      </c>
      <c r="T49" s="43" t="str">
        <f>SUBSTITUTE(D49, ".", " ")</f>
        <v>Segmentos dos Profissionais</v>
      </c>
      <c r="U49" s="43" t="str">
        <f>SUBSTITUTE(E49, ".", " ")</f>
        <v>Segmento Hospitalar</v>
      </c>
      <c r="V49" s="41" t="s">
        <v>184</v>
      </c>
      <c r="W49" s="60" t="str">
        <f>CONCATENATE("Key.Fab.",A49)</f>
        <v>Key.Fab.49</v>
      </c>
      <c r="X49" s="41" t="s">
        <v>9</v>
      </c>
      <c r="Y49" s="41" t="s">
        <v>9</v>
      </c>
      <c r="Z49" s="41" t="s">
        <v>430</v>
      </c>
      <c r="AA49" s="45" t="str">
        <f>_xlfn.TRANSLATE(P49,"pt","en")</f>
        <v>Hospital Segment Supplier: is a self-employed consultant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317</v>
      </c>
      <c r="E50" s="52" t="s">
        <v>101</v>
      </c>
      <c r="F50" s="57" t="s">
        <v>562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519</v>
      </c>
      <c r="N50" s="23" t="s">
        <v>526</v>
      </c>
      <c r="O50" s="23" t="s">
        <v>527</v>
      </c>
      <c r="P50" s="23" t="s">
        <v>575</v>
      </c>
      <c r="Q50" s="26" t="s">
        <v>600</v>
      </c>
      <c r="R50" s="42" t="s">
        <v>9</v>
      </c>
      <c r="S50" s="43" t="s">
        <v>95</v>
      </c>
      <c r="T50" s="43" t="s">
        <v>519</v>
      </c>
      <c r="U50" s="43" t="s">
        <v>526</v>
      </c>
      <c r="V50" s="41" t="s">
        <v>184</v>
      </c>
      <c r="W50" s="60" t="s">
        <v>528</v>
      </c>
      <c r="X50" s="41" t="s">
        <v>9</v>
      </c>
      <c r="Y50" s="41" t="s">
        <v>9</v>
      </c>
      <c r="Z50" s="41" t="s">
        <v>572</v>
      </c>
      <c r="AA50" s="45" t="s">
        <v>587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317</v>
      </c>
      <c r="E51" s="52" t="s">
        <v>101</v>
      </c>
      <c r="F51" s="57" t="s">
        <v>373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>_xlfn.CONCAT(SUBSTITUTE(C51,"1.",""))</f>
        <v>Fornecedores</v>
      </c>
      <c r="M51" s="23" t="str">
        <f>_xlfn.CONCAT(SUBSTITUTE(D51,"."," "))</f>
        <v>Segmentos dos Profissionais</v>
      </c>
      <c r="N51" s="23" t="str">
        <f>_xlfn.CONCAT(SUBSTITUTE(E51,"."," "))</f>
        <v>Segmento Hospitalar</v>
      </c>
      <c r="O51" s="23" t="str">
        <f>_xlfn.CONCAT(SUBSTITUTE(F51,"."," "))</f>
        <v>Hos Empresa Consultora</v>
      </c>
      <c r="P51" s="23" t="s">
        <v>129</v>
      </c>
      <c r="Q51" s="26" t="str">
        <f>_xlfn.TRANSLATE(P51,"pt","es")</f>
        <v>Proveedor en el segmento hospitalario: es una empresa de consultoría</v>
      </c>
      <c r="R51" s="42" t="s">
        <v>9</v>
      </c>
      <c r="S51" s="43" t="str">
        <f>SUBSTITUTE(C51, ".", " ")</f>
        <v>Fornecedores</v>
      </c>
      <c r="T51" s="43" t="str">
        <f>SUBSTITUTE(D51, ".", " ")</f>
        <v>Segmentos dos Profissionais</v>
      </c>
      <c r="U51" s="43" t="str">
        <f>SUBSTITUTE(E51, ".", " ")</f>
        <v>Segmento Hospitalar</v>
      </c>
      <c r="V51" s="41" t="s">
        <v>184</v>
      </c>
      <c r="W51" s="60" t="str">
        <f>CONCATENATE("Key.Fab.",A51)</f>
        <v>Key.Fab.51</v>
      </c>
      <c r="X51" s="41" t="s">
        <v>9</v>
      </c>
      <c r="Y51" s="41" t="s">
        <v>9</v>
      </c>
      <c r="Z51" s="41" t="s">
        <v>430</v>
      </c>
      <c r="AA51" s="45" t="str">
        <f>_xlfn.TRANSLATE(P51,"pt","en")</f>
        <v>Supplier in the hospital segment: it is a consulting company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317</v>
      </c>
      <c r="E52" s="52" t="s">
        <v>101</v>
      </c>
      <c r="F52" s="57" t="s">
        <v>374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>_xlfn.CONCAT(SUBSTITUTE(C52,"1.",""))</f>
        <v>Fornecedores</v>
      </c>
      <c r="M52" s="23" t="str">
        <f>_xlfn.CONCAT(SUBSTITUTE(D52,"."," "))</f>
        <v>Segmentos dos Profissionais</v>
      </c>
      <c r="N52" s="23" t="str">
        <f>_xlfn.CONCAT(SUBSTITUTE(E52,"."," "))</f>
        <v>Segmento Hospitalar</v>
      </c>
      <c r="O52" s="23" t="str">
        <f>_xlfn.CONCAT(SUBSTITUTE(F52,"."," "))</f>
        <v>Hos Fabricante</v>
      </c>
      <c r="P52" s="23" t="s">
        <v>130</v>
      </c>
      <c r="Q52" s="26" t="str">
        <f>_xlfn.TRANSLATE(P52,"pt","es")</f>
        <v>Proveedor en el segmento hospitalario: es un fabricante de productos</v>
      </c>
      <c r="R52" s="42" t="s">
        <v>9</v>
      </c>
      <c r="S52" s="43" t="str">
        <f>SUBSTITUTE(C52, ".", " ")</f>
        <v>Fornecedores</v>
      </c>
      <c r="T52" s="43" t="str">
        <f>SUBSTITUTE(D52, ".", " ")</f>
        <v>Segmentos dos Profissionais</v>
      </c>
      <c r="U52" s="43" t="str">
        <f>SUBSTITUTE(E52, ".", " ")</f>
        <v>Segmento Hospitalar</v>
      </c>
      <c r="V52" s="41" t="s">
        <v>184</v>
      </c>
      <c r="W52" s="60" t="str">
        <f>CONCATENATE("Key.Fab.",A52)</f>
        <v>Key.Fab.52</v>
      </c>
      <c r="X52" s="41" t="s">
        <v>9</v>
      </c>
      <c r="Y52" s="41" t="s">
        <v>9</v>
      </c>
      <c r="Z52" s="41" t="s">
        <v>426</v>
      </c>
      <c r="AA52" s="45" t="str">
        <f>_xlfn.TRANSLATE(P52,"pt","en")</f>
        <v>Supplier in the hospital segment: it is a manufacturer of products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317</v>
      </c>
      <c r="E53" s="52" t="s">
        <v>101</v>
      </c>
      <c r="F53" s="57" t="s">
        <v>375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>_xlfn.CONCAT(SUBSTITUTE(C53,"1.",""))</f>
        <v>Fornecedores</v>
      </c>
      <c r="M53" s="23" t="str">
        <f>_xlfn.CONCAT(SUBSTITUTE(D53,"."," "))</f>
        <v>Segmentos dos Profissionais</v>
      </c>
      <c r="N53" s="23" t="str">
        <f>_xlfn.CONCAT(SUBSTITUTE(E53,"."," "))</f>
        <v>Segmento Hospitalar</v>
      </c>
      <c r="O53" s="23" t="str">
        <f>_xlfn.CONCAT(SUBSTITUTE(F53,"."," "))</f>
        <v>Hos Fornecimento</v>
      </c>
      <c r="P53" s="23" t="s">
        <v>180</v>
      </c>
      <c r="Q53" s="26" t="str">
        <f>_xlfn.TRANSLATE(P53,"pt","es")</f>
        <v>Proveedor del segmento hospitalario: es un proveedor</v>
      </c>
      <c r="R53" s="42" t="s">
        <v>9</v>
      </c>
      <c r="S53" s="43" t="str">
        <f>SUBSTITUTE(C53, ".", " ")</f>
        <v>Fornecedores</v>
      </c>
      <c r="T53" s="43" t="str">
        <f>SUBSTITUTE(D53, ".", " ")</f>
        <v>Segmentos dos Profissionais</v>
      </c>
      <c r="U53" s="43" t="str">
        <f>SUBSTITUTE(E53, ".", " ")</f>
        <v>Segmento Hospitalar</v>
      </c>
      <c r="V53" s="41" t="s">
        <v>184</v>
      </c>
      <c r="W53" s="60" t="str">
        <f>CONCATENATE("Key.Fab.",A53)</f>
        <v>Key.Fab.53</v>
      </c>
      <c r="X53" s="41" t="s">
        <v>9</v>
      </c>
      <c r="Y53" s="41" t="s">
        <v>9</v>
      </c>
      <c r="Z53" s="41" t="s">
        <v>433</v>
      </c>
      <c r="AA53" s="45" t="str">
        <f>_xlfn.TRANSLATE(P53,"pt","en")</f>
        <v>Hospital Segment Supplier: is a supplier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317</v>
      </c>
      <c r="E54" s="52" t="s">
        <v>101</v>
      </c>
      <c r="F54" s="57" t="s">
        <v>376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>_xlfn.CONCAT(SUBSTITUTE(C54,"1.",""))</f>
        <v>Fornecedores</v>
      </c>
      <c r="M54" s="23" t="str">
        <f>_xlfn.CONCAT(SUBSTITUTE(D54,"."," "))</f>
        <v>Segmentos dos Profissionais</v>
      </c>
      <c r="N54" s="23" t="str">
        <f>_xlfn.CONCAT(SUBSTITUTE(E54,"."," "))</f>
        <v>Segmento Hospitalar</v>
      </c>
      <c r="O54" s="23" t="str">
        <f>_xlfn.CONCAT(SUBSTITUTE(F54,"."," "))</f>
        <v>Hos Projetista</v>
      </c>
      <c r="P54" s="23" t="s">
        <v>227</v>
      </c>
      <c r="Q54" s="26" t="str">
        <f>_xlfn.TRANSLATE(P54,"pt","es")</f>
        <v>Proveedor en el segmento hospitalario: es una empresa de diseñador o diseño</v>
      </c>
      <c r="R54" s="42" t="s">
        <v>9</v>
      </c>
      <c r="S54" s="43" t="str">
        <f>SUBSTITUTE(C54, ".", " ")</f>
        <v>Fornecedores</v>
      </c>
      <c r="T54" s="43" t="str">
        <f>SUBSTITUTE(D54, ".", " ")</f>
        <v>Segmentos dos Profissionais</v>
      </c>
      <c r="U54" s="43" t="str">
        <f>SUBSTITUTE(E54, ".", " ")</f>
        <v>Segmento Hospitalar</v>
      </c>
      <c r="V54" s="41" t="s">
        <v>184</v>
      </c>
      <c r="W54" s="60" t="str">
        <f>CONCATENATE("Key.Fab.",A54)</f>
        <v>Key.Fab.54</v>
      </c>
      <c r="X54" s="41" t="s">
        <v>9</v>
      </c>
      <c r="Y54" s="41" t="s">
        <v>9</v>
      </c>
      <c r="Z54" s="41" t="s">
        <v>431</v>
      </c>
      <c r="AA54" s="45" t="str">
        <f>_xlfn.TRANSLATE(P54,"pt","en")</f>
        <v>Supplier in the hospital segment: is a Designer or Design Company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317</v>
      </c>
      <c r="E55" s="52" t="s">
        <v>101</v>
      </c>
      <c r="F55" s="57" t="s">
        <v>377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>_xlfn.CONCAT(SUBSTITUTE(C55,"1.",""))</f>
        <v>Fornecedores</v>
      </c>
      <c r="M55" s="23" t="str">
        <f>_xlfn.CONCAT(SUBSTITUTE(D55,"."," "))</f>
        <v>Segmentos dos Profissionais</v>
      </c>
      <c r="N55" s="23" t="str">
        <f>_xlfn.CONCAT(SUBSTITUTE(E55,"."," "))</f>
        <v>Segmento Hospitalar</v>
      </c>
      <c r="O55" s="23" t="str">
        <f>_xlfn.CONCAT(SUBSTITUTE(F55,"."," "))</f>
        <v>Hos Serviço</v>
      </c>
      <c r="P55" s="23" t="s">
        <v>127</v>
      </c>
      <c r="Q55" s="26" t="str">
        <f>_xlfn.TRANSLATE(P55,"pt","es")</f>
        <v>Proveedor en el segmento hospitalario: es un servicio</v>
      </c>
      <c r="R55" s="42" t="s">
        <v>9</v>
      </c>
      <c r="S55" s="43" t="str">
        <f>SUBSTITUTE(C55, ".", " ")</f>
        <v>Fornecedores</v>
      </c>
      <c r="T55" s="43" t="str">
        <f>SUBSTITUTE(D55, ".", " ")</f>
        <v>Segmentos dos Profissionais</v>
      </c>
      <c r="U55" s="43" t="str">
        <f>SUBSTITUTE(E55, ".", " ")</f>
        <v>Segmento Hospitalar</v>
      </c>
      <c r="V55" s="41" t="s">
        <v>184</v>
      </c>
      <c r="W55" s="60" t="str">
        <f>CONCATENATE("Key.Fab.",A55)</f>
        <v>Key.Fab.55</v>
      </c>
      <c r="X55" s="41" t="s">
        <v>9</v>
      </c>
      <c r="Y55" s="41" t="s">
        <v>9</v>
      </c>
      <c r="Z55" s="41" t="s">
        <v>432</v>
      </c>
      <c r="AA55" s="45" t="str">
        <f>_xlfn.TRANSLATE(P55,"pt","en")</f>
        <v>Supplier in the hospital segment: it is a service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317</v>
      </c>
      <c r="E56" s="52" t="s">
        <v>101</v>
      </c>
      <c r="F56" s="57" t="s">
        <v>471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>_xlfn.CONCAT(SUBSTITUTE(C56,"1.",""))</f>
        <v>Fornecedores</v>
      </c>
      <c r="M56" s="23" t="str">
        <f>_xlfn.CONCAT(SUBSTITUTE(D56,"."," "))</f>
        <v>Segmentos dos Profissionais</v>
      </c>
      <c r="N56" s="23" t="str">
        <f>_xlfn.CONCAT(SUBSTITUTE(E56,"."," "))</f>
        <v>Segmento Hospitalar</v>
      </c>
      <c r="O56" s="23" t="str">
        <f>_xlfn.CONCAT(SUBSTITUTE(F56,"."," "))</f>
        <v>Hos Venda</v>
      </c>
      <c r="P56" s="23" t="s">
        <v>509</v>
      </c>
      <c r="Q56" s="26" t="str">
        <f>_xlfn.TRANSLATE(P56,"pt","es")</f>
        <v>Proveedor en el segmento hospitalario: es una venta de productos</v>
      </c>
      <c r="R56" s="42" t="s">
        <v>9</v>
      </c>
      <c r="S56" s="43" t="str">
        <f>SUBSTITUTE(C56, ".", " ")</f>
        <v>Fornecedores</v>
      </c>
      <c r="T56" s="43" t="str">
        <f>SUBSTITUTE(D56, ".", " ")</f>
        <v>Segmentos dos Profissionais</v>
      </c>
      <c r="U56" s="43" t="str">
        <f>SUBSTITUTE(E56, ".", " ")</f>
        <v>Segmento Hospitalar</v>
      </c>
      <c r="V56" s="41" t="s">
        <v>184</v>
      </c>
      <c r="W56" s="60" t="str">
        <f>CONCATENATE("Key.Fab.",A56)</f>
        <v>Key.Fab.56</v>
      </c>
      <c r="X56" s="41" t="s">
        <v>9</v>
      </c>
      <c r="Y56" s="41" t="s">
        <v>9</v>
      </c>
      <c r="Z56" s="41" t="s">
        <v>434</v>
      </c>
      <c r="AA56" s="45" t="str">
        <f>_xlfn.TRANSLATE(P56,"pt","en")</f>
        <v>Supplier in the hospital segment: it is a sale of products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317</v>
      </c>
      <c r="E57" s="52" t="s">
        <v>324</v>
      </c>
      <c r="F57" s="57" t="s">
        <v>482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>_xlfn.CONCAT(SUBSTITUTE(C57,"1.",""))</f>
        <v>Fornecedores</v>
      </c>
      <c r="M57" s="23" t="str">
        <f>_xlfn.CONCAT(SUBSTITUTE(D57,"."," "))</f>
        <v>Segmentos dos Profissionais</v>
      </c>
      <c r="N57" s="23" t="str">
        <f>_xlfn.CONCAT(SUBSTITUTE(E57,"."," "))</f>
        <v>Segmento de Iluminação</v>
      </c>
      <c r="O57" s="23" t="str">
        <f>_xlfn.CONCAT(SUBSTITUTE(F57,"."," "))</f>
        <v>Ilu Compra</v>
      </c>
      <c r="P57" s="23" t="s">
        <v>493</v>
      </c>
      <c r="Q57" s="26" t="str">
        <f>_xlfn.TRANSLATE(P57,"pt","es")</f>
        <v>Proveedor del segmento de iluminación: es una compra de productos</v>
      </c>
      <c r="R57" s="42" t="s">
        <v>9</v>
      </c>
      <c r="S57" s="43" t="str">
        <f>SUBSTITUTE(C57, ".", " ")</f>
        <v>Fornecedores</v>
      </c>
      <c r="T57" s="43" t="str">
        <f>SUBSTITUTE(D57, ".", " ")</f>
        <v>Segmentos dos Profissionais</v>
      </c>
      <c r="U57" s="43" t="str">
        <f>SUBSTITUTE(E57, ".", " ")</f>
        <v>Segmento de Iluminação</v>
      </c>
      <c r="V57" s="41" t="s">
        <v>184</v>
      </c>
      <c r="W57" s="60" t="str">
        <f>CONCATENATE("Key.Fab.",A57)</f>
        <v>Key.Fab.57</v>
      </c>
      <c r="X57" s="41" t="s">
        <v>9</v>
      </c>
      <c r="Y57" s="41" t="s">
        <v>9</v>
      </c>
      <c r="Z57" s="41" t="s">
        <v>506</v>
      </c>
      <c r="AA57" s="45" t="str">
        <f>_xlfn.TRANSLATE(P57,"pt","en")</f>
        <v>Lighting segment supplier: it is a purchase of products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317</v>
      </c>
      <c r="E58" s="52" t="s">
        <v>324</v>
      </c>
      <c r="F58" s="57" t="s">
        <v>397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>_xlfn.CONCAT(SUBSTITUTE(C58,"1.",""))</f>
        <v>Fornecedores</v>
      </c>
      <c r="M58" s="23" t="str">
        <f>_xlfn.CONCAT(SUBSTITUTE(D58,"."," "))</f>
        <v>Segmentos dos Profissionais</v>
      </c>
      <c r="N58" s="23" t="str">
        <f>_xlfn.CONCAT(SUBSTITUTE(E58,"."," "))</f>
        <v>Segmento de Iluminação</v>
      </c>
      <c r="O58" s="23" t="str">
        <f>_xlfn.CONCAT(SUBSTITUTE(F58,"."," "))</f>
        <v>Ilu Consultor</v>
      </c>
      <c r="P58" s="23" t="s">
        <v>318</v>
      </c>
      <c r="Q58" s="26" t="str">
        <f>_xlfn.TRANSLATE(P58,"pt","es")</f>
        <v>Proveedor del segmento de iluminación: es consultor autónomo</v>
      </c>
      <c r="R58" s="42" t="s">
        <v>9</v>
      </c>
      <c r="S58" s="43" t="str">
        <f>SUBSTITUTE(C58, ".", " ")</f>
        <v>Fornecedores</v>
      </c>
      <c r="T58" s="43" t="str">
        <f>SUBSTITUTE(D58, ".", " ")</f>
        <v>Segmentos dos Profissionais</v>
      </c>
      <c r="U58" s="43" t="str">
        <f>SUBSTITUTE(E58, ".", " ")</f>
        <v>Segmento de Iluminação</v>
      </c>
      <c r="V58" s="41" t="s">
        <v>184</v>
      </c>
      <c r="W58" s="60" t="str">
        <f>CONCATENATE("Key.Fab.",A58)</f>
        <v>Key.Fab.58</v>
      </c>
      <c r="X58" s="41" t="s">
        <v>9</v>
      </c>
      <c r="Y58" s="41" t="s">
        <v>9</v>
      </c>
      <c r="Z58" s="41" t="s">
        <v>435</v>
      </c>
      <c r="AA58" s="45" t="str">
        <f>_xlfn.TRANSLATE(P58,"pt","en")</f>
        <v>Lighting Segment Supplier: is a self-employed consultant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317</v>
      </c>
      <c r="E59" s="52" t="s">
        <v>324</v>
      </c>
      <c r="F59" s="57" t="s">
        <v>570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519</v>
      </c>
      <c r="N59" s="23" t="s">
        <v>550</v>
      </c>
      <c r="O59" s="23" t="s">
        <v>551</v>
      </c>
      <c r="P59" s="23" t="s">
        <v>583</v>
      </c>
      <c r="Q59" s="26" t="s">
        <v>605</v>
      </c>
      <c r="R59" s="42" t="s">
        <v>9</v>
      </c>
      <c r="S59" s="43" t="s">
        <v>95</v>
      </c>
      <c r="T59" s="43" t="s">
        <v>519</v>
      </c>
      <c r="U59" s="43" t="s">
        <v>550</v>
      </c>
      <c r="V59" s="41" t="s">
        <v>184</v>
      </c>
      <c r="W59" s="60" t="s">
        <v>552</v>
      </c>
      <c r="X59" s="41" t="s">
        <v>9</v>
      </c>
      <c r="Y59" s="41" t="s">
        <v>9</v>
      </c>
      <c r="Z59" s="41" t="s">
        <v>572</v>
      </c>
      <c r="AA59" s="45" t="s">
        <v>595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317</v>
      </c>
      <c r="E60" s="52" t="s">
        <v>324</v>
      </c>
      <c r="F60" s="57" t="s">
        <v>398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>_xlfn.CONCAT(SUBSTITUTE(C60,"1.",""))</f>
        <v>Fornecedores</v>
      </c>
      <c r="M60" s="23" t="str">
        <f>_xlfn.CONCAT(SUBSTITUTE(D60,"."," "))</f>
        <v>Segmentos dos Profissionais</v>
      </c>
      <c r="N60" s="23" t="str">
        <f>_xlfn.CONCAT(SUBSTITUTE(E60,"."," "))</f>
        <v>Segmento de Iluminação</v>
      </c>
      <c r="O60" s="23" t="str">
        <f>_xlfn.CONCAT(SUBSTITUTE(F60,"."," "))</f>
        <v>Ilu Empresa Consultora</v>
      </c>
      <c r="P60" s="23" t="s">
        <v>319</v>
      </c>
      <c r="Q60" s="26" t="str">
        <f>_xlfn.TRANSLATE(P60,"pt","es")</f>
        <v>Proveedor en el segmento de iluminación: es una empresa de consultoría</v>
      </c>
      <c r="R60" s="42" t="s">
        <v>9</v>
      </c>
      <c r="S60" s="43" t="str">
        <f>SUBSTITUTE(C60, ".", " ")</f>
        <v>Fornecedores</v>
      </c>
      <c r="T60" s="43" t="str">
        <f>SUBSTITUTE(D60, ".", " ")</f>
        <v>Segmentos dos Profissionais</v>
      </c>
      <c r="U60" s="43" t="str">
        <f>SUBSTITUTE(E60, ".", " ")</f>
        <v>Segmento de Iluminação</v>
      </c>
      <c r="V60" s="41" t="s">
        <v>184</v>
      </c>
      <c r="W60" s="60" t="str">
        <f>CONCATENATE("Key.Fab.",A60)</f>
        <v>Key.Fab.60</v>
      </c>
      <c r="X60" s="41" t="s">
        <v>9</v>
      </c>
      <c r="Y60" s="41" t="s">
        <v>9</v>
      </c>
      <c r="Z60" s="41" t="s">
        <v>435</v>
      </c>
      <c r="AA60" s="45" t="str">
        <f>_xlfn.TRANSLATE(P60,"pt","en")</f>
        <v>Supplier in the lighting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317</v>
      </c>
      <c r="E61" s="52" t="s">
        <v>324</v>
      </c>
      <c r="F61" s="57" t="s">
        <v>399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>_xlfn.CONCAT(SUBSTITUTE(C61,"1.",""))</f>
        <v>Fornecedores</v>
      </c>
      <c r="M61" s="23" t="str">
        <f>_xlfn.CONCAT(SUBSTITUTE(D61,"."," "))</f>
        <v>Segmentos dos Profissionais</v>
      </c>
      <c r="N61" s="23" t="str">
        <f>_xlfn.CONCAT(SUBSTITUTE(E61,"."," "))</f>
        <v>Segmento de Iluminação</v>
      </c>
      <c r="O61" s="23" t="str">
        <f>_xlfn.CONCAT(SUBSTITUTE(F61,"."," "))</f>
        <v>Ilu Fabricante</v>
      </c>
      <c r="P61" s="23" t="s">
        <v>320</v>
      </c>
      <c r="Q61" s="26" t="str">
        <f>_xlfn.TRANSLATE(P61,"pt","es")</f>
        <v>Proveedor del segmento de iluminación: es un fabricante de productos</v>
      </c>
      <c r="R61" s="42" t="s">
        <v>9</v>
      </c>
      <c r="S61" s="43" t="str">
        <f>SUBSTITUTE(C61, ".", " ")</f>
        <v>Fornecedores</v>
      </c>
      <c r="T61" s="43" t="str">
        <f>SUBSTITUTE(D61, ".", " ")</f>
        <v>Segmentos dos Profissionais</v>
      </c>
      <c r="U61" s="43" t="str">
        <f>SUBSTITUTE(E61, ".", " ")</f>
        <v>Segmento de Iluminação</v>
      </c>
      <c r="V61" s="41" t="s">
        <v>184</v>
      </c>
      <c r="W61" s="60" t="str">
        <f>CONCATENATE("Key.Fab.",A61)</f>
        <v>Key.Fab.61</v>
      </c>
      <c r="X61" s="41" t="s">
        <v>9</v>
      </c>
      <c r="Y61" s="41" t="s">
        <v>9</v>
      </c>
      <c r="Z61" s="41" t="s">
        <v>426</v>
      </c>
      <c r="AA61" s="45" t="str">
        <f>_xlfn.TRANSLATE(P61,"pt","en")</f>
        <v>Lighting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317</v>
      </c>
      <c r="E62" s="52" t="s">
        <v>324</v>
      </c>
      <c r="F62" s="57" t="s">
        <v>400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>_xlfn.CONCAT(SUBSTITUTE(C62,"1.",""))</f>
        <v>Fornecedores</v>
      </c>
      <c r="M62" s="23" t="str">
        <f>_xlfn.CONCAT(SUBSTITUTE(D62,"."," "))</f>
        <v>Segmentos dos Profissionais</v>
      </c>
      <c r="N62" s="23" t="str">
        <f>_xlfn.CONCAT(SUBSTITUTE(E62,"."," "))</f>
        <v>Segmento de Iluminação</v>
      </c>
      <c r="O62" s="23" t="str">
        <f>_xlfn.CONCAT(SUBSTITUTE(F62,"."," "))</f>
        <v>Ilu Fornecimento</v>
      </c>
      <c r="P62" s="23" t="s">
        <v>321</v>
      </c>
      <c r="Q62" s="26" t="str">
        <f>_xlfn.TRANSLATE(P62,"pt","es")</f>
        <v>Proveedor del segmento de iluminación: es un proveedor</v>
      </c>
      <c r="R62" s="42" t="s">
        <v>9</v>
      </c>
      <c r="S62" s="43" t="str">
        <f>SUBSTITUTE(C62, ".", " ")</f>
        <v>Fornecedores</v>
      </c>
      <c r="T62" s="43" t="str">
        <f>SUBSTITUTE(D62, ".", " ")</f>
        <v>Segmentos dos Profissionais</v>
      </c>
      <c r="U62" s="43" t="str">
        <f>SUBSTITUTE(E62, ".", " ")</f>
        <v>Segmento de Iluminação</v>
      </c>
      <c r="V62" s="41" t="s">
        <v>184</v>
      </c>
      <c r="W62" s="60" t="str">
        <f>CONCATENATE("Key.Fab.",A62)</f>
        <v>Key.Fab.62</v>
      </c>
      <c r="X62" s="41" t="s">
        <v>9</v>
      </c>
      <c r="Y62" s="41" t="s">
        <v>9</v>
      </c>
      <c r="Z62" s="41" t="s">
        <v>433</v>
      </c>
      <c r="AA62" s="45" t="str">
        <f>_xlfn.TRANSLATE(P62,"pt","en")</f>
        <v>Lighting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317</v>
      </c>
      <c r="E63" s="52" t="s">
        <v>324</v>
      </c>
      <c r="F63" s="57" t="s">
        <v>401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>_xlfn.CONCAT(SUBSTITUTE(C63,"1.",""))</f>
        <v>Fornecedores</v>
      </c>
      <c r="M63" s="23" t="str">
        <f>_xlfn.CONCAT(SUBSTITUTE(D63,"."," "))</f>
        <v>Segmentos dos Profissionais</v>
      </c>
      <c r="N63" s="23" t="str">
        <f>_xlfn.CONCAT(SUBSTITUTE(E63,"."," "))</f>
        <v>Segmento de Iluminação</v>
      </c>
      <c r="O63" s="23" t="str">
        <f>_xlfn.CONCAT(SUBSTITUTE(F63,"."," "))</f>
        <v>Ilu Projetista</v>
      </c>
      <c r="P63" s="23" t="s">
        <v>322</v>
      </c>
      <c r="Q63" s="26" t="str">
        <f>_xlfn.TRANSLATE(P63,"pt","es")</f>
        <v>Proveedor del segmento de iluminación: es una empresa de diseño o diseñador</v>
      </c>
      <c r="R63" s="42" t="s">
        <v>9</v>
      </c>
      <c r="S63" s="43" t="str">
        <f>SUBSTITUTE(C63, ".", " ")</f>
        <v>Fornecedores</v>
      </c>
      <c r="T63" s="43" t="str">
        <f>SUBSTITUTE(D63, ".", " ")</f>
        <v>Segmentos dos Profissionais</v>
      </c>
      <c r="U63" s="43" t="str">
        <f>SUBSTITUTE(E63, ".", " ")</f>
        <v>Segmento de Iluminação</v>
      </c>
      <c r="V63" s="41" t="s">
        <v>184</v>
      </c>
      <c r="W63" s="60" t="str">
        <f>CONCATENATE("Key.Fab.",A63)</f>
        <v>Key.Fab.63</v>
      </c>
      <c r="X63" s="41" t="s">
        <v>9</v>
      </c>
      <c r="Y63" s="41" t="s">
        <v>9</v>
      </c>
      <c r="Z63" s="41" t="s">
        <v>437</v>
      </c>
      <c r="AA63" s="45" t="str">
        <f>_xlfn.TRANSLATE(P63,"pt","en")</f>
        <v>Lighting Segment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317</v>
      </c>
      <c r="E64" s="52" t="s">
        <v>324</v>
      </c>
      <c r="F64" s="57" t="s">
        <v>402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>_xlfn.CONCAT(SUBSTITUTE(C64,"1.",""))</f>
        <v>Fornecedores</v>
      </c>
      <c r="M64" s="23" t="str">
        <f>_xlfn.CONCAT(SUBSTITUTE(D64,"."," "))</f>
        <v>Segmentos dos Profissionais</v>
      </c>
      <c r="N64" s="23" t="str">
        <f>_xlfn.CONCAT(SUBSTITUTE(E64,"."," "))</f>
        <v>Segmento de Iluminação</v>
      </c>
      <c r="O64" s="23" t="str">
        <f>_xlfn.CONCAT(SUBSTITUTE(F64,"."," "))</f>
        <v>Ilu Serviço</v>
      </c>
      <c r="P64" s="23" t="s">
        <v>323</v>
      </c>
      <c r="Q64" s="26" t="str">
        <f>_xlfn.TRANSLATE(P64,"pt","es")</f>
        <v>Proveedor del segmento de iluminación: es un servicio</v>
      </c>
      <c r="R64" s="42" t="s">
        <v>9</v>
      </c>
      <c r="S64" s="43" t="str">
        <f>SUBSTITUTE(C64, ".", " ")</f>
        <v>Fornecedores</v>
      </c>
      <c r="T64" s="43" t="str">
        <f>SUBSTITUTE(D64, ".", " ")</f>
        <v>Segmentos dos Profissionais</v>
      </c>
      <c r="U64" s="43" t="str">
        <f>SUBSTITUTE(E64, ".", " ")</f>
        <v>Segmento de Iluminação</v>
      </c>
      <c r="V64" s="41" t="s">
        <v>184</v>
      </c>
      <c r="W64" s="60" t="str">
        <f>CONCATENATE("Key.Fab.",A64)</f>
        <v>Key.Fab.64</v>
      </c>
      <c r="X64" s="41" t="s">
        <v>9</v>
      </c>
      <c r="Y64" s="41" t="s">
        <v>9</v>
      </c>
      <c r="Z64" s="41" t="s">
        <v>436</v>
      </c>
      <c r="AA64" s="45" t="str">
        <f>_xlfn.TRANSLATE(P64,"pt","en")</f>
        <v>Lighting Segment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317</v>
      </c>
      <c r="E65" s="52" t="s">
        <v>324</v>
      </c>
      <c r="F65" s="57" t="s">
        <v>479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>_xlfn.CONCAT(SUBSTITUTE(C65,"1.",""))</f>
        <v>Fornecedores</v>
      </c>
      <c r="M65" s="23" t="str">
        <f>_xlfn.CONCAT(SUBSTITUTE(D65,"."," "))</f>
        <v>Segmentos dos Profissionais</v>
      </c>
      <c r="N65" s="23" t="str">
        <f>_xlfn.CONCAT(SUBSTITUTE(E65,"."," "))</f>
        <v>Segmento de Iluminação</v>
      </c>
      <c r="O65" s="23" t="str">
        <f>_xlfn.CONCAT(SUBSTITUTE(F65,"."," "))</f>
        <v>Ilu Venda</v>
      </c>
      <c r="P65" s="23" t="s">
        <v>517</v>
      </c>
      <c r="Q65" s="26" t="str">
        <f>_xlfn.TRANSLATE(P65,"pt","es")</f>
        <v>Proveedor del segmento de iluminación: Es una venta de productos</v>
      </c>
      <c r="R65" s="42" t="s">
        <v>9</v>
      </c>
      <c r="S65" s="43" t="str">
        <f>SUBSTITUTE(C65, ".", " ")</f>
        <v>Fornecedores</v>
      </c>
      <c r="T65" s="43" t="str">
        <f>SUBSTITUTE(D65, ".", " ")</f>
        <v>Segmentos dos Profissionais</v>
      </c>
      <c r="U65" s="43" t="str">
        <f>SUBSTITUTE(E65, ".", " ")</f>
        <v>Segmento de Iluminação</v>
      </c>
      <c r="V65" s="41" t="s">
        <v>184</v>
      </c>
      <c r="W65" s="60" t="str">
        <f>CONCATENATE("Key.Fab.",A65)</f>
        <v>Key.Fab.65</v>
      </c>
      <c r="X65" s="41" t="s">
        <v>9</v>
      </c>
      <c r="Y65" s="41" t="s">
        <v>9</v>
      </c>
      <c r="Z65" s="41" t="s">
        <v>434</v>
      </c>
      <c r="AA65" s="45" t="str">
        <f>_xlfn.TRANSLATE(P65,"pt","en")</f>
        <v>Lighting Segment Supplier: It is a sale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317</v>
      </c>
      <c r="E66" s="52" t="s">
        <v>99</v>
      </c>
      <c r="F66" s="57" t="s">
        <v>485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>_xlfn.CONCAT(SUBSTITUTE(C66,"1.",""))</f>
        <v>Fornecedores</v>
      </c>
      <c r="M66" s="23" t="str">
        <f>_xlfn.CONCAT(SUBSTITUTE(D66,"."," "))</f>
        <v>Segmentos dos Profissionais</v>
      </c>
      <c r="N66" s="23" t="str">
        <f>_xlfn.CONCAT(SUBSTITUTE(E66,"."," "))</f>
        <v>Segmento de Inovação</v>
      </c>
      <c r="O66" s="23" t="str">
        <f>_xlfn.CONCAT(SUBSTITUTE(F66,"."," "))</f>
        <v>Ino Compra</v>
      </c>
      <c r="P66" s="23" t="s">
        <v>503</v>
      </c>
      <c r="Q66" s="26" t="str">
        <f>_xlfn.TRANSLATE(P66,"pt","es")</f>
        <v>Proveedor del segmento de innovación: Es una compra de productos</v>
      </c>
      <c r="R66" s="42" t="s">
        <v>9</v>
      </c>
      <c r="S66" s="43" t="str">
        <f>SUBSTITUTE(C66, ".", " ")</f>
        <v>Fornecedores</v>
      </c>
      <c r="T66" s="43" t="str">
        <f>SUBSTITUTE(D66, ".", " ")</f>
        <v>Segmentos dos Profissionais</v>
      </c>
      <c r="U66" s="43" t="str">
        <f>SUBSTITUTE(E66, ".", " ")</f>
        <v>Segmento de Inovação</v>
      </c>
      <c r="V66" s="41" t="s">
        <v>184</v>
      </c>
      <c r="W66" s="60" t="str">
        <f>CONCATENATE("Key.Fab.",A66)</f>
        <v>Key.Fab.66</v>
      </c>
      <c r="X66" s="41" t="s">
        <v>9</v>
      </c>
      <c r="Y66" s="41" t="s">
        <v>9</v>
      </c>
      <c r="Z66" s="41" t="s">
        <v>506</v>
      </c>
      <c r="AA66" s="45" t="str">
        <f>_xlfn.TRANSLATE(P66,"pt","en")</f>
        <v>Innovation Segment Supplier: It is a purchase of products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317</v>
      </c>
      <c r="E67" s="52" t="s">
        <v>99</v>
      </c>
      <c r="F67" s="57" t="s">
        <v>378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>_xlfn.CONCAT(SUBSTITUTE(C67,"1.",""))</f>
        <v>Fornecedores</v>
      </c>
      <c r="M67" s="23" t="str">
        <f>_xlfn.CONCAT(SUBSTITUTE(D67,"."," "))</f>
        <v>Segmentos dos Profissionais</v>
      </c>
      <c r="N67" s="23" t="str">
        <f>_xlfn.CONCAT(SUBSTITUTE(E67,"."," "))</f>
        <v>Segmento de Inovação</v>
      </c>
      <c r="O67" s="23" t="str">
        <f>_xlfn.CONCAT(SUBSTITUTE(F67,"."," "))</f>
        <v>Ino Consultor</v>
      </c>
      <c r="P67" s="23" t="s">
        <v>120</v>
      </c>
      <c r="Q67" s="26" t="str">
        <f>_xlfn.TRANSLATE(P67,"pt","es")</f>
        <v>Proveedor de segmento de innovación: es consultor autónomo</v>
      </c>
      <c r="R67" s="42" t="s">
        <v>9</v>
      </c>
      <c r="S67" s="43" t="str">
        <f>SUBSTITUTE(C67, ".", " ")</f>
        <v>Fornecedores</v>
      </c>
      <c r="T67" s="43" t="str">
        <f>SUBSTITUTE(D67, ".", " ")</f>
        <v>Segmentos dos Profissionais</v>
      </c>
      <c r="U67" s="43" t="str">
        <f>SUBSTITUTE(E67, ".", " ")</f>
        <v>Segmento de Inovação</v>
      </c>
      <c r="V67" s="41" t="s">
        <v>184</v>
      </c>
      <c r="W67" s="60" t="str">
        <f>CONCATENATE("Key.Fab.",A67)</f>
        <v>Key.Fab.67</v>
      </c>
      <c r="X67" s="41" t="s">
        <v>9</v>
      </c>
      <c r="Y67" s="41" t="s">
        <v>9</v>
      </c>
      <c r="Z67" s="41" t="s">
        <v>435</v>
      </c>
      <c r="AA67" s="45" t="str">
        <f>_xlfn.TRANSLATE(P67,"pt","en")</f>
        <v>Innovation Segment Provider: is a self-employed consultant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317</v>
      </c>
      <c r="E68" s="52" t="s">
        <v>99</v>
      </c>
      <c r="F68" s="57" t="s">
        <v>567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519</v>
      </c>
      <c r="N68" s="23" t="s">
        <v>541</v>
      </c>
      <c r="O68" s="23" t="s">
        <v>542</v>
      </c>
      <c r="P68" s="23" t="s">
        <v>580</v>
      </c>
      <c r="Q68" s="26" t="s">
        <v>608</v>
      </c>
      <c r="R68" s="42" t="s">
        <v>9</v>
      </c>
      <c r="S68" s="43" t="s">
        <v>95</v>
      </c>
      <c r="T68" s="43" t="s">
        <v>519</v>
      </c>
      <c r="U68" s="43" t="s">
        <v>541</v>
      </c>
      <c r="V68" s="41" t="s">
        <v>184</v>
      </c>
      <c r="W68" s="60" t="s">
        <v>543</v>
      </c>
      <c r="X68" s="41" t="s">
        <v>9</v>
      </c>
      <c r="Y68" s="41" t="s">
        <v>9</v>
      </c>
      <c r="Z68" s="41" t="s">
        <v>572</v>
      </c>
      <c r="AA68" s="45" t="s">
        <v>592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317</v>
      </c>
      <c r="E69" s="52" t="s">
        <v>99</v>
      </c>
      <c r="F69" s="57" t="s">
        <v>379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>_xlfn.CONCAT(SUBSTITUTE(C69,"1.",""))</f>
        <v>Fornecedores</v>
      </c>
      <c r="M69" s="23" t="str">
        <f>_xlfn.CONCAT(SUBSTITUTE(D69,"."," "))</f>
        <v>Segmentos dos Profissionais</v>
      </c>
      <c r="N69" s="23" t="str">
        <f>_xlfn.CONCAT(SUBSTITUTE(E69,"."," "))</f>
        <v>Segmento de Inovação</v>
      </c>
      <c r="O69" s="23" t="str">
        <f>_xlfn.CONCAT(SUBSTITUTE(F69,"."," "))</f>
        <v>Ino Empresa Consultora</v>
      </c>
      <c r="P69" s="23" t="s">
        <v>121</v>
      </c>
      <c r="Q69" s="26" t="str">
        <f>_xlfn.TRANSLATE(P69,"pt","es")</f>
        <v>Proveedor del segmento de innovación: es una empresa de consultoría</v>
      </c>
      <c r="R69" s="42" t="s">
        <v>9</v>
      </c>
      <c r="S69" s="43" t="str">
        <f>SUBSTITUTE(C69, ".", " ")</f>
        <v>Fornecedores</v>
      </c>
      <c r="T69" s="43" t="str">
        <f>SUBSTITUTE(D69, ".", " ")</f>
        <v>Segmentos dos Profissionais</v>
      </c>
      <c r="U69" s="43" t="str">
        <f>SUBSTITUTE(E69, ".", " ")</f>
        <v>Segmento de Inovação</v>
      </c>
      <c r="V69" s="41" t="s">
        <v>184</v>
      </c>
      <c r="W69" s="60" t="str">
        <f>CONCATENATE("Key.Fab.",A69)</f>
        <v>Key.Fab.69</v>
      </c>
      <c r="X69" s="41" t="s">
        <v>9</v>
      </c>
      <c r="Y69" s="41" t="s">
        <v>9</v>
      </c>
      <c r="Z69" s="41" t="s">
        <v>435</v>
      </c>
      <c r="AA69" s="45" t="str">
        <f>_xlfn.TRANSLATE(P69,"pt","en")</f>
        <v>Supplier of the innovation segment: it is a consulting company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317</v>
      </c>
      <c r="E70" s="52" t="s">
        <v>99</v>
      </c>
      <c r="F70" s="57" t="s">
        <v>380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>_xlfn.CONCAT(SUBSTITUTE(C70,"1.",""))</f>
        <v>Fornecedores</v>
      </c>
      <c r="M70" s="23" t="str">
        <f>_xlfn.CONCAT(SUBSTITUTE(D70,"."," "))</f>
        <v>Segmentos dos Profissionais</v>
      </c>
      <c r="N70" s="23" t="str">
        <f>_xlfn.CONCAT(SUBSTITUTE(E70,"."," "))</f>
        <v>Segmento de Inovação</v>
      </c>
      <c r="O70" s="23" t="str">
        <f>_xlfn.CONCAT(SUBSTITUTE(F70,"."," "))</f>
        <v>Ino Fabricante</v>
      </c>
      <c r="P70" s="23" t="s">
        <v>122</v>
      </c>
      <c r="Q70" s="26" t="str">
        <f>_xlfn.TRANSLATE(P70,"pt","es")</f>
        <v>Proveedor del segmento de innovación: es un fabricante de productos</v>
      </c>
      <c r="R70" s="42" t="s">
        <v>9</v>
      </c>
      <c r="S70" s="43" t="str">
        <f>SUBSTITUTE(C70, ".", " ")</f>
        <v>Fornecedores</v>
      </c>
      <c r="T70" s="43" t="str">
        <f>SUBSTITUTE(D70, ".", " ")</f>
        <v>Segmentos dos Profissionais</v>
      </c>
      <c r="U70" s="43" t="str">
        <f>SUBSTITUTE(E70, ".", " ")</f>
        <v>Segmento de Inovação</v>
      </c>
      <c r="V70" s="41" t="s">
        <v>184</v>
      </c>
      <c r="W70" s="60" t="str">
        <f>CONCATENATE("Key.Fab.",A70)</f>
        <v>Key.Fab.70</v>
      </c>
      <c r="X70" s="41" t="s">
        <v>9</v>
      </c>
      <c r="Y70" s="41" t="s">
        <v>9</v>
      </c>
      <c r="Z70" s="41" t="s">
        <v>426</v>
      </c>
      <c r="AA70" s="45" t="str">
        <f>_xlfn.TRANSLATE(P70,"pt","en")</f>
        <v>Innovation Segment Supplier: is a manufacturer of products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317</v>
      </c>
      <c r="E71" s="52" t="s">
        <v>99</v>
      </c>
      <c r="F71" s="57" t="s">
        <v>381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>_xlfn.CONCAT(SUBSTITUTE(C71,"1.",""))</f>
        <v>Fornecedores</v>
      </c>
      <c r="M71" s="23" t="str">
        <f>_xlfn.CONCAT(SUBSTITUTE(D71,"."," "))</f>
        <v>Segmentos dos Profissionais</v>
      </c>
      <c r="N71" s="23" t="str">
        <f>_xlfn.CONCAT(SUBSTITUTE(E71,"."," "))</f>
        <v>Segmento de Inovação</v>
      </c>
      <c r="O71" s="23" t="str">
        <f>_xlfn.CONCAT(SUBSTITUTE(F71,"."," "))</f>
        <v>Ino Fornecimento</v>
      </c>
      <c r="P71" s="23" t="s">
        <v>182</v>
      </c>
      <c r="Q71" s="26" t="str">
        <f>_xlfn.TRANSLATE(P71,"pt","es")</f>
        <v>Proveedor del segmento de innovación: es un proveedor</v>
      </c>
      <c r="R71" s="42" t="s">
        <v>9</v>
      </c>
      <c r="S71" s="43" t="str">
        <f>SUBSTITUTE(C71, ".", " ")</f>
        <v>Fornecedores</v>
      </c>
      <c r="T71" s="43" t="str">
        <f>SUBSTITUTE(D71, ".", " ")</f>
        <v>Segmentos dos Profissionais</v>
      </c>
      <c r="U71" s="43" t="str">
        <f>SUBSTITUTE(E71, ".", " ")</f>
        <v>Segmento de Inovação</v>
      </c>
      <c r="V71" s="41" t="s">
        <v>184</v>
      </c>
      <c r="W71" s="60" t="str">
        <f>CONCATENATE("Key.Fab.",A71)</f>
        <v>Key.Fab.71</v>
      </c>
      <c r="X71" s="41" t="s">
        <v>9</v>
      </c>
      <c r="Y71" s="41" t="s">
        <v>9</v>
      </c>
      <c r="Z71" s="41" t="s">
        <v>433</v>
      </c>
      <c r="AA71" s="45" t="str">
        <f>_xlfn.TRANSLATE(P71,"pt","en")</f>
        <v>Innovation Segment Supplier: is a supplier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317</v>
      </c>
      <c r="E72" s="52" t="s">
        <v>99</v>
      </c>
      <c r="F72" s="57" t="s">
        <v>382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>_xlfn.CONCAT(SUBSTITUTE(C72,"1.",""))</f>
        <v>Fornecedores</v>
      </c>
      <c r="M72" s="23" t="str">
        <f>_xlfn.CONCAT(SUBSTITUTE(D72,"."," "))</f>
        <v>Segmentos dos Profissionais</v>
      </c>
      <c r="N72" s="23" t="str">
        <f>_xlfn.CONCAT(SUBSTITUTE(E72,"."," "))</f>
        <v>Segmento de Inovação</v>
      </c>
      <c r="O72" s="23" t="str">
        <f>_xlfn.CONCAT(SUBSTITUTE(F72,"."," "))</f>
        <v>Ino Projetista</v>
      </c>
      <c r="P72" s="23" t="s">
        <v>231</v>
      </c>
      <c r="Q72" s="26" t="str">
        <f>_xlfn.TRANSLATE(P72,"pt","es")</f>
        <v>Proveedor del segmento de innovación: es una empresa de diseño o diseñador</v>
      </c>
      <c r="R72" s="42" t="s">
        <v>9</v>
      </c>
      <c r="S72" s="43" t="str">
        <f>SUBSTITUTE(C72, ".", " ")</f>
        <v>Fornecedores</v>
      </c>
      <c r="T72" s="43" t="str">
        <f>SUBSTITUTE(D72, ".", " ")</f>
        <v>Segmentos dos Profissionais</v>
      </c>
      <c r="U72" s="43" t="str">
        <f>SUBSTITUTE(E72, ".", " ")</f>
        <v>Segmento de Inovação</v>
      </c>
      <c r="V72" s="41" t="s">
        <v>184</v>
      </c>
      <c r="W72" s="60" t="str">
        <f>CONCATENATE("Key.Fab.",A72)</f>
        <v>Key.Fab.72</v>
      </c>
      <c r="X72" s="41" t="s">
        <v>9</v>
      </c>
      <c r="Y72" s="41" t="s">
        <v>9</v>
      </c>
      <c r="Z72" s="41" t="s">
        <v>437</v>
      </c>
      <c r="AA72" s="45" t="str">
        <f>_xlfn.TRANSLATE(P72,"pt","en")</f>
        <v>Innovation Segment Supplier: is a Designer or Design Company</v>
      </c>
    </row>
    <row r="73" spans="1:27" ht="6.55" customHeight="1" x14ac:dyDescent="0.4">
      <c r="A73" s="51">
        <v>73</v>
      </c>
      <c r="B73" s="52" t="s">
        <v>75</v>
      </c>
      <c r="C73" s="56" t="s">
        <v>95</v>
      </c>
      <c r="D73" s="52" t="s">
        <v>317</v>
      </c>
      <c r="E73" s="52" t="s">
        <v>99</v>
      </c>
      <c r="F73" s="57" t="s">
        <v>383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>_xlfn.CONCAT(SUBSTITUTE(C73,"1.",""))</f>
        <v>Fornecedores</v>
      </c>
      <c r="M73" s="23" t="str">
        <f>_xlfn.CONCAT(SUBSTITUTE(D73,"."," "))</f>
        <v>Segmentos dos Profissionais</v>
      </c>
      <c r="N73" s="23" t="str">
        <f>_xlfn.CONCAT(SUBSTITUTE(E73,"."," "))</f>
        <v>Segmento de Inovação</v>
      </c>
      <c r="O73" s="23" t="str">
        <f>_xlfn.CONCAT(SUBSTITUTE(F73,"."," "))</f>
        <v>Ino Serviço</v>
      </c>
      <c r="P73" s="23" t="s">
        <v>119</v>
      </c>
      <c r="Q73" s="26" t="str">
        <f>_xlfn.TRANSLATE(P73,"pt","es")</f>
        <v>Proveedor de Innovación: Es un Servicio</v>
      </c>
      <c r="R73" s="42" t="s">
        <v>9</v>
      </c>
      <c r="S73" s="43" t="str">
        <f>SUBSTITUTE(C73, ".", " ")</f>
        <v>Fornecedores</v>
      </c>
      <c r="T73" s="43" t="str">
        <f>SUBSTITUTE(D73, ".", " ")</f>
        <v>Segmentos dos Profissionais</v>
      </c>
      <c r="U73" s="43" t="str">
        <f>SUBSTITUTE(E73, ".", " ")</f>
        <v>Segmento de Inovação</v>
      </c>
      <c r="V73" s="41" t="s">
        <v>184</v>
      </c>
      <c r="W73" s="60" t="str">
        <f>CONCATENATE("Key.Fab.",A73)</f>
        <v>Key.Fab.73</v>
      </c>
      <c r="X73" s="41" t="s">
        <v>9</v>
      </c>
      <c r="Y73" s="41" t="s">
        <v>9</v>
      </c>
      <c r="Z73" s="41" t="s">
        <v>436</v>
      </c>
      <c r="AA73" s="45" t="str">
        <f>_xlfn.TRANSLATE(P73,"pt","en")</f>
        <v>Innovation Supplier: It's a Service</v>
      </c>
    </row>
    <row r="74" spans="1:27" ht="6.55" customHeight="1" x14ac:dyDescent="0.4">
      <c r="A74" s="51">
        <v>74</v>
      </c>
      <c r="B74" s="52" t="s">
        <v>75</v>
      </c>
      <c r="C74" s="56" t="s">
        <v>95</v>
      </c>
      <c r="D74" s="52" t="s">
        <v>317</v>
      </c>
      <c r="E74" s="52" t="s">
        <v>99</v>
      </c>
      <c r="F74" s="57" t="s">
        <v>476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>_xlfn.CONCAT(SUBSTITUTE(C74,"1.",""))</f>
        <v>Fornecedores</v>
      </c>
      <c r="M74" s="23" t="str">
        <f>_xlfn.CONCAT(SUBSTITUTE(D74,"."," "))</f>
        <v>Segmentos dos Profissionais</v>
      </c>
      <c r="N74" s="23" t="str">
        <f>_xlfn.CONCAT(SUBSTITUTE(E74,"."," "))</f>
        <v>Segmento de Inovação</v>
      </c>
      <c r="O74" s="23" t="str">
        <f>_xlfn.CONCAT(SUBSTITUTE(F74,"."," "))</f>
        <v>Ino Venda</v>
      </c>
      <c r="P74" s="23" t="s">
        <v>514</v>
      </c>
      <c r="Q74" s="26" t="str">
        <f>_xlfn.TRANSLATE(P74,"pt","es")</f>
        <v>Proveedor del segmento de innovación: es una venta de productos</v>
      </c>
      <c r="R74" s="42" t="s">
        <v>9</v>
      </c>
      <c r="S74" s="43" t="str">
        <f>SUBSTITUTE(C74, ".", " ")</f>
        <v>Fornecedores</v>
      </c>
      <c r="T74" s="43" t="str">
        <f>SUBSTITUTE(D74, ".", " ")</f>
        <v>Segmentos dos Profissionais</v>
      </c>
      <c r="U74" s="43" t="str">
        <f>SUBSTITUTE(E74, ".", " ")</f>
        <v>Segmento de Inovação</v>
      </c>
      <c r="V74" s="41" t="s">
        <v>184</v>
      </c>
      <c r="W74" s="60" t="str">
        <f>CONCATENATE("Key.Fab.",A74)</f>
        <v>Key.Fab.74</v>
      </c>
      <c r="X74" s="41" t="s">
        <v>9</v>
      </c>
      <c r="Y74" s="41" t="s">
        <v>9</v>
      </c>
      <c r="Z74" s="41" t="s">
        <v>434</v>
      </c>
      <c r="AA74" s="45" t="str">
        <f>_xlfn.TRANSLATE(P74,"pt","en")</f>
        <v>Supplier of the innovation segment: it is a sale of products</v>
      </c>
    </row>
    <row r="75" spans="1:27" ht="6.55" customHeight="1" x14ac:dyDescent="0.4">
      <c r="A75" s="51">
        <v>75</v>
      </c>
      <c r="B75" s="52" t="s">
        <v>75</v>
      </c>
      <c r="C75" s="56" t="s">
        <v>95</v>
      </c>
      <c r="D75" s="52" t="s">
        <v>317</v>
      </c>
      <c r="E75" s="52" t="s">
        <v>98</v>
      </c>
      <c r="F75" s="57" t="s">
        <v>489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>_xlfn.CONCAT(SUBSTITUTE(C75,"1.",""))</f>
        <v>Fornecedores</v>
      </c>
      <c r="M75" s="23" t="str">
        <f>_xlfn.CONCAT(SUBSTITUTE(D75,"."," "))</f>
        <v>Segmentos dos Profissionais</v>
      </c>
      <c r="N75" s="23" t="str">
        <f>_xlfn.CONCAT(SUBSTITUTE(E75,"."," "))</f>
        <v>Segmento de Instalações</v>
      </c>
      <c r="O75" s="23" t="str">
        <f>_xlfn.CONCAT(SUBSTITUTE(F75,"."," "))</f>
        <v>Ins Compra</v>
      </c>
      <c r="P75" s="23" t="s">
        <v>499</v>
      </c>
      <c r="Q75" s="26" t="str">
        <f>_xlfn.TRANSLATE(P75,"pt","es")</f>
        <v>Proveedor del segmento de instalaciones: es una compra de productos</v>
      </c>
      <c r="R75" s="42" t="s">
        <v>9</v>
      </c>
      <c r="S75" s="43" t="str">
        <f>SUBSTITUTE(C75, ".", " ")</f>
        <v>Fornecedores</v>
      </c>
      <c r="T75" s="43" t="str">
        <f>SUBSTITUTE(D75, ".", " ")</f>
        <v>Segmentos dos Profissionais</v>
      </c>
      <c r="U75" s="43" t="str">
        <f>SUBSTITUTE(E75, ".", " ")</f>
        <v>Segmento de Instalações</v>
      </c>
      <c r="V75" s="41" t="s">
        <v>184</v>
      </c>
      <c r="W75" s="60" t="str">
        <f>CONCATENATE("Key.Fab.",A75)</f>
        <v>Key.Fab.75</v>
      </c>
      <c r="X75" s="41" t="s">
        <v>9</v>
      </c>
      <c r="Y75" s="41" t="s">
        <v>9</v>
      </c>
      <c r="Z75" s="41" t="s">
        <v>506</v>
      </c>
      <c r="AA75" s="45" t="str">
        <f>_xlfn.TRANSLATE(P75,"pt","en")</f>
        <v>Facilities segment supplier: it is a purchase of products</v>
      </c>
    </row>
    <row r="76" spans="1:27" ht="6.55" customHeight="1" x14ac:dyDescent="0.4">
      <c r="A76" s="51">
        <v>76</v>
      </c>
      <c r="B76" s="52" t="s">
        <v>75</v>
      </c>
      <c r="C76" s="56" t="s">
        <v>95</v>
      </c>
      <c r="D76" s="52" t="s">
        <v>317</v>
      </c>
      <c r="E76" s="52" t="s">
        <v>98</v>
      </c>
      <c r="F76" s="57" t="s">
        <v>348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>_xlfn.CONCAT(SUBSTITUTE(C76,"1.",""))</f>
        <v>Fornecedores</v>
      </c>
      <c r="M76" s="23" t="str">
        <f>_xlfn.CONCAT(SUBSTITUTE(D76,"."," "))</f>
        <v>Segmentos dos Profissionais</v>
      </c>
      <c r="N76" s="23" t="str">
        <f>_xlfn.CONCAT(SUBSTITUTE(E76,"."," "))</f>
        <v>Segmento de Instalações</v>
      </c>
      <c r="O76" s="23" t="str">
        <f>_xlfn.CONCAT(SUBSTITUTE(F76,"."," "))</f>
        <v>Ins Consultor</v>
      </c>
      <c r="P76" s="23" t="s">
        <v>108</v>
      </c>
      <c r="Q76" s="26" t="str">
        <f>_xlfn.TRANSLATE(P76,"pt","es")</f>
        <v>Proveedor del segmento de instalaciones: es consultor autónomo</v>
      </c>
      <c r="R76" s="42" t="s">
        <v>9</v>
      </c>
      <c r="S76" s="43" t="str">
        <f>SUBSTITUTE(C76, ".", " ")</f>
        <v>Fornecedores</v>
      </c>
      <c r="T76" s="43" t="str">
        <f>SUBSTITUTE(D76, ".", " ")</f>
        <v>Segmentos dos Profissionais</v>
      </c>
      <c r="U76" s="43" t="str">
        <f>SUBSTITUTE(E76, ".", " ")</f>
        <v>Segmento de Instalações</v>
      </c>
      <c r="V76" s="41" t="s">
        <v>184</v>
      </c>
      <c r="W76" s="60" t="str">
        <f>CONCATENATE("Key.Fab.",A76)</f>
        <v>Key.Fab.76</v>
      </c>
      <c r="X76" s="41" t="s">
        <v>9</v>
      </c>
      <c r="Y76" s="41" t="s">
        <v>9</v>
      </c>
      <c r="Z76" s="41" t="s">
        <v>435</v>
      </c>
      <c r="AA76" s="45" t="str">
        <f>_xlfn.TRANSLATE(P76,"pt","en")</f>
        <v>Facilities Segment Provider: is a self-employed consultant</v>
      </c>
    </row>
    <row r="77" spans="1:27" ht="6.55" customHeight="1" x14ac:dyDescent="0.4">
      <c r="A77" s="51">
        <v>77</v>
      </c>
      <c r="B77" s="52" t="s">
        <v>75</v>
      </c>
      <c r="C77" s="56" t="s">
        <v>95</v>
      </c>
      <c r="D77" s="52" t="s">
        <v>317</v>
      </c>
      <c r="E77" s="52" t="s">
        <v>98</v>
      </c>
      <c r="F77" s="57" t="s">
        <v>563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519</v>
      </c>
      <c r="N77" s="23" t="s">
        <v>529</v>
      </c>
      <c r="O77" s="23" t="s">
        <v>530</v>
      </c>
      <c r="P77" s="23" t="s">
        <v>576</v>
      </c>
      <c r="Q77" s="26" t="s">
        <v>609</v>
      </c>
      <c r="R77" s="42" t="s">
        <v>9</v>
      </c>
      <c r="S77" s="43" t="s">
        <v>95</v>
      </c>
      <c r="T77" s="43" t="s">
        <v>519</v>
      </c>
      <c r="U77" s="43" t="s">
        <v>529</v>
      </c>
      <c r="V77" s="41" t="s">
        <v>184</v>
      </c>
      <c r="W77" s="60" t="s">
        <v>531</v>
      </c>
      <c r="X77" s="41" t="s">
        <v>9</v>
      </c>
      <c r="Y77" s="41" t="s">
        <v>9</v>
      </c>
      <c r="Z77" s="41" t="s">
        <v>572</v>
      </c>
      <c r="AA77" s="45" t="s">
        <v>588</v>
      </c>
    </row>
    <row r="78" spans="1:27" ht="6.55" customHeight="1" x14ac:dyDescent="0.4">
      <c r="A78" s="51">
        <v>78</v>
      </c>
      <c r="B78" s="52" t="s">
        <v>75</v>
      </c>
      <c r="C78" s="56" t="s">
        <v>95</v>
      </c>
      <c r="D78" s="52" t="s">
        <v>317</v>
      </c>
      <c r="E78" s="52" t="s">
        <v>98</v>
      </c>
      <c r="F78" s="57" t="s">
        <v>349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>_xlfn.CONCAT(SUBSTITUTE(C78,"1.",""))</f>
        <v>Fornecedores</v>
      </c>
      <c r="M78" s="23" t="str">
        <f>_xlfn.CONCAT(SUBSTITUTE(D78,"."," "))</f>
        <v>Segmentos dos Profissionais</v>
      </c>
      <c r="N78" s="23" t="str">
        <f>_xlfn.CONCAT(SUBSTITUTE(E78,"."," "))</f>
        <v>Segmento de Instalações</v>
      </c>
      <c r="O78" s="23" t="str">
        <f>_xlfn.CONCAT(SUBSTITUTE(F78,"."," "))</f>
        <v>Ins Empresa Consultora</v>
      </c>
      <c r="P78" s="23" t="s">
        <v>109</v>
      </c>
      <c r="Q78" s="26" t="str">
        <f>_xlfn.TRANSLATE(P78,"pt","es")</f>
        <v>Proveedor en el segmento de instalaciones: es una empresa de consultoría</v>
      </c>
      <c r="R78" s="42" t="s">
        <v>9</v>
      </c>
      <c r="S78" s="43" t="str">
        <f>SUBSTITUTE(C78, ".", " ")</f>
        <v>Fornecedores</v>
      </c>
      <c r="T78" s="43" t="str">
        <f>SUBSTITUTE(D78, ".", " ")</f>
        <v>Segmentos dos Profissionais</v>
      </c>
      <c r="U78" s="43" t="str">
        <f>SUBSTITUTE(E78, ".", " ")</f>
        <v>Segmento de Instalações</v>
      </c>
      <c r="V78" s="41" t="s">
        <v>184</v>
      </c>
      <c r="W78" s="60" t="str">
        <f>CONCATENATE("Key.Fab.",A78)</f>
        <v>Key.Fab.78</v>
      </c>
      <c r="X78" s="41" t="s">
        <v>9</v>
      </c>
      <c r="Y78" s="41" t="s">
        <v>9</v>
      </c>
      <c r="Z78" s="41" t="s">
        <v>435</v>
      </c>
      <c r="AA78" s="45" t="str">
        <f>_xlfn.TRANSLATE(P78,"pt","en")</f>
        <v>Supplier in the facilities segment: it is a consulting company</v>
      </c>
    </row>
    <row r="79" spans="1:27" ht="6.55" customHeight="1" x14ac:dyDescent="0.4">
      <c r="A79" s="51">
        <v>79</v>
      </c>
      <c r="B79" s="52" t="s">
        <v>75</v>
      </c>
      <c r="C79" s="56" t="s">
        <v>95</v>
      </c>
      <c r="D79" s="52" t="s">
        <v>317</v>
      </c>
      <c r="E79" s="52" t="s">
        <v>98</v>
      </c>
      <c r="F79" s="57" t="s">
        <v>350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>_xlfn.CONCAT(SUBSTITUTE(C79,"1.",""))</f>
        <v>Fornecedores</v>
      </c>
      <c r="M79" s="23" t="str">
        <f>_xlfn.CONCAT(SUBSTITUTE(D79,"."," "))</f>
        <v>Segmentos dos Profissionais</v>
      </c>
      <c r="N79" s="23" t="str">
        <f>_xlfn.CONCAT(SUBSTITUTE(E79,"."," "))</f>
        <v>Segmento de Instalações</v>
      </c>
      <c r="O79" s="23" t="str">
        <f>_xlfn.CONCAT(SUBSTITUTE(F79,"."," "))</f>
        <v>Ins Fabricante</v>
      </c>
      <c r="P79" s="23" t="s">
        <v>110</v>
      </c>
      <c r="Q79" s="26" t="str">
        <f>_xlfn.TRANSLATE(P79,"pt","es")</f>
        <v>Proveedor en el segmento de instalación: es un fabricante de productos</v>
      </c>
      <c r="R79" s="42" t="s">
        <v>9</v>
      </c>
      <c r="S79" s="43" t="str">
        <f>SUBSTITUTE(C79, ".", " ")</f>
        <v>Fornecedores</v>
      </c>
      <c r="T79" s="43" t="str">
        <f>SUBSTITUTE(D79, ".", " ")</f>
        <v>Segmentos dos Profissionais</v>
      </c>
      <c r="U79" s="43" t="str">
        <f>SUBSTITUTE(E79, ".", " ")</f>
        <v>Segmento de Instalações</v>
      </c>
      <c r="V79" s="41" t="s">
        <v>184</v>
      </c>
      <c r="W79" s="60" t="str">
        <f>CONCATENATE("Key.Fab.",A79)</f>
        <v>Key.Fab.79</v>
      </c>
      <c r="X79" s="41" t="s">
        <v>9</v>
      </c>
      <c r="Y79" s="41" t="s">
        <v>9</v>
      </c>
      <c r="Z79" s="41" t="s">
        <v>426</v>
      </c>
      <c r="AA79" s="45" t="str">
        <f>_xlfn.TRANSLATE(P79,"pt","en")</f>
        <v>Supplier in the installation segment: is a manufacturer of products</v>
      </c>
    </row>
    <row r="80" spans="1:27" ht="6.55" customHeight="1" x14ac:dyDescent="0.4">
      <c r="A80" s="51">
        <v>80</v>
      </c>
      <c r="B80" s="52" t="s">
        <v>75</v>
      </c>
      <c r="C80" s="56" t="s">
        <v>95</v>
      </c>
      <c r="D80" s="52" t="s">
        <v>317</v>
      </c>
      <c r="E80" s="52" t="s">
        <v>98</v>
      </c>
      <c r="F80" s="57" t="s">
        <v>351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>_xlfn.CONCAT(SUBSTITUTE(C80,"1.",""))</f>
        <v>Fornecedores</v>
      </c>
      <c r="M80" s="23" t="str">
        <f>_xlfn.CONCAT(SUBSTITUTE(D80,"."," "))</f>
        <v>Segmentos dos Profissionais</v>
      </c>
      <c r="N80" s="23" t="str">
        <f>_xlfn.CONCAT(SUBSTITUTE(E80,"."," "))</f>
        <v>Segmento de Instalações</v>
      </c>
      <c r="O80" s="23" t="str">
        <f>_xlfn.CONCAT(SUBSTITUTE(F80,"."," "))</f>
        <v>Ins Fornecimento</v>
      </c>
      <c r="P80" s="23" t="s">
        <v>178</v>
      </c>
      <c r="Q80" s="26" t="str">
        <f>_xlfn.TRANSLATE(P80,"pt","es")</f>
        <v>Proveedor del segmento de instalaciones: es un proveedor</v>
      </c>
      <c r="R80" s="42" t="s">
        <v>9</v>
      </c>
      <c r="S80" s="43" t="str">
        <f>SUBSTITUTE(C80, ".", " ")</f>
        <v>Fornecedores</v>
      </c>
      <c r="T80" s="43" t="str">
        <f>SUBSTITUTE(D80, ".", " ")</f>
        <v>Segmentos dos Profissionais</v>
      </c>
      <c r="U80" s="43" t="str">
        <f>SUBSTITUTE(E80, ".", " ")</f>
        <v>Segmento de Instalações</v>
      </c>
      <c r="V80" s="41" t="s">
        <v>184</v>
      </c>
      <c r="W80" s="60" t="str">
        <f>CONCATENATE("Key.Fab.",A80)</f>
        <v>Key.Fab.80</v>
      </c>
      <c r="X80" s="41" t="s">
        <v>9</v>
      </c>
      <c r="Y80" s="41" t="s">
        <v>9</v>
      </c>
      <c r="Z80" s="41" t="s">
        <v>433</v>
      </c>
      <c r="AA80" s="45" t="str">
        <f>_xlfn.TRANSLATE(P80,"pt","en")</f>
        <v>Facilities Segment Supplier: is a supplier</v>
      </c>
    </row>
    <row r="81" spans="1:27" ht="6.55" customHeight="1" x14ac:dyDescent="0.4">
      <c r="A81" s="51">
        <v>81</v>
      </c>
      <c r="B81" s="52" t="s">
        <v>75</v>
      </c>
      <c r="C81" s="56" t="s">
        <v>95</v>
      </c>
      <c r="D81" s="52" t="s">
        <v>317</v>
      </c>
      <c r="E81" s="52" t="s">
        <v>98</v>
      </c>
      <c r="F81" s="57" t="s">
        <v>352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>_xlfn.CONCAT(SUBSTITUTE(C81,"1.",""))</f>
        <v>Fornecedores</v>
      </c>
      <c r="M81" s="23" t="str">
        <f>_xlfn.CONCAT(SUBSTITUTE(D81,"."," "))</f>
        <v>Segmentos dos Profissionais</v>
      </c>
      <c r="N81" s="23" t="str">
        <f>_xlfn.CONCAT(SUBSTITUTE(E81,"."," "))</f>
        <v>Segmento de Instalações</v>
      </c>
      <c r="O81" s="23" t="str">
        <f>_xlfn.CONCAT(SUBSTITUTE(F81,"."," "))</f>
        <v>Ins Projetista</v>
      </c>
      <c r="P81" s="23" t="s">
        <v>228</v>
      </c>
      <c r="Q81" s="26" t="str">
        <f>_xlfn.TRANSLATE(P81,"pt","es")</f>
        <v>Proveedor del segmento de instalación: es un diseñador o empresa de diseño</v>
      </c>
      <c r="R81" s="42" t="s">
        <v>9</v>
      </c>
      <c r="S81" s="43" t="str">
        <f>SUBSTITUTE(C81, ".", " ")</f>
        <v>Fornecedores</v>
      </c>
      <c r="T81" s="43" t="str">
        <f>SUBSTITUTE(D81, ".", " ")</f>
        <v>Segmentos dos Profissionais</v>
      </c>
      <c r="U81" s="43" t="str">
        <f>SUBSTITUTE(E81, ".", " ")</f>
        <v>Segmento de Instalações</v>
      </c>
      <c r="V81" s="41" t="s">
        <v>184</v>
      </c>
      <c r="W81" s="60" t="str">
        <f>CONCATENATE("Key.Fab.",A81)</f>
        <v>Key.Fab.81</v>
      </c>
      <c r="X81" s="41" t="s">
        <v>9</v>
      </c>
      <c r="Y81" s="41" t="s">
        <v>9</v>
      </c>
      <c r="Z81" s="41" t="s">
        <v>428</v>
      </c>
      <c r="AA81" s="45" t="str">
        <f>_xlfn.TRANSLATE(P81,"pt","en")</f>
        <v>Installation Segment Supplier: is a Designer or Design Company</v>
      </c>
    </row>
    <row r="82" spans="1:27" ht="6.55" customHeight="1" x14ac:dyDescent="0.4">
      <c r="A82" s="51">
        <v>82</v>
      </c>
      <c r="B82" s="52" t="s">
        <v>75</v>
      </c>
      <c r="C82" s="56" t="s">
        <v>95</v>
      </c>
      <c r="D82" s="52" t="s">
        <v>317</v>
      </c>
      <c r="E82" s="52" t="s">
        <v>98</v>
      </c>
      <c r="F82" s="57" t="s">
        <v>353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>_xlfn.CONCAT(SUBSTITUTE(C82,"1.",""))</f>
        <v>Fornecedores</v>
      </c>
      <c r="M82" s="23" t="str">
        <f>_xlfn.CONCAT(SUBSTITUTE(D82,"."," "))</f>
        <v>Segmentos dos Profissionais</v>
      </c>
      <c r="N82" s="23" t="str">
        <f>_xlfn.CONCAT(SUBSTITUTE(E82,"."," "))</f>
        <v>Segmento de Instalações</v>
      </c>
      <c r="O82" s="23" t="str">
        <f>_xlfn.CONCAT(SUBSTITUTE(F82,"."," "))</f>
        <v>Ins Serviço</v>
      </c>
      <c r="P82" s="23" t="s">
        <v>107</v>
      </c>
      <c r="Q82" s="26" t="str">
        <f>_xlfn.TRANSLATE(P82,"pt","es")</f>
        <v>Proveedor de Segmento de Instalaciones: Es un Servicio</v>
      </c>
      <c r="R82" s="42" t="s">
        <v>9</v>
      </c>
      <c r="S82" s="43" t="str">
        <f>SUBSTITUTE(C82, ".", " ")</f>
        <v>Fornecedores</v>
      </c>
      <c r="T82" s="43" t="str">
        <f>SUBSTITUTE(D82, ".", " ")</f>
        <v>Segmentos dos Profissionais</v>
      </c>
      <c r="U82" s="43" t="str">
        <f>SUBSTITUTE(E82, ".", " ")</f>
        <v>Segmento de Instalações</v>
      </c>
      <c r="V82" s="41" t="s">
        <v>184</v>
      </c>
      <c r="W82" s="60" t="str">
        <f>CONCATENATE("Key.Fab.",A82)</f>
        <v>Key.Fab.82</v>
      </c>
      <c r="X82" s="41" t="s">
        <v>9</v>
      </c>
      <c r="Y82" s="41" t="s">
        <v>9</v>
      </c>
      <c r="Z82" s="41" t="s">
        <v>436</v>
      </c>
      <c r="AA82" s="45" t="str">
        <f>_xlfn.TRANSLATE(P82,"pt","en")</f>
        <v>Facilities Segment Provider: It's a Service</v>
      </c>
    </row>
    <row r="83" spans="1:27" ht="6.55" customHeight="1" x14ac:dyDescent="0.4">
      <c r="A83" s="51">
        <v>83</v>
      </c>
      <c r="B83" s="52" t="s">
        <v>75</v>
      </c>
      <c r="C83" s="56" t="s">
        <v>95</v>
      </c>
      <c r="D83" s="52" t="s">
        <v>317</v>
      </c>
      <c r="E83" s="52" t="s">
        <v>98</v>
      </c>
      <c r="F83" s="57" t="s">
        <v>472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>_xlfn.CONCAT(SUBSTITUTE(C83,"1.",""))</f>
        <v>Fornecedores</v>
      </c>
      <c r="M83" s="23" t="str">
        <f>_xlfn.CONCAT(SUBSTITUTE(D83,"."," "))</f>
        <v>Segmentos dos Profissionais</v>
      </c>
      <c r="N83" s="23" t="str">
        <f>_xlfn.CONCAT(SUBSTITUTE(E83,"."," "))</f>
        <v>Segmento de Instalações</v>
      </c>
      <c r="O83" s="23" t="str">
        <f>_xlfn.CONCAT(SUBSTITUTE(F83,"."," "))</f>
        <v>Ins Venda</v>
      </c>
      <c r="P83" s="23" t="s">
        <v>510</v>
      </c>
      <c r="Q83" s="26" t="str">
        <f>_xlfn.TRANSLATE(P83,"pt","es")</f>
        <v>Proveedor en el segmento de instalaciones: es una venta de productos</v>
      </c>
      <c r="R83" s="42" t="s">
        <v>9</v>
      </c>
      <c r="S83" s="43" t="str">
        <f>SUBSTITUTE(C83, ".", " ")</f>
        <v>Fornecedores</v>
      </c>
      <c r="T83" s="43" t="str">
        <f>SUBSTITUTE(D83, ".", " ")</f>
        <v>Segmentos dos Profissionais</v>
      </c>
      <c r="U83" s="43" t="str">
        <f>SUBSTITUTE(E83, ".", " ")</f>
        <v>Segmento de Instalações</v>
      </c>
      <c r="V83" s="41" t="s">
        <v>184</v>
      </c>
      <c r="W83" s="60" t="str">
        <f>CONCATENATE("Key.Fab.",A83)</f>
        <v>Key.Fab.83</v>
      </c>
      <c r="X83" s="41" t="s">
        <v>9</v>
      </c>
      <c r="Y83" s="41" t="s">
        <v>9</v>
      </c>
      <c r="Z83" s="41" t="s">
        <v>434</v>
      </c>
      <c r="AA83" s="45" t="str">
        <f>_xlfn.TRANSLATE(P83,"pt","en")</f>
        <v>Supplier in the facilities segment: it is a sale of products</v>
      </c>
    </row>
    <row r="84" spans="1:27" ht="6.55" customHeight="1" x14ac:dyDescent="0.4">
      <c r="A84" s="51">
        <v>84</v>
      </c>
      <c r="B84" s="52" t="s">
        <v>75</v>
      </c>
      <c r="C84" s="56" t="s">
        <v>95</v>
      </c>
      <c r="D84" s="52" t="s">
        <v>317</v>
      </c>
      <c r="E84" s="52" t="s">
        <v>102</v>
      </c>
      <c r="F84" s="57" t="s">
        <v>488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>_xlfn.CONCAT(SUBSTITUTE(C84,"1.",""))</f>
        <v>Fornecedores</v>
      </c>
      <c r="M84" s="23" t="str">
        <f>_xlfn.CONCAT(SUBSTITUTE(D84,"."," "))</f>
        <v>Segmentos dos Profissionais</v>
      </c>
      <c r="N84" s="23" t="str">
        <f>_xlfn.CONCAT(SUBSTITUTE(E84,"."," "))</f>
        <v>Segmento Laboratorial</v>
      </c>
      <c r="O84" s="23" t="str">
        <f>_xlfn.CONCAT(SUBSTITUTE(F84,"."," "))</f>
        <v>Lab Compra</v>
      </c>
      <c r="P84" s="23" t="s">
        <v>500</v>
      </c>
      <c r="Q84" s="26" t="str">
        <f>_xlfn.TRANSLATE(P84,"pt","es")</f>
        <v>Proveedor en el segmento de laboratorio: es una compra de productos</v>
      </c>
      <c r="R84" s="42" t="s">
        <v>9</v>
      </c>
      <c r="S84" s="43" t="str">
        <f>SUBSTITUTE(C84, ".", " ")</f>
        <v>Fornecedores</v>
      </c>
      <c r="T84" s="43" t="str">
        <f>SUBSTITUTE(D84, ".", " ")</f>
        <v>Segmentos dos Profissionais</v>
      </c>
      <c r="U84" s="43" t="str">
        <f>SUBSTITUTE(E84, ".", " ")</f>
        <v>Segmento Laboratorial</v>
      </c>
      <c r="V84" s="41" t="s">
        <v>184</v>
      </c>
      <c r="W84" s="60" t="str">
        <f>CONCATENATE("Key.Fab.",A84)</f>
        <v>Key.Fab.84</v>
      </c>
      <c r="X84" s="41" t="s">
        <v>9</v>
      </c>
      <c r="Y84" s="41" t="s">
        <v>9</v>
      </c>
      <c r="Z84" s="41" t="s">
        <v>506</v>
      </c>
      <c r="AA84" s="45" t="str">
        <f>_xlfn.TRANSLATE(P84,"pt","en")</f>
        <v>Supplier in the laboratory segment: it is a purchase of products</v>
      </c>
    </row>
    <row r="85" spans="1:27" ht="6.55" customHeight="1" x14ac:dyDescent="0.4">
      <c r="A85" s="51">
        <v>85</v>
      </c>
      <c r="B85" s="52" t="s">
        <v>75</v>
      </c>
      <c r="C85" s="56" t="s">
        <v>95</v>
      </c>
      <c r="D85" s="52" t="s">
        <v>317</v>
      </c>
      <c r="E85" s="52" t="s">
        <v>102</v>
      </c>
      <c r="F85" s="57" t="s">
        <v>342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>_xlfn.CONCAT(SUBSTITUTE(C85,"1.",""))</f>
        <v>Fornecedores</v>
      </c>
      <c r="M85" s="23" t="str">
        <f>_xlfn.CONCAT(SUBSTITUTE(D85,"."," "))</f>
        <v>Segmentos dos Profissionais</v>
      </c>
      <c r="N85" s="23" t="str">
        <f>_xlfn.CONCAT(SUBSTITUTE(E85,"."," "))</f>
        <v>Segmento Laboratorial</v>
      </c>
      <c r="O85" s="23" t="str">
        <f>_xlfn.CONCAT(SUBSTITUTE(F85,"."," "))</f>
        <v>Lab Consultor</v>
      </c>
      <c r="P85" s="23" t="s">
        <v>116</v>
      </c>
      <c r="Q85" s="26" t="str">
        <f>_xlfn.TRANSLATE(P85,"pt","es")</f>
        <v>Proveedor de segmento de laboratorio: es consultor autónomo</v>
      </c>
      <c r="R85" s="42" t="s">
        <v>9</v>
      </c>
      <c r="S85" s="43" t="str">
        <f>SUBSTITUTE(C85, ".", " ")</f>
        <v>Fornecedores</v>
      </c>
      <c r="T85" s="43" t="str">
        <f>SUBSTITUTE(D85, ".", " ")</f>
        <v>Segmentos dos Profissionais</v>
      </c>
      <c r="U85" s="43" t="str">
        <f>SUBSTITUTE(E85, ".", " ")</f>
        <v>Segmento Laboratorial</v>
      </c>
      <c r="V85" s="41" t="s">
        <v>184</v>
      </c>
      <c r="W85" s="60" t="str">
        <f>CONCATENATE("Key.Fab.",A85)</f>
        <v>Key.Fab.85</v>
      </c>
      <c r="X85" s="41" t="s">
        <v>9</v>
      </c>
      <c r="Y85" s="41" t="s">
        <v>9</v>
      </c>
      <c r="Z85" s="41" t="s">
        <v>435</v>
      </c>
      <c r="AA85" s="45" t="str">
        <f>_xlfn.TRANSLATE(P85,"pt","en")</f>
        <v>Laboratory Segment Supplier: is a self-employed consultant</v>
      </c>
    </row>
    <row r="86" spans="1:27" ht="6.55" customHeight="1" x14ac:dyDescent="0.4">
      <c r="A86" s="51">
        <v>86</v>
      </c>
      <c r="B86" s="52" t="s">
        <v>75</v>
      </c>
      <c r="C86" s="56" t="s">
        <v>95</v>
      </c>
      <c r="D86" s="52" t="s">
        <v>317</v>
      </c>
      <c r="E86" s="52" t="s">
        <v>102</v>
      </c>
      <c r="F86" s="57" t="s">
        <v>564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519</v>
      </c>
      <c r="N86" s="23" t="s">
        <v>532</v>
      </c>
      <c r="O86" s="23" t="s">
        <v>533</v>
      </c>
      <c r="P86" s="23" t="s">
        <v>577</v>
      </c>
      <c r="Q86" s="26" t="s">
        <v>601</v>
      </c>
      <c r="R86" s="42" t="s">
        <v>9</v>
      </c>
      <c r="S86" s="43" t="s">
        <v>95</v>
      </c>
      <c r="T86" s="43" t="s">
        <v>519</v>
      </c>
      <c r="U86" s="43" t="s">
        <v>532</v>
      </c>
      <c r="V86" s="41" t="s">
        <v>184</v>
      </c>
      <c r="W86" s="60" t="s">
        <v>534</v>
      </c>
      <c r="X86" s="41" t="s">
        <v>9</v>
      </c>
      <c r="Y86" s="41" t="s">
        <v>9</v>
      </c>
      <c r="Z86" s="41" t="s">
        <v>572</v>
      </c>
      <c r="AA86" s="45" t="s">
        <v>589</v>
      </c>
    </row>
    <row r="87" spans="1:27" ht="6.55" customHeight="1" x14ac:dyDescent="0.4">
      <c r="A87" s="51">
        <v>87</v>
      </c>
      <c r="B87" s="52" t="s">
        <v>75</v>
      </c>
      <c r="C87" s="56" t="s">
        <v>95</v>
      </c>
      <c r="D87" s="52" t="s">
        <v>317</v>
      </c>
      <c r="E87" s="52" t="s">
        <v>102</v>
      </c>
      <c r="F87" s="57" t="s">
        <v>343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>_xlfn.CONCAT(SUBSTITUTE(C87,"1.",""))</f>
        <v>Fornecedores</v>
      </c>
      <c r="M87" s="23" t="str">
        <f>_xlfn.CONCAT(SUBSTITUTE(D87,"."," "))</f>
        <v>Segmentos dos Profissionais</v>
      </c>
      <c r="N87" s="23" t="str">
        <f>_xlfn.CONCAT(SUBSTITUTE(E87,"."," "))</f>
        <v>Segmento Laboratorial</v>
      </c>
      <c r="O87" s="23" t="str">
        <f>_xlfn.CONCAT(SUBSTITUTE(F87,"."," "))</f>
        <v>Lab Empresa Consultora</v>
      </c>
      <c r="P87" s="23" t="s">
        <v>117</v>
      </c>
      <c r="Q87" s="26" t="str">
        <f>_xlfn.TRANSLATE(P87,"pt","es")</f>
        <v>Proveedor en el segmento de laboratorios: es una empresa de consultoría</v>
      </c>
      <c r="R87" s="42" t="s">
        <v>9</v>
      </c>
      <c r="S87" s="43" t="str">
        <f>SUBSTITUTE(C87, ".", " ")</f>
        <v>Fornecedores</v>
      </c>
      <c r="T87" s="43" t="str">
        <f>SUBSTITUTE(D87, ".", " ")</f>
        <v>Segmentos dos Profissionais</v>
      </c>
      <c r="U87" s="43" t="str">
        <f>SUBSTITUTE(E87, ".", " ")</f>
        <v>Segmento Laboratorial</v>
      </c>
      <c r="V87" s="41" t="s">
        <v>184</v>
      </c>
      <c r="W87" s="60" t="str">
        <f>CONCATENATE("Key.Fab.",A87)</f>
        <v>Key.Fab.87</v>
      </c>
      <c r="X87" s="41" t="s">
        <v>9</v>
      </c>
      <c r="Y87" s="41" t="s">
        <v>9</v>
      </c>
      <c r="Z87" s="41" t="s">
        <v>435</v>
      </c>
      <c r="AA87" s="45" t="str">
        <f>_xlfn.TRANSLATE(P87,"pt","en")</f>
        <v>Supplier in the laboratory segment: it is a consulting company</v>
      </c>
    </row>
    <row r="88" spans="1:27" ht="6.55" customHeight="1" x14ac:dyDescent="0.4">
      <c r="A88" s="51">
        <v>88</v>
      </c>
      <c r="B88" s="52" t="s">
        <v>75</v>
      </c>
      <c r="C88" s="56" t="s">
        <v>95</v>
      </c>
      <c r="D88" s="52" t="s">
        <v>317</v>
      </c>
      <c r="E88" s="52" t="s">
        <v>102</v>
      </c>
      <c r="F88" s="57" t="s">
        <v>344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>_xlfn.CONCAT(SUBSTITUTE(C88,"1.",""))</f>
        <v>Fornecedores</v>
      </c>
      <c r="M88" s="23" t="str">
        <f>_xlfn.CONCAT(SUBSTITUTE(D88,"."," "))</f>
        <v>Segmentos dos Profissionais</v>
      </c>
      <c r="N88" s="23" t="str">
        <f>_xlfn.CONCAT(SUBSTITUTE(E88,"."," "))</f>
        <v>Segmento Laboratorial</v>
      </c>
      <c r="O88" s="23" t="str">
        <f>_xlfn.CONCAT(SUBSTITUTE(F88,"."," "))</f>
        <v>Lab Fabricante</v>
      </c>
      <c r="P88" s="23" t="s">
        <v>118</v>
      </c>
      <c r="Q88" s="26" t="str">
        <f>_xlfn.TRANSLATE(P88,"pt","es")</f>
        <v>Proveedor del segmento de laboratorio: es un fabricante de productos</v>
      </c>
      <c r="R88" s="42" t="s">
        <v>9</v>
      </c>
      <c r="S88" s="43" t="str">
        <f>SUBSTITUTE(C88, ".", " ")</f>
        <v>Fornecedores</v>
      </c>
      <c r="T88" s="43" t="str">
        <f>SUBSTITUTE(D88, ".", " ")</f>
        <v>Segmentos dos Profissionais</v>
      </c>
      <c r="U88" s="43" t="str">
        <f>SUBSTITUTE(E88, ".", " ")</f>
        <v>Segmento Laboratorial</v>
      </c>
      <c r="V88" s="41" t="s">
        <v>184</v>
      </c>
      <c r="W88" s="60" t="str">
        <f>CONCATENATE("Key.Fab.",A88)</f>
        <v>Key.Fab.88</v>
      </c>
      <c r="X88" s="41" t="s">
        <v>9</v>
      </c>
      <c r="Y88" s="41" t="s">
        <v>9</v>
      </c>
      <c r="Z88" s="41" t="s">
        <v>426</v>
      </c>
      <c r="AA88" s="45" t="str">
        <f>_xlfn.TRANSLATE(P88,"pt","en")</f>
        <v>Supplier of the laboratory segment: it is a manufacturer of products</v>
      </c>
    </row>
    <row r="89" spans="1:27" ht="6.55" customHeight="1" x14ac:dyDescent="0.4">
      <c r="A89" s="51">
        <v>89</v>
      </c>
      <c r="B89" s="52" t="s">
        <v>75</v>
      </c>
      <c r="C89" s="56" t="s">
        <v>95</v>
      </c>
      <c r="D89" s="52" t="s">
        <v>317</v>
      </c>
      <c r="E89" s="52" t="s">
        <v>102</v>
      </c>
      <c r="F89" s="57" t="s">
        <v>345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>_xlfn.CONCAT(SUBSTITUTE(C89,"1.",""))</f>
        <v>Fornecedores</v>
      </c>
      <c r="M89" s="23" t="str">
        <f>_xlfn.CONCAT(SUBSTITUTE(D89,"."," "))</f>
        <v>Segmentos dos Profissionais</v>
      </c>
      <c r="N89" s="23" t="str">
        <f>_xlfn.CONCAT(SUBSTITUTE(E89,"."," "))</f>
        <v>Segmento Laboratorial</v>
      </c>
      <c r="O89" s="23" t="str">
        <f>_xlfn.CONCAT(SUBSTITUTE(F89,"."," "))</f>
        <v>Lab Fornecimento</v>
      </c>
      <c r="P89" s="23" t="s">
        <v>181</v>
      </c>
      <c r="Q89" s="26" t="str">
        <f>_xlfn.TRANSLATE(P89,"pt","es")</f>
        <v>Proveedor en el segmento de laboratorio: es un proveedor</v>
      </c>
      <c r="R89" s="42" t="s">
        <v>9</v>
      </c>
      <c r="S89" s="43" t="str">
        <f>SUBSTITUTE(C89, ".", " ")</f>
        <v>Fornecedores</v>
      </c>
      <c r="T89" s="43" t="str">
        <f>SUBSTITUTE(D89, ".", " ")</f>
        <v>Segmentos dos Profissionais</v>
      </c>
      <c r="U89" s="43" t="str">
        <f>SUBSTITUTE(E89, ".", " ")</f>
        <v>Segmento Laboratorial</v>
      </c>
      <c r="V89" s="41" t="s">
        <v>184</v>
      </c>
      <c r="W89" s="60" t="str">
        <f>CONCATENATE("Key.Fab.",A89)</f>
        <v>Key.Fab.89</v>
      </c>
      <c r="X89" s="41" t="s">
        <v>9</v>
      </c>
      <c r="Y89" s="41" t="s">
        <v>9</v>
      </c>
      <c r="Z89" s="41" t="s">
        <v>433</v>
      </c>
      <c r="AA89" s="45" t="str">
        <f>_xlfn.TRANSLATE(P89,"pt","en")</f>
        <v>Supplier in the laboratory segment: is a supplier</v>
      </c>
    </row>
    <row r="90" spans="1:27" ht="6.55" customHeight="1" x14ac:dyDescent="0.4">
      <c r="A90" s="51">
        <v>90</v>
      </c>
      <c r="B90" s="52" t="s">
        <v>75</v>
      </c>
      <c r="C90" s="56" t="s">
        <v>95</v>
      </c>
      <c r="D90" s="52" t="s">
        <v>317</v>
      </c>
      <c r="E90" s="52" t="s">
        <v>102</v>
      </c>
      <c r="F90" s="57" t="s">
        <v>346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>_xlfn.CONCAT(SUBSTITUTE(C90,"1.",""))</f>
        <v>Fornecedores</v>
      </c>
      <c r="M90" s="23" t="str">
        <f>_xlfn.CONCAT(SUBSTITUTE(D90,"."," "))</f>
        <v>Segmentos dos Profissionais</v>
      </c>
      <c r="N90" s="23" t="str">
        <f>_xlfn.CONCAT(SUBSTITUTE(E90,"."," "))</f>
        <v>Segmento Laboratorial</v>
      </c>
      <c r="O90" s="23" t="str">
        <f>_xlfn.CONCAT(SUBSTITUTE(F90,"."," "))</f>
        <v>Lab Projetista</v>
      </c>
      <c r="P90" s="23" t="s">
        <v>229</v>
      </c>
      <c r="Q90" s="26" t="str">
        <f>_xlfn.TRANSLATE(P90,"pt","es")</f>
        <v>Proveedor del segmento de laboratorio: es una empresa de diseño o diseñador</v>
      </c>
      <c r="R90" s="42" t="s">
        <v>9</v>
      </c>
      <c r="S90" s="43" t="str">
        <f>SUBSTITUTE(C90, ".", " ")</f>
        <v>Fornecedores</v>
      </c>
      <c r="T90" s="43" t="str">
        <f>SUBSTITUTE(D90, ".", " ")</f>
        <v>Segmentos dos Profissionais</v>
      </c>
      <c r="U90" s="43" t="str">
        <f>SUBSTITUTE(E90, ".", " ")</f>
        <v>Segmento Laboratorial</v>
      </c>
      <c r="V90" s="41" t="s">
        <v>184</v>
      </c>
      <c r="W90" s="60" t="str">
        <f>CONCATENATE("Key.Fab.",A90)</f>
        <v>Key.Fab.90</v>
      </c>
      <c r="X90" s="41" t="s">
        <v>9</v>
      </c>
      <c r="Y90" s="41" t="s">
        <v>9</v>
      </c>
      <c r="Z90" s="41" t="s">
        <v>437</v>
      </c>
      <c r="AA90" s="45" t="str">
        <f>_xlfn.TRANSLATE(P90,"pt","en")</f>
        <v>Laboratory Segment Supplier: is a Designer or Design Company</v>
      </c>
    </row>
    <row r="91" spans="1:27" ht="6.55" customHeight="1" x14ac:dyDescent="0.4">
      <c r="A91" s="51">
        <v>91</v>
      </c>
      <c r="B91" s="52" t="s">
        <v>75</v>
      </c>
      <c r="C91" s="56" t="s">
        <v>95</v>
      </c>
      <c r="D91" s="52" t="s">
        <v>317</v>
      </c>
      <c r="E91" s="52" t="s">
        <v>102</v>
      </c>
      <c r="F91" s="57" t="s">
        <v>347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>_xlfn.CONCAT(SUBSTITUTE(C91,"1.",""))</f>
        <v>Fornecedores</v>
      </c>
      <c r="M91" s="23" t="str">
        <f>_xlfn.CONCAT(SUBSTITUTE(D91,"."," "))</f>
        <v>Segmentos dos Profissionais</v>
      </c>
      <c r="N91" s="23" t="str">
        <f>_xlfn.CONCAT(SUBSTITUTE(E91,"."," "))</f>
        <v>Segmento Laboratorial</v>
      </c>
      <c r="O91" s="23" t="str">
        <f>_xlfn.CONCAT(SUBSTITUTE(F91,"."," "))</f>
        <v>Lab Serviço</v>
      </c>
      <c r="P91" s="23" t="s">
        <v>115</v>
      </c>
      <c r="Q91" s="26" t="str">
        <f>_xlfn.TRANSLATE(P91,"pt","es")</f>
        <v>Proveedor en el segmento de laboratorio: es un servicio</v>
      </c>
      <c r="R91" s="42" t="s">
        <v>9</v>
      </c>
      <c r="S91" s="43" t="str">
        <f>SUBSTITUTE(C91, ".", " ")</f>
        <v>Fornecedores</v>
      </c>
      <c r="T91" s="43" t="str">
        <f>SUBSTITUTE(D91, ".", " ")</f>
        <v>Segmentos dos Profissionais</v>
      </c>
      <c r="U91" s="43" t="str">
        <f>SUBSTITUTE(E91, ".", " ")</f>
        <v>Segmento Laboratorial</v>
      </c>
      <c r="V91" s="41" t="s">
        <v>184</v>
      </c>
      <c r="W91" s="60" t="str">
        <f>CONCATENATE("Key.Fab.",A91)</f>
        <v>Key.Fab.91</v>
      </c>
      <c r="X91" s="41" t="s">
        <v>9</v>
      </c>
      <c r="Y91" s="41" t="s">
        <v>9</v>
      </c>
      <c r="Z91" s="41" t="s">
        <v>436</v>
      </c>
      <c r="AA91" s="45" t="str">
        <f>_xlfn.TRANSLATE(P91,"pt","en")</f>
        <v>Supplier in the laboratory segment: it is a service</v>
      </c>
    </row>
    <row r="92" spans="1:27" ht="6.55" customHeight="1" x14ac:dyDescent="0.4">
      <c r="A92" s="51">
        <v>92</v>
      </c>
      <c r="B92" s="52" t="s">
        <v>75</v>
      </c>
      <c r="C92" s="56" t="s">
        <v>95</v>
      </c>
      <c r="D92" s="52" t="s">
        <v>317</v>
      </c>
      <c r="E92" s="52" t="s">
        <v>102</v>
      </c>
      <c r="F92" s="57" t="s">
        <v>473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>_xlfn.CONCAT(SUBSTITUTE(C92,"1.",""))</f>
        <v>Fornecedores</v>
      </c>
      <c r="M92" s="23" t="str">
        <f>_xlfn.CONCAT(SUBSTITUTE(D92,"."," "))</f>
        <v>Segmentos dos Profissionais</v>
      </c>
      <c r="N92" s="23" t="str">
        <f>_xlfn.CONCAT(SUBSTITUTE(E92,"."," "))</f>
        <v>Segmento Laboratorial</v>
      </c>
      <c r="O92" s="23" t="str">
        <f>_xlfn.CONCAT(SUBSTITUTE(F92,"."," "))</f>
        <v>Lab Venda</v>
      </c>
      <c r="P92" s="23" t="s">
        <v>511</v>
      </c>
      <c r="Q92" s="26" t="str">
        <f>_xlfn.TRANSLATE(P92,"pt","es")</f>
        <v>Proveedor del segmento de laboratorio: es una venta de productos</v>
      </c>
      <c r="R92" s="42" t="s">
        <v>9</v>
      </c>
      <c r="S92" s="43" t="str">
        <f>SUBSTITUTE(C92, ".", " ")</f>
        <v>Fornecedores</v>
      </c>
      <c r="T92" s="43" t="str">
        <f>SUBSTITUTE(D92, ".", " ")</f>
        <v>Segmentos dos Profissionais</v>
      </c>
      <c r="U92" s="43" t="str">
        <f>SUBSTITUTE(E92, ".", " ")</f>
        <v>Segmento Laboratorial</v>
      </c>
      <c r="V92" s="41" t="s">
        <v>184</v>
      </c>
      <c r="W92" s="60" t="str">
        <f>CONCATENATE("Key.Fab.",A92)</f>
        <v>Key.Fab.92</v>
      </c>
      <c r="X92" s="41" t="s">
        <v>9</v>
      </c>
      <c r="Y92" s="41" t="s">
        <v>9</v>
      </c>
      <c r="Z92" s="41" t="s">
        <v>434</v>
      </c>
      <c r="AA92" s="45" t="str">
        <f>_xlfn.TRANSLATE(P92,"pt","en")</f>
        <v>Supplier of the laboratory segment: it is a sale of products</v>
      </c>
    </row>
    <row r="93" spans="1:27" ht="6.55" customHeight="1" x14ac:dyDescent="0.4">
      <c r="A93" s="51">
        <v>93</v>
      </c>
      <c r="B93" s="52" t="s">
        <v>75</v>
      </c>
      <c r="C93" s="56" t="s">
        <v>95</v>
      </c>
      <c r="D93" s="52" t="s">
        <v>317</v>
      </c>
      <c r="E93" s="52" t="s">
        <v>411</v>
      </c>
      <c r="F93" s="57" t="s">
        <v>486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>_xlfn.CONCAT(SUBSTITUTE(C93,"1.",""))</f>
        <v>Fornecedores</v>
      </c>
      <c r="M93" s="23" t="str">
        <f>_xlfn.CONCAT(SUBSTITUTE(D93,"."," "))</f>
        <v>Segmentos dos Profissionais</v>
      </c>
      <c r="N93" s="23" t="str">
        <f>_xlfn.CONCAT(SUBSTITUTE(E93,"."," "))</f>
        <v>Segmento de Mecânica</v>
      </c>
      <c r="O93" s="23" t="str">
        <f>_xlfn.CONCAT(SUBSTITUTE(F93,"."," "))</f>
        <v>Mec Compra</v>
      </c>
      <c r="P93" s="23" t="s">
        <v>502</v>
      </c>
      <c r="Q93" s="26" t="str">
        <f>_xlfn.TRANSLATE(P93,"pt","es")</f>
        <v>Proveedor en el segmento de equipos mecánicos: es una compra de productos</v>
      </c>
      <c r="R93" s="42" t="s">
        <v>9</v>
      </c>
      <c r="S93" s="43" t="str">
        <f>SUBSTITUTE(C93, ".", " ")</f>
        <v>Fornecedores</v>
      </c>
      <c r="T93" s="43" t="str">
        <f>SUBSTITUTE(D93, ".", " ")</f>
        <v>Segmentos dos Profissionais</v>
      </c>
      <c r="U93" s="43" t="str">
        <f>SUBSTITUTE(E93, ".", " ")</f>
        <v>Segmento de Mecânica</v>
      </c>
      <c r="V93" s="41" t="s">
        <v>184</v>
      </c>
      <c r="W93" s="60" t="str">
        <f>CONCATENATE("Key.Fab.",A93)</f>
        <v>Key.Fab.93</v>
      </c>
      <c r="X93" s="41" t="s">
        <v>9</v>
      </c>
      <c r="Y93" s="41" t="s">
        <v>9</v>
      </c>
      <c r="Z93" s="41" t="s">
        <v>506</v>
      </c>
      <c r="AA93" s="45" t="str">
        <f>_xlfn.TRANSLATE(P93,"pt","en")</f>
        <v>Supplier in the mechanical equipment segment: it is a purchase of products</v>
      </c>
    </row>
    <row r="94" spans="1:27" ht="6.55" customHeight="1" x14ac:dyDescent="0.4">
      <c r="A94" s="51">
        <v>94</v>
      </c>
      <c r="B94" s="52" t="s">
        <v>75</v>
      </c>
      <c r="C94" s="56" t="s">
        <v>95</v>
      </c>
      <c r="D94" s="52" t="s">
        <v>317</v>
      </c>
      <c r="E94" s="52" t="s">
        <v>411</v>
      </c>
      <c r="F94" s="57" t="s">
        <v>325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>_xlfn.CONCAT(SUBSTITUTE(C94,"1.",""))</f>
        <v>Fornecedores</v>
      </c>
      <c r="M94" s="23" t="str">
        <f>_xlfn.CONCAT(SUBSTITUTE(D94,"."," "))</f>
        <v>Segmentos dos Profissionais</v>
      </c>
      <c r="N94" s="23" t="str">
        <f>_xlfn.CONCAT(SUBSTITUTE(E94,"."," "))</f>
        <v>Segmento de Mecânica</v>
      </c>
      <c r="O94" s="23" t="str">
        <f>_xlfn.CONCAT(SUBSTITUTE(F94,"."," "))</f>
        <v>Mec Consultor</v>
      </c>
      <c r="P94" s="23" t="s">
        <v>425</v>
      </c>
      <c r="Q94" s="26" t="str">
        <f>_xlfn.TRANSLATE(P94,"pt","es")</f>
        <v>Proveedor en el segmento de equipos mecánicos: es consultor autónomo</v>
      </c>
      <c r="R94" s="42" t="s">
        <v>9</v>
      </c>
      <c r="S94" s="43" t="str">
        <f>SUBSTITUTE(C94, ".", " ")</f>
        <v>Fornecedores</v>
      </c>
      <c r="T94" s="43" t="str">
        <f>SUBSTITUTE(D94, ".", " ")</f>
        <v>Segmentos dos Profissionais</v>
      </c>
      <c r="U94" s="43" t="str">
        <f>SUBSTITUTE(E94, ".", " ")</f>
        <v>Segmento de Mecânica</v>
      </c>
      <c r="V94" s="41" t="s">
        <v>184</v>
      </c>
      <c r="W94" s="60" t="str">
        <f>CONCATENATE("Key.Fab.",A94)</f>
        <v>Key.Fab.94</v>
      </c>
      <c r="X94" s="41" t="s">
        <v>9</v>
      </c>
      <c r="Y94" s="41" t="s">
        <v>9</v>
      </c>
      <c r="Z94" s="41" t="s">
        <v>435</v>
      </c>
      <c r="AA94" s="45" t="str">
        <f>_xlfn.TRANSLATE(P94,"pt","en")</f>
        <v>Supplier in the mechanical equipment segment: is a self-employed consultant</v>
      </c>
    </row>
    <row r="95" spans="1:27" ht="6.55" customHeight="1" x14ac:dyDescent="0.4">
      <c r="A95" s="51">
        <v>95</v>
      </c>
      <c r="B95" s="52" t="s">
        <v>75</v>
      </c>
      <c r="C95" s="56" t="s">
        <v>95</v>
      </c>
      <c r="D95" s="52" t="s">
        <v>317</v>
      </c>
      <c r="E95" s="52" t="s">
        <v>411</v>
      </c>
      <c r="F95" s="57" t="s">
        <v>566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519</v>
      </c>
      <c r="N95" s="23" t="s">
        <v>538</v>
      </c>
      <c r="O95" s="23" t="s">
        <v>539</v>
      </c>
      <c r="P95" s="23" t="s">
        <v>579</v>
      </c>
      <c r="Q95" s="26" t="s">
        <v>607</v>
      </c>
      <c r="R95" s="42" t="s">
        <v>9</v>
      </c>
      <c r="S95" s="43" t="s">
        <v>95</v>
      </c>
      <c r="T95" s="43" t="s">
        <v>519</v>
      </c>
      <c r="U95" s="43" t="s">
        <v>538</v>
      </c>
      <c r="V95" s="41" t="s">
        <v>184</v>
      </c>
      <c r="W95" s="60" t="s">
        <v>540</v>
      </c>
      <c r="X95" s="41" t="s">
        <v>9</v>
      </c>
      <c r="Y95" s="41" t="s">
        <v>9</v>
      </c>
      <c r="Z95" s="41" t="s">
        <v>572</v>
      </c>
      <c r="AA95" s="45" t="s">
        <v>591</v>
      </c>
    </row>
    <row r="96" spans="1:27" ht="6.55" customHeight="1" x14ac:dyDescent="0.4">
      <c r="A96" s="51">
        <v>96</v>
      </c>
      <c r="B96" s="52" t="s">
        <v>75</v>
      </c>
      <c r="C96" s="56" t="s">
        <v>95</v>
      </c>
      <c r="D96" s="52" t="s">
        <v>317</v>
      </c>
      <c r="E96" s="52" t="s">
        <v>411</v>
      </c>
      <c r="F96" s="57" t="s">
        <v>326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>_xlfn.CONCAT(SUBSTITUTE(C96,"1.",""))</f>
        <v>Fornecedores</v>
      </c>
      <c r="M96" s="23" t="str">
        <f>_xlfn.CONCAT(SUBSTITUTE(D96,"."," "))</f>
        <v>Segmentos dos Profissionais</v>
      </c>
      <c r="N96" s="23" t="str">
        <f>_xlfn.CONCAT(SUBSTITUTE(E96,"."," "))</f>
        <v>Segmento de Mecânica</v>
      </c>
      <c r="O96" s="23" t="str">
        <f>_xlfn.CONCAT(SUBSTITUTE(F96,"."," "))</f>
        <v>Mec Empresa Consultora</v>
      </c>
      <c r="P96" s="23" t="s">
        <v>337</v>
      </c>
      <c r="Q96" s="26" t="str">
        <f>_xlfn.TRANSLATE(P96,"pt","es")</f>
        <v>Proveedor en el segmento de equipos mecánicos: es una empresa de consultoría</v>
      </c>
      <c r="R96" s="42" t="s">
        <v>9</v>
      </c>
      <c r="S96" s="43" t="str">
        <f>SUBSTITUTE(C96, ".", " ")</f>
        <v>Fornecedores</v>
      </c>
      <c r="T96" s="43" t="str">
        <f>SUBSTITUTE(D96, ".", " ")</f>
        <v>Segmentos dos Profissionais</v>
      </c>
      <c r="U96" s="43" t="str">
        <f>SUBSTITUTE(E96, ".", " ")</f>
        <v>Segmento de Mecânica</v>
      </c>
      <c r="V96" s="41" t="s">
        <v>184</v>
      </c>
      <c r="W96" s="60" t="str">
        <f>CONCATENATE("Key.Fab.",A96)</f>
        <v>Key.Fab.96</v>
      </c>
      <c r="X96" s="41" t="s">
        <v>9</v>
      </c>
      <c r="Y96" s="41" t="s">
        <v>9</v>
      </c>
      <c r="Z96" s="41" t="s">
        <v>435</v>
      </c>
      <c r="AA96" s="45" t="str">
        <f>_xlfn.TRANSLATE(P96,"pt","en")</f>
        <v>Supplier in the mechanical equipment segment: it is a consulting company</v>
      </c>
    </row>
    <row r="97" spans="1:27" ht="6.55" customHeight="1" x14ac:dyDescent="0.4">
      <c r="A97" s="51">
        <v>97</v>
      </c>
      <c r="B97" s="52" t="s">
        <v>75</v>
      </c>
      <c r="C97" s="56" t="s">
        <v>95</v>
      </c>
      <c r="D97" s="52" t="s">
        <v>317</v>
      </c>
      <c r="E97" s="52" t="s">
        <v>411</v>
      </c>
      <c r="F97" s="57" t="s">
        <v>327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>_xlfn.CONCAT(SUBSTITUTE(C97,"1.",""))</f>
        <v>Fornecedores</v>
      </c>
      <c r="M97" s="23" t="str">
        <f>_xlfn.CONCAT(SUBSTITUTE(D97,"."," "))</f>
        <v>Segmentos dos Profissionais</v>
      </c>
      <c r="N97" s="23" t="str">
        <f>_xlfn.CONCAT(SUBSTITUTE(E97,"."," "))</f>
        <v>Segmento de Mecânica</v>
      </c>
      <c r="O97" s="23" t="str">
        <f>_xlfn.CONCAT(SUBSTITUTE(F97,"."," "))</f>
        <v>Mec Fabricante</v>
      </c>
      <c r="P97" s="23" t="s">
        <v>338</v>
      </c>
      <c r="Q97" s="26" t="str">
        <f>_xlfn.TRANSLATE(P97,"pt","es")</f>
        <v>Proveedor en el segmento de equipos mecánicos: es un fabricante de productos</v>
      </c>
      <c r="R97" s="42" t="s">
        <v>9</v>
      </c>
      <c r="S97" s="43" t="str">
        <f>SUBSTITUTE(C97, ".", " ")</f>
        <v>Fornecedores</v>
      </c>
      <c r="T97" s="43" t="str">
        <f>SUBSTITUTE(D97, ".", " ")</f>
        <v>Segmentos dos Profissionais</v>
      </c>
      <c r="U97" s="43" t="str">
        <f>SUBSTITUTE(E97, ".", " ")</f>
        <v>Segmento de Mecânica</v>
      </c>
      <c r="V97" s="41" t="s">
        <v>184</v>
      </c>
      <c r="W97" s="60" t="str">
        <f>CONCATENATE("Key.Fab.",A97)</f>
        <v>Key.Fab.97</v>
      </c>
      <c r="X97" s="41" t="s">
        <v>9</v>
      </c>
      <c r="Y97" s="41" t="s">
        <v>9</v>
      </c>
      <c r="Z97" s="41" t="s">
        <v>426</v>
      </c>
      <c r="AA97" s="45" t="str">
        <f>_xlfn.TRANSLATE(P97,"pt","en")</f>
        <v>Supplier in the mechanical equipment segment: it is a manufacturer of products</v>
      </c>
    </row>
    <row r="98" spans="1:27" ht="6.55" customHeight="1" x14ac:dyDescent="0.4">
      <c r="A98" s="51">
        <v>98</v>
      </c>
      <c r="B98" s="52" t="s">
        <v>75</v>
      </c>
      <c r="C98" s="56" t="s">
        <v>95</v>
      </c>
      <c r="D98" s="52" t="s">
        <v>317</v>
      </c>
      <c r="E98" s="52" t="s">
        <v>411</v>
      </c>
      <c r="F98" s="57" t="s">
        <v>328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>_xlfn.CONCAT(SUBSTITUTE(C98,"1.",""))</f>
        <v>Fornecedores</v>
      </c>
      <c r="M98" s="23" t="str">
        <f>_xlfn.CONCAT(SUBSTITUTE(D98,"."," "))</f>
        <v>Segmentos dos Profissionais</v>
      </c>
      <c r="N98" s="23" t="str">
        <f>_xlfn.CONCAT(SUBSTITUTE(E98,"."," "))</f>
        <v>Segmento de Mecânica</v>
      </c>
      <c r="O98" s="23" t="str">
        <f>_xlfn.CONCAT(SUBSTITUTE(F98,"."," "))</f>
        <v>Mec Fornecimento</v>
      </c>
      <c r="P98" s="23" t="s">
        <v>339</v>
      </c>
      <c r="Q98" s="26" t="str">
        <f>_xlfn.TRANSLATE(P98,"pt","es")</f>
        <v>Proveedor en el segmento de equipos mecánicos: es un proveedor</v>
      </c>
      <c r="R98" s="42" t="s">
        <v>9</v>
      </c>
      <c r="S98" s="43" t="str">
        <f>SUBSTITUTE(C98, ".", " ")</f>
        <v>Fornecedores</v>
      </c>
      <c r="T98" s="43" t="str">
        <f>SUBSTITUTE(D98, ".", " ")</f>
        <v>Segmentos dos Profissionais</v>
      </c>
      <c r="U98" s="43" t="str">
        <f>SUBSTITUTE(E98, ".", " ")</f>
        <v>Segmento de Mecânica</v>
      </c>
      <c r="V98" s="41" t="s">
        <v>184</v>
      </c>
      <c r="W98" s="60" t="str">
        <f>CONCATENATE("Key.Fab.",A98)</f>
        <v>Key.Fab.98</v>
      </c>
      <c r="X98" s="41" t="s">
        <v>9</v>
      </c>
      <c r="Y98" s="41" t="s">
        <v>9</v>
      </c>
      <c r="Z98" s="41" t="s">
        <v>433</v>
      </c>
      <c r="AA98" s="45" t="str">
        <f>_xlfn.TRANSLATE(P98,"pt","en")</f>
        <v>Supplier in the mechanical equipment segment: it is a supplier</v>
      </c>
    </row>
    <row r="99" spans="1:27" ht="6.55" customHeight="1" x14ac:dyDescent="0.4">
      <c r="A99" s="51">
        <v>99</v>
      </c>
      <c r="B99" s="52" t="s">
        <v>75</v>
      </c>
      <c r="C99" s="56" t="s">
        <v>95</v>
      </c>
      <c r="D99" s="52" t="s">
        <v>317</v>
      </c>
      <c r="E99" s="52" t="s">
        <v>411</v>
      </c>
      <c r="F99" s="57" t="s">
        <v>329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>_xlfn.CONCAT(SUBSTITUTE(C99,"1.",""))</f>
        <v>Fornecedores</v>
      </c>
      <c r="M99" s="23" t="str">
        <f>_xlfn.CONCAT(SUBSTITUTE(D99,"."," "))</f>
        <v>Segmentos dos Profissionais</v>
      </c>
      <c r="N99" s="23" t="str">
        <f>_xlfn.CONCAT(SUBSTITUTE(E99,"."," "))</f>
        <v>Segmento de Mecânica</v>
      </c>
      <c r="O99" s="23" t="str">
        <f>_xlfn.CONCAT(SUBSTITUTE(F99,"."," "))</f>
        <v>Mec Projetista</v>
      </c>
      <c r="P99" s="23" t="s">
        <v>340</v>
      </c>
      <c r="Q99" s="26" t="str">
        <f>_xlfn.TRANSLATE(P99,"pt","es")</f>
        <v>Proveedor en el segmento de equipos mecánicos: es una empresa de diseño o diseñador</v>
      </c>
      <c r="R99" s="42" t="s">
        <v>9</v>
      </c>
      <c r="S99" s="43" t="str">
        <f>SUBSTITUTE(C99, ".", " ")</f>
        <v>Fornecedores</v>
      </c>
      <c r="T99" s="43" t="str">
        <f>SUBSTITUTE(D99, ".", " ")</f>
        <v>Segmentos dos Profissionais</v>
      </c>
      <c r="U99" s="43" t="str">
        <f>SUBSTITUTE(E99, ".", " ")</f>
        <v>Segmento de Mecânica</v>
      </c>
      <c r="V99" s="41" t="s">
        <v>184</v>
      </c>
      <c r="W99" s="60" t="str">
        <f>CONCATENATE("Key.Fab.",A99)</f>
        <v>Key.Fab.99</v>
      </c>
      <c r="X99" s="41" t="s">
        <v>9</v>
      </c>
      <c r="Y99" s="41" t="s">
        <v>9</v>
      </c>
      <c r="Z99" s="41" t="s">
        <v>429</v>
      </c>
      <c r="AA99" s="45" t="str">
        <f>_xlfn.TRANSLATE(P99,"pt","en")</f>
        <v>Supplier in the mechanical equipment segment: is a Designer or Design Company</v>
      </c>
    </row>
    <row r="100" spans="1:27" ht="6.55" customHeight="1" x14ac:dyDescent="0.4">
      <c r="A100" s="51">
        <v>100</v>
      </c>
      <c r="B100" s="52" t="s">
        <v>75</v>
      </c>
      <c r="C100" s="56" t="s">
        <v>95</v>
      </c>
      <c r="D100" s="52" t="s">
        <v>317</v>
      </c>
      <c r="E100" s="52" t="s">
        <v>411</v>
      </c>
      <c r="F100" s="57" t="s">
        <v>330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>_xlfn.CONCAT(SUBSTITUTE(C100,"1.",""))</f>
        <v>Fornecedores</v>
      </c>
      <c r="M100" s="23" t="str">
        <f>_xlfn.CONCAT(SUBSTITUTE(D100,"."," "))</f>
        <v>Segmentos dos Profissionais</v>
      </c>
      <c r="N100" s="23" t="str">
        <f>_xlfn.CONCAT(SUBSTITUTE(E100,"."," "))</f>
        <v>Segmento de Mecânica</v>
      </c>
      <c r="O100" s="23" t="str">
        <f>_xlfn.CONCAT(SUBSTITUTE(F100,"."," "))</f>
        <v>Mec Serviço</v>
      </c>
      <c r="P100" s="23" t="s">
        <v>341</v>
      </c>
      <c r="Q100" s="26" t="str">
        <f>_xlfn.TRANSLATE(P100,"pt","es")</f>
        <v>Proveedor en el segmento de equipos mecánicos: es un servicio</v>
      </c>
      <c r="R100" s="42" t="s">
        <v>9</v>
      </c>
      <c r="S100" s="43" t="str">
        <f>SUBSTITUTE(C100, ".", " ")</f>
        <v>Fornecedores</v>
      </c>
      <c r="T100" s="43" t="str">
        <f>SUBSTITUTE(D100, ".", " ")</f>
        <v>Segmentos dos Profissionais</v>
      </c>
      <c r="U100" s="43" t="str">
        <f>SUBSTITUTE(E100, ".", " ")</f>
        <v>Segmento de Mecânica</v>
      </c>
      <c r="V100" s="41" t="s">
        <v>184</v>
      </c>
      <c r="W100" s="60" t="str">
        <f>CONCATENATE("Key.Fab.",A100)</f>
        <v>Key.Fab.100</v>
      </c>
      <c r="X100" s="41" t="s">
        <v>9</v>
      </c>
      <c r="Y100" s="41" t="s">
        <v>9</v>
      </c>
      <c r="Z100" s="41" t="s">
        <v>436</v>
      </c>
      <c r="AA100" s="45" t="str">
        <f>_xlfn.TRANSLATE(P100,"pt","en")</f>
        <v>Supplier in the mechanical equipment segment: it is a service</v>
      </c>
    </row>
    <row r="101" spans="1:27" ht="6.55" customHeight="1" x14ac:dyDescent="0.4">
      <c r="A101" s="51">
        <v>101</v>
      </c>
      <c r="B101" s="52" t="s">
        <v>75</v>
      </c>
      <c r="C101" s="56" t="s">
        <v>95</v>
      </c>
      <c r="D101" s="52" t="s">
        <v>317</v>
      </c>
      <c r="E101" s="52" t="s">
        <v>411</v>
      </c>
      <c r="F101" s="57" t="s">
        <v>475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>_xlfn.CONCAT(SUBSTITUTE(C101,"1.",""))</f>
        <v>Fornecedores</v>
      </c>
      <c r="M101" s="23" t="str">
        <f>_xlfn.CONCAT(SUBSTITUTE(D101,"."," "))</f>
        <v>Segmentos dos Profissionais</v>
      </c>
      <c r="N101" s="23" t="str">
        <f>_xlfn.CONCAT(SUBSTITUTE(E101,"."," "))</f>
        <v>Segmento de Mecânica</v>
      </c>
      <c r="O101" s="23" t="str">
        <f>_xlfn.CONCAT(SUBSTITUTE(F101,"."," "))</f>
        <v>Mec Venda</v>
      </c>
      <c r="P101" s="23" t="s">
        <v>513</v>
      </c>
      <c r="Q101" s="26" t="str">
        <f>_xlfn.TRANSLATE(P101,"pt","es")</f>
        <v>Proveedor en el segmento de equipos mecánicos: se trata de una venta de productos</v>
      </c>
      <c r="R101" s="42" t="s">
        <v>9</v>
      </c>
      <c r="S101" s="43" t="str">
        <f>SUBSTITUTE(C101, ".", " ")</f>
        <v>Fornecedores</v>
      </c>
      <c r="T101" s="43" t="str">
        <f>SUBSTITUTE(D101, ".", " ")</f>
        <v>Segmentos dos Profissionais</v>
      </c>
      <c r="U101" s="43" t="str">
        <f>SUBSTITUTE(E101, ".", " ")</f>
        <v>Segmento de Mecânica</v>
      </c>
      <c r="V101" s="41" t="s">
        <v>184</v>
      </c>
      <c r="W101" s="60" t="str">
        <f>CONCATENATE("Key.Fab.",A101)</f>
        <v>Key.Fab.101</v>
      </c>
      <c r="X101" s="41" t="s">
        <v>9</v>
      </c>
      <c r="Y101" s="41" t="s">
        <v>9</v>
      </c>
      <c r="Z101" s="41" t="s">
        <v>434</v>
      </c>
      <c r="AA101" s="45" t="str">
        <f>_xlfn.TRANSLATE(P101,"pt","en")</f>
        <v>Supplier in the mechanical equipment segment: it is a sale of products</v>
      </c>
    </row>
    <row r="102" spans="1:27" ht="6.55" customHeight="1" x14ac:dyDescent="0.4">
      <c r="A102" s="51">
        <v>102</v>
      </c>
      <c r="B102" s="52" t="s">
        <v>75</v>
      </c>
      <c r="C102" s="56" t="s">
        <v>95</v>
      </c>
      <c r="D102" s="52" t="s">
        <v>317</v>
      </c>
      <c r="E102" s="52" t="s">
        <v>100</v>
      </c>
      <c r="F102" s="57" t="s">
        <v>487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>_xlfn.CONCAT(SUBSTITUTE(C102,"1.",""))</f>
        <v>Fornecedores</v>
      </c>
      <c r="M102" s="23" t="str">
        <f>_xlfn.CONCAT(SUBSTITUTE(D102,"."," "))</f>
        <v>Segmentos dos Profissionais</v>
      </c>
      <c r="N102" s="23" t="str">
        <f>_xlfn.CONCAT(SUBSTITUTE(E102,"."," "))</f>
        <v>Segmento de Mobiliário</v>
      </c>
      <c r="O102" s="23" t="str">
        <f>_xlfn.CONCAT(SUBSTITUTE(F102,"."," "))</f>
        <v>Mob Compra</v>
      </c>
      <c r="P102" s="23" t="s">
        <v>501</v>
      </c>
      <c r="Q102" s="26" t="str">
        <f>_xlfn.TRANSLATE(P102,"pt","es")</f>
        <v>Proveedor de muebles: es una compra de productos</v>
      </c>
      <c r="R102" s="42" t="s">
        <v>9</v>
      </c>
      <c r="S102" s="43" t="str">
        <f>SUBSTITUTE(C102, ".", " ")</f>
        <v>Fornecedores</v>
      </c>
      <c r="T102" s="43" t="str">
        <f>SUBSTITUTE(D102, ".", " ")</f>
        <v>Segmentos dos Profissionais</v>
      </c>
      <c r="U102" s="43" t="str">
        <f>SUBSTITUTE(E102, ".", " ")</f>
        <v>Segmento de Mobiliário</v>
      </c>
      <c r="V102" s="41" t="s">
        <v>184</v>
      </c>
      <c r="W102" s="60" t="str">
        <f>CONCATENATE("Key.Fab.",A102)</f>
        <v>Key.Fab.102</v>
      </c>
      <c r="X102" s="41" t="s">
        <v>9</v>
      </c>
      <c r="Y102" s="41" t="s">
        <v>9</v>
      </c>
      <c r="Z102" s="41" t="s">
        <v>506</v>
      </c>
      <c r="AA102" s="45" t="str">
        <f>_xlfn.TRANSLATE(P102,"pt","en")</f>
        <v>Furniture supplier: it is a purchase of products</v>
      </c>
    </row>
    <row r="103" spans="1:27" ht="6.55" customHeight="1" x14ac:dyDescent="0.4">
      <c r="A103" s="51">
        <v>103</v>
      </c>
      <c r="B103" s="52" t="s">
        <v>75</v>
      </c>
      <c r="C103" s="56" t="s">
        <v>95</v>
      </c>
      <c r="D103" s="52" t="s">
        <v>317</v>
      </c>
      <c r="E103" s="52" t="s">
        <v>100</v>
      </c>
      <c r="F103" s="57" t="s">
        <v>331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>_xlfn.CONCAT(SUBSTITUTE(C103,"1.",""))</f>
        <v>Fornecedores</v>
      </c>
      <c r="M103" s="23" t="str">
        <f>_xlfn.CONCAT(SUBSTITUTE(D103,"."," "))</f>
        <v>Segmentos dos Profissionais</v>
      </c>
      <c r="N103" s="23" t="str">
        <f>_xlfn.CONCAT(SUBSTITUTE(E103,"."," "))</f>
        <v>Segmento de Mobiliário</v>
      </c>
      <c r="O103" s="23" t="str">
        <f>_xlfn.CONCAT(SUBSTITUTE(F103,"."," "))</f>
        <v>Mob Consultor</v>
      </c>
      <c r="P103" s="23" t="s">
        <v>112</v>
      </c>
      <c r="Q103" s="26" t="str">
        <f>_xlfn.TRANSLATE(P103,"pt","es")</f>
        <v>Proveedor de muebles: es un consultor autónomo</v>
      </c>
      <c r="R103" s="42" t="s">
        <v>9</v>
      </c>
      <c r="S103" s="43" t="str">
        <f>SUBSTITUTE(C103, ".", " ")</f>
        <v>Fornecedores</v>
      </c>
      <c r="T103" s="43" t="str">
        <f>SUBSTITUTE(D103, ".", " ")</f>
        <v>Segmentos dos Profissionais</v>
      </c>
      <c r="U103" s="43" t="str">
        <f>SUBSTITUTE(E103, ".", " ")</f>
        <v>Segmento de Mobiliário</v>
      </c>
      <c r="V103" s="41" t="s">
        <v>184</v>
      </c>
      <c r="W103" s="60" t="str">
        <f>CONCATENATE("Key.Fab.",A103)</f>
        <v>Key.Fab.103</v>
      </c>
      <c r="X103" s="41" t="s">
        <v>9</v>
      </c>
      <c r="Y103" s="41" t="s">
        <v>9</v>
      </c>
      <c r="Z103" s="41" t="s">
        <v>435</v>
      </c>
      <c r="AA103" s="45" t="str">
        <f>_xlfn.TRANSLATE(P103,"pt","en")</f>
        <v>Furniture supplier: is a self-employed consultant</v>
      </c>
    </row>
    <row r="104" spans="1:27" ht="6.55" customHeight="1" x14ac:dyDescent="0.4">
      <c r="A104" s="51">
        <v>104</v>
      </c>
      <c r="B104" s="52" t="s">
        <v>75</v>
      </c>
      <c r="C104" s="56" t="s">
        <v>95</v>
      </c>
      <c r="D104" s="52" t="s">
        <v>317</v>
      </c>
      <c r="E104" s="52" t="s">
        <v>100</v>
      </c>
      <c r="F104" s="57" t="s">
        <v>565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519</v>
      </c>
      <c r="N104" s="23" t="s">
        <v>535</v>
      </c>
      <c r="O104" s="23" t="s">
        <v>536</v>
      </c>
      <c r="P104" s="23" t="s">
        <v>578</v>
      </c>
      <c r="Q104" s="26" t="s">
        <v>602</v>
      </c>
      <c r="R104" s="42" t="s">
        <v>9</v>
      </c>
      <c r="S104" s="43" t="s">
        <v>95</v>
      </c>
      <c r="T104" s="43" t="s">
        <v>519</v>
      </c>
      <c r="U104" s="43" t="s">
        <v>535</v>
      </c>
      <c r="V104" s="41" t="s">
        <v>184</v>
      </c>
      <c r="W104" s="60" t="s">
        <v>537</v>
      </c>
      <c r="X104" s="41" t="s">
        <v>9</v>
      </c>
      <c r="Y104" s="41" t="s">
        <v>9</v>
      </c>
      <c r="Z104" s="41" t="s">
        <v>572</v>
      </c>
      <c r="AA104" s="45" t="s">
        <v>590</v>
      </c>
    </row>
    <row r="105" spans="1:27" ht="6.55" customHeight="1" x14ac:dyDescent="0.4">
      <c r="A105" s="51">
        <v>105</v>
      </c>
      <c r="B105" s="52" t="s">
        <v>75</v>
      </c>
      <c r="C105" s="56" t="s">
        <v>95</v>
      </c>
      <c r="D105" s="52" t="s">
        <v>317</v>
      </c>
      <c r="E105" s="52" t="s">
        <v>100</v>
      </c>
      <c r="F105" s="57" t="s">
        <v>332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>_xlfn.CONCAT(SUBSTITUTE(C105,"1.",""))</f>
        <v>Fornecedores</v>
      </c>
      <c r="M105" s="23" t="str">
        <f>_xlfn.CONCAT(SUBSTITUTE(D105,"."," "))</f>
        <v>Segmentos dos Profissionais</v>
      </c>
      <c r="N105" s="23" t="str">
        <f>_xlfn.CONCAT(SUBSTITUTE(E105,"."," "))</f>
        <v>Segmento de Mobiliário</v>
      </c>
      <c r="O105" s="23" t="str">
        <f>_xlfn.CONCAT(SUBSTITUTE(F105,"."," "))</f>
        <v>Mob Empresa Consultora</v>
      </c>
      <c r="P105" s="23" t="s">
        <v>113</v>
      </c>
      <c r="Q105" s="26" t="str">
        <f>_xlfn.TRANSLATE(P105,"pt","es")</f>
        <v>Proveedor del segmento de muebles: es una empresa de consultoría</v>
      </c>
      <c r="R105" s="42" t="s">
        <v>9</v>
      </c>
      <c r="S105" s="43" t="str">
        <f>SUBSTITUTE(C105, ".", " ")</f>
        <v>Fornecedores</v>
      </c>
      <c r="T105" s="43" t="str">
        <f>SUBSTITUTE(D105, ".", " ")</f>
        <v>Segmentos dos Profissionais</v>
      </c>
      <c r="U105" s="43" t="str">
        <f>SUBSTITUTE(E105, ".", " ")</f>
        <v>Segmento de Mobiliário</v>
      </c>
      <c r="V105" s="41" t="s">
        <v>184</v>
      </c>
      <c r="W105" s="60" t="str">
        <f>CONCATENATE("Key.Fab.",A105)</f>
        <v>Key.Fab.105</v>
      </c>
      <c r="X105" s="41" t="s">
        <v>9</v>
      </c>
      <c r="Y105" s="41" t="s">
        <v>9</v>
      </c>
      <c r="Z105" s="41" t="s">
        <v>435</v>
      </c>
      <c r="AA105" s="45" t="str">
        <f>_xlfn.TRANSLATE(P105,"pt","en")</f>
        <v>Supplier of the furniture segment: it is a consulting company</v>
      </c>
    </row>
    <row r="106" spans="1:27" ht="6.55" customHeight="1" x14ac:dyDescent="0.4">
      <c r="A106" s="51">
        <v>106</v>
      </c>
      <c r="B106" s="52" t="s">
        <v>75</v>
      </c>
      <c r="C106" s="56" t="s">
        <v>95</v>
      </c>
      <c r="D106" s="52" t="s">
        <v>317</v>
      </c>
      <c r="E106" s="52" t="s">
        <v>100</v>
      </c>
      <c r="F106" s="57" t="s">
        <v>333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>_xlfn.CONCAT(SUBSTITUTE(C106,"1.",""))</f>
        <v>Fornecedores</v>
      </c>
      <c r="M106" s="23" t="str">
        <f>_xlfn.CONCAT(SUBSTITUTE(D106,"."," "))</f>
        <v>Segmentos dos Profissionais</v>
      </c>
      <c r="N106" s="23" t="str">
        <f>_xlfn.CONCAT(SUBSTITUTE(E106,"."," "))</f>
        <v>Segmento de Mobiliário</v>
      </c>
      <c r="O106" s="23" t="str">
        <f>_xlfn.CONCAT(SUBSTITUTE(F106,"."," "))</f>
        <v>Mob Fabricante</v>
      </c>
      <c r="P106" s="23" t="s">
        <v>114</v>
      </c>
      <c r="Q106" s="26" t="str">
        <f>_xlfn.TRANSLATE(P106,"pt","es")</f>
        <v>Proveedor del segmento de muebles: es un fabricante de productos</v>
      </c>
      <c r="R106" s="42" t="s">
        <v>9</v>
      </c>
      <c r="S106" s="43" t="str">
        <f>SUBSTITUTE(C106, ".", " ")</f>
        <v>Fornecedores</v>
      </c>
      <c r="T106" s="43" t="str">
        <f>SUBSTITUTE(D106, ".", " ")</f>
        <v>Segmentos dos Profissionais</v>
      </c>
      <c r="U106" s="43" t="str">
        <f>SUBSTITUTE(E106, ".", " ")</f>
        <v>Segmento de Mobiliário</v>
      </c>
      <c r="V106" s="41" t="s">
        <v>184</v>
      </c>
      <c r="W106" s="60" t="str">
        <f>CONCATENATE("Key.Fab.",A106)</f>
        <v>Key.Fab.106</v>
      </c>
      <c r="X106" s="41" t="s">
        <v>9</v>
      </c>
      <c r="Y106" s="41" t="s">
        <v>9</v>
      </c>
      <c r="Z106" s="41" t="s">
        <v>426</v>
      </c>
      <c r="AA106" s="45" t="str">
        <f>_xlfn.TRANSLATE(P106,"pt","en")</f>
        <v>Furniture segment supplier: is a manufacturer of products</v>
      </c>
    </row>
    <row r="107" spans="1:27" ht="6.55" customHeight="1" x14ac:dyDescent="0.4">
      <c r="A107" s="51">
        <v>107</v>
      </c>
      <c r="B107" s="52" t="s">
        <v>75</v>
      </c>
      <c r="C107" s="56" t="s">
        <v>95</v>
      </c>
      <c r="D107" s="52" t="s">
        <v>317</v>
      </c>
      <c r="E107" s="52" t="s">
        <v>100</v>
      </c>
      <c r="F107" s="57" t="s">
        <v>334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>_xlfn.CONCAT(SUBSTITUTE(C107,"1.",""))</f>
        <v>Fornecedores</v>
      </c>
      <c r="M107" s="23" t="str">
        <f>_xlfn.CONCAT(SUBSTITUTE(D107,"."," "))</f>
        <v>Segmentos dos Profissionais</v>
      </c>
      <c r="N107" s="23" t="str">
        <f>_xlfn.CONCAT(SUBSTITUTE(E107,"."," "))</f>
        <v>Segmento de Mobiliário</v>
      </c>
      <c r="O107" s="23" t="str">
        <f>_xlfn.CONCAT(SUBSTITUTE(F107,"."," "))</f>
        <v>Mob Fornecimento</v>
      </c>
      <c r="P107" s="23" t="s">
        <v>179</v>
      </c>
      <c r="Q107" s="26" t="str">
        <f>_xlfn.TRANSLATE(P107,"pt","es")</f>
        <v>Proveedor de muebles: es un proveedor</v>
      </c>
      <c r="R107" s="42" t="s">
        <v>9</v>
      </c>
      <c r="S107" s="43" t="str">
        <f>SUBSTITUTE(C107, ".", " ")</f>
        <v>Fornecedores</v>
      </c>
      <c r="T107" s="43" t="str">
        <f>SUBSTITUTE(D107, ".", " ")</f>
        <v>Segmentos dos Profissionais</v>
      </c>
      <c r="U107" s="43" t="str">
        <f>SUBSTITUTE(E107, ".", " ")</f>
        <v>Segmento de Mobiliário</v>
      </c>
      <c r="V107" s="41" t="s">
        <v>184</v>
      </c>
      <c r="W107" s="60" t="str">
        <f>CONCATENATE("Key.Fab.",A107)</f>
        <v>Key.Fab.107</v>
      </c>
      <c r="X107" s="41" t="s">
        <v>9</v>
      </c>
      <c r="Y107" s="41" t="s">
        <v>9</v>
      </c>
      <c r="Z107" s="41" t="s">
        <v>433</v>
      </c>
      <c r="AA107" s="45" t="str">
        <f>_xlfn.TRANSLATE(P107,"pt","en")</f>
        <v>Furniture Supplier: is a supplier</v>
      </c>
    </row>
    <row r="108" spans="1:27" ht="6.55" customHeight="1" x14ac:dyDescent="0.4">
      <c r="A108" s="51">
        <v>108</v>
      </c>
      <c r="B108" s="52" t="s">
        <v>75</v>
      </c>
      <c r="C108" s="56" t="s">
        <v>95</v>
      </c>
      <c r="D108" s="52" t="s">
        <v>317</v>
      </c>
      <c r="E108" s="52" t="s">
        <v>100</v>
      </c>
      <c r="F108" s="57" t="s">
        <v>335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>_xlfn.CONCAT(SUBSTITUTE(C108,"1.",""))</f>
        <v>Fornecedores</v>
      </c>
      <c r="M108" s="23" t="str">
        <f>_xlfn.CONCAT(SUBSTITUTE(D108,"."," "))</f>
        <v>Segmentos dos Profissionais</v>
      </c>
      <c r="N108" s="23" t="str">
        <f>_xlfn.CONCAT(SUBSTITUTE(E108,"."," "))</f>
        <v>Segmento de Mobiliário</v>
      </c>
      <c r="O108" s="23" t="str">
        <f>_xlfn.CONCAT(SUBSTITUTE(F108,"."," "))</f>
        <v>Mob Projetista</v>
      </c>
      <c r="P108" s="23" t="s">
        <v>230</v>
      </c>
      <c r="Q108" s="26" t="str">
        <f>_xlfn.TRANSLATE(P108,"pt","es")</f>
        <v>Proveedor de muebles: es una empresa de diseñador o diseño</v>
      </c>
      <c r="R108" s="42" t="s">
        <v>9</v>
      </c>
      <c r="S108" s="43" t="str">
        <f>SUBSTITUTE(C108, ".", " ")</f>
        <v>Fornecedores</v>
      </c>
      <c r="T108" s="43" t="str">
        <f>SUBSTITUTE(D108, ".", " ")</f>
        <v>Segmentos dos Profissionais</v>
      </c>
      <c r="U108" s="43" t="str">
        <f>SUBSTITUTE(E108, ".", " ")</f>
        <v>Segmento de Mobiliário</v>
      </c>
      <c r="V108" s="41" t="s">
        <v>184</v>
      </c>
      <c r="W108" s="60" t="str">
        <f>CONCATENATE("Key.Fab.",A108)</f>
        <v>Key.Fab.108</v>
      </c>
      <c r="X108" s="41" t="s">
        <v>9</v>
      </c>
      <c r="Y108" s="41" t="s">
        <v>9</v>
      </c>
      <c r="Z108" s="41" t="s">
        <v>437</v>
      </c>
      <c r="AA108" s="45" t="str">
        <f>_xlfn.TRANSLATE(P108,"pt","en")</f>
        <v>Furniture Supplier: is a Designer or Design Company</v>
      </c>
    </row>
    <row r="109" spans="1:27" ht="6.55" customHeight="1" x14ac:dyDescent="0.4">
      <c r="A109" s="51">
        <v>109</v>
      </c>
      <c r="B109" s="52" t="s">
        <v>75</v>
      </c>
      <c r="C109" s="56" t="s">
        <v>95</v>
      </c>
      <c r="D109" s="52" t="s">
        <v>317</v>
      </c>
      <c r="E109" s="52" t="s">
        <v>100</v>
      </c>
      <c r="F109" s="57" t="s">
        <v>336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>_xlfn.CONCAT(SUBSTITUTE(C109,"1.",""))</f>
        <v>Fornecedores</v>
      </c>
      <c r="M109" s="23" t="str">
        <f>_xlfn.CONCAT(SUBSTITUTE(D109,"."," "))</f>
        <v>Segmentos dos Profissionais</v>
      </c>
      <c r="N109" s="23" t="str">
        <f>_xlfn.CONCAT(SUBSTITUTE(E109,"."," "))</f>
        <v>Segmento de Mobiliário</v>
      </c>
      <c r="O109" s="23" t="str">
        <f>_xlfn.CONCAT(SUBSTITUTE(F109,"."," "))</f>
        <v>Mob Serviço</v>
      </c>
      <c r="P109" s="23" t="s">
        <v>111</v>
      </c>
      <c r="Q109" s="26" t="str">
        <f>_xlfn.TRANSLATE(P109,"pt","es")</f>
        <v>Proveedor de muebles: es un servicio</v>
      </c>
      <c r="R109" s="42" t="s">
        <v>9</v>
      </c>
      <c r="S109" s="43" t="str">
        <f>SUBSTITUTE(C109, ".", " ")</f>
        <v>Fornecedores</v>
      </c>
      <c r="T109" s="43" t="str">
        <f>SUBSTITUTE(D109, ".", " ")</f>
        <v>Segmentos dos Profissionais</v>
      </c>
      <c r="U109" s="43" t="str">
        <f>SUBSTITUTE(E109, ".", " ")</f>
        <v>Segmento de Mobiliário</v>
      </c>
      <c r="V109" s="41" t="s">
        <v>184</v>
      </c>
      <c r="W109" s="60" t="str">
        <f>CONCATENATE("Key.Fab.",A109)</f>
        <v>Key.Fab.109</v>
      </c>
      <c r="X109" s="41" t="s">
        <v>9</v>
      </c>
      <c r="Y109" s="41" t="s">
        <v>9</v>
      </c>
      <c r="Z109" s="41" t="s">
        <v>436</v>
      </c>
      <c r="AA109" s="45" t="str">
        <f>_xlfn.TRANSLATE(P109,"pt","en")</f>
        <v>Furniture supplier: it is a service</v>
      </c>
    </row>
    <row r="110" spans="1:27" ht="6.55" customHeight="1" x14ac:dyDescent="0.4">
      <c r="A110" s="51">
        <v>110</v>
      </c>
      <c r="B110" s="52" t="s">
        <v>75</v>
      </c>
      <c r="C110" s="56" t="s">
        <v>95</v>
      </c>
      <c r="D110" s="52" t="s">
        <v>317</v>
      </c>
      <c r="E110" s="52" t="s">
        <v>100</v>
      </c>
      <c r="F110" s="57" t="s">
        <v>474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>_xlfn.CONCAT(SUBSTITUTE(C110,"1.",""))</f>
        <v>Fornecedores</v>
      </c>
      <c r="M110" s="23" t="str">
        <f>_xlfn.CONCAT(SUBSTITUTE(D110,"."," "))</f>
        <v>Segmentos dos Profissionais</v>
      </c>
      <c r="N110" s="23" t="str">
        <f>_xlfn.CONCAT(SUBSTITUTE(E110,"."," "))</f>
        <v>Segmento de Mobiliário</v>
      </c>
      <c r="O110" s="23" t="str">
        <f>_xlfn.CONCAT(SUBSTITUTE(F110,"."," "))</f>
        <v>Mob Venda</v>
      </c>
      <c r="P110" s="23" t="s">
        <v>512</v>
      </c>
      <c r="Q110" s="26" t="str">
        <f>_xlfn.TRANSLATE(P110,"pt","es")</f>
        <v>Proveedor de muebles: Es una venta de productos</v>
      </c>
      <c r="R110" s="42" t="s">
        <v>9</v>
      </c>
      <c r="S110" s="43" t="str">
        <f>SUBSTITUTE(C110, ".", " ")</f>
        <v>Fornecedores</v>
      </c>
      <c r="T110" s="43" t="str">
        <f>SUBSTITUTE(D110, ".", " ")</f>
        <v>Segmentos dos Profissionais</v>
      </c>
      <c r="U110" s="43" t="str">
        <f>SUBSTITUTE(E110, ".", " ")</f>
        <v>Segmento de Mobiliário</v>
      </c>
      <c r="V110" s="41" t="s">
        <v>184</v>
      </c>
      <c r="W110" s="60" t="str">
        <f>CONCATENATE("Key.Fab.",A110)</f>
        <v>Key.Fab.110</v>
      </c>
      <c r="X110" s="41" t="s">
        <v>9</v>
      </c>
      <c r="Y110" s="41" t="s">
        <v>9</v>
      </c>
      <c r="Z110" s="41" t="s">
        <v>434</v>
      </c>
      <c r="AA110" s="45" t="str">
        <f>_xlfn.TRANSLATE(P110,"pt","en")</f>
        <v>Furniture Supplier: It is a sale of products</v>
      </c>
    </row>
    <row r="111" spans="1:27" ht="6.55" customHeight="1" x14ac:dyDescent="0.4">
      <c r="A111" s="51">
        <v>111</v>
      </c>
      <c r="B111" s="52" t="s">
        <v>75</v>
      </c>
      <c r="C111" s="56" t="s">
        <v>95</v>
      </c>
      <c r="D111" s="52" t="s">
        <v>317</v>
      </c>
      <c r="E111" s="52" t="s">
        <v>412</v>
      </c>
      <c r="F111" s="57" t="s">
        <v>481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>_xlfn.CONCAT(SUBSTITUTE(C111,"1.",""))</f>
        <v>Fornecedores</v>
      </c>
      <c r="M111" s="23" t="str">
        <f>_xlfn.CONCAT(SUBSTITUTE(D111,"."," "))</f>
        <v>Segmentos dos Profissionais</v>
      </c>
      <c r="N111" s="23" t="str">
        <f>_xlfn.CONCAT(SUBSTITUTE(E111,"."," "))</f>
        <v>Segmento de Telecom</v>
      </c>
      <c r="O111" s="23" t="str">
        <f>_xlfn.CONCAT(SUBSTITUTE(F111,"."," "))</f>
        <v>Tel Compra</v>
      </c>
      <c r="P111" s="23" t="s">
        <v>494</v>
      </c>
      <c r="Q111" s="26" t="str">
        <f>_xlfn.TRANSLATE(P111,"pt","es")</f>
        <v>Proveedor de telecomunicaciones: es una compra de productos</v>
      </c>
      <c r="R111" s="42" t="s">
        <v>9</v>
      </c>
      <c r="S111" s="43" t="str">
        <f>SUBSTITUTE(C111, ".", " ")</f>
        <v>Fornecedores</v>
      </c>
      <c r="T111" s="43" t="str">
        <f>SUBSTITUTE(D111, ".", " ")</f>
        <v>Segmentos dos Profissionais</v>
      </c>
      <c r="U111" s="43" t="str">
        <f>SUBSTITUTE(E111, ".", " ")</f>
        <v>Segmento de Telecom</v>
      </c>
      <c r="V111" s="41" t="s">
        <v>184</v>
      </c>
      <c r="W111" s="60" t="str">
        <f>CONCATENATE("Key.Fab.",A111)</f>
        <v>Key.Fab.111</v>
      </c>
      <c r="X111" s="41" t="s">
        <v>9</v>
      </c>
      <c r="Y111" s="41" t="s">
        <v>9</v>
      </c>
      <c r="Z111" s="41" t="s">
        <v>506</v>
      </c>
      <c r="AA111" s="45" t="str">
        <f>_xlfn.TRANSLATE(P111,"pt","en")</f>
        <v>Telecom supplier: it is a purchase of products</v>
      </c>
    </row>
    <row r="112" spans="1:27" ht="6.55" customHeight="1" x14ac:dyDescent="0.4">
      <c r="A112" s="51">
        <v>112</v>
      </c>
      <c r="B112" s="52" t="s">
        <v>75</v>
      </c>
      <c r="C112" s="56" t="s">
        <v>95</v>
      </c>
      <c r="D112" s="52" t="s">
        <v>317</v>
      </c>
      <c r="E112" s="52" t="s">
        <v>412</v>
      </c>
      <c r="F112" s="57" t="s">
        <v>413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>_xlfn.CONCAT(SUBSTITUTE(C112,"1.",""))</f>
        <v>Fornecedores</v>
      </c>
      <c r="M112" s="23" t="str">
        <f>_xlfn.CONCAT(SUBSTITUTE(D112,"."," "))</f>
        <v>Segmentos dos Profissionais</v>
      </c>
      <c r="N112" s="23" t="str">
        <f>_xlfn.CONCAT(SUBSTITUTE(E112,"."," "))</f>
        <v>Segmento de Telecom</v>
      </c>
      <c r="O112" s="23" t="str">
        <f>_xlfn.CONCAT(SUBSTITUTE(F112,"."," "))</f>
        <v>Tel Consultor</v>
      </c>
      <c r="P112" s="23" t="s">
        <v>424</v>
      </c>
      <c r="Q112" s="26" t="str">
        <f>_xlfn.TRANSLATE(P112,"pt","es")</f>
        <v>Proveedor de telecomunicaciones: es consultor autónomo</v>
      </c>
      <c r="R112" s="42" t="s">
        <v>9</v>
      </c>
      <c r="S112" s="43" t="str">
        <f>SUBSTITUTE(C112, ".", " ")</f>
        <v>Fornecedores</v>
      </c>
      <c r="T112" s="43" t="str">
        <f>SUBSTITUTE(D112, ".", " ")</f>
        <v>Segmentos dos Profissionais</v>
      </c>
      <c r="U112" s="43" t="str">
        <f>SUBSTITUTE(E112, ".", " ")</f>
        <v>Segmento de Telecom</v>
      </c>
      <c r="V112" s="41" t="s">
        <v>184</v>
      </c>
      <c r="W112" s="60" t="str">
        <f>CONCATENATE("Key.Fab.",A112)</f>
        <v>Key.Fab.112</v>
      </c>
      <c r="X112" s="41" t="s">
        <v>9</v>
      </c>
      <c r="Y112" s="41" t="s">
        <v>9</v>
      </c>
      <c r="Z112" s="41" t="s">
        <v>435</v>
      </c>
      <c r="AA112" s="45" t="str">
        <f>_xlfn.TRANSLATE(P112,"pt","en")</f>
        <v>Telecom supplier: is a self-employed consultant</v>
      </c>
    </row>
    <row r="113" spans="1:27" ht="6.55" customHeight="1" x14ac:dyDescent="0.4">
      <c r="A113" s="51">
        <v>113</v>
      </c>
      <c r="B113" s="52" t="s">
        <v>75</v>
      </c>
      <c r="C113" s="56" t="s">
        <v>95</v>
      </c>
      <c r="D113" s="52" t="s">
        <v>317</v>
      </c>
      <c r="E113" s="52" t="s">
        <v>412</v>
      </c>
      <c r="F113" s="57" t="s">
        <v>571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519</v>
      </c>
      <c r="N113" s="23" t="s">
        <v>553</v>
      </c>
      <c r="O113" s="23" t="s">
        <v>554</v>
      </c>
      <c r="P113" s="23" t="s">
        <v>584</v>
      </c>
      <c r="Q113" s="26" t="s">
        <v>606</v>
      </c>
      <c r="R113" s="42" t="s">
        <v>9</v>
      </c>
      <c r="S113" s="43" t="s">
        <v>95</v>
      </c>
      <c r="T113" s="43" t="s">
        <v>519</v>
      </c>
      <c r="U113" s="43" t="s">
        <v>553</v>
      </c>
      <c r="V113" s="41" t="s">
        <v>184</v>
      </c>
      <c r="W113" s="60" t="s">
        <v>555</v>
      </c>
      <c r="X113" s="41" t="s">
        <v>9</v>
      </c>
      <c r="Y113" s="41" t="s">
        <v>9</v>
      </c>
      <c r="Z113" s="41" t="s">
        <v>572</v>
      </c>
      <c r="AA113" s="45" t="s">
        <v>596</v>
      </c>
    </row>
    <row r="114" spans="1:27" ht="6.55" customHeight="1" x14ac:dyDescent="0.4">
      <c r="A114" s="51">
        <v>114</v>
      </c>
      <c r="B114" s="52" t="s">
        <v>75</v>
      </c>
      <c r="C114" s="56" t="s">
        <v>95</v>
      </c>
      <c r="D114" s="52" t="s">
        <v>317</v>
      </c>
      <c r="E114" s="52" t="s">
        <v>412</v>
      </c>
      <c r="F114" s="57" t="s">
        <v>414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>_xlfn.CONCAT(SUBSTITUTE(C114,"1.",""))</f>
        <v>Fornecedores</v>
      </c>
      <c r="M114" s="23" t="str">
        <f>_xlfn.CONCAT(SUBSTITUTE(D114,"."," "))</f>
        <v>Segmentos dos Profissionais</v>
      </c>
      <c r="N114" s="23" t="str">
        <f>_xlfn.CONCAT(SUBSTITUTE(E114,"."," "))</f>
        <v>Segmento de Telecom</v>
      </c>
      <c r="O114" s="23" t="str">
        <f>_xlfn.CONCAT(SUBSTITUTE(F114,"."," "))</f>
        <v>Tel Empresa Consultora</v>
      </c>
      <c r="P114" s="23" t="s">
        <v>419</v>
      </c>
      <c r="Q114" s="26" t="str">
        <f>_xlfn.TRANSLATE(P114,"pt","es")</f>
        <v>Proveedor de telecomunicaciones: es una empresa de consultoría</v>
      </c>
      <c r="R114" s="42" t="s">
        <v>9</v>
      </c>
      <c r="S114" s="43" t="str">
        <f>SUBSTITUTE(C114, ".", " ")</f>
        <v>Fornecedores</v>
      </c>
      <c r="T114" s="43" t="str">
        <f>SUBSTITUTE(D114, ".", " ")</f>
        <v>Segmentos dos Profissionais</v>
      </c>
      <c r="U114" s="43" t="str">
        <f>SUBSTITUTE(E114, ".", " ")</f>
        <v>Segmento de Telecom</v>
      </c>
      <c r="V114" s="41" t="s">
        <v>184</v>
      </c>
      <c r="W114" s="60" t="str">
        <f>CONCATENATE("Key.Fab.",A114)</f>
        <v>Key.Fab.114</v>
      </c>
      <c r="X114" s="41" t="s">
        <v>9</v>
      </c>
      <c r="Y114" s="41" t="s">
        <v>9</v>
      </c>
      <c r="Z114" s="41" t="s">
        <v>435</v>
      </c>
      <c r="AA114" s="45" t="str">
        <f>_xlfn.TRANSLATE(P114,"pt","en")</f>
        <v>Telecom supplier: it is a consulting company</v>
      </c>
    </row>
    <row r="115" spans="1:27" ht="6.55" customHeight="1" x14ac:dyDescent="0.4">
      <c r="A115" s="51">
        <v>115</v>
      </c>
      <c r="B115" s="52" t="s">
        <v>75</v>
      </c>
      <c r="C115" s="56" t="s">
        <v>95</v>
      </c>
      <c r="D115" s="52" t="s">
        <v>317</v>
      </c>
      <c r="E115" s="52" t="s">
        <v>412</v>
      </c>
      <c r="F115" s="57" t="s">
        <v>415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>_xlfn.CONCAT(SUBSTITUTE(C115,"1.",""))</f>
        <v>Fornecedores</v>
      </c>
      <c r="M115" s="23" t="str">
        <f>_xlfn.CONCAT(SUBSTITUTE(D115,"."," "))</f>
        <v>Segmentos dos Profissionais</v>
      </c>
      <c r="N115" s="23" t="str">
        <f>_xlfn.CONCAT(SUBSTITUTE(E115,"."," "))</f>
        <v>Segmento de Telecom</v>
      </c>
      <c r="O115" s="23" t="str">
        <f>_xlfn.CONCAT(SUBSTITUTE(F115,"."," "))</f>
        <v>Tel Fabricante</v>
      </c>
      <c r="P115" s="23" t="s">
        <v>420</v>
      </c>
      <c r="Q115" s="26" t="str">
        <f>_xlfn.TRANSLATE(P115,"pt","es")</f>
        <v>Proveedor del segmento de telecomunicaciones: es un fabricante de productos de telecomunicaciones</v>
      </c>
      <c r="R115" s="42" t="s">
        <v>9</v>
      </c>
      <c r="S115" s="43" t="str">
        <f>SUBSTITUTE(C115, ".", " ")</f>
        <v>Fornecedores</v>
      </c>
      <c r="T115" s="43" t="str">
        <f>SUBSTITUTE(D115, ".", " ")</f>
        <v>Segmentos dos Profissionais</v>
      </c>
      <c r="U115" s="43" t="str">
        <f>SUBSTITUTE(E115, ".", " ")</f>
        <v>Segmento de Telecom</v>
      </c>
      <c r="V115" s="41" t="s">
        <v>184</v>
      </c>
      <c r="W115" s="60" t="str">
        <f>CONCATENATE("Key.Fab.",A115)</f>
        <v>Key.Fab.115</v>
      </c>
      <c r="X115" s="41" t="s">
        <v>9</v>
      </c>
      <c r="Y115" s="41" t="s">
        <v>9</v>
      </c>
      <c r="Z115" s="41" t="s">
        <v>426</v>
      </c>
      <c r="AA115" s="45" t="str">
        <f>_xlfn.TRANSLATE(P115,"pt","en")</f>
        <v>Telecom Segment Supplier: is a manufacturer of telecom products</v>
      </c>
    </row>
    <row r="116" spans="1:27" ht="6.55" customHeight="1" x14ac:dyDescent="0.4">
      <c r="A116" s="51">
        <v>116</v>
      </c>
      <c r="B116" s="52" t="s">
        <v>75</v>
      </c>
      <c r="C116" s="56" t="s">
        <v>95</v>
      </c>
      <c r="D116" s="52" t="s">
        <v>317</v>
      </c>
      <c r="E116" s="52" t="s">
        <v>412</v>
      </c>
      <c r="F116" s="57" t="s">
        <v>416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>_xlfn.CONCAT(SUBSTITUTE(C116,"1.",""))</f>
        <v>Fornecedores</v>
      </c>
      <c r="M116" s="23" t="str">
        <f>_xlfn.CONCAT(SUBSTITUTE(D116,"."," "))</f>
        <v>Segmentos dos Profissionais</v>
      </c>
      <c r="N116" s="23" t="str">
        <f>_xlfn.CONCAT(SUBSTITUTE(E116,"."," "))</f>
        <v>Segmento de Telecom</v>
      </c>
      <c r="O116" s="23" t="str">
        <f>_xlfn.CONCAT(SUBSTITUTE(F116,"."," "))</f>
        <v>Tel Fornecimento</v>
      </c>
      <c r="P116" s="23" t="s">
        <v>421</v>
      </c>
      <c r="Q116" s="26" t="str">
        <f>_xlfn.TRANSLATE(P116,"pt","es")</f>
        <v>Proveedor del segmento de telecomunicaciones: es un proveedor</v>
      </c>
      <c r="R116" s="42" t="s">
        <v>9</v>
      </c>
      <c r="S116" s="43" t="str">
        <f>SUBSTITUTE(C116, ".", " ")</f>
        <v>Fornecedores</v>
      </c>
      <c r="T116" s="43" t="str">
        <f>SUBSTITUTE(D116, ".", " ")</f>
        <v>Segmentos dos Profissionais</v>
      </c>
      <c r="U116" s="43" t="str">
        <f>SUBSTITUTE(E116, ".", " ")</f>
        <v>Segmento de Telecom</v>
      </c>
      <c r="V116" s="41" t="s">
        <v>184</v>
      </c>
      <c r="W116" s="60" t="str">
        <f>CONCATENATE("Key.Fab.",A116)</f>
        <v>Key.Fab.116</v>
      </c>
      <c r="X116" s="41" t="s">
        <v>9</v>
      </c>
      <c r="Y116" s="41" t="s">
        <v>9</v>
      </c>
      <c r="Z116" s="41" t="s">
        <v>433</v>
      </c>
      <c r="AA116" s="45" t="str">
        <f>_xlfn.TRANSLATE(P116,"pt","en")</f>
        <v>Telecom Segment Supplier: is a supplier</v>
      </c>
    </row>
    <row r="117" spans="1:27" ht="6.55" customHeight="1" x14ac:dyDescent="0.4">
      <c r="A117" s="51">
        <v>117</v>
      </c>
      <c r="B117" s="52" t="s">
        <v>75</v>
      </c>
      <c r="C117" s="56" t="s">
        <v>95</v>
      </c>
      <c r="D117" s="52" t="s">
        <v>317</v>
      </c>
      <c r="E117" s="52" t="s">
        <v>412</v>
      </c>
      <c r="F117" s="57" t="s">
        <v>417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>_xlfn.CONCAT(SUBSTITUTE(C117,"1.",""))</f>
        <v>Fornecedores</v>
      </c>
      <c r="M117" s="23" t="str">
        <f>_xlfn.CONCAT(SUBSTITUTE(D117,"."," "))</f>
        <v>Segmentos dos Profissionais</v>
      </c>
      <c r="N117" s="23" t="str">
        <f>_xlfn.CONCAT(SUBSTITUTE(E117,"."," "))</f>
        <v>Segmento de Telecom</v>
      </c>
      <c r="O117" s="23" t="str">
        <f>_xlfn.CONCAT(SUBSTITUTE(F117,"."," "))</f>
        <v>Tel Projetista</v>
      </c>
      <c r="P117" s="23" t="s">
        <v>422</v>
      </c>
      <c r="Q117" s="26" t="str">
        <f>_xlfn.TRANSLATE(P117,"pt","es")</f>
        <v>Proveedor del segmento de telecomunicaciones: es una empresa de diseño o diseñador</v>
      </c>
      <c r="R117" s="42" t="s">
        <v>9</v>
      </c>
      <c r="S117" s="43" t="str">
        <f>SUBSTITUTE(C117, ".", " ")</f>
        <v>Fornecedores</v>
      </c>
      <c r="T117" s="43" t="str">
        <f>SUBSTITUTE(D117, ".", " ")</f>
        <v>Segmentos dos Profissionais</v>
      </c>
      <c r="U117" s="43" t="str">
        <f>SUBSTITUTE(E117, ".", " ")</f>
        <v>Segmento de Telecom</v>
      </c>
      <c r="V117" s="41" t="s">
        <v>184</v>
      </c>
      <c r="W117" s="60" t="str">
        <f>CONCATENATE("Key.Fab.",A117)</f>
        <v>Key.Fab.117</v>
      </c>
      <c r="X117" s="41" t="s">
        <v>9</v>
      </c>
      <c r="Y117" s="41" t="s">
        <v>9</v>
      </c>
      <c r="Z117" s="41" t="s">
        <v>437</v>
      </c>
      <c r="AA117" s="45" t="str">
        <f>_xlfn.TRANSLATE(P117,"pt","en")</f>
        <v>Telecom Segment Supplier: is a Designer or Design Company</v>
      </c>
    </row>
    <row r="118" spans="1:27" ht="6.55" customHeight="1" x14ac:dyDescent="0.4">
      <c r="A118" s="51">
        <v>118</v>
      </c>
      <c r="B118" s="52" t="s">
        <v>75</v>
      </c>
      <c r="C118" s="56" t="s">
        <v>95</v>
      </c>
      <c r="D118" s="52" t="s">
        <v>317</v>
      </c>
      <c r="E118" s="52" t="s">
        <v>412</v>
      </c>
      <c r="F118" s="57" t="s">
        <v>418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>_xlfn.CONCAT(SUBSTITUTE(C118,"1.",""))</f>
        <v>Fornecedores</v>
      </c>
      <c r="M118" s="23" t="str">
        <f>_xlfn.CONCAT(SUBSTITUTE(D118,"."," "))</f>
        <v>Segmentos dos Profissionais</v>
      </c>
      <c r="N118" s="23" t="str">
        <f>_xlfn.CONCAT(SUBSTITUTE(E118,"."," "))</f>
        <v>Segmento de Telecom</v>
      </c>
      <c r="O118" s="23" t="str">
        <f>_xlfn.CONCAT(SUBSTITUTE(F118,"."," "))</f>
        <v>Tel Serviço</v>
      </c>
      <c r="P118" s="23" t="s">
        <v>423</v>
      </c>
      <c r="Q118" s="26" t="str">
        <f>_xlfn.TRANSLATE(P118,"pt","es")</f>
        <v>Proveedor del segmento de telecomunicaciones: Es un servicio</v>
      </c>
      <c r="R118" s="42" t="s">
        <v>9</v>
      </c>
      <c r="S118" s="43" t="str">
        <f>SUBSTITUTE(C118, ".", " ")</f>
        <v>Fornecedores</v>
      </c>
      <c r="T118" s="43" t="str">
        <f>SUBSTITUTE(D118, ".", " ")</f>
        <v>Segmentos dos Profissionais</v>
      </c>
      <c r="U118" s="43" t="str">
        <f>SUBSTITUTE(E118, ".", " ")</f>
        <v>Segmento de Telecom</v>
      </c>
      <c r="V118" s="41" t="s">
        <v>184</v>
      </c>
      <c r="W118" s="60" t="str">
        <f>CONCATENATE("Key.Fab.",A118)</f>
        <v>Key.Fab.118</v>
      </c>
      <c r="X118" s="41" t="s">
        <v>9</v>
      </c>
      <c r="Y118" s="41" t="s">
        <v>9</v>
      </c>
      <c r="Z118" s="41" t="s">
        <v>436</v>
      </c>
      <c r="AA118" s="45" t="str">
        <f>_xlfn.TRANSLATE(P118,"pt","en")</f>
        <v>Telecom Segment Supplier: It's a Service</v>
      </c>
    </row>
    <row r="119" spans="1:27" ht="6.55" customHeight="1" x14ac:dyDescent="0.4">
      <c r="A119" s="51">
        <v>119</v>
      </c>
      <c r="B119" s="52" t="s">
        <v>75</v>
      </c>
      <c r="C119" s="56" t="s">
        <v>95</v>
      </c>
      <c r="D119" s="52" t="s">
        <v>317</v>
      </c>
      <c r="E119" s="52" t="s">
        <v>412</v>
      </c>
      <c r="F119" s="57" t="s">
        <v>480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>_xlfn.CONCAT(SUBSTITUTE(C119,"1.",""))</f>
        <v>Fornecedores</v>
      </c>
      <c r="M119" s="23" t="str">
        <f>_xlfn.CONCAT(SUBSTITUTE(D119,"."," "))</f>
        <v>Segmentos dos Profissionais</v>
      </c>
      <c r="N119" s="23" t="str">
        <f>_xlfn.CONCAT(SUBSTITUTE(E119,"."," "))</f>
        <v>Segmento de Telecom</v>
      </c>
      <c r="O119" s="23" t="str">
        <f>_xlfn.CONCAT(SUBSTITUTE(F119,"."," "))</f>
        <v>Tel Venda</v>
      </c>
      <c r="P119" s="23" t="s">
        <v>518</v>
      </c>
      <c r="Q119" s="26" t="str">
        <f>_xlfn.TRANSLATE(P119,"pt","es")</f>
        <v>Proveedor del segmento de telecomunicaciones: es una venta de productos</v>
      </c>
      <c r="R119" s="42" t="s">
        <v>9</v>
      </c>
      <c r="S119" s="43" t="str">
        <f>SUBSTITUTE(C119, ".", " ")</f>
        <v>Fornecedores</v>
      </c>
      <c r="T119" s="43" t="str">
        <f>SUBSTITUTE(D119, ".", " ")</f>
        <v>Segmentos dos Profissionais</v>
      </c>
      <c r="U119" s="43" t="str">
        <f>SUBSTITUTE(E119, ".", " ")</f>
        <v>Segmento de Telecom</v>
      </c>
      <c r="V119" s="41" t="s">
        <v>184</v>
      </c>
      <c r="W119" s="60" t="str">
        <f>CONCATENATE("Key.Fab.",A119)</f>
        <v>Key.Fab.119</v>
      </c>
      <c r="X119" s="41" t="s">
        <v>9</v>
      </c>
      <c r="Y119" s="41" t="s">
        <v>9</v>
      </c>
      <c r="Z119" s="41" t="s">
        <v>434</v>
      </c>
      <c r="AA119" s="45" t="str">
        <f>_xlfn.TRANSLATE(P119,"pt","en")</f>
        <v>Telecom segment supplier: it is a sale of products</v>
      </c>
    </row>
    <row r="120" spans="1:27" ht="6.55" customHeight="1" x14ac:dyDescent="0.4">
      <c r="A120" s="51">
        <v>120</v>
      </c>
      <c r="B120" s="52" t="s">
        <v>75</v>
      </c>
      <c r="C120" s="56" t="s">
        <v>158</v>
      </c>
      <c r="D120" s="52" t="s">
        <v>316</v>
      </c>
      <c r="E120" s="52" t="s">
        <v>315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>_xlfn.CONCAT(SUBSTITUTE(C120,"1.",""))</f>
        <v>Fornecidos</v>
      </c>
      <c r="M120" s="23" t="str">
        <f>_xlfn.CONCAT(SUBSTITUTE(D120,"."," "))</f>
        <v>Segmentos dos Produto</v>
      </c>
      <c r="N120" s="23" t="str">
        <f>_xlfn.CONCAT(SUBSTITUTE(E120,"."," "))</f>
        <v>Segmento do Produto</v>
      </c>
      <c r="O120" s="23" t="str">
        <f>_xlfn.CONCAT(SUBSTITUTE(F120,"."," "))</f>
        <v>Produto de Geotécnica</v>
      </c>
      <c r="P120" s="23" t="s">
        <v>192</v>
      </c>
      <c r="Q120" s="26" t="str">
        <f>_xlfn.TRANSLATE(P120,"pt","es")</f>
        <v>Es un producto o elemento del segmento geotécnico</v>
      </c>
      <c r="R120" s="42" t="s">
        <v>9</v>
      </c>
      <c r="S120" s="43" t="str">
        <f>SUBSTITUTE(C120, ".", " ")</f>
        <v>Fornecidos</v>
      </c>
      <c r="T120" s="43" t="str">
        <f>SUBSTITUTE(D120, ".", " ")</f>
        <v>Segmentos dos Produto</v>
      </c>
      <c r="U120" s="43" t="str">
        <f>SUBSTITUTE(E120, ".", " ")</f>
        <v>Segmento do Produto</v>
      </c>
      <c r="V120" s="41" t="s">
        <v>184</v>
      </c>
      <c r="W120" s="60" t="str">
        <f>CONCATENATE("Key.Fab.",A120)</f>
        <v>Key.Fab.120</v>
      </c>
      <c r="X120" s="41" t="s">
        <v>9</v>
      </c>
      <c r="Y120" s="41" t="s">
        <v>9</v>
      </c>
      <c r="Z120" s="50" t="s">
        <v>438</v>
      </c>
      <c r="AA120" s="45" t="str">
        <f>_xlfn.TRANSLATE(P120,"pt","en")</f>
        <v>It is a product or element of the geotechnical segment</v>
      </c>
    </row>
    <row r="121" spans="1:27" ht="6.55" customHeight="1" x14ac:dyDescent="0.4">
      <c r="A121" s="51">
        <v>121</v>
      </c>
      <c r="B121" s="52" t="s">
        <v>75</v>
      </c>
      <c r="C121" s="56" t="s">
        <v>158</v>
      </c>
      <c r="D121" s="52" t="s">
        <v>316</v>
      </c>
      <c r="E121" s="52" t="s">
        <v>315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>_xlfn.CONCAT(SUBSTITUTE(C121,"1.",""))</f>
        <v>Fornecidos</v>
      </c>
      <c r="M121" s="23" t="str">
        <f>_xlfn.CONCAT(SUBSTITUTE(D121,"."," "))</f>
        <v>Segmentos dos Produto</v>
      </c>
      <c r="N121" s="23" t="str">
        <f>_xlfn.CONCAT(SUBSTITUTE(E121,"."," "))</f>
        <v>Segmento do Produto</v>
      </c>
      <c r="O121" s="23" t="str">
        <f>_xlfn.CONCAT(SUBSTITUTE(F121,"."," "))</f>
        <v>Produto de Obra</v>
      </c>
      <c r="P121" s="23" t="s">
        <v>218</v>
      </c>
      <c r="Q121" s="26" t="str">
        <f>_xlfn.TRANSLATE(P121,"pt","es")</f>
        <v>Es un producto o elemento del segmento de obra</v>
      </c>
      <c r="R121" s="42" t="s">
        <v>9</v>
      </c>
      <c r="S121" s="43" t="str">
        <f>SUBSTITUTE(C121, ".", " ")</f>
        <v>Fornecidos</v>
      </c>
      <c r="T121" s="43" t="str">
        <f>SUBSTITUTE(D121, ".", " ")</f>
        <v>Segmentos dos Produto</v>
      </c>
      <c r="U121" s="43" t="str">
        <f>SUBSTITUTE(E121, ".", " ")</f>
        <v>Segmento do Produto</v>
      </c>
      <c r="V121" s="41" t="s">
        <v>184</v>
      </c>
      <c r="W121" s="60" t="str">
        <f>CONCATENATE("Key.Fab.",A121)</f>
        <v>Key.Fab.121</v>
      </c>
      <c r="X121" s="41" t="s">
        <v>9</v>
      </c>
      <c r="Y121" s="41" t="s">
        <v>9</v>
      </c>
      <c r="Z121" s="50" t="s">
        <v>439</v>
      </c>
      <c r="AA121" s="45" t="str">
        <f>_xlfn.TRANSLATE(P121,"pt","en")</f>
        <v>It is a product or element of the construction site segment</v>
      </c>
    </row>
    <row r="122" spans="1:27" ht="6.55" customHeight="1" x14ac:dyDescent="0.4">
      <c r="A122" s="51">
        <v>122</v>
      </c>
      <c r="B122" s="52" t="s">
        <v>75</v>
      </c>
      <c r="C122" s="56" t="s">
        <v>158</v>
      </c>
      <c r="D122" s="52" t="s">
        <v>316</v>
      </c>
      <c r="E122" s="52" t="s">
        <v>315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>_xlfn.CONCAT(SUBSTITUTE(C122,"1.",""))</f>
        <v>Fornecidos</v>
      </c>
      <c r="M122" s="23" t="str">
        <f>_xlfn.CONCAT(SUBSTITUTE(D122,"."," "))</f>
        <v>Segmentos dos Produto</v>
      </c>
      <c r="N122" s="23" t="str">
        <f>_xlfn.CONCAT(SUBSTITUTE(E122,"."," "))</f>
        <v>Segmento do Produto</v>
      </c>
      <c r="O122" s="23" t="str">
        <f>_xlfn.CONCAT(SUBSTITUTE(F122,"."," "))</f>
        <v>Produto de Drenagem</v>
      </c>
      <c r="P122" s="23" t="s">
        <v>193</v>
      </c>
      <c r="Q122" s="26" t="str">
        <f>_xlfn.TRANSLATE(P122,"pt","es")</f>
        <v>Es un producto o elemento del segmento de drenaje</v>
      </c>
      <c r="R122" s="42" t="s">
        <v>9</v>
      </c>
      <c r="S122" s="43" t="str">
        <f>SUBSTITUTE(C122, ".", " ")</f>
        <v>Fornecidos</v>
      </c>
      <c r="T122" s="43" t="str">
        <f>SUBSTITUTE(D122, ".", " ")</f>
        <v>Segmentos dos Produto</v>
      </c>
      <c r="U122" s="43" t="str">
        <f>SUBSTITUTE(E122, ".", " ")</f>
        <v>Segmento do Produto</v>
      </c>
      <c r="V122" s="41" t="s">
        <v>184</v>
      </c>
      <c r="W122" s="60" t="str">
        <f>CONCATENATE("Key.Fab.",A122)</f>
        <v>Key.Fab.122</v>
      </c>
      <c r="X122" s="41" t="s">
        <v>9</v>
      </c>
      <c r="Y122" s="41" t="s">
        <v>9</v>
      </c>
      <c r="Z122" s="50" t="s">
        <v>440</v>
      </c>
      <c r="AA122" s="45" t="str">
        <f>_xlfn.TRANSLATE(P122,"pt","en")</f>
        <v>It is a product or element of the drainage segment</v>
      </c>
    </row>
    <row r="123" spans="1:27" ht="6.55" customHeight="1" x14ac:dyDescent="0.4">
      <c r="A123" s="51">
        <v>123</v>
      </c>
      <c r="B123" s="52" t="s">
        <v>75</v>
      </c>
      <c r="C123" s="56" t="s">
        <v>158</v>
      </c>
      <c r="D123" s="52" t="s">
        <v>316</v>
      </c>
      <c r="E123" s="52" t="s">
        <v>315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>_xlfn.CONCAT(SUBSTITUTE(C123,"1.",""))</f>
        <v>Fornecidos</v>
      </c>
      <c r="M123" s="23" t="str">
        <f>_xlfn.CONCAT(SUBSTITUTE(D123,"."," "))</f>
        <v>Segmentos dos Produto</v>
      </c>
      <c r="N123" s="23" t="str">
        <f>_xlfn.CONCAT(SUBSTITUTE(E123,"."," "))</f>
        <v>Segmento do Produto</v>
      </c>
      <c r="O123" s="23" t="str">
        <f>_xlfn.CONCAT(SUBSTITUTE(F123,"."," "))</f>
        <v>Produto de Tráfego</v>
      </c>
      <c r="P123" s="23" t="s">
        <v>217</v>
      </c>
      <c r="Q123" s="26" t="str">
        <f>_xlfn.TRANSLATE(P123,"pt","es")</f>
        <v>Es un producto o elemento del segmento de tráfico y pavimentación</v>
      </c>
      <c r="R123" s="42" t="s">
        <v>9</v>
      </c>
      <c r="S123" s="43" t="str">
        <f>SUBSTITUTE(C123, ".", " ")</f>
        <v>Fornecidos</v>
      </c>
      <c r="T123" s="43" t="str">
        <f>SUBSTITUTE(D123, ".", " ")</f>
        <v>Segmentos dos Produto</v>
      </c>
      <c r="U123" s="43" t="str">
        <f>SUBSTITUTE(E123, ".", " ")</f>
        <v>Segmento do Produto</v>
      </c>
      <c r="V123" s="41" t="s">
        <v>184</v>
      </c>
      <c r="W123" s="60" t="str">
        <f>CONCATENATE("Key.Fab.",A123)</f>
        <v>Key.Fab.123</v>
      </c>
      <c r="X123" s="41" t="s">
        <v>9</v>
      </c>
      <c r="Y123" s="41" t="s">
        <v>9</v>
      </c>
      <c r="Z123" s="50" t="s">
        <v>441</v>
      </c>
      <c r="AA123" s="45" t="str">
        <f>_xlfn.TRANSLATE(P123,"pt","en")</f>
        <v>It is a product or element of the traffic and paving segment</v>
      </c>
    </row>
    <row r="124" spans="1:27" ht="6.55" customHeight="1" x14ac:dyDescent="0.4">
      <c r="A124" s="51">
        <v>124</v>
      </c>
      <c r="B124" s="52" t="s">
        <v>75</v>
      </c>
      <c r="C124" s="56" t="s">
        <v>158</v>
      </c>
      <c r="D124" s="52" t="s">
        <v>316</v>
      </c>
      <c r="E124" s="52" t="s">
        <v>315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>_xlfn.CONCAT(SUBSTITUTE(C124,"1.",""))</f>
        <v>Fornecidos</v>
      </c>
      <c r="M124" s="23" t="str">
        <f>_xlfn.CONCAT(SUBSTITUTE(D124,"."," "))</f>
        <v>Segmentos dos Produto</v>
      </c>
      <c r="N124" s="23" t="str">
        <f>_xlfn.CONCAT(SUBSTITUTE(E124,"."," "))</f>
        <v>Segmento do Produto</v>
      </c>
      <c r="O124" s="23" t="str">
        <f>_xlfn.CONCAT(SUBSTITUTE(F124,"."," "))</f>
        <v>Produto de Fundação</v>
      </c>
      <c r="P124" s="23" t="s">
        <v>191</v>
      </c>
      <c r="Q124" s="26" t="str">
        <f>_xlfn.TRANSLATE(P124,"pt","es")</f>
        <v>Es un producto o elemento del segmento de estructura de la cimentación</v>
      </c>
      <c r="R124" s="42" t="s">
        <v>9</v>
      </c>
      <c r="S124" s="43" t="str">
        <f>SUBSTITUTE(C124, ".", " ")</f>
        <v>Fornecidos</v>
      </c>
      <c r="T124" s="43" t="str">
        <f>SUBSTITUTE(D124, ".", " ")</f>
        <v>Segmentos dos Produto</v>
      </c>
      <c r="U124" s="43" t="str">
        <f>SUBSTITUTE(E124, ".", " ")</f>
        <v>Segmento do Produto</v>
      </c>
      <c r="V124" s="41" t="s">
        <v>184</v>
      </c>
      <c r="W124" s="60" t="str">
        <f>CONCATENATE("Key.Fab.",A124)</f>
        <v>Key.Fab.124</v>
      </c>
      <c r="X124" s="41" t="s">
        <v>9</v>
      </c>
      <c r="Y124" s="41" t="s">
        <v>9</v>
      </c>
      <c r="Z124" s="50" t="s">
        <v>442</v>
      </c>
      <c r="AA124" s="45" t="str">
        <f>_xlfn.TRANSLATE(P124,"pt","en")</f>
        <v>It is a product or element of the foundation structure segment</v>
      </c>
    </row>
    <row r="125" spans="1:27" ht="6.55" customHeight="1" x14ac:dyDescent="0.4">
      <c r="A125" s="51">
        <v>125</v>
      </c>
      <c r="B125" s="52" t="s">
        <v>75</v>
      </c>
      <c r="C125" s="56" t="s">
        <v>158</v>
      </c>
      <c r="D125" s="52" t="s">
        <v>316</v>
      </c>
      <c r="E125" s="52" t="s">
        <v>315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>_xlfn.CONCAT(SUBSTITUTE(C125,"1.",""))</f>
        <v>Fornecidos</v>
      </c>
      <c r="M125" s="23" t="str">
        <f>_xlfn.CONCAT(SUBSTITUTE(D125,"."," "))</f>
        <v>Segmentos dos Produto</v>
      </c>
      <c r="N125" s="23" t="str">
        <f>_xlfn.CONCAT(SUBSTITUTE(E125,"."," "))</f>
        <v>Segmento do Produto</v>
      </c>
      <c r="O125" s="23" t="str">
        <f>_xlfn.CONCAT(SUBSTITUTE(F125,"."," "))</f>
        <v>Produto de Estrutura</v>
      </c>
      <c r="P125" s="23" t="s">
        <v>194</v>
      </c>
      <c r="Q125" s="26" t="str">
        <f>_xlfn.TRANSLATE(P125,"pt","es")</f>
        <v>Es un producto o elemento del segmento de estructura</v>
      </c>
      <c r="R125" s="42" t="s">
        <v>9</v>
      </c>
      <c r="S125" s="43" t="str">
        <f>SUBSTITUTE(C125, ".", " ")</f>
        <v>Fornecidos</v>
      </c>
      <c r="T125" s="43" t="str">
        <f>SUBSTITUTE(D125, ".", " ")</f>
        <v>Segmentos dos Produto</v>
      </c>
      <c r="U125" s="43" t="str">
        <f>SUBSTITUTE(E125, ".", " ")</f>
        <v>Segmento do Produto</v>
      </c>
      <c r="V125" s="41" t="s">
        <v>184</v>
      </c>
      <c r="W125" s="60" t="str">
        <f>CONCATENATE("Key.Fab.",A125)</f>
        <v>Key.Fab.125</v>
      </c>
      <c r="X125" s="41" t="s">
        <v>9</v>
      </c>
      <c r="Y125" s="41" t="s">
        <v>9</v>
      </c>
      <c r="Z125" s="50" t="s">
        <v>443</v>
      </c>
      <c r="AA125" s="45" t="str">
        <f>_xlfn.TRANSLATE(P125,"pt","en")</f>
        <v>It is a product or element of the structure segment</v>
      </c>
    </row>
    <row r="126" spans="1:27" ht="6.55" customHeight="1" x14ac:dyDescent="0.4">
      <c r="A126" s="51">
        <v>126</v>
      </c>
      <c r="B126" s="52" t="s">
        <v>75</v>
      </c>
      <c r="C126" s="56" t="s">
        <v>158</v>
      </c>
      <c r="D126" s="52" t="s">
        <v>316</v>
      </c>
      <c r="E126" s="52" t="s">
        <v>315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>_xlfn.CONCAT(SUBSTITUTE(C126,"1.",""))</f>
        <v>Fornecidos</v>
      </c>
      <c r="M126" s="23" t="str">
        <f>_xlfn.CONCAT(SUBSTITUTE(D126,"."," "))</f>
        <v>Segmentos dos Produto</v>
      </c>
      <c r="N126" s="23" t="str">
        <f>_xlfn.CONCAT(SUBSTITUTE(E126,"."," "))</f>
        <v>Segmento do Produto</v>
      </c>
      <c r="O126" s="23" t="str">
        <f>_xlfn.CONCAT(SUBSTITUTE(F126,"."," "))</f>
        <v>Produto de Vedação</v>
      </c>
      <c r="P126" s="23" t="s">
        <v>216</v>
      </c>
      <c r="Q126" s="26" t="str">
        <f>_xlfn.TRANSLATE(P126,"pt","es")</f>
        <v>Es un producto o elemento del segmento de sellado, paredes y tejados</v>
      </c>
      <c r="R126" s="42" t="s">
        <v>9</v>
      </c>
      <c r="S126" s="43" t="str">
        <f>SUBSTITUTE(C126, ".", " ")</f>
        <v>Fornecidos</v>
      </c>
      <c r="T126" s="43" t="str">
        <f>SUBSTITUTE(D126, ".", " ")</f>
        <v>Segmentos dos Produto</v>
      </c>
      <c r="U126" s="43" t="str">
        <f>SUBSTITUTE(E126, ".", " ")</f>
        <v>Segmento do Produto</v>
      </c>
      <c r="V126" s="41" t="s">
        <v>184</v>
      </c>
      <c r="W126" s="60" t="str">
        <f>CONCATENATE("Key.Fab.",A126)</f>
        <v>Key.Fab.126</v>
      </c>
      <c r="X126" s="41" t="s">
        <v>9</v>
      </c>
      <c r="Y126" s="41" t="s">
        <v>9</v>
      </c>
      <c r="Z126" s="50" t="s">
        <v>444</v>
      </c>
      <c r="AA126" s="45" t="str">
        <f>_xlfn.TRANSLATE(P126,"pt","en")</f>
        <v>It is a product or element of the sealing, walls and roofs segment</v>
      </c>
    </row>
    <row r="127" spans="1:27" ht="6.55" customHeight="1" x14ac:dyDescent="0.4">
      <c r="A127" s="51">
        <v>127</v>
      </c>
      <c r="B127" s="52" t="s">
        <v>75</v>
      </c>
      <c r="C127" s="56" t="s">
        <v>158</v>
      </c>
      <c r="D127" s="52" t="s">
        <v>316</v>
      </c>
      <c r="E127" s="52" t="s">
        <v>315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>_xlfn.CONCAT(SUBSTITUTE(C127,"1.",""))</f>
        <v>Fornecidos</v>
      </c>
      <c r="M127" s="23" t="str">
        <f>_xlfn.CONCAT(SUBSTITUTE(D127,"."," "))</f>
        <v>Segmentos dos Produto</v>
      </c>
      <c r="N127" s="23" t="str">
        <f>_xlfn.CONCAT(SUBSTITUTE(E127,"."," "))</f>
        <v>Segmento do Produto</v>
      </c>
      <c r="O127" s="23" t="str">
        <f>_xlfn.CONCAT(SUBSTITUTE(F127,"."," "))</f>
        <v>Produto de Acabado</v>
      </c>
      <c r="P127" s="23" t="s">
        <v>195</v>
      </c>
      <c r="Q127" s="26" t="str">
        <f>_xlfn.TRANSLATE(P127,"pt","es")</f>
        <v>Es un producto o elemento del segmento terminado</v>
      </c>
      <c r="R127" s="42" t="s">
        <v>9</v>
      </c>
      <c r="S127" s="43" t="str">
        <f>SUBSTITUTE(C127, ".", " ")</f>
        <v>Fornecidos</v>
      </c>
      <c r="T127" s="43" t="str">
        <f>SUBSTITUTE(D127, ".", " ")</f>
        <v>Segmentos dos Produto</v>
      </c>
      <c r="U127" s="43" t="str">
        <f>SUBSTITUTE(E127, ".", " ")</f>
        <v>Segmento do Produto</v>
      </c>
      <c r="V127" s="41" t="s">
        <v>184</v>
      </c>
      <c r="W127" s="60" t="str">
        <f>CONCATENATE("Key.Fab.",A127)</f>
        <v>Key.Fab.127</v>
      </c>
      <c r="X127" s="41" t="s">
        <v>9</v>
      </c>
      <c r="Y127" s="41" t="s">
        <v>9</v>
      </c>
      <c r="Z127" s="50" t="s">
        <v>445</v>
      </c>
      <c r="AA127" s="45" t="str">
        <f>_xlfn.TRANSLATE(P127,"pt","en")</f>
        <v>It is a product or element of the finished segment</v>
      </c>
    </row>
    <row r="128" spans="1:27" ht="6.55" customHeight="1" x14ac:dyDescent="0.4">
      <c r="A128" s="51">
        <v>128</v>
      </c>
      <c r="B128" s="52" t="s">
        <v>75</v>
      </c>
      <c r="C128" s="56" t="s">
        <v>158</v>
      </c>
      <c r="D128" s="52" t="s">
        <v>316</v>
      </c>
      <c r="E128" s="52" t="s">
        <v>315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>_xlfn.CONCAT(SUBSTITUTE(C128,"1.",""))</f>
        <v>Fornecidos</v>
      </c>
      <c r="M128" s="23" t="str">
        <f>_xlfn.CONCAT(SUBSTITUTE(D128,"."," "))</f>
        <v>Segmentos dos Produto</v>
      </c>
      <c r="N128" s="23" t="str">
        <f>_xlfn.CONCAT(SUBSTITUTE(E128,"."," "))</f>
        <v>Segmento do Produto</v>
      </c>
      <c r="O128" s="23" t="str">
        <f>_xlfn.CONCAT(SUBSTITUTE(F128,"."," "))</f>
        <v>Produto de Abertura</v>
      </c>
      <c r="P128" s="23" t="s">
        <v>215</v>
      </c>
      <c r="Q128" s="26" t="str">
        <f>_xlfn.TRANSLATE(P128,"pt","es")</f>
        <v>Es un producto o elemento del segmento de aberturas y marcos</v>
      </c>
      <c r="R128" s="42" t="s">
        <v>9</v>
      </c>
      <c r="S128" s="43" t="str">
        <f>SUBSTITUTE(C128, ".", " ")</f>
        <v>Fornecidos</v>
      </c>
      <c r="T128" s="43" t="str">
        <f>SUBSTITUTE(D128, ".", " ")</f>
        <v>Segmentos dos Produto</v>
      </c>
      <c r="U128" s="43" t="str">
        <f>SUBSTITUTE(E128, ".", " ")</f>
        <v>Segmento do Produto</v>
      </c>
      <c r="V128" s="41" t="s">
        <v>184</v>
      </c>
      <c r="W128" s="60" t="str">
        <f>CONCATENATE("Key.Fab.",A128)</f>
        <v>Key.Fab.128</v>
      </c>
      <c r="X128" s="41" t="s">
        <v>9</v>
      </c>
      <c r="Y128" s="41" t="s">
        <v>9</v>
      </c>
      <c r="Z128" s="50" t="s">
        <v>446</v>
      </c>
      <c r="AA128" s="45" t="str">
        <f>_xlfn.TRANSLATE(P128,"pt","en")</f>
        <v>It is a product or element of the openings and frames segment</v>
      </c>
    </row>
    <row r="129" spans="1:27" ht="6.55" customHeight="1" x14ac:dyDescent="0.4">
      <c r="A129" s="51">
        <v>129</v>
      </c>
      <c r="B129" s="52" t="s">
        <v>75</v>
      </c>
      <c r="C129" s="56" t="s">
        <v>158</v>
      </c>
      <c r="D129" s="52" t="s">
        <v>316</v>
      </c>
      <c r="E129" s="52" t="s">
        <v>315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>_xlfn.CONCAT(SUBSTITUTE(C129,"1.",""))</f>
        <v>Fornecidos</v>
      </c>
      <c r="M129" s="23" t="str">
        <f>_xlfn.CONCAT(SUBSTITUTE(D129,"."," "))</f>
        <v>Segmentos dos Produto</v>
      </c>
      <c r="N129" s="23" t="str">
        <f>_xlfn.CONCAT(SUBSTITUTE(E129,"."," "))</f>
        <v>Segmento do Produto</v>
      </c>
      <c r="O129" s="23" t="str">
        <f>_xlfn.CONCAT(SUBSTITUTE(F129,"."," "))</f>
        <v>Produto de Acústica</v>
      </c>
      <c r="P129" s="23" t="s">
        <v>196</v>
      </c>
      <c r="Q129" s="26" t="str">
        <f>_xlfn.TRANSLATE(P129,"pt","es")</f>
        <v>Es un producto o elemento del segmento acústico</v>
      </c>
      <c r="R129" s="42" t="s">
        <v>9</v>
      </c>
      <c r="S129" s="43" t="str">
        <f>SUBSTITUTE(C129, ".", " ")</f>
        <v>Fornecidos</v>
      </c>
      <c r="T129" s="43" t="str">
        <f>SUBSTITUTE(D129, ".", " ")</f>
        <v>Segmentos dos Produto</v>
      </c>
      <c r="U129" s="43" t="str">
        <f>SUBSTITUTE(E129, ".", " ")</f>
        <v>Segmento do Produto</v>
      </c>
      <c r="V129" s="41" t="s">
        <v>184</v>
      </c>
      <c r="W129" s="60" t="str">
        <f>CONCATENATE("Key.Fab.",A129)</f>
        <v>Key.Fab.129</v>
      </c>
      <c r="X129" s="41" t="s">
        <v>9</v>
      </c>
      <c r="Y129" s="41" t="s">
        <v>9</v>
      </c>
      <c r="Z129" s="50" t="s">
        <v>447</v>
      </c>
      <c r="AA129" s="45" t="str">
        <f>_xlfn.TRANSLATE(P129,"pt","en")</f>
        <v>It is a product or element of the acoustics segment</v>
      </c>
    </row>
    <row r="130" spans="1:27" ht="6.55" customHeight="1" x14ac:dyDescent="0.4">
      <c r="A130" s="51">
        <v>130</v>
      </c>
      <c r="B130" s="52" t="s">
        <v>75</v>
      </c>
      <c r="C130" s="56" t="s">
        <v>158</v>
      </c>
      <c r="D130" s="52" t="s">
        <v>316</v>
      </c>
      <c r="E130" s="52" t="s">
        <v>315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>_xlfn.CONCAT(SUBSTITUTE(C130,"1.",""))</f>
        <v>Fornecidos</v>
      </c>
      <c r="M130" s="23" t="str">
        <f>_xlfn.CONCAT(SUBSTITUTE(D130,"."," "))</f>
        <v>Segmentos dos Produto</v>
      </c>
      <c r="N130" s="23" t="str">
        <f>_xlfn.CONCAT(SUBSTITUTE(E130,"."," "))</f>
        <v>Segmento do Produto</v>
      </c>
      <c r="O130" s="23" t="str">
        <f>_xlfn.CONCAT(SUBSTITUTE(F130,"."," "))</f>
        <v>Produto de Elétrica</v>
      </c>
      <c r="P130" s="23" t="s">
        <v>197</v>
      </c>
      <c r="Q130" s="26" t="str">
        <f>_xlfn.TRANSLATE(P130,"pt","es")</f>
        <v>Es un producto o elemento del segmento eléctrico</v>
      </c>
      <c r="R130" s="42" t="s">
        <v>9</v>
      </c>
      <c r="S130" s="43" t="str">
        <f>SUBSTITUTE(C130, ".", " ")</f>
        <v>Fornecidos</v>
      </c>
      <c r="T130" s="43" t="str">
        <f>SUBSTITUTE(D130, ".", " ")</f>
        <v>Segmentos dos Produto</v>
      </c>
      <c r="U130" s="43" t="str">
        <f>SUBSTITUTE(E130, ".", " ")</f>
        <v>Segmento do Produto</v>
      </c>
      <c r="V130" s="41" t="s">
        <v>184</v>
      </c>
      <c r="W130" s="60" t="str">
        <f>CONCATENATE("Key.Fab.",A130)</f>
        <v>Key.Fab.130</v>
      </c>
      <c r="X130" s="41" t="s">
        <v>9</v>
      </c>
      <c r="Y130" s="41" t="s">
        <v>9</v>
      </c>
      <c r="Z130" s="50" t="s">
        <v>448</v>
      </c>
      <c r="AA130" s="45" t="str">
        <f>_xlfn.TRANSLATE(P130,"pt","en")</f>
        <v>It is a product or element of the electrical segment</v>
      </c>
    </row>
    <row r="131" spans="1:27" ht="6.55" customHeight="1" x14ac:dyDescent="0.4">
      <c r="A131" s="51">
        <v>131</v>
      </c>
      <c r="B131" s="52" t="s">
        <v>75</v>
      </c>
      <c r="C131" s="56" t="s">
        <v>158</v>
      </c>
      <c r="D131" s="52" t="s">
        <v>316</v>
      </c>
      <c r="E131" s="52" t="s">
        <v>315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>_xlfn.CONCAT(SUBSTITUTE(C131,"1.",""))</f>
        <v>Fornecidos</v>
      </c>
      <c r="M131" s="23" t="str">
        <f>_xlfn.CONCAT(SUBSTITUTE(D131,"."," "))</f>
        <v>Segmentos dos Produto</v>
      </c>
      <c r="N131" s="23" t="str">
        <f>_xlfn.CONCAT(SUBSTITUTE(E131,"."," "))</f>
        <v>Segmento do Produto</v>
      </c>
      <c r="O131" s="23" t="str">
        <f>_xlfn.CONCAT(SUBSTITUTE(F131,"."," "))</f>
        <v>Produto de Iluminação</v>
      </c>
      <c r="P131" s="23" t="s">
        <v>183</v>
      </c>
      <c r="Q131" s="26" t="str">
        <f>_xlfn.TRANSLATE(P131,"pt","es")</f>
        <v>Es un producto o elemento del segmento de Iluminación</v>
      </c>
      <c r="R131" s="42" t="s">
        <v>9</v>
      </c>
      <c r="S131" s="43" t="str">
        <f>SUBSTITUTE(C131, ".", " ")</f>
        <v>Fornecidos</v>
      </c>
      <c r="T131" s="43" t="str">
        <f>SUBSTITUTE(D131, ".", " ")</f>
        <v>Segmentos dos Produto</v>
      </c>
      <c r="U131" s="43" t="str">
        <f>SUBSTITUTE(E131, ".", " ")</f>
        <v>Segmento do Produto</v>
      </c>
      <c r="V131" s="41" t="s">
        <v>184</v>
      </c>
      <c r="W131" s="60" t="str">
        <f>CONCATENATE("Key.Fab.",A131)</f>
        <v>Key.Fab.131</v>
      </c>
      <c r="X131" s="41" t="s">
        <v>9</v>
      </c>
      <c r="Y131" s="41" t="s">
        <v>9</v>
      </c>
      <c r="Z131" s="50" t="s">
        <v>449</v>
      </c>
      <c r="AA131" s="45" t="str">
        <f>_xlfn.TRANSLATE(P131,"pt","en")</f>
        <v>It is a product or element of the Lighting segment</v>
      </c>
    </row>
    <row r="132" spans="1:27" ht="6.55" customHeight="1" x14ac:dyDescent="0.4">
      <c r="A132" s="51">
        <v>132</v>
      </c>
      <c r="B132" s="52" t="s">
        <v>75</v>
      </c>
      <c r="C132" s="56" t="s">
        <v>158</v>
      </c>
      <c r="D132" s="52" t="s">
        <v>316</v>
      </c>
      <c r="E132" s="52" t="s">
        <v>315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>_xlfn.CONCAT(SUBSTITUTE(C132,"1.",""))</f>
        <v>Fornecidos</v>
      </c>
      <c r="M132" s="23" t="str">
        <f>_xlfn.CONCAT(SUBSTITUTE(D132,"."," "))</f>
        <v>Segmentos dos Produto</v>
      </c>
      <c r="N132" s="23" t="str">
        <f>_xlfn.CONCAT(SUBSTITUTE(E132,"."," "))</f>
        <v>Segmento do Produto</v>
      </c>
      <c r="O132" s="23" t="str">
        <f>_xlfn.CONCAT(SUBSTITUTE(F132,"."," "))</f>
        <v>Produto de Exaustão Ventilação</v>
      </c>
      <c r="P132" s="23" t="s">
        <v>198</v>
      </c>
      <c r="Q132" s="26" t="str">
        <f>_xlfn.TRANSLATE(P132,"pt","es")</f>
        <v>Es un producto o elemento del segmento de extracción y ventilación</v>
      </c>
      <c r="R132" s="42" t="s">
        <v>9</v>
      </c>
      <c r="S132" s="43" t="str">
        <f>SUBSTITUTE(C132, ".", " ")</f>
        <v>Fornecidos</v>
      </c>
      <c r="T132" s="43" t="str">
        <f>SUBSTITUTE(D132, ".", " ")</f>
        <v>Segmentos dos Produto</v>
      </c>
      <c r="U132" s="43" t="str">
        <f>SUBSTITUTE(E132, ".", " ")</f>
        <v>Segmento do Produto</v>
      </c>
      <c r="V132" s="41" t="s">
        <v>184</v>
      </c>
      <c r="W132" s="60" t="str">
        <f>CONCATENATE("Key.Fab.",A132)</f>
        <v>Key.Fab.132</v>
      </c>
      <c r="X132" s="41" t="s">
        <v>9</v>
      </c>
      <c r="Y132" s="41" t="s">
        <v>9</v>
      </c>
      <c r="Z132" s="50" t="s">
        <v>450</v>
      </c>
      <c r="AA132" s="45" t="str">
        <f>_xlfn.TRANSLATE(P132,"pt","en")</f>
        <v>It is a product or element of the exhaust and ventilation segment</v>
      </c>
    </row>
    <row r="133" spans="1:27" ht="6.55" customHeight="1" x14ac:dyDescent="0.4">
      <c r="A133" s="51">
        <v>133</v>
      </c>
      <c r="B133" s="52" t="s">
        <v>75</v>
      </c>
      <c r="C133" s="56" t="s">
        <v>158</v>
      </c>
      <c r="D133" s="52" t="s">
        <v>316</v>
      </c>
      <c r="E133" s="52" t="s">
        <v>315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>_xlfn.CONCAT(SUBSTITUTE(C133,"1.",""))</f>
        <v>Fornecidos</v>
      </c>
      <c r="M133" s="23" t="str">
        <f>_xlfn.CONCAT(SUBSTITUTE(D133,"."," "))</f>
        <v>Segmentos dos Produto</v>
      </c>
      <c r="N133" s="23" t="str">
        <f>_xlfn.CONCAT(SUBSTITUTE(E133,"."," "))</f>
        <v>Segmento do Produto</v>
      </c>
      <c r="O133" s="23" t="str">
        <f>_xlfn.CONCAT(SUBSTITUTE(F133,"."," "))</f>
        <v>Produto de Telecom Urbana</v>
      </c>
      <c r="P133" s="23" t="s">
        <v>203</v>
      </c>
      <c r="Q133" s="26" t="str">
        <f>_xlfn.TRANSLATE(P133,"pt","es")</f>
        <v>Es un producto o elemento del segmento de la red de telecomunicaciones urbana</v>
      </c>
      <c r="R133" s="42" t="s">
        <v>9</v>
      </c>
      <c r="S133" s="43" t="str">
        <f>SUBSTITUTE(C133, ".", " ")</f>
        <v>Fornecidos</v>
      </c>
      <c r="T133" s="43" t="str">
        <f>SUBSTITUTE(D133, ".", " ")</f>
        <v>Segmentos dos Produto</v>
      </c>
      <c r="U133" s="43" t="str">
        <f>SUBSTITUTE(E133, ".", " ")</f>
        <v>Segmento do Produto</v>
      </c>
      <c r="V133" s="41" t="s">
        <v>184</v>
      </c>
      <c r="W133" s="60" t="str">
        <f>CONCATENATE("Key.Fab.",A133)</f>
        <v>Key.Fab.133</v>
      </c>
      <c r="X133" s="41" t="s">
        <v>9</v>
      </c>
      <c r="Y133" s="41" t="s">
        <v>9</v>
      </c>
      <c r="Z133" s="50" t="s">
        <v>451</v>
      </c>
      <c r="AA133" s="45" t="str">
        <f>_xlfn.TRANSLATE(P133,"pt","en")</f>
        <v>It is a product or element of the urban telecom network segment</v>
      </c>
    </row>
    <row r="134" spans="1:27" ht="6.55" customHeight="1" x14ac:dyDescent="0.4">
      <c r="A134" s="51">
        <v>134</v>
      </c>
      <c r="B134" s="52" t="s">
        <v>75</v>
      </c>
      <c r="C134" s="56" t="s">
        <v>158</v>
      </c>
      <c r="D134" s="52" t="s">
        <v>316</v>
      </c>
      <c r="E134" s="52" t="s">
        <v>315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>_xlfn.CONCAT(SUBSTITUTE(C134,"1.",""))</f>
        <v>Fornecidos</v>
      </c>
      <c r="M134" s="23" t="str">
        <f>_xlfn.CONCAT(SUBSTITUTE(D134,"."," "))</f>
        <v>Segmentos dos Produto</v>
      </c>
      <c r="N134" s="23" t="str">
        <f>_xlfn.CONCAT(SUBSTITUTE(E134,"."," "))</f>
        <v>Segmento do Produto</v>
      </c>
      <c r="O134" s="23" t="str">
        <f>_xlfn.CONCAT(SUBSTITUTE(F134,"."," "))</f>
        <v>Produto de Telecom Predial</v>
      </c>
      <c r="P134" s="23" t="s">
        <v>204</v>
      </c>
      <c r="Q134" s="26" t="str">
        <f>_xlfn.TRANSLATE(P134,"pt","es")</f>
        <v>Es un producto o elemento del segmento de redes de telecomunicaciones en construcción</v>
      </c>
      <c r="R134" s="42" t="s">
        <v>9</v>
      </c>
      <c r="S134" s="43" t="str">
        <f>SUBSTITUTE(C134, ".", " ")</f>
        <v>Fornecidos</v>
      </c>
      <c r="T134" s="43" t="str">
        <f>SUBSTITUTE(D134, ".", " ")</f>
        <v>Segmentos dos Produto</v>
      </c>
      <c r="U134" s="43" t="str">
        <f>SUBSTITUTE(E134, ".", " ")</f>
        <v>Segmento do Produto</v>
      </c>
      <c r="V134" s="41" t="s">
        <v>184</v>
      </c>
      <c r="W134" s="60" t="str">
        <f>CONCATENATE("Key.Fab.",A134)</f>
        <v>Key.Fab.134</v>
      </c>
      <c r="X134" s="41" t="s">
        <v>9</v>
      </c>
      <c r="Y134" s="41" t="s">
        <v>9</v>
      </c>
      <c r="Z134" s="50" t="s">
        <v>452</v>
      </c>
      <c r="AA134" s="45" t="str">
        <f>_xlfn.TRANSLATE(P134,"pt","en")</f>
        <v>It is a product or element of the building telecom network segment</v>
      </c>
    </row>
    <row r="135" spans="1:27" ht="6.55" customHeight="1" x14ac:dyDescent="0.4">
      <c r="A135" s="51">
        <v>135</v>
      </c>
      <c r="B135" s="52" t="s">
        <v>75</v>
      </c>
      <c r="C135" s="56" t="s">
        <v>158</v>
      </c>
      <c r="D135" s="52" t="s">
        <v>316</v>
      </c>
      <c r="E135" s="52" t="s">
        <v>315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>_xlfn.CONCAT(SUBSTITUTE(C135,"1.",""))</f>
        <v>Fornecidos</v>
      </c>
      <c r="M135" s="23" t="str">
        <f>_xlfn.CONCAT(SUBSTITUTE(D135,"."," "))</f>
        <v>Segmentos dos Produto</v>
      </c>
      <c r="N135" s="23" t="str">
        <f>_xlfn.CONCAT(SUBSTITUTE(E135,"."," "))</f>
        <v>Segmento do Produto</v>
      </c>
      <c r="O135" s="23" t="str">
        <f>_xlfn.CONCAT(SUBSTITUTE(F135,"."," "))</f>
        <v>Produto de Hidráulica Urbana</v>
      </c>
      <c r="P135" s="23" t="s">
        <v>202</v>
      </c>
      <c r="Q135" s="26" t="str">
        <f>_xlfn.TRANSLATE(P135,"pt","es")</f>
        <v>Es un producto o elemento del segmento de la red de hidráulica urbana</v>
      </c>
      <c r="R135" s="42" t="s">
        <v>9</v>
      </c>
      <c r="S135" s="43" t="str">
        <f>SUBSTITUTE(C135, ".", " ")</f>
        <v>Fornecidos</v>
      </c>
      <c r="T135" s="43" t="str">
        <f>SUBSTITUTE(D135, ".", " ")</f>
        <v>Segmentos dos Produto</v>
      </c>
      <c r="U135" s="43" t="str">
        <f>SUBSTITUTE(E135, ".", " ")</f>
        <v>Segmento do Produto</v>
      </c>
      <c r="V135" s="41" t="s">
        <v>184</v>
      </c>
      <c r="W135" s="60" t="str">
        <f>CONCATENATE("Key.Fab.",A135)</f>
        <v>Key.Fab.135</v>
      </c>
      <c r="X135" s="41" t="s">
        <v>9</v>
      </c>
      <c r="Y135" s="41" t="s">
        <v>9</v>
      </c>
      <c r="Z135" s="50" t="s">
        <v>453</v>
      </c>
      <c r="AA135" s="45" t="str">
        <f>_xlfn.TRANSLATE(P135,"pt","en")</f>
        <v>It is a product or element of the urban hydraulics network segment</v>
      </c>
    </row>
    <row r="136" spans="1:27" ht="6.55" customHeight="1" x14ac:dyDescent="0.4">
      <c r="A136" s="51">
        <v>136</v>
      </c>
      <c r="B136" s="52" t="s">
        <v>75</v>
      </c>
      <c r="C136" s="56" t="s">
        <v>158</v>
      </c>
      <c r="D136" s="52" t="s">
        <v>316</v>
      </c>
      <c r="E136" s="52" t="s">
        <v>315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>_xlfn.CONCAT(SUBSTITUTE(C136,"1.",""))</f>
        <v>Fornecidos</v>
      </c>
      <c r="M136" s="23" t="str">
        <f>_xlfn.CONCAT(SUBSTITUTE(D136,"."," "))</f>
        <v>Segmentos dos Produto</v>
      </c>
      <c r="N136" s="23" t="str">
        <f>_xlfn.CONCAT(SUBSTITUTE(E136,"."," "))</f>
        <v>Segmento do Produto</v>
      </c>
      <c r="O136" s="23" t="str">
        <f>_xlfn.CONCAT(SUBSTITUTE(F136,"."," "))</f>
        <v>Produto de Hidráulica Predial</v>
      </c>
      <c r="P136" s="23" t="s">
        <v>201</v>
      </c>
      <c r="Q136" s="26" t="str">
        <f>_xlfn.TRANSLATE(P136,"pt","es")</f>
        <v>Es un producto o elemento del segmento de redes hidráulicas para edificios</v>
      </c>
      <c r="R136" s="42" t="s">
        <v>9</v>
      </c>
      <c r="S136" s="43" t="str">
        <f>SUBSTITUTE(C136, ".", " ")</f>
        <v>Fornecidos</v>
      </c>
      <c r="T136" s="43" t="str">
        <f>SUBSTITUTE(D136, ".", " ")</f>
        <v>Segmentos dos Produto</v>
      </c>
      <c r="U136" s="43" t="str">
        <f>SUBSTITUTE(E136, ".", " ")</f>
        <v>Segmento do Produto</v>
      </c>
      <c r="V136" s="41" t="s">
        <v>184</v>
      </c>
      <c r="W136" s="60" t="str">
        <f>CONCATENATE("Key.Fab.",A136)</f>
        <v>Key.Fab.136</v>
      </c>
      <c r="X136" s="41" t="s">
        <v>9</v>
      </c>
      <c r="Y136" s="41" t="s">
        <v>9</v>
      </c>
      <c r="Z136" s="50" t="s">
        <v>454</v>
      </c>
      <c r="AA136" s="45" t="str">
        <f>_xlfn.TRANSLATE(P136,"pt","en")</f>
        <v>It is a product or element of the building hydraulic network segment</v>
      </c>
    </row>
    <row r="137" spans="1:27" ht="6.55" customHeight="1" x14ac:dyDescent="0.4">
      <c r="A137" s="51">
        <v>137</v>
      </c>
      <c r="B137" s="52" t="s">
        <v>75</v>
      </c>
      <c r="C137" s="56" t="s">
        <v>158</v>
      </c>
      <c r="D137" s="52" t="s">
        <v>316</v>
      </c>
      <c r="E137" s="52" t="s">
        <v>315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>_xlfn.CONCAT(SUBSTITUTE(C137,"1.",""))</f>
        <v>Fornecidos</v>
      </c>
      <c r="M137" s="23" t="str">
        <f>_xlfn.CONCAT(SUBSTITUTE(D137,"."," "))</f>
        <v>Segmentos dos Produto</v>
      </c>
      <c r="N137" s="23" t="str">
        <f>_xlfn.CONCAT(SUBSTITUTE(E137,"."," "))</f>
        <v>Segmento do Produto</v>
      </c>
      <c r="O137" s="23" t="str">
        <f>_xlfn.CONCAT(SUBSTITUTE(F137,"."," "))</f>
        <v>Produto de Pluvial</v>
      </c>
      <c r="P137" s="23" t="s">
        <v>205</v>
      </c>
      <c r="Q137" s="26" t="str">
        <f>_xlfn.TRANSLATE(P137,"pt","es")</f>
        <v>Es un producto o elemento del segmento de la red de aguas pluviales</v>
      </c>
      <c r="R137" s="42" t="s">
        <v>9</v>
      </c>
      <c r="S137" s="43" t="str">
        <f>SUBSTITUTE(C137, ".", " ")</f>
        <v>Fornecidos</v>
      </c>
      <c r="T137" s="43" t="str">
        <f>SUBSTITUTE(D137, ".", " ")</f>
        <v>Segmentos dos Produto</v>
      </c>
      <c r="U137" s="43" t="str">
        <f>SUBSTITUTE(E137, ".", " ")</f>
        <v>Segmento do Produto</v>
      </c>
      <c r="V137" s="41" t="s">
        <v>184</v>
      </c>
      <c r="W137" s="60" t="str">
        <f>CONCATENATE("Key.Fab.",A137)</f>
        <v>Key.Fab.137</v>
      </c>
      <c r="X137" s="41" t="s">
        <v>9</v>
      </c>
      <c r="Y137" s="41" t="s">
        <v>9</v>
      </c>
      <c r="Z137" s="50" t="s">
        <v>455</v>
      </c>
      <c r="AA137" s="45" t="str">
        <f>_xlfn.TRANSLATE(P137,"pt","en")</f>
        <v>It is a product or element of the rainwater network segment</v>
      </c>
    </row>
    <row r="138" spans="1:27" ht="6.55" customHeight="1" x14ac:dyDescent="0.4">
      <c r="A138" s="51">
        <v>138</v>
      </c>
      <c r="B138" s="52" t="s">
        <v>75</v>
      </c>
      <c r="C138" s="56" t="s">
        <v>158</v>
      </c>
      <c r="D138" s="52" t="s">
        <v>316</v>
      </c>
      <c r="E138" s="52" t="s">
        <v>315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>_xlfn.CONCAT(SUBSTITUTE(C138,"1.",""))</f>
        <v>Fornecidos</v>
      </c>
      <c r="M138" s="23" t="str">
        <f>_xlfn.CONCAT(SUBSTITUTE(D138,"."," "))</f>
        <v>Segmentos dos Produto</v>
      </c>
      <c r="N138" s="23" t="str">
        <f>_xlfn.CONCAT(SUBSTITUTE(E138,"."," "))</f>
        <v>Segmento do Produto</v>
      </c>
      <c r="O138" s="23" t="str">
        <f>_xlfn.CONCAT(SUBSTITUTE(F138,"."," "))</f>
        <v>Produto de Esgoto Predial</v>
      </c>
      <c r="P138" s="23" t="s">
        <v>199</v>
      </c>
      <c r="Q138" s="26" t="str">
        <f>_xlfn.TRANSLATE(P138,"pt","es")</f>
        <v>Es un producto o elemento del segmento de la red de alcantarillado del edificio</v>
      </c>
      <c r="R138" s="42" t="s">
        <v>9</v>
      </c>
      <c r="S138" s="43" t="str">
        <f>SUBSTITUTE(C138, ".", " ")</f>
        <v>Fornecidos</v>
      </c>
      <c r="T138" s="43" t="str">
        <f>SUBSTITUTE(D138, ".", " ")</f>
        <v>Segmentos dos Produto</v>
      </c>
      <c r="U138" s="43" t="str">
        <f>SUBSTITUTE(E138, ".", " ")</f>
        <v>Segmento do Produto</v>
      </c>
      <c r="V138" s="41" t="s">
        <v>184</v>
      </c>
      <c r="W138" s="60" t="str">
        <f>CONCATENATE("Key.Fab.",A138)</f>
        <v>Key.Fab.138</v>
      </c>
      <c r="X138" s="41" t="s">
        <v>9</v>
      </c>
      <c r="Y138" s="41" t="s">
        <v>9</v>
      </c>
      <c r="Z138" s="50" t="s">
        <v>456</v>
      </c>
      <c r="AA138" s="45" t="str">
        <f>_xlfn.TRANSLATE(P138,"pt","en")</f>
        <v>It is a product or element of the building sewer network segment</v>
      </c>
    </row>
    <row r="139" spans="1:27" ht="6.55" customHeight="1" x14ac:dyDescent="0.4">
      <c r="A139" s="51">
        <v>139</v>
      </c>
      <c r="B139" s="52" t="s">
        <v>75</v>
      </c>
      <c r="C139" s="56" t="s">
        <v>158</v>
      </c>
      <c r="D139" s="52" t="s">
        <v>316</v>
      </c>
      <c r="E139" s="52" t="s">
        <v>315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>_xlfn.CONCAT(SUBSTITUTE(C139,"1.",""))</f>
        <v>Fornecidos</v>
      </c>
      <c r="M139" s="23" t="str">
        <f>_xlfn.CONCAT(SUBSTITUTE(D139,"."," "))</f>
        <v>Segmentos dos Produto</v>
      </c>
      <c r="N139" s="23" t="str">
        <f>_xlfn.CONCAT(SUBSTITUTE(E139,"."," "))</f>
        <v>Segmento do Produto</v>
      </c>
      <c r="O139" s="23" t="str">
        <f>_xlfn.CONCAT(SUBSTITUTE(F139,"."," "))</f>
        <v>Produto de Esgoto Urbano</v>
      </c>
      <c r="P139" s="23" t="s">
        <v>200</v>
      </c>
      <c r="Q139" s="26" t="str">
        <f>_xlfn.TRANSLATE(P139,"pt","es")</f>
        <v>Es un producto o elemento del segmento de la red de alcantarillado urbano</v>
      </c>
      <c r="R139" s="42" t="s">
        <v>9</v>
      </c>
      <c r="S139" s="43" t="str">
        <f>SUBSTITUTE(C139, ".", " ")</f>
        <v>Fornecidos</v>
      </c>
      <c r="T139" s="43" t="str">
        <f>SUBSTITUTE(D139, ".", " ")</f>
        <v>Segmentos dos Produto</v>
      </c>
      <c r="U139" s="43" t="str">
        <f>SUBSTITUTE(E139, ".", " ")</f>
        <v>Segmento do Produto</v>
      </c>
      <c r="V139" s="41" t="s">
        <v>184</v>
      </c>
      <c r="W139" s="60" t="str">
        <f>CONCATENATE("Key.Fab.",A139)</f>
        <v>Key.Fab.139</v>
      </c>
      <c r="X139" s="41" t="s">
        <v>9</v>
      </c>
      <c r="Y139" s="41" t="s">
        <v>9</v>
      </c>
      <c r="Z139" s="50" t="s">
        <v>457</v>
      </c>
      <c r="AA139" s="45" t="str">
        <f>_xlfn.TRANSLATE(P139,"pt","en")</f>
        <v>It is a product or element of the urban sewer network segment</v>
      </c>
    </row>
    <row r="140" spans="1:27" ht="6.55" customHeight="1" x14ac:dyDescent="0.4">
      <c r="A140" s="51">
        <v>140</v>
      </c>
      <c r="B140" s="52" t="s">
        <v>75</v>
      </c>
      <c r="C140" s="56" t="s">
        <v>158</v>
      </c>
      <c r="D140" s="52" t="s">
        <v>316</v>
      </c>
      <c r="E140" s="52" t="s">
        <v>315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>_xlfn.CONCAT(SUBSTITUTE(C140,"1.",""))</f>
        <v>Fornecidos</v>
      </c>
      <c r="M140" s="23" t="str">
        <f>_xlfn.CONCAT(SUBSTITUTE(D140,"."," "))</f>
        <v>Segmentos dos Produto</v>
      </c>
      <c r="N140" s="23" t="str">
        <f>_xlfn.CONCAT(SUBSTITUTE(E140,"."," "))</f>
        <v>Segmento do Produto</v>
      </c>
      <c r="O140" s="23" t="str">
        <f>_xlfn.CONCAT(SUBSTITUTE(F140,"."," "))</f>
        <v>Produto de Resíduo</v>
      </c>
      <c r="P140" s="23" t="s">
        <v>206</v>
      </c>
      <c r="Q140" s="26" t="str">
        <f>_xlfn.TRANSLATE(P140,"pt","es")</f>
        <v>Es un producto o elemento del segmento de tratamiento de residuos</v>
      </c>
      <c r="R140" s="42" t="s">
        <v>9</v>
      </c>
      <c r="S140" s="43" t="str">
        <f>SUBSTITUTE(C140, ".", " ")</f>
        <v>Fornecidos</v>
      </c>
      <c r="T140" s="43" t="str">
        <f>SUBSTITUTE(D140, ".", " ")</f>
        <v>Segmentos dos Produto</v>
      </c>
      <c r="U140" s="43" t="str">
        <f>SUBSTITUTE(E140, ".", " ")</f>
        <v>Segmento do Produto</v>
      </c>
      <c r="V140" s="41" t="s">
        <v>184</v>
      </c>
      <c r="W140" s="60" t="str">
        <f>CONCATENATE("Key.Fab.",A140)</f>
        <v>Key.Fab.140</v>
      </c>
      <c r="X140" s="41" t="s">
        <v>9</v>
      </c>
      <c r="Y140" s="41" t="s">
        <v>9</v>
      </c>
      <c r="Z140" s="50" t="s">
        <v>458</v>
      </c>
      <c r="AA140" s="45" t="str">
        <f>_xlfn.TRANSLATE(P140,"pt","en")</f>
        <v>It is a product or element of the waste treatment segment</v>
      </c>
    </row>
    <row r="141" spans="1:27" ht="6.55" customHeight="1" x14ac:dyDescent="0.4">
      <c r="A141" s="51">
        <v>141</v>
      </c>
      <c r="B141" s="52" t="s">
        <v>75</v>
      </c>
      <c r="C141" s="56" t="s">
        <v>158</v>
      </c>
      <c r="D141" s="52" t="s">
        <v>316</v>
      </c>
      <c r="E141" s="52" t="s">
        <v>315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>_xlfn.CONCAT(SUBSTITUTE(C141,"1.",""))</f>
        <v>Fornecidos</v>
      </c>
      <c r="M141" s="23" t="str">
        <f>_xlfn.CONCAT(SUBSTITUTE(D141,"."," "))</f>
        <v>Segmentos dos Produto</v>
      </c>
      <c r="N141" s="23" t="str">
        <f>_xlfn.CONCAT(SUBSTITUTE(E141,"."," "))</f>
        <v>Segmento do Produto</v>
      </c>
      <c r="O141" s="23" t="str">
        <f>_xlfn.CONCAT(SUBSTITUTE(F141,"."," "))</f>
        <v>Produto de Refrigeração</v>
      </c>
      <c r="P141" s="23" t="s">
        <v>207</v>
      </c>
      <c r="Q141" s="26" t="str">
        <f>_xlfn.TRANSLATE(P141,"pt","es")</f>
        <v>Es un producto o elemento del segmento de refrigeración</v>
      </c>
      <c r="R141" s="42" t="s">
        <v>9</v>
      </c>
      <c r="S141" s="43" t="str">
        <f>SUBSTITUTE(C141, ".", " ")</f>
        <v>Fornecidos</v>
      </c>
      <c r="T141" s="43" t="str">
        <f>SUBSTITUTE(D141, ".", " ")</f>
        <v>Segmentos dos Produto</v>
      </c>
      <c r="U141" s="43" t="str">
        <f>SUBSTITUTE(E141, ".", " ")</f>
        <v>Segmento do Produto</v>
      </c>
      <c r="V141" s="41" t="s">
        <v>184</v>
      </c>
      <c r="W141" s="60" t="str">
        <f>CONCATENATE("Key.Fab.",A141)</f>
        <v>Key.Fab.141</v>
      </c>
      <c r="X141" s="41" t="s">
        <v>9</v>
      </c>
      <c r="Y141" s="41" t="s">
        <v>9</v>
      </c>
      <c r="Z141" s="50" t="s">
        <v>459</v>
      </c>
      <c r="AA141" s="45" t="str">
        <f>_xlfn.TRANSLATE(P141,"pt","en")</f>
        <v>It is a product or element of the refrigeration segment</v>
      </c>
    </row>
    <row r="142" spans="1:27" ht="6.55" customHeight="1" x14ac:dyDescent="0.4">
      <c r="A142" s="51">
        <v>142</v>
      </c>
      <c r="B142" s="52" t="s">
        <v>75</v>
      </c>
      <c r="C142" s="56" t="s">
        <v>158</v>
      </c>
      <c r="D142" s="52" t="s">
        <v>316</v>
      </c>
      <c r="E142" s="52" t="s">
        <v>315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>_xlfn.CONCAT(SUBSTITUTE(C142,"1.",""))</f>
        <v>Fornecidos</v>
      </c>
      <c r="M142" s="23" t="str">
        <f>_xlfn.CONCAT(SUBSTITUTE(D142,"."," "))</f>
        <v>Segmentos dos Produto</v>
      </c>
      <c r="N142" s="23" t="str">
        <f>_xlfn.CONCAT(SUBSTITUTE(E142,"."," "))</f>
        <v>Segmento do Produto</v>
      </c>
      <c r="O142" s="23" t="str">
        <f>_xlfn.CONCAT(SUBSTITUTE(F142,"."," "))</f>
        <v>Produto de Aquecimento</v>
      </c>
      <c r="P142" s="23" t="s">
        <v>208</v>
      </c>
      <c r="Q142" s="26" t="str">
        <f>_xlfn.TRANSLATE(P142,"pt","es")</f>
        <v>Es un producto o elemento del segmento de calentamiento</v>
      </c>
      <c r="R142" s="42" t="s">
        <v>9</v>
      </c>
      <c r="S142" s="43" t="str">
        <f>SUBSTITUTE(C142, ".", " ")</f>
        <v>Fornecidos</v>
      </c>
      <c r="T142" s="43" t="str">
        <f>SUBSTITUTE(D142, ".", " ")</f>
        <v>Segmentos dos Produto</v>
      </c>
      <c r="U142" s="43" t="str">
        <f>SUBSTITUTE(E142, ".", " ")</f>
        <v>Segmento do Produto</v>
      </c>
      <c r="V142" s="41" t="s">
        <v>184</v>
      </c>
      <c r="W142" s="60" t="str">
        <f>CONCATENATE("Key.Fab.",A142)</f>
        <v>Key.Fab.142</v>
      </c>
      <c r="X142" s="41" t="s">
        <v>9</v>
      </c>
      <c r="Y142" s="41" t="s">
        <v>9</v>
      </c>
      <c r="Z142" s="50" t="s">
        <v>460</v>
      </c>
      <c r="AA142" s="45" t="str">
        <f>_xlfn.TRANSLATE(P142,"pt","en")</f>
        <v>It is a product or element of the heating segment</v>
      </c>
    </row>
    <row r="143" spans="1:27" ht="6.55" customHeight="1" x14ac:dyDescent="0.4">
      <c r="A143" s="51">
        <v>143</v>
      </c>
      <c r="B143" s="52" t="s">
        <v>75</v>
      </c>
      <c r="C143" s="56" t="s">
        <v>158</v>
      </c>
      <c r="D143" s="52" t="s">
        <v>316</v>
      </c>
      <c r="E143" s="52" t="s">
        <v>315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>_xlfn.CONCAT(SUBSTITUTE(C143,"1.",""))</f>
        <v>Fornecidos</v>
      </c>
      <c r="M143" s="23" t="str">
        <f>_xlfn.CONCAT(SUBSTITUTE(D143,"."," "))</f>
        <v>Segmentos dos Produto</v>
      </c>
      <c r="N143" s="23" t="str">
        <f>_xlfn.CONCAT(SUBSTITUTE(E143,"."," "))</f>
        <v>Segmento do Produto</v>
      </c>
      <c r="O143" s="23" t="str">
        <f>_xlfn.CONCAT(SUBSTITUTE(F143,"."," "))</f>
        <v>Produto de Gases</v>
      </c>
      <c r="P143" s="23" t="s">
        <v>209</v>
      </c>
      <c r="Q143" s="26" t="str">
        <f>_xlfn.TRANSLATE(P143,"pt","es")</f>
        <v>Es un producto o elemento del segmento de gas</v>
      </c>
      <c r="R143" s="42" t="s">
        <v>9</v>
      </c>
      <c r="S143" s="43" t="str">
        <f>SUBSTITUTE(C143, ".", " ")</f>
        <v>Fornecidos</v>
      </c>
      <c r="T143" s="43" t="str">
        <f>SUBSTITUTE(D143, ".", " ")</f>
        <v>Segmentos dos Produto</v>
      </c>
      <c r="U143" s="43" t="str">
        <f>SUBSTITUTE(E143, ".", " ")</f>
        <v>Segmento do Produto</v>
      </c>
      <c r="V143" s="41" t="s">
        <v>184</v>
      </c>
      <c r="W143" s="60" t="str">
        <f>CONCATENATE("Key.Fab.",A143)</f>
        <v>Key.Fab.143</v>
      </c>
      <c r="X143" s="41" t="s">
        <v>9</v>
      </c>
      <c r="Y143" s="41" t="s">
        <v>9</v>
      </c>
      <c r="Z143" s="50" t="s">
        <v>461</v>
      </c>
      <c r="AA143" s="45" t="str">
        <f>_xlfn.TRANSLATE(P143,"pt","en")</f>
        <v>It is a product or element of the gas segment</v>
      </c>
    </row>
    <row r="144" spans="1:27" ht="6.55" customHeight="1" x14ac:dyDescent="0.4">
      <c r="A144" s="51">
        <v>144</v>
      </c>
      <c r="B144" s="52" t="s">
        <v>75</v>
      </c>
      <c r="C144" s="56" t="s">
        <v>158</v>
      </c>
      <c r="D144" s="52" t="s">
        <v>316</v>
      </c>
      <c r="E144" s="52" t="s">
        <v>315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>_xlfn.CONCAT(SUBSTITUTE(C144,"1.",""))</f>
        <v>Fornecidos</v>
      </c>
      <c r="M144" s="23" t="str">
        <f>_xlfn.CONCAT(SUBSTITUTE(D144,"."," "))</f>
        <v>Segmentos dos Produto</v>
      </c>
      <c r="N144" s="23" t="str">
        <f>_xlfn.CONCAT(SUBSTITUTE(E144,"."," "))</f>
        <v>Segmento do Produto</v>
      </c>
      <c r="O144" s="23" t="str">
        <f>_xlfn.CONCAT(SUBSTITUTE(F144,"."," "))</f>
        <v>Produto de Mobiliário</v>
      </c>
      <c r="P144" s="23" t="s">
        <v>210</v>
      </c>
      <c r="Q144" s="26" t="str">
        <f>_xlfn.TRANSLATE(P144,"pt","es")</f>
        <v>Es un producto o elemento del segmento del mobiliario</v>
      </c>
      <c r="R144" s="42" t="s">
        <v>9</v>
      </c>
      <c r="S144" s="43" t="str">
        <f>SUBSTITUTE(C144, ".", " ")</f>
        <v>Fornecidos</v>
      </c>
      <c r="T144" s="43" t="str">
        <f>SUBSTITUTE(D144, ".", " ")</f>
        <v>Segmentos dos Produto</v>
      </c>
      <c r="U144" s="43" t="str">
        <f>SUBSTITUTE(E144, ".", " ")</f>
        <v>Segmento do Produto</v>
      </c>
      <c r="V144" s="41" t="s">
        <v>184</v>
      </c>
      <c r="W144" s="60" t="str">
        <f>CONCATENATE("Key.Fab.",A144)</f>
        <v>Key.Fab.144</v>
      </c>
      <c r="X144" s="41" t="s">
        <v>9</v>
      </c>
      <c r="Y144" s="41" t="s">
        <v>9</v>
      </c>
      <c r="Z144" s="50" t="s">
        <v>462</v>
      </c>
      <c r="AA144" s="45" t="str">
        <f>_xlfn.TRANSLATE(P144,"pt","en")</f>
        <v>It is a product or element of the furniture segment</v>
      </c>
    </row>
    <row r="145" spans="1:27" ht="6.55" customHeight="1" x14ac:dyDescent="0.4">
      <c r="A145" s="51">
        <v>145</v>
      </c>
      <c r="B145" s="52" t="s">
        <v>75</v>
      </c>
      <c r="C145" s="56" t="s">
        <v>158</v>
      </c>
      <c r="D145" s="52" t="s">
        <v>316</v>
      </c>
      <c r="E145" s="52" t="s">
        <v>315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>_xlfn.CONCAT(SUBSTITUTE(C145,"1.",""))</f>
        <v>Fornecidos</v>
      </c>
      <c r="M145" s="23" t="str">
        <f>_xlfn.CONCAT(SUBSTITUTE(D145,"."," "))</f>
        <v>Segmentos dos Produto</v>
      </c>
      <c r="N145" s="23" t="str">
        <f>_xlfn.CONCAT(SUBSTITUTE(E145,"."," "))</f>
        <v>Segmento do Produto</v>
      </c>
      <c r="O145" s="23" t="str">
        <f>_xlfn.CONCAT(SUBSTITUTE(F145,"."," "))</f>
        <v>Produto de Automação</v>
      </c>
      <c r="P145" s="23" t="s">
        <v>211</v>
      </c>
      <c r="Q145" s="26" t="str">
        <f>_xlfn.TRANSLATE(P145,"pt","es")</f>
        <v>Es un producto o elemento del segmento de automatización</v>
      </c>
      <c r="R145" s="42" t="s">
        <v>9</v>
      </c>
      <c r="S145" s="43" t="str">
        <f>SUBSTITUTE(C145, ".", " ")</f>
        <v>Fornecidos</v>
      </c>
      <c r="T145" s="43" t="str">
        <f>SUBSTITUTE(D145, ".", " ")</f>
        <v>Segmentos dos Produto</v>
      </c>
      <c r="U145" s="43" t="str">
        <f>SUBSTITUTE(E145, ".", " ")</f>
        <v>Segmento do Produto</v>
      </c>
      <c r="V145" s="41" t="s">
        <v>184</v>
      </c>
      <c r="W145" s="60" t="str">
        <f>CONCATENATE("Key.Fab.",A145)</f>
        <v>Key.Fab.145</v>
      </c>
      <c r="X145" s="41" t="s">
        <v>9</v>
      </c>
      <c r="Y145" s="41" t="s">
        <v>9</v>
      </c>
      <c r="Z145" s="50" t="s">
        <v>463</v>
      </c>
      <c r="AA145" s="45" t="str">
        <f>_xlfn.TRANSLATE(P145,"pt","en")</f>
        <v>It is a product or element of the automation segment</v>
      </c>
    </row>
    <row r="146" spans="1:27" ht="6.55" customHeight="1" x14ac:dyDescent="0.4">
      <c r="A146" s="51">
        <v>146</v>
      </c>
      <c r="B146" s="52" t="s">
        <v>75</v>
      </c>
      <c r="C146" s="56" t="s">
        <v>158</v>
      </c>
      <c r="D146" s="52" t="s">
        <v>316</v>
      </c>
      <c r="E146" s="52" t="s">
        <v>315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>_xlfn.CONCAT(SUBSTITUTE(C146,"1.",""))</f>
        <v>Fornecidos</v>
      </c>
      <c r="M146" s="23" t="str">
        <f>_xlfn.CONCAT(SUBSTITUTE(D146,"."," "))</f>
        <v>Segmentos dos Produto</v>
      </c>
      <c r="N146" s="23" t="str">
        <f>_xlfn.CONCAT(SUBSTITUTE(E146,"."," "))</f>
        <v>Segmento do Produto</v>
      </c>
      <c r="O146" s="23" t="str">
        <f>_xlfn.CONCAT(SUBSTITUTE(F146,"."," "))</f>
        <v>Produto de Proteção de Descargas</v>
      </c>
      <c r="P146" s="23" t="s">
        <v>212</v>
      </c>
      <c r="Q146" s="26" t="str">
        <f>_xlfn.TRANSLATE(P146,"pt","es")</f>
        <v>Es un producto o elemento del segmento de protección contra rayos</v>
      </c>
      <c r="R146" s="42" t="s">
        <v>9</v>
      </c>
      <c r="S146" s="43" t="str">
        <f>SUBSTITUTE(C146, ".", " ")</f>
        <v>Fornecidos</v>
      </c>
      <c r="T146" s="43" t="str">
        <f>SUBSTITUTE(D146, ".", " ")</f>
        <v>Segmentos dos Produto</v>
      </c>
      <c r="U146" s="43" t="str">
        <f>SUBSTITUTE(E146, ".", " ")</f>
        <v>Segmento do Produto</v>
      </c>
      <c r="V146" s="41" t="s">
        <v>184</v>
      </c>
      <c r="W146" s="60" t="str">
        <f>CONCATENATE("Key.Fab.",A146)</f>
        <v>Key.Fab.146</v>
      </c>
      <c r="X146" s="41" t="s">
        <v>9</v>
      </c>
      <c r="Y146" s="41" t="s">
        <v>9</v>
      </c>
      <c r="Z146" s="50" t="s">
        <v>464</v>
      </c>
      <c r="AA146" s="45" t="str">
        <f>_xlfn.TRANSLATE(P146,"pt","en")</f>
        <v>It is a product or element of the lightning protection segment</v>
      </c>
    </row>
    <row r="147" spans="1:27" ht="6.55" customHeight="1" x14ac:dyDescent="0.4">
      <c r="A147" s="51">
        <v>147</v>
      </c>
      <c r="B147" s="52" t="s">
        <v>75</v>
      </c>
      <c r="C147" s="56" t="s">
        <v>158</v>
      </c>
      <c r="D147" s="52" t="s">
        <v>316</v>
      </c>
      <c r="E147" s="52" t="s">
        <v>315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>_xlfn.CONCAT(SUBSTITUTE(C147,"1.",""))</f>
        <v>Fornecidos</v>
      </c>
      <c r="M147" s="23" t="str">
        <f>_xlfn.CONCAT(SUBSTITUTE(D147,"."," "))</f>
        <v>Segmentos dos Produto</v>
      </c>
      <c r="N147" s="23" t="str">
        <f>_xlfn.CONCAT(SUBSTITUTE(E147,"."," "))</f>
        <v>Segmento do Produto</v>
      </c>
      <c r="O147" s="23" t="str">
        <f>_xlfn.CONCAT(SUBSTITUTE(F147,"."," "))</f>
        <v>Produto de Proteção de Incêndio</v>
      </c>
      <c r="P147" s="23" t="s">
        <v>213</v>
      </c>
      <c r="Q147" s="26" t="str">
        <f>_xlfn.TRANSLATE(P147,"pt","es")</f>
        <v>Es un producto o elemento del segmento de protección contra incendios</v>
      </c>
      <c r="R147" s="42" t="s">
        <v>9</v>
      </c>
      <c r="S147" s="43" t="str">
        <f>SUBSTITUTE(C147, ".", " ")</f>
        <v>Fornecidos</v>
      </c>
      <c r="T147" s="43" t="str">
        <f>SUBSTITUTE(D147, ".", " ")</f>
        <v>Segmentos dos Produto</v>
      </c>
      <c r="U147" s="43" t="str">
        <f>SUBSTITUTE(E147, ".", " ")</f>
        <v>Segmento do Produto</v>
      </c>
      <c r="V147" s="41" t="s">
        <v>184</v>
      </c>
      <c r="W147" s="60" t="str">
        <f>CONCATENATE("Key.Fab.",A147)</f>
        <v>Key.Fab.147</v>
      </c>
      <c r="X147" s="41" t="s">
        <v>9</v>
      </c>
      <c r="Y147" s="41" t="s">
        <v>9</v>
      </c>
      <c r="Z147" s="50" t="s">
        <v>465</v>
      </c>
      <c r="AA147" s="45" t="str">
        <f>_xlfn.TRANSLATE(P147,"pt","en")</f>
        <v>It is a product or element of the fire protection segment</v>
      </c>
    </row>
    <row r="148" spans="1:27" ht="6.55" customHeight="1" x14ac:dyDescent="0.4">
      <c r="A148" s="51">
        <v>148</v>
      </c>
      <c r="B148" s="52" t="s">
        <v>75</v>
      </c>
      <c r="C148" s="56" t="s">
        <v>158</v>
      </c>
      <c r="D148" s="52" t="s">
        <v>316</v>
      </c>
      <c r="E148" s="52" t="s">
        <v>315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>_xlfn.CONCAT(SUBSTITUTE(C148,"1.",""))</f>
        <v>Fornecidos</v>
      </c>
      <c r="M148" s="23" t="str">
        <f>_xlfn.CONCAT(SUBSTITUTE(D148,"."," "))</f>
        <v>Segmentos dos Produto</v>
      </c>
      <c r="N148" s="23" t="str">
        <f>_xlfn.CONCAT(SUBSTITUTE(E148,"."," "))</f>
        <v>Segmento do Produto</v>
      </c>
      <c r="O148" s="23" t="str">
        <f>_xlfn.CONCAT(SUBSTITUTE(F148,"."," "))</f>
        <v>Produto de Segurança Patrimonial</v>
      </c>
      <c r="P148" s="23" t="s">
        <v>214</v>
      </c>
      <c r="Q148" s="26" t="str">
        <f>_xlfn.TRANSLATE(P148,"pt","es")</f>
        <v>Es un producto o elemento del segmento de seguridad de propiedades</v>
      </c>
      <c r="R148" s="42" t="s">
        <v>9</v>
      </c>
      <c r="S148" s="43" t="str">
        <f>SUBSTITUTE(C148, ".", " ")</f>
        <v>Fornecidos</v>
      </c>
      <c r="T148" s="43" t="str">
        <f>SUBSTITUTE(D148, ".", " ")</f>
        <v>Segmentos dos Produto</v>
      </c>
      <c r="U148" s="43" t="str">
        <f>SUBSTITUTE(E148, ".", " ")</f>
        <v>Segmento do Produto</v>
      </c>
      <c r="V148" s="41" t="s">
        <v>184</v>
      </c>
      <c r="W148" s="60" t="str">
        <f>CONCATENATE("Key.Fab.",A148)</f>
        <v>Key.Fab.148</v>
      </c>
      <c r="X148" s="41" t="s">
        <v>9</v>
      </c>
      <c r="Y148" s="41" t="s">
        <v>9</v>
      </c>
      <c r="Z148" s="50" t="s">
        <v>466</v>
      </c>
      <c r="AA148" s="45" t="str">
        <f>_xlfn.TRANSLATE(P148,"pt","en")</f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3">
    <cfRule type="duplicateValues" dxfId="27" priority="16"/>
    <cfRule type="duplicateValues" dxfId="26" priority="17"/>
  </conditionalFormatting>
  <conditionalFormatting sqref="F149:F1048576 F107:F110 F1">
    <cfRule type="duplicateValues" dxfId="25" priority="21"/>
  </conditionalFormatting>
  <conditionalFormatting sqref="G1:O1">
    <cfRule type="cellIs" dxfId="24" priority="72" operator="equal">
      <formula>"null"</formula>
    </cfRule>
  </conditionalFormatting>
  <conditionalFormatting sqref="AA1 AA4:AA119">
    <cfRule type="cellIs" dxfId="23" priority="20" operator="equal">
      <formula>"null"</formula>
    </cfRule>
  </conditionalFormatting>
  <conditionalFormatting sqref="F2">
    <cfRule type="duplicateValues" dxfId="22" priority="11"/>
  </conditionalFormatting>
  <conditionalFormatting sqref="AA2">
    <cfRule type="cellIs" dxfId="21" priority="10" operator="equal">
      <formula>"null"</formula>
    </cfRule>
  </conditionalFormatting>
  <conditionalFormatting sqref="F4:F106">
    <cfRule type="duplicateValues" dxfId="20" priority="524"/>
  </conditionalFormatting>
  <conditionalFormatting sqref="F1:F119 F149:F1048576">
    <cfRule type="duplicateValues" dxfId="16" priority="6"/>
  </conditionalFormatting>
  <conditionalFormatting sqref="F111:F119">
    <cfRule type="duplicateValues" dxfId="10" priority="528"/>
  </conditionalFormatting>
  <conditionalFormatting sqref="F120:F144">
    <cfRule type="duplicateValues" dxfId="4" priority="5"/>
  </conditionalFormatting>
  <conditionalFormatting sqref="AA120:AA144">
    <cfRule type="cellIs" dxfId="3" priority="4" operator="equal">
      <formula>"null"</formula>
    </cfRule>
  </conditionalFormatting>
  <conditionalFormatting sqref="F145:F148">
    <cfRule type="duplicateValues" dxfId="2" priority="3"/>
  </conditionalFormatting>
  <conditionalFormatting sqref="AA145:AA148">
    <cfRule type="cellIs" dxfId="1" priority="2" operator="equal">
      <formula>"null"</formula>
    </cfRule>
  </conditionalFormatting>
  <conditionalFormatting sqref="F120:F148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BFED1-8D52-4B20-B9F8-7EE11B097A22}">
  <dimension ref="A1:AA29"/>
  <sheetViews>
    <sheetView topLeftCell="A21" zoomScale="265" zoomScaleNormal="265" workbookViewId="0">
      <selection sqref="A1:XFD29"/>
    </sheetView>
  </sheetViews>
  <sheetFormatPr defaultRowHeight="14.6" x14ac:dyDescent="0.4"/>
  <cols>
    <col min="1" max="1" width="1.4609375" bestFit="1" customWidth="1"/>
    <col min="2" max="2" width="3.23046875" bestFit="1" customWidth="1"/>
    <col min="3" max="3" width="5.61328125" bestFit="1" customWidth="1"/>
    <col min="4" max="4" width="11.3046875" bestFit="1" customWidth="1"/>
    <col min="5" max="5" width="9.765625" bestFit="1" customWidth="1"/>
    <col min="6" max="6" width="5.3828125" bestFit="1" customWidth="1"/>
    <col min="7" max="11" width="2.23046875" bestFit="1" customWidth="1"/>
    <col min="12" max="12" width="5.61328125" bestFit="1" customWidth="1"/>
    <col min="13" max="13" width="11.3046875" bestFit="1" customWidth="1"/>
    <col min="14" max="14" width="9.921875" bestFit="1" customWidth="1"/>
    <col min="15" max="15" width="4.84375" bestFit="1" customWidth="1"/>
    <col min="16" max="16" width="31.765625" bestFit="1" customWidth="1"/>
    <col min="17" max="17" width="33.07421875" bestFit="1" customWidth="1"/>
    <col min="18" max="18" width="1.921875" bestFit="1" customWidth="1"/>
    <col min="19" max="19" width="5.61328125" bestFit="1" customWidth="1"/>
    <col min="20" max="20" width="11.3046875" bestFit="1" customWidth="1"/>
    <col min="21" max="21" width="9.921875" bestFit="1" customWidth="1"/>
    <col min="22" max="22" width="4" bestFit="1" customWidth="1"/>
    <col min="23" max="23" width="4.61328125" bestFit="1" customWidth="1"/>
    <col min="24" max="25" width="1.921875" bestFit="1" customWidth="1"/>
    <col min="26" max="26" width="6.23046875" bestFit="1" customWidth="1"/>
    <col min="27" max="27" width="27.3828125" bestFit="1" customWidth="1"/>
  </cols>
  <sheetData>
    <row r="1" spans="1:27" ht="6.55" customHeight="1" x14ac:dyDescent="0.4">
      <c r="A1" s="51">
        <v>93</v>
      </c>
      <c r="B1" s="52" t="s">
        <v>75</v>
      </c>
      <c r="C1" s="56" t="s">
        <v>158</v>
      </c>
      <c r="D1" s="52" t="s">
        <v>316</v>
      </c>
      <c r="E1" s="52" t="s">
        <v>315</v>
      </c>
      <c r="F1" s="52" t="s">
        <v>159</v>
      </c>
      <c r="G1" s="28" t="s">
        <v>9</v>
      </c>
      <c r="H1" s="28" t="s">
        <v>9</v>
      </c>
      <c r="I1" s="28" t="s">
        <v>9</v>
      </c>
      <c r="J1" s="28" t="s">
        <v>9</v>
      </c>
      <c r="K1" s="28" t="s">
        <v>9</v>
      </c>
      <c r="L1" s="23" t="str">
        <f>_xlfn.CONCAT(SUBSTITUTE(C1,"1.",""))</f>
        <v>Fornecidos</v>
      </c>
      <c r="M1" s="23" t="str">
        <f>_xlfn.CONCAT(SUBSTITUTE(D1,"."," "))</f>
        <v>Segmentos dos Produto</v>
      </c>
      <c r="N1" s="23" t="str">
        <f>_xlfn.CONCAT(SUBSTITUTE(E1,"."," "))</f>
        <v>Segmento do Produto</v>
      </c>
      <c r="O1" s="23" t="str">
        <f>_xlfn.CONCAT(SUBSTITUTE(F1,"."," "))</f>
        <v>Produto de Geotécnica</v>
      </c>
      <c r="P1" s="23" t="s">
        <v>192</v>
      </c>
      <c r="Q1" s="26" t="str">
        <f>_xlfn.TRANSLATE(P1,"pt","es")</f>
        <v>Es un producto o elemento del segmento geotécnico</v>
      </c>
      <c r="R1" s="42" t="s">
        <v>9</v>
      </c>
      <c r="S1" s="43" t="str">
        <f>SUBSTITUTE(C1, ".", " ")</f>
        <v>Fornecidos</v>
      </c>
      <c r="T1" s="43" t="str">
        <f>SUBSTITUTE(D1, ".", " ")</f>
        <v>Segmentos dos Produto</v>
      </c>
      <c r="U1" s="43" t="str">
        <f>SUBSTITUTE(E1, ".", " ")</f>
        <v>Segmento do Produto</v>
      </c>
      <c r="V1" s="41" t="s">
        <v>184</v>
      </c>
      <c r="W1" s="60" t="str">
        <f>CONCATENATE("Key.Fab.",A1)</f>
        <v>Key.Fab.93</v>
      </c>
      <c r="X1" s="41" t="s">
        <v>9</v>
      </c>
      <c r="Y1" s="41" t="s">
        <v>9</v>
      </c>
      <c r="Z1" s="50" t="s">
        <v>438</v>
      </c>
      <c r="AA1" s="45" t="str">
        <f>_xlfn.TRANSLATE(P1,"pt","en")</f>
        <v>It is a product or element of the geotechnical segment</v>
      </c>
    </row>
    <row r="2" spans="1:27" ht="6.55" customHeight="1" x14ac:dyDescent="0.4">
      <c r="A2" s="51">
        <v>94</v>
      </c>
      <c r="B2" s="52" t="s">
        <v>75</v>
      </c>
      <c r="C2" s="56" t="s">
        <v>158</v>
      </c>
      <c r="D2" s="52" t="s">
        <v>316</v>
      </c>
      <c r="E2" s="52" t="s">
        <v>315</v>
      </c>
      <c r="F2" s="52" t="s">
        <v>131</v>
      </c>
      <c r="G2" s="28" t="s">
        <v>9</v>
      </c>
      <c r="H2" s="28" t="s">
        <v>9</v>
      </c>
      <c r="I2" s="28" t="s">
        <v>9</v>
      </c>
      <c r="J2" s="28" t="s">
        <v>9</v>
      </c>
      <c r="K2" s="28" t="s">
        <v>9</v>
      </c>
      <c r="L2" s="23" t="str">
        <f>_xlfn.CONCAT(SUBSTITUTE(C2,"1.",""))</f>
        <v>Fornecidos</v>
      </c>
      <c r="M2" s="23" t="str">
        <f>_xlfn.CONCAT(SUBSTITUTE(D2,"."," "))</f>
        <v>Segmentos dos Produto</v>
      </c>
      <c r="N2" s="23" t="str">
        <f>_xlfn.CONCAT(SUBSTITUTE(E2,"."," "))</f>
        <v>Segmento do Produto</v>
      </c>
      <c r="O2" s="23" t="str">
        <f>_xlfn.CONCAT(SUBSTITUTE(F2,"."," "))</f>
        <v>Produto de Obra</v>
      </c>
      <c r="P2" s="23" t="s">
        <v>218</v>
      </c>
      <c r="Q2" s="26" t="str">
        <f>_xlfn.TRANSLATE(P2,"pt","es")</f>
        <v>Es un producto o elemento del segmento de obra</v>
      </c>
      <c r="R2" s="42" t="s">
        <v>9</v>
      </c>
      <c r="S2" s="43" t="str">
        <f>SUBSTITUTE(C2, ".", " ")</f>
        <v>Fornecidos</v>
      </c>
      <c r="T2" s="43" t="str">
        <f>SUBSTITUTE(D2, ".", " ")</f>
        <v>Segmentos dos Produto</v>
      </c>
      <c r="U2" s="43" t="str">
        <f>SUBSTITUTE(E2, ".", " ")</f>
        <v>Segmento do Produto</v>
      </c>
      <c r="V2" s="41" t="s">
        <v>184</v>
      </c>
      <c r="W2" s="60" t="str">
        <f>CONCATENATE("Key.Fab.",A2)</f>
        <v>Key.Fab.94</v>
      </c>
      <c r="X2" s="41" t="s">
        <v>9</v>
      </c>
      <c r="Y2" s="41" t="s">
        <v>9</v>
      </c>
      <c r="Z2" s="50" t="s">
        <v>439</v>
      </c>
      <c r="AA2" s="45" t="str">
        <f>_xlfn.TRANSLATE(P2,"pt","en")</f>
        <v>It is a product or element of the construction site segment</v>
      </c>
    </row>
    <row r="3" spans="1:27" ht="6.55" customHeight="1" x14ac:dyDescent="0.4">
      <c r="A3" s="51">
        <v>95</v>
      </c>
      <c r="B3" s="52" t="s">
        <v>75</v>
      </c>
      <c r="C3" s="56" t="s">
        <v>158</v>
      </c>
      <c r="D3" s="52" t="s">
        <v>316</v>
      </c>
      <c r="E3" s="52" t="s">
        <v>315</v>
      </c>
      <c r="F3" s="52" t="s">
        <v>132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Fornecidos</v>
      </c>
      <c r="M3" s="23" t="str">
        <f>_xlfn.CONCAT(SUBSTITUTE(D3,"."," "))</f>
        <v>Segmentos dos Produto</v>
      </c>
      <c r="N3" s="23" t="str">
        <f>_xlfn.CONCAT(SUBSTITUTE(E3,"."," "))</f>
        <v>Segmento do Produto</v>
      </c>
      <c r="O3" s="23" t="str">
        <f>_xlfn.CONCAT(SUBSTITUTE(F3,"."," "))</f>
        <v>Produto de Drenagem</v>
      </c>
      <c r="P3" s="23" t="s">
        <v>193</v>
      </c>
      <c r="Q3" s="26" t="str">
        <f>_xlfn.TRANSLATE(P3,"pt","es")</f>
        <v>Es un producto o elemento del segmento de drenaje</v>
      </c>
      <c r="R3" s="42" t="s">
        <v>9</v>
      </c>
      <c r="S3" s="43" t="str">
        <f>SUBSTITUTE(C3, ".", " ")</f>
        <v>Fornecidos</v>
      </c>
      <c r="T3" s="43" t="str">
        <f>SUBSTITUTE(D3, ".", " ")</f>
        <v>Segmentos dos Produto</v>
      </c>
      <c r="U3" s="43" t="str">
        <f>SUBSTITUTE(E3, ".", " ")</f>
        <v>Segmento do Produto</v>
      </c>
      <c r="V3" s="41" t="s">
        <v>184</v>
      </c>
      <c r="W3" s="60" t="str">
        <f>CONCATENATE("Key.Fab.",A3)</f>
        <v>Key.Fab.95</v>
      </c>
      <c r="X3" s="41" t="s">
        <v>9</v>
      </c>
      <c r="Y3" s="41" t="s">
        <v>9</v>
      </c>
      <c r="Z3" s="50" t="s">
        <v>440</v>
      </c>
      <c r="AA3" s="45" t="str">
        <f>_xlfn.TRANSLATE(P3,"pt","en")</f>
        <v>It is a product or element of the drainage segment</v>
      </c>
    </row>
    <row r="4" spans="1:27" ht="6.55" customHeight="1" x14ac:dyDescent="0.4">
      <c r="A4" s="51">
        <v>96</v>
      </c>
      <c r="B4" s="52" t="s">
        <v>75</v>
      </c>
      <c r="C4" s="56" t="s">
        <v>158</v>
      </c>
      <c r="D4" s="52" t="s">
        <v>316</v>
      </c>
      <c r="E4" s="52" t="s">
        <v>315</v>
      </c>
      <c r="F4" s="52" t="s">
        <v>133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Fornecidos</v>
      </c>
      <c r="M4" s="23" t="str">
        <f>_xlfn.CONCAT(SUBSTITUTE(D4,"."," "))</f>
        <v>Segmentos dos Produto</v>
      </c>
      <c r="N4" s="23" t="str">
        <f>_xlfn.CONCAT(SUBSTITUTE(E4,"."," "))</f>
        <v>Segmento do Produto</v>
      </c>
      <c r="O4" s="23" t="str">
        <f>_xlfn.CONCAT(SUBSTITUTE(F4,"."," "))</f>
        <v>Produto de Tráfego</v>
      </c>
      <c r="P4" s="23" t="s">
        <v>217</v>
      </c>
      <c r="Q4" s="26" t="str">
        <f>_xlfn.TRANSLATE(P4,"pt","es")</f>
        <v>Es un producto o elemento del segmento de tráfico y pavimentación</v>
      </c>
      <c r="R4" s="42" t="s">
        <v>9</v>
      </c>
      <c r="S4" s="43" t="str">
        <f>SUBSTITUTE(C4, ".", " ")</f>
        <v>Fornecidos</v>
      </c>
      <c r="T4" s="43" t="str">
        <f>SUBSTITUTE(D4, ".", " ")</f>
        <v>Segmentos dos Produto</v>
      </c>
      <c r="U4" s="43" t="str">
        <f>SUBSTITUTE(E4, ".", " ")</f>
        <v>Segmento do Produto</v>
      </c>
      <c r="V4" s="41" t="s">
        <v>184</v>
      </c>
      <c r="W4" s="60" t="str">
        <f>CONCATENATE("Key.Fab.",A4)</f>
        <v>Key.Fab.96</v>
      </c>
      <c r="X4" s="41" t="s">
        <v>9</v>
      </c>
      <c r="Y4" s="41" t="s">
        <v>9</v>
      </c>
      <c r="Z4" s="50" t="s">
        <v>441</v>
      </c>
      <c r="AA4" s="45" t="str">
        <f>_xlfn.TRANSLATE(P4,"pt","en")</f>
        <v>It is a product or element of the traffic and paving segment</v>
      </c>
    </row>
    <row r="5" spans="1:27" ht="6.55" customHeight="1" x14ac:dyDescent="0.4">
      <c r="A5" s="51">
        <v>97</v>
      </c>
      <c r="B5" s="52" t="s">
        <v>75</v>
      </c>
      <c r="C5" s="56" t="s">
        <v>158</v>
      </c>
      <c r="D5" s="52" t="s">
        <v>316</v>
      </c>
      <c r="E5" s="52" t="s">
        <v>315</v>
      </c>
      <c r="F5" s="52" t="s">
        <v>134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>_xlfn.CONCAT(SUBSTITUTE(C5,"1.",""))</f>
        <v>Fornecidos</v>
      </c>
      <c r="M5" s="23" t="str">
        <f>_xlfn.CONCAT(SUBSTITUTE(D5,"."," "))</f>
        <v>Segmentos dos Produto</v>
      </c>
      <c r="N5" s="23" t="str">
        <f>_xlfn.CONCAT(SUBSTITUTE(E5,"."," "))</f>
        <v>Segmento do Produto</v>
      </c>
      <c r="O5" s="23" t="str">
        <f>_xlfn.CONCAT(SUBSTITUTE(F5,"."," "))</f>
        <v>Produto de Fundação</v>
      </c>
      <c r="P5" s="23" t="s">
        <v>191</v>
      </c>
      <c r="Q5" s="26" t="str">
        <f>_xlfn.TRANSLATE(P5,"pt","es")</f>
        <v>Es un producto o elemento del segmento de estructura de la cimentación</v>
      </c>
      <c r="R5" s="42" t="s">
        <v>9</v>
      </c>
      <c r="S5" s="43" t="str">
        <f>SUBSTITUTE(C5, ".", " ")</f>
        <v>Fornecidos</v>
      </c>
      <c r="T5" s="43" t="str">
        <f>SUBSTITUTE(D5, ".", " ")</f>
        <v>Segmentos dos Produto</v>
      </c>
      <c r="U5" s="43" t="str">
        <f>SUBSTITUTE(E5, ".", " ")</f>
        <v>Segmento do Produto</v>
      </c>
      <c r="V5" s="41" t="s">
        <v>184</v>
      </c>
      <c r="W5" s="60" t="str">
        <f>CONCATENATE("Key.Fab.",A5)</f>
        <v>Key.Fab.97</v>
      </c>
      <c r="X5" s="41" t="s">
        <v>9</v>
      </c>
      <c r="Y5" s="41" t="s">
        <v>9</v>
      </c>
      <c r="Z5" s="50" t="s">
        <v>442</v>
      </c>
      <c r="AA5" s="45" t="str">
        <f>_xlfn.TRANSLATE(P5,"pt","en")</f>
        <v>It is a product or element of the foundation structure segment</v>
      </c>
    </row>
    <row r="6" spans="1:27" ht="6.55" customHeight="1" x14ac:dyDescent="0.4">
      <c r="A6" s="51">
        <v>98</v>
      </c>
      <c r="B6" s="52" t="s">
        <v>75</v>
      </c>
      <c r="C6" s="56" t="s">
        <v>158</v>
      </c>
      <c r="D6" s="52" t="s">
        <v>316</v>
      </c>
      <c r="E6" s="52" t="s">
        <v>315</v>
      </c>
      <c r="F6" s="52" t="s">
        <v>135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>_xlfn.CONCAT(SUBSTITUTE(C6,"1.",""))</f>
        <v>Fornecidos</v>
      </c>
      <c r="M6" s="23" t="str">
        <f>_xlfn.CONCAT(SUBSTITUTE(D6,"."," "))</f>
        <v>Segmentos dos Produto</v>
      </c>
      <c r="N6" s="23" t="str">
        <f>_xlfn.CONCAT(SUBSTITUTE(E6,"."," "))</f>
        <v>Segmento do Produto</v>
      </c>
      <c r="O6" s="23" t="str">
        <f>_xlfn.CONCAT(SUBSTITUTE(F6,"."," "))</f>
        <v>Produto de Estrutura</v>
      </c>
      <c r="P6" s="23" t="s">
        <v>194</v>
      </c>
      <c r="Q6" s="26" t="str">
        <f>_xlfn.TRANSLATE(P6,"pt","es")</f>
        <v>Es un producto o elemento del segmento de estructura</v>
      </c>
      <c r="R6" s="42" t="s">
        <v>9</v>
      </c>
      <c r="S6" s="43" t="str">
        <f>SUBSTITUTE(C6, ".", " ")</f>
        <v>Fornecidos</v>
      </c>
      <c r="T6" s="43" t="str">
        <f>SUBSTITUTE(D6, ".", " ")</f>
        <v>Segmentos dos Produto</v>
      </c>
      <c r="U6" s="43" t="str">
        <f>SUBSTITUTE(E6, ".", " ")</f>
        <v>Segmento do Produto</v>
      </c>
      <c r="V6" s="41" t="s">
        <v>184</v>
      </c>
      <c r="W6" s="60" t="str">
        <f>CONCATENATE("Key.Fab.",A6)</f>
        <v>Key.Fab.98</v>
      </c>
      <c r="X6" s="41" t="s">
        <v>9</v>
      </c>
      <c r="Y6" s="41" t="s">
        <v>9</v>
      </c>
      <c r="Z6" s="50" t="s">
        <v>443</v>
      </c>
      <c r="AA6" s="45" t="str">
        <f>_xlfn.TRANSLATE(P6,"pt","en")</f>
        <v>It is a product or element of the structure segment</v>
      </c>
    </row>
    <row r="7" spans="1:27" ht="6.55" customHeight="1" x14ac:dyDescent="0.4">
      <c r="A7" s="51">
        <v>99</v>
      </c>
      <c r="B7" s="52" t="s">
        <v>75</v>
      </c>
      <c r="C7" s="56" t="s">
        <v>158</v>
      </c>
      <c r="D7" s="52" t="s">
        <v>316</v>
      </c>
      <c r="E7" s="52" t="s">
        <v>315</v>
      </c>
      <c r="F7" s="52" t="s">
        <v>136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>_xlfn.CONCAT(SUBSTITUTE(C7,"1.",""))</f>
        <v>Fornecidos</v>
      </c>
      <c r="M7" s="23" t="str">
        <f>_xlfn.CONCAT(SUBSTITUTE(D7,"."," "))</f>
        <v>Segmentos dos Produto</v>
      </c>
      <c r="N7" s="23" t="str">
        <f>_xlfn.CONCAT(SUBSTITUTE(E7,"."," "))</f>
        <v>Segmento do Produto</v>
      </c>
      <c r="O7" s="23" t="str">
        <f>_xlfn.CONCAT(SUBSTITUTE(F7,"."," "))</f>
        <v>Produto de Vedação</v>
      </c>
      <c r="P7" s="23" t="s">
        <v>216</v>
      </c>
      <c r="Q7" s="26" t="str">
        <f>_xlfn.TRANSLATE(P7,"pt","es")</f>
        <v>Es un producto o elemento del segmento de sellado, paredes y tejados</v>
      </c>
      <c r="R7" s="42" t="s">
        <v>9</v>
      </c>
      <c r="S7" s="43" t="str">
        <f>SUBSTITUTE(C7, ".", " ")</f>
        <v>Fornecidos</v>
      </c>
      <c r="T7" s="43" t="str">
        <f>SUBSTITUTE(D7, ".", " ")</f>
        <v>Segmentos dos Produto</v>
      </c>
      <c r="U7" s="43" t="str">
        <f>SUBSTITUTE(E7, ".", " ")</f>
        <v>Segmento do Produto</v>
      </c>
      <c r="V7" s="41" t="s">
        <v>184</v>
      </c>
      <c r="W7" s="60" t="str">
        <f>CONCATENATE("Key.Fab.",A7)</f>
        <v>Key.Fab.99</v>
      </c>
      <c r="X7" s="41" t="s">
        <v>9</v>
      </c>
      <c r="Y7" s="41" t="s">
        <v>9</v>
      </c>
      <c r="Z7" s="50" t="s">
        <v>444</v>
      </c>
      <c r="AA7" s="45" t="str">
        <f>_xlfn.TRANSLATE(P7,"pt","en")</f>
        <v>It is a product or element of the sealing, walls and roofs segment</v>
      </c>
    </row>
    <row r="8" spans="1:27" ht="6.55" customHeight="1" x14ac:dyDescent="0.4">
      <c r="A8" s="51">
        <v>100</v>
      </c>
      <c r="B8" s="52" t="s">
        <v>75</v>
      </c>
      <c r="C8" s="56" t="s">
        <v>158</v>
      </c>
      <c r="D8" s="52" t="s">
        <v>316</v>
      </c>
      <c r="E8" s="52" t="s">
        <v>315</v>
      </c>
      <c r="F8" s="52" t="s">
        <v>137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>_xlfn.CONCAT(SUBSTITUTE(C8,"1.",""))</f>
        <v>Fornecidos</v>
      </c>
      <c r="M8" s="23" t="str">
        <f>_xlfn.CONCAT(SUBSTITUTE(D8,"."," "))</f>
        <v>Segmentos dos Produto</v>
      </c>
      <c r="N8" s="23" t="str">
        <f>_xlfn.CONCAT(SUBSTITUTE(E8,"."," "))</f>
        <v>Segmento do Produto</v>
      </c>
      <c r="O8" s="23" t="str">
        <f>_xlfn.CONCAT(SUBSTITUTE(F8,"."," "))</f>
        <v>Produto de Acabado</v>
      </c>
      <c r="P8" s="23" t="s">
        <v>195</v>
      </c>
      <c r="Q8" s="26" t="str">
        <f>_xlfn.TRANSLATE(P8,"pt","es")</f>
        <v>Es un producto o elemento del segmento terminado</v>
      </c>
      <c r="R8" s="42" t="s">
        <v>9</v>
      </c>
      <c r="S8" s="43" t="str">
        <f>SUBSTITUTE(C8, ".", " ")</f>
        <v>Fornecidos</v>
      </c>
      <c r="T8" s="43" t="str">
        <f>SUBSTITUTE(D8, ".", " ")</f>
        <v>Segmentos dos Produto</v>
      </c>
      <c r="U8" s="43" t="str">
        <f>SUBSTITUTE(E8, ".", " ")</f>
        <v>Segmento do Produto</v>
      </c>
      <c r="V8" s="41" t="s">
        <v>184</v>
      </c>
      <c r="W8" s="60" t="str">
        <f>CONCATENATE("Key.Fab.",A8)</f>
        <v>Key.Fab.100</v>
      </c>
      <c r="X8" s="41" t="s">
        <v>9</v>
      </c>
      <c r="Y8" s="41" t="s">
        <v>9</v>
      </c>
      <c r="Z8" s="50" t="s">
        <v>445</v>
      </c>
      <c r="AA8" s="45" t="str">
        <f>_xlfn.TRANSLATE(P8,"pt","en")</f>
        <v>It is a product or element of the finished segment</v>
      </c>
    </row>
    <row r="9" spans="1:27" ht="6.55" customHeight="1" x14ac:dyDescent="0.4">
      <c r="A9" s="51">
        <v>101</v>
      </c>
      <c r="B9" s="52" t="s">
        <v>75</v>
      </c>
      <c r="C9" s="56" t="s">
        <v>158</v>
      </c>
      <c r="D9" s="52" t="s">
        <v>316</v>
      </c>
      <c r="E9" s="52" t="s">
        <v>315</v>
      </c>
      <c r="F9" s="52" t="s">
        <v>138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>_xlfn.CONCAT(SUBSTITUTE(C9,"1.",""))</f>
        <v>Fornecidos</v>
      </c>
      <c r="M9" s="23" t="str">
        <f>_xlfn.CONCAT(SUBSTITUTE(D9,"."," "))</f>
        <v>Segmentos dos Produto</v>
      </c>
      <c r="N9" s="23" t="str">
        <f>_xlfn.CONCAT(SUBSTITUTE(E9,"."," "))</f>
        <v>Segmento do Produto</v>
      </c>
      <c r="O9" s="23" t="str">
        <f>_xlfn.CONCAT(SUBSTITUTE(F9,"."," "))</f>
        <v>Produto de Abertura</v>
      </c>
      <c r="P9" s="23" t="s">
        <v>215</v>
      </c>
      <c r="Q9" s="26" t="str">
        <f>_xlfn.TRANSLATE(P9,"pt","es")</f>
        <v>Es un producto o elemento del segmento de aberturas y marcos</v>
      </c>
      <c r="R9" s="42" t="s">
        <v>9</v>
      </c>
      <c r="S9" s="43" t="str">
        <f>SUBSTITUTE(C9, ".", " ")</f>
        <v>Fornecidos</v>
      </c>
      <c r="T9" s="43" t="str">
        <f>SUBSTITUTE(D9, ".", " ")</f>
        <v>Segmentos dos Produto</v>
      </c>
      <c r="U9" s="43" t="str">
        <f>SUBSTITUTE(E9, ".", " ")</f>
        <v>Segmento do Produto</v>
      </c>
      <c r="V9" s="41" t="s">
        <v>184</v>
      </c>
      <c r="W9" s="60" t="str">
        <f>CONCATENATE("Key.Fab.",A9)</f>
        <v>Key.Fab.101</v>
      </c>
      <c r="X9" s="41" t="s">
        <v>9</v>
      </c>
      <c r="Y9" s="41" t="s">
        <v>9</v>
      </c>
      <c r="Z9" s="50" t="s">
        <v>446</v>
      </c>
      <c r="AA9" s="45" t="str">
        <f>_xlfn.TRANSLATE(P9,"pt","en")</f>
        <v>It is a product or element of the openings and frames segment</v>
      </c>
    </row>
    <row r="10" spans="1:27" ht="6.55" customHeight="1" x14ac:dyDescent="0.4">
      <c r="A10" s="51">
        <v>102</v>
      </c>
      <c r="B10" s="52" t="s">
        <v>75</v>
      </c>
      <c r="C10" s="56" t="s">
        <v>158</v>
      </c>
      <c r="D10" s="52" t="s">
        <v>316</v>
      </c>
      <c r="E10" s="52" t="s">
        <v>315</v>
      </c>
      <c r="F10" s="52" t="s">
        <v>139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>_xlfn.CONCAT(SUBSTITUTE(C10,"1.",""))</f>
        <v>Fornecidos</v>
      </c>
      <c r="M10" s="23" t="str">
        <f>_xlfn.CONCAT(SUBSTITUTE(D10,"."," "))</f>
        <v>Segmentos dos Produto</v>
      </c>
      <c r="N10" s="23" t="str">
        <f>_xlfn.CONCAT(SUBSTITUTE(E10,"."," "))</f>
        <v>Segmento do Produto</v>
      </c>
      <c r="O10" s="23" t="str">
        <f>_xlfn.CONCAT(SUBSTITUTE(F10,"."," "))</f>
        <v>Produto de Acústica</v>
      </c>
      <c r="P10" s="23" t="s">
        <v>196</v>
      </c>
      <c r="Q10" s="26" t="str">
        <f>_xlfn.TRANSLATE(P10,"pt","es")</f>
        <v>Es un producto o elemento del segmento acústico</v>
      </c>
      <c r="R10" s="42" t="s">
        <v>9</v>
      </c>
      <c r="S10" s="43" t="str">
        <f>SUBSTITUTE(C10, ".", " ")</f>
        <v>Fornecidos</v>
      </c>
      <c r="T10" s="43" t="str">
        <f>SUBSTITUTE(D10, ".", " ")</f>
        <v>Segmentos dos Produto</v>
      </c>
      <c r="U10" s="43" t="str">
        <f>SUBSTITUTE(E10, ".", " ")</f>
        <v>Segmento do Produto</v>
      </c>
      <c r="V10" s="41" t="s">
        <v>184</v>
      </c>
      <c r="W10" s="60" t="str">
        <f>CONCATENATE("Key.Fab.",A10)</f>
        <v>Key.Fab.102</v>
      </c>
      <c r="X10" s="41" t="s">
        <v>9</v>
      </c>
      <c r="Y10" s="41" t="s">
        <v>9</v>
      </c>
      <c r="Z10" s="50" t="s">
        <v>447</v>
      </c>
      <c r="AA10" s="45" t="str">
        <f>_xlfn.TRANSLATE(P10,"pt","en")</f>
        <v>It is a product or element of the acoustics segment</v>
      </c>
    </row>
    <row r="11" spans="1:27" ht="6.55" customHeight="1" x14ac:dyDescent="0.4">
      <c r="A11" s="51">
        <v>103</v>
      </c>
      <c r="B11" s="52" t="s">
        <v>75</v>
      </c>
      <c r="C11" s="56" t="s">
        <v>158</v>
      </c>
      <c r="D11" s="52" t="s">
        <v>316</v>
      </c>
      <c r="E11" s="52" t="s">
        <v>315</v>
      </c>
      <c r="F11" s="52" t="s">
        <v>140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>_xlfn.CONCAT(SUBSTITUTE(C11,"1.",""))</f>
        <v>Fornecidos</v>
      </c>
      <c r="M11" s="23" t="str">
        <f>_xlfn.CONCAT(SUBSTITUTE(D11,"."," "))</f>
        <v>Segmentos dos Produto</v>
      </c>
      <c r="N11" s="23" t="str">
        <f>_xlfn.CONCAT(SUBSTITUTE(E11,"."," "))</f>
        <v>Segmento do Produto</v>
      </c>
      <c r="O11" s="23" t="str">
        <f>_xlfn.CONCAT(SUBSTITUTE(F11,"."," "))</f>
        <v>Produto de Elétrica</v>
      </c>
      <c r="P11" s="23" t="s">
        <v>197</v>
      </c>
      <c r="Q11" s="26" t="str">
        <f>_xlfn.TRANSLATE(P11,"pt","es")</f>
        <v>Es un producto o elemento del segmento eléctrico</v>
      </c>
      <c r="R11" s="42" t="s">
        <v>9</v>
      </c>
      <c r="S11" s="43" t="str">
        <f>SUBSTITUTE(C11, ".", " ")</f>
        <v>Fornecidos</v>
      </c>
      <c r="T11" s="43" t="str">
        <f>SUBSTITUTE(D11, ".", " ")</f>
        <v>Segmentos dos Produto</v>
      </c>
      <c r="U11" s="43" t="str">
        <f>SUBSTITUTE(E11, ".", " ")</f>
        <v>Segmento do Produto</v>
      </c>
      <c r="V11" s="41" t="s">
        <v>184</v>
      </c>
      <c r="W11" s="60" t="str">
        <f>CONCATENATE("Key.Fab.",A11)</f>
        <v>Key.Fab.103</v>
      </c>
      <c r="X11" s="41" t="s">
        <v>9</v>
      </c>
      <c r="Y11" s="41" t="s">
        <v>9</v>
      </c>
      <c r="Z11" s="50" t="s">
        <v>448</v>
      </c>
      <c r="AA11" s="45" t="str">
        <f>_xlfn.TRANSLATE(P11,"pt","en")</f>
        <v>It is a product or element of the electrical segment</v>
      </c>
    </row>
    <row r="12" spans="1:27" ht="6.55" customHeight="1" x14ac:dyDescent="0.4">
      <c r="A12" s="51">
        <v>104</v>
      </c>
      <c r="B12" s="52" t="s">
        <v>75</v>
      </c>
      <c r="C12" s="56" t="s">
        <v>158</v>
      </c>
      <c r="D12" s="52" t="s">
        <v>316</v>
      </c>
      <c r="E12" s="52" t="s">
        <v>315</v>
      </c>
      <c r="F12" s="52" t="s">
        <v>141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>_xlfn.CONCAT(SUBSTITUTE(C12,"1.",""))</f>
        <v>Fornecidos</v>
      </c>
      <c r="M12" s="23" t="str">
        <f>_xlfn.CONCAT(SUBSTITUTE(D12,"."," "))</f>
        <v>Segmentos dos Produto</v>
      </c>
      <c r="N12" s="23" t="str">
        <f>_xlfn.CONCAT(SUBSTITUTE(E12,"."," "))</f>
        <v>Segmento do Produto</v>
      </c>
      <c r="O12" s="23" t="str">
        <f>_xlfn.CONCAT(SUBSTITUTE(F12,"."," "))</f>
        <v>Produto de Iluminação</v>
      </c>
      <c r="P12" s="23" t="s">
        <v>183</v>
      </c>
      <c r="Q12" s="26" t="str">
        <f>_xlfn.TRANSLATE(P12,"pt","es")</f>
        <v>Es un producto o elemento del segmento de Iluminación</v>
      </c>
      <c r="R12" s="42" t="s">
        <v>9</v>
      </c>
      <c r="S12" s="43" t="str">
        <f>SUBSTITUTE(C12, ".", " ")</f>
        <v>Fornecidos</v>
      </c>
      <c r="T12" s="43" t="str">
        <f>SUBSTITUTE(D12, ".", " ")</f>
        <v>Segmentos dos Produto</v>
      </c>
      <c r="U12" s="43" t="str">
        <f>SUBSTITUTE(E12, ".", " ")</f>
        <v>Segmento do Produto</v>
      </c>
      <c r="V12" s="41" t="s">
        <v>184</v>
      </c>
      <c r="W12" s="60" t="str">
        <f>CONCATENATE("Key.Fab.",A12)</f>
        <v>Key.Fab.104</v>
      </c>
      <c r="X12" s="41" t="s">
        <v>9</v>
      </c>
      <c r="Y12" s="41" t="s">
        <v>9</v>
      </c>
      <c r="Z12" s="50" t="s">
        <v>449</v>
      </c>
      <c r="AA12" s="45" t="str">
        <f>_xlfn.TRANSLATE(P12,"pt","en")</f>
        <v>It is a product or element of the Lighting segment</v>
      </c>
    </row>
    <row r="13" spans="1:27" ht="6.55" customHeight="1" x14ac:dyDescent="0.4">
      <c r="A13" s="51">
        <v>105</v>
      </c>
      <c r="B13" s="52" t="s">
        <v>75</v>
      </c>
      <c r="C13" s="56" t="s">
        <v>158</v>
      </c>
      <c r="D13" s="52" t="s">
        <v>316</v>
      </c>
      <c r="E13" s="52" t="s">
        <v>315</v>
      </c>
      <c r="F13" s="52" t="s">
        <v>142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>_xlfn.CONCAT(SUBSTITUTE(C13,"1.",""))</f>
        <v>Fornecidos</v>
      </c>
      <c r="M13" s="23" t="str">
        <f>_xlfn.CONCAT(SUBSTITUTE(D13,"."," "))</f>
        <v>Segmentos dos Produto</v>
      </c>
      <c r="N13" s="23" t="str">
        <f>_xlfn.CONCAT(SUBSTITUTE(E13,"."," "))</f>
        <v>Segmento do Produto</v>
      </c>
      <c r="O13" s="23" t="str">
        <f>_xlfn.CONCAT(SUBSTITUTE(F13,"."," "))</f>
        <v>Produto de Exaustão Ventilação</v>
      </c>
      <c r="P13" s="23" t="s">
        <v>198</v>
      </c>
      <c r="Q13" s="26" t="str">
        <f>_xlfn.TRANSLATE(P13,"pt","es")</f>
        <v>Es un producto o elemento del segmento de extracción y ventilación</v>
      </c>
      <c r="R13" s="42" t="s">
        <v>9</v>
      </c>
      <c r="S13" s="43" t="str">
        <f>SUBSTITUTE(C13, ".", " ")</f>
        <v>Fornecidos</v>
      </c>
      <c r="T13" s="43" t="str">
        <f>SUBSTITUTE(D13, ".", " ")</f>
        <v>Segmentos dos Produto</v>
      </c>
      <c r="U13" s="43" t="str">
        <f>SUBSTITUTE(E13, ".", " ")</f>
        <v>Segmento do Produto</v>
      </c>
      <c r="V13" s="41" t="s">
        <v>184</v>
      </c>
      <c r="W13" s="60" t="str">
        <f>CONCATENATE("Key.Fab.",A13)</f>
        <v>Key.Fab.105</v>
      </c>
      <c r="X13" s="41" t="s">
        <v>9</v>
      </c>
      <c r="Y13" s="41" t="s">
        <v>9</v>
      </c>
      <c r="Z13" s="50" t="s">
        <v>450</v>
      </c>
      <c r="AA13" s="45" t="str">
        <f>_xlfn.TRANSLATE(P13,"pt","en")</f>
        <v>It is a product or element of the exhaust and ventilation segment</v>
      </c>
    </row>
    <row r="14" spans="1:27" ht="6.55" customHeight="1" x14ac:dyDescent="0.4">
      <c r="A14" s="51">
        <v>106</v>
      </c>
      <c r="B14" s="52" t="s">
        <v>75</v>
      </c>
      <c r="C14" s="56" t="s">
        <v>158</v>
      </c>
      <c r="D14" s="52" t="s">
        <v>316</v>
      </c>
      <c r="E14" s="52" t="s">
        <v>315</v>
      </c>
      <c r="F14" s="52" t="s">
        <v>143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>_xlfn.CONCAT(SUBSTITUTE(C14,"1.",""))</f>
        <v>Fornecidos</v>
      </c>
      <c r="M14" s="23" t="str">
        <f>_xlfn.CONCAT(SUBSTITUTE(D14,"."," "))</f>
        <v>Segmentos dos Produto</v>
      </c>
      <c r="N14" s="23" t="str">
        <f>_xlfn.CONCAT(SUBSTITUTE(E14,"."," "))</f>
        <v>Segmento do Produto</v>
      </c>
      <c r="O14" s="23" t="str">
        <f>_xlfn.CONCAT(SUBSTITUTE(F14,"."," "))</f>
        <v>Produto de Telecom Urbana</v>
      </c>
      <c r="P14" s="23" t="s">
        <v>203</v>
      </c>
      <c r="Q14" s="26" t="str">
        <f>_xlfn.TRANSLATE(P14,"pt","es")</f>
        <v>Es un producto o elemento del segmento de la red de telecomunicaciones urbana</v>
      </c>
      <c r="R14" s="42" t="s">
        <v>9</v>
      </c>
      <c r="S14" s="43" t="str">
        <f>SUBSTITUTE(C14, ".", " ")</f>
        <v>Fornecidos</v>
      </c>
      <c r="T14" s="43" t="str">
        <f>SUBSTITUTE(D14, ".", " ")</f>
        <v>Segmentos dos Produto</v>
      </c>
      <c r="U14" s="43" t="str">
        <f>SUBSTITUTE(E14, ".", " ")</f>
        <v>Segmento do Produto</v>
      </c>
      <c r="V14" s="41" t="s">
        <v>184</v>
      </c>
      <c r="W14" s="60" t="str">
        <f>CONCATENATE("Key.Fab.",A14)</f>
        <v>Key.Fab.106</v>
      </c>
      <c r="X14" s="41" t="s">
        <v>9</v>
      </c>
      <c r="Y14" s="41" t="s">
        <v>9</v>
      </c>
      <c r="Z14" s="50" t="s">
        <v>451</v>
      </c>
      <c r="AA14" s="45" t="str">
        <f>_xlfn.TRANSLATE(P14,"pt","en")</f>
        <v>It is a product or element of the urban telecom network segment</v>
      </c>
    </row>
    <row r="15" spans="1:27" ht="6.55" customHeight="1" x14ac:dyDescent="0.4">
      <c r="A15" s="51">
        <v>107</v>
      </c>
      <c r="B15" s="52" t="s">
        <v>75</v>
      </c>
      <c r="C15" s="56" t="s">
        <v>158</v>
      </c>
      <c r="D15" s="52" t="s">
        <v>316</v>
      </c>
      <c r="E15" s="52" t="s">
        <v>315</v>
      </c>
      <c r="F15" s="52" t="s">
        <v>144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>_xlfn.CONCAT(SUBSTITUTE(C15,"1.",""))</f>
        <v>Fornecidos</v>
      </c>
      <c r="M15" s="23" t="str">
        <f>_xlfn.CONCAT(SUBSTITUTE(D15,"."," "))</f>
        <v>Segmentos dos Produto</v>
      </c>
      <c r="N15" s="23" t="str">
        <f>_xlfn.CONCAT(SUBSTITUTE(E15,"."," "))</f>
        <v>Segmento do Produto</v>
      </c>
      <c r="O15" s="23" t="str">
        <f>_xlfn.CONCAT(SUBSTITUTE(F15,"."," "))</f>
        <v>Produto de Telecom Predial</v>
      </c>
      <c r="P15" s="23" t="s">
        <v>204</v>
      </c>
      <c r="Q15" s="26" t="str">
        <f>_xlfn.TRANSLATE(P15,"pt","es")</f>
        <v>Es un producto o elemento del segmento de redes de telecomunicaciones en construcción</v>
      </c>
      <c r="R15" s="42" t="s">
        <v>9</v>
      </c>
      <c r="S15" s="43" t="str">
        <f>SUBSTITUTE(C15, ".", " ")</f>
        <v>Fornecidos</v>
      </c>
      <c r="T15" s="43" t="str">
        <f>SUBSTITUTE(D15, ".", " ")</f>
        <v>Segmentos dos Produto</v>
      </c>
      <c r="U15" s="43" t="str">
        <f>SUBSTITUTE(E15, ".", " ")</f>
        <v>Segmento do Produto</v>
      </c>
      <c r="V15" s="41" t="s">
        <v>184</v>
      </c>
      <c r="W15" s="60" t="str">
        <f>CONCATENATE("Key.Fab.",A15)</f>
        <v>Key.Fab.107</v>
      </c>
      <c r="X15" s="41" t="s">
        <v>9</v>
      </c>
      <c r="Y15" s="41" t="s">
        <v>9</v>
      </c>
      <c r="Z15" s="50" t="s">
        <v>452</v>
      </c>
      <c r="AA15" s="45" t="str">
        <f>_xlfn.TRANSLATE(P15,"pt","en")</f>
        <v>It is a product or element of the building telecom network segment</v>
      </c>
    </row>
    <row r="16" spans="1:27" ht="6.55" customHeight="1" x14ac:dyDescent="0.4">
      <c r="A16" s="51">
        <v>108</v>
      </c>
      <c r="B16" s="52" t="s">
        <v>75</v>
      </c>
      <c r="C16" s="56" t="s">
        <v>158</v>
      </c>
      <c r="D16" s="52" t="s">
        <v>316</v>
      </c>
      <c r="E16" s="52" t="s">
        <v>315</v>
      </c>
      <c r="F16" s="52" t="s">
        <v>145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>_xlfn.CONCAT(SUBSTITUTE(C16,"1.",""))</f>
        <v>Fornecidos</v>
      </c>
      <c r="M16" s="23" t="str">
        <f>_xlfn.CONCAT(SUBSTITUTE(D16,"."," "))</f>
        <v>Segmentos dos Produto</v>
      </c>
      <c r="N16" s="23" t="str">
        <f>_xlfn.CONCAT(SUBSTITUTE(E16,"."," "))</f>
        <v>Segmento do Produto</v>
      </c>
      <c r="O16" s="23" t="str">
        <f>_xlfn.CONCAT(SUBSTITUTE(F16,"."," "))</f>
        <v>Produto de Hidráulica Urbana</v>
      </c>
      <c r="P16" s="23" t="s">
        <v>202</v>
      </c>
      <c r="Q16" s="26" t="str">
        <f>_xlfn.TRANSLATE(P16,"pt","es")</f>
        <v>Es un producto o elemento del segmento de la red de hidráulica urbana</v>
      </c>
      <c r="R16" s="42" t="s">
        <v>9</v>
      </c>
      <c r="S16" s="43" t="str">
        <f>SUBSTITUTE(C16, ".", " ")</f>
        <v>Fornecidos</v>
      </c>
      <c r="T16" s="43" t="str">
        <f>SUBSTITUTE(D16, ".", " ")</f>
        <v>Segmentos dos Produto</v>
      </c>
      <c r="U16" s="43" t="str">
        <f>SUBSTITUTE(E16, ".", " ")</f>
        <v>Segmento do Produto</v>
      </c>
      <c r="V16" s="41" t="s">
        <v>184</v>
      </c>
      <c r="W16" s="60" t="str">
        <f>CONCATENATE("Key.Fab.",A16)</f>
        <v>Key.Fab.108</v>
      </c>
      <c r="X16" s="41" t="s">
        <v>9</v>
      </c>
      <c r="Y16" s="41" t="s">
        <v>9</v>
      </c>
      <c r="Z16" s="50" t="s">
        <v>453</v>
      </c>
      <c r="AA16" s="45" t="str">
        <f>_xlfn.TRANSLATE(P16,"pt","en")</f>
        <v>It is a product or element of the urban hydraulics network segment</v>
      </c>
    </row>
    <row r="17" spans="1:27" ht="6.55" customHeight="1" x14ac:dyDescent="0.4">
      <c r="A17" s="51">
        <v>109</v>
      </c>
      <c r="B17" s="52" t="s">
        <v>75</v>
      </c>
      <c r="C17" s="56" t="s">
        <v>158</v>
      </c>
      <c r="D17" s="52" t="s">
        <v>316</v>
      </c>
      <c r="E17" s="52" t="s">
        <v>315</v>
      </c>
      <c r="F17" s="52" t="s">
        <v>146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>_xlfn.CONCAT(SUBSTITUTE(C17,"1.",""))</f>
        <v>Fornecidos</v>
      </c>
      <c r="M17" s="23" t="str">
        <f>_xlfn.CONCAT(SUBSTITUTE(D17,"."," "))</f>
        <v>Segmentos dos Produto</v>
      </c>
      <c r="N17" s="23" t="str">
        <f>_xlfn.CONCAT(SUBSTITUTE(E17,"."," "))</f>
        <v>Segmento do Produto</v>
      </c>
      <c r="O17" s="23" t="str">
        <f>_xlfn.CONCAT(SUBSTITUTE(F17,"."," "))</f>
        <v>Produto de Hidráulica Predial</v>
      </c>
      <c r="P17" s="23" t="s">
        <v>201</v>
      </c>
      <c r="Q17" s="26" t="str">
        <f>_xlfn.TRANSLATE(P17,"pt","es")</f>
        <v>Es un producto o elemento del segmento de redes hidráulicas para edificios</v>
      </c>
      <c r="R17" s="42" t="s">
        <v>9</v>
      </c>
      <c r="S17" s="43" t="str">
        <f>SUBSTITUTE(C17, ".", " ")</f>
        <v>Fornecidos</v>
      </c>
      <c r="T17" s="43" t="str">
        <f>SUBSTITUTE(D17, ".", " ")</f>
        <v>Segmentos dos Produto</v>
      </c>
      <c r="U17" s="43" t="str">
        <f>SUBSTITUTE(E17, ".", " ")</f>
        <v>Segmento do Produto</v>
      </c>
      <c r="V17" s="41" t="s">
        <v>184</v>
      </c>
      <c r="W17" s="60" t="str">
        <f>CONCATENATE("Key.Fab.",A17)</f>
        <v>Key.Fab.109</v>
      </c>
      <c r="X17" s="41" t="s">
        <v>9</v>
      </c>
      <c r="Y17" s="41" t="s">
        <v>9</v>
      </c>
      <c r="Z17" s="50" t="s">
        <v>454</v>
      </c>
      <c r="AA17" s="45" t="str">
        <f>_xlfn.TRANSLATE(P17,"pt","en")</f>
        <v>It is a product or element of the building hydraulic network segment</v>
      </c>
    </row>
    <row r="18" spans="1:27" ht="6.55" customHeight="1" x14ac:dyDescent="0.4">
      <c r="A18" s="51">
        <v>110</v>
      </c>
      <c r="B18" s="52" t="s">
        <v>75</v>
      </c>
      <c r="C18" s="56" t="s">
        <v>158</v>
      </c>
      <c r="D18" s="52" t="s">
        <v>316</v>
      </c>
      <c r="E18" s="52" t="s">
        <v>315</v>
      </c>
      <c r="F18" s="52" t="s">
        <v>147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>_xlfn.CONCAT(SUBSTITUTE(C18,"1.",""))</f>
        <v>Fornecidos</v>
      </c>
      <c r="M18" s="23" t="str">
        <f>_xlfn.CONCAT(SUBSTITUTE(D18,"."," "))</f>
        <v>Segmentos dos Produto</v>
      </c>
      <c r="N18" s="23" t="str">
        <f>_xlfn.CONCAT(SUBSTITUTE(E18,"."," "))</f>
        <v>Segmento do Produto</v>
      </c>
      <c r="O18" s="23" t="str">
        <f>_xlfn.CONCAT(SUBSTITUTE(F18,"."," "))</f>
        <v>Produto de Pluvial</v>
      </c>
      <c r="P18" s="23" t="s">
        <v>205</v>
      </c>
      <c r="Q18" s="26" t="str">
        <f>_xlfn.TRANSLATE(P18,"pt","es")</f>
        <v>Es un producto o elemento del segmento de la red de aguas pluviales</v>
      </c>
      <c r="R18" s="42" t="s">
        <v>9</v>
      </c>
      <c r="S18" s="43" t="str">
        <f>SUBSTITUTE(C18, ".", " ")</f>
        <v>Fornecidos</v>
      </c>
      <c r="T18" s="43" t="str">
        <f>SUBSTITUTE(D18, ".", " ")</f>
        <v>Segmentos dos Produto</v>
      </c>
      <c r="U18" s="43" t="str">
        <f>SUBSTITUTE(E18, ".", " ")</f>
        <v>Segmento do Produto</v>
      </c>
      <c r="V18" s="41" t="s">
        <v>184</v>
      </c>
      <c r="W18" s="60" t="str">
        <f>CONCATENATE("Key.Fab.",A18)</f>
        <v>Key.Fab.110</v>
      </c>
      <c r="X18" s="41" t="s">
        <v>9</v>
      </c>
      <c r="Y18" s="41" t="s">
        <v>9</v>
      </c>
      <c r="Z18" s="50" t="s">
        <v>455</v>
      </c>
      <c r="AA18" s="45" t="str">
        <f>_xlfn.TRANSLATE(P18,"pt","en")</f>
        <v>It is a product or element of the rainwater network segment</v>
      </c>
    </row>
    <row r="19" spans="1:27" ht="6.55" customHeight="1" x14ac:dyDescent="0.4">
      <c r="A19" s="51">
        <v>111</v>
      </c>
      <c r="B19" s="52" t="s">
        <v>75</v>
      </c>
      <c r="C19" s="56" t="s">
        <v>158</v>
      </c>
      <c r="D19" s="52" t="s">
        <v>316</v>
      </c>
      <c r="E19" s="52" t="s">
        <v>315</v>
      </c>
      <c r="F19" s="52" t="s">
        <v>148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>_xlfn.CONCAT(SUBSTITUTE(C19,"1.",""))</f>
        <v>Fornecidos</v>
      </c>
      <c r="M19" s="23" t="str">
        <f>_xlfn.CONCAT(SUBSTITUTE(D19,"."," "))</f>
        <v>Segmentos dos Produto</v>
      </c>
      <c r="N19" s="23" t="str">
        <f>_xlfn.CONCAT(SUBSTITUTE(E19,"."," "))</f>
        <v>Segmento do Produto</v>
      </c>
      <c r="O19" s="23" t="str">
        <f>_xlfn.CONCAT(SUBSTITUTE(F19,"."," "))</f>
        <v>Produto de Esgoto Predial</v>
      </c>
      <c r="P19" s="23" t="s">
        <v>199</v>
      </c>
      <c r="Q19" s="26" t="str">
        <f>_xlfn.TRANSLATE(P19,"pt","es")</f>
        <v>Es un producto o elemento del segmento de la red de alcantarillado del edificio</v>
      </c>
      <c r="R19" s="42" t="s">
        <v>9</v>
      </c>
      <c r="S19" s="43" t="str">
        <f>SUBSTITUTE(C19, ".", " ")</f>
        <v>Fornecidos</v>
      </c>
      <c r="T19" s="43" t="str">
        <f>SUBSTITUTE(D19, ".", " ")</f>
        <v>Segmentos dos Produto</v>
      </c>
      <c r="U19" s="43" t="str">
        <f>SUBSTITUTE(E19, ".", " ")</f>
        <v>Segmento do Produto</v>
      </c>
      <c r="V19" s="41" t="s">
        <v>184</v>
      </c>
      <c r="W19" s="60" t="str">
        <f>CONCATENATE("Key.Fab.",A19)</f>
        <v>Key.Fab.111</v>
      </c>
      <c r="X19" s="41" t="s">
        <v>9</v>
      </c>
      <c r="Y19" s="41" t="s">
        <v>9</v>
      </c>
      <c r="Z19" s="50" t="s">
        <v>456</v>
      </c>
      <c r="AA19" s="45" t="str">
        <f>_xlfn.TRANSLATE(P19,"pt","en")</f>
        <v>It is a product or element of the building sewer network segment</v>
      </c>
    </row>
    <row r="20" spans="1:27" ht="6.55" customHeight="1" x14ac:dyDescent="0.4">
      <c r="A20" s="51">
        <v>112</v>
      </c>
      <c r="B20" s="52" t="s">
        <v>75</v>
      </c>
      <c r="C20" s="56" t="s">
        <v>158</v>
      </c>
      <c r="D20" s="52" t="s">
        <v>316</v>
      </c>
      <c r="E20" s="52" t="s">
        <v>315</v>
      </c>
      <c r="F20" s="52" t="s">
        <v>149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>_xlfn.CONCAT(SUBSTITUTE(C20,"1.",""))</f>
        <v>Fornecidos</v>
      </c>
      <c r="M20" s="23" t="str">
        <f>_xlfn.CONCAT(SUBSTITUTE(D20,"."," "))</f>
        <v>Segmentos dos Produto</v>
      </c>
      <c r="N20" s="23" t="str">
        <f>_xlfn.CONCAT(SUBSTITUTE(E20,"."," "))</f>
        <v>Segmento do Produto</v>
      </c>
      <c r="O20" s="23" t="str">
        <f>_xlfn.CONCAT(SUBSTITUTE(F20,"."," "))</f>
        <v>Produto de Esgoto Urbano</v>
      </c>
      <c r="P20" s="23" t="s">
        <v>200</v>
      </c>
      <c r="Q20" s="26" t="str">
        <f>_xlfn.TRANSLATE(P20,"pt","es")</f>
        <v>Es un producto o elemento del segmento de la red de alcantarillado urbano</v>
      </c>
      <c r="R20" s="42" t="s">
        <v>9</v>
      </c>
      <c r="S20" s="43" t="str">
        <f>SUBSTITUTE(C20, ".", " ")</f>
        <v>Fornecidos</v>
      </c>
      <c r="T20" s="43" t="str">
        <f>SUBSTITUTE(D20, ".", " ")</f>
        <v>Segmentos dos Produto</v>
      </c>
      <c r="U20" s="43" t="str">
        <f>SUBSTITUTE(E20, ".", " ")</f>
        <v>Segmento do Produto</v>
      </c>
      <c r="V20" s="41" t="s">
        <v>184</v>
      </c>
      <c r="W20" s="60" t="str">
        <f>CONCATENATE("Key.Fab.",A20)</f>
        <v>Key.Fab.112</v>
      </c>
      <c r="X20" s="41" t="s">
        <v>9</v>
      </c>
      <c r="Y20" s="41" t="s">
        <v>9</v>
      </c>
      <c r="Z20" s="50" t="s">
        <v>457</v>
      </c>
      <c r="AA20" s="45" t="str">
        <f>_xlfn.TRANSLATE(P20,"pt","en")</f>
        <v>It is a product or element of the urban sewer network segment</v>
      </c>
    </row>
    <row r="21" spans="1:27" ht="6.55" customHeight="1" x14ac:dyDescent="0.4">
      <c r="A21" s="51">
        <v>113</v>
      </c>
      <c r="B21" s="52" t="s">
        <v>75</v>
      </c>
      <c r="C21" s="56" t="s">
        <v>158</v>
      </c>
      <c r="D21" s="52" t="s">
        <v>316</v>
      </c>
      <c r="E21" s="52" t="s">
        <v>315</v>
      </c>
      <c r="F21" s="52" t="s">
        <v>150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>_xlfn.CONCAT(SUBSTITUTE(C21,"1.",""))</f>
        <v>Fornecidos</v>
      </c>
      <c r="M21" s="23" t="str">
        <f>_xlfn.CONCAT(SUBSTITUTE(D21,"."," "))</f>
        <v>Segmentos dos Produto</v>
      </c>
      <c r="N21" s="23" t="str">
        <f>_xlfn.CONCAT(SUBSTITUTE(E21,"."," "))</f>
        <v>Segmento do Produto</v>
      </c>
      <c r="O21" s="23" t="str">
        <f>_xlfn.CONCAT(SUBSTITUTE(F21,"."," "))</f>
        <v>Produto de Resíduo</v>
      </c>
      <c r="P21" s="23" t="s">
        <v>206</v>
      </c>
      <c r="Q21" s="26" t="str">
        <f>_xlfn.TRANSLATE(P21,"pt","es")</f>
        <v>Es un producto o elemento del segmento de tratamiento de residuos</v>
      </c>
      <c r="R21" s="42" t="s">
        <v>9</v>
      </c>
      <c r="S21" s="43" t="str">
        <f>SUBSTITUTE(C21, ".", " ")</f>
        <v>Fornecidos</v>
      </c>
      <c r="T21" s="43" t="str">
        <f>SUBSTITUTE(D21, ".", " ")</f>
        <v>Segmentos dos Produto</v>
      </c>
      <c r="U21" s="43" t="str">
        <f>SUBSTITUTE(E21, ".", " ")</f>
        <v>Segmento do Produto</v>
      </c>
      <c r="V21" s="41" t="s">
        <v>184</v>
      </c>
      <c r="W21" s="60" t="str">
        <f>CONCATENATE("Key.Fab.",A21)</f>
        <v>Key.Fab.113</v>
      </c>
      <c r="X21" s="41" t="s">
        <v>9</v>
      </c>
      <c r="Y21" s="41" t="s">
        <v>9</v>
      </c>
      <c r="Z21" s="50" t="s">
        <v>458</v>
      </c>
      <c r="AA21" s="45" t="str">
        <f>_xlfn.TRANSLATE(P21,"pt","en")</f>
        <v>It is a product or element of the waste treatment segment</v>
      </c>
    </row>
    <row r="22" spans="1:27" ht="6.55" customHeight="1" x14ac:dyDescent="0.4">
      <c r="A22" s="51">
        <v>114</v>
      </c>
      <c r="B22" s="52" t="s">
        <v>75</v>
      </c>
      <c r="C22" s="56" t="s">
        <v>158</v>
      </c>
      <c r="D22" s="52" t="s">
        <v>316</v>
      </c>
      <c r="E22" s="52" t="s">
        <v>315</v>
      </c>
      <c r="F22" s="52" t="s">
        <v>151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>_xlfn.CONCAT(SUBSTITUTE(C22,"1.",""))</f>
        <v>Fornecidos</v>
      </c>
      <c r="M22" s="23" t="str">
        <f>_xlfn.CONCAT(SUBSTITUTE(D22,"."," "))</f>
        <v>Segmentos dos Produto</v>
      </c>
      <c r="N22" s="23" t="str">
        <f>_xlfn.CONCAT(SUBSTITUTE(E22,"."," "))</f>
        <v>Segmento do Produto</v>
      </c>
      <c r="O22" s="23" t="str">
        <f>_xlfn.CONCAT(SUBSTITUTE(F22,"."," "))</f>
        <v>Produto de Refrigeração</v>
      </c>
      <c r="P22" s="23" t="s">
        <v>207</v>
      </c>
      <c r="Q22" s="26" t="str">
        <f>_xlfn.TRANSLATE(P22,"pt","es")</f>
        <v>Es un producto o elemento del segmento de refrigeración</v>
      </c>
      <c r="R22" s="42" t="s">
        <v>9</v>
      </c>
      <c r="S22" s="43" t="str">
        <f>SUBSTITUTE(C22, ".", " ")</f>
        <v>Fornecidos</v>
      </c>
      <c r="T22" s="43" t="str">
        <f>SUBSTITUTE(D22, ".", " ")</f>
        <v>Segmentos dos Produto</v>
      </c>
      <c r="U22" s="43" t="str">
        <f>SUBSTITUTE(E22, ".", " ")</f>
        <v>Segmento do Produto</v>
      </c>
      <c r="V22" s="41" t="s">
        <v>184</v>
      </c>
      <c r="W22" s="60" t="str">
        <f>CONCATENATE("Key.Fab.",A22)</f>
        <v>Key.Fab.114</v>
      </c>
      <c r="X22" s="41" t="s">
        <v>9</v>
      </c>
      <c r="Y22" s="41" t="s">
        <v>9</v>
      </c>
      <c r="Z22" s="50" t="s">
        <v>459</v>
      </c>
      <c r="AA22" s="45" t="str">
        <f>_xlfn.TRANSLATE(P22,"pt","en")</f>
        <v>It is a product or element of the refrigeration segment</v>
      </c>
    </row>
    <row r="23" spans="1:27" ht="6.55" customHeight="1" x14ac:dyDescent="0.4">
      <c r="A23" s="51">
        <v>115</v>
      </c>
      <c r="B23" s="52" t="s">
        <v>75</v>
      </c>
      <c r="C23" s="56" t="s">
        <v>158</v>
      </c>
      <c r="D23" s="52" t="s">
        <v>316</v>
      </c>
      <c r="E23" s="52" t="s">
        <v>315</v>
      </c>
      <c r="F23" s="52" t="s">
        <v>152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>_xlfn.CONCAT(SUBSTITUTE(C23,"1.",""))</f>
        <v>Fornecidos</v>
      </c>
      <c r="M23" s="23" t="str">
        <f>_xlfn.CONCAT(SUBSTITUTE(D23,"."," "))</f>
        <v>Segmentos dos Produto</v>
      </c>
      <c r="N23" s="23" t="str">
        <f>_xlfn.CONCAT(SUBSTITUTE(E23,"."," "))</f>
        <v>Segmento do Produto</v>
      </c>
      <c r="O23" s="23" t="str">
        <f>_xlfn.CONCAT(SUBSTITUTE(F23,"."," "))</f>
        <v>Produto de Aquecimento</v>
      </c>
      <c r="P23" s="23" t="s">
        <v>208</v>
      </c>
      <c r="Q23" s="26" t="str">
        <f>_xlfn.TRANSLATE(P23,"pt","es")</f>
        <v>Es un producto o elemento del segmento de calentamiento</v>
      </c>
      <c r="R23" s="42" t="s">
        <v>9</v>
      </c>
      <c r="S23" s="43" t="str">
        <f>SUBSTITUTE(C23, ".", " ")</f>
        <v>Fornecidos</v>
      </c>
      <c r="T23" s="43" t="str">
        <f>SUBSTITUTE(D23, ".", " ")</f>
        <v>Segmentos dos Produto</v>
      </c>
      <c r="U23" s="43" t="str">
        <f>SUBSTITUTE(E23, ".", " ")</f>
        <v>Segmento do Produto</v>
      </c>
      <c r="V23" s="41" t="s">
        <v>184</v>
      </c>
      <c r="W23" s="60" t="str">
        <f>CONCATENATE("Key.Fab.",A23)</f>
        <v>Key.Fab.115</v>
      </c>
      <c r="X23" s="41" t="s">
        <v>9</v>
      </c>
      <c r="Y23" s="41" t="s">
        <v>9</v>
      </c>
      <c r="Z23" s="50" t="s">
        <v>460</v>
      </c>
      <c r="AA23" s="45" t="str">
        <f>_xlfn.TRANSLATE(P23,"pt","en")</f>
        <v>It is a product or element of the heating segment</v>
      </c>
    </row>
    <row r="24" spans="1:27" ht="6.55" customHeight="1" x14ac:dyDescent="0.4">
      <c r="A24" s="51">
        <v>116</v>
      </c>
      <c r="B24" s="52" t="s">
        <v>75</v>
      </c>
      <c r="C24" s="56" t="s">
        <v>158</v>
      </c>
      <c r="D24" s="52" t="s">
        <v>316</v>
      </c>
      <c r="E24" s="52" t="s">
        <v>315</v>
      </c>
      <c r="F24" s="52" t="s">
        <v>153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>_xlfn.CONCAT(SUBSTITUTE(C24,"1.",""))</f>
        <v>Fornecidos</v>
      </c>
      <c r="M24" s="23" t="str">
        <f>_xlfn.CONCAT(SUBSTITUTE(D24,"."," "))</f>
        <v>Segmentos dos Produto</v>
      </c>
      <c r="N24" s="23" t="str">
        <f>_xlfn.CONCAT(SUBSTITUTE(E24,"."," "))</f>
        <v>Segmento do Produto</v>
      </c>
      <c r="O24" s="23" t="str">
        <f>_xlfn.CONCAT(SUBSTITUTE(F24,"."," "))</f>
        <v>Produto de Gases</v>
      </c>
      <c r="P24" s="23" t="s">
        <v>209</v>
      </c>
      <c r="Q24" s="26" t="str">
        <f>_xlfn.TRANSLATE(P24,"pt","es")</f>
        <v>Es un producto o elemento del segmento de gas</v>
      </c>
      <c r="R24" s="42" t="s">
        <v>9</v>
      </c>
      <c r="S24" s="43" t="str">
        <f>SUBSTITUTE(C24, ".", " ")</f>
        <v>Fornecidos</v>
      </c>
      <c r="T24" s="43" t="str">
        <f>SUBSTITUTE(D24, ".", " ")</f>
        <v>Segmentos dos Produto</v>
      </c>
      <c r="U24" s="43" t="str">
        <f>SUBSTITUTE(E24, ".", " ")</f>
        <v>Segmento do Produto</v>
      </c>
      <c r="V24" s="41" t="s">
        <v>184</v>
      </c>
      <c r="W24" s="60" t="str">
        <f>CONCATENATE("Key.Fab.",A24)</f>
        <v>Key.Fab.116</v>
      </c>
      <c r="X24" s="41" t="s">
        <v>9</v>
      </c>
      <c r="Y24" s="41" t="s">
        <v>9</v>
      </c>
      <c r="Z24" s="50" t="s">
        <v>461</v>
      </c>
      <c r="AA24" s="45" t="str">
        <f>_xlfn.TRANSLATE(P24,"pt","en")</f>
        <v>It is a product or element of the gas segment</v>
      </c>
    </row>
    <row r="25" spans="1:27" ht="6.55" customHeight="1" x14ac:dyDescent="0.4">
      <c r="A25" s="51">
        <v>117</v>
      </c>
      <c r="B25" s="52" t="s">
        <v>75</v>
      </c>
      <c r="C25" s="56" t="s">
        <v>158</v>
      </c>
      <c r="D25" s="52" t="s">
        <v>316</v>
      </c>
      <c r="E25" s="52" t="s">
        <v>315</v>
      </c>
      <c r="F25" s="52" t="s">
        <v>154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>_xlfn.CONCAT(SUBSTITUTE(C25,"1.",""))</f>
        <v>Fornecidos</v>
      </c>
      <c r="M25" s="23" t="str">
        <f>_xlfn.CONCAT(SUBSTITUTE(D25,"."," "))</f>
        <v>Segmentos dos Produto</v>
      </c>
      <c r="N25" s="23" t="str">
        <f>_xlfn.CONCAT(SUBSTITUTE(E25,"."," "))</f>
        <v>Segmento do Produto</v>
      </c>
      <c r="O25" s="23" t="str">
        <f>_xlfn.CONCAT(SUBSTITUTE(F25,"."," "))</f>
        <v>Produto de Mobiliário</v>
      </c>
      <c r="P25" s="23" t="s">
        <v>210</v>
      </c>
      <c r="Q25" s="26" t="str">
        <f>_xlfn.TRANSLATE(P25,"pt","es")</f>
        <v>Es un producto o elemento del segmento del mobiliario</v>
      </c>
      <c r="R25" s="42" t="s">
        <v>9</v>
      </c>
      <c r="S25" s="43" t="str">
        <f>SUBSTITUTE(C25, ".", " ")</f>
        <v>Fornecidos</v>
      </c>
      <c r="T25" s="43" t="str">
        <f>SUBSTITUTE(D25, ".", " ")</f>
        <v>Segmentos dos Produto</v>
      </c>
      <c r="U25" s="43" t="str">
        <f>SUBSTITUTE(E25, ".", " ")</f>
        <v>Segmento do Produto</v>
      </c>
      <c r="V25" s="41" t="s">
        <v>184</v>
      </c>
      <c r="W25" s="60" t="str">
        <f>CONCATENATE("Key.Fab.",A25)</f>
        <v>Key.Fab.117</v>
      </c>
      <c r="X25" s="41" t="s">
        <v>9</v>
      </c>
      <c r="Y25" s="41" t="s">
        <v>9</v>
      </c>
      <c r="Z25" s="50" t="s">
        <v>462</v>
      </c>
      <c r="AA25" s="45" t="str">
        <f>_xlfn.TRANSLATE(P25,"pt","en")</f>
        <v>It is a product or element of the furniture segment</v>
      </c>
    </row>
    <row r="26" spans="1:27" ht="6.55" customHeight="1" x14ac:dyDescent="0.4">
      <c r="A26" s="51">
        <v>118</v>
      </c>
      <c r="B26" s="52" t="s">
        <v>75</v>
      </c>
      <c r="C26" s="56" t="s">
        <v>158</v>
      </c>
      <c r="D26" s="52" t="s">
        <v>316</v>
      </c>
      <c r="E26" s="52" t="s">
        <v>315</v>
      </c>
      <c r="F26" s="52" t="s">
        <v>155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>_xlfn.CONCAT(SUBSTITUTE(C26,"1.",""))</f>
        <v>Fornecidos</v>
      </c>
      <c r="M26" s="23" t="str">
        <f>_xlfn.CONCAT(SUBSTITUTE(D26,"."," "))</f>
        <v>Segmentos dos Produto</v>
      </c>
      <c r="N26" s="23" t="str">
        <f>_xlfn.CONCAT(SUBSTITUTE(E26,"."," "))</f>
        <v>Segmento do Produto</v>
      </c>
      <c r="O26" s="23" t="str">
        <f>_xlfn.CONCAT(SUBSTITUTE(F26,"."," "))</f>
        <v>Produto de Automação</v>
      </c>
      <c r="P26" s="23" t="s">
        <v>211</v>
      </c>
      <c r="Q26" s="26" t="str">
        <f>_xlfn.TRANSLATE(P26,"pt","es")</f>
        <v>Es un producto o elemento del segmento de automatización</v>
      </c>
      <c r="R26" s="42" t="s">
        <v>9</v>
      </c>
      <c r="S26" s="43" t="str">
        <f>SUBSTITUTE(C26, ".", " ")</f>
        <v>Fornecidos</v>
      </c>
      <c r="T26" s="43" t="str">
        <f>SUBSTITUTE(D26, ".", " ")</f>
        <v>Segmentos dos Produto</v>
      </c>
      <c r="U26" s="43" t="str">
        <f>SUBSTITUTE(E26, ".", " ")</f>
        <v>Segmento do Produto</v>
      </c>
      <c r="V26" s="41" t="s">
        <v>184</v>
      </c>
      <c r="W26" s="60" t="str">
        <f>CONCATENATE("Key.Fab.",A26)</f>
        <v>Key.Fab.118</v>
      </c>
      <c r="X26" s="41" t="s">
        <v>9</v>
      </c>
      <c r="Y26" s="41" t="s">
        <v>9</v>
      </c>
      <c r="Z26" s="50" t="s">
        <v>463</v>
      </c>
      <c r="AA26" s="45" t="str">
        <f>_xlfn.TRANSLATE(P26,"pt","en")</f>
        <v>It is a product or element of the automation segment</v>
      </c>
    </row>
    <row r="27" spans="1:27" ht="6.55" customHeight="1" x14ac:dyDescent="0.4">
      <c r="A27" s="51">
        <v>119</v>
      </c>
      <c r="B27" s="52" t="s">
        <v>75</v>
      </c>
      <c r="C27" s="56" t="s">
        <v>158</v>
      </c>
      <c r="D27" s="52" t="s">
        <v>316</v>
      </c>
      <c r="E27" s="52" t="s">
        <v>315</v>
      </c>
      <c r="F27" s="52" t="s">
        <v>164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>_xlfn.CONCAT(SUBSTITUTE(C27,"1.",""))</f>
        <v>Fornecidos</v>
      </c>
      <c r="M27" s="23" t="str">
        <f>_xlfn.CONCAT(SUBSTITUTE(D27,"."," "))</f>
        <v>Segmentos dos Produto</v>
      </c>
      <c r="N27" s="23" t="str">
        <f>_xlfn.CONCAT(SUBSTITUTE(E27,"."," "))</f>
        <v>Segmento do Produto</v>
      </c>
      <c r="O27" s="23" t="str">
        <f>_xlfn.CONCAT(SUBSTITUTE(F27,"."," "))</f>
        <v>Produto de Proteção de Descargas</v>
      </c>
      <c r="P27" s="23" t="s">
        <v>212</v>
      </c>
      <c r="Q27" s="26" t="str">
        <f>_xlfn.TRANSLATE(P27,"pt","es")</f>
        <v>Es un producto o elemento del segmento de protección contra rayos</v>
      </c>
      <c r="R27" s="42" t="s">
        <v>9</v>
      </c>
      <c r="S27" s="43" t="str">
        <f>SUBSTITUTE(C27, ".", " ")</f>
        <v>Fornecidos</v>
      </c>
      <c r="T27" s="43" t="str">
        <f>SUBSTITUTE(D27, ".", " ")</f>
        <v>Segmentos dos Produto</v>
      </c>
      <c r="U27" s="43" t="str">
        <f>SUBSTITUTE(E27, ".", " ")</f>
        <v>Segmento do Produto</v>
      </c>
      <c r="V27" s="41" t="s">
        <v>184</v>
      </c>
      <c r="W27" s="60" t="str">
        <f>CONCATENATE("Key.Fab.",A27)</f>
        <v>Key.Fab.119</v>
      </c>
      <c r="X27" s="41" t="s">
        <v>9</v>
      </c>
      <c r="Y27" s="41" t="s">
        <v>9</v>
      </c>
      <c r="Z27" s="50" t="s">
        <v>464</v>
      </c>
      <c r="AA27" s="45" t="str">
        <f>_xlfn.TRANSLATE(P27,"pt","en")</f>
        <v>It is a product or element of the lightning protection segment</v>
      </c>
    </row>
    <row r="28" spans="1:27" ht="6.55" customHeight="1" x14ac:dyDescent="0.4">
      <c r="A28" s="51">
        <v>120</v>
      </c>
      <c r="B28" s="52" t="s">
        <v>75</v>
      </c>
      <c r="C28" s="56" t="s">
        <v>158</v>
      </c>
      <c r="D28" s="52" t="s">
        <v>316</v>
      </c>
      <c r="E28" s="52" t="s">
        <v>315</v>
      </c>
      <c r="F28" s="52" t="s">
        <v>156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>_xlfn.CONCAT(SUBSTITUTE(C28,"1.",""))</f>
        <v>Fornecidos</v>
      </c>
      <c r="M28" s="23" t="str">
        <f>_xlfn.CONCAT(SUBSTITUTE(D28,"."," "))</f>
        <v>Segmentos dos Produto</v>
      </c>
      <c r="N28" s="23" t="str">
        <f>_xlfn.CONCAT(SUBSTITUTE(E28,"."," "))</f>
        <v>Segmento do Produto</v>
      </c>
      <c r="O28" s="23" t="str">
        <f>_xlfn.CONCAT(SUBSTITUTE(F28,"."," "))</f>
        <v>Produto de Proteção de Incêndio</v>
      </c>
      <c r="P28" s="23" t="s">
        <v>213</v>
      </c>
      <c r="Q28" s="26" t="str">
        <f>_xlfn.TRANSLATE(P28,"pt","es")</f>
        <v>Es un producto o elemento del segmento de protección contra incendios</v>
      </c>
      <c r="R28" s="42" t="s">
        <v>9</v>
      </c>
      <c r="S28" s="43" t="str">
        <f>SUBSTITUTE(C28, ".", " ")</f>
        <v>Fornecidos</v>
      </c>
      <c r="T28" s="43" t="str">
        <f>SUBSTITUTE(D28, ".", " ")</f>
        <v>Segmentos dos Produto</v>
      </c>
      <c r="U28" s="43" t="str">
        <f>SUBSTITUTE(E28, ".", " ")</f>
        <v>Segmento do Produto</v>
      </c>
      <c r="V28" s="41" t="s">
        <v>184</v>
      </c>
      <c r="W28" s="60" t="str">
        <f>CONCATENATE("Key.Fab.",A28)</f>
        <v>Key.Fab.120</v>
      </c>
      <c r="X28" s="41" t="s">
        <v>9</v>
      </c>
      <c r="Y28" s="41" t="s">
        <v>9</v>
      </c>
      <c r="Z28" s="50" t="s">
        <v>465</v>
      </c>
      <c r="AA28" s="45" t="str">
        <f>_xlfn.TRANSLATE(P28,"pt","en")</f>
        <v>It is a product or element of the fire protection segment</v>
      </c>
    </row>
    <row r="29" spans="1:27" ht="6.55" customHeight="1" x14ac:dyDescent="0.4">
      <c r="A29" s="51">
        <v>121</v>
      </c>
      <c r="B29" s="52" t="s">
        <v>75</v>
      </c>
      <c r="C29" s="56" t="s">
        <v>158</v>
      </c>
      <c r="D29" s="52" t="s">
        <v>316</v>
      </c>
      <c r="E29" s="52" t="s">
        <v>315</v>
      </c>
      <c r="F29" s="52" t="s">
        <v>157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>_xlfn.CONCAT(SUBSTITUTE(C29,"1.",""))</f>
        <v>Fornecidos</v>
      </c>
      <c r="M29" s="23" t="str">
        <f>_xlfn.CONCAT(SUBSTITUTE(D29,"."," "))</f>
        <v>Segmentos dos Produto</v>
      </c>
      <c r="N29" s="23" t="str">
        <f>_xlfn.CONCAT(SUBSTITUTE(E29,"."," "))</f>
        <v>Segmento do Produto</v>
      </c>
      <c r="O29" s="23" t="str">
        <f>_xlfn.CONCAT(SUBSTITUTE(F29,"."," "))</f>
        <v>Produto de Segurança Patrimonial</v>
      </c>
      <c r="P29" s="23" t="s">
        <v>214</v>
      </c>
      <c r="Q29" s="26" t="str">
        <f>_xlfn.TRANSLATE(P29,"pt","es")</f>
        <v>Es un producto o elemento del segmento de seguridad de propiedades</v>
      </c>
      <c r="R29" s="42" t="s">
        <v>9</v>
      </c>
      <c r="S29" s="43" t="str">
        <f>SUBSTITUTE(C29, ".", " ")</f>
        <v>Fornecidos</v>
      </c>
      <c r="T29" s="43" t="str">
        <f>SUBSTITUTE(D29, ".", " ")</f>
        <v>Segmentos dos Produto</v>
      </c>
      <c r="U29" s="43" t="str">
        <f>SUBSTITUTE(E29, ".", " ")</f>
        <v>Segmento do Produto</v>
      </c>
      <c r="V29" s="41" t="s">
        <v>184</v>
      </c>
      <c r="W29" s="60" t="str">
        <f>CONCATENATE("Key.Fab.",A29)</f>
        <v>Key.Fab.121</v>
      </c>
      <c r="X29" s="41" t="s">
        <v>9</v>
      </c>
      <c r="Y29" s="41" t="s">
        <v>9</v>
      </c>
      <c r="Z29" s="50" t="s">
        <v>466</v>
      </c>
      <c r="AA29" s="45" t="str">
        <f>_xlfn.TRANSLATE(P29,"pt","en")</f>
        <v>It is a product or element of the property security segment</v>
      </c>
    </row>
  </sheetData>
  <sortState xmlns:xlrd2="http://schemas.microsoft.com/office/spreadsheetml/2017/richdata2" ref="A1:AA29">
    <sortCondition ref="Z1:Z29"/>
  </sortState>
  <conditionalFormatting sqref="F1:F25">
    <cfRule type="duplicateValues" dxfId="9" priority="5"/>
  </conditionalFormatting>
  <conditionalFormatting sqref="AA1:AA25">
    <cfRule type="cellIs" dxfId="8" priority="4" operator="equal">
      <formula>"null"</formula>
    </cfRule>
  </conditionalFormatting>
  <conditionalFormatting sqref="F26:F29">
    <cfRule type="duplicateValues" dxfId="7" priority="3"/>
  </conditionalFormatting>
  <conditionalFormatting sqref="AA26:AA29">
    <cfRule type="cellIs" dxfId="6" priority="2" operator="equal">
      <formula>"null"</formula>
    </cfRule>
  </conditionalFormatting>
  <conditionalFormatting sqref="F1:F29">
    <cfRule type="duplicateValues" dxfId="5" priority="1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07421875" style="13" customWidth="1"/>
    <col min="3" max="3" width="7.460937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29"/>
  <sheetViews>
    <sheetView zoomScale="325" zoomScaleNormal="325" workbookViewId="0">
      <pane ySplit="1" topLeftCell="A14" activePane="bottomLeft" state="frozen"/>
      <selection pane="bottomLeft" activeCell="A2" sqref="A2:A29"/>
    </sheetView>
  </sheetViews>
  <sheetFormatPr defaultColWidth="9.15234375" defaultRowHeight="6" customHeight="1" x14ac:dyDescent="0.4"/>
  <cols>
    <col min="1" max="1" width="2.53515625" style="55" customWidth="1"/>
    <col min="2" max="2" width="9" style="55" customWidth="1"/>
    <col min="3" max="3" width="6.61328125" style="55" customWidth="1"/>
    <col min="4" max="4" width="7.23046875" style="55" customWidth="1"/>
    <col min="5" max="5" width="8.0742187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61328125" style="63" customWidth="1"/>
    <col min="11" max="11" width="29.843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252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308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251</v>
      </c>
      <c r="C3" s="57" t="s">
        <v>94</v>
      </c>
      <c r="D3" s="36" t="s">
        <v>79</v>
      </c>
      <c r="E3" s="37" t="s">
        <v>252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309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256</v>
      </c>
      <c r="C4" s="57" t="s">
        <v>356</v>
      </c>
      <c r="D4" s="36" t="s">
        <v>79</v>
      </c>
      <c r="E4" s="37" t="s">
        <v>251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293</v>
      </c>
      <c r="L4" s="33" t="s">
        <v>222</v>
      </c>
      <c r="M4" s="62" t="s">
        <v>257</v>
      </c>
      <c r="N4" s="33" t="s">
        <v>234</v>
      </c>
      <c r="O4" s="18" t="s">
        <v>267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258</v>
      </c>
      <c r="C5" s="57" t="s">
        <v>356</v>
      </c>
      <c r="D5" s="36" t="s">
        <v>79</v>
      </c>
      <c r="E5" s="37" t="s">
        <v>251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294</v>
      </c>
      <c r="L5" s="33" t="s">
        <v>222</v>
      </c>
      <c r="M5" s="62" t="s">
        <v>259</v>
      </c>
      <c r="N5" s="33" t="s">
        <v>234</v>
      </c>
      <c r="O5" s="18" t="s">
        <v>260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261</v>
      </c>
      <c r="C6" s="57" t="s">
        <v>333</v>
      </c>
      <c r="D6" s="36" t="s">
        <v>79</v>
      </c>
      <c r="E6" s="37" t="s">
        <v>251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307</v>
      </c>
      <c r="L6" s="33" t="s">
        <v>222</v>
      </c>
      <c r="M6" s="62" t="s">
        <v>265</v>
      </c>
      <c r="N6" s="33" t="s">
        <v>253</v>
      </c>
      <c r="O6" s="18" t="s">
        <v>266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306</v>
      </c>
      <c r="C7" s="57" t="s">
        <v>333</v>
      </c>
      <c r="D7" s="36" t="s">
        <v>79</v>
      </c>
      <c r="E7" s="37" t="s">
        <v>251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307</v>
      </c>
      <c r="L7" s="33" t="s">
        <v>222</v>
      </c>
      <c r="M7" s="62" t="s">
        <v>263</v>
      </c>
      <c r="N7" s="33" t="s">
        <v>253</v>
      </c>
      <c r="O7" s="18" t="s">
        <v>273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262</v>
      </c>
      <c r="C8" s="57" t="s">
        <v>333</v>
      </c>
      <c r="D8" s="36" t="s">
        <v>79</v>
      </c>
      <c r="E8" s="37" t="s">
        <v>251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307</v>
      </c>
      <c r="L8" s="33" t="s">
        <v>222</v>
      </c>
      <c r="M8" s="62" t="s">
        <v>264</v>
      </c>
      <c r="N8" s="33" t="s">
        <v>253</v>
      </c>
      <c r="O8" s="18" t="s">
        <v>274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66" t="s">
        <v>403</v>
      </c>
      <c r="C9" s="57" t="s">
        <v>327</v>
      </c>
      <c r="D9" s="36" t="s">
        <v>79</v>
      </c>
      <c r="E9" s="37" t="s">
        <v>251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405</v>
      </c>
      <c r="L9" s="33" t="s">
        <v>222</v>
      </c>
      <c r="M9" s="62" t="s">
        <v>406</v>
      </c>
      <c r="N9" s="33" t="s">
        <v>253</v>
      </c>
      <c r="O9" s="18" t="s">
        <v>408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66" t="s">
        <v>410</v>
      </c>
      <c r="C10" s="57" t="s">
        <v>327</v>
      </c>
      <c r="D10" s="36" t="s">
        <v>79</v>
      </c>
      <c r="E10" s="37" t="s">
        <v>251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405</v>
      </c>
      <c r="L10" s="33" t="s">
        <v>222</v>
      </c>
      <c r="M10" s="62" t="s">
        <v>409</v>
      </c>
      <c r="N10" s="33" t="s">
        <v>253</v>
      </c>
      <c r="O10" s="18" t="s">
        <v>408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66" t="s">
        <v>404</v>
      </c>
      <c r="C11" s="57" t="s">
        <v>327</v>
      </c>
      <c r="D11" s="36" t="s">
        <v>79</v>
      </c>
      <c r="E11" s="37" t="s">
        <v>251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405</v>
      </c>
      <c r="L11" s="33" t="s">
        <v>222</v>
      </c>
      <c r="M11" s="62" t="s">
        <v>407</v>
      </c>
      <c r="N11" s="33" t="s">
        <v>253</v>
      </c>
      <c r="O11" s="18" t="s">
        <v>408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278</v>
      </c>
      <c r="C12" s="57" t="s">
        <v>374</v>
      </c>
      <c r="D12" s="36" t="s">
        <v>79</v>
      </c>
      <c r="E12" s="37" t="s">
        <v>251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299</v>
      </c>
      <c r="L12" s="33" t="s">
        <v>222</v>
      </c>
      <c r="M12" s="61" t="s">
        <v>279</v>
      </c>
      <c r="N12" s="33" t="s">
        <v>234</v>
      </c>
      <c r="O12" s="18" t="s">
        <v>280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275</v>
      </c>
      <c r="C13" s="57" t="s">
        <v>386</v>
      </c>
      <c r="D13" s="36" t="s">
        <v>79</v>
      </c>
      <c r="E13" s="37" t="s">
        <v>251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300</v>
      </c>
      <c r="L13" s="33" t="s">
        <v>222</v>
      </c>
      <c r="M13" s="61" t="s">
        <v>276</v>
      </c>
      <c r="N13" s="33" t="s">
        <v>234</v>
      </c>
      <c r="O13" s="18" t="s">
        <v>277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223</v>
      </c>
      <c r="C14" s="57" t="s">
        <v>350</v>
      </c>
      <c r="D14" s="36" t="s">
        <v>79</v>
      </c>
      <c r="E14" s="37" t="s">
        <v>251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295</v>
      </c>
      <c r="L14" s="33" t="s">
        <v>222</v>
      </c>
      <c r="M14" s="62" t="s">
        <v>238</v>
      </c>
      <c r="N14" s="33" t="s">
        <v>234</v>
      </c>
      <c r="O14" s="18" t="s">
        <v>285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17" t="s">
        <v>289</v>
      </c>
      <c r="C15" s="57" t="s">
        <v>350</v>
      </c>
      <c r="D15" s="36" t="s">
        <v>79</v>
      </c>
      <c r="E15" s="37" t="s">
        <v>251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296</v>
      </c>
      <c r="L15" s="33" t="s">
        <v>222</v>
      </c>
      <c r="M15" s="62" t="s">
        <v>290</v>
      </c>
      <c r="N15" s="33" t="s">
        <v>234</v>
      </c>
      <c r="O15" s="18" t="s">
        <v>291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17" t="s">
        <v>283</v>
      </c>
      <c r="C16" s="57" t="s">
        <v>350</v>
      </c>
      <c r="D16" s="36" t="s">
        <v>79</v>
      </c>
      <c r="E16" s="37" t="s">
        <v>251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297</v>
      </c>
      <c r="L16" s="33" t="s">
        <v>222</v>
      </c>
      <c r="M16" s="62" t="s">
        <v>282</v>
      </c>
      <c r="N16" s="33" t="s">
        <v>234</v>
      </c>
      <c r="O16" s="18" t="s">
        <v>284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286</v>
      </c>
      <c r="C17" s="57" t="s">
        <v>350</v>
      </c>
      <c r="D17" s="36" t="s">
        <v>79</v>
      </c>
      <c r="E17" s="37" t="s">
        <v>251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298</v>
      </c>
      <c r="L17" s="33" t="s">
        <v>222</v>
      </c>
      <c r="M17" s="62" t="s">
        <v>287</v>
      </c>
      <c r="N17" s="33" t="s">
        <v>234</v>
      </c>
      <c r="O17" s="18" t="s">
        <v>288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245</v>
      </c>
      <c r="C18" s="57" t="s">
        <v>350</v>
      </c>
      <c r="D18" s="36" t="s">
        <v>79</v>
      </c>
      <c r="E18" s="37" t="s">
        <v>251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305</v>
      </c>
      <c r="L18" s="33" t="s">
        <v>222</v>
      </c>
      <c r="M18" s="61" t="s">
        <v>248</v>
      </c>
      <c r="N18" s="33" t="s">
        <v>234</v>
      </c>
      <c r="O18" s="18" t="s">
        <v>292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255</v>
      </c>
      <c r="C19" s="57" t="s">
        <v>350</v>
      </c>
      <c r="D19" s="36" t="s">
        <v>79</v>
      </c>
      <c r="E19" s="37" t="s">
        <v>251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305</v>
      </c>
      <c r="L19" s="33" t="s">
        <v>222</v>
      </c>
      <c r="M19" s="61" t="s">
        <v>254</v>
      </c>
      <c r="N19" s="33" t="s">
        <v>234</v>
      </c>
      <c r="O19" s="18" t="s">
        <v>292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219</v>
      </c>
      <c r="C20" s="57" t="s">
        <v>350</v>
      </c>
      <c r="D20" s="36" t="s">
        <v>79</v>
      </c>
      <c r="E20" s="37" t="s">
        <v>251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301</v>
      </c>
      <c r="L20" s="33" t="s">
        <v>222</v>
      </c>
      <c r="M20" s="62" t="s">
        <v>239</v>
      </c>
      <c r="N20" s="33" t="s">
        <v>234</v>
      </c>
      <c r="O20" s="18" t="s">
        <v>268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220</v>
      </c>
      <c r="C21" s="57" t="s">
        <v>392</v>
      </c>
      <c r="D21" s="36" t="s">
        <v>79</v>
      </c>
      <c r="E21" s="37" t="s">
        <v>251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302</v>
      </c>
      <c r="L21" s="33" t="s">
        <v>222</v>
      </c>
      <c r="M21" s="62" t="s">
        <v>240</v>
      </c>
      <c r="N21" s="33" t="s">
        <v>234</v>
      </c>
      <c r="O21" s="18" t="s">
        <v>269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235</v>
      </c>
      <c r="C22" s="57" t="s">
        <v>362</v>
      </c>
      <c r="D22" s="36" t="s">
        <v>79</v>
      </c>
      <c r="E22" s="37" t="s">
        <v>251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303</v>
      </c>
      <c r="L22" s="33" t="s">
        <v>222</v>
      </c>
      <c r="M22" s="61" t="s">
        <v>249</v>
      </c>
      <c r="N22" s="33" t="s">
        <v>234</v>
      </c>
      <c r="O22" s="18" t="s">
        <v>270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236</v>
      </c>
      <c r="C23" s="57" t="s">
        <v>362</v>
      </c>
      <c r="D23" s="36" t="s">
        <v>79</v>
      </c>
      <c r="E23" s="37" t="s">
        <v>251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304</v>
      </c>
      <c r="L23" s="33" t="s">
        <v>222</v>
      </c>
      <c r="M23" s="61" t="s">
        <v>237</v>
      </c>
      <c r="N23" s="33" t="s">
        <v>234</v>
      </c>
      <c r="O23" s="18" t="s">
        <v>271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246</v>
      </c>
      <c r="C24" s="57" t="s">
        <v>396</v>
      </c>
      <c r="D24" s="36" t="s">
        <v>79</v>
      </c>
      <c r="E24" s="37" t="s">
        <v>251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250</v>
      </c>
      <c r="L24" s="33" t="s">
        <v>222</v>
      </c>
      <c r="M24" s="61" t="s">
        <v>247</v>
      </c>
      <c r="N24" s="33" t="s">
        <v>253</v>
      </c>
      <c r="O24" s="18" t="s">
        <v>272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241</v>
      </c>
      <c r="C25" s="57" t="s">
        <v>94</v>
      </c>
      <c r="D25" s="36" t="s">
        <v>79</v>
      </c>
      <c r="E25" s="37" t="s">
        <v>252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310</v>
      </c>
      <c r="L25" s="33" t="s">
        <v>9</v>
      </c>
      <c r="M25" s="18" t="s">
        <v>9</v>
      </c>
      <c r="N25" s="33" t="s">
        <v>9</v>
      </c>
      <c r="O25" s="18" t="s">
        <v>9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242</v>
      </c>
      <c r="C26" s="57" t="s">
        <v>94</v>
      </c>
      <c r="D26" s="36" t="s">
        <v>79</v>
      </c>
      <c r="E26" s="37" t="s">
        <v>252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311</v>
      </c>
      <c r="L26" s="33" t="s">
        <v>9</v>
      </c>
      <c r="M26" s="18" t="s">
        <v>9</v>
      </c>
      <c r="N26" s="33" t="s">
        <v>9</v>
      </c>
      <c r="O26" s="18" t="s">
        <v>9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4">
      <c r="A27" s="16">
        <v>27</v>
      </c>
      <c r="B27" s="17" t="s">
        <v>243</v>
      </c>
      <c r="C27" s="57" t="s">
        <v>94</v>
      </c>
      <c r="D27" s="36" t="s">
        <v>79</v>
      </c>
      <c r="E27" s="37" t="s">
        <v>252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312</v>
      </c>
      <c r="L27" s="33" t="s">
        <v>9</v>
      </c>
      <c r="M27" s="18" t="s">
        <v>9</v>
      </c>
      <c r="N27" s="33" t="s">
        <v>9</v>
      </c>
      <c r="O27" s="18" t="s">
        <v>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4">
      <c r="A28" s="16">
        <v>28</v>
      </c>
      <c r="B28" s="17" t="s">
        <v>244</v>
      </c>
      <c r="C28" s="57" t="s">
        <v>94</v>
      </c>
      <c r="D28" s="36" t="s">
        <v>79</v>
      </c>
      <c r="E28" s="37" t="s">
        <v>252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313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4">
      <c r="A29" s="16">
        <v>29</v>
      </c>
      <c r="B29" s="17" t="s">
        <v>281</v>
      </c>
      <c r="C29" s="57" t="s">
        <v>94</v>
      </c>
      <c r="D29" s="36" t="s">
        <v>79</v>
      </c>
      <c r="E29" s="37" t="s">
        <v>252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314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</sheetData>
  <phoneticPr fontId="9" type="noConversion"/>
  <conditionalFormatting sqref="B1:B1048576">
    <cfRule type="duplicateValues" dxfId="13" priority="162"/>
  </conditionalFormatting>
  <conditionalFormatting sqref="B12:B29 B1:B5">
    <cfRule type="duplicateValues" dxfId="12" priority="513"/>
    <cfRule type="duplicateValues" dxfId="11" priority="514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Planilha1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2025-12-23T16:29:57Z</dcterms:modified>
</cp:coreProperties>
</file>