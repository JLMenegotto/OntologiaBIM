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CSUS\"/>
    </mc:Choice>
  </mc:AlternateContent>
  <xr:revisionPtr revIDLastSave="0" documentId="13_ncr:1_{51003C47-A7B1-4305-864D-7EDF0579135A}" xr6:coauthVersionLast="47" xr6:coauthVersionMax="47" xr10:uidLastSave="{00000000-0000-0000-0000-000000000000}"/>
  <bookViews>
    <workbookView xWindow="-103" yWindow="-103" windowWidth="22149" windowHeight="13200" xr2:uid="{6AA21774-678E-47D1-B8DD-6444A2CEB00E}"/>
  </bookViews>
  <sheets>
    <sheet name="Projeto" sheetId="27" r:id="rId1"/>
    <sheet name="Classes" sheetId="24" r:id="rId2"/>
    <sheet name="Disjunt" sheetId="3" r:id="rId3"/>
    <sheet name="Interop" sheetId="26" r:id="rId4"/>
    <sheet name="FatosIn" sheetId="3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24" l="1"/>
  <c r="U27" i="24"/>
  <c r="T27" i="24"/>
  <c r="S27" i="24"/>
  <c r="O27" i="24"/>
  <c r="N27" i="24"/>
  <c r="M27" i="24"/>
  <c r="L27" i="24"/>
  <c r="W26" i="24"/>
  <c r="U26" i="24"/>
  <c r="T26" i="24"/>
  <c r="S26" i="24"/>
  <c r="O26" i="24"/>
  <c r="N26" i="24"/>
  <c r="M26" i="24"/>
  <c r="L26" i="24"/>
  <c r="W25" i="24"/>
  <c r="U25" i="24"/>
  <c r="T25" i="24"/>
  <c r="S25" i="24"/>
  <c r="O25" i="24"/>
  <c r="N25" i="24"/>
  <c r="M25" i="24"/>
  <c r="L25" i="24"/>
  <c r="W24" i="24"/>
  <c r="U24" i="24"/>
  <c r="T24" i="24"/>
  <c r="S24" i="24"/>
  <c r="O24" i="24"/>
  <c r="N24" i="24"/>
  <c r="M24" i="24"/>
  <c r="L24" i="24"/>
  <c r="W23" i="24"/>
  <c r="U23" i="24"/>
  <c r="T23" i="24"/>
  <c r="S23" i="24"/>
  <c r="O23" i="24"/>
  <c r="N23" i="24"/>
  <c r="M23" i="24"/>
  <c r="L23" i="24"/>
  <c r="W22" i="24"/>
  <c r="U22" i="24"/>
  <c r="T22" i="24"/>
  <c r="S22" i="24"/>
  <c r="O22" i="24"/>
  <c r="N22" i="24"/>
  <c r="M22" i="24"/>
  <c r="L22" i="24"/>
  <c r="W21" i="24"/>
  <c r="U21" i="24"/>
  <c r="T21" i="24"/>
  <c r="S21" i="24"/>
  <c r="O21" i="24"/>
  <c r="N21" i="24"/>
  <c r="M21" i="24"/>
  <c r="L21" i="24"/>
  <c r="W20" i="24"/>
  <c r="U20" i="24"/>
  <c r="T20" i="24"/>
  <c r="S20" i="24"/>
  <c r="O20" i="24"/>
  <c r="N20" i="24"/>
  <c r="M20" i="24"/>
  <c r="L20" i="24"/>
  <c r="W19" i="24"/>
  <c r="U19" i="24"/>
  <c r="T19" i="24"/>
  <c r="S19" i="24"/>
  <c r="O19" i="24"/>
  <c r="N19" i="24"/>
  <c r="M19" i="24"/>
  <c r="L19" i="24"/>
  <c r="W18" i="24"/>
  <c r="U18" i="24"/>
  <c r="T18" i="24"/>
  <c r="S18" i="24"/>
  <c r="O18" i="24"/>
  <c r="N18" i="24"/>
  <c r="M18" i="24"/>
  <c r="L18" i="24"/>
  <c r="W17" i="24"/>
  <c r="U17" i="24"/>
  <c r="T17" i="24"/>
  <c r="S17" i="24"/>
  <c r="O17" i="24"/>
  <c r="N17" i="24"/>
  <c r="M17" i="24"/>
  <c r="L17" i="24"/>
  <c r="W16" i="24"/>
  <c r="U16" i="24"/>
  <c r="T16" i="24"/>
  <c r="S16" i="24"/>
  <c r="O16" i="24"/>
  <c r="N16" i="24"/>
  <c r="M16" i="24"/>
  <c r="L16" i="24"/>
  <c r="W15" i="24"/>
  <c r="U15" i="24"/>
  <c r="T15" i="24"/>
  <c r="S15" i="24"/>
  <c r="O15" i="24"/>
  <c r="N15" i="24"/>
  <c r="M15" i="24"/>
  <c r="L15" i="24"/>
  <c r="W14" i="24"/>
  <c r="U14" i="24"/>
  <c r="T14" i="24"/>
  <c r="S14" i="24"/>
  <c r="O14" i="24"/>
  <c r="N14" i="24"/>
  <c r="M14" i="24"/>
  <c r="L14" i="24"/>
  <c r="W13" i="24"/>
  <c r="U13" i="24"/>
  <c r="T13" i="24"/>
  <c r="S13" i="24"/>
  <c r="O13" i="24"/>
  <c r="N13" i="24"/>
  <c r="M13" i="24"/>
  <c r="L13" i="24"/>
  <c r="W12" i="24"/>
  <c r="U12" i="24"/>
  <c r="T12" i="24"/>
  <c r="S12" i="24"/>
  <c r="O12" i="24"/>
  <c r="N12" i="24"/>
  <c r="M12" i="24"/>
  <c r="L12" i="24"/>
  <c r="W11" i="24"/>
  <c r="U11" i="24"/>
  <c r="T11" i="24"/>
  <c r="S11" i="24"/>
  <c r="O11" i="24"/>
  <c r="N11" i="24"/>
  <c r="M11" i="24"/>
  <c r="L11" i="24"/>
  <c r="W10" i="24"/>
  <c r="U10" i="24"/>
  <c r="T10" i="24"/>
  <c r="S10" i="24"/>
  <c r="O10" i="24"/>
  <c r="N10" i="24"/>
  <c r="M10" i="24"/>
  <c r="L10" i="24"/>
  <c r="W9" i="24"/>
  <c r="U9" i="24"/>
  <c r="T9" i="24"/>
  <c r="S9" i="24"/>
  <c r="O9" i="24"/>
  <c r="N9" i="24"/>
  <c r="M9" i="24"/>
  <c r="L9" i="24"/>
  <c r="W8" i="24"/>
  <c r="U8" i="24"/>
  <c r="T8" i="24"/>
  <c r="S8" i="24"/>
  <c r="O8" i="24"/>
  <c r="N8" i="24"/>
  <c r="M8" i="24"/>
  <c r="L8" i="24"/>
  <c r="W7" i="24"/>
  <c r="U7" i="24"/>
  <c r="T7" i="24"/>
  <c r="S7" i="24"/>
  <c r="O7" i="24"/>
  <c r="N7" i="24"/>
  <c r="M7" i="24"/>
  <c r="L7" i="24"/>
  <c r="AA27" i="24"/>
  <c r="AA17" i="24"/>
  <c r="AA19" i="24"/>
  <c r="AA11" i="24"/>
  <c r="AA23" i="24"/>
  <c r="AA18" i="24"/>
  <c r="AA25" i="24"/>
  <c r="AA22" i="24"/>
  <c r="AA12" i="24"/>
  <c r="AA7" i="24"/>
  <c r="AA14" i="24"/>
  <c r="AA9" i="24"/>
  <c r="AA26" i="24"/>
  <c r="AA16" i="24"/>
  <c r="AA13" i="24"/>
  <c r="AA10" i="24"/>
  <c r="AA24" i="24"/>
  <c r="AA21" i="24"/>
  <c r="AA8" i="24"/>
  <c r="AA20" i="24"/>
  <c r="AA15" i="24"/>
  <c r="B26" i="27" l="1"/>
  <c r="B22" i="27"/>
  <c r="B23" i="27" l="1"/>
  <c r="B18" i="27" l="1"/>
  <c r="B6" i="27" l="1"/>
  <c r="B5" i="27"/>
</calcChain>
</file>

<file path=xl/sharedStrings.xml><?xml version="1.0" encoding="utf-8"?>
<sst xmlns="http://schemas.openxmlformats.org/spreadsheetml/2006/main" count="5413" uniqueCount="739">
  <si>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</si>
  <si>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</si>
  <si>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</si>
  <si>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</si>
  <si>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</si>
  <si>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</si>
  <si>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</si>
  <si>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</si>
  <si>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</si>
  <si>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</si>
  <si>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</si>
  <si>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</si>
  <si>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</si>
  <si>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</si>
  <si>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SomaSUS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</si>
  <si>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</si>
  <si>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</si>
  <si>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</si>
  <si>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</si>
  <si>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</si>
  <si>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</si>
  <si>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</si>
  <si>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</si>
  <si>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</si>
  <si>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</si>
  <si>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</si>
  <si>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</si>
  <si>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</si>
  <si>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</si>
  <si>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</si>
  <si>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</si>
  <si>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</si>
  <si>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</si>
  <si>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</si>
  <si>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</si>
  <si>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</si>
  <si>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</si>
  <si>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</si>
  <si>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</si>
  <si>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</si>
  <si>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</si>
  <si>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</si>
  <si>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</si>
  <si>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</si>
  <si>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</si>
  <si>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</si>
  <si>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</si>
  <si>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</si>
  <si>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</si>
  <si>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</si>
  <si>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</si>
  <si>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</si>
  <si>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</si>
  <si>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</si>
  <si>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</si>
  <si>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</si>
  <si>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</si>
  <si>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</si>
  <si>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</si>
  <si>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</si>
  <si>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</si>
  <si>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</si>
  <si>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</si>
  <si>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</si>
  <si>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</si>
  <si>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</si>
  <si>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</si>
  <si>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</si>
  <si>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</si>
  <si>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</si>
  <si>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</si>
  <si>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</si>
  <si>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 xml:space="preserve">Formalizar el Cuaderno SomaSUS elaborado por el Sistema Único de Salud de Brasil. </t>
  </si>
  <si>
    <t>Fato</t>
  </si>
  <si>
    <t>AMB.01</t>
  </si>
  <si>
    <t>AMB.02</t>
  </si>
  <si>
    <t>AMB.03</t>
  </si>
  <si>
    <t>AMB.04</t>
  </si>
  <si>
    <t>AMB.05</t>
  </si>
  <si>
    <t>AMB.06</t>
  </si>
  <si>
    <t>AMB.07</t>
  </si>
  <si>
    <t>AMB.08</t>
  </si>
  <si>
    <t>AMB.09</t>
  </si>
  <si>
    <t>AMB.10</t>
  </si>
  <si>
    <t>AMB.11</t>
  </si>
  <si>
    <t>AMB.12</t>
  </si>
  <si>
    <t>AMB.13</t>
  </si>
  <si>
    <t>AMB.14</t>
  </si>
  <si>
    <t>AMB.15</t>
  </si>
  <si>
    <t>AMB.16</t>
  </si>
  <si>
    <t>AMB.17</t>
  </si>
  <si>
    <t>AMB.18</t>
  </si>
  <si>
    <t>AMB.19</t>
  </si>
  <si>
    <t>AMB.20</t>
  </si>
  <si>
    <t>AMB.21</t>
  </si>
  <si>
    <t>AMB.22</t>
  </si>
  <si>
    <t>AMB.23</t>
  </si>
  <si>
    <t>AMB.24</t>
  </si>
  <si>
    <t>EME.01</t>
  </si>
  <si>
    <t>EME.02</t>
  </si>
  <si>
    <t>EME.03</t>
  </si>
  <si>
    <t>EME.04</t>
  </si>
  <si>
    <t>EME.05</t>
  </si>
  <si>
    <t>EME.06</t>
  </si>
  <si>
    <t>EME.07</t>
  </si>
  <si>
    <t>EME.08</t>
  </si>
  <si>
    <t>EME.09</t>
  </si>
  <si>
    <t>EME.10</t>
  </si>
  <si>
    <t>EME.11</t>
  </si>
  <si>
    <t>EME.12</t>
  </si>
  <si>
    <t>EME.13</t>
  </si>
  <si>
    <t>EME.14</t>
  </si>
  <si>
    <t>EME.15</t>
  </si>
  <si>
    <t>EME.16</t>
  </si>
  <si>
    <t>EME.17</t>
  </si>
  <si>
    <t>EME.18</t>
  </si>
  <si>
    <t>EME.19</t>
  </si>
  <si>
    <t>EME.20</t>
  </si>
  <si>
    <t>EME.21</t>
  </si>
  <si>
    <t>EME.22</t>
  </si>
  <si>
    <t>INT.01</t>
  </si>
  <si>
    <t>INT.02</t>
  </si>
  <si>
    <t>INT.03</t>
  </si>
  <si>
    <t>INT.04</t>
  </si>
  <si>
    <t>INT.05</t>
  </si>
  <si>
    <t>INT.06</t>
  </si>
  <si>
    <t>INT.07</t>
  </si>
  <si>
    <t>INT.08</t>
  </si>
  <si>
    <t>INT.09</t>
  </si>
  <si>
    <t>INT.10</t>
  </si>
  <si>
    <t>INT.11</t>
  </si>
  <si>
    <t>INT.12</t>
  </si>
  <si>
    <t>INT.13</t>
  </si>
  <si>
    <t>INT.14</t>
  </si>
  <si>
    <t>INT.15</t>
  </si>
  <si>
    <t>INT.16</t>
  </si>
  <si>
    <t>INT.17</t>
  </si>
  <si>
    <t>INT.18</t>
  </si>
  <si>
    <t>INT.19</t>
  </si>
  <si>
    <t>INT.20</t>
  </si>
  <si>
    <t>INT.21</t>
  </si>
  <si>
    <t>INT.22</t>
  </si>
  <si>
    <t>INT.23</t>
  </si>
  <si>
    <t>INT.24</t>
  </si>
  <si>
    <t>INT.25</t>
  </si>
  <si>
    <t>INT.26</t>
  </si>
  <si>
    <t>INT.27</t>
  </si>
  <si>
    <t>INT.28</t>
  </si>
  <si>
    <t>INT.29</t>
  </si>
  <si>
    <t>INT.30</t>
  </si>
  <si>
    <t>INT.31</t>
  </si>
  <si>
    <t>INT.32</t>
  </si>
  <si>
    <t>INT.33</t>
  </si>
  <si>
    <t>INT.34</t>
  </si>
  <si>
    <t>INT.35</t>
  </si>
  <si>
    <t>INT.36</t>
  </si>
  <si>
    <t>REA.01</t>
  </si>
  <si>
    <t>REA.02</t>
  </si>
  <si>
    <t>REA.03</t>
  </si>
  <si>
    <t>REA.04</t>
  </si>
  <si>
    <t>REA.05</t>
  </si>
  <si>
    <t>REA.06</t>
  </si>
  <si>
    <t>REA.07</t>
  </si>
  <si>
    <t>REA.08</t>
  </si>
  <si>
    <t>IMG.01</t>
  </si>
  <si>
    <t>IMG.02</t>
  </si>
  <si>
    <t>IMG.03</t>
  </si>
  <si>
    <t>IMG.04</t>
  </si>
  <si>
    <t>IMG.05</t>
  </si>
  <si>
    <t>IMG.06</t>
  </si>
  <si>
    <t>IMG.07</t>
  </si>
  <si>
    <t>IMG.08</t>
  </si>
  <si>
    <t>IMG.09</t>
  </si>
  <si>
    <t>IMG.10</t>
  </si>
  <si>
    <t>IMG.11</t>
  </si>
  <si>
    <t>IMG.12</t>
  </si>
  <si>
    <t>IMG.13</t>
  </si>
  <si>
    <t>IMG.14</t>
  </si>
  <si>
    <t>IMG.15</t>
  </si>
  <si>
    <t>IMG.16</t>
  </si>
  <si>
    <t>IMG.17</t>
  </si>
  <si>
    <t>IMG.18</t>
  </si>
  <si>
    <t>IMG.19</t>
  </si>
  <si>
    <t>IMG.20</t>
  </si>
  <si>
    <t>IMG.21</t>
  </si>
  <si>
    <t>IMG.22</t>
  </si>
  <si>
    <t>IMG.23</t>
  </si>
  <si>
    <t>IMG.24</t>
  </si>
  <si>
    <t>IMG.25</t>
  </si>
  <si>
    <t>IMG.26</t>
  </si>
  <si>
    <t>IMG.27</t>
  </si>
  <si>
    <t>IMG.28</t>
  </si>
  <si>
    <t>IMG.29</t>
  </si>
  <si>
    <t>IMG.30</t>
  </si>
  <si>
    <t>IMG.31</t>
  </si>
  <si>
    <t>IMG.32</t>
  </si>
  <si>
    <t>IMG.33</t>
  </si>
  <si>
    <t>IMG.34</t>
  </si>
  <si>
    <t>IMG.35</t>
  </si>
  <si>
    <t>IMG.36</t>
  </si>
  <si>
    <t>IMG.37</t>
  </si>
  <si>
    <t>IMG.38</t>
  </si>
  <si>
    <t>IMG.39</t>
  </si>
  <si>
    <t>IMG.40</t>
  </si>
  <si>
    <t>IMG.41</t>
  </si>
  <si>
    <t>IMG.42</t>
  </si>
  <si>
    <t>IMG.43</t>
  </si>
  <si>
    <t>IMG.44</t>
  </si>
  <si>
    <t>IMG.45</t>
  </si>
  <si>
    <t>IMG.46</t>
  </si>
  <si>
    <t>IMG.47</t>
  </si>
  <si>
    <t>APA.01</t>
  </si>
  <si>
    <t>APA.02</t>
  </si>
  <si>
    <t>APA.03</t>
  </si>
  <si>
    <t>APA.04</t>
  </si>
  <si>
    <t>APA.05</t>
  </si>
  <si>
    <t>APA.06</t>
  </si>
  <si>
    <t>APA.07</t>
  </si>
  <si>
    <t>HEM.01</t>
  </si>
  <si>
    <t>HEM.02</t>
  </si>
  <si>
    <t>HEM.03</t>
  </si>
  <si>
    <t>HEM.04</t>
  </si>
  <si>
    <t>HEM.05</t>
  </si>
  <si>
    <t>HEM.06</t>
  </si>
  <si>
    <t>HEM.07</t>
  </si>
  <si>
    <t>HEM.08</t>
  </si>
  <si>
    <t>HEM.09</t>
  </si>
  <si>
    <t>HEM.10</t>
  </si>
  <si>
    <t>HEM.11</t>
  </si>
  <si>
    <t>HEM.12</t>
  </si>
  <si>
    <t>HEM.13</t>
  </si>
  <si>
    <t>HEM.14</t>
  </si>
  <si>
    <t>HEM.15</t>
  </si>
  <si>
    <t>HEM.16</t>
  </si>
  <si>
    <t>HEM.17</t>
  </si>
  <si>
    <t>MNU.01</t>
  </si>
  <si>
    <t>MNU.02</t>
  </si>
  <si>
    <t>MNU.03</t>
  </si>
  <si>
    <t>MNU.04</t>
  </si>
  <si>
    <t>MNU.05</t>
  </si>
  <si>
    <t>MNU.06</t>
  </si>
  <si>
    <t>MNU.07</t>
  </si>
  <si>
    <t>MNU.08</t>
  </si>
  <si>
    <t>PAT.01</t>
  </si>
  <si>
    <t>PAT.02</t>
  </si>
  <si>
    <t>PAT.03</t>
  </si>
  <si>
    <t>PAT.04</t>
  </si>
  <si>
    <t>PAT.05</t>
  </si>
  <si>
    <t>PAT.06</t>
  </si>
  <si>
    <t>PAT.07</t>
  </si>
  <si>
    <t>PAT.08</t>
  </si>
  <si>
    <t>PAT.09</t>
  </si>
  <si>
    <t>PAT.10</t>
  </si>
  <si>
    <t>PAT.11</t>
  </si>
  <si>
    <t>PAT.12</t>
  </si>
  <si>
    <t>PAT.13</t>
  </si>
  <si>
    <t>PAT.14</t>
  </si>
  <si>
    <t>PAT.15</t>
  </si>
  <si>
    <t>PAT.16</t>
  </si>
  <si>
    <t>PAT.17</t>
  </si>
  <si>
    <t>PAT.18</t>
  </si>
  <si>
    <t>PAT.19</t>
  </si>
  <si>
    <t>PAT.20</t>
  </si>
  <si>
    <t>"Sala de atendimento individualizado"</t>
  </si>
  <si>
    <t>"Sala de demonstração e educação em saúde"</t>
  </si>
  <si>
    <t>"Sala de imunização"</t>
  </si>
  <si>
    <t>"Sala de armazenagem e distribuição de alimentos de programas especiais"</t>
  </si>
  <si>
    <t>"Sala de relatório"</t>
  </si>
  <si>
    <t>"Sala de serviços"</t>
  </si>
  <si>
    <t>"Sala de curativos/suturas e coleta de material (exceto ginecológico)"</t>
  </si>
  <si>
    <t>"Sala de reidratação (oral e intravenosa)"</t>
  </si>
  <si>
    <t>"Sala de inalação individual"</t>
  </si>
  <si>
    <t>"Sala de inalação coletiva"</t>
  </si>
  <si>
    <t>"Sala de aplicação de medicamentos"</t>
  </si>
  <si>
    <t>"Consultório indiferenciado"</t>
  </si>
  <si>
    <t>"Consultório de ortopedia"</t>
  </si>
  <si>
    <t>"Consultório odontológico coletivo"</t>
  </si>
  <si>
    <t>"Consultório odontológico"</t>
  </si>
  <si>
    <t>"Posto de enfermagem e serviços"</t>
  </si>
  <si>
    <t>"Área de prescrição médica"</t>
  </si>
  <si>
    <t>"Quarto individual de curta duração"</t>
  </si>
  <si>
    <t>"Quarto coletivo de curta duração"</t>
  </si>
  <si>
    <t>"Área externa para desembarque de ambulância"</t>
  </si>
  <si>
    <t>"Sala de triagem médica e/ou de enfermagem"</t>
  </si>
  <si>
    <t>"Sala de serviço social"</t>
  </si>
  <si>
    <t>"Sala de higienização"</t>
  </si>
  <si>
    <t>"Sala de suturas/curativos"</t>
  </si>
  <si>
    <t>"Sala de reidratação"</t>
  </si>
  <si>
    <t>"Sala de inalação"</t>
  </si>
  <si>
    <t>"Sala de gesso e redução de fraturas"</t>
  </si>
  <si>
    <t>"Sala para exame indiferenciado"</t>
  </si>
  <si>
    <t>"Sala para exame diferenciado (oftalmologia)"</t>
  </si>
  <si>
    <t>"Sala para exame diferenciado (otorrinolaringologia)"</t>
  </si>
  <si>
    <t>"Sala de observação"</t>
  </si>
  <si>
    <t>"Sala de isolamento"</t>
  </si>
  <si>
    <t>"Sala coletiva de observação de pediatria"</t>
  </si>
  <si>
    <t>"Sala de procedimentos especiais (invasivos)"</t>
  </si>
  <si>
    <t>"Área de escovação"</t>
  </si>
  <si>
    <t>"Sala de serviço"</t>
  </si>
  <si>
    <t>"Sala de exames e curativos"</t>
  </si>
  <si>
    <t>"Área para prescrição médica"</t>
  </si>
  <si>
    <t>"Área de cuidados e higienização de lactente"</t>
  </si>
  <si>
    <t>"Enfermaria de lactente"</t>
  </si>
  <si>
    <t>"Quarto de criança"</t>
  </si>
  <si>
    <t>"Enfermaria de criança"</t>
  </si>
  <si>
    <t>"Quarto de adolescente"</t>
  </si>
  <si>
    <t>"Enfermaria de adolescente"</t>
  </si>
  <si>
    <t>"Quarto de adulto"</t>
  </si>
  <si>
    <t>"Enfermaria de adulto"</t>
  </si>
  <si>
    <t>"Área de recreação/lazer/refeitório"</t>
  </si>
  <si>
    <t>"Área ou antecâmara de acesso ao quarto de isolamento"</t>
  </si>
  <si>
    <t>"Sala de aula"</t>
  </si>
  <si>
    <t>"Área de serviços de enfermagem"</t>
  </si>
  <si>
    <t>"Área de cuidados e higienização"</t>
  </si>
  <si>
    <t>"Posto de enfermagem/área de serviços de enfermagem"</t>
  </si>
  <si>
    <t>"Quarto (isolamento ou não)"</t>
  </si>
  <si>
    <t>"Área coletiva de tratamento (exceto neonatologia)"</t>
  </si>
  <si>
    <t>"Sala de entrevistas"</t>
  </si>
  <si>
    <t>"Área de recepção e preparo de paciente"</t>
  </si>
  <si>
    <t>"Sala para tratamento de balneoterapia"</t>
  </si>
  <si>
    <t>"Banco de pele"</t>
  </si>
  <si>
    <t>"Box de terapias"</t>
  </si>
  <si>
    <t>"Sala para turbilhão"</t>
  </si>
  <si>
    <t>"Salão para cinesioterapia e mecanoterapia"</t>
  </si>
  <si>
    <t>"Consultório de fonoaudiologia"</t>
  </si>
  <si>
    <t>"Sala de psicomotricidade e ludoterapia"</t>
  </si>
  <si>
    <t>"Sala de preparo de pacientes"</t>
  </si>
  <si>
    <t>"Sala de preparo de contraste"</t>
  </si>
  <si>
    <t>"Sala de indução anestésica e recuperação de exames"</t>
  </si>
  <si>
    <t>"Área de comando"</t>
  </si>
  <si>
    <t>"Área de recepção de pacientes"</t>
  </si>
  <si>
    <t>"Área de comando e componentes técnicos"</t>
  </si>
  <si>
    <t>"Sala de exames e terapias"</t>
  </si>
  <si>
    <t>"Área de indução e recuperação pós-anestésica"</t>
  </si>
  <si>
    <t>"Sala de interpretação e laudos"</t>
  </si>
  <si>
    <t>"Sala de exames de tomografia"</t>
  </si>
  <si>
    <t>"Sala de indução e recuperação anestésica"</t>
  </si>
  <si>
    <t>"Sala de laudos e interpretação"</t>
  </si>
  <si>
    <t>"Sala de ecocardiograma"</t>
  </si>
  <si>
    <t>"Área de detecção de metais"</t>
  </si>
  <si>
    <t>"Sala de componentes técnicos"</t>
  </si>
  <si>
    <t>"Sala de exames oftalmológicos"</t>
  </si>
  <si>
    <t>"Sala de limpeza e desinfecção de endoscópios"</t>
  </si>
  <si>
    <t>"Sala de exames para procedimentos associados à radiologia"</t>
  </si>
  <si>
    <t>"Sala de recuperação"</t>
  </si>
  <si>
    <t>"Sala de recepção e classificação"</t>
  </si>
  <si>
    <t>"Sala de macroscopia"</t>
  </si>
  <si>
    <t>"Sala de técnica"</t>
  </si>
  <si>
    <t>"Sala de imuno-histoquímica"</t>
  </si>
  <si>
    <t>"Sala de biópsia de congelação"</t>
  </si>
  <si>
    <t>"Sala de necropsia"</t>
  </si>
  <si>
    <t>"Arquivos de doadores"</t>
  </si>
  <si>
    <t>"Triagem clínica"</t>
  </si>
  <si>
    <t>"Sala para coleta de sangue de doadores"</t>
  </si>
  <si>
    <t>"Sala para recuperação de doadores"</t>
  </si>
  <si>
    <t>"Sala de processamento de sangue"</t>
  </si>
  <si>
    <t>"Área/sala de pré-estoque"</t>
  </si>
  <si>
    <t>"Sala de liberação e rotulagem"</t>
  </si>
  <si>
    <t>"Área/sala de estocagem de hemocomponentes"</t>
  </si>
  <si>
    <t>"Laboratório de controle de qualidade do produto final"</t>
  </si>
  <si>
    <t>"Sala de coleta de material"</t>
  </si>
  <si>
    <t>"Sala de transfusão"</t>
  </si>
  <si>
    <t>"Laboratório de manipulação e estoque de fones em uso"</t>
  </si>
  <si>
    <t>"Sala de decaimento (depósito de rejeitos radioativos)"</t>
  </si>
  <si>
    <t>"Box para coleta de material"</t>
  </si>
  <si>
    <t>"Laboratório de radioimunoensaio"</t>
  </si>
  <si>
    <t>"Sala de administração de radiofármacos"</t>
  </si>
  <si>
    <t>"Sala de box pacientes injetados"</t>
  </si>
  <si>
    <t>"Sala de exames gama-câmara/cintilógrafo"</t>
  </si>
  <si>
    <t>"Sala de laudos e arquivos"</t>
  </si>
  <si>
    <t>"Box de coleta de material"</t>
  </si>
  <si>
    <t>"Área para classificação e distribuição de amostras"</t>
  </si>
  <si>
    <t>"Sala de preparo de reagentes"</t>
  </si>
  <si>
    <t>"Sala para lavagem e secagem de vidrarias"</t>
  </si>
  <si>
    <t>"Laboratório de hematologia"</t>
  </si>
  <si>
    <t>"Laboratório de parasitologia"</t>
  </si>
  <si>
    <t>"Laboratório de urinálise"</t>
  </si>
  <si>
    <t>"Laboratório de imunologia"</t>
  </si>
  <si>
    <t>"Laboratório de bacteriologia ou microbiologia"</t>
  </si>
  <si>
    <t>"Laboratório de micologia"</t>
  </si>
  <si>
    <t>"Laboratório de virologia"</t>
  </si>
  <si>
    <t>"Laboratório de bioquímica"</t>
  </si>
  <si>
    <t>"Laboratório de suporte à UTI e UTQ"</t>
  </si>
  <si>
    <t>"Laboratório de emergência"</t>
  </si>
  <si>
    <t>Interop</t>
  </si>
  <si>
    <t>tema</t>
  </si>
  <si>
    <t>descrição</t>
  </si>
  <si>
    <t>"Patologia"</t>
  </si>
  <si>
    <t>"Medicina nuclear"</t>
  </si>
  <si>
    <t>"Hematologia"</t>
  </si>
  <si>
    <t>"Análise patológica"</t>
  </si>
  <si>
    <t>"Ambulatorial"</t>
  </si>
  <si>
    <t>"Emergências"</t>
  </si>
  <si>
    <t>"Internação"</t>
  </si>
  <si>
    <t>"Reabilitação"</t>
  </si>
  <si>
    <t>"Exames de imagens"</t>
  </si>
  <si>
    <t>"Consultório de otorrinolaringologia"</t>
  </si>
  <si>
    <t>"Consultório de oftalmologia"</t>
  </si>
  <si>
    <t>"Consultório de ginecologia"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</si>
  <si>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</si>
  <si>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</si>
  <si>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</si>
  <si>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</si>
  <si>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</si>
  <si>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</si>
  <si>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</si>
  <si>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SUS</t>
  </si>
  <si>
    <t>Classe</t>
  </si>
  <si>
    <t>Equivalente a</t>
  </si>
  <si>
    <t>SUS.Volume</t>
  </si>
  <si>
    <t>bim:</t>
  </si>
  <si>
    <t>Caderno SomaSUS elaborado pelo Sistema Único de Saúde.</t>
  </si>
  <si>
    <t>CategoriaRvt</t>
  </si>
  <si>
    <t>ClasseIfc</t>
  </si>
  <si>
    <t>ABNT</t>
  </si>
  <si>
    <t>SUS.Box</t>
  </si>
  <si>
    <t>SUS.Posto</t>
  </si>
  <si>
    <t>SUS.Consultório</t>
  </si>
  <si>
    <t>SUS.Laboratório</t>
  </si>
  <si>
    <t>SUS.Quarto</t>
  </si>
  <si>
    <t>SUS.Enfermaria</t>
  </si>
  <si>
    <t>SUS.Sala</t>
  </si>
  <si>
    <t>SUS.Piscina</t>
  </si>
  <si>
    <t>Se refere a um ambiente não totalmente enclausurado.</t>
  </si>
  <si>
    <t>Se refere a um ambiente fechado e pequeno, normalmente para atender pacientes.</t>
  </si>
  <si>
    <t>Se refere a um ambiente de tipo consultório médico.</t>
  </si>
  <si>
    <t>Se refere a um ambiente equipado para cumprir funcões de enfermaria.</t>
  </si>
  <si>
    <t>Se refere a um ambiente equipado para cumprir funcões laboratoriais.</t>
  </si>
  <si>
    <t>Se refere a um ambiente fechado ou aberto para piscinas de tratamento médico.</t>
  </si>
  <si>
    <t>Se refere a um quarto de internação.</t>
  </si>
  <si>
    <t>Se refere a uma sala para funcionar como atendimento administrativo ou técnico.</t>
  </si>
  <si>
    <t>Volumes do Caderno SomaSUS. Sistema Único de Saúde do Brasil.</t>
  </si>
  <si>
    <t>Dispositivos médicos usados nos hospitais do Sistema Único de Saúde do Brasil.</t>
  </si>
  <si>
    <t>Mobiliários médicos usados nos hospitais do Sistema Único de Saúde do Brasil.</t>
  </si>
  <si>
    <t>Volúmenes del Cuaderno SomaSUS. Sistema Único de Salud de Brasil.</t>
  </si>
  <si>
    <t>Se refiere a un entorno que no está totalmente enclaustrado.</t>
  </si>
  <si>
    <t>Se refiere a un entorno cerrado y pequeño, generalmente para atender a los pacientes.</t>
  </si>
  <si>
    <t>Se refiere a un entorno tipo consultorio médico.</t>
  </si>
  <si>
    <t>Se refiere a un entorno equipado para realizar funciones de laboratorio.</t>
  </si>
  <si>
    <t>Se refiere a un entorno cerrado o abierto para piscinas de tratamiento médico.</t>
  </si>
  <si>
    <t>Se refiere a una sala de hospitalización.</t>
  </si>
  <si>
    <t>Se refiere a una sala para funcionar como servicio administrativo o técnico.</t>
  </si>
  <si>
    <t>Mobiliario médico utilizado en hospitales del Sistema Único de Salud de Brasil.</t>
  </si>
  <si>
    <t>UFU.01</t>
  </si>
  <si>
    <t>"Atendimentos"</t>
  </si>
  <si>
    <t>"Atendimento ambulatorial"</t>
  </si>
  <si>
    <t>UFU.02</t>
  </si>
  <si>
    <t>"Atendimento imediato"</t>
  </si>
  <si>
    <t>UFU.03</t>
  </si>
  <si>
    <t>UFU.04.1</t>
  </si>
  <si>
    <t>"Diagnóstico"</t>
  </si>
  <si>
    <t>"Apoio ao diagnóstico e a terapia (Reabilitação)"</t>
  </si>
  <si>
    <t>UFU.04.2</t>
  </si>
  <si>
    <t>UFU.04.3</t>
  </si>
  <si>
    <t>"Anatomia patológica e citopatologia"</t>
  </si>
  <si>
    <t>UFU.04.4</t>
  </si>
  <si>
    <t>"Terapias"</t>
  </si>
  <si>
    <t>"Hemoterapia e hematologia"</t>
  </si>
  <si>
    <t>UFU.04.5</t>
  </si>
  <si>
    <t>UFU.04.6</t>
  </si>
  <si>
    <t>"Análise"</t>
  </si>
  <si>
    <t>"Patologia clínica"</t>
  </si>
  <si>
    <t>BASI</t>
  </si>
  <si>
    <t>setor</t>
  </si>
  <si>
    <t>"Ações básicas de saúde"</t>
  </si>
  <si>
    <t>ENFE</t>
  </si>
  <si>
    <t>CONS</t>
  </si>
  <si>
    <t>ICDU</t>
  </si>
  <si>
    <t>"Internação de curta duração"</t>
  </si>
  <si>
    <t>UBBC</t>
  </si>
  <si>
    <t>"Urgências de baixa e média complexidade"</t>
  </si>
  <si>
    <t>UAEM</t>
  </si>
  <si>
    <t>"Urgências de alta complexidade e emergências"</t>
  </si>
  <si>
    <t>IGER</t>
  </si>
  <si>
    <t>"Internação geral"</t>
  </si>
  <si>
    <t>NEO</t>
  </si>
  <si>
    <t>"Internação de recém-nascido (Neonatologia)"</t>
  </si>
  <si>
    <t>UTI</t>
  </si>
  <si>
    <t>UTQ</t>
  </si>
  <si>
    <t>FISI</t>
  </si>
  <si>
    <t>OCUP</t>
  </si>
  <si>
    <t>"Terapia ocupacional"</t>
  </si>
  <si>
    <t>FONO</t>
  </si>
  <si>
    <t>RADI</t>
  </si>
  <si>
    <t>HEDI</t>
  </si>
  <si>
    <t>TOMO</t>
  </si>
  <si>
    <t>USOM</t>
  </si>
  <si>
    <t>RMAG</t>
  </si>
  <si>
    <t>"Ressonância magnética"</t>
  </si>
  <si>
    <t>ENDO</t>
  </si>
  <si>
    <t>"Endoscopia digestiva e respiratória"</t>
  </si>
  <si>
    <t>APAT</t>
  </si>
  <si>
    <t>"Anatomia patológica"</t>
  </si>
  <si>
    <t>HETE</t>
  </si>
  <si>
    <t>MNUC</t>
  </si>
  <si>
    <t>PACLI</t>
  </si>
  <si>
    <t>é.parte.de</t>
  </si>
  <si>
    <t>"Área"</t>
  </si>
  <si>
    <t>"Box"</t>
  </si>
  <si>
    <t>"Consultório"</t>
  </si>
  <si>
    <t>"Enfermaria"</t>
  </si>
  <si>
    <t>"Laboratório"</t>
  </si>
  <si>
    <t>"Piscina"</t>
  </si>
  <si>
    <t>"Posto"</t>
  </si>
  <si>
    <t>"Quarto"</t>
  </si>
  <si>
    <t>"Quarto/enfermaria"</t>
  </si>
  <si>
    <t>"Sala"</t>
  </si>
  <si>
    <t>"Berçário"</t>
  </si>
  <si>
    <t>"Banco"</t>
  </si>
  <si>
    <t>"Salão"</t>
  </si>
  <si>
    <t>"Arquivos"</t>
  </si>
  <si>
    <t>"Sala/área"</t>
  </si>
  <si>
    <t>"Triagem"</t>
  </si>
  <si>
    <t>"Área/sala"</t>
  </si>
  <si>
    <t>"Ações"</t>
  </si>
  <si>
    <t>"Enfermagem"</t>
  </si>
  <si>
    <t>"Consultórios"</t>
  </si>
  <si>
    <t>"Urgências"</t>
  </si>
  <si>
    <t>"Fisioterapia"</t>
  </si>
  <si>
    <t>"Terapia"</t>
  </si>
  <si>
    <t>"Fonoaudiologia"</t>
  </si>
  <si>
    <t>"Radiologia"</t>
  </si>
  <si>
    <t>"Hemodinâmica"</t>
  </si>
  <si>
    <t>"Tomografia"</t>
  </si>
  <si>
    <t>"Ultrassonografia"</t>
  </si>
  <si>
    <t>"Ressonância"</t>
  </si>
  <si>
    <t>"Endoscopia"</t>
  </si>
  <si>
    <t>"Anatomia"</t>
  </si>
  <si>
    <t>"Hemoterapia"</t>
  </si>
  <si>
    <t>"Imagenologia"</t>
  </si>
  <si>
    <t>"Patologia Clínica"</t>
  </si>
  <si>
    <t>"Medicina Nuclear"</t>
  </si>
  <si>
    <t>Atendimento</t>
  </si>
  <si>
    <t>Internação</t>
  </si>
  <si>
    <t>Diagnóstico</t>
  </si>
  <si>
    <t>Terapias</t>
  </si>
  <si>
    <t>Ambulatorial</t>
  </si>
  <si>
    <t>Emergências</t>
  </si>
  <si>
    <t>Reabilitação</t>
  </si>
  <si>
    <t>Hematologia</t>
  </si>
  <si>
    <t>Tipo</t>
  </si>
  <si>
    <t>Análises</t>
  </si>
  <si>
    <t>Exames.Imagens</t>
  </si>
  <si>
    <t>Análise.Patológica</t>
  </si>
  <si>
    <t>Medicina.Nuclear</t>
  </si>
  <si>
    <t>Informação</t>
  </si>
  <si>
    <t>Contêiner</t>
  </si>
  <si>
    <t>Define un contenedor de información de acuerdo con la norma NBR 19650-1.</t>
  </si>
  <si>
    <t>Patologia</t>
  </si>
  <si>
    <t>Espacial - Ambientes e Unidades hospitalares do SUS</t>
  </si>
  <si>
    <t>SomaSUS_Espacial</t>
  </si>
  <si>
    <t>SUS.Ocupação</t>
  </si>
  <si>
    <t>SUS.Caderno</t>
  </si>
  <si>
    <t>SUS.Ambientes</t>
  </si>
  <si>
    <t>SUS.Funcional</t>
  </si>
  <si>
    <t>SUS.Equipamentos</t>
  </si>
  <si>
    <t>Caderno.SomaSUS</t>
  </si>
  <si>
    <t>é.unidade.funcional</t>
  </si>
  <si>
    <t>Espaço.SUS</t>
  </si>
  <si>
    <t>é.membro.de</t>
  </si>
  <si>
    <t>"Sala de preparo de paciente (consulta de enfermagem, triagem, biometria)"</t>
  </si>
  <si>
    <t>"Consultório de serviço social, consulta de grupo"</t>
  </si>
  <si>
    <t>"Sala coletiva de observação de adulto, masculina e feminina"</t>
  </si>
  <si>
    <t>"Sala de emergências (politraumatismo, parada cardíaca, etc-)"</t>
  </si>
  <si>
    <t>"Berçário de cuidados intensivos, UTI neonatal"</t>
  </si>
  <si>
    <t>"Enfermaria de adulto, adolescente e criança"</t>
  </si>
  <si>
    <t>"Consultório de terapia ocupacional, consulta individual"</t>
  </si>
  <si>
    <t>"Sala de terapia ocupacional, consulta de grupo"</t>
  </si>
  <si>
    <t>"Arquivos de peças, lâminas, blocos e fotografias"</t>
  </si>
  <si>
    <t>"Sala para recepção, registro e espera de doadores"</t>
  </si>
  <si>
    <t>"Sala para procedimentos especiais (abertura do sistema, alicotagem, lavagem de hemácias)"</t>
  </si>
  <si>
    <t>"Internação para tratamento intensivo de queimados, UTQ"</t>
  </si>
  <si>
    <t>"Internação intensiva, UTI ou CTI"</t>
  </si>
  <si>
    <t>"Sala de exames de ressonância magnética"</t>
  </si>
  <si>
    <t>"Área para atendimentos de emergência"</t>
  </si>
  <si>
    <t>"Sala de exames e procedimentos"</t>
  </si>
  <si>
    <t>"Quarto de enfermaria para alojamento conjunto ou internação de gestantes com incorrências"</t>
  </si>
  <si>
    <t>"Posto de enfermagem ou prescrição médica"</t>
  </si>
  <si>
    <t>"Sala de higienização e preparo de equipamento ou material"</t>
  </si>
  <si>
    <t>"Sala de exames odontológicos"</t>
  </si>
  <si>
    <t>"Sala de exames gerais"</t>
  </si>
  <si>
    <t>"Sala de exames de mama"</t>
  </si>
  <si>
    <t>"Sala de exames de densitometria"</t>
  </si>
  <si>
    <t>"Sala de exames, telecomandados"</t>
  </si>
  <si>
    <t>"Área de escovação para degermação cirúrgica dos braços"</t>
  </si>
  <si>
    <t>"Sala de componentes técnicos (computadores etc)"</t>
  </si>
  <si>
    <t>"Sala de exames e terapias de ultrassonografia gerais"</t>
  </si>
  <si>
    <t>"Sala de exames e terapias de ultrassonografia oftalmológico"</t>
  </si>
  <si>
    <t>"Sala de exames e terapias de ultrassonografia, litotripsia extracorpórea e ultrassonografia intervencionista"</t>
  </si>
  <si>
    <t>"Sala de indução e recuperação anestésica para litotripsia"</t>
  </si>
  <si>
    <t>"Sala ou área de comando para litotripsia"</t>
  </si>
  <si>
    <t>"Sala ou área para triagem hematológica"</t>
  </si>
  <si>
    <t>"Sala de distribuição compatibilidade"</t>
  </si>
  <si>
    <t>"Laboratório de biologia molecular. Sala de preparo de soluções"</t>
  </si>
  <si>
    <t>"Laboratório de biologia molecular. Sala de extração de ácidos nucléicos"</t>
  </si>
  <si>
    <t>"Laboratório de biologia molecular. Antecâmara de paramentação exclusiva para acesso à sala de PCR"</t>
  </si>
  <si>
    <t>"Laboratório de biologia molecular. Sala de revelação de géis"</t>
  </si>
  <si>
    <t>"Laboratório de biologia molecular. Sala de amplificação PCR"</t>
  </si>
  <si>
    <t>Indivíduo</t>
  </si>
  <si>
    <t>"Setorização"</t>
  </si>
  <si>
    <t>SUS.Assistência.Médica</t>
  </si>
  <si>
    <t>Se refiere a un entorno equipado para cumplir funciones de enfermería.</t>
  </si>
  <si>
    <t>Se refiere a un puesto de enfermería asociado a una enfermería.</t>
  </si>
  <si>
    <t>Se refere a um posto de enfermagem associado a uma enfermaria.</t>
  </si>
  <si>
    <t>Se refere a um zoneamento definido.</t>
  </si>
  <si>
    <t xml:space="preserve">São as Unidades funcionais do Sistema Único de Saúde do Brasil. </t>
  </si>
  <si>
    <t>São os Setores do Sistema Único de Saúde do Brasil.</t>
  </si>
  <si>
    <t>Son las Unidades funcionales del Sistema Único de Salud Brasileño.</t>
  </si>
  <si>
    <t>Son los Sectores del Sistema Único de Salud de Brasil.</t>
  </si>
  <si>
    <t>Se refiere a una zonificación definida.</t>
  </si>
  <si>
    <t>SUS.Instrumento</t>
  </si>
  <si>
    <t>Instrumento médico usados nos hospitais do Sistema Único de Saúde do Brasil.</t>
  </si>
  <si>
    <t>SUS.Mobília.de.Saúde</t>
  </si>
  <si>
    <t>Ropa de cama usada em hospitais do Sistema Único de Saúde do Brasil.</t>
  </si>
  <si>
    <t>Ropa de cama usada en hospitales del Sistema Único de Salud de Brasil.</t>
  </si>
  <si>
    <t>SUS.Alimentação</t>
  </si>
  <si>
    <t>Elementos para alimentação usados em hospitais do Sistema Único de Saúde do Brasil.</t>
  </si>
  <si>
    <t>Elementos para alimentación usados en hospitales del Sistema Único de Salud de Brasil.</t>
  </si>
  <si>
    <t>SUS.Robot</t>
  </si>
  <si>
    <t>Equipamentos médicos robóticos usados nos hospitais do Sistema Único de Saúde do Brasil.</t>
  </si>
  <si>
    <t>Equipo médico robótico utilizado en hospitales del Sistema Único de Salud de Brasil.</t>
  </si>
  <si>
    <t>Equipamentos médicos convencionais usados nos hospitais do Sistema Único de Saúde do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</si>
  <si>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</si>
  <si>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</si>
  <si>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</si>
  <si>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SUS.Hotelaria</t>
  </si>
  <si>
    <t>SUS.Roupa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</si>
  <si>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</si>
  <si>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</si>
  <si>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</si>
  <si>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</si>
  <si>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</si>
  <si>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</si>
  <si>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</si>
  <si>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Caderno SomaSUS elaborado pelo Sistema Único de Saúde do Brasil</t>
  </si>
  <si>
    <t>Aviso</t>
  </si>
  <si>
    <t>Formalizar Caderno SomaSUS elaborado pelo Sistema Único de Saúde do Brasil.</t>
  </si>
  <si>
    <t>"SomaSUS"</t>
  </si>
  <si>
    <t>"Funcional"</t>
  </si>
  <si>
    <t>"-"</t>
  </si>
  <si>
    <t>categoria.revit</t>
  </si>
  <si>
    <t>classe.ifc</t>
  </si>
  <si>
    <t>"OST_Rooms"</t>
  </si>
  <si>
    <t>"IfcSpace"</t>
  </si>
  <si>
    <t>"OST_MEPZone"</t>
  </si>
  <si>
    <t>"IfcZone"</t>
  </si>
  <si>
    <t>"Caderno.SomaSUS do Sistema Único de Saúde"</t>
  </si>
  <si>
    <t>"Atendimento do Sistema Único de Saúde"</t>
  </si>
  <si>
    <t>"Internação do Sistema Único de Saúde"</t>
  </si>
  <si>
    <t>"Diagnóstico do Sistema Único de Saúde"</t>
  </si>
  <si>
    <t>"Terapias do Sistema Único de Saúde"</t>
  </si>
  <si>
    <t>"Análises do Sistema Único de Saúde"</t>
  </si>
  <si>
    <t>"Ambulatorial do Sistema Único de Saúde"</t>
  </si>
  <si>
    <t>"Emergências do Sistema Único de Saúde"</t>
  </si>
  <si>
    <t>"Reabilitação do Sistema Único de Saúde"</t>
  </si>
  <si>
    <t>"Exames.Imagens do Sistema Único de Saúde"</t>
  </si>
  <si>
    <t>"Análise.Patológica do Sistema Único de Saúde"</t>
  </si>
  <si>
    <t>"Hematologia do Sistema Único de Saúde"</t>
  </si>
  <si>
    <t>"Medicina.Nuclear do Sistema Único de Saúde"</t>
  </si>
  <si>
    <t>"Patologia do Sistema Único de Saúde"</t>
  </si>
  <si>
    <t>"Espaço.SUS do Sistema Único de Saúde"</t>
  </si>
  <si>
    <t>Advertência</t>
  </si>
  <si>
    <t>Alert</t>
  </si>
  <si>
    <t>Define um contêiner de informação de acordo à norma NBR 19650-1. Definição do Projeto.</t>
  </si>
  <si>
    <t>[ 5I.10.54.12.16 ]</t>
  </si>
  <si>
    <t>[ OST_Rooms , OST_MEPSpaces ]</t>
  </si>
  <si>
    <t>[ IfcSpace ]</t>
  </si>
  <si>
    <t>[ 4A.43.04 ]</t>
  </si>
  <si>
    <t>[ OST_Areas ]</t>
  </si>
  <si>
    <t>[ OST_MEPZone ]</t>
  </si>
  <si>
    <t>[ IfcZone ]</t>
  </si>
  <si>
    <t>[ 4U.74 ]</t>
  </si>
  <si>
    <t>[ OST_MedicalEquipment ]</t>
  </si>
  <si>
    <t>[ IfcMedicalDevice ]</t>
  </si>
  <si>
    <t>[ 2C.74 ]</t>
  </si>
  <si>
    <t>[ OST_MedicalEquipment , OST_NurseCallDevices ]</t>
  </si>
  <si>
    <t>[ OST_Furniture ]</t>
  </si>
  <si>
    <t>[ IfcFurniture ]</t>
  </si>
  <si>
    <t>Gestão</t>
  </si>
  <si>
    <t>Hospitalar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</si>
  <si>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</si>
  <si>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</si>
  <si>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</si>
  <si>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</si>
  <si>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</si>
  <si>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</si>
  <si>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</si>
  <si>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</si>
  <si>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[ OST_TiTleBlock , OST_Sheets ]</t>
  </si>
  <si>
    <t>tipo.revit</t>
  </si>
  <si>
    <t>"Nome do tipo da Etiqueta identidicadora da Zona"</t>
  </si>
  <si>
    <t>"Nome do tipo da Etiqueta identidicadora do Ambiente"</t>
  </si>
  <si>
    <t>ambiente.tipo</t>
  </si>
  <si>
    <t>Conceito</t>
  </si>
  <si>
    <t>Contêineres</t>
  </si>
  <si>
    <t>Arquitetura</t>
  </si>
  <si>
    <t>Key-SUS-2</t>
  </si>
  <si>
    <t>[ 5I ]</t>
  </si>
  <si>
    <t>Defines an information container in accordance with the NBR 19650-1 standard. Project Definition.</t>
  </si>
  <si>
    <t>Requisito Espacial</t>
  </si>
  <si>
    <t>Key-SUS-3</t>
  </si>
  <si>
    <t>Defines an information container in accordance with the NBR 19650-1 standard. Spatial Requirements for the Project.</t>
  </si>
  <si>
    <t>Requisito Mobiliário</t>
  </si>
  <si>
    <t>Key-SUS-4</t>
  </si>
  <si>
    <t>Defines an information container in accordance with the NBR 19650-1 standard. Furniture Requirements for the Project.</t>
  </si>
  <si>
    <t>Requisito Equipamento</t>
  </si>
  <si>
    <t>Key-SUS-5</t>
  </si>
  <si>
    <t>Defines an information container in accordance with the NBR 19650-1 standard. Equipment Requirements for the Project.</t>
  </si>
  <si>
    <t>Requisito Sistemas</t>
  </si>
  <si>
    <t>Key-SUS-6</t>
  </si>
  <si>
    <t>Defines an information container in accordance with the NBR 19650-1 standard. Building Systems Requirements for the Project.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</si>
  <si>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</si>
  <si>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</si>
  <si>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</si>
  <si>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</si>
  <si>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</si>
  <si>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</si>
  <si>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</si>
  <si>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</si>
  <si>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</si>
  <si>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</si>
  <si>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</si>
  <si>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</si>
  <si>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</si>
  <si>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</si>
  <si>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</si>
  <si>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</si>
  <si>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</si>
  <si>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</si>
  <si>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</si>
  <si>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</si>
  <si>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</si>
  <si>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</si>
  <si>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</si>
  <si>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</si>
  <si>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</si>
  <si>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</si>
  <si>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FonteSomaSUS</t>
  </si>
  <si>
    <t>https://somasus.saude.gov.br/sistema/home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</si>
</sst>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rgb="FFFFFFCC"/>
      </patternFill>
    </fill>
    <fill>
      <patternFill patternType="solid">
        <fgColor rgb="FFFFCCFF"/>
        <bgColor rgb="FFFFFFCC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5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14" borderId="3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2" fillId="16" borderId="3" xfId="0" applyFont="1" applyFill="1" applyBorder="1" applyAlignment="1">
      <alignment horizontal="left" vertical="center"/>
    </xf>
    <xf numFmtId="0" fontId="2" fillId="17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vertical="center"/>
    </xf>
    <xf numFmtId="0" fontId="6" fillId="18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5" fillId="19" borderId="3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vertical="center"/>
    </xf>
    <xf numFmtId="0" fontId="5" fillId="23" borderId="3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6" fillId="24" borderId="1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5" borderId="1" xfId="0" applyFont="1" applyFill="1" applyBorder="1"/>
    <xf numFmtId="0" fontId="5" fillId="0" borderId="0" xfId="0" applyFont="1"/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0" applyFont="1" applyBorder="1"/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20"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F96F-18EF-4F62-9701-3C2B1D1C3562}">
  <sheetPr codeName="Planilha1"/>
  <dimension ref="A1:C40"/>
  <sheetViews>
    <sheetView tabSelected="1" zoomScale="160" zoomScaleNormal="160" workbookViewId="0">
      <pane ySplit="1" topLeftCell="A2" activePane="bottomLeft" state="frozen"/>
      <selection pane="bottomLeft" activeCell="F8" sqref="F8"/>
    </sheetView>
  </sheetViews>
  <sheetFormatPr defaultColWidth="9.15234375" defaultRowHeight="9.75" customHeight="1" x14ac:dyDescent="0.35"/>
  <cols>
    <col min="1" max="1" width="10.3828125" style="1" bestFit="1" customWidth="1"/>
    <col min="2" max="2" width="53.69140625" style="1" bestFit="1" customWidth="1"/>
    <col min="3" max="3" width="3.3828125" style="51" bestFit="1" customWidth="1"/>
    <col min="4" max="16384" width="9.15234375" style="1"/>
  </cols>
  <sheetData>
    <row r="1" spans="1:3" s="14" customFormat="1" ht="16.5" customHeight="1" x14ac:dyDescent="0.4">
      <c r="A1" s="13" t="s">
        <v>46</v>
      </c>
      <c r="B1" s="13" t="s">
        <v>47</v>
      </c>
      <c r="C1" s="49" t="s">
        <v>630</v>
      </c>
    </row>
    <row r="2" spans="1:3" ht="8.6999999999999993" customHeight="1" x14ac:dyDescent="0.35">
      <c r="A2" s="15" t="s">
        <v>48</v>
      </c>
      <c r="B2" s="15" t="s">
        <v>410</v>
      </c>
      <c r="C2" s="50" t="s">
        <v>631</v>
      </c>
    </row>
    <row r="3" spans="1:3" ht="8.6999999999999993" customHeight="1" x14ac:dyDescent="0.35">
      <c r="A3" s="15" t="s">
        <v>49</v>
      </c>
      <c r="B3" s="16" t="s">
        <v>550</v>
      </c>
      <c r="C3" s="50" t="s">
        <v>631</v>
      </c>
    </row>
    <row r="4" spans="1:3" ht="8.6999999999999993" customHeight="1" x14ac:dyDescent="0.35">
      <c r="A4" s="15" t="s">
        <v>50</v>
      </c>
      <c r="B4" s="15" t="s">
        <v>24</v>
      </c>
      <c r="C4" s="50" t="s">
        <v>631</v>
      </c>
    </row>
    <row r="5" spans="1:3" ht="8.6999999999999993" customHeight="1" x14ac:dyDescent="0.35">
      <c r="A5" s="15" t="s">
        <v>51</v>
      </c>
      <c r="B5" s="15" t="str">
        <f>_xlfn.CONCAT(B4,"Prop")</f>
        <v>BIMProp</v>
      </c>
      <c r="C5" s="50" t="s">
        <v>631</v>
      </c>
    </row>
    <row r="6" spans="1:3" ht="8.6999999999999993" customHeight="1" x14ac:dyDescent="0.35">
      <c r="A6" s="15" t="s">
        <v>52</v>
      </c>
      <c r="B6" s="15" t="str">
        <f>_xlfn.CONCAT(B4,"Data")</f>
        <v>BIMData</v>
      </c>
      <c r="C6" s="50" t="s">
        <v>631</v>
      </c>
    </row>
    <row r="7" spans="1:3" ht="8.6999999999999993" customHeight="1" x14ac:dyDescent="0.35">
      <c r="A7" s="15" t="s">
        <v>53</v>
      </c>
      <c r="B7" s="15" t="s">
        <v>54</v>
      </c>
      <c r="C7" s="50" t="s">
        <v>631</v>
      </c>
    </row>
    <row r="8" spans="1:3" ht="8.6999999999999993" customHeight="1" x14ac:dyDescent="0.35">
      <c r="A8" s="15" t="s">
        <v>55</v>
      </c>
      <c r="B8" s="15" t="s">
        <v>628</v>
      </c>
      <c r="C8" s="50" t="s">
        <v>631</v>
      </c>
    </row>
    <row r="9" spans="1:3" ht="8.6999999999999993" customHeight="1" x14ac:dyDescent="0.35">
      <c r="A9" s="15" t="s">
        <v>56</v>
      </c>
      <c r="B9" s="15" t="s">
        <v>57</v>
      </c>
      <c r="C9" s="50" t="s">
        <v>631</v>
      </c>
    </row>
    <row r="10" spans="1:3" ht="8.6999999999999993" customHeight="1" x14ac:dyDescent="0.35">
      <c r="A10" s="15" t="s">
        <v>58</v>
      </c>
      <c r="B10" s="15" t="s">
        <v>59</v>
      </c>
      <c r="C10" s="50" t="s">
        <v>631</v>
      </c>
    </row>
    <row r="11" spans="1:3" ht="8.6999999999999993" customHeight="1" x14ac:dyDescent="0.35">
      <c r="A11" s="15" t="s">
        <v>60</v>
      </c>
      <c r="B11" s="15" t="s">
        <v>59</v>
      </c>
      <c r="C11" s="50" t="s">
        <v>631</v>
      </c>
    </row>
    <row r="12" spans="1:3" ht="8.6999999999999993" customHeight="1" x14ac:dyDescent="0.35">
      <c r="A12" s="15" t="s">
        <v>61</v>
      </c>
      <c r="B12" s="15" t="s">
        <v>59</v>
      </c>
      <c r="C12" s="50" t="s">
        <v>631</v>
      </c>
    </row>
    <row r="13" spans="1:3" ht="8.6999999999999993" customHeight="1" x14ac:dyDescent="0.35">
      <c r="A13" s="15" t="s">
        <v>62</v>
      </c>
      <c r="B13" s="17" t="s">
        <v>549</v>
      </c>
      <c r="C13" s="50" t="s">
        <v>631</v>
      </c>
    </row>
    <row r="14" spans="1:3" ht="8.6999999999999993" customHeight="1" x14ac:dyDescent="0.35">
      <c r="A14" s="15" t="s">
        <v>63</v>
      </c>
      <c r="B14" s="15" t="s">
        <v>59</v>
      </c>
      <c r="C14" s="50" t="s">
        <v>631</v>
      </c>
    </row>
    <row r="15" spans="1:3" ht="8.6999999999999993" customHeight="1" x14ac:dyDescent="0.35">
      <c r="A15" s="15" t="s">
        <v>64</v>
      </c>
      <c r="B15" s="15" t="s">
        <v>59</v>
      </c>
      <c r="C15" s="50" t="s">
        <v>631</v>
      </c>
    </row>
    <row r="16" spans="1:3" ht="8.6999999999999993" customHeight="1" x14ac:dyDescent="0.35">
      <c r="A16" s="15" t="s">
        <v>65</v>
      </c>
      <c r="B16" s="15" t="s">
        <v>59</v>
      </c>
      <c r="C16" s="50" t="s">
        <v>631</v>
      </c>
    </row>
    <row r="17" spans="1:3" ht="8.6999999999999993" customHeight="1" x14ac:dyDescent="0.35">
      <c r="A17" s="15" t="s">
        <v>66</v>
      </c>
      <c r="B17" s="16" t="s">
        <v>411</v>
      </c>
      <c r="C17" s="50" t="s">
        <v>631</v>
      </c>
    </row>
    <row r="18" spans="1:3" ht="8.6999999999999993" customHeight="1" x14ac:dyDescent="0.35">
      <c r="A18" s="15" t="s">
        <v>67</v>
      </c>
      <c r="B18" s="18">
        <f ca="1">NOW()</f>
        <v>46233.492279050923</v>
      </c>
      <c r="C18" s="50" t="s">
        <v>631</v>
      </c>
    </row>
    <row r="19" spans="1:3" ht="8.6999999999999993" customHeight="1" x14ac:dyDescent="0.35">
      <c r="A19" s="15" t="s">
        <v>68</v>
      </c>
      <c r="B19" s="15" t="s">
        <v>59</v>
      </c>
      <c r="C19" s="50" t="s">
        <v>631</v>
      </c>
    </row>
    <row r="20" spans="1:3" ht="8.6999999999999993" customHeight="1" x14ac:dyDescent="0.35">
      <c r="A20" s="15" t="s">
        <v>69</v>
      </c>
      <c r="B20" s="15" t="s">
        <v>59</v>
      </c>
      <c r="C20" s="50" t="s">
        <v>631</v>
      </c>
    </row>
    <row r="21" spans="1:3" customFormat="1" ht="8.6999999999999993" customHeight="1" x14ac:dyDescent="0.4">
      <c r="A21" s="17" t="s">
        <v>661</v>
      </c>
      <c r="B21" s="16" t="s">
        <v>634</v>
      </c>
      <c r="C21" s="50" t="s">
        <v>631</v>
      </c>
    </row>
    <row r="22" spans="1:3" customFormat="1" ht="8.6999999999999993" customHeight="1" x14ac:dyDescent="0.4">
      <c r="A22" s="15" t="s">
        <v>635</v>
      </c>
      <c r="B22" s="18" t="str">
        <f>_xlfn.TRANSLATE(B21,"pt","es")</f>
        <v>Cuaderno SomaSUS preparado por el Sistema Unificado de Salud de Brasil</v>
      </c>
      <c r="C22" s="50" t="s">
        <v>632</v>
      </c>
    </row>
    <row r="23" spans="1:3" customFormat="1" ht="8.6999999999999993" customHeight="1" x14ac:dyDescent="0.4">
      <c r="A23" s="15" t="s">
        <v>662</v>
      </c>
      <c r="B23" s="18" t="str">
        <f>_xlfn.TRANSLATE(B22,"pt","en")</f>
        <v>Cuaderno SomaSUS prepared by the Unified Health System of Brazil</v>
      </c>
      <c r="C23" s="50" t="s">
        <v>633</v>
      </c>
    </row>
    <row r="24" spans="1:3" customFormat="1" ht="8.6999999999999993" customHeight="1" x14ac:dyDescent="0.4">
      <c r="A24" s="17" t="s">
        <v>70</v>
      </c>
      <c r="B24" s="19" t="s">
        <v>636</v>
      </c>
      <c r="C24" s="50" t="s">
        <v>631</v>
      </c>
    </row>
    <row r="25" spans="1:3" customFormat="1" ht="8.6999999999999993" customHeight="1" x14ac:dyDescent="0.4">
      <c r="A25" s="17" t="s">
        <v>71</v>
      </c>
      <c r="B25" s="19" t="s">
        <v>72</v>
      </c>
      <c r="C25" s="50" t="s">
        <v>632</v>
      </c>
    </row>
    <row r="26" spans="1:3" customFormat="1" ht="8.6999999999999993" customHeight="1" x14ac:dyDescent="0.4">
      <c r="A26" s="17" t="s">
        <v>629</v>
      </c>
      <c r="B26" s="19" t="str">
        <f>_xlfn.TRANSLATE(B24,"pt","en")</f>
        <v>Formalize the SomaSUS Notebook prepared by the Unified Health System of Brazil.</v>
      </c>
      <c r="C26" s="50" t="s">
        <v>633</v>
      </c>
    </row>
    <row r="27" spans="1:3" customFormat="1" ht="8.25" customHeight="1" x14ac:dyDescent="0.4">
      <c r="A27" s="15" t="s">
        <v>711</v>
      </c>
      <c r="B27" s="71" t="s">
        <v>712</v>
      </c>
      <c r="C27" s="50" t="s">
        <v>631</v>
      </c>
    </row>
    <row r="28" spans="1:3" customFormat="1" ht="8.25" customHeight="1" x14ac:dyDescent="0.4">
      <c r="A28" s="15" t="s">
        <v>713</v>
      </c>
      <c r="B28" s="72" t="s">
        <v>714</v>
      </c>
      <c r="C28" s="50" t="s">
        <v>631</v>
      </c>
    </row>
    <row r="29" spans="1:3" customFormat="1" ht="8.25" customHeight="1" x14ac:dyDescent="0.4">
      <c r="A29" s="15" t="s">
        <v>715</v>
      </c>
      <c r="B29" s="72" t="s">
        <v>716</v>
      </c>
      <c r="C29" s="50" t="s">
        <v>631</v>
      </c>
    </row>
    <row r="30" spans="1:3" s="68" customFormat="1" ht="8.25" customHeight="1" x14ac:dyDescent="0.2">
      <c r="A30" s="15" t="s">
        <v>717</v>
      </c>
      <c r="B30" s="73" t="s">
        <v>718</v>
      </c>
      <c r="C30" s="50" t="s">
        <v>631</v>
      </c>
    </row>
    <row r="31" spans="1:3" s="68" customFormat="1" ht="8.25" customHeight="1" x14ac:dyDescent="0.2">
      <c r="A31" s="15" t="s">
        <v>719</v>
      </c>
      <c r="B31" s="73" t="s">
        <v>720</v>
      </c>
      <c r="C31" s="50" t="s">
        <v>631</v>
      </c>
    </row>
    <row r="32" spans="1:3" s="68" customFormat="1" ht="8.25" customHeight="1" x14ac:dyDescent="0.2">
      <c r="A32" s="15" t="s">
        <v>721</v>
      </c>
      <c r="B32" s="73" t="s">
        <v>722</v>
      </c>
      <c r="C32" s="50" t="s">
        <v>631</v>
      </c>
    </row>
    <row r="33" spans="1:3" s="68" customFormat="1" ht="8.25" customHeight="1" x14ac:dyDescent="0.2">
      <c r="A33" s="15" t="s">
        <v>723</v>
      </c>
      <c r="B33" s="69" t="s">
        <v>724</v>
      </c>
      <c r="C33" s="50" t="s">
        <v>631</v>
      </c>
    </row>
    <row r="34" spans="1:3" s="68" customFormat="1" ht="8.25" customHeight="1" x14ac:dyDescent="0.2">
      <c r="A34" s="15" t="s">
        <v>725</v>
      </c>
      <c r="B34" s="69" t="s">
        <v>726</v>
      </c>
      <c r="C34" s="50" t="s">
        <v>631</v>
      </c>
    </row>
    <row r="35" spans="1:3" s="68" customFormat="1" ht="8.25" customHeight="1" x14ac:dyDescent="0.2">
      <c r="A35" s="15" t="s">
        <v>727</v>
      </c>
      <c r="B35" s="73" t="s">
        <v>728</v>
      </c>
      <c r="C35" s="50" t="s">
        <v>631</v>
      </c>
    </row>
    <row r="36" spans="1:3" s="68" customFormat="1" ht="8.25" customHeight="1" x14ac:dyDescent="0.2">
      <c r="A36" s="15" t="s">
        <v>729</v>
      </c>
      <c r="B36" s="69" t="s">
        <v>730</v>
      </c>
      <c r="C36" s="50" t="s">
        <v>631</v>
      </c>
    </row>
    <row r="37" spans="1:3" s="68" customFormat="1" ht="8.25" customHeight="1" x14ac:dyDescent="0.2">
      <c r="A37" s="15" t="s">
        <v>731</v>
      </c>
      <c r="B37" s="73" t="s">
        <v>732</v>
      </c>
      <c r="C37" s="50" t="s">
        <v>631</v>
      </c>
    </row>
    <row r="38" spans="1:3" customFormat="1" ht="10" customHeight="1" x14ac:dyDescent="0.4">
      <c r="A38" s="17" t="s">
        <v>733</v>
      </c>
      <c r="B38" s="74" t="s">
        <v>734</v>
      </c>
      <c r="C38" s="50" t="s">
        <v>631</v>
      </c>
    </row>
    <row r="39" spans="1:3" s="70" customFormat="1" ht="9.65" customHeight="1" x14ac:dyDescent="0.2">
      <c r="A39" s="15" t="s">
        <v>735</v>
      </c>
      <c r="B39" s="75" t="s">
        <v>736</v>
      </c>
      <c r="C39" s="50" t="s">
        <v>631</v>
      </c>
    </row>
    <row r="40" spans="1:3" ht="9.75" customHeight="1" x14ac:dyDescent="0.35">
      <c r="A40" s="15" t="s">
        <v>737</v>
      </c>
      <c r="B40" s="75" t="s">
        <v>738</v>
      </c>
      <c r="C40" s="50" t="s">
        <v>631</v>
      </c>
    </row>
  </sheetData>
  <hyperlinks>
    <hyperlink ref="B27" r:id="rId1" xr:uid="{05DD44F9-053B-4D97-AE24-0FEBDE79CE14}"/>
    <hyperlink ref="B29" r:id="rId2" xr:uid="{D36D0458-491E-4B0A-9009-C37C01EE24A0}"/>
    <hyperlink ref="B28" r:id="rId3" xr:uid="{19661DC8-0201-4358-B6C6-15C10917B80B}"/>
    <hyperlink ref="B38" r:id="rId4" xr:uid="{407BCDD4-3711-4F24-B2AD-CD836CFEDF80}"/>
    <hyperlink ref="B39" r:id="rId5" location="categoria_888" xr:uid="{3D234DEE-44D7-4D22-93EE-869D4FD961EF}"/>
    <hyperlink ref="B40" r:id="rId6" xr:uid="{9BFE3460-A108-4FF0-9BFC-3669E526815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A27"/>
  <sheetViews>
    <sheetView zoomScale="205" zoomScaleNormal="205" workbookViewId="0">
      <pane ySplit="1" topLeftCell="A2" activePane="bottomLeft" state="frozen"/>
      <selection pane="bottomLeft" activeCell="F11" sqref="F11"/>
    </sheetView>
  </sheetViews>
  <sheetFormatPr defaultColWidth="8.84375" defaultRowHeight="7" customHeight="1" x14ac:dyDescent="0.35"/>
  <cols>
    <col min="1" max="1" width="2.84375" style="1" customWidth="1"/>
    <col min="2" max="2" width="4.3046875" style="8" customWidth="1"/>
    <col min="3" max="3" width="4.84375" style="1" customWidth="1"/>
    <col min="4" max="4" width="10.53515625" style="1" customWidth="1"/>
    <col min="5" max="5" width="8.53515625" style="1" customWidth="1"/>
    <col min="6" max="6" width="11.15234375" style="1" customWidth="1"/>
    <col min="7" max="7" width="7.3828125" style="1" customWidth="1"/>
    <col min="8" max="11" width="6.3828125" style="1" bestFit="1" customWidth="1"/>
    <col min="12" max="12" width="5" style="8" bestFit="1" customWidth="1"/>
    <col min="13" max="13" width="8.84375" style="8" customWidth="1"/>
    <col min="14" max="14" width="11" style="8" customWidth="1"/>
    <col min="15" max="15" width="11.3046875" style="8" customWidth="1"/>
    <col min="16" max="16" width="34.15234375" style="1" bestFit="1" customWidth="1"/>
    <col min="17" max="17" width="33.84375" style="1" bestFit="1" customWidth="1"/>
    <col min="18" max="18" width="5.69140625" style="8" customWidth="1"/>
    <col min="19" max="19" width="10.15234375" style="1" customWidth="1"/>
    <col min="20" max="20" width="8.69140625" style="1" customWidth="1"/>
    <col min="21" max="21" width="11.15234375" style="1" customWidth="1"/>
    <col min="22" max="22" width="10" style="1" customWidth="1"/>
    <col min="23" max="23" width="6.53515625" style="8" customWidth="1"/>
    <col min="24" max="24" width="21.84375" style="1" customWidth="1"/>
    <col min="25" max="25" width="8.53515625" style="1" customWidth="1"/>
    <col min="26" max="26" width="7.69140625" style="1" bestFit="1" customWidth="1"/>
    <col min="27" max="27" width="49.53515625" style="1" bestFit="1" customWidth="1"/>
    <col min="28" max="16384" width="8.84375" style="1"/>
  </cols>
  <sheetData>
    <row r="1" spans="1:27" s="3" customFormat="1" ht="40.950000000000003" customHeight="1" x14ac:dyDescent="0.4">
      <c r="A1" s="24" t="s">
        <v>45</v>
      </c>
      <c r="B1" s="25" t="s">
        <v>25</v>
      </c>
      <c r="C1" s="25" t="s">
        <v>26</v>
      </c>
      <c r="D1" s="25" t="s">
        <v>27</v>
      </c>
      <c r="E1" s="25" t="s">
        <v>28</v>
      </c>
      <c r="F1" s="25" t="s">
        <v>29</v>
      </c>
      <c r="G1" s="32" t="s">
        <v>30</v>
      </c>
      <c r="H1" s="32" t="s">
        <v>31</v>
      </c>
      <c r="I1" s="32" t="s">
        <v>32</v>
      </c>
      <c r="J1" s="32" t="s">
        <v>33</v>
      </c>
      <c r="K1" s="32" t="s">
        <v>34</v>
      </c>
      <c r="L1" s="26" t="s">
        <v>35</v>
      </c>
      <c r="M1" s="26" t="s">
        <v>36</v>
      </c>
      <c r="N1" s="26" t="s">
        <v>37</v>
      </c>
      <c r="O1" s="26" t="s">
        <v>38</v>
      </c>
      <c r="P1" s="26" t="s">
        <v>39</v>
      </c>
      <c r="Q1" s="26" t="s">
        <v>40</v>
      </c>
      <c r="R1" s="26" t="s">
        <v>384</v>
      </c>
      <c r="S1" s="26" t="s">
        <v>41</v>
      </c>
      <c r="T1" s="26" t="s">
        <v>42</v>
      </c>
      <c r="U1" s="26" t="s">
        <v>43</v>
      </c>
      <c r="V1" s="26" t="s">
        <v>44</v>
      </c>
      <c r="W1" s="66" t="s">
        <v>0</v>
      </c>
      <c r="X1" s="26" t="s">
        <v>412</v>
      </c>
      <c r="Y1" s="26" t="s">
        <v>413</v>
      </c>
      <c r="Z1" s="26" t="s">
        <v>414</v>
      </c>
      <c r="AA1" s="48" t="s">
        <v>627</v>
      </c>
    </row>
    <row r="2" spans="1:27" customFormat="1" ht="6.65" customHeight="1" x14ac:dyDescent="0.4">
      <c r="A2" s="52">
        <v>2</v>
      </c>
      <c r="B2" s="58" t="s">
        <v>693</v>
      </c>
      <c r="C2" s="59" t="s">
        <v>678</v>
      </c>
      <c r="D2" s="58" t="s">
        <v>545</v>
      </c>
      <c r="E2" s="58" t="s">
        <v>694</v>
      </c>
      <c r="F2" s="59" t="s">
        <v>546</v>
      </c>
      <c r="G2" s="53" t="s">
        <v>1</v>
      </c>
      <c r="H2" s="53" t="s">
        <v>1</v>
      </c>
      <c r="I2" s="53" t="s">
        <v>1</v>
      </c>
      <c r="J2" s="53" t="s">
        <v>1</v>
      </c>
      <c r="K2" s="53" t="s">
        <v>1</v>
      </c>
      <c r="L2" s="54" t="s">
        <v>678</v>
      </c>
      <c r="M2" s="54" t="s">
        <v>545</v>
      </c>
      <c r="N2" s="54" t="s">
        <v>694</v>
      </c>
      <c r="O2" s="54" t="s">
        <v>546</v>
      </c>
      <c r="P2" s="55" t="s">
        <v>663</v>
      </c>
      <c r="Q2" s="55" t="s">
        <v>547</v>
      </c>
      <c r="R2" s="55" t="s">
        <v>1</v>
      </c>
      <c r="S2" s="57" t="s">
        <v>678</v>
      </c>
      <c r="T2" s="57" t="s">
        <v>545</v>
      </c>
      <c r="U2" s="57" t="s">
        <v>694</v>
      </c>
      <c r="V2" s="55" t="s">
        <v>695</v>
      </c>
      <c r="W2" s="67" t="s">
        <v>696</v>
      </c>
      <c r="X2" s="55" t="s">
        <v>1</v>
      </c>
      <c r="Y2" s="55" t="s">
        <v>1</v>
      </c>
      <c r="Z2" s="56" t="s">
        <v>697</v>
      </c>
      <c r="AA2" s="55" t="s">
        <v>698</v>
      </c>
    </row>
    <row r="3" spans="1:27" customFormat="1" ht="6.65" customHeight="1" x14ac:dyDescent="0.4">
      <c r="A3" s="52">
        <v>3</v>
      </c>
      <c r="B3" s="58" t="s">
        <v>693</v>
      </c>
      <c r="C3" s="59" t="s">
        <v>678</v>
      </c>
      <c r="D3" s="58" t="s">
        <v>545</v>
      </c>
      <c r="E3" s="58" t="s">
        <v>694</v>
      </c>
      <c r="F3" s="59" t="s">
        <v>680</v>
      </c>
      <c r="G3" s="53" t="s">
        <v>1</v>
      </c>
      <c r="H3" s="53" t="s">
        <v>1</v>
      </c>
      <c r="I3" s="53" t="s">
        <v>1</v>
      </c>
      <c r="J3" s="53" t="s">
        <v>1</v>
      </c>
      <c r="K3" s="53" t="s">
        <v>1</v>
      </c>
      <c r="L3" s="54" t="s">
        <v>678</v>
      </c>
      <c r="M3" s="54" t="s">
        <v>545</v>
      </c>
      <c r="N3" s="54" t="s">
        <v>694</v>
      </c>
      <c r="O3" s="54" t="s">
        <v>699</v>
      </c>
      <c r="P3" s="55" t="s">
        <v>681</v>
      </c>
      <c r="Q3" s="55" t="s">
        <v>547</v>
      </c>
      <c r="R3" s="55" t="s">
        <v>1</v>
      </c>
      <c r="S3" s="57" t="s">
        <v>678</v>
      </c>
      <c r="T3" s="57" t="s">
        <v>545</v>
      </c>
      <c r="U3" s="57" t="s">
        <v>694</v>
      </c>
      <c r="V3" s="55" t="s">
        <v>695</v>
      </c>
      <c r="W3" s="67" t="s">
        <v>700</v>
      </c>
      <c r="X3" s="55" t="s">
        <v>1</v>
      </c>
      <c r="Y3" s="55" t="s">
        <v>1</v>
      </c>
      <c r="Z3" s="56" t="s">
        <v>1</v>
      </c>
      <c r="AA3" s="55" t="s">
        <v>701</v>
      </c>
    </row>
    <row r="4" spans="1:27" customFormat="1" ht="6.65" customHeight="1" x14ac:dyDescent="0.4">
      <c r="A4" s="52">
        <v>4</v>
      </c>
      <c r="B4" s="58" t="s">
        <v>693</v>
      </c>
      <c r="C4" s="59" t="s">
        <v>678</v>
      </c>
      <c r="D4" s="58" t="s">
        <v>545</v>
      </c>
      <c r="E4" s="58" t="s">
        <v>694</v>
      </c>
      <c r="F4" s="59" t="s">
        <v>682</v>
      </c>
      <c r="G4" s="53" t="s">
        <v>1</v>
      </c>
      <c r="H4" s="53" t="s">
        <v>1</v>
      </c>
      <c r="I4" s="53" t="s">
        <v>1</v>
      </c>
      <c r="J4" s="53" t="s">
        <v>1</v>
      </c>
      <c r="K4" s="53" t="s">
        <v>1</v>
      </c>
      <c r="L4" s="54" t="s">
        <v>678</v>
      </c>
      <c r="M4" s="54" t="s">
        <v>545</v>
      </c>
      <c r="N4" s="54" t="s">
        <v>694</v>
      </c>
      <c r="O4" s="54" t="s">
        <v>702</v>
      </c>
      <c r="P4" s="55" t="s">
        <v>683</v>
      </c>
      <c r="Q4" s="55" t="s">
        <v>547</v>
      </c>
      <c r="R4" s="55" t="s">
        <v>1</v>
      </c>
      <c r="S4" s="57" t="s">
        <v>678</v>
      </c>
      <c r="T4" s="57" t="s">
        <v>545</v>
      </c>
      <c r="U4" s="57" t="s">
        <v>694</v>
      </c>
      <c r="V4" s="55" t="s">
        <v>695</v>
      </c>
      <c r="W4" s="67" t="s">
        <v>703</v>
      </c>
      <c r="X4" s="55" t="s">
        <v>1</v>
      </c>
      <c r="Y4" s="55" t="s">
        <v>1</v>
      </c>
      <c r="Z4" s="56" t="s">
        <v>1</v>
      </c>
      <c r="AA4" s="55" t="s">
        <v>704</v>
      </c>
    </row>
    <row r="5" spans="1:27" customFormat="1" ht="6.65" customHeight="1" x14ac:dyDescent="0.4">
      <c r="A5" s="52">
        <v>5</v>
      </c>
      <c r="B5" s="58" t="s">
        <v>693</v>
      </c>
      <c r="C5" s="59" t="s">
        <v>678</v>
      </c>
      <c r="D5" s="58" t="s">
        <v>545</v>
      </c>
      <c r="E5" s="58" t="s">
        <v>694</v>
      </c>
      <c r="F5" s="59" t="s">
        <v>684</v>
      </c>
      <c r="G5" s="53" t="s">
        <v>1</v>
      </c>
      <c r="H5" s="53" t="s">
        <v>1</v>
      </c>
      <c r="I5" s="53" t="s">
        <v>1</v>
      </c>
      <c r="J5" s="53" t="s">
        <v>1</v>
      </c>
      <c r="K5" s="53" t="s">
        <v>1</v>
      </c>
      <c r="L5" s="54" t="s">
        <v>678</v>
      </c>
      <c r="M5" s="54" t="s">
        <v>545</v>
      </c>
      <c r="N5" s="54" t="s">
        <v>694</v>
      </c>
      <c r="O5" s="54" t="s">
        <v>705</v>
      </c>
      <c r="P5" s="55" t="s">
        <v>685</v>
      </c>
      <c r="Q5" s="55" t="s">
        <v>547</v>
      </c>
      <c r="R5" s="55" t="s">
        <v>1</v>
      </c>
      <c r="S5" s="57" t="s">
        <v>678</v>
      </c>
      <c r="T5" s="57" t="s">
        <v>545</v>
      </c>
      <c r="U5" s="57" t="s">
        <v>694</v>
      </c>
      <c r="V5" s="55" t="s">
        <v>695</v>
      </c>
      <c r="W5" s="67" t="s">
        <v>706</v>
      </c>
      <c r="X5" s="55" t="s">
        <v>1</v>
      </c>
      <c r="Y5" s="55" t="s">
        <v>1</v>
      </c>
      <c r="Z5" s="56" t="s">
        <v>1</v>
      </c>
      <c r="AA5" s="55" t="s">
        <v>707</v>
      </c>
    </row>
    <row r="6" spans="1:27" customFormat="1" ht="6.65" customHeight="1" x14ac:dyDescent="0.4">
      <c r="A6" s="52">
        <v>6</v>
      </c>
      <c r="B6" s="58" t="s">
        <v>693</v>
      </c>
      <c r="C6" s="59" t="s">
        <v>678</v>
      </c>
      <c r="D6" s="58" t="s">
        <v>545</v>
      </c>
      <c r="E6" s="58" t="s">
        <v>694</v>
      </c>
      <c r="F6" s="59" t="s">
        <v>686</v>
      </c>
      <c r="G6" s="53" t="s">
        <v>1</v>
      </c>
      <c r="H6" s="53" t="s">
        <v>1</v>
      </c>
      <c r="I6" s="53" t="s">
        <v>1</v>
      </c>
      <c r="J6" s="53" t="s">
        <v>1</v>
      </c>
      <c r="K6" s="53" t="s">
        <v>1</v>
      </c>
      <c r="L6" s="54" t="s">
        <v>678</v>
      </c>
      <c r="M6" s="54" t="s">
        <v>545</v>
      </c>
      <c r="N6" s="54" t="s">
        <v>694</v>
      </c>
      <c r="O6" s="54" t="s">
        <v>708</v>
      </c>
      <c r="P6" s="55" t="s">
        <v>687</v>
      </c>
      <c r="Q6" s="55" t="s">
        <v>547</v>
      </c>
      <c r="R6" s="55" t="s">
        <v>1</v>
      </c>
      <c r="S6" s="57" t="s">
        <v>678</v>
      </c>
      <c r="T6" s="57" t="s">
        <v>545</v>
      </c>
      <c r="U6" s="57" t="s">
        <v>694</v>
      </c>
      <c r="V6" s="55" t="s">
        <v>695</v>
      </c>
      <c r="W6" s="67" t="s">
        <v>709</v>
      </c>
      <c r="X6" s="55" t="s">
        <v>1</v>
      </c>
      <c r="Y6" s="55" t="s">
        <v>1</v>
      </c>
      <c r="Z6" s="56" t="s">
        <v>1</v>
      </c>
      <c r="AA6" s="55" t="s">
        <v>710</v>
      </c>
    </row>
    <row r="7" spans="1:27" ht="7.4" customHeight="1" x14ac:dyDescent="0.35">
      <c r="A7" s="52">
        <v>7</v>
      </c>
      <c r="B7" s="58" t="s">
        <v>693</v>
      </c>
      <c r="C7" s="59" t="s">
        <v>406</v>
      </c>
      <c r="D7" s="60" t="s">
        <v>552</v>
      </c>
      <c r="E7" s="60" t="s">
        <v>14</v>
      </c>
      <c r="F7" s="61" t="s">
        <v>409</v>
      </c>
      <c r="G7" s="53" t="s">
        <v>1</v>
      </c>
      <c r="H7" s="53" t="s">
        <v>1</v>
      </c>
      <c r="I7" s="53" t="s">
        <v>1</v>
      </c>
      <c r="J7" s="53" t="s">
        <v>1</v>
      </c>
      <c r="K7" s="53" t="s">
        <v>1</v>
      </c>
      <c r="L7" s="54" t="str">
        <f t="shared" ref="L7:N17" si="0">CONCATENATE("", C7)</f>
        <v>SUS</v>
      </c>
      <c r="M7" s="54" t="str">
        <f t="shared" si="0"/>
        <v>SUS.Caderno</v>
      </c>
      <c r="N7" s="54" t="str">
        <f t="shared" si="0"/>
        <v>SomaSUS</v>
      </c>
      <c r="O7" s="54" t="str">
        <f t="shared" ref="O7:O27" si="1">F7</f>
        <v>SUS.Volume</v>
      </c>
      <c r="P7" s="54" t="s">
        <v>431</v>
      </c>
      <c r="Q7" s="54" t="s">
        <v>434</v>
      </c>
      <c r="R7" s="55" t="s">
        <v>1</v>
      </c>
      <c r="S7" s="54" t="str">
        <f t="shared" ref="S7:U26" si="2">SUBSTITUTE(D7, "_", " ")</f>
        <v>SUS.Caderno</v>
      </c>
      <c r="T7" s="54" t="str">
        <f t="shared" si="2"/>
        <v>SomaSUS</v>
      </c>
      <c r="U7" s="54" t="str">
        <f t="shared" si="2"/>
        <v>SUS.Volume</v>
      </c>
      <c r="V7" s="55" t="s">
        <v>679</v>
      </c>
      <c r="W7" s="67" t="str">
        <f t="shared" ref="W7:W27" si="3">CONCATENATE("Key-SUS-",A7)</f>
        <v>Key-SUS-7</v>
      </c>
      <c r="X7" s="55" t="s">
        <v>688</v>
      </c>
      <c r="Y7" s="55" t="s">
        <v>1</v>
      </c>
      <c r="Z7" s="56" t="s">
        <v>664</v>
      </c>
      <c r="AA7" s="55" t="str">
        <f t="shared" ref="AA7:AA27" si="4">_xlfn.TRANSLATE(P7,"pt","en")</f>
        <v>Volumes of the SomaSUS Notebook. Unified Health System of Brazil.</v>
      </c>
    </row>
    <row r="8" spans="1:27" ht="7.4" customHeight="1" x14ac:dyDescent="0.35">
      <c r="A8" s="52">
        <v>8</v>
      </c>
      <c r="B8" s="58" t="s">
        <v>693</v>
      </c>
      <c r="C8" s="59" t="s">
        <v>406</v>
      </c>
      <c r="D8" s="62" t="s">
        <v>551</v>
      </c>
      <c r="E8" s="62" t="s">
        <v>553</v>
      </c>
      <c r="F8" s="63" t="s">
        <v>399</v>
      </c>
      <c r="G8" s="53" t="s">
        <v>1</v>
      </c>
      <c r="H8" s="53" t="s">
        <v>1</v>
      </c>
      <c r="I8" s="53" t="s">
        <v>1</v>
      </c>
      <c r="J8" s="53" t="s">
        <v>1</v>
      </c>
      <c r="K8" s="53" t="s">
        <v>1</v>
      </c>
      <c r="L8" s="54" t="str">
        <f t="shared" si="0"/>
        <v>SUS</v>
      </c>
      <c r="M8" s="54" t="str">
        <f t="shared" si="0"/>
        <v>SUS.Ocupação</v>
      </c>
      <c r="N8" s="54" t="str">
        <f t="shared" si="0"/>
        <v>SUS.Ambientes</v>
      </c>
      <c r="O8" s="54" t="str">
        <f t="shared" si="1"/>
        <v>SUS.Area</v>
      </c>
      <c r="P8" s="54" t="s">
        <v>423</v>
      </c>
      <c r="Q8" s="54" t="s">
        <v>435</v>
      </c>
      <c r="R8" s="55" t="s">
        <v>1</v>
      </c>
      <c r="S8" s="54" t="str">
        <f t="shared" si="2"/>
        <v>SUS.Ocupação</v>
      </c>
      <c r="T8" s="54" t="str">
        <f t="shared" si="2"/>
        <v>SUS.Ambientes</v>
      </c>
      <c r="U8" s="54" t="str">
        <f t="shared" si="2"/>
        <v>SUS.Area</v>
      </c>
      <c r="V8" s="55" t="s">
        <v>679</v>
      </c>
      <c r="W8" s="67" t="str">
        <f t="shared" si="3"/>
        <v>Key-SUS-8</v>
      </c>
      <c r="X8" s="55" t="s">
        <v>665</v>
      </c>
      <c r="Y8" s="55" t="s">
        <v>666</v>
      </c>
      <c r="Z8" s="56" t="s">
        <v>667</v>
      </c>
      <c r="AA8" s="55" t="str">
        <f t="shared" si="4"/>
        <v>It refers to an environment that is not totally cloistered.</v>
      </c>
    </row>
    <row r="9" spans="1:27" ht="7.4" customHeight="1" x14ac:dyDescent="0.35">
      <c r="A9" s="52">
        <v>9</v>
      </c>
      <c r="B9" s="58" t="s">
        <v>693</v>
      </c>
      <c r="C9" s="59" t="s">
        <v>406</v>
      </c>
      <c r="D9" s="62" t="s">
        <v>551</v>
      </c>
      <c r="E9" s="62" t="s">
        <v>553</v>
      </c>
      <c r="F9" s="63" t="s">
        <v>415</v>
      </c>
      <c r="G9" s="53" t="s">
        <v>1</v>
      </c>
      <c r="H9" s="53" t="s">
        <v>1</v>
      </c>
      <c r="I9" s="53" t="s">
        <v>1</v>
      </c>
      <c r="J9" s="53" t="s">
        <v>1</v>
      </c>
      <c r="K9" s="53" t="s">
        <v>1</v>
      </c>
      <c r="L9" s="54" t="str">
        <f t="shared" si="0"/>
        <v>SUS</v>
      </c>
      <c r="M9" s="54" t="str">
        <f t="shared" si="0"/>
        <v>SUS.Ocupação</v>
      </c>
      <c r="N9" s="54" t="str">
        <f t="shared" si="0"/>
        <v>SUS.Ambientes</v>
      </c>
      <c r="O9" s="54" t="str">
        <f t="shared" si="1"/>
        <v>SUS.Box</v>
      </c>
      <c r="P9" s="54" t="s">
        <v>424</v>
      </c>
      <c r="Q9" s="54" t="s">
        <v>436</v>
      </c>
      <c r="R9" s="55" t="s">
        <v>1</v>
      </c>
      <c r="S9" s="54" t="str">
        <f t="shared" si="2"/>
        <v>SUS.Ocupação</v>
      </c>
      <c r="T9" s="54" t="str">
        <f t="shared" si="2"/>
        <v>SUS.Ambientes</v>
      </c>
      <c r="U9" s="54" t="str">
        <f t="shared" si="2"/>
        <v>SUS.Box</v>
      </c>
      <c r="V9" s="55" t="s">
        <v>679</v>
      </c>
      <c r="W9" s="67" t="str">
        <f t="shared" si="3"/>
        <v>Key-SUS-9</v>
      </c>
      <c r="X9" s="55" t="s">
        <v>668</v>
      </c>
      <c r="Y9" s="55" t="s">
        <v>666</v>
      </c>
      <c r="Z9" s="56" t="s">
        <v>667</v>
      </c>
      <c r="AA9" s="55" t="str">
        <f t="shared" si="4"/>
        <v>It refers to a closed and small environment, usually to serve patients.</v>
      </c>
    </row>
    <row r="10" spans="1:27" ht="7.4" customHeight="1" x14ac:dyDescent="0.35">
      <c r="A10" s="52">
        <v>10</v>
      </c>
      <c r="B10" s="58" t="s">
        <v>693</v>
      </c>
      <c r="C10" s="59" t="s">
        <v>406</v>
      </c>
      <c r="D10" s="62" t="s">
        <v>551</v>
      </c>
      <c r="E10" s="62" t="s">
        <v>553</v>
      </c>
      <c r="F10" s="63" t="s">
        <v>417</v>
      </c>
      <c r="G10" s="53" t="s">
        <v>1</v>
      </c>
      <c r="H10" s="53" t="s">
        <v>1</v>
      </c>
      <c r="I10" s="53" t="s">
        <v>1</v>
      </c>
      <c r="J10" s="53" t="s">
        <v>1</v>
      </c>
      <c r="K10" s="53" t="s">
        <v>1</v>
      </c>
      <c r="L10" s="54" t="str">
        <f t="shared" si="0"/>
        <v>SUS</v>
      </c>
      <c r="M10" s="54" t="str">
        <f t="shared" si="0"/>
        <v>SUS.Ocupação</v>
      </c>
      <c r="N10" s="54" t="str">
        <f t="shared" si="0"/>
        <v>SUS.Ambientes</v>
      </c>
      <c r="O10" s="54" t="str">
        <f t="shared" si="1"/>
        <v>SUS.Consultório</v>
      </c>
      <c r="P10" s="54" t="s">
        <v>425</v>
      </c>
      <c r="Q10" s="54" t="s">
        <v>437</v>
      </c>
      <c r="R10" s="55" t="s">
        <v>1</v>
      </c>
      <c r="S10" s="54" t="str">
        <f t="shared" si="2"/>
        <v>SUS.Ocupação</v>
      </c>
      <c r="T10" s="54" t="str">
        <f t="shared" si="2"/>
        <v>SUS.Ambientes</v>
      </c>
      <c r="U10" s="54" t="str">
        <f t="shared" si="2"/>
        <v>SUS.Consultório</v>
      </c>
      <c r="V10" s="55" t="s">
        <v>679</v>
      </c>
      <c r="W10" s="67" t="str">
        <f t="shared" si="3"/>
        <v>Key-SUS-10</v>
      </c>
      <c r="X10" s="55" t="s">
        <v>668</v>
      </c>
      <c r="Y10" s="55" t="s">
        <v>666</v>
      </c>
      <c r="Z10" s="56" t="s">
        <v>667</v>
      </c>
      <c r="AA10" s="55" t="str">
        <f t="shared" si="4"/>
        <v>It refers to a doctor's office-type environment.</v>
      </c>
    </row>
    <row r="11" spans="1:27" ht="7.4" customHeight="1" x14ac:dyDescent="0.35">
      <c r="A11" s="52">
        <v>11</v>
      </c>
      <c r="B11" s="58" t="s">
        <v>693</v>
      </c>
      <c r="C11" s="59" t="s">
        <v>406</v>
      </c>
      <c r="D11" s="62" t="s">
        <v>551</v>
      </c>
      <c r="E11" s="62" t="s">
        <v>553</v>
      </c>
      <c r="F11" s="63" t="s">
        <v>420</v>
      </c>
      <c r="G11" s="53" t="s">
        <v>1</v>
      </c>
      <c r="H11" s="53" t="s">
        <v>1</v>
      </c>
      <c r="I11" s="53" t="s">
        <v>1</v>
      </c>
      <c r="J11" s="53" t="s">
        <v>1</v>
      </c>
      <c r="K11" s="53" t="s">
        <v>1</v>
      </c>
      <c r="L11" s="54" t="str">
        <f t="shared" si="0"/>
        <v>SUS</v>
      </c>
      <c r="M11" s="54" t="str">
        <f t="shared" si="0"/>
        <v>SUS.Ocupação</v>
      </c>
      <c r="N11" s="54" t="str">
        <f t="shared" si="0"/>
        <v>SUS.Ambientes</v>
      </c>
      <c r="O11" s="54" t="str">
        <f t="shared" si="1"/>
        <v>SUS.Enfermaria</v>
      </c>
      <c r="P11" s="54" t="s">
        <v>426</v>
      </c>
      <c r="Q11" s="54" t="s">
        <v>601</v>
      </c>
      <c r="R11" s="55" t="s">
        <v>1</v>
      </c>
      <c r="S11" s="54" t="str">
        <f t="shared" si="2"/>
        <v>SUS.Ocupação</v>
      </c>
      <c r="T11" s="54" t="str">
        <f t="shared" si="2"/>
        <v>SUS.Ambientes</v>
      </c>
      <c r="U11" s="54" t="str">
        <f t="shared" si="2"/>
        <v>SUS.Enfermaria</v>
      </c>
      <c r="V11" s="55" t="s">
        <v>679</v>
      </c>
      <c r="W11" s="67" t="str">
        <f t="shared" si="3"/>
        <v>Key-SUS-11</v>
      </c>
      <c r="X11" s="55" t="s">
        <v>668</v>
      </c>
      <c r="Y11" s="55" t="s">
        <v>666</v>
      </c>
      <c r="Z11" s="56" t="s">
        <v>667</v>
      </c>
      <c r="AA11" s="55" t="str">
        <f t="shared" si="4"/>
        <v>It refers to an environment equipped to fulfill ward functions.</v>
      </c>
    </row>
    <row r="12" spans="1:27" ht="7.4" customHeight="1" x14ac:dyDescent="0.35">
      <c r="A12" s="52">
        <v>12</v>
      </c>
      <c r="B12" s="58" t="s">
        <v>693</v>
      </c>
      <c r="C12" s="59" t="s">
        <v>406</v>
      </c>
      <c r="D12" s="62" t="s">
        <v>551</v>
      </c>
      <c r="E12" s="62" t="s">
        <v>553</v>
      </c>
      <c r="F12" s="63" t="s">
        <v>418</v>
      </c>
      <c r="G12" s="53" t="s">
        <v>1</v>
      </c>
      <c r="H12" s="53" t="s">
        <v>1</v>
      </c>
      <c r="I12" s="53" t="s">
        <v>1</v>
      </c>
      <c r="J12" s="53" t="s">
        <v>1</v>
      </c>
      <c r="K12" s="53" t="s">
        <v>1</v>
      </c>
      <c r="L12" s="54" t="str">
        <f t="shared" si="0"/>
        <v>SUS</v>
      </c>
      <c r="M12" s="54" t="str">
        <f t="shared" si="0"/>
        <v>SUS.Ocupação</v>
      </c>
      <c r="N12" s="54" t="str">
        <f t="shared" si="0"/>
        <v>SUS.Ambientes</v>
      </c>
      <c r="O12" s="54" t="str">
        <f t="shared" si="1"/>
        <v>SUS.Laboratório</v>
      </c>
      <c r="P12" s="54" t="s">
        <v>427</v>
      </c>
      <c r="Q12" s="54" t="s">
        <v>438</v>
      </c>
      <c r="R12" s="55" t="s">
        <v>1</v>
      </c>
      <c r="S12" s="54" t="str">
        <f t="shared" si="2"/>
        <v>SUS.Ocupação</v>
      </c>
      <c r="T12" s="54" t="str">
        <f t="shared" si="2"/>
        <v>SUS.Ambientes</v>
      </c>
      <c r="U12" s="54" t="str">
        <f t="shared" si="2"/>
        <v>SUS.Laboratório</v>
      </c>
      <c r="V12" s="55" t="s">
        <v>679</v>
      </c>
      <c r="W12" s="67" t="str">
        <f t="shared" si="3"/>
        <v>Key-SUS-12</v>
      </c>
      <c r="X12" s="55" t="s">
        <v>665</v>
      </c>
      <c r="Y12" s="55" t="s">
        <v>666</v>
      </c>
      <c r="Z12" s="56" t="s">
        <v>667</v>
      </c>
      <c r="AA12" s="55" t="str">
        <f t="shared" si="4"/>
        <v>It refers to an environment equipped to perform laboratory functions.</v>
      </c>
    </row>
    <row r="13" spans="1:27" ht="7.4" customHeight="1" x14ac:dyDescent="0.35">
      <c r="A13" s="52">
        <v>13</v>
      </c>
      <c r="B13" s="58" t="s">
        <v>693</v>
      </c>
      <c r="C13" s="59" t="s">
        <v>406</v>
      </c>
      <c r="D13" s="62" t="s">
        <v>551</v>
      </c>
      <c r="E13" s="62" t="s">
        <v>553</v>
      </c>
      <c r="F13" s="63" t="s">
        <v>422</v>
      </c>
      <c r="G13" s="53" t="s">
        <v>1</v>
      </c>
      <c r="H13" s="53" t="s">
        <v>1</v>
      </c>
      <c r="I13" s="53" t="s">
        <v>1</v>
      </c>
      <c r="J13" s="53" t="s">
        <v>1</v>
      </c>
      <c r="K13" s="53" t="s">
        <v>1</v>
      </c>
      <c r="L13" s="54" t="str">
        <f t="shared" si="0"/>
        <v>SUS</v>
      </c>
      <c r="M13" s="54" t="str">
        <f t="shared" si="0"/>
        <v>SUS.Ocupação</v>
      </c>
      <c r="N13" s="54" t="str">
        <f t="shared" si="0"/>
        <v>SUS.Ambientes</v>
      </c>
      <c r="O13" s="54" t="str">
        <f t="shared" si="1"/>
        <v>SUS.Piscina</v>
      </c>
      <c r="P13" s="54" t="s">
        <v>428</v>
      </c>
      <c r="Q13" s="54" t="s">
        <v>439</v>
      </c>
      <c r="R13" s="55" t="s">
        <v>1</v>
      </c>
      <c r="S13" s="54" t="str">
        <f t="shared" si="2"/>
        <v>SUS.Ocupação</v>
      </c>
      <c r="T13" s="54" t="str">
        <f t="shared" si="2"/>
        <v>SUS.Ambientes</v>
      </c>
      <c r="U13" s="54" t="str">
        <f t="shared" si="2"/>
        <v>SUS.Piscina</v>
      </c>
      <c r="V13" s="55" t="s">
        <v>679</v>
      </c>
      <c r="W13" s="67" t="str">
        <f t="shared" si="3"/>
        <v>Key-SUS-13</v>
      </c>
      <c r="X13" s="55" t="s">
        <v>668</v>
      </c>
      <c r="Y13" s="55" t="s">
        <v>666</v>
      </c>
      <c r="Z13" s="56" t="s">
        <v>667</v>
      </c>
      <c r="AA13" s="55" t="str">
        <f t="shared" si="4"/>
        <v>It refers to a closed or open environment for medical treatment pools.</v>
      </c>
    </row>
    <row r="14" spans="1:27" ht="7.4" customHeight="1" x14ac:dyDescent="0.35">
      <c r="A14" s="52">
        <v>14</v>
      </c>
      <c r="B14" s="58" t="s">
        <v>693</v>
      </c>
      <c r="C14" s="59" t="s">
        <v>406</v>
      </c>
      <c r="D14" s="62" t="s">
        <v>551</v>
      </c>
      <c r="E14" s="62" t="s">
        <v>553</v>
      </c>
      <c r="F14" s="63" t="s">
        <v>416</v>
      </c>
      <c r="G14" s="53" t="s">
        <v>1</v>
      </c>
      <c r="H14" s="53" t="s">
        <v>1</v>
      </c>
      <c r="I14" s="53" t="s">
        <v>1</v>
      </c>
      <c r="J14" s="53" t="s">
        <v>1</v>
      </c>
      <c r="K14" s="53" t="s">
        <v>1</v>
      </c>
      <c r="L14" s="54" t="str">
        <f t="shared" si="0"/>
        <v>SUS</v>
      </c>
      <c r="M14" s="54" t="str">
        <f t="shared" si="0"/>
        <v>SUS.Ocupação</v>
      </c>
      <c r="N14" s="54" t="str">
        <f t="shared" si="0"/>
        <v>SUS.Ambientes</v>
      </c>
      <c r="O14" s="54" t="str">
        <f t="shared" si="1"/>
        <v>SUS.Posto</v>
      </c>
      <c r="P14" s="54" t="s">
        <v>603</v>
      </c>
      <c r="Q14" s="54" t="s">
        <v>602</v>
      </c>
      <c r="R14" s="55" t="s">
        <v>1</v>
      </c>
      <c r="S14" s="54" t="str">
        <f t="shared" si="2"/>
        <v>SUS.Ocupação</v>
      </c>
      <c r="T14" s="54" t="str">
        <f t="shared" si="2"/>
        <v>SUS.Ambientes</v>
      </c>
      <c r="U14" s="54" t="str">
        <f t="shared" si="2"/>
        <v>SUS.Posto</v>
      </c>
      <c r="V14" s="55" t="s">
        <v>679</v>
      </c>
      <c r="W14" s="67" t="str">
        <f t="shared" si="3"/>
        <v>Key-SUS-14</v>
      </c>
      <c r="X14" s="55" t="s">
        <v>668</v>
      </c>
      <c r="Y14" s="55" t="s">
        <v>666</v>
      </c>
      <c r="Z14" s="56" t="s">
        <v>667</v>
      </c>
      <c r="AA14" s="55" t="str">
        <f t="shared" si="4"/>
        <v>It refers to a nursing station associated with an infirmary.</v>
      </c>
    </row>
    <row r="15" spans="1:27" ht="7.4" customHeight="1" x14ac:dyDescent="0.35">
      <c r="A15" s="52">
        <v>15</v>
      </c>
      <c r="B15" s="58" t="s">
        <v>693</v>
      </c>
      <c r="C15" s="59" t="s">
        <v>406</v>
      </c>
      <c r="D15" s="62" t="s">
        <v>551</v>
      </c>
      <c r="E15" s="62" t="s">
        <v>553</v>
      </c>
      <c r="F15" s="63" t="s">
        <v>419</v>
      </c>
      <c r="G15" s="53" t="s">
        <v>1</v>
      </c>
      <c r="H15" s="53" t="s">
        <v>1</v>
      </c>
      <c r="I15" s="53" t="s">
        <v>1</v>
      </c>
      <c r="J15" s="53" t="s">
        <v>1</v>
      </c>
      <c r="K15" s="53" t="s">
        <v>1</v>
      </c>
      <c r="L15" s="54" t="str">
        <f t="shared" si="0"/>
        <v>SUS</v>
      </c>
      <c r="M15" s="54" t="str">
        <f t="shared" si="0"/>
        <v>SUS.Ocupação</v>
      </c>
      <c r="N15" s="54" t="str">
        <f t="shared" si="0"/>
        <v>SUS.Ambientes</v>
      </c>
      <c r="O15" s="54" t="str">
        <f t="shared" si="1"/>
        <v>SUS.Quarto</v>
      </c>
      <c r="P15" s="54" t="s">
        <v>429</v>
      </c>
      <c r="Q15" s="54" t="s">
        <v>440</v>
      </c>
      <c r="R15" s="55" t="s">
        <v>1</v>
      </c>
      <c r="S15" s="54" t="str">
        <f t="shared" si="2"/>
        <v>SUS.Ocupação</v>
      </c>
      <c r="T15" s="54" t="str">
        <f t="shared" si="2"/>
        <v>SUS.Ambientes</v>
      </c>
      <c r="U15" s="54" t="str">
        <f t="shared" si="2"/>
        <v>SUS.Quarto</v>
      </c>
      <c r="V15" s="55" t="s">
        <v>679</v>
      </c>
      <c r="W15" s="67" t="str">
        <f t="shared" si="3"/>
        <v>Key-SUS-15</v>
      </c>
      <c r="X15" s="55" t="s">
        <v>668</v>
      </c>
      <c r="Y15" s="55" t="s">
        <v>666</v>
      </c>
      <c r="Z15" s="56" t="s">
        <v>667</v>
      </c>
      <c r="AA15" s="55" t="str">
        <f t="shared" si="4"/>
        <v>It refers to a hospitalization room.</v>
      </c>
    </row>
    <row r="16" spans="1:27" ht="7.4" customHeight="1" x14ac:dyDescent="0.35">
      <c r="A16" s="52">
        <v>16</v>
      </c>
      <c r="B16" s="58" t="s">
        <v>693</v>
      </c>
      <c r="C16" s="59" t="s">
        <v>406</v>
      </c>
      <c r="D16" s="62" t="s">
        <v>551</v>
      </c>
      <c r="E16" s="62" t="s">
        <v>553</v>
      </c>
      <c r="F16" s="64" t="s">
        <v>421</v>
      </c>
      <c r="G16" s="53" t="s">
        <v>1</v>
      </c>
      <c r="H16" s="53" t="s">
        <v>1</v>
      </c>
      <c r="I16" s="53" t="s">
        <v>1</v>
      </c>
      <c r="J16" s="53" t="s">
        <v>1</v>
      </c>
      <c r="K16" s="53" t="s">
        <v>1</v>
      </c>
      <c r="L16" s="54" t="str">
        <f t="shared" si="0"/>
        <v>SUS</v>
      </c>
      <c r="M16" s="54" t="str">
        <f t="shared" si="0"/>
        <v>SUS.Ocupação</v>
      </c>
      <c r="N16" s="54" t="str">
        <f t="shared" si="0"/>
        <v>SUS.Ambientes</v>
      </c>
      <c r="O16" s="54" t="str">
        <f t="shared" si="1"/>
        <v>SUS.Sala</v>
      </c>
      <c r="P16" s="54" t="s">
        <v>430</v>
      </c>
      <c r="Q16" s="54" t="s">
        <v>441</v>
      </c>
      <c r="R16" s="55" t="s">
        <v>1</v>
      </c>
      <c r="S16" s="54" t="str">
        <f t="shared" si="2"/>
        <v>SUS.Ocupação</v>
      </c>
      <c r="T16" s="54" t="str">
        <f t="shared" si="2"/>
        <v>SUS.Ambientes</v>
      </c>
      <c r="U16" s="54" t="str">
        <f t="shared" si="2"/>
        <v>SUS.Sala</v>
      </c>
      <c r="V16" s="55" t="s">
        <v>679</v>
      </c>
      <c r="W16" s="67" t="str">
        <f t="shared" si="3"/>
        <v>Key-SUS-16</v>
      </c>
      <c r="X16" s="55" t="s">
        <v>668</v>
      </c>
      <c r="Y16" s="55" t="s">
        <v>666</v>
      </c>
      <c r="Z16" s="56" t="s">
        <v>667</v>
      </c>
      <c r="AA16" s="55" t="str">
        <f t="shared" si="4"/>
        <v>It refers to a room to function as administrative or technical service.</v>
      </c>
    </row>
    <row r="17" spans="1:27" ht="7.4" customHeight="1" x14ac:dyDescent="0.35">
      <c r="A17" s="52">
        <v>17</v>
      </c>
      <c r="B17" s="58" t="s">
        <v>693</v>
      </c>
      <c r="C17" s="59" t="s">
        <v>406</v>
      </c>
      <c r="D17" s="62" t="s">
        <v>551</v>
      </c>
      <c r="E17" s="62" t="s">
        <v>554</v>
      </c>
      <c r="F17" s="65" t="s">
        <v>402</v>
      </c>
      <c r="G17" s="53" t="s">
        <v>1</v>
      </c>
      <c r="H17" s="53" t="s">
        <v>1</v>
      </c>
      <c r="I17" s="53" t="s">
        <v>1</v>
      </c>
      <c r="J17" s="53" t="s">
        <v>1</v>
      </c>
      <c r="K17" s="53" t="s">
        <v>1</v>
      </c>
      <c r="L17" s="54" t="str">
        <f t="shared" si="0"/>
        <v>SUS</v>
      </c>
      <c r="M17" s="54" t="str">
        <f t="shared" si="0"/>
        <v>SUS.Ocupação</v>
      </c>
      <c r="N17" s="54" t="str">
        <f t="shared" si="0"/>
        <v>SUS.Funcional</v>
      </c>
      <c r="O17" s="54" t="str">
        <f t="shared" si="1"/>
        <v>SUS.Zoneamento</v>
      </c>
      <c r="P17" s="54" t="s">
        <v>604</v>
      </c>
      <c r="Q17" s="54" t="s">
        <v>609</v>
      </c>
      <c r="R17" s="55" t="s">
        <v>1</v>
      </c>
      <c r="S17" s="54" t="str">
        <f t="shared" si="2"/>
        <v>SUS.Ocupação</v>
      </c>
      <c r="T17" s="54" t="str">
        <f t="shared" si="2"/>
        <v>SUS.Funcional</v>
      </c>
      <c r="U17" s="54" t="str">
        <f t="shared" si="2"/>
        <v>SUS.Zoneamento</v>
      </c>
      <c r="V17" s="55" t="s">
        <v>679</v>
      </c>
      <c r="W17" s="67" t="str">
        <f t="shared" si="3"/>
        <v>Key-SUS-17</v>
      </c>
      <c r="X17" s="55" t="s">
        <v>669</v>
      </c>
      <c r="Y17" s="55" t="s">
        <v>670</v>
      </c>
      <c r="Z17" s="56" t="s">
        <v>667</v>
      </c>
      <c r="AA17" s="55" t="str">
        <f t="shared" si="4"/>
        <v>It refers to a defined zoning.</v>
      </c>
    </row>
    <row r="18" spans="1:27" ht="7.4" customHeight="1" x14ac:dyDescent="0.35">
      <c r="A18" s="52">
        <v>18</v>
      </c>
      <c r="B18" s="58" t="s">
        <v>693</v>
      </c>
      <c r="C18" s="59" t="s">
        <v>406</v>
      </c>
      <c r="D18" s="62" t="s">
        <v>551</v>
      </c>
      <c r="E18" s="62" t="s">
        <v>554</v>
      </c>
      <c r="F18" s="65" t="s">
        <v>400</v>
      </c>
      <c r="G18" s="53" t="s">
        <v>1</v>
      </c>
      <c r="H18" s="53" t="s">
        <v>1</v>
      </c>
      <c r="I18" s="53" t="s">
        <v>1</v>
      </c>
      <c r="J18" s="53" t="s">
        <v>1</v>
      </c>
      <c r="K18" s="53" t="s">
        <v>1</v>
      </c>
      <c r="L18" s="54" t="str">
        <f t="shared" ref="L18:N27" si="5">CONCATENATE("", C18)</f>
        <v>SUS</v>
      </c>
      <c r="M18" s="54" t="str">
        <f t="shared" si="5"/>
        <v>SUS.Ocupação</v>
      </c>
      <c r="N18" s="54" t="str">
        <f t="shared" si="5"/>
        <v>SUS.Funcional</v>
      </c>
      <c r="O18" s="54" t="str">
        <f t="shared" si="1"/>
        <v>SUS.Unidade.Funcional</v>
      </c>
      <c r="P18" s="54" t="s">
        <v>605</v>
      </c>
      <c r="Q18" s="54" t="s">
        <v>607</v>
      </c>
      <c r="R18" s="55" t="s">
        <v>1</v>
      </c>
      <c r="S18" s="54" t="str">
        <f t="shared" si="2"/>
        <v>SUS.Ocupação</v>
      </c>
      <c r="T18" s="54" t="str">
        <f t="shared" si="2"/>
        <v>SUS.Funcional</v>
      </c>
      <c r="U18" s="54" t="str">
        <f t="shared" si="2"/>
        <v>SUS.Unidade.Funcional</v>
      </c>
      <c r="V18" s="55" t="s">
        <v>679</v>
      </c>
      <c r="W18" s="67" t="str">
        <f t="shared" si="3"/>
        <v>Key-SUS-18</v>
      </c>
      <c r="X18" s="55" t="s">
        <v>669</v>
      </c>
      <c r="Y18" s="55" t="s">
        <v>670</v>
      </c>
      <c r="Z18" s="56" t="s">
        <v>671</v>
      </c>
      <c r="AA18" s="55" t="str">
        <f t="shared" si="4"/>
        <v>They are the functional units of the Unified Health System of Brazil.</v>
      </c>
    </row>
    <row r="19" spans="1:27" ht="7.4" customHeight="1" x14ac:dyDescent="0.35">
      <c r="A19" s="52">
        <v>19</v>
      </c>
      <c r="B19" s="58" t="s">
        <v>693</v>
      </c>
      <c r="C19" s="59" t="s">
        <v>406</v>
      </c>
      <c r="D19" s="62" t="s">
        <v>551</v>
      </c>
      <c r="E19" s="62" t="s">
        <v>554</v>
      </c>
      <c r="F19" s="65" t="s">
        <v>401</v>
      </c>
      <c r="G19" s="53" t="s">
        <v>1</v>
      </c>
      <c r="H19" s="53" t="s">
        <v>1</v>
      </c>
      <c r="I19" s="53" t="s">
        <v>1</v>
      </c>
      <c r="J19" s="53" t="s">
        <v>1</v>
      </c>
      <c r="K19" s="53" t="s">
        <v>1</v>
      </c>
      <c r="L19" s="54" t="str">
        <f t="shared" si="5"/>
        <v>SUS</v>
      </c>
      <c r="M19" s="54" t="str">
        <f t="shared" si="5"/>
        <v>SUS.Ocupação</v>
      </c>
      <c r="N19" s="54" t="str">
        <f t="shared" si="5"/>
        <v>SUS.Funcional</v>
      </c>
      <c r="O19" s="54" t="str">
        <f t="shared" si="1"/>
        <v>SUS.Setor</v>
      </c>
      <c r="P19" s="54" t="s">
        <v>606</v>
      </c>
      <c r="Q19" s="54" t="s">
        <v>608</v>
      </c>
      <c r="R19" s="55" t="s">
        <v>1</v>
      </c>
      <c r="S19" s="54" t="str">
        <f t="shared" si="2"/>
        <v>SUS.Ocupação</v>
      </c>
      <c r="T19" s="54" t="str">
        <f t="shared" si="2"/>
        <v>SUS.Funcional</v>
      </c>
      <c r="U19" s="54" t="str">
        <f t="shared" si="2"/>
        <v>SUS.Setor</v>
      </c>
      <c r="V19" s="55" t="s">
        <v>679</v>
      </c>
      <c r="W19" s="67" t="str">
        <f t="shared" si="3"/>
        <v>Key-SUS-19</v>
      </c>
      <c r="X19" s="55" t="s">
        <v>669</v>
      </c>
      <c r="Y19" s="55" t="s">
        <v>670</v>
      </c>
      <c r="Z19" s="56" t="s">
        <v>671</v>
      </c>
      <c r="AA19" s="55" t="str">
        <f t="shared" si="4"/>
        <v>They are the Sectors of the Unified Health System of Brazil.</v>
      </c>
    </row>
    <row r="20" spans="1:27" ht="7.4" customHeight="1" x14ac:dyDescent="0.35">
      <c r="A20" s="52">
        <v>20</v>
      </c>
      <c r="B20" s="58" t="s">
        <v>693</v>
      </c>
      <c r="C20" s="59" t="s">
        <v>406</v>
      </c>
      <c r="D20" s="62" t="s">
        <v>600</v>
      </c>
      <c r="E20" s="62" t="s">
        <v>555</v>
      </c>
      <c r="F20" s="65" t="s">
        <v>618</v>
      </c>
      <c r="G20" s="53" t="s">
        <v>1</v>
      </c>
      <c r="H20" s="53" t="s">
        <v>1</v>
      </c>
      <c r="I20" s="53" t="s">
        <v>1</v>
      </c>
      <c r="J20" s="53" t="s">
        <v>1</v>
      </c>
      <c r="K20" s="53" t="s">
        <v>1</v>
      </c>
      <c r="L20" s="54" t="str">
        <f t="shared" si="5"/>
        <v>SUS</v>
      </c>
      <c r="M20" s="54" t="str">
        <f t="shared" si="5"/>
        <v>SUS.Assistência.Médica</v>
      </c>
      <c r="N20" s="54" t="str">
        <f t="shared" si="5"/>
        <v>SUS.Equipamentos</v>
      </c>
      <c r="O20" s="54" t="str">
        <f t="shared" si="1"/>
        <v>SUS.Robot</v>
      </c>
      <c r="P20" s="54" t="s">
        <v>619</v>
      </c>
      <c r="Q20" s="54" t="s">
        <v>620</v>
      </c>
      <c r="R20" s="55" t="s">
        <v>1</v>
      </c>
      <c r="S20" s="54" t="str">
        <f t="shared" si="2"/>
        <v>SUS.Assistência.Médica</v>
      </c>
      <c r="T20" s="54" t="str">
        <f t="shared" si="2"/>
        <v>SUS.Equipamentos</v>
      </c>
      <c r="U20" s="54" t="str">
        <f t="shared" si="2"/>
        <v>SUS.Robot</v>
      </c>
      <c r="V20" s="55" t="s">
        <v>679</v>
      </c>
      <c r="W20" s="67" t="str">
        <f t="shared" si="3"/>
        <v>Key-SUS-20</v>
      </c>
      <c r="X20" s="55" t="s">
        <v>672</v>
      </c>
      <c r="Y20" s="55" t="s">
        <v>673</v>
      </c>
      <c r="Z20" s="56" t="s">
        <v>674</v>
      </c>
      <c r="AA20" s="55" t="str">
        <f t="shared" si="4"/>
        <v>Robotic medical equipment used in hospitals of the Unified Health System of Brazil.</v>
      </c>
    </row>
    <row r="21" spans="1:27" ht="7.4" customHeight="1" x14ac:dyDescent="0.35">
      <c r="A21" s="52">
        <v>21</v>
      </c>
      <c r="B21" s="58" t="s">
        <v>693</v>
      </c>
      <c r="C21" s="59" t="s">
        <v>406</v>
      </c>
      <c r="D21" s="62" t="s">
        <v>600</v>
      </c>
      <c r="E21" s="62" t="s">
        <v>555</v>
      </c>
      <c r="F21" s="65" t="s">
        <v>403</v>
      </c>
      <c r="G21" s="53" t="s">
        <v>1</v>
      </c>
      <c r="H21" s="53" t="s">
        <v>1</v>
      </c>
      <c r="I21" s="53" t="s">
        <v>1</v>
      </c>
      <c r="J21" s="53" t="s">
        <v>1</v>
      </c>
      <c r="K21" s="53" t="s">
        <v>1</v>
      </c>
      <c r="L21" s="54" t="str">
        <f t="shared" si="5"/>
        <v>SUS</v>
      </c>
      <c r="M21" s="54" t="str">
        <f t="shared" si="5"/>
        <v>SUS.Assistência.Médica</v>
      </c>
      <c r="N21" s="54" t="str">
        <f t="shared" si="5"/>
        <v>SUS.Equipamentos</v>
      </c>
      <c r="O21" s="54" t="str">
        <f t="shared" si="1"/>
        <v>SUS.Equipamento</v>
      </c>
      <c r="P21" s="54" t="s">
        <v>621</v>
      </c>
      <c r="Q21" s="54" t="s">
        <v>622</v>
      </c>
      <c r="R21" s="55" t="s">
        <v>1</v>
      </c>
      <c r="S21" s="54" t="str">
        <f t="shared" si="2"/>
        <v>SUS.Assistência.Médica</v>
      </c>
      <c r="T21" s="54" t="str">
        <f t="shared" si="2"/>
        <v>SUS.Equipamentos</v>
      </c>
      <c r="U21" s="54" t="str">
        <f t="shared" si="2"/>
        <v>SUS.Equipamento</v>
      </c>
      <c r="V21" s="55" t="s">
        <v>679</v>
      </c>
      <c r="W21" s="67" t="str">
        <f t="shared" si="3"/>
        <v>Key-SUS-21</v>
      </c>
      <c r="X21" s="55" t="s">
        <v>672</v>
      </c>
      <c r="Y21" s="55" t="s">
        <v>673</v>
      </c>
      <c r="Z21" s="56" t="s">
        <v>674</v>
      </c>
      <c r="AA21" s="55" t="str">
        <f t="shared" si="4"/>
        <v>Conventional medical equipment used in hospitals of the Brazilian Unified Health System.</v>
      </c>
    </row>
    <row r="22" spans="1:27" ht="7.4" customHeight="1" x14ac:dyDescent="0.35">
      <c r="A22" s="52">
        <v>22</v>
      </c>
      <c r="B22" s="58" t="s">
        <v>693</v>
      </c>
      <c r="C22" s="59" t="s">
        <v>406</v>
      </c>
      <c r="D22" s="62" t="s">
        <v>600</v>
      </c>
      <c r="E22" s="62" t="s">
        <v>555</v>
      </c>
      <c r="F22" s="65" t="s">
        <v>404</v>
      </c>
      <c r="G22" s="53" t="s">
        <v>1</v>
      </c>
      <c r="H22" s="53" t="s">
        <v>1</v>
      </c>
      <c r="I22" s="53" t="s">
        <v>1</v>
      </c>
      <c r="J22" s="53" t="s">
        <v>1</v>
      </c>
      <c r="K22" s="53" t="s">
        <v>1</v>
      </c>
      <c r="L22" s="54" t="str">
        <f t="shared" si="5"/>
        <v>SUS</v>
      </c>
      <c r="M22" s="54" t="str">
        <f t="shared" si="5"/>
        <v>SUS.Assistência.Médica</v>
      </c>
      <c r="N22" s="54" t="str">
        <f t="shared" si="5"/>
        <v>SUS.Equipamentos</v>
      </c>
      <c r="O22" s="54" t="str">
        <f t="shared" si="1"/>
        <v>SUS.Dispositivo</v>
      </c>
      <c r="P22" s="54" t="s">
        <v>432</v>
      </c>
      <c r="Q22" s="54" t="s">
        <v>623</v>
      </c>
      <c r="R22" s="55" t="s">
        <v>1</v>
      </c>
      <c r="S22" s="54" t="str">
        <f t="shared" si="2"/>
        <v>SUS.Assistência.Médica</v>
      </c>
      <c r="T22" s="54" t="str">
        <f t="shared" si="2"/>
        <v>SUS.Equipamentos</v>
      </c>
      <c r="U22" s="54" t="str">
        <f t="shared" si="2"/>
        <v>SUS.Dispositivo</v>
      </c>
      <c r="V22" s="55" t="s">
        <v>679</v>
      </c>
      <c r="W22" s="67" t="str">
        <f t="shared" si="3"/>
        <v>Key-SUS-22</v>
      </c>
      <c r="X22" s="55" t="s">
        <v>675</v>
      </c>
      <c r="Y22" s="55" t="s">
        <v>673</v>
      </c>
      <c r="Z22" s="56" t="s">
        <v>674</v>
      </c>
      <c r="AA22" s="55" t="str">
        <f t="shared" si="4"/>
        <v>Medical devices used in hospitals of the Brazilian Unified Health System.</v>
      </c>
    </row>
    <row r="23" spans="1:27" ht="7.4" customHeight="1" x14ac:dyDescent="0.35">
      <c r="A23" s="52">
        <v>23</v>
      </c>
      <c r="B23" s="58" t="s">
        <v>693</v>
      </c>
      <c r="C23" s="59" t="s">
        <v>406</v>
      </c>
      <c r="D23" s="62" t="s">
        <v>600</v>
      </c>
      <c r="E23" s="62" t="s">
        <v>555</v>
      </c>
      <c r="F23" s="65" t="s">
        <v>610</v>
      </c>
      <c r="G23" s="53" t="s">
        <v>1</v>
      </c>
      <c r="H23" s="53" t="s">
        <v>1</v>
      </c>
      <c r="I23" s="53" t="s">
        <v>1</v>
      </c>
      <c r="J23" s="53" t="s">
        <v>1</v>
      </c>
      <c r="K23" s="53" t="s">
        <v>1</v>
      </c>
      <c r="L23" s="54" t="str">
        <f t="shared" si="5"/>
        <v>SUS</v>
      </c>
      <c r="M23" s="54" t="str">
        <f t="shared" si="5"/>
        <v>SUS.Assistência.Médica</v>
      </c>
      <c r="N23" s="54" t="str">
        <f t="shared" si="5"/>
        <v>SUS.Equipamentos</v>
      </c>
      <c r="O23" s="54" t="str">
        <f t="shared" si="1"/>
        <v>SUS.Instrumento</v>
      </c>
      <c r="P23" s="54" t="s">
        <v>611</v>
      </c>
      <c r="Q23" s="54" t="s">
        <v>624</v>
      </c>
      <c r="R23" s="55" t="s">
        <v>1</v>
      </c>
      <c r="S23" s="54" t="str">
        <f t="shared" si="2"/>
        <v>SUS.Assistência.Médica</v>
      </c>
      <c r="T23" s="54" t="str">
        <f t="shared" si="2"/>
        <v>SUS.Equipamentos</v>
      </c>
      <c r="U23" s="54" t="str">
        <f t="shared" si="2"/>
        <v>SUS.Instrumento</v>
      </c>
      <c r="V23" s="55" t="s">
        <v>679</v>
      </c>
      <c r="W23" s="67" t="str">
        <f t="shared" si="3"/>
        <v>Key-SUS-23</v>
      </c>
      <c r="X23" s="55" t="s">
        <v>672</v>
      </c>
      <c r="Y23" s="55" t="s">
        <v>673</v>
      </c>
      <c r="Z23" s="56" t="s">
        <v>674</v>
      </c>
      <c r="AA23" s="55" t="str">
        <f t="shared" si="4"/>
        <v>Medical instrument used in hospitals of the Unified Health System of Brazil.</v>
      </c>
    </row>
    <row r="24" spans="1:27" customFormat="1" ht="7.4" customHeight="1" x14ac:dyDescent="0.4">
      <c r="A24" s="52">
        <v>24</v>
      </c>
      <c r="B24" s="58" t="s">
        <v>693</v>
      </c>
      <c r="C24" s="59" t="s">
        <v>406</v>
      </c>
      <c r="D24" s="62" t="s">
        <v>600</v>
      </c>
      <c r="E24" s="62" t="s">
        <v>555</v>
      </c>
      <c r="F24" s="65" t="s">
        <v>612</v>
      </c>
      <c r="G24" s="53" t="s">
        <v>1</v>
      </c>
      <c r="H24" s="53" t="s">
        <v>1</v>
      </c>
      <c r="I24" s="53" t="s">
        <v>1</v>
      </c>
      <c r="J24" s="53" t="s">
        <v>1</v>
      </c>
      <c r="K24" s="53" t="s">
        <v>1</v>
      </c>
      <c r="L24" s="54" t="str">
        <f t="shared" si="5"/>
        <v>SUS</v>
      </c>
      <c r="M24" s="54" t="str">
        <f t="shared" si="5"/>
        <v>SUS.Assistência.Médica</v>
      </c>
      <c r="N24" s="54" t="str">
        <f t="shared" si="5"/>
        <v>SUS.Equipamentos</v>
      </c>
      <c r="O24" s="54" t="str">
        <f t="shared" si="1"/>
        <v>SUS.Mobília.de.Saúde</v>
      </c>
      <c r="P24" s="54" t="s">
        <v>433</v>
      </c>
      <c r="Q24" s="54" t="s">
        <v>442</v>
      </c>
      <c r="R24" s="55" t="s">
        <v>1</v>
      </c>
      <c r="S24" s="54" t="str">
        <f t="shared" si="2"/>
        <v>SUS.Assistência.Médica</v>
      </c>
      <c r="T24" s="54" t="str">
        <f t="shared" si="2"/>
        <v>SUS.Equipamentos</v>
      </c>
      <c r="U24" s="54" t="str">
        <f t="shared" si="2"/>
        <v>SUS.Mobília.de.Saúde</v>
      </c>
      <c r="V24" s="55" t="s">
        <v>679</v>
      </c>
      <c r="W24" s="67" t="str">
        <f t="shared" si="3"/>
        <v>Key-SUS-24</v>
      </c>
      <c r="X24" s="55" t="s">
        <v>676</v>
      </c>
      <c r="Y24" s="55" t="s">
        <v>677</v>
      </c>
      <c r="Z24" s="56" t="s">
        <v>674</v>
      </c>
      <c r="AA24" s="55" t="str">
        <f t="shared" si="4"/>
        <v>Medical furniture used in hospitals of the Unified Health System of Brazil.</v>
      </c>
    </row>
    <row r="25" spans="1:27" customFormat="1" ht="7.4" customHeight="1" x14ac:dyDescent="0.4">
      <c r="A25" s="52">
        <v>25</v>
      </c>
      <c r="B25" s="58" t="s">
        <v>693</v>
      </c>
      <c r="C25" s="59" t="s">
        <v>406</v>
      </c>
      <c r="D25" s="62" t="s">
        <v>600</v>
      </c>
      <c r="E25" s="62" t="s">
        <v>625</v>
      </c>
      <c r="F25" s="65" t="s">
        <v>405</v>
      </c>
      <c r="G25" s="53" t="s">
        <v>1</v>
      </c>
      <c r="H25" s="53" t="s">
        <v>1</v>
      </c>
      <c r="I25" s="53" t="s">
        <v>1</v>
      </c>
      <c r="J25" s="53" t="s">
        <v>1</v>
      </c>
      <c r="K25" s="53" t="s">
        <v>1</v>
      </c>
      <c r="L25" s="54" t="str">
        <f t="shared" si="5"/>
        <v>SUS</v>
      </c>
      <c r="M25" s="54" t="str">
        <f t="shared" si="5"/>
        <v>SUS.Assistência.Médica</v>
      </c>
      <c r="N25" s="54" t="str">
        <f t="shared" si="5"/>
        <v>SUS.Hotelaria</v>
      </c>
      <c r="O25" s="54" t="str">
        <f t="shared" si="1"/>
        <v>SUS.Mobília</v>
      </c>
      <c r="P25" s="54" t="s">
        <v>433</v>
      </c>
      <c r="Q25" s="54" t="s">
        <v>442</v>
      </c>
      <c r="R25" s="55" t="s">
        <v>1</v>
      </c>
      <c r="S25" s="54" t="str">
        <f t="shared" si="2"/>
        <v>SUS.Assistência.Médica</v>
      </c>
      <c r="T25" s="54" t="str">
        <f t="shared" si="2"/>
        <v>SUS.Hotelaria</v>
      </c>
      <c r="U25" s="54" t="str">
        <f t="shared" si="2"/>
        <v>SUS.Mobília</v>
      </c>
      <c r="V25" s="55" t="s">
        <v>679</v>
      </c>
      <c r="W25" s="67" t="str">
        <f t="shared" si="3"/>
        <v>Key-SUS-25</v>
      </c>
      <c r="X25" s="55" t="s">
        <v>676</v>
      </c>
      <c r="Y25" s="55" t="s">
        <v>677</v>
      </c>
      <c r="Z25" s="56" t="s">
        <v>674</v>
      </c>
      <c r="AA25" s="55" t="str">
        <f t="shared" si="4"/>
        <v>Medical furniture used in hospitals of the Unified Health System of Brazil.</v>
      </c>
    </row>
    <row r="26" spans="1:27" customFormat="1" ht="7.4" customHeight="1" x14ac:dyDescent="0.4">
      <c r="A26" s="52">
        <v>26</v>
      </c>
      <c r="B26" s="58" t="s">
        <v>693</v>
      </c>
      <c r="C26" s="59" t="s">
        <v>406</v>
      </c>
      <c r="D26" s="62" t="s">
        <v>600</v>
      </c>
      <c r="E26" s="62" t="s">
        <v>625</v>
      </c>
      <c r="F26" s="65" t="s">
        <v>626</v>
      </c>
      <c r="G26" s="53" t="s">
        <v>1</v>
      </c>
      <c r="H26" s="53" t="s">
        <v>1</v>
      </c>
      <c r="I26" s="53" t="s">
        <v>1</v>
      </c>
      <c r="J26" s="53" t="s">
        <v>1</v>
      </c>
      <c r="K26" s="53" t="s">
        <v>1</v>
      </c>
      <c r="L26" s="54" t="str">
        <f t="shared" si="5"/>
        <v>SUS</v>
      </c>
      <c r="M26" s="54" t="str">
        <f t="shared" si="5"/>
        <v>SUS.Assistência.Médica</v>
      </c>
      <c r="N26" s="54" t="str">
        <f t="shared" si="5"/>
        <v>SUS.Hotelaria</v>
      </c>
      <c r="O26" s="54" t="str">
        <f t="shared" si="1"/>
        <v>SUS.Roupa</v>
      </c>
      <c r="P26" s="54" t="s">
        <v>613</v>
      </c>
      <c r="Q26" s="54" t="s">
        <v>614</v>
      </c>
      <c r="R26" s="55" t="s">
        <v>1</v>
      </c>
      <c r="S26" s="54" t="str">
        <f t="shared" si="2"/>
        <v>SUS.Assistência.Médica</v>
      </c>
      <c r="T26" s="54" t="str">
        <f t="shared" si="2"/>
        <v>SUS.Hotelaria</v>
      </c>
      <c r="U26" s="54" t="str">
        <f t="shared" si="2"/>
        <v>SUS.Roupa</v>
      </c>
      <c r="V26" s="55" t="s">
        <v>679</v>
      </c>
      <c r="W26" s="67" t="str">
        <f t="shared" si="3"/>
        <v>Key-SUS-26</v>
      </c>
      <c r="X26" s="55" t="s">
        <v>676</v>
      </c>
      <c r="Y26" s="55" t="s">
        <v>677</v>
      </c>
      <c r="Z26" s="56" t="s">
        <v>674</v>
      </c>
      <c r="AA26" s="55" t="str">
        <f t="shared" si="4"/>
        <v>Bed robe used in hospitals of the Unified Health System of Brazil.</v>
      </c>
    </row>
    <row r="27" spans="1:27" customFormat="1" ht="7.4" customHeight="1" x14ac:dyDescent="0.4">
      <c r="A27" s="52">
        <v>27</v>
      </c>
      <c r="B27" s="58" t="s">
        <v>693</v>
      </c>
      <c r="C27" s="59" t="s">
        <v>406</v>
      </c>
      <c r="D27" s="62" t="s">
        <v>600</v>
      </c>
      <c r="E27" s="62" t="s">
        <v>625</v>
      </c>
      <c r="F27" s="65" t="s">
        <v>615</v>
      </c>
      <c r="G27" s="53" t="s">
        <v>1</v>
      </c>
      <c r="H27" s="53" t="s">
        <v>1</v>
      </c>
      <c r="I27" s="53" t="s">
        <v>1</v>
      </c>
      <c r="J27" s="53" t="s">
        <v>1</v>
      </c>
      <c r="K27" s="53" t="s">
        <v>1</v>
      </c>
      <c r="L27" s="54" t="str">
        <f t="shared" si="5"/>
        <v>SUS</v>
      </c>
      <c r="M27" s="54" t="str">
        <f t="shared" si="5"/>
        <v>SUS.Assistência.Médica</v>
      </c>
      <c r="N27" s="54" t="str">
        <f t="shared" si="5"/>
        <v>SUS.Hotelaria</v>
      </c>
      <c r="O27" s="54" t="str">
        <f t="shared" si="1"/>
        <v>SUS.Alimentação</v>
      </c>
      <c r="P27" s="54" t="s">
        <v>616</v>
      </c>
      <c r="Q27" s="54" t="s">
        <v>617</v>
      </c>
      <c r="R27" s="55" t="s">
        <v>1</v>
      </c>
      <c r="S27" s="54" t="str">
        <f t="shared" ref="S27:U27" si="6">SUBSTITUTE(D27, "_", " ")</f>
        <v>SUS.Assistência.Médica</v>
      </c>
      <c r="T27" s="54" t="str">
        <f t="shared" si="6"/>
        <v>SUS.Hotelaria</v>
      </c>
      <c r="U27" s="54" t="str">
        <f t="shared" si="6"/>
        <v>SUS.Alimentação</v>
      </c>
      <c r="V27" s="55" t="s">
        <v>679</v>
      </c>
      <c r="W27" s="67" t="str">
        <f t="shared" si="3"/>
        <v>Key-SUS-27</v>
      </c>
      <c r="X27" s="55" t="s">
        <v>676</v>
      </c>
      <c r="Y27" s="55" t="s">
        <v>677</v>
      </c>
      <c r="Z27" s="56" t="s">
        <v>674</v>
      </c>
      <c r="AA27" s="55" t="str">
        <f t="shared" si="4"/>
        <v>Elements for feeding used in hospitals of the Unified Health System of Brazil.</v>
      </c>
    </row>
  </sheetData>
  <sortState xmlns:xlrd2="http://schemas.microsoft.com/office/spreadsheetml/2017/richdata2" ref="A2:Z18">
    <sortCondition ref="A1:A18"/>
  </sortState>
  <phoneticPr fontId="1" type="noConversion"/>
  <conditionalFormatting sqref="A2:A27">
    <cfRule type="cellIs" dxfId="19" priority="2" operator="equal">
      <formula>"null"</formula>
    </cfRule>
  </conditionalFormatting>
  <conditionalFormatting sqref="A1:XFD1">
    <cfRule type="cellIs" dxfId="18" priority="32" operator="equal">
      <formula>"null"</formula>
    </cfRule>
  </conditionalFormatting>
  <conditionalFormatting sqref="A28:XFD1048576">
    <cfRule type="cellIs" dxfId="17" priority="64" operator="equal">
      <formula>"null"</formula>
    </cfRule>
  </conditionalFormatting>
  <conditionalFormatting sqref="D7:F27 L7:Q27">
    <cfRule type="cellIs" dxfId="16" priority="9" operator="equal">
      <formula>"null"</formula>
    </cfRule>
  </conditionalFormatting>
  <conditionalFormatting sqref="F1 F28:F1048576">
    <cfRule type="duplicateValues" dxfId="15" priority="65"/>
  </conditionalFormatting>
  <conditionalFormatting sqref="F2:F6">
    <cfRule type="duplicateValues" dxfId="14" priority="1"/>
    <cfRule type="duplicateValues" dxfId="13" priority="3"/>
    <cfRule type="duplicateValues" dxfId="12" priority="4"/>
    <cfRule type="duplicateValues" dxfId="11" priority="5"/>
  </conditionalFormatting>
  <conditionalFormatting sqref="F7:F23">
    <cfRule type="duplicateValues" dxfId="10" priority="15"/>
  </conditionalFormatting>
  <conditionalFormatting sqref="F24:F27">
    <cfRule type="duplicateValues" dxfId="9" priority="8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V2:V27 X7 Z7:XFD7 S7:U27 X8:XFD27">
    <cfRule type="cellIs" dxfId="3" priority="7" operator="equal">
      <formula>"null"</formula>
    </cfRule>
  </conditionalFormatting>
  <conditionalFormatting sqref="AA2:AA6">
    <cfRule type="cellIs" dxfId="2" priority="6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Y1 AB1:XF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3828125" defaultRowHeight="7.95" customHeight="1" x14ac:dyDescent="0.2"/>
  <cols>
    <col min="1" max="1" width="2.53515625" style="6" bestFit="1" customWidth="1"/>
    <col min="2" max="4" width="6" style="7" customWidth="1"/>
    <col min="5" max="10" width="4.69140625" style="7" bestFit="1" customWidth="1"/>
    <col min="11" max="11" width="4.69140625" style="5" bestFit="1" customWidth="1"/>
    <col min="12" max="12" width="4.3828125" style="5" bestFit="1" customWidth="1"/>
    <col min="13" max="20" width="4.69140625" style="5" bestFit="1" customWidth="1"/>
    <col min="21" max="21" width="4" style="5" bestFit="1" customWidth="1"/>
    <col min="22" max="16384" width="5.3828125" style="5"/>
  </cols>
  <sheetData>
    <row r="1" spans="1:21" s="4" customFormat="1" ht="26.25" customHeight="1" x14ac:dyDescent="0.2">
      <c r="A1" s="27" t="s">
        <v>13</v>
      </c>
      <c r="B1" s="28" t="s">
        <v>15</v>
      </c>
      <c r="C1" s="28" t="s">
        <v>16</v>
      </c>
      <c r="D1" s="28" t="s">
        <v>17</v>
      </c>
      <c r="E1" s="28" t="s">
        <v>18</v>
      </c>
      <c r="F1" s="28" t="s">
        <v>19</v>
      </c>
      <c r="G1" s="28" t="s">
        <v>20</v>
      </c>
      <c r="H1" s="28" t="s">
        <v>21</v>
      </c>
      <c r="I1" s="28" t="s">
        <v>22</v>
      </c>
      <c r="J1" s="28" t="s">
        <v>23</v>
      </c>
      <c r="K1" s="28" t="s">
        <v>2</v>
      </c>
      <c r="L1" s="28" t="s">
        <v>3</v>
      </c>
      <c r="M1" s="28" t="s">
        <v>4</v>
      </c>
      <c r="N1" s="28" t="s">
        <v>5</v>
      </c>
      <c r="O1" s="28" t="s">
        <v>6</v>
      </c>
      <c r="P1" s="28" t="s">
        <v>7</v>
      </c>
      <c r="Q1" s="28" t="s">
        <v>8</v>
      </c>
      <c r="R1" s="28" t="s">
        <v>9</v>
      </c>
      <c r="S1" s="28" t="s">
        <v>10</v>
      </c>
      <c r="T1" s="28" t="s">
        <v>11</v>
      </c>
      <c r="U1" s="28" t="s">
        <v>12</v>
      </c>
    </row>
    <row r="2" spans="1:21" ht="9.75" customHeight="1" x14ac:dyDescent="0.2">
      <c r="A2" s="27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1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B1" sqref="B1"/>
    </sheetView>
  </sheetViews>
  <sheetFormatPr defaultRowHeight="14.6" x14ac:dyDescent="0.4"/>
  <cols>
    <col min="1" max="1" width="3.3046875" customWidth="1"/>
    <col min="2" max="2" width="16.3046875" customWidth="1"/>
    <col min="3" max="3" width="19.3828125" customWidth="1"/>
  </cols>
  <sheetData>
    <row r="1" spans="1:3" ht="12" customHeight="1" x14ac:dyDescent="0.4">
      <c r="A1" s="9">
        <v>1</v>
      </c>
      <c r="B1" s="10" t="s">
        <v>407</v>
      </c>
      <c r="C1" s="10" t="s">
        <v>408</v>
      </c>
    </row>
    <row r="2" spans="1:3" ht="10.95" customHeight="1" x14ac:dyDescent="0.4">
      <c r="A2" s="11">
        <v>2</v>
      </c>
      <c r="B2" s="12" t="s">
        <v>1</v>
      </c>
      <c r="C2" s="12" t="s">
        <v>1</v>
      </c>
    </row>
  </sheetData>
  <conditionalFormatting sqref="A1:A2">
    <cfRule type="cellIs" dxfId="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556-259C-4223-B758-7C936DE6D1CE}">
  <sheetPr codeName="Planilha5"/>
  <dimension ref="A1:U237"/>
  <sheetViews>
    <sheetView zoomScale="190" zoomScaleNormal="190" workbookViewId="0">
      <pane ySplit="1" topLeftCell="A2" activePane="bottomLeft" state="frozen"/>
      <selection pane="bottomLeft" activeCell="F1" sqref="F1:F1048576"/>
    </sheetView>
  </sheetViews>
  <sheetFormatPr defaultRowHeight="7" customHeight="1" x14ac:dyDescent="0.4"/>
  <cols>
    <col min="1" max="1" width="1.84375" style="33" bestFit="1" customWidth="1"/>
    <col min="2" max="2" width="9.15234375" style="33" customWidth="1"/>
    <col min="3" max="3" width="13.15234375" style="33" bestFit="1" customWidth="1"/>
    <col min="4" max="4" width="10.69140625" style="33" bestFit="1" customWidth="1"/>
    <col min="5" max="5" width="10.84375" style="33" bestFit="1" customWidth="1"/>
    <col min="6" max="6" width="6.15234375" style="33" bestFit="1" customWidth="1"/>
    <col min="7" max="7" width="7.3046875" style="33" bestFit="1" customWidth="1"/>
    <col min="8" max="8" width="2.3828125" style="33" bestFit="1" customWidth="1"/>
    <col min="9" max="9" width="8.69140625" style="33" bestFit="1" customWidth="1"/>
    <col min="10" max="10" width="2.3828125" style="34" bestFit="1" customWidth="1"/>
    <col min="11" max="11" width="7.84375" style="33" bestFit="1" customWidth="1"/>
    <col min="12" max="12" width="5.53515625" style="34" bestFit="1" customWidth="1"/>
    <col min="13" max="13" width="8" style="33" bestFit="1" customWidth="1"/>
    <col min="14" max="14" width="4" bestFit="1" customWidth="1"/>
    <col min="15" max="15" width="41.3828125" bestFit="1" customWidth="1"/>
    <col min="16" max="16" width="5.69140625" style="34" bestFit="1" customWidth="1"/>
    <col min="17" max="17" width="7.15234375" style="33" bestFit="1" customWidth="1"/>
    <col min="18" max="18" width="3.69140625" style="34" bestFit="1" customWidth="1"/>
    <col min="19" max="19" width="21.53515625" style="33" bestFit="1" customWidth="1"/>
    <col min="20" max="20" width="3.84375" style="34" bestFit="1" customWidth="1"/>
    <col min="21" max="21" width="4.3828125" style="33" bestFit="1" customWidth="1"/>
  </cols>
  <sheetData>
    <row r="1" spans="1:21" ht="17.25" customHeight="1" x14ac:dyDescent="0.4">
      <c r="A1" s="20">
        <v>1</v>
      </c>
      <c r="B1" s="29" t="s">
        <v>598</v>
      </c>
      <c r="C1" s="29" t="s">
        <v>540</v>
      </c>
      <c r="D1" s="21" t="s">
        <v>73</v>
      </c>
      <c r="E1" s="29" t="s">
        <v>47</v>
      </c>
      <c r="F1" s="21" t="s">
        <v>73</v>
      </c>
      <c r="G1" s="29" t="s">
        <v>47</v>
      </c>
      <c r="H1" s="29" t="s">
        <v>73</v>
      </c>
      <c r="I1" s="29" t="s">
        <v>47</v>
      </c>
      <c r="J1" s="21" t="s">
        <v>73</v>
      </c>
      <c r="K1" s="29" t="s">
        <v>47</v>
      </c>
      <c r="L1" s="21" t="s">
        <v>73</v>
      </c>
      <c r="M1" s="29" t="s">
        <v>47</v>
      </c>
      <c r="N1" s="29" t="s">
        <v>73</v>
      </c>
      <c r="O1" s="29" t="s">
        <v>47</v>
      </c>
      <c r="P1" s="21" t="s">
        <v>73</v>
      </c>
      <c r="Q1" s="29" t="s">
        <v>47</v>
      </c>
      <c r="R1" s="21" t="s">
        <v>73</v>
      </c>
      <c r="S1" s="29" t="s">
        <v>47</v>
      </c>
      <c r="T1" s="21" t="s">
        <v>73</v>
      </c>
      <c r="U1" s="29" t="s">
        <v>47</v>
      </c>
    </row>
    <row r="2" spans="1:21" ht="7" customHeight="1" x14ac:dyDescent="0.4">
      <c r="A2" s="22">
        <v>2</v>
      </c>
      <c r="B2" s="45" t="s">
        <v>556</v>
      </c>
      <c r="C2" s="46" t="s">
        <v>546</v>
      </c>
      <c r="D2" s="47" t="s">
        <v>1</v>
      </c>
      <c r="E2" s="43" t="s">
        <v>1</v>
      </c>
      <c r="F2" s="47" t="s">
        <v>1</v>
      </c>
      <c r="G2" s="43" t="s">
        <v>1</v>
      </c>
      <c r="H2" s="31" t="s">
        <v>385</v>
      </c>
      <c r="I2" s="23" t="s">
        <v>637</v>
      </c>
      <c r="J2" s="31" t="s">
        <v>1</v>
      </c>
      <c r="K2" s="23" t="s">
        <v>1</v>
      </c>
      <c r="L2" s="31" t="s">
        <v>1</v>
      </c>
      <c r="M2" s="23" t="s">
        <v>1</v>
      </c>
      <c r="N2" s="31" t="s">
        <v>386</v>
      </c>
      <c r="O2" s="23" t="s">
        <v>646</v>
      </c>
      <c r="P2" s="31" t="s">
        <v>640</v>
      </c>
      <c r="Q2" s="23" t="s">
        <v>639</v>
      </c>
      <c r="R2" s="31" t="s">
        <v>1</v>
      </c>
      <c r="S2" s="23" t="s">
        <v>1</v>
      </c>
      <c r="T2" s="31" t="s">
        <v>641</v>
      </c>
      <c r="U2" s="23" t="s">
        <v>639</v>
      </c>
    </row>
    <row r="3" spans="1:21" ht="7" customHeight="1" x14ac:dyDescent="0.4">
      <c r="A3" s="22">
        <v>3</v>
      </c>
      <c r="B3" s="45" t="s">
        <v>532</v>
      </c>
      <c r="C3" s="39" t="s">
        <v>554</v>
      </c>
      <c r="D3" s="47" t="s">
        <v>496</v>
      </c>
      <c r="E3" s="43" t="s">
        <v>556</v>
      </c>
      <c r="F3" s="47" t="s">
        <v>1</v>
      </c>
      <c r="G3" s="43" t="s">
        <v>1</v>
      </c>
      <c r="H3" s="31" t="s">
        <v>385</v>
      </c>
      <c r="I3" s="23" t="s">
        <v>638</v>
      </c>
      <c r="J3" s="31" t="s">
        <v>1</v>
      </c>
      <c r="K3" s="23" t="s">
        <v>1</v>
      </c>
      <c r="L3" s="31" t="s">
        <v>1</v>
      </c>
      <c r="M3" s="23" t="s">
        <v>1</v>
      </c>
      <c r="N3" s="31" t="s">
        <v>386</v>
      </c>
      <c r="O3" s="23" t="s">
        <v>647</v>
      </c>
      <c r="P3" s="31" t="s">
        <v>640</v>
      </c>
      <c r="Q3" s="23" t="s">
        <v>639</v>
      </c>
      <c r="R3" s="31" t="s">
        <v>1</v>
      </c>
      <c r="S3" s="23" t="s">
        <v>1</v>
      </c>
      <c r="T3" s="31" t="s">
        <v>641</v>
      </c>
      <c r="U3" s="23" t="s">
        <v>639</v>
      </c>
    </row>
    <row r="4" spans="1:21" ht="7" customHeight="1" x14ac:dyDescent="0.4">
      <c r="A4" s="22">
        <v>4</v>
      </c>
      <c r="B4" s="45" t="s">
        <v>533</v>
      </c>
      <c r="C4" s="39" t="s">
        <v>554</v>
      </c>
      <c r="D4" s="47" t="s">
        <v>496</v>
      </c>
      <c r="E4" s="43" t="s">
        <v>556</v>
      </c>
      <c r="F4" s="47" t="s">
        <v>1</v>
      </c>
      <c r="G4" s="43" t="s">
        <v>1</v>
      </c>
      <c r="H4" s="31" t="s">
        <v>385</v>
      </c>
      <c r="I4" s="23" t="s">
        <v>638</v>
      </c>
      <c r="J4" s="31" t="s">
        <v>1</v>
      </c>
      <c r="K4" s="23" t="s">
        <v>1</v>
      </c>
      <c r="L4" s="31" t="s">
        <v>1</v>
      </c>
      <c r="M4" s="23" t="s">
        <v>1</v>
      </c>
      <c r="N4" s="31" t="s">
        <v>386</v>
      </c>
      <c r="O4" s="23" t="s">
        <v>648</v>
      </c>
      <c r="P4" s="31" t="s">
        <v>640</v>
      </c>
      <c r="Q4" s="23" t="s">
        <v>639</v>
      </c>
      <c r="R4" s="31" t="s">
        <v>1</v>
      </c>
      <c r="S4" s="23" t="s">
        <v>1</v>
      </c>
      <c r="T4" s="31" t="s">
        <v>641</v>
      </c>
      <c r="U4" s="23" t="s">
        <v>639</v>
      </c>
    </row>
    <row r="5" spans="1:21" ht="7" customHeight="1" x14ac:dyDescent="0.4">
      <c r="A5" s="22">
        <v>5</v>
      </c>
      <c r="B5" s="45" t="s">
        <v>534</v>
      </c>
      <c r="C5" s="39" t="s">
        <v>554</v>
      </c>
      <c r="D5" s="47" t="s">
        <v>496</v>
      </c>
      <c r="E5" s="43" t="s">
        <v>556</v>
      </c>
      <c r="F5" s="47" t="s">
        <v>1</v>
      </c>
      <c r="G5" s="43" t="s">
        <v>1</v>
      </c>
      <c r="H5" s="31" t="s">
        <v>385</v>
      </c>
      <c r="I5" s="23" t="s">
        <v>638</v>
      </c>
      <c r="J5" s="31" t="s">
        <v>1</v>
      </c>
      <c r="K5" s="23" t="s">
        <v>1</v>
      </c>
      <c r="L5" s="31" t="s">
        <v>1</v>
      </c>
      <c r="M5" s="23" t="s">
        <v>1</v>
      </c>
      <c r="N5" s="31" t="s">
        <v>386</v>
      </c>
      <c r="O5" s="23" t="s">
        <v>649</v>
      </c>
      <c r="P5" s="31" t="s">
        <v>640</v>
      </c>
      <c r="Q5" s="23" t="s">
        <v>639</v>
      </c>
      <c r="R5" s="31" t="s">
        <v>1</v>
      </c>
      <c r="S5" s="23" t="s">
        <v>1</v>
      </c>
      <c r="T5" s="31" t="s">
        <v>641</v>
      </c>
      <c r="U5" s="23" t="s">
        <v>639</v>
      </c>
    </row>
    <row r="6" spans="1:21" ht="7" customHeight="1" x14ac:dyDescent="0.4">
      <c r="A6" s="22">
        <v>6</v>
      </c>
      <c r="B6" s="45" t="s">
        <v>535</v>
      </c>
      <c r="C6" s="39" t="s">
        <v>554</v>
      </c>
      <c r="D6" s="47" t="s">
        <v>496</v>
      </c>
      <c r="E6" s="43" t="s">
        <v>556</v>
      </c>
      <c r="F6" s="47" t="s">
        <v>1</v>
      </c>
      <c r="G6" s="43" t="s">
        <v>1</v>
      </c>
      <c r="H6" s="31" t="s">
        <v>385</v>
      </c>
      <c r="I6" s="23" t="s">
        <v>638</v>
      </c>
      <c r="J6" s="31" t="s">
        <v>1</v>
      </c>
      <c r="K6" s="23" t="s">
        <v>1</v>
      </c>
      <c r="L6" s="31" t="s">
        <v>1</v>
      </c>
      <c r="M6" s="23" t="s">
        <v>1</v>
      </c>
      <c r="N6" s="31" t="s">
        <v>386</v>
      </c>
      <c r="O6" s="23" t="s">
        <v>650</v>
      </c>
      <c r="P6" s="31" t="s">
        <v>640</v>
      </c>
      <c r="Q6" s="23" t="s">
        <v>639</v>
      </c>
      <c r="R6" s="31" t="s">
        <v>1</v>
      </c>
      <c r="S6" s="23" t="s">
        <v>1</v>
      </c>
      <c r="T6" s="31" t="s">
        <v>641</v>
      </c>
      <c r="U6" s="23" t="s">
        <v>639</v>
      </c>
    </row>
    <row r="7" spans="1:21" ht="7" customHeight="1" x14ac:dyDescent="0.4">
      <c r="A7" s="22">
        <v>7</v>
      </c>
      <c r="B7" s="45" t="s">
        <v>541</v>
      </c>
      <c r="C7" s="39" t="s">
        <v>554</v>
      </c>
      <c r="D7" s="47" t="s">
        <v>496</v>
      </c>
      <c r="E7" s="43" t="s">
        <v>556</v>
      </c>
      <c r="F7" s="47" t="s">
        <v>1</v>
      </c>
      <c r="G7" s="43" t="s">
        <v>1</v>
      </c>
      <c r="H7" s="31" t="s">
        <v>385</v>
      </c>
      <c r="I7" s="23" t="s">
        <v>638</v>
      </c>
      <c r="J7" s="31" t="s">
        <v>1</v>
      </c>
      <c r="K7" s="23" t="s">
        <v>1</v>
      </c>
      <c r="L7" s="31" t="s">
        <v>1</v>
      </c>
      <c r="M7" s="23" t="s">
        <v>1</v>
      </c>
      <c r="N7" s="31" t="s">
        <v>386</v>
      </c>
      <c r="O7" s="23" t="s">
        <v>651</v>
      </c>
      <c r="P7" s="31" t="s">
        <v>640</v>
      </c>
      <c r="Q7" s="23" t="s">
        <v>639</v>
      </c>
      <c r="R7" s="31" t="s">
        <v>1</v>
      </c>
      <c r="S7" s="23" t="s">
        <v>1</v>
      </c>
      <c r="T7" s="31" t="s">
        <v>641</v>
      </c>
      <c r="U7" s="23" t="s">
        <v>639</v>
      </c>
    </row>
    <row r="8" spans="1:21" ht="7" customHeight="1" x14ac:dyDescent="0.4">
      <c r="A8" s="22">
        <v>8</v>
      </c>
      <c r="B8" s="45" t="s">
        <v>536</v>
      </c>
      <c r="C8" s="39" t="s">
        <v>554</v>
      </c>
      <c r="D8" s="47" t="s">
        <v>496</v>
      </c>
      <c r="E8" s="43" t="s">
        <v>556</v>
      </c>
      <c r="F8" s="47" t="s">
        <v>1</v>
      </c>
      <c r="G8" s="43" t="s">
        <v>1</v>
      </c>
      <c r="H8" s="31" t="s">
        <v>385</v>
      </c>
      <c r="I8" s="23" t="s">
        <v>638</v>
      </c>
      <c r="J8" s="31" t="s">
        <v>1</v>
      </c>
      <c r="K8" s="23" t="s">
        <v>1</v>
      </c>
      <c r="L8" s="31" t="s">
        <v>1</v>
      </c>
      <c r="M8" s="23" t="s">
        <v>1</v>
      </c>
      <c r="N8" s="31" t="s">
        <v>386</v>
      </c>
      <c r="O8" s="23" t="s">
        <v>652</v>
      </c>
      <c r="P8" s="31" t="s">
        <v>640</v>
      </c>
      <c r="Q8" s="23" t="s">
        <v>639</v>
      </c>
      <c r="R8" s="31" t="s">
        <v>1</v>
      </c>
      <c r="S8" s="23" t="s">
        <v>1</v>
      </c>
      <c r="T8" s="31" t="s">
        <v>641</v>
      </c>
      <c r="U8" s="23" t="s">
        <v>639</v>
      </c>
    </row>
    <row r="9" spans="1:21" ht="7" customHeight="1" x14ac:dyDescent="0.4">
      <c r="A9" s="22">
        <v>9</v>
      </c>
      <c r="B9" s="45" t="s">
        <v>537</v>
      </c>
      <c r="C9" s="39" t="s">
        <v>554</v>
      </c>
      <c r="D9" s="47" t="s">
        <v>496</v>
      </c>
      <c r="E9" s="43" t="s">
        <v>556</v>
      </c>
      <c r="F9" s="47" t="s">
        <v>1</v>
      </c>
      <c r="G9" s="43" t="s">
        <v>1</v>
      </c>
      <c r="H9" s="31" t="s">
        <v>385</v>
      </c>
      <c r="I9" s="23" t="s">
        <v>638</v>
      </c>
      <c r="J9" s="31" t="s">
        <v>1</v>
      </c>
      <c r="K9" s="23" t="s">
        <v>1</v>
      </c>
      <c r="L9" s="31" t="s">
        <v>1</v>
      </c>
      <c r="M9" s="23" t="s">
        <v>1</v>
      </c>
      <c r="N9" s="31" t="s">
        <v>386</v>
      </c>
      <c r="O9" s="23" t="s">
        <v>653</v>
      </c>
      <c r="P9" s="31" t="s">
        <v>640</v>
      </c>
      <c r="Q9" s="23" t="s">
        <v>639</v>
      </c>
      <c r="R9" s="31" t="s">
        <v>1</v>
      </c>
      <c r="S9" s="23" t="s">
        <v>1</v>
      </c>
      <c r="T9" s="31" t="s">
        <v>641</v>
      </c>
      <c r="U9" s="23" t="s">
        <v>639</v>
      </c>
    </row>
    <row r="10" spans="1:21" ht="7" customHeight="1" x14ac:dyDescent="0.4">
      <c r="A10" s="22">
        <v>10</v>
      </c>
      <c r="B10" s="45" t="s">
        <v>538</v>
      </c>
      <c r="C10" s="39" t="s">
        <v>554</v>
      </c>
      <c r="D10" s="47" t="s">
        <v>496</v>
      </c>
      <c r="E10" s="43" t="s">
        <v>556</v>
      </c>
      <c r="F10" s="47" t="s">
        <v>1</v>
      </c>
      <c r="G10" s="43" t="s">
        <v>1</v>
      </c>
      <c r="H10" s="31" t="s">
        <v>385</v>
      </c>
      <c r="I10" s="23" t="s">
        <v>638</v>
      </c>
      <c r="J10" s="31" t="s">
        <v>1</v>
      </c>
      <c r="K10" s="23" t="s">
        <v>1</v>
      </c>
      <c r="L10" s="31" t="s">
        <v>1</v>
      </c>
      <c r="M10" s="23" t="s">
        <v>1</v>
      </c>
      <c r="N10" s="31" t="s">
        <v>386</v>
      </c>
      <c r="O10" s="23" t="s">
        <v>654</v>
      </c>
      <c r="P10" s="31" t="s">
        <v>640</v>
      </c>
      <c r="Q10" s="23" t="s">
        <v>639</v>
      </c>
      <c r="R10" s="31" t="s">
        <v>1</v>
      </c>
      <c r="S10" s="23" t="s">
        <v>1</v>
      </c>
      <c r="T10" s="31" t="s">
        <v>641</v>
      </c>
      <c r="U10" s="23" t="s">
        <v>639</v>
      </c>
    </row>
    <row r="11" spans="1:21" ht="7" customHeight="1" x14ac:dyDescent="0.4">
      <c r="A11" s="22">
        <v>11</v>
      </c>
      <c r="B11" s="45" t="s">
        <v>542</v>
      </c>
      <c r="C11" s="39" t="s">
        <v>554</v>
      </c>
      <c r="D11" s="47" t="s">
        <v>496</v>
      </c>
      <c r="E11" s="43" t="s">
        <v>556</v>
      </c>
      <c r="F11" s="47" t="s">
        <v>1</v>
      </c>
      <c r="G11" s="43" t="s">
        <v>1</v>
      </c>
      <c r="H11" s="31" t="s">
        <v>385</v>
      </c>
      <c r="I11" s="23" t="s">
        <v>638</v>
      </c>
      <c r="J11" s="31" t="s">
        <v>1</v>
      </c>
      <c r="K11" s="23" t="s">
        <v>1</v>
      </c>
      <c r="L11" s="31" t="s">
        <v>1</v>
      </c>
      <c r="M11" s="23" t="s">
        <v>1</v>
      </c>
      <c r="N11" s="31" t="s">
        <v>386</v>
      </c>
      <c r="O11" s="23" t="s">
        <v>655</v>
      </c>
      <c r="P11" s="31" t="s">
        <v>640</v>
      </c>
      <c r="Q11" s="23" t="s">
        <v>639</v>
      </c>
      <c r="R11" s="31" t="s">
        <v>1</v>
      </c>
      <c r="S11" s="23" t="s">
        <v>1</v>
      </c>
      <c r="T11" s="31" t="s">
        <v>641</v>
      </c>
      <c r="U11" s="23" t="s">
        <v>639</v>
      </c>
    </row>
    <row r="12" spans="1:21" ht="7" customHeight="1" x14ac:dyDescent="0.4">
      <c r="A12" s="22">
        <v>12</v>
      </c>
      <c r="B12" s="45" t="s">
        <v>543</v>
      </c>
      <c r="C12" s="39" t="s">
        <v>554</v>
      </c>
      <c r="D12" s="47" t="s">
        <v>496</v>
      </c>
      <c r="E12" s="43" t="s">
        <v>556</v>
      </c>
      <c r="F12" s="47" t="s">
        <v>1</v>
      </c>
      <c r="G12" s="43" t="s">
        <v>1</v>
      </c>
      <c r="H12" s="31" t="s">
        <v>385</v>
      </c>
      <c r="I12" s="23" t="s">
        <v>638</v>
      </c>
      <c r="J12" s="31" t="s">
        <v>1</v>
      </c>
      <c r="K12" s="23" t="s">
        <v>1</v>
      </c>
      <c r="L12" s="31" t="s">
        <v>1</v>
      </c>
      <c r="M12" s="23" t="s">
        <v>1</v>
      </c>
      <c r="N12" s="31" t="s">
        <v>386</v>
      </c>
      <c r="O12" s="23" t="s">
        <v>656</v>
      </c>
      <c r="P12" s="31" t="s">
        <v>640</v>
      </c>
      <c r="Q12" s="23" t="s">
        <v>639</v>
      </c>
      <c r="R12" s="31" t="s">
        <v>1</v>
      </c>
      <c r="S12" s="23" t="s">
        <v>1</v>
      </c>
      <c r="T12" s="31" t="s">
        <v>641</v>
      </c>
      <c r="U12" s="23" t="s">
        <v>639</v>
      </c>
    </row>
    <row r="13" spans="1:21" ht="7" customHeight="1" x14ac:dyDescent="0.4">
      <c r="A13" s="22">
        <v>13</v>
      </c>
      <c r="B13" s="45" t="s">
        <v>539</v>
      </c>
      <c r="C13" s="39" t="s">
        <v>554</v>
      </c>
      <c r="D13" s="47" t="s">
        <v>496</v>
      </c>
      <c r="E13" s="43" t="s">
        <v>556</v>
      </c>
      <c r="F13" s="47" t="s">
        <v>1</v>
      </c>
      <c r="G13" s="43" t="s">
        <v>1</v>
      </c>
      <c r="H13" s="31" t="s">
        <v>385</v>
      </c>
      <c r="I13" s="23" t="s">
        <v>638</v>
      </c>
      <c r="J13" s="31" t="s">
        <v>1</v>
      </c>
      <c r="K13" s="23" t="s">
        <v>1</v>
      </c>
      <c r="L13" s="31" t="s">
        <v>1</v>
      </c>
      <c r="M13" s="23" t="s">
        <v>1</v>
      </c>
      <c r="N13" s="31" t="s">
        <v>386</v>
      </c>
      <c r="O13" s="23" t="s">
        <v>657</v>
      </c>
      <c r="P13" s="31" t="s">
        <v>640</v>
      </c>
      <c r="Q13" s="23" t="s">
        <v>639</v>
      </c>
      <c r="R13" s="31" t="s">
        <v>1</v>
      </c>
      <c r="S13" s="23" t="s">
        <v>1</v>
      </c>
      <c r="T13" s="31" t="s">
        <v>641</v>
      </c>
      <c r="U13" s="23" t="s">
        <v>639</v>
      </c>
    </row>
    <row r="14" spans="1:21" ht="7" customHeight="1" x14ac:dyDescent="0.4">
      <c r="A14" s="22">
        <v>14</v>
      </c>
      <c r="B14" s="45" t="s">
        <v>544</v>
      </c>
      <c r="C14" s="39" t="s">
        <v>554</v>
      </c>
      <c r="D14" s="47" t="s">
        <v>496</v>
      </c>
      <c r="E14" s="43" t="s">
        <v>556</v>
      </c>
      <c r="F14" s="47" t="s">
        <v>1</v>
      </c>
      <c r="G14" s="43" t="s">
        <v>1</v>
      </c>
      <c r="H14" s="31" t="s">
        <v>385</v>
      </c>
      <c r="I14" s="23" t="s">
        <v>638</v>
      </c>
      <c r="J14" s="31" t="s">
        <v>1</v>
      </c>
      <c r="K14" s="23" t="s">
        <v>1</v>
      </c>
      <c r="L14" s="31" t="s">
        <v>1</v>
      </c>
      <c r="M14" s="23" t="s">
        <v>1</v>
      </c>
      <c r="N14" s="31" t="s">
        <v>386</v>
      </c>
      <c r="O14" s="23" t="s">
        <v>658</v>
      </c>
      <c r="P14" s="31" t="s">
        <v>640</v>
      </c>
      <c r="Q14" s="23" t="s">
        <v>639</v>
      </c>
      <c r="R14" s="31" t="s">
        <v>1</v>
      </c>
      <c r="S14" s="23" t="s">
        <v>1</v>
      </c>
      <c r="T14" s="31" t="s">
        <v>641</v>
      </c>
      <c r="U14" s="23" t="s">
        <v>639</v>
      </c>
    </row>
    <row r="15" spans="1:21" ht="7" customHeight="1" x14ac:dyDescent="0.4">
      <c r="A15" s="22">
        <v>15</v>
      </c>
      <c r="B15" s="45" t="s">
        <v>548</v>
      </c>
      <c r="C15" s="39" t="s">
        <v>554</v>
      </c>
      <c r="D15" s="47" t="s">
        <v>496</v>
      </c>
      <c r="E15" s="43" t="s">
        <v>556</v>
      </c>
      <c r="F15" s="47" t="s">
        <v>1</v>
      </c>
      <c r="G15" s="43" t="s">
        <v>1</v>
      </c>
      <c r="H15" s="31" t="s">
        <v>385</v>
      </c>
      <c r="I15" s="23" t="s">
        <v>638</v>
      </c>
      <c r="J15" s="31" t="s">
        <v>1</v>
      </c>
      <c r="K15" s="23" t="s">
        <v>1</v>
      </c>
      <c r="L15" s="31" t="s">
        <v>1</v>
      </c>
      <c r="M15" s="23" t="s">
        <v>1</v>
      </c>
      <c r="N15" s="31" t="s">
        <v>386</v>
      </c>
      <c r="O15" s="23" t="s">
        <v>659</v>
      </c>
      <c r="P15" s="31" t="s">
        <v>640</v>
      </c>
      <c r="Q15" s="23" t="s">
        <v>639</v>
      </c>
      <c r="R15" s="31" t="s">
        <v>1</v>
      </c>
      <c r="S15" s="23" t="s">
        <v>1</v>
      </c>
      <c r="T15" s="31" t="s">
        <v>641</v>
      </c>
      <c r="U15" s="23" t="s">
        <v>639</v>
      </c>
    </row>
    <row r="16" spans="1:21" ht="7" customHeight="1" x14ac:dyDescent="0.4">
      <c r="A16" s="22">
        <v>16</v>
      </c>
      <c r="B16" s="45" t="s">
        <v>558</v>
      </c>
      <c r="C16" s="39" t="s">
        <v>553</v>
      </c>
      <c r="D16" s="47" t="s">
        <v>496</v>
      </c>
      <c r="E16" s="43" t="s">
        <v>556</v>
      </c>
      <c r="F16" s="47" t="s">
        <v>1</v>
      </c>
      <c r="G16" s="43" t="s">
        <v>1</v>
      </c>
      <c r="H16" s="31" t="s">
        <v>385</v>
      </c>
      <c r="I16" s="23" t="s">
        <v>638</v>
      </c>
      <c r="J16" s="31" t="s">
        <v>1</v>
      </c>
      <c r="K16" s="23" t="s">
        <v>1</v>
      </c>
      <c r="L16" s="31" t="s">
        <v>1</v>
      </c>
      <c r="M16" s="23" t="s">
        <v>1</v>
      </c>
      <c r="N16" s="31" t="s">
        <v>386</v>
      </c>
      <c r="O16" s="23" t="s">
        <v>660</v>
      </c>
      <c r="P16" s="31" t="s">
        <v>640</v>
      </c>
      <c r="Q16" s="23" t="s">
        <v>639</v>
      </c>
      <c r="R16" s="31" t="s">
        <v>1</v>
      </c>
      <c r="S16" s="23" t="s">
        <v>1</v>
      </c>
      <c r="T16" s="31" t="s">
        <v>641</v>
      </c>
      <c r="U16" s="23" t="s">
        <v>639</v>
      </c>
    </row>
    <row r="17" spans="1:21" ht="7" customHeight="1" x14ac:dyDescent="0.4">
      <c r="A17" s="22">
        <v>17</v>
      </c>
      <c r="B17" s="45" t="s">
        <v>443</v>
      </c>
      <c r="C17" s="39" t="s">
        <v>400</v>
      </c>
      <c r="D17" s="47" t="s">
        <v>557</v>
      </c>
      <c r="E17" s="43" t="s">
        <v>532</v>
      </c>
      <c r="F17" s="47" t="s">
        <v>1</v>
      </c>
      <c r="G17" s="43" t="s">
        <v>1</v>
      </c>
      <c r="H17" s="31" t="s">
        <v>385</v>
      </c>
      <c r="I17" s="23" t="s">
        <v>444</v>
      </c>
      <c r="J17" s="31" t="s">
        <v>1</v>
      </c>
      <c r="K17" s="23" t="s">
        <v>1</v>
      </c>
      <c r="L17" s="31" t="s">
        <v>1</v>
      </c>
      <c r="M17" s="23" t="s">
        <v>1</v>
      </c>
      <c r="N17" s="31" t="s">
        <v>386</v>
      </c>
      <c r="O17" s="23" t="s">
        <v>445</v>
      </c>
      <c r="P17" s="31" t="s">
        <v>640</v>
      </c>
      <c r="Q17" s="23" t="s">
        <v>644</v>
      </c>
      <c r="R17" s="31" t="s">
        <v>689</v>
      </c>
      <c r="S17" s="23" t="s">
        <v>690</v>
      </c>
      <c r="T17" s="31" t="s">
        <v>641</v>
      </c>
      <c r="U17" s="23" t="s">
        <v>645</v>
      </c>
    </row>
    <row r="18" spans="1:21" ht="7" customHeight="1" x14ac:dyDescent="0.4">
      <c r="A18" s="22">
        <v>18</v>
      </c>
      <c r="B18" s="45" t="s">
        <v>446</v>
      </c>
      <c r="C18" s="39" t="s">
        <v>400</v>
      </c>
      <c r="D18" s="47" t="s">
        <v>557</v>
      </c>
      <c r="E18" s="43" t="s">
        <v>537</v>
      </c>
      <c r="F18" s="47" t="s">
        <v>1</v>
      </c>
      <c r="G18" s="43" t="s">
        <v>1</v>
      </c>
      <c r="H18" s="31" t="s">
        <v>385</v>
      </c>
      <c r="I18" s="23" t="s">
        <v>392</v>
      </c>
      <c r="J18" s="31" t="s">
        <v>1</v>
      </c>
      <c r="K18" s="23" t="s">
        <v>1</v>
      </c>
      <c r="L18" s="31" t="s">
        <v>1</v>
      </c>
      <c r="M18" s="23" t="s">
        <v>1</v>
      </c>
      <c r="N18" s="31" t="s">
        <v>386</v>
      </c>
      <c r="O18" s="23" t="s">
        <v>447</v>
      </c>
      <c r="P18" s="31" t="s">
        <v>640</v>
      </c>
      <c r="Q18" s="23" t="s">
        <v>644</v>
      </c>
      <c r="R18" s="31" t="s">
        <v>689</v>
      </c>
      <c r="S18" s="23" t="s">
        <v>690</v>
      </c>
      <c r="T18" s="31" t="s">
        <v>641</v>
      </c>
      <c r="U18" s="23" t="s">
        <v>645</v>
      </c>
    </row>
    <row r="19" spans="1:21" ht="7" customHeight="1" x14ac:dyDescent="0.4">
      <c r="A19" s="22">
        <v>19</v>
      </c>
      <c r="B19" s="45" t="s">
        <v>448</v>
      </c>
      <c r="C19" s="39" t="s">
        <v>400</v>
      </c>
      <c r="D19" s="47" t="s">
        <v>557</v>
      </c>
      <c r="E19" s="43" t="s">
        <v>533</v>
      </c>
      <c r="F19" s="47" t="s">
        <v>1</v>
      </c>
      <c r="G19" s="43" t="s">
        <v>1</v>
      </c>
      <c r="H19" s="31" t="s">
        <v>385</v>
      </c>
      <c r="I19" s="23" t="s">
        <v>393</v>
      </c>
      <c r="J19" s="31" t="s">
        <v>1</v>
      </c>
      <c r="K19" s="23" t="s">
        <v>1</v>
      </c>
      <c r="L19" s="31" t="s">
        <v>1</v>
      </c>
      <c r="M19" s="23" t="s">
        <v>1</v>
      </c>
      <c r="N19" s="31" t="s">
        <v>386</v>
      </c>
      <c r="O19" s="23" t="s">
        <v>393</v>
      </c>
      <c r="P19" s="31" t="s">
        <v>640</v>
      </c>
      <c r="Q19" s="23" t="s">
        <v>644</v>
      </c>
      <c r="R19" s="31" t="s">
        <v>689</v>
      </c>
      <c r="S19" s="23" t="s">
        <v>690</v>
      </c>
      <c r="T19" s="31" t="s">
        <v>641</v>
      </c>
      <c r="U19" s="23" t="s">
        <v>645</v>
      </c>
    </row>
    <row r="20" spans="1:21" ht="7" customHeight="1" x14ac:dyDescent="0.4">
      <c r="A20" s="22">
        <v>20</v>
      </c>
      <c r="B20" s="45" t="s">
        <v>449</v>
      </c>
      <c r="C20" s="39" t="s">
        <v>400</v>
      </c>
      <c r="D20" s="47" t="s">
        <v>557</v>
      </c>
      <c r="E20" s="43" t="s">
        <v>534</v>
      </c>
      <c r="F20" s="47" t="s">
        <v>1</v>
      </c>
      <c r="G20" s="43" t="s">
        <v>1</v>
      </c>
      <c r="H20" s="31" t="s">
        <v>385</v>
      </c>
      <c r="I20" s="23" t="s">
        <v>450</v>
      </c>
      <c r="J20" s="31" t="s">
        <v>1</v>
      </c>
      <c r="K20" s="23" t="s">
        <v>1</v>
      </c>
      <c r="L20" s="31" t="s">
        <v>1</v>
      </c>
      <c r="M20" s="23" t="s">
        <v>1</v>
      </c>
      <c r="N20" s="31" t="s">
        <v>386</v>
      </c>
      <c r="O20" s="23" t="s">
        <v>451</v>
      </c>
      <c r="P20" s="31" t="s">
        <v>640</v>
      </c>
      <c r="Q20" s="23" t="s">
        <v>644</v>
      </c>
      <c r="R20" s="31" t="s">
        <v>689</v>
      </c>
      <c r="S20" s="23" t="s">
        <v>690</v>
      </c>
      <c r="T20" s="31" t="s">
        <v>641</v>
      </c>
      <c r="U20" s="23" t="s">
        <v>645</v>
      </c>
    </row>
    <row r="21" spans="1:21" ht="7" customHeight="1" x14ac:dyDescent="0.4">
      <c r="A21" s="22">
        <v>21</v>
      </c>
      <c r="B21" s="45" t="s">
        <v>452</v>
      </c>
      <c r="C21" s="39" t="s">
        <v>400</v>
      </c>
      <c r="D21" s="47" t="s">
        <v>557</v>
      </c>
      <c r="E21" s="43" t="s">
        <v>542</v>
      </c>
      <c r="F21" s="47" t="s">
        <v>1</v>
      </c>
      <c r="G21" s="43" t="s">
        <v>1</v>
      </c>
      <c r="H21" s="31" t="s">
        <v>385</v>
      </c>
      <c r="I21" s="23" t="s">
        <v>450</v>
      </c>
      <c r="J21" s="31" t="s">
        <v>1</v>
      </c>
      <c r="K21" s="23" t="s">
        <v>1</v>
      </c>
      <c r="L21" s="31" t="s">
        <v>1</v>
      </c>
      <c r="M21" s="23" t="s">
        <v>1</v>
      </c>
      <c r="N21" s="31" t="s">
        <v>386</v>
      </c>
      <c r="O21" s="23" t="s">
        <v>529</v>
      </c>
      <c r="P21" s="31" t="s">
        <v>640</v>
      </c>
      <c r="Q21" s="23" t="s">
        <v>644</v>
      </c>
      <c r="R21" s="31" t="s">
        <v>689</v>
      </c>
      <c r="S21" s="23" t="s">
        <v>690</v>
      </c>
      <c r="T21" s="31" t="s">
        <v>641</v>
      </c>
      <c r="U21" s="23" t="s">
        <v>645</v>
      </c>
    </row>
    <row r="22" spans="1:21" ht="7" customHeight="1" x14ac:dyDescent="0.4">
      <c r="A22" s="22">
        <v>22</v>
      </c>
      <c r="B22" s="45" t="s">
        <v>453</v>
      </c>
      <c r="C22" s="39" t="s">
        <v>400</v>
      </c>
      <c r="D22" s="47" t="s">
        <v>557</v>
      </c>
      <c r="E22" s="43" t="s">
        <v>543</v>
      </c>
      <c r="F22" s="47" t="s">
        <v>1</v>
      </c>
      <c r="G22" s="43" t="s">
        <v>1</v>
      </c>
      <c r="H22" s="31" t="s">
        <v>385</v>
      </c>
      <c r="I22" s="23" t="s">
        <v>450</v>
      </c>
      <c r="J22" s="31" t="s">
        <v>1</v>
      </c>
      <c r="K22" s="23" t="s">
        <v>1</v>
      </c>
      <c r="L22" s="31" t="s">
        <v>1</v>
      </c>
      <c r="M22" s="23" t="s">
        <v>1</v>
      </c>
      <c r="N22" s="31" t="s">
        <v>386</v>
      </c>
      <c r="O22" s="23" t="s">
        <v>454</v>
      </c>
      <c r="P22" s="31" t="s">
        <v>640</v>
      </c>
      <c r="Q22" s="23" t="s">
        <v>644</v>
      </c>
      <c r="R22" s="31" t="s">
        <v>689</v>
      </c>
      <c r="S22" s="23" t="s">
        <v>690</v>
      </c>
      <c r="T22" s="31" t="s">
        <v>641</v>
      </c>
      <c r="U22" s="23" t="s">
        <v>645</v>
      </c>
    </row>
    <row r="23" spans="1:21" ht="7" customHeight="1" x14ac:dyDescent="0.4">
      <c r="A23" s="22">
        <v>23</v>
      </c>
      <c r="B23" s="45" t="s">
        <v>455</v>
      </c>
      <c r="C23" s="39" t="s">
        <v>400</v>
      </c>
      <c r="D23" s="47" t="s">
        <v>557</v>
      </c>
      <c r="E23" s="43" t="s">
        <v>535</v>
      </c>
      <c r="F23" s="47" t="s">
        <v>1</v>
      </c>
      <c r="G23" s="43" t="s">
        <v>1</v>
      </c>
      <c r="H23" s="31" t="s">
        <v>385</v>
      </c>
      <c r="I23" s="23" t="s">
        <v>456</v>
      </c>
      <c r="J23" s="31" t="s">
        <v>1</v>
      </c>
      <c r="K23" s="23" t="s">
        <v>1</v>
      </c>
      <c r="L23" s="31" t="s">
        <v>1</v>
      </c>
      <c r="M23" s="23" t="s">
        <v>1</v>
      </c>
      <c r="N23" s="31" t="s">
        <v>386</v>
      </c>
      <c r="O23" s="23" t="s">
        <v>457</v>
      </c>
      <c r="P23" s="31" t="s">
        <v>640</v>
      </c>
      <c r="Q23" s="23" t="s">
        <v>644</v>
      </c>
      <c r="R23" s="31" t="s">
        <v>689</v>
      </c>
      <c r="S23" s="23" t="s">
        <v>690</v>
      </c>
      <c r="T23" s="31" t="s">
        <v>641</v>
      </c>
      <c r="U23" s="23" t="s">
        <v>645</v>
      </c>
    </row>
    <row r="24" spans="1:21" ht="7" customHeight="1" x14ac:dyDescent="0.4">
      <c r="A24" s="22">
        <v>24</v>
      </c>
      <c r="B24" s="45" t="s">
        <v>458</v>
      </c>
      <c r="C24" s="39" t="s">
        <v>400</v>
      </c>
      <c r="D24" s="47" t="s">
        <v>557</v>
      </c>
      <c r="E24" s="43" t="s">
        <v>544</v>
      </c>
      <c r="F24" s="47" t="s">
        <v>1</v>
      </c>
      <c r="G24" s="43" t="s">
        <v>1</v>
      </c>
      <c r="H24" s="31" t="s">
        <v>385</v>
      </c>
      <c r="I24" s="23" t="s">
        <v>456</v>
      </c>
      <c r="J24" s="31" t="s">
        <v>1</v>
      </c>
      <c r="K24" s="23" t="s">
        <v>1</v>
      </c>
      <c r="L24" s="31" t="s">
        <v>1</v>
      </c>
      <c r="M24" s="23" t="s">
        <v>1</v>
      </c>
      <c r="N24" s="31" t="s">
        <v>386</v>
      </c>
      <c r="O24" s="23" t="s">
        <v>388</v>
      </c>
      <c r="P24" s="31" t="s">
        <v>640</v>
      </c>
      <c r="Q24" s="23" t="s">
        <v>644</v>
      </c>
      <c r="R24" s="31" t="s">
        <v>689</v>
      </c>
      <c r="S24" s="23" t="s">
        <v>690</v>
      </c>
      <c r="T24" s="31" t="s">
        <v>641</v>
      </c>
      <c r="U24" s="23" t="s">
        <v>645</v>
      </c>
    </row>
    <row r="25" spans="1:21" ht="7" customHeight="1" x14ac:dyDescent="0.4">
      <c r="A25" s="22">
        <v>25</v>
      </c>
      <c r="B25" s="45" t="s">
        <v>459</v>
      </c>
      <c r="C25" s="39" t="s">
        <v>400</v>
      </c>
      <c r="D25" s="47" t="s">
        <v>557</v>
      </c>
      <c r="E25" s="43" t="s">
        <v>543</v>
      </c>
      <c r="F25" s="47" t="s">
        <v>1</v>
      </c>
      <c r="G25" s="43" t="s">
        <v>1</v>
      </c>
      <c r="H25" s="31" t="s">
        <v>385</v>
      </c>
      <c r="I25" s="23" t="s">
        <v>460</v>
      </c>
      <c r="J25" s="31" t="s">
        <v>1</v>
      </c>
      <c r="K25" s="23" t="s">
        <v>1</v>
      </c>
      <c r="L25" s="31" t="s">
        <v>1</v>
      </c>
      <c r="M25" s="23" t="s">
        <v>1</v>
      </c>
      <c r="N25" s="31" t="s">
        <v>386</v>
      </c>
      <c r="O25" s="23" t="s">
        <v>461</v>
      </c>
      <c r="P25" s="31" t="s">
        <v>640</v>
      </c>
      <c r="Q25" s="23" t="s">
        <v>644</v>
      </c>
      <c r="R25" s="31" t="s">
        <v>689</v>
      </c>
      <c r="S25" s="23" t="s">
        <v>690</v>
      </c>
      <c r="T25" s="31" t="s">
        <v>641</v>
      </c>
      <c r="U25" s="23" t="s">
        <v>645</v>
      </c>
    </row>
    <row r="26" spans="1:21" ht="7" customHeight="1" x14ac:dyDescent="0.4">
      <c r="A26" s="22">
        <v>26</v>
      </c>
      <c r="B26" s="45" t="s">
        <v>462</v>
      </c>
      <c r="C26" s="39" t="s">
        <v>401</v>
      </c>
      <c r="D26" s="41" t="s">
        <v>496</v>
      </c>
      <c r="E26" s="43" t="s">
        <v>443</v>
      </c>
      <c r="F26" s="41" t="s">
        <v>496</v>
      </c>
      <c r="G26" s="42" t="s">
        <v>532</v>
      </c>
      <c r="H26" s="31" t="s">
        <v>385</v>
      </c>
      <c r="I26" s="23" t="s">
        <v>599</v>
      </c>
      <c r="J26" s="31" t="s">
        <v>463</v>
      </c>
      <c r="K26" s="23" t="s">
        <v>514</v>
      </c>
      <c r="L26" s="31" t="s">
        <v>1</v>
      </c>
      <c r="M26" s="23" t="s">
        <v>1</v>
      </c>
      <c r="N26" s="31" t="s">
        <v>386</v>
      </c>
      <c r="O26" s="23" t="s">
        <v>464</v>
      </c>
      <c r="P26" s="31" t="s">
        <v>640</v>
      </c>
      <c r="Q26" s="23" t="s">
        <v>644</v>
      </c>
      <c r="R26" s="31" t="s">
        <v>689</v>
      </c>
      <c r="S26" s="23" t="s">
        <v>690</v>
      </c>
      <c r="T26" s="31" t="s">
        <v>641</v>
      </c>
      <c r="U26" s="23" t="s">
        <v>645</v>
      </c>
    </row>
    <row r="27" spans="1:21" ht="7" customHeight="1" x14ac:dyDescent="0.4">
      <c r="A27" s="22">
        <v>27</v>
      </c>
      <c r="B27" s="45" t="s">
        <v>465</v>
      </c>
      <c r="C27" s="39" t="s">
        <v>401</v>
      </c>
      <c r="D27" s="41" t="s">
        <v>496</v>
      </c>
      <c r="E27" s="43" t="s">
        <v>443</v>
      </c>
      <c r="F27" s="41" t="s">
        <v>496</v>
      </c>
      <c r="G27" s="42" t="s">
        <v>532</v>
      </c>
      <c r="H27" s="31" t="s">
        <v>385</v>
      </c>
      <c r="I27" s="23" t="s">
        <v>599</v>
      </c>
      <c r="J27" s="31" t="s">
        <v>463</v>
      </c>
      <c r="K27" s="23" t="s">
        <v>515</v>
      </c>
      <c r="L27" s="31" t="s">
        <v>1</v>
      </c>
      <c r="M27" s="23" t="s">
        <v>1</v>
      </c>
      <c r="N27" s="31" t="s">
        <v>386</v>
      </c>
      <c r="O27" s="23" t="s">
        <v>515</v>
      </c>
      <c r="P27" s="31" t="s">
        <v>640</v>
      </c>
      <c r="Q27" s="23" t="s">
        <v>644</v>
      </c>
      <c r="R27" s="31" t="s">
        <v>689</v>
      </c>
      <c r="S27" s="23" t="s">
        <v>690</v>
      </c>
      <c r="T27" s="31" t="s">
        <v>641</v>
      </c>
      <c r="U27" s="23" t="s">
        <v>645</v>
      </c>
    </row>
    <row r="28" spans="1:21" ht="7" customHeight="1" x14ac:dyDescent="0.4">
      <c r="A28" s="22">
        <v>28</v>
      </c>
      <c r="B28" s="45" t="s">
        <v>466</v>
      </c>
      <c r="C28" s="39" t="s">
        <v>401</v>
      </c>
      <c r="D28" s="41" t="s">
        <v>496</v>
      </c>
      <c r="E28" s="43" t="s">
        <v>443</v>
      </c>
      <c r="F28" s="41" t="s">
        <v>496</v>
      </c>
      <c r="G28" s="42" t="s">
        <v>532</v>
      </c>
      <c r="H28" s="31" t="s">
        <v>385</v>
      </c>
      <c r="I28" s="23" t="s">
        <v>599</v>
      </c>
      <c r="J28" s="31" t="s">
        <v>463</v>
      </c>
      <c r="K28" s="23" t="s">
        <v>516</v>
      </c>
      <c r="L28" s="31" t="s">
        <v>1</v>
      </c>
      <c r="M28" s="23" t="s">
        <v>1</v>
      </c>
      <c r="N28" s="31" t="s">
        <v>386</v>
      </c>
      <c r="O28" s="23" t="s">
        <v>516</v>
      </c>
      <c r="P28" s="31" t="s">
        <v>640</v>
      </c>
      <c r="Q28" s="23" t="s">
        <v>644</v>
      </c>
      <c r="R28" s="31" t="s">
        <v>689</v>
      </c>
      <c r="S28" s="23" t="s">
        <v>690</v>
      </c>
      <c r="T28" s="31" t="s">
        <v>641</v>
      </c>
      <c r="U28" s="23" t="s">
        <v>645</v>
      </c>
    </row>
    <row r="29" spans="1:21" ht="7" customHeight="1" x14ac:dyDescent="0.4">
      <c r="A29" s="22">
        <v>29</v>
      </c>
      <c r="B29" s="45" t="s">
        <v>469</v>
      </c>
      <c r="C29" s="39" t="s">
        <v>401</v>
      </c>
      <c r="D29" s="41" t="s">
        <v>496</v>
      </c>
      <c r="E29" s="43" t="s">
        <v>446</v>
      </c>
      <c r="F29" s="41" t="s">
        <v>496</v>
      </c>
      <c r="G29" s="42" t="s">
        <v>537</v>
      </c>
      <c r="H29" s="31" t="s">
        <v>385</v>
      </c>
      <c r="I29" s="23" t="s">
        <v>599</v>
      </c>
      <c r="J29" s="31" t="s">
        <v>463</v>
      </c>
      <c r="K29" s="23" t="s">
        <v>517</v>
      </c>
      <c r="L29" s="31" t="s">
        <v>1</v>
      </c>
      <c r="M29" s="23" t="s">
        <v>1</v>
      </c>
      <c r="N29" s="31" t="s">
        <v>386</v>
      </c>
      <c r="O29" s="23" t="s">
        <v>470</v>
      </c>
      <c r="P29" s="31" t="s">
        <v>640</v>
      </c>
      <c r="Q29" s="23" t="s">
        <v>644</v>
      </c>
      <c r="R29" s="31" t="s">
        <v>689</v>
      </c>
      <c r="S29" s="23" t="s">
        <v>690</v>
      </c>
      <c r="T29" s="31" t="s">
        <v>641</v>
      </c>
      <c r="U29" s="23" t="s">
        <v>645</v>
      </c>
    </row>
    <row r="30" spans="1:21" ht="7" customHeight="1" x14ac:dyDescent="0.4">
      <c r="A30" s="22">
        <v>30</v>
      </c>
      <c r="B30" s="45" t="s">
        <v>471</v>
      </c>
      <c r="C30" s="39" t="s">
        <v>401</v>
      </c>
      <c r="D30" s="41" t="s">
        <v>496</v>
      </c>
      <c r="E30" s="43" t="s">
        <v>446</v>
      </c>
      <c r="F30" s="41" t="s">
        <v>496</v>
      </c>
      <c r="G30" s="42" t="s">
        <v>537</v>
      </c>
      <c r="H30" s="31" t="s">
        <v>385</v>
      </c>
      <c r="I30" s="23" t="s">
        <v>599</v>
      </c>
      <c r="J30" s="31" t="s">
        <v>463</v>
      </c>
      <c r="K30" s="23" t="s">
        <v>517</v>
      </c>
      <c r="L30" s="31" t="s">
        <v>1</v>
      </c>
      <c r="M30" s="23" t="s">
        <v>1</v>
      </c>
      <c r="N30" s="31" t="s">
        <v>386</v>
      </c>
      <c r="O30" s="23" t="s">
        <v>472</v>
      </c>
      <c r="P30" s="31" t="s">
        <v>640</v>
      </c>
      <c r="Q30" s="23" t="s">
        <v>644</v>
      </c>
      <c r="R30" s="31" t="s">
        <v>689</v>
      </c>
      <c r="S30" s="23" t="s">
        <v>690</v>
      </c>
      <c r="T30" s="31" t="s">
        <v>641</v>
      </c>
      <c r="U30" s="23" t="s">
        <v>645</v>
      </c>
    </row>
    <row r="31" spans="1:21" ht="7" customHeight="1" x14ac:dyDescent="0.4">
      <c r="A31" s="22">
        <v>31</v>
      </c>
      <c r="B31" s="45" t="s">
        <v>467</v>
      </c>
      <c r="C31" s="39" t="s">
        <v>401</v>
      </c>
      <c r="D31" s="41" t="s">
        <v>496</v>
      </c>
      <c r="E31" s="43" t="s">
        <v>448</v>
      </c>
      <c r="F31" s="41" t="s">
        <v>496</v>
      </c>
      <c r="G31" s="43" t="s">
        <v>533</v>
      </c>
      <c r="H31" s="31" t="s">
        <v>385</v>
      </c>
      <c r="I31" s="23" t="s">
        <v>599</v>
      </c>
      <c r="J31" s="31" t="s">
        <v>463</v>
      </c>
      <c r="K31" s="23" t="s">
        <v>393</v>
      </c>
      <c r="L31" s="31" t="s">
        <v>1</v>
      </c>
      <c r="M31" s="23" t="s">
        <v>1</v>
      </c>
      <c r="N31" s="31" t="s">
        <v>386</v>
      </c>
      <c r="O31" s="23" t="s">
        <v>468</v>
      </c>
      <c r="P31" s="31" t="s">
        <v>640</v>
      </c>
      <c r="Q31" s="23" t="s">
        <v>644</v>
      </c>
      <c r="R31" s="31" t="s">
        <v>689</v>
      </c>
      <c r="S31" s="23" t="s">
        <v>690</v>
      </c>
      <c r="T31" s="31" t="s">
        <v>641</v>
      </c>
      <c r="U31" s="23" t="s">
        <v>645</v>
      </c>
    </row>
    <row r="32" spans="1:21" ht="7" customHeight="1" x14ac:dyDescent="0.4">
      <c r="A32" s="22">
        <v>32</v>
      </c>
      <c r="B32" s="45" t="s">
        <v>473</v>
      </c>
      <c r="C32" s="39" t="s">
        <v>401</v>
      </c>
      <c r="D32" s="41" t="s">
        <v>496</v>
      </c>
      <c r="E32" s="43" t="s">
        <v>448</v>
      </c>
      <c r="F32" s="41" t="s">
        <v>496</v>
      </c>
      <c r="G32" s="43" t="s">
        <v>533</v>
      </c>
      <c r="H32" s="31" t="s">
        <v>385</v>
      </c>
      <c r="I32" s="23" t="s">
        <v>599</v>
      </c>
      <c r="J32" s="31" t="s">
        <v>463</v>
      </c>
      <c r="K32" s="23" t="s">
        <v>393</v>
      </c>
      <c r="L32" s="31" t="s">
        <v>1</v>
      </c>
      <c r="M32" s="23" t="s">
        <v>1</v>
      </c>
      <c r="N32" s="31" t="s">
        <v>386</v>
      </c>
      <c r="O32" s="23" t="s">
        <v>474</v>
      </c>
      <c r="P32" s="31" t="s">
        <v>640</v>
      </c>
      <c r="Q32" s="23" t="s">
        <v>644</v>
      </c>
      <c r="R32" s="31" t="s">
        <v>689</v>
      </c>
      <c r="S32" s="23" t="s">
        <v>690</v>
      </c>
      <c r="T32" s="31" t="s">
        <v>641</v>
      </c>
      <c r="U32" s="23" t="s">
        <v>645</v>
      </c>
    </row>
    <row r="33" spans="1:21" ht="7" customHeight="1" x14ac:dyDescent="0.4">
      <c r="A33" s="22">
        <v>33</v>
      </c>
      <c r="B33" s="45" t="s">
        <v>475</v>
      </c>
      <c r="C33" s="39" t="s">
        <v>401</v>
      </c>
      <c r="D33" s="41" t="s">
        <v>496</v>
      </c>
      <c r="E33" s="43" t="s">
        <v>448</v>
      </c>
      <c r="F33" s="41" t="s">
        <v>496</v>
      </c>
      <c r="G33" s="43" t="s">
        <v>533</v>
      </c>
      <c r="H33" s="31" t="s">
        <v>385</v>
      </c>
      <c r="I33" s="23" t="s">
        <v>599</v>
      </c>
      <c r="J33" s="31" t="s">
        <v>463</v>
      </c>
      <c r="K33" s="23" t="s">
        <v>393</v>
      </c>
      <c r="L33" s="31" t="s">
        <v>1</v>
      </c>
      <c r="M33" s="23" t="s">
        <v>1</v>
      </c>
      <c r="N33" s="31" t="s">
        <v>386</v>
      </c>
      <c r="O33" s="23" t="s">
        <v>476</v>
      </c>
      <c r="P33" s="31" t="s">
        <v>640</v>
      </c>
      <c r="Q33" s="23" t="s">
        <v>644</v>
      </c>
      <c r="R33" s="31" t="s">
        <v>689</v>
      </c>
      <c r="S33" s="23" t="s">
        <v>690</v>
      </c>
      <c r="T33" s="31" t="s">
        <v>641</v>
      </c>
      <c r="U33" s="23" t="s">
        <v>645</v>
      </c>
    </row>
    <row r="34" spans="1:21" ht="7" customHeight="1" x14ac:dyDescent="0.4">
      <c r="A34" s="22">
        <v>34</v>
      </c>
      <c r="B34" s="45" t="s">
        <v>477</v>
      </c>
      <c r="C34" s="39" t="s">
        <v>401</v>
      </c>
      <c r="D34" s="41" t="s">
        <v>496</v>
      </c>
      <c r="E34" s="43" t="s">
        <v>448</v>
      </c>
      <c r="F34" s="41" t="s">
        <v>496</v>
      </c>
      <c r="G34" s="43" t="s">
        <v>533</v>
      </c>
      <c r="H34" s="31" t="s">
        <v>385</v>
      </c>
      <c r="I34" s="23" t="s">
        <v>599</v>
      </c>
      <c r="J34" s="31" t="s">
        <v>463</v>
      </c>
      <c r="K34" s="23" t="s">
        <v>393</v>
      </c>
      <c r="L34" s="31" t="s">
        <v>1</v>
      </c>
      <c r="M34" s="23" t="s">
        <v>1</v>
      </c>
      <c r="N34" s="31" t="s">
        <v>386</v>
      </c>
      <c r="O34" s="23" t="s">
        <v>572</v>
      </c>
      <c r="P34" s="31" t="s">
        <v>640</v>
      </c>
      <c r="Q34" s="23" t="s">
        <v>644</v>
      </c>
      <c r="R34" s="31" t="s">
        <v>689</v>
      </c>
      <c r="S34" s="23" t="s">
        <v>690</v>
      </c>
      <c r="T34" s="31" t="s">
        <v>641</v>
      </c>
      <c r="U34" s="23" t="s">
        <v>645</v>
      </c>
    </row>
    <row r="35" spans="1:21" ht="7" customHeight="1" x14ac:dyDescent="0.4">
      <c r="A35" s="22">
        <v>35</v>
      </c>
      <c r="B35" s="45" t="s">
        <v>478</v>
      </c>
      <c r="C35" s="39" t="s">
        <v>401</v>
      </c>
      <c r="D35" s="41" t="s">
        <v>496</v>
      </c>
      <c r="E35" s="43" t="s">
        <v>448</v>
      </c>
      <c r="F35" s="41" t="s">
        <v>496</v>
      </c>
      <c r="G35" s="43" t="s">
        <v>533</v>
      </c>
      <c r="H35" s="31" t="s">
        <v>385</v>
      </c>
      <c r="I35" s="23" t="s">
        <v>599</v>
      </c>
      <c r="J35" s="31" t="s">
        <v>463</v>
      </c>
      <c r="K35" s="23" t="s">
        <v>393</v>
      </c>
      <c r="L35" s="31" t="s">
        <v>1</v>
      </c>
      <c r="M35" s="23" t="s">
        <v>1</v>
      </c>
      <c r="N35" s="31" t="s">
        <v>386</v>
      </c>
      <c r="O35" s="23" t="s">
        <v>571</v>
      </c>
      <c r="P35" s="31" t="s">
        <v>640</v>
      </c>
      <c r="Q35" s="23" t="s">
        <v>644</v>
      </c>
      <c r="R35" s="31" t="s">
        <v>689</v>
      </c>
      <c r="S35" s="23" t="s">
        <v>690</v>
      </c>
      <c r="T35" s="31" t="s">
        <v>641</v>
      </c>
      <c r="U35" s="23" t="s">
        <v>645</v>
      </c>
    </row>
    <row r="36" spans="1:21" ht="7" customHeight="1" x14ac:dyDescent="0.4">
      <c r="A36" s="22">
        <v>36</v>
      </c>
      <c r="B36" s="45" t="s">
        <v>479</v>
      </c>
      <c r="C36" s="39" t="s">
        <v>401</v>
      </c>
      <c r="D36" s="41" t="s">
        <v>496</v>
      </c>
      <c r="E36" s="43" t="s">
        <v>449</v>
      </c>
      <c r="F36" s="41" t="s">
        <v>496</v>
      </c>
      <c r="G36" s="42" t="s">
        <v>538</v>
      </c>
      <c r="H36" s="31" t="s">
        <v>385</v>
      </c>
      <c r="I36" s="23" t="s">
        <v>599</v>
      </c>
      <c r="J36" s="31" t="s">
        <v>463</v>
      </c>
      <c r="K36" s="23" t="s">
        <v>518</v>
      </c>
      <c r="L36" s="31" t="s">
        <v>1</v>
      </c>
      <c r="M36" s="23" t="s">
        <v>1</v>
      </c>
      <c r="N36" s="31" t="s">
        <v>386</v>
      </c>
      <c r="O36" s="23" t="s">
        <v>518</v>
      </c>
      <c r="P36" s="31" t="s">
        <v>640</v>
      </c>
      <c r="Q36" s="23" t="s">
        <v>644</v>
      </c>
      <c r="R36" s="31" t="s">
        <v>689</v>
      </c>
      <c r="S36" s="23" t="s">
        <v>690</v>
      </c>
      <c r="T36" s="31" t="s">
        <v>641</v>
      </c>
      <c r="U36" s="23" t="s">
        <v>645</v>
      </c>
    </row>
    <row r="37" spans="1:21" ht="7" customHeight="1" x14ac:dyDescent="0.4">
      <c r="A37" s="22">
        <v>37</v>
      </c>
      <c r="B37" s="45" t="s">
        <v>480</v>
      </c>
      <c r="C37" s="39" t="s">
        <v>401</v>
      </c>
      <c r="D37" s="41" t="s">
        <v>496</v>
      </c>
      <c r="E37" s="43" t="s">
        <v>449</v>
      </c>
      <c r="F37" s="41" t="s">
        <v>496</v>
      </c>
      <c r="G37" s="42" t="s">
        <v>535</v>
      </c>
      <c r="H37" s="31" t="s">
        <v>385</v>
      </c>
      <c r="I37" s="23" t="s">
        <v>599</v>
      </c>
      <c r="J37" s="31" t="s">
        <v>463</v>
      </c>
      <c r="K37" s="23" t="s">
        <v>519</v>
      </c>
      <c r="L37" s="31" t="s">
        <v>1</v>
      </c>
      <c r="M37" s="23" t="s">
        <v>1</v>
      </c>
      <c r="N37" s="31" t="s">
        <v>386</v>
      </c>
      <c r="O37" s="23" t="s">
        <v>481</v>
      </c>
      <c r="P37" s="31" t="s">
        <v>640</v>
      </c>
      <c r="Q37" s="23" t="s">
        <v>644</v>
      </c>
      <c r="R37" s="31" t="s">
        <v>689</v>
      </c>
      <c r="S37" s="23" t="s">
        <v>690</v>
      </c>
      <c r="T37" s="31" t="s">
        <v>641</v>
      </c>
      <c r="U37" s="23" t="s">
        <v>645</v>
      </c>
    </row>
    <row r="38" spans="1:21" ht="7" customHeight="1" x14ac:dyDescent="0.4">
      <c r="A38" s="22">
        <v>38</v>
      </c>
      <c r="B38" s="45" t="s">
        <v>482</v>
      </c>
      <c r="C38" s="39" t="s">
        <v>401</v>
      </c>
      <c r="D38" s="41" t="s">
        <v>496</v>
      </c>
      <c r="E38" s="43" t="s">
        <v>449</v>
      </c>
      <c r="F38" s="41" t="s">
        <v>496</v>
      </c>
      <c r="G38" s="42" t="s">
        <v>535</v>
      </c>
      <c r="H38" s="31" t="s">
        <v>385</v>
      </c>
      <c r="I38" s="23" t="s">
        <v>599</v>
      </c>
      <c r="J38" s="31" t="s">
        <v>463</v>
      </c>
      <c r="K38" s="23" t="s">
        <v>520</v>
      </c>
      <c r="L38" s="31" t="s">
        <v>1</v>
      </c>
      <c r="M38" s="23" t="s">
        <v>1</v>
      </c>
      <c r="N38" s="31" t="s">
        <v>386</v>
      </c>
      <c r="O38" s="23" t="s">
        <v>520</v>
      </c>
      <c r="P38" s="31" t="s">
        <v>640</v>
      </c>
      <c r="Q38" s="23" t="s">
        <v>644</v>
      </c>
      <c r="R38" s="31" t="s">
        <v>689</v>
      </c>
      <c r="S38" s="23" t="s">
        <v>690</v>
      </c>
      <c r="T38" s="31" t="s">
        <v>641</v>
      </c>
      <c r="U38" s="23" t="s">
        <v>645</v>
      </c>
    </row>
    <row r="39" spans="1:21" ht="7" customHeight="1" x14ac:dyDescent="0.4">
      <c r="A39" s="22">
        <v>39</v>
      </c>
      <c r="B39" s="45" t="s">
        <v>483</v>
      </c>
      <c r="C39" s="39" t="s">
        <v>401</v>
      </c>
      <c r="D39" s="41" t="s">
        <v>496</v>
      </c>
      <c r="E39" s="43" t="s">
        <v>452</v>
      </c>
      <c r="F39" s="41" t="s">
        <v>496</v>
      </c>
      <c r="G39" s="42" t="s">
        <v>542</v>
      </c>
      <c r="H39" s="31" t="s">
        <v>385</v>
      </c>
      <c r="I39" s="23" t="s">
        <v>599</v>
      </c>
      <c r="J39" s="31" t="s">
        <v>463</v>
      </c>
      <c r="K39" s="23" t="s">
        <v>521</v>
      </c>
      <c r="L39" s="31" t="s">
        <v>1</v>
      </c>
      <c r="M39" s="23" t="s">
        <v>1</v>
      </c>
      <c r="N39" s="31" t="s">
        <v>386</v>
      </c>
      <c r="O39" s="23" t="s">
        <v>521</v>
      </c>
      <c r="P39" s="31" t="s">
        <v>640</v>
      </c>
      <c r="Q39" s="23" t="s">
        <v>644</v>
      </c>
      <c r="R39" s="31" t="s">
        <v>689</v>
      </c>
      <c r="S39" s="23" t="s">
        <v>690</v>
      </c>
      <c r="T39" s="31" t="s">
        <v>641</v>
      </c>
      <c r="U39" s="23" t="s">
        <v>645</v>
      </c>
    </row>
    <row r="40" spans="1:21" ht="7" customHeight="1" x14ac:dyDescent="0.4">
      <c r="A40" s="22">
        <v>40</v>
      </c>
      <c r="B40" s="45" t="s">
        <v>484</v>
      </c>
      <c r="C40" s="39" t="s">
        <v>401</v>
      </c>
      <c r="D40" s="41" t="s">
        <v>496</v>
      </c>
      <c r="E40" s="43" t="s">
        <v>452</v>
      </c>
      <c r="F40" s="41" t="s">
        <v>496</v>
      </c>
      <c r="G40" s="42" t="s">
        <v>542</v>
      </c>
      <c r="H40" s="31" t="s">
        <v>385</v>
      </c>
      <c r="I40" s="23" t="s">
        <v>599</v>
      </c>
      <c r="J40" s="31" t="s">
        <v>463</v>
      </c>
      <c r="K40" s="23" t="s">
        <v>522</v>
      </c>
      <c r="L40" s="31" t="s">
        <v>1</v>
      </c>
      <c r="M40" s="23" t="s">
        <v>1</v>
      </c>
      <c r="N40" s="31" t="s">
        <v>386</v>
      </c>
      <c r="O40" s="23" t="s">
        <v>522</v>
      </c>
      <c r="P40" s="31" t="s">
        <v>640</v>
      </c>
      <c r="Q40" s="23" t="s">
        <v>644</v>
      </c>
      <c r="R40" s="31" t="s">
        <v>689</v>
      </c>
      <c r="S40" s="23" t="s">
        <v>690</v>
      </c>
      <c r="T40" s="31" t="s">
        <v>641</v>
      </c>
      <c r="U40" s="23" t="s">
        <v>645</v>
      </c>
    </row>
    <row r="41" spans="1:21" ht="7" customHeight="1" x14ac:dyDescent="0.4">
      <c r="A41" s="22">
        <v>41</v>
      </c>
      <c r="B41" s="45" t="s">
        <v>485</v>
      </c>
      <c r="C41" s="39" t="s">
        <v>401</v>
      </c>
      <c r="D41" s="41" t="s">
        <v>496</v>
      </c>
      <c r="E41" s="43" t="s">
        <v>452</v>
      </c>
      <c r="F41" s="41" t="s">
        <v>496</v>
      </c>
      <c r="G41" s="42" t="s">
        <v>542</v>
      </c>
      <c r="H41" s="31" t="s">
        <v>385</v>
      </c>
      <c r="I41" s="23" t="s">
        <v>599</v>
      </c>
      <c r="J41" s="31" t="s">
        <v>463</v>
      </c>
      <c r="K41" s="23" t="s">
        <v>523</v>
      </c>
      <c r="L41" s="31" t="s">
        <v>1</v>
      </c>
      <c r="M41" s="23" t="s">
        <v>1</v>
      </c>
      <c r="N41" s="31" t="s">
        <v>386</v>
      </c>
      <c r="O41" s="23" t="s">
        <v>523</v>
      </c>
      <c r="P41" s="31" t="s">
        <v>640</v>
      </c>
      <c r="Q41" s="23" t="s">
        <v>644</v>
      </c>
      <c r="R41" s="31" t="s">
        <v>689</v>
      </c>
      <c r="S41" s="23" t="s">
        <v>690</v>
      </c>
      <c r="T41" s="31" t="s">
        <v>641</v>
      </c>
      <c r="U41" s="23" t="s">
        <v>645</v>
      </c>
    </row>
    <row r="42" spans="1:21" ht="7" customHeight="1" x14ac:dyDescent="0.4">
      <c r="A42" s="22">
        <v>42</v>
      </c>
      <c r="B42" s="45" t="s">
        <v>486</v>
      </c>
      <c r="C42" s="39" t="s">
        <v>401</v>
      </c>
      <c r="D42" s="41" t="s">
        <v>496</v>
      </c>
      <c r="E42" s="43" t="s">
        <v>452</v>
      </c>
      <c r="F42" s="41" t="s">
        <v>496</v>
      </c>
      <c r="G42" s="42" t="s">
        <v>542</v>
      </c>
      <c r="H42" s="31" t="s">
        <v>385</v>
      </c>
      <c r="I42" s="23" t="s">
        <v>599</v>
      </c>
      <c r="J42" s="31" t="s">
        <v>463</v>
      </c>
      <c r="K42" s="23" t="s">
        <v>524</v>
      </c>
      <c r="L42" s="31" t="s">
        <v>1</v>
      </c>
      <c r="M42" s="23" t="s">
        <v>1</v>
      </c>
      <c r="N42" s="31" t="s">
        <v>386</v>
      </c>
      <c r="O42" s="23" t="s">
        <v>524</v>
      </c>
      <c r="P42" s="31" t="s">
        <v>640</v>
      </c>
      <c r="Q42" s="23" t="s">
        <v>644</v>
      </c>
      <c r="R42" s="31" t="s">
        <v>689</v>
      </c>
      <c r="S42" s="23" t="s">
        <v>690</v>
      </c>
      <c r="T42" s="31" t="s">
        <v>641</v>
      </c>
      <c r="U42" s="23" t="s">
        <v>645</v>
      </c>
    </row>
    <row r="43" spans="1:21" ht="7" customHeight="1" x14ac:dyDescent="0.4">
      <c r="A43" s="22">
        <v>43</v>
      </c>
      <c r="B43" s="45" t="s">
        <v>487</v>
      </c>
      <c r="C43" s="39" t="s">
        <v>401</v>
      </c>
      <c r="D43" s="41" t="s">
        <v>496</v>
      </c>
      <c r="E43" s="43" t="s">
        <v>452</v>
      </c>
      <c r="F43" s="41" t="s">
        <v>496</v>
      </c>
      <c r="G43" s="42" t="s">
        <v>542</v>
      </c>
      <c r="H43" s="31" t="s">
        <v>385</v>
      </c>
      <c r="I43" s="23" t="s">
        <v>599</v>
      </c>
      <c r="J43" s="31" t="s">
        <v>463</v>
      </c>
      <c r="K43" s="23" t="s">
        <v>525</v>
      </c>
      <c r="L43" s="31" t="s">
        <v>1</v>
      </c>
      <c r="M43" s="23" t="s">
        <v>1</v>
      </c>
      <c r="N43" s="31" t="s">
        <v>386</v>
      </c>
      <c r="O43" s="23" t="s">
        <v>488</v>
      </c>
      <c r="P43" s="31" t="s">
        <v>640</v>
      </c>
      <c r="Q43" s="23" t="s">
        <v>644</v>
      </c>
      <c r="R43" s="31" t="s">
        <v>689</v>
      </c>
      <c r="S43" s="23" t="s">
        <v>690</v>
      </c>
      <c r="T43" s="31" t="s">
        <v>641</v>
      </c>
      <c r="U43" s="23" t="s">
        <v>645</v>
      </c>
    </row>
    <row r="44" spans="1:21" ht="7" customHeight="1" x14ac:dyDescent="0.4">
      <c r="A44" s="22">
        <v>44</v>
      </c>
      <c r="B44" s="45" t="s">
        <v>489</v>
      </c>
      <c r="C44" s="39" t="s">
        <v>401</v>
      </c>
      <c r="D44" s="41" t="s">
        <v>496</v>
      </c>
      <c r="E44" s="43" t="s">
        <v>452</v>
      </c>
      <c r="F44" s="41" t="s">
        <v>496</v>
      </c>
      <c r="G44" s="42" t="s">
        <v>542</v>
      </c>
      <c r="H44" s="31" t="s">
        <v>385</v>
      </c>
      <c r="I44" s="23" t="s">
        <v>599</v>
      </c>
      <c r="J44" s="31" t="s">
        <v>463</v>
      </c>
      <c r="K44" s="23" t="s">
        <v>526</v>
      </c>
      <c r="L44" s="31" t="s">
        <v>1</v>
      </c>
      <c r="M44" s="23" t="s">
        <v>1</v>
      </c>
      <c r="N44" s="31" t="s">
        <v>386</v>
      </c>
      <c r="O44" s="23" t="s">
        <v>490</v>
      </c>
      <c r="P44" s="31" t="s">
        <v>640</v>
      </c>
      <c r="Q44" s="23" t="s">
        <v>644</v>
      </c>
      <c r="R44" s="31" t="s">
        <v>689</v>
      </c>
      <c r="S44" s="23" t="s">
        <v>690</v>
      </c>
      <c r="T44" s="31" t="s">
        <v>641</v>
      </c>
      <c r="U44" s="23" t="s">
        <v>645</v>
      </c>
    </row>
    <row r="45" spans="1:21" ht="7" customHeight="1" x14ac:dyDescent="0.4">
      <c r="A45" s="22">
        <v>45</v>
      </c>
      <c r="B45" s="45" t="s">
        <v>491</v>
      </c>
      <c r="C45" s="39" t="s">
        <v>401</v>
      </c>
      <c r="D45" s="41" t="s">
        <v>496</v>
      </c>
      <c r="E45" s="43" t="s">
        <v>453</v>
      </c>
      <c r="F45" s="41" t="s">
        <v>496</v>
      </c>
      <c r="G45" s="44" t="s">
        <v>543</v>
      </c>
      <c r="H45" s="31" t="s">
        <v>385</v>
      </c>
      <c r="I45" s="23" t="s">
        <v>599</v>
      </c>
      <c r="J45" s="31" t="s">
        <v>463</v>
      </c>
      <c r="K45" s="23" t="s">
        <v>527</v>
      </c>
      <c r="L45" s="31" t="s">
        <v>1</v>
      </c>
      <c r="M45" s="23" t="s">
        <v>1</v>
      </c>
      <c r="N45" s="31" t="s">
        <v>386</v>
      </c>
      <c r="O45" s="23" t="s">
        <v>492</v>
      </c>
      <c r="P45" s="31" t="s">
        <v>640</v>
      </c>
      <c r="Q45" s="23" t="s">
        <v>644</v>
      </c>
      <c r="R45" s="31" t="s">
        <v>689</v>
      </c>
      <c r="S45" s="23" t="s">
        <v>690</v>
      </c>
      <c r="T45" s="31" t="s">
        <v>641</v>
      </c>
      <c r="U45" s="23" t="s">
        <v>645</v>
      </c>
    </row>
    <row r="46" spans="1:21" ht="7" customHeight="1" x14ac:dyDescent="0.4">
      <c r="A46" s="22">
        <v>46</v>
      </c>
      <c r="B46" s="45" t="s">
        <v>493</v>
      </c>
      <c r="C46" s="39" t="s">
        <v>401</v>
      </c>
      <c r="D46" s="41" t="s">
        <v>496</v>
      </c>
      <c r="E46" s="43" t="s">
        <v>455</v>
      </c>
      <c r="F46" s="41" t="s">
        <v>496</v>
      </c>
      <c r="G46" s="42" t="s">
        <v>535</v>
      </c>
      <c r="H46" s="31" t="s">
        <v>385</v>
      </c>
      <c r="I46" s="23" t="s">
        <v>599</v>
      </c>
      <c r="J46" s="31" t="s">
        <v>463</v>
      </c>
      <c r="K46" s="23" t="s">
        <v>528</v>
      </c>
      <c r="L46" s="31" t="s">
        <v>1</v>
      </c>
      <c r="M46" s="23" t="s">
        <v>1</v>
      </c>
      <c r="N46" s="31" t="s">
        <v>386</v>
      </c>
      <c r="O46" s="23" t="s">
        <v>457</v>
      </c>
      <c r="P46" s="31" t="s">
        <v>640</v>
      </c>
      <c r="Q46" s="23" t="s">
        <v>644</v>
      </c>
      <c r="R46" s="31" t="s">
        <v>689</v>
      </c>
      <c r="S46" s="23" t="s">
        <v>690</v>
      </c>
      <c r="T46" s="31" t="s">
        <v>641</v>
      </c>
      <c r="U46" s="23" t="s">
        <v>645</v>
      </c>
    </row>
    <row r="47" spans="1:21" ht="7" customHeight="1" x14ac:dyDescent="0.4">
      <c r="A47" s="22">
        <v>47</v>
      </c>
      <c r="B47" s="45" t="s">
        <v>494</v>
      </c>
      <c r="C47" s="39" t="s">
        <v>401</v>
      </c>
      <c r="D47" s="41" t="s">
        <v>496</v>
      </c>
      <c r="E47" s="43" t="s">
        <v>458</v>
      </c>
      <c r="F47" s="41" t="s">
        <v>496</v>
      </c>
      <c r="G47" s="44" t="s">
        <v>544</v>
      </c>
      <c r="H47" s="31" t="s">
        <v>385</v>
      </c>
      <c r="I47" s="23" t="s">
        <v>599</v>
      </c>
      <c r="J47" s="31" t="s">
        <v>463</v>
      </c>
      <c r="K47" s="23" t="s">
        <v>531</v>
      </c>
      <c r="L47" s="31" t="s">
        <v>1</v>
      </c>
      <c r="M47" s="23" t="s">
        <v>1</v>
      </c>
      <c r="N47" s="31" t="s">
        <v>386</v>
      </c>
      <c r="O47" s="23" t="s">
        <v>388</v>
      </c>
      <c r="P47" s="31" t="s">
        <v>640</v>
      </c>
      <c r="Q47" s="23" t="s">
        <v>644</v>
      </c>
      <c r="R47" s="31" t="s">
        <v>689</v>
      </c>
      <c r="S47" s="23" t="s">
        <v>690</v>
      </c>
      <c r="T47" s="31" t="s">
        <v>641</v>
      </c>
      <c r="U47" s="23" t="s">
        <v>645</v>
      </c>
    </row>
    <row r="48" spans="1:21" ht="7" customHeight="1" x14ac:dyDescent="0.4">
      <c r="A48" s="22">
        <v>48</v>
      </c>
      <c r="B48" s="45" t="s">
        <v>495</v>
      </c>
      <c r="C48" s="39" t="s">
        <v>401</v>
      </c>
      <c r="D48" s="41" t="s">
        <v>496</v>
      </c>
      <c r="E48" s="43" t="s">
        <v>459</v>
      </c>
      <c r="F48" s="41" t="s">
        <v>496</v>
      </c>
      <c r="G48" s="44" t="s">
        <v>543</v>
      </c>
      <c r="H48" s="31" t="s">
        <v>385</v>
      </c>
      <c r="I48" s="23" t="s">
        <v>599</v>
      </c>
      <c r="J48" s="31" t="s">
        <v>463</v>
      </c>
      <c r="K48" s="23" t="s">
        <v>530</v>
      </c>
      <c r="L48" s="31" t="s">
        <v>1</v>
      </c>
      <c r="M48" s="23" t="s">
        <v>1</v>
      </c>
      <c r="N48" s="31" t="s">
        <v>386</v>
      </c>
      <c r="O48" s="23" t="s">
        <v>461</v>
      </c>
      <c r="P48" s="31" t="s">
        <v>640</v>
      </c>
      <c r="Q48" s="23" t="s">
        <v>644</v>
      </c>
      <c r="R48" s="31" t="s">
        <v>689</v>
      </c>
      <c r="S48" s="23" t="s">
        <v>690</v>
      </c>
      <c r="T48" s="31" t="s">
        <v>641</v>
      </c>
      <c r="U48" s="23" t="s">
        <v>645</v>
      </c>
    </row>
    <row r="49" spans="1:21" ht="7" customHeight="1" x14ac:dyDescent="0.4">
      <c r="A49" s="22">
        <v>49</v>
      </c>
      <c r="B49" s="45" t="s">
        <v>74</v>
      </c>
      <c r="C49" s="30" t="s">
        <v>421</v>
      </c>
      <c r="D49" s="41" t="s">
        <v>559</v>
      </c>
      <c r="E49" s="43" t="s">
        <v>558</v>
      </c>
      <c r="F49" s="41" t="s">
        <v>496</v>
      </c>
      <c r="G49" s="43" t="s">
        <v>536</v>
      </c>
      <c r="H49" s="36" t="s">
        <v>385</v>
      </c>
      <c r="I49" s="35" t="s">
        <v>391</v>
      </c>
      <c r="J49" s="31" t="s">
        <v>1</v>
      </c>
      <c r="K49" s="23" t="s">
        <v>1</v>
      </c>
      <c r="L49" s="31" t="s">
        <v>692</v>
      </c>
      <c r="M49" s="35" t="s">
        <v>506</v>
      </c>
      <c r="N49" s="31" t="s">
        <v>386</v>
      </c>
      <c r="O49" s="23" t="s">
        <v>263</v>
      </c>
      <c r="P49" s="31" t="s">
        <v>640</v>
      </c>
      <c r="Q49" s="23" t="s">
        <v>642</v>
      </c>
      <c r="R49" s="31" t="s">
        <v>689</v>
      </c>
      <c r="S49" s="23" t="s">
        <v>691</v>
      </c>
      <c r="T49" s="31" t="s">
        <v>641</v>
      </c>
      <c r="U49" s="23" t="s">
        <v>643</v>
      </c>
    </row>
    <row r="50" spans="1:21" ht="7" customHeight="1" x14ac:dyDescent="0.4">
      <c r="A50" s="22">
        <v>50</v>
      </c>
      <c r="B50" s="45" t="s">
        <v>75</v>
      </c>
      <c r="C50" s="30" t="s">
        <v>421</v>
      </c>
      <c r="D50" s="41" t="s">
        <v>559</v>
      </c>
      <c r="E50" s="43" t="s">
        <v>558</v>
      </c>
      <c r="F50" s="41" t="s">
        <v>496</v>
      </c>
      <c r="G50" s="43" t="s">
        <v>536</v>
      </c>
      <c r="H50" s="36" t="s">
        <v>385</v>
      </c>
      <c r="I50" s="35" t="s">
        <v>391</v>
      </c>
      <c r="J50" s="31" t="s">
        <v>1</v>
      </c>
      <c r="K50" s="23" t="s">
        <v>1</v>
      </c>
      <c r="L50" s="31" t="s">
        <v>692</v>
      </c>
      <c r="M50" s="35" t="s">
        <v>506</v>
      </c>
      <c r="N50" s="31" t="s">
        <v>386</v>
      </c>
      <c r="O50" s="23" t="s">
        <v>264</v>
      </c>
      <c r="P50" s="31" t="s">
        <v>640</v>
      </c>
      <c r="Q50" s="23" t="s">
        <v>642</v>
      </c>
      <c r="R50" s="31" t="s">
        <v>689</v>
      </c>
      <c r="S50" s="23" t="s">
        <v>691</v>
      </c>
      <c r="T50" s="31" t="s">
        <v>641</v>
      </c>
      <c r="U50" s="23" t="s">
        <v>643</v>
      </c>
    </row>
    <row r="51" spans="1:21" ht="7" customHeight="1" x14ac:dyDescent="0.4">
      <c r="A51" s="22">
        <v>51</v>
      </c>
      <c r="B51" s="45" t="s">
        <v>76</v>
      </c>
      <c r="C51" s="30" t="s">
        <v>421</v>
      </c>
      <c r="D51" s="41" t="s">
        <v>559</v>
      </c>
      <c r="E51" s="43" t="s">
        <v>558</v>
      </c>
      <c r="F51" s="41" t="s">
        <v>496</v>
      </c>
      <c r="G51" s="43" t="s">
        <v>536</v>
      </c>
      <c r="H51" s="36" t="s">
        <v>385</v>
      </c>
      <c r="I51" s="35" t="s">
        <v>391</v>
      </c>
      <c r="J51" s="31" t="s">
        <v>1</v>
      </c>
      <c r="K51" s="23" t="s">
        <v>1</v>
      </c>
      <c r="L51" s="31" t="s">
        <v>692</v>
      </c>
      <c r="M51" s="35" t="s">
        <v>506</v>
      </c>
      <c r="N51" s="31" t="s">
        <v>386</v>
      </c>
      <c r="O51" s="23" t="s">
        <v>265</v>
      </c>
      <c r="P51" s="31" t="s">
        <v>640</v>
      </c>
      <c r="Q51" s="23" t="s">
        <v>642</v>
      </c>
      <c r="R51" s="31" t="s">
        <v>689</v>
      </c>
      <c r="S51" s="23" t="s">
        <v>691</v>
      </c>
      <c r="T51" s="31" t="s">
        <v>641</v>
      </c>
      <c r="U51" s="23" t="s">
        <v>643</v>
      </c>
    </row>
    <row r="52" spans="1:21" ht="7" customHeight="1" x14ac:dyDescent="0.4">
      <c r="A52" s="22">
        <v>52</v>
      </c>
      <c r="B52" s="45" t="s">
        <v>77</v>
      </c>
      <c r="C52" s="30" t="s">
        <v>421</v>
      </c>
      <c r="D52" s="41" t="s">
        <v>559</v>
      </c>
      <c r="E52" s="43" t="s">
        <v>558</v>
      </c>
      <c r="F52" s="41" t="s">
        <v>496</v>
      </c>
      <c r="G52" s="43" t="s">
        <v>536</v>
      </c>
      <c r="H52" s="36" t="s">
        <v>385</v>
      </c>
      <c r="I52" s="35" t="s">
        <v>391</v>
      </c>
      <c r="J52" s="31" t="s">
        <v>1</v>
      </c>
      <c r="K52" s="23" t="s">
        <v>1</v>
      </c>
      <c r="L52" s="31" t="s">
        <v>692</v>
      </c>
      <c r="M52" s="35" t="s">
        <v>506</v>
      </c>
      <c r="N52" s="31" t="s">
        <v>386</v>
      </c>
      <c r="O52" s="23" t="s">
        <v>266</v>
      </c>
      <c r="P52" s="31" t="s">
        <v>640</v>
      </c>
      <c r="Q52" s="23" t="s">
        <v>642</v>
      </c>
      <c r="R52" s="31" t="s">
        <v>689</v>
      </c>
      <c r="S52" s="23" t="s">
        <v>691</v>
      </c>
      <c r="T52" s="31" t="s">
        <v>641</v>
      </c>
      <c r="U52" s="23" t="s">
        <v>643</v>
      </c>
    </row>
    <row r="53" spans="1:21" ht="7" customHeight="1" x14ac:dyDescent="0.4">
      <c r="A53" s="22">
        <v>53</v>
      </c>
      <c r="B53" s="45" t="s">
        <v>78</v>
      </c>
      <c r="C53" s="30" t="s">
        <v>421</v>
      </c>
      <c r="D53" s="41" t="s">
        <v>559</v>
      </c>
      <c r="E53" s="43" t="s">
        <v>558</v>
      </c>
      <c r="F53" s="41" t="s">
        <v>496</v>
      </c>
      <c r="G53" s="43" t="s">
        <v>536</v>
      </c>
      <c r="H53" s="36" t="s">
        <v>385</v>
      </c>
      <c r="I53" s="35" t="s">
        <v>391</v>
      </c>
      <c r="J53" s="31" t="s">
        <v>1</v>
      </c>
      <c r="K53" s="23" t="s">
        <v>1</v>
      </c>
      <c r="L53" s="31" t="s">
        <v>692</v>
      </c>
      <c r="M53" s="35" t="s">
        <v>506</v>
      </c>
      <c r="N53" s="31" t="s">
        <v>386</v>
      </c>
      <c r="O53" s="23" t="s">
        <v>267</v>
      </c>
      <c r="P53" s="31" t="s">
        <v>640</v>
      </c>
      <c r="Q53" s="23" t="s">
        <v>642</v>
      </c>
      <c r="R53" s="31" t="s">
        <v>689</v>
      </c>
      <c r="S53" s="23" t="s">
        <v>691</v>
      </c>
      <c r="T53" s="31" t="s">
        <v>641</v>
      </c>
      <c r="U53" s="23" t="s">
        <v>643</v>
      </c>
    </row>
    <row r="54" spans="1:21" ht="7" customHeight="1" x14ac:dyDescent="0.4">
      <c r="A54" s="22">
        <v>54</v>
      </c>
      <c r="B54" s="45" t="s">
        <v>79</v>
      </c>
      <c r="C54" s="30" t="s">
        <v>421</v>
      </c>
      <c r="D54" s="41" t="s">
        <v>559</v>
      </c>
      <c r="E54" s="43" t="s">
        <v>558</v>
      </c>
      <c r="F54" s="41" t="s">
        <v>496</v>
      </c>
      <c r="G54" s="43" t="s">
        <v>536</v>
      </c>
      <c r="H54" s="36" t="s">
        <v>385</v>
      </c>
      <c r="I54" s="35" t="s">
        <v>391</v>
      </c>
      <c r="J54" s="31" t="s">
        <v>1</v>
      </c>
      <c r="K54" s="23" t="s">
        <v>1</v>
      </c>
      <c r="L54" s="31" t="s">
        <v>692</v>
      </c>
      <c r="M54" s="35" t="s">
        <v>506</v>
      </c>
      <c r="N54" s="31" t="s">
        <v>386</v>
      </c>
      <c r="O54" s="23" t="s">
        <v>560</v>
      </c>
      <c r="P54" s="31" t="s">
        <v>640</v>
      </c>
      <c r="Q54" s="23" t="s">
        <v>642</v>
      </c>
      <c r="R54" s="31" t="s">
        <v>689</v>
      </c>
      <c r="S54" s="23" t="s">
        <v>691</v>
      </c>
      <c r="T54" s="31" t="s">
        <v>641</v>
      </c>
      <c r="U54" s="23" t="s">
        <v>643</v>
      </c>
    </row>
    <row r="55" spans="1:21" ht="7" customHeight="1" x14ac:dyDescent="0.4">
      <c r="A55" s="22">
        <v>55</v>
      </c>
      <c r="B55" s="45" t="s">
        <v>80</v>
      </c>
      <c r="C55" s="30" t="s">
        <v>421</v>
      </c>
      <c r="D55" s="41" t="s">
        <v>559</v>
      </c>
      <c r="E55" s="43" t="s">
        <v>558</v>
      </c>
      <c r="F55" s="41" t="s">
        <v>496</v>
      </c>
      <c r="G55" s="43" t="s">
        <v>536</v>
      </c>
      <c r="H55" s="36" t="s">
        <v>385</v>
      </c>
      <c r="I55" s="35" t="s">
        <v>391</v>
      </c>
      <c r="J55" s="31" t="s">
        <v>1</v>
      </c>
      <c r="K55" s="23" t="s">
        <v>1</v>
      </c>
      <c r="L55" s="31" t="s">
        <v>692</v>
      </c>
      <c r="M55" s="35" t="s">
        <v>506</v>
      </c>
      <c r="N55" s="31" t="s">
        <v>386</v>
      </c>
      <c r="O55" s="23" t="s">
        <v>268</v>
      </c>
      <c r="P55" s="31" t="s">
        <v>640</v>
      </c>
      <c r="Q55" s="23" t="s">
        <v>642</v>
      </c>
      <c r="R55" s="31" t="s">
        <v>689</v>
      </c>
      <c r="S55" s="23" t="s">
        <v>691</v>
      </c>
      <c r="T55" s="31" t="s">
        <v>641</v>
      </c>
      <c r="U55" s="23" t="s">
        <v>643</v>
      </c>
    </row>
    <row r="56" spans="1:21" ht="7" customHeight="1" x14ac:dyDescent="0.4">
      <c r="A56" s="22">
        <v>56</v>
      </c>
      <c r="B56" s="45" t="s">
        <v>81</v>
      </c>
      <c r="C56" s="30" t="s">
        <v>421</v>
      </c>
      <c r="D56" s="41" t="s">
        <v>559</v>
      </c>
      <c r="E56" s="43" t="s">
        <v>558</v>
      </c>
      <c r="F56" s="41" t="s">
        <v>496</v>
      </c>
      <c r="G56" s="43" t="s">
        <v>536</v>
      </c>
      <c r="H56" s="36" t="s">
        <v>385</v>
      </c>
      <c r="I56" s="35" t="s">
        <v>391</v>
      </c>
      <c r="J56" s="31" t="s">
        <v>1</v>
      </c>
      <c r="K56" s="23" t="s">
        <v>1</v>
      </c>
      <c r="L56" s="31" t="s">
        <v>692</v>
      </c>
      <c r="M56" s="35" t="s">
        <v>506</v>
      </c>
      <c r="N56" s="31" t="s">
        <v>386</v>
      </c>
      <c r="O56" s="23" t="s">
        <v>269</v>
      </c>
      <c r="P56" s="31" t="s">
        <v>640</v>
      </c>
      <c r="Q56" s="23" t="s">
        <v>642</v>
      </c>
      <c r="R56" s="31" t="s">
        <v>689</v>
      </c>
      <c r="S56" s="23" t="s">
        <v>691</v>
      </c>
      <c r="T56" s="31" t="s">
        <v>641</v>
      </c>
      <c r="U56" s="23" t="s">
        <v>643</v>
      </c>
    </row>
    <row r="57" spans="1:21" ht="7" customHeight="1" x14ac:dyDescent="0.4">
      <c r="A57" s="22">
        <v>57</v>
      </c>
      <c r="B57" s="45" t="s">
        <v>82</v>
      </c>
      <c r="C57" s="30" t="s">
        <v>421</v>
      </c>
      <c r="D57" s="41" t="s">
        <v>559</v>
      </c>
      <c r="E57" s="43" t="s">
        <v>558</v>
      </c>
      <c r="F57" s="41" t="s">
        <v>496</v>
      </c>
      <c r="G57" s="43" t="s">
        <v>536</v>
      </c>
      <c r="H57" s="36" t="s">
        <v>385</v>
      </c>
      <c r="I57" s="35" t="s">
        <v>391</v>
      </c>
      <c r="J57" s="31" t="s">
        <v>1</v>
      </c>
      <c r="K57" s="23" t="s">
        <v>1</v>
      </c>
      <c r="L57" s="31" t="s">
        <v>692</v>
      </c>
      <c r="M57" s="35" t="s">
        <v>506</v>
      </c>
      <c r="N57" s="31" t="s">
        <v>386</v>
      </c>
      <c r="O57" s="23" t="s">
        <v>270</v>
      </c>
      <c r="P57" s="31" t="s">
        <v>640</v>
      </c>
      <c r="Q57" s="23" t="s">
        <v>642</v>
      </c>
      <c r="R57" s="31" t="s">
        <v>689</v>
      </c>
      <c r="S57" s="23" t="s">
        <v>691</v>
      </c>
      <c r="T57" s="31" t="s">
        <v>641</v>
      </c>
      <c r="U57" s="23" t="s">
        <v>643</v>
      </c>
    </row>
    <row r="58" spans="1:21" ht="7" customHeight="1" x14ac:dyDescent="0.4">
      <c r="A58" s="22">
        <v>58</v>
      </c>
      <c r="B58" s="45" t="s">
        <v>83</v>
      </c>
      <c r="C58" s="30" t="s">
        <v>421</v>
      </c>
      <c r="D58" s="41" t="s">
        <v>559</v>
      </c>
      <c r="E58" s="43" t="s">
        <v>558</v>
      </c>
      <c r="F58" s="41" t="s">
        <v>496</v>
      </c>
      <c r="G58" s="43" t="s">
        <v>536</v>
      </c>
      <c r="H58" s="36" t="s">
        <v>385</v>
      </c>
      <c r="I58" s="35" t="s">
        <v>391</v>
      </c>
      <c r="J58" s="31" t="s">
        <v>1</v>
      </c>
      <c r="K58" s="23" t="s">
        <v>1</v>
      </c>
      <c r="L58" s="31" t="s">
        <v>692</v>
      </c>
      <c r="M58" s="35" t="s">
        <v>506</v>
      </c>
      <c r="N58" s="31" t="s">
        <v>386</v>
      </c>
      <c r="O58" s="23" t="s">
        <v>271</v>
      </c>
      <c r="P58" s="31" t="s">
        <v>640</v>
      </c>
      <c r="Q58" s="23" t="s">
        <v>642</v>
      </c>
      <c r="R58" s="31" t="s">
        <v>689</v>
      </c>
      <c r="S58" s="23" t="s">
        <v>691</v>
      </c>
      <c r="T58" s="31" t="s">
        <v>641</v>
      </c>
      <c r="U58" s="23" t="s">
        <v>643</v>
      </c>
    </row>
    <row r="59" spans="1:21" ht="7" customHeight="1" x14ac:dyDescent="0.4">
      <c r="A59" s="22">
        <v>59</v>
      </c>
      <c r="B59" s="45" t="s">
        <v>84</v>
      </c>
      <c r="C59" s="30" t="s">
        <v>421</v>
      </c>
      <c r="D59" s="41" t="s">
        <v>559</v>
      </c>
      <c r="E59" s="43" t="s">
        <v>558</v>
      </c>
      <c r="F59" s="41" t="s">
        <v>496</v>
      </c>
      <c r="G59" s="43" t="s">
        <v>536</v>
      </c>
      <c r="H59" s="36" t="s">
        <v>385</v>
      </c>
      <c r="I59" s="35" t="s">
        <v>391</v>
      </c>
      <c r="J59" s="31" t="s">
        <v>1</v>
      </c>
      <c r="K59" s="23" t="s">
        <v>1</v>
      </c>
      <c r="L59" s="31" t="s">
        <v>692</v>
      </c>
      <c r="M59" s="35" t="s">
        <v>506</v>
      </c>
      <c r="N59" s="31" t="s">
        <v>386</v>
      </c>
      <c r="O59" s="23" t="s">
        <v>272</v>
      </c>
      <c r="P59" s="31" t="s">
        <v>640</v>
      </c>
      <c r="Q59" s="23" t="s">
        <v>642</v>
      </c>
      <c r="R59" s="31" t="s">
        <v>689</v>
      </c>
      <c r="S59" s="23" t="s">
        <v>691</v>
      </c>
      <c r="T59" s="31" t="s">
        <v>641</v>
      </c>
      <c r="U59" s="23" t="s">
        <v>643</v>
      </c>
    </row>
    <row r="60" spans="1:21" ht="7" customHeight="1" x14ac:dyDescent="0.4">
      <c r="A60" s="22">
        <v>60</v>
      </c>
      <c r="B60" s="45" t="s">
        <v>85</v>
      </c>
      <c r="C60" s="30" t="s">
        <v>421</v>
      </c>
      <c r="D60" s="41" t="s">
        <v>559</v>
      </c>
      <c r="E60" s="43" t="s">
        <v>558</v>
      </c>
      <c r="F60" s="41" t="s">
        <v>496</v>
      </c>
      <c r="G60" s="43" t="s">
        <v>536</v>
      </c>
      <c r="H60" s="36" t="s">
        <v>385</v>
      </c>
      <c r="I60" s="35" t="s">
        <v>391</v>
      </c>
      <c r="J60" s="31" t="s">
        <v>1</v>
      </c>
      <c r="K60" s="23" t="s">
        <v>1</v>
      </c>
      <c r="L60" s="31" t="s">
        <v>692</v>
      </c>
      <c r="M60" s="35" t="s">
        <v>506</v>
      </c>
      <c r="N60" s="31" t="s">
        <v>386</v>
      </c>
      <c r="O60" s="23" t="s">
        <v>273</v>
      </c>
      <c r="P60" s="31" t="s">
        <v>640</v>
      </c>
      <c r="Q60" s="23" t="s">
        <v>642</v>
      </c>
      <c r="R60" s="31" t="s">
        <v>689</v>
      </c>
      <c r="S60" s="23" t="s">
        <v>691</v>
      </c>
      <c r="T60" s="31" t="s">
        <v>641</v>
      </c>
      <c r="U60" s="23" t="s">
        <v>643</v>
      </c>
    </row>
    <row r="61" spans="1:21" ht="7" customHeight="1" x14ac:dyDescent="0.4">
      <c r="A61" s="22">
        <v>61</v>
      </c>
      <c r="B61" s="45" t="s">
        <v>86</v>
      </c>
      <c r="C61" s="30" t="s">
        <v>417</v>
      </c>
      <c r="D61" s="41" t="s">
        <v>559</v>
      </c>
      <c r="E61" s="43" t="s">
        <v>558</v>
      </c>
      <c r="F61" s="41" t="s">
        <v>496</v>
      </c>
      <c r="G61" s="43" t="s">
        <v>536</v>
      </c>
      <c r="H61" s="36" t="s">
        <v>385</v>
      </c>
      <c r="I61" s="35" t="s">
        <v>391</v>
      </c>
      <c r="J61" s="31" t="s">
        <v>1</v>
      </c>
      <c r="K61" s="23" t="s">
        <v>1</v>
      </c>
      <c r="L61" s="31" t="s">
        <v>692</v>
      </c>
      <c r="M61" s="35" t="s">
        <v>499</v>
      </c>
      <c r="N61" s="31" t="s">
        <v>386</v>
      </c>
      <c r="O61" s="23" t="s">
        <v>274</v>
      </c>
      <c r="P61" s="31" t="s">
        <v>640</v>
      </c>
      <c r="Q61" s="23" t="s">
        <v>642</v>
      </c>
      <c r="R61" s="31" t="s">
        <v>689</v>
      </c>
      <c r="S61" s="23" t="s">
        <v>691</v>
      </c>
      <c r="T61" s="31" t="s">
        <v>641</v>
      </c>
      <c r="U61" s="23" t="s">
        <v>643</v>
      </c>
    </row>
    <row r="62" spans="1:21" ht="7" customHeight="1" x14ac:dyDescent="0.4">
      <c r="A62" s="22">
        <v>62</v>
      </c>
      <c r="B62" s="45" t="s">
        <v>87</v>
      </c>
      <c r="C62" s="30" t="s">
        <v>417</v>
      </c>
      <c r="D62" s="41" t="s">
        <v>559</v>
      </c>
      <c r="E62" s="43" t="s">
        <v>558</v>
      </c>
      <c r="F62" s="41" t="s">
        <v>496</v>
      </c>
      <c r="G62" s="43" t="s">
        <v>536</v>
      </c>
      <c r="H62" s="36" t="s">
        <v>385</v>
      </c>
      <c r="I62" s="35" t="s">
        <v>391</v>
      </c>
      <c r="J62" s="31" t="s">
        <v>1</v>
      </c>
      <c r="K62" s="23" t="s">
        <v>1</v>
      </c>
      <c r="L62" s="31" t="s">
        <v>692</v>
      </c>
      <c r="M62" s="35" t="s">
        <v>499</v>
      </c>
      <c r="N62" s="31" t="s">
        <v>386</v>
      </c>
      <c r="O62" s="23" t="s">
        <v>561</v>
      </c>
      <c r="P62" s="31" t="s">
        <v>640</v>
      </c>
      <c r="Q62" s="23" t="s">
        <v>642</v>
      </c>
      <c r="R62" s="31" t="s">
        <v>689</v>
      </c>
      <c r="S62" s="23" t="s">
        <v>691</v>
      </c>
      <c r="T62" s="31" t="s">
        <v>641</v>
      </c>
      <c r="U62" s="23" t="s">
        <v>643</v>
      </c>
    </row>
    <row r="63" spans="1:21" ht="7" customHeight="1" x14ac:dyDescent="0.4">
      <c r="A63" s="22">
        <v>63</v>
      </c>
      <c r="B63" s="45" t="s">
        <v>88</v>
      </c>
      <c r="C63" s="30" t="s">
        <v>417</v>
      </c>
      <c r="D63" s="41" t="s">
        <v>559</v>
      </c>
      <c r="E63" s="43" t="s">
        <v>558</v>
      </c>
      <c r="F63" s="41" t="s">
        <v>496</v>
      </c>
      <c r="G63" s="43" t="s">
        <v>536</v>
      </c>
      <c r="H63" s="36" t="s">
        <v>385</v>
      </c>
      <c r="I63" s="35" t="s">
        <v>391</v>
      </c>
      <c r="J63" s="31" t="s">
        <v>1</v>
      </c>
      <c r="K63" s="23" t="s">
        <v>1</v>
      </c>
      <c r="L63" s="31" t="s">
        <v>692</v>
      </c>
      <c r="M63" s="35" t="s">
        <v>499</v>
      </c>
      <c r="N63" s="31" t="s">
        <v>386</v>
      </c>
      <c r="O63" s="23" t="s">
        <v>275</v>
      </c>
      <c r="P63" s="31" t="s">
        <v>640</v>
      </c>
      <c r="Q63" s="23" t="s">
        <v>642</v>
      </c>
      <c r="R63" s="31" t="s">
        <v>689</v>
      </c>
      <c r="S63" s="23" t="s">
        <v>691</v>
      </c>
      <c r="T63" s="31" t="s">
        <v>641</v>
      </c>
      <c r="U63" s="23" t="s">
        <v>643</v>
      </c>
    </row>
    <row r="64" spans="1:21" ht="7" customHeight="1" x14ac:dyDescent="0.4">
      <c r="A64" s="22">
        <v>64</v>
      </c>
      <c r="B64" s="45" t="s">
        <v>89</v>
      </c>
      <c r="C64" s="30" t="s">
        <v>417</v>
      </c>
      <c r="D64" s="41" t="s">
        <v>559</v>
      </c>
      <c r="E64" s="43" t="s">
        <v>558</v>
      </c>
      <c r="F64" s="41" t="s">
        <v>496</v>
      </c>
      <c r="G64" s="43" t="s">
        <v>536</v>
      </c>
      <c r="H64" s="36" t="s">
        <v>385</v>
      </c>
      <c r="I64" s="35" t="s">
        <v>391</v>
      </c>
      <c r="J64" s="31" t="s">
        <v>1</v>
      </c>
      <c r="K64" s="23" t="s">
        <v>1</v>
      </c>
      <c r="L64" s="31" t="s">
        <v>692</v>
      </c>
      <c r="M64" s="35" t="s">
        <v>499</v>
      </c>
      <c r="N64" s="31" t="s">
        <v>386</v>
      </c>
      <c r="O64" s="23" t="s">
        <v>397</v>
      </c>
      <c r="P64" s="31" t="s">
        <v>640</v>
      </c>
      <c r="Q64" s="23" t="s">
        <v>642</v>
      </c>
      <c r="R64" s="31" t="s">
        <v>689</v>
      </c>
      <c r="S64" s="23" t="s">
        <v>691</v>
      </c>
      <c r="T64" s="31" t="s">
        <v>641</v>
      </c>
      <c r="U64" s="23" t="s">
        <v>643</v>
      </c>
    </row>
    <row r="65" spans="1:21" ht="7" customHeight="1" x14ac:dyDescent="0.4">
      <c r="A65" s="22">
        <v>65</v>
      </c>
      <c r="B65" s="45" t="s">
        <v>90</v>
      </c>
      <c r="C65" s="30" t="s">
        <v>417</v>
      </c>
      <c r="D65" s="41" t="s">
        <v>559</v>
      </c>
      <c r="E65" s="43" t="s">
        <v>558</v>
      </c>
      <c r="F65" s="41" t="s">
        <v>496</v>
      </c>
      <c r="G65" s="43" t="s">
        <v>536</v>
      </c>
      <c r="H65" s="36" t="s">
        <v>385</v>
      </c>
      <c r="I65" s="35" t="s">
        <v>391</v>
      </c>
      <c r="J65" s="31" t="s">
        <v>1</v>
      </c>
      <c r="K65" s="23" t="s">
        <v>1</v>
      </c>
      <c r="L65" s="31" t="s">
        <v>692</v>
      </c>
      <c r="M65" s="35" t="s">
        <v>499</v>
      </c>
      <c r="N65" s="31" t="s">
        <v>386</v>
      </c>
      <c r="O65" s="23" t="s">
        <v>396</v>
      </c>
      <c r="P65" s="31" t="s">
        <v>640</v>
      </c>
      <c r="Q65" s="23" t="s">
        <v>642</v>
      </c>
      <c r="R65" s="31" t="s">
        <v>689</v>
      </c>
      <c r="S65" s="23" t="s">
        <v>691</v>
      </c>
      <c r="T65" s="31" t="s">
        <v>641</v>
      </c>
      <c r="U65" s="23" t="s">
        <v>643</v>
      </c>
    </row>
    <row r="66" spans="1:21" ht="7" customHeight="1" x14ac:dyDescent="0.4">
      <c r="A66" s="22">
        <v>66</v>
      </c>
      <c r="B66" s="45" t="s">
        <v>91</v>
      </c>
      <c r="C66" s="30" t="s">
        <v>417</v>
      </c>
      <c r="D66" s="41" t="s">
        <v>559</v>
      </c>
      <c r="E66" s="43" t="s">
        <v>558</v>
      </c>
      <c r="F66" s="41" t="s">
        <v>496</v>
      </c>
      <c r="G66" s="43" t="s">
        <v>536</v>
      </c>
      <c r="H66" s="36" t="s">
        <v>385</v>
      </c>
      <c r="I66" s="35" t="s">
        <v>391</v>
      </c>
      <c r="J66" s="31" t="s">
        <v>1</v>
      </c>
      <c r="K66" s="23" t="s">
        <v>1</v>
      </c>
      <c r="L66" s="31" t="s">
        <v>692</v>
      </c>
      <c r="M66" s="35" t="s">
        <v>499</v>
      </c>
      <c r="N66" s="31" t="s">
        <v>386</v>
      </c>
      <c r="O66" s="23" t="s">
        <v>398</v>
      </c>
      <c r="P66" s="31" t="s">
        <v>640</v>
      </c>
      <c r="Q66" s="23" t="s">
        <v>642</v>
      </c>
      <c r="R66" s="31" t="s">
        <v>689</v>
      </c>
      <c r="S66" s="23" t="s">
        <v>691</v>
      </c>
      <c r="T66" s="31" t="s">
        <v>641</v>
      </c>
      <c r="U66" s="23" t="s">
        <v>643</v>
      </c>
    </row>
    <row r="67" spans="1:21" ht="7" customHeight="1" x14ac:dyDescent="0.4">
      <c r="A67" s="22">
        <v>67</v>
      </c>
      <c r="B67" s="45" t="s">
        <v>92</v>
      </c>
      <c r="C67" s="30" t="s">
        <v>417</v>
      </c>
      <c r="D67" s="41" t="s">
        <v>559</v>
      </c>
      <c r="E67" s="43" t="s">
        <v>558</v>
      </c>
      <c r="F67" s="41" t="s">
        <v>496</v>
      </c>
      <c r="G67" s="43" t="s">
        <v>536</v>
      </c>
      <c r="H67" s="36" t="s">
        <v>385</v>
      </c>
      <c r="I67" s="35" t="s">
        <v>391</v>
      </c>
      <c r="J67" s="31" t="s">
        <v>1</v>
      </c>
      <c r="K67" s="23" t="s">
        <v>1</v>
      </c>
      <c r="L67" s="31" t="s">
        <v>692</v>
      </c>
      <c r="M67" s="35" t="s">
        <v>499</v>
      </c>
      <c r="N67" s="31" t="s">
        <v>386</v>
      </c>
      <c r="O67" s="23" t="s">
        <v>276</v>
      </c>
      <c r="P67" s="31" t="s">
        <v>640</v>
      </c>
      <c r="Q67" s="23" t="s">
        <v>642</v>
      </c>
      <c r="R67" s="31" t="s">
        <v>689</v>
      </c>
      <c r="S67" s="23" t="s">
        <v>691</v>
      </c>
      <c r="T67" s="31" t="s">
        <v>641</v>
      </c>
      <c r="U67" s="23" t="s">
        <v>643</v>
      </c>
    </row>
    <row r="68" spans="1:21" ht="7" customHeight="1" x14ac:dyDescent="0.4">
      <c r="A68" s="22">
        <v>68</v>
      </c>
      <c r="B68" s="45" t="s">
        <v>93</v>
      </c>
      <c r="C68" s="30" t="s">
        <v>417</v>
      </c>
      <c r="D68" s="41" t="s">
        <v>559</v>
      </c>
      <c r="E68" s="43" t="s">
        <v>558</v>
      </c>
      <c r="F68" s="41" t="s">
        <v>496</v>
      </c>
      <c r="G68" s="43" t="s">
        <v>536</v>
      </c>
      <c r="H68" s="36" t="s">
        <v>385</v>
      </c>
      <c r="I68" s="35" t="s">
        <v>391</v>
      </c>
      <c r="J68" s="31" t="s">
        <v>1</v>
      </c>
      <c r="K68" s="23" t="s">
        <v>1</v>
      </c>
      <c r="L68" s="31" t="s">
        <v>692</v>
      </c>
      <c r="M68" s="35" t="s">
        <v>499</v>
      </c>
      <c r="N68" s="31" t="s">
        <v>386</v>
      </c>
      <c r="O68" s="23" t="s">
        <v>277</v>
      </c>
      <c r="P68" s="31" t="s">
        <v>640</v>
      </c>
      <c r="Q68" s="23" t="s">
        <v>642</v>
      </c>
      <c r="R68" s="31" t="s">
        <v>689</v>
      </c>
      <c r="S68" s="23" t="s">
        <v>691</v>
      </c>
      <c r="T68" s="31" t="s">
        <v>641</v>
      </c>
      <c r="U68" s="23" t="s">
        <v>643</v>
      </c>
    </row>
    <row r="69" spans="1:21" ht="7" customHeight="1" x14ac:dyDescent="0.4">
      <c r="A69" s="22">
        <v>69</v>
      </c>
      <c r="B69" s="45" t="s">
        <v>94</v>
      </c>
      <c r="C69" s="30" t="s">
        <v>416</v>
      </c>
      <c r="D69" s="41" t="s">
        <v>559</v>
      </c>
      <c r="E69" s="43" t="s">
        <v>558</v>
      </c>
      <c r="F69" s="41" t="s">
        <v>496</v>
      </c>
      <c r="G69" s="43" t="s">
        <v>536</v>
      </c>
      <c r="H69" s="36" t="s">
        <v>385</v>
      </c>
      <c r="I69" s="35" t="s">
        <v>391</v>
      </c>
      <c r="J69" s="31" t="s">
        <v>1</v>
      </c>
      <c r="K69" s="23" t="s">
        <v>1</v>
      </c>
      <c r="L69" s="31" t="s">
        <v>692</v>
      </c>
      <c r="M69" s="35" t="s">
        <v>503</v>
      </c>
      <c r="N69" s="31" t="s">
        <v>386</v>
      </c>
      <c r="O69" s="23" t="s">
        <v>278</v>
      </c>
      <c r="P69" s="31" t="s">
        <v>640</v>
      </c>
      <c r="Q69" s="23" t="s">
        <v>642</v>
      </c>
      <c r="R69" s="31" t="s">
        <v>689</v>
      </c>
      <c r="S69" s="23" t="s">
        <v>691</v>
      </c>
      <c r="T69" s="31" t="s">
        <v>641</v>
      </c>
      <c r="U69" s="23" t="s">
        <v>643</v>
      </c>
    </row>
    <row r="70" spans="1:21" ht="7" customHeight="1" x14ac:dyDescent="0.4">
      <c r="A70" s="22">
        <v>70</v>
      </c>
      <c r="B70" s="45" t="s">
        <v>95</v>
      </c>
      <c r="C70" s="30" t="s">
        <v>399</v>
      </c>
      <c r="D70" s="41" t="s">
        <v>559</v>
      </c>
      <c r="E70" s="43" t="s">
        <v>558</v>
      </c>
      <c r="F70" s="41" t="s">
        <v>496</v>
      </c>
      <c r="G70" s="43" t="s">
        <v>536</v>
      </c>
      <c r="H70" s="36" t="s">
        <v>385</v>
      </c>
      <c r="I70" s="35" t="s">
        <v>391</v>
      </c>
      <c r="J70" s="31" t="s">
        <v>1</v>
      </c>
      <c r="K70" s="23" t="s">
        <v>1</v>
      </c>
      <c r="L70" s="31" t="s">
        <v>692</v>
      </c>
      <c r="M70" s="35" t="s">
        <v>497</v>
      </c>
      <c r="N70" s="31" t="s">
        <v>386</v>
      </c>
      <c r="O70" s="23" t="s">
        <v>279</v>
      </c>
      <c r="P70" s="31" t="s">
        <v>640</v>
      </c>
      <c r="Q70" s="23" t="s">
        <v>642</v>
      </c>
      <c r="R70" s="31" t="s">
        <v>689</v>
      </c>
      <c r="S70" s="23" t="s">
        <v>691</v>
      </c>
      <c r="T70" s="31" t="s">
        <v>641</v>
      </c>
      <c r="U70" s="23" t="s">
        <v>643</v>
      </c>
    </row>
    <row r="71" spans="1:21" ht="7" customHeight="1" x14ac:dyDescent="0.4">
      <c r="A71" s="22">
        <v>71</v>
      </c>
      <c r="B71" s="45" t="s">
        <v>96</v>
      </c>
      <c r="C71" s="30" t="s">
        <v>419</v>
      </c>
      <c r="D71" s="41" t="s">
        <v>559</v>
      </c>
      <c r="E71" s="43" t="s">
        <v>558</v>
      </c>
      <c r="F71" s="41" t="s">
        <v>496</v>
      </c>
      <c r="G71" s="43" t="s">
        <v>536</v>
      </c>
      <c r="H71" s="36" t="s">
        <v>385</v>
      </c>
      <c r="I71" s="35" t="s">
        <v>391</v>
      </c>
      <c r="J71" s="31" t="s">
        <v>1</v>
      </c>
      <c r="K71" s="23" t="s">
        <v>1</v>
      </c>
      <c r="L71" s="31" t="s">
        <v>692</v>
      </c>
      <c r="M71" s="35" t="s">
        <v>504</v>
      </c>
      <c r="N71" s="31" t="s">
        <v>386</v>
      </c>
      <c r="O71" s="23" t="s">
        <v>280</v>
      </c>
      <c r="P71" s="31" t="s">
        <v>640</v>
      </c>
      <c r="Q71" s="23" t="s">
        <v>642</v>
      </c>
      <c r="R71" s="31" t="s">
        <v>689</v>
      </c>
      <c r="S71" s="23" t="s">
        <v>691</v>
      </c>
      <c r="T71" s="31" t="s">
        <v>641</v>
      </c>
      <c r="U71" s="23" t="s">
        <v>643</v>
      </c>
    </row>
    <row r="72" spans="1:21" ht="7" customHeight="1" x14ac:dyDescent="0.4">
      <c r="A72" s="22">
        <v>72</v>
      </c>
      <c r="B72" s="45" t="s">
        <v>97</v>
      </c>
      <c r="C72" s="30" t="s">
        <v>419</v>
      </c>
      <c r="D72" s="41" t="s">
        <v>559</v>
      </c>
      <c r="E72" s="43" t="s">
        <v>558</v>
      </c>
      <c r="F72" s="41" t="s">
        <v>496</v>
      </c>
      <c r="G72" s="43" t="s">
        <v>536</v>
      </c>
      <c r="H72" s="36" t="s">
        <v>385</v>
      </c>
      <c r="I72" s="35" t="s">
        <v>391</v>
      </c>
      <c r="J72" s="31" t="s">
        <v>1</v>
      </c>
      <c r="K72" s="23" t="s">
        <v>1</v>
      </c>
      <c r="L72" s="31" t="s">
        <v>692</v>
      </c>
      <c r="M72" s="35" t="s">
        <v>504</v>
      </c>
      <c r="N72" s="31" t="s">
        <v>386</v>
      </c>
      <c r="O72" s="23" t="s">
        <v>281</v>
      </c>
      <c r="P72" s="31" t="s">
        <v>640</v>
      </c>
      <c r="Q72" s="23" t="s">
        <v>642</v>
      </c>
      <c r="R72" s="31" t="s">
        <v>689</v>
      </c>
      <c r="S72" s="23" t="s">
        <v>691</v>
      </c>
      <c r="T72" s="31" t="s">
        <v>641</v>
      </c>
      <c r="U72" s="23" t="s">
        <v>643</v>
      </c>
    </row>
    <row r="73" spans="1:21" ht="7" customHeight="1" x14ac:dyDescent="0.4">
      <c r="A73" s="22">
        <v>73</v>
      </c>
      <c r="B73" s="45" t="s">
        <v>98</v>
      </c>
      <c r="C73" s="30" t="s">
        <v>399</v>
      </c>
      <c r="D73" s="41" t="s">
        <v>559</v>
      </c>
      <c r="E73" s="43" t="s">
        <v>558</v>
      </c>
      <c r="F73" s="41" t="s">
        <v>496</v>
      </c>
      <c r="G73" s="43" t="s">
        <v>537</v>
      </c>
      <c r="H73" s="36" t="s">
        <v>385</v>
      </c>
      <c r="I73" s="35" t="s">
        <v>392</v>
      </c>
      <c r="J73" s="31" t="s">
        <v>1</v>
      </c>
      <c r="K73" s="23" t="s">
        <v>1</v>
      </c>
      <c r="L73" s="31" t="s">
        <v>692</v>
      </c>
      <c r="M73" s="35" t="s">
        <v>497</v>
      </c>
      <c r="N73" s="31" t="s">
        <v>386</v>
      </c>
      <c r="O73" s="23" t="s">
        <v>282</v>
      </c>
      <c r="P73" s="31" t="s">
        <v>640</v>
      </c>
      <c r="Q73" s="23" t="s">
        <v>642</v>
      </c>
      <c r="R73" s="31" t="s">
        <v>689</v>
      </c>
      <c r="S73" s="23" t="s">
        <v>691</v>
      </c>
      <c r="T73" s="31" t="s">
        <v>641</v>
      </c>
      <c r="U73" s="23" t="s">
        <v>643</v>
      </c>
    </row>
    <row r="74" spans="1:21" ht="7" customHeight="1" x14ac:dyDescent="0.4">
      <c r="A74" s="22">
        <v>74</v>
      </c>
      <c r="B74" s="45" t="s">
        <v>99</v>
      </c>
      <c r="C74" s="30" t="s">
        <v>421</v>
      </c>
      <c r="D74" s="41" t="s">
        <v>559</v>
      </c>
      <c r="E74" s="43" t="s">
        <v>558</v>
      </c>
      <c r="F74" s="41" t="s">
        <v>496</v>
      </c>
      <c r="G74" s="43" t="s">
        <v>537</v>
      </c>
      <c r="H74" s="36" t="s">
        <v>385</v>
      </c>
      <c r="I74" s="35" t="s">
        <v>392</v>
      </c>
      <c r="J74" s="31" t="s">
        <v>1</v>
      </c>
      <c r="K74" s="23" t="s">
        <v>1</v>
      </c>
      <c r="L74" s="31" t="s">
        <v>692</v>
      </c>
      <c r="M74" s="35" t="s">
        <v>506</v>
      </c>
      <c r="N74" s="31" t="s">
        <v>386</v>
      </c>
      <c r="O74" s="23" t="s">
        <v>283</v>
      </c>
      <c r="P74" s="31" t="s">
        <v>640</v>
      </c>
      <c r="Q74" s="23" t="s">
        <v>642</v>
      </c>
      <c r="R74" s="31" t="s">
        <v>689</v>
      </c>
      <c r="S74" s="23" t="s">
        <v>691</v>
      </c>
      <c r="T74" s="31" t="s">
        <v>641</v>
      </c>
      <c r="U74" s="23" t="s">
        <v>643</v>
      </c>
    </row>
    <row r="75" spans="1:21" ht="7" customHeight="1" x14ac:dyDescent="0.4">
      <c r="A75" s="22">
        <v>75</v>
      </c>
      <c r="B75" s="45" t="s">
        <v>100</v>
      </c>
      <c r="C75" s="30" t="s">
        <v>421</v>
      </c>
      <c r="D75" s="41" t="s">
        <v>559</v>
      </c>
      <c r="E75" s="43" t="s">
        <v>558</v>
      </c>
      <c r="F75" s="41" t="s">
        <v>496</v>
      </c>
      <c r="G75" s="43" t="s">
        <v>537</v>
      </c>
      <c r="H75" s="36" t="s">
        <v>385</v>
      </c>
      <c r="I75" s="35" t="s">
        <v>392</v>
      </c>
      <c r="J75" s="31" t="s">
        <v>1</v>
      </c>
      <c r="K75" s="23" t="s">
        <v>1</v>
      </c>
      <c r="L75" s="31" t="s">
        <v>692</v>
      </c>
      <c r="M75" s="35" t="s">
        <v>506</v>
      </c>
      <c r="N75" s="31" t="s">
        <v>386</v>
      </c>
      <c r="O75" s="23" t="s">
        <v>284</v>
      </c>
      <c r="P75" s="31" t="s">
        <v>640</v>
      </c>
      <c r="Q75" s="23" t="s">
        <v>642</v>
      </c>
      <c r="R75" s="31" t="s">
        <v>689</v>
      </c>
      <c r="S75" s="23" t="s">
        <v>691</v>
      </c>
      <c r="T75" s="31" t="s">
        <v>641</v>
      </c>
      <c r="U75" s="23" t="s">
        <v>643</v>
      </c>
    </row>
    <row r="76" spans="1:21" ht="7" customHeight="1" x14ac:dyDescent="0.4">
      <c r="A76" s="22">
        <v>76</v>
      </c>
      <c r="B76" s="45" t="s">
        <v>101</v>
      </c>
      <c r="C76" s="30" t="s">
        <v>421</v>
      </c>
      <c r="D76" s="41" t="s">
        <v>559</v>
      </c>
      <c r="E76" s="43" t="s">
        <v>558</v>
      </c>
      <c r="F76" s="41" t="s">
        <v>496</v>
      </c>
      <c r="G76" s="43" t="s">
        <v>537</v>
      </c>
      <c r="H76" s="36" t="s">
        <v>385</v>
      </c>
      <c r="I76" s="35" t="s">
        <v>392</v>
      </c>
      <c r="J76" s="31" t="s">
        <v>1</v>
      </c>
      <c r="K76" s="23" t="s">
        <v>1</v>
      </c>
      <c r="L76" s="31" t="s">
        <v>692</v>
      </c>
      <c r="M76" s="35" t="s">
        <v>506</v>
      </c>
      <c r="N76" s="31" t="s">
        <v>386</v>
      </c>
      <c r="O76" s="23" t="s">
        <v>285</v>
      </c>
      <c r="P76" s="31" t="s">
        <v>640</v>
      </c>
      <c r="Q76" s="23" t="s">
        <v>642</v>
      </c>
      <c r="R76" s="31" t="s">
        <v>689</v>
      </c>
      <c r="S76" s="23" t="s">
        <v>691</v>
      </c>
      <c r="T76" s="31" t="s">
        <v>641</v>
      </c>
      <c r="U76" s="23" t="s">
        <v>643</v>
      </c>
    </row>
    <row r="77" spans="1:21" ht="7" customHeight="1" x14ac:dyDescent="0.4">
      <c r="A77" s="22">
        <v>77</v>
      </c>
      <c r="B77" s="45" t="s">
        <v>102</v>
      </c>
      <c r="C77" s="30" t="s">
        <v>421</v>
      </c>
      <c r="D77" s="41" t="s">
        <v>559</v>
      </c>
      <c r="E77" s="43" t="s">
        <v>558</v>
      </c>
      <c r="F77" s="41" t="s">
        <v>496</v>
      </c>
      <c r="G77" s="43" t="s">
        <v>537</v>
      </c>
      <c r="H77" s="36" t="s">
        <v>385</v>
      </c>
      <c r="I77" s="35" t="s">
        <v>392</v>
      </c>
      <c r="J77" s="31" t="s">
        <v>1</v>
      </c>
      <c r="K77" s="23" t="s">
        <v>1</v>
      </c>
      <c r="L77" s="31" t="s">
        <v>692</v>
      </c>
      <c r="M77" s="35" t="s">
        <v>506</v>
      </c>
      <c r="N77" s="31" t="s">
        <v>386</v>
      </c>
      <c r="O77" s="23" t="s">
        <v>286</v>
      </c>
      <c r="P77" s="31" t="s">
        <v>640</v>
      </c>
      <c r="Q77" s="23" t="s">
        <v>642</v>
      </c>
      <c r="R77" s="31" t="s">
        <v>689</v>
      </c>
      <c r="S77" s="23" t="s">
        <v>691</v>
      </c>
      <c r="T77" s="31" t="s">
        <v>641</v>
      </c>
      <c r="U77" s="23" t="s">
        <v>643</v>
      </c>
    </row>
    <row r="78" spans="1:21" ht="7" customHeight="1" x14ac:dyDescent="0.4">
      <c r="A78" s="22">
        <v>78</v>
      </c>
      <c r="B78" s="45" t="s">
        <v>103</v>
      </c>
      <c r="C78" s="30" t="s">
        <v>421</v>
      </c>
      <c r="D78" s="41" t="s">
        <v>559</v>
      </c>
      <c r="E78" s="43" t="s">
        <v>558</v>
      </c>
      <c r="F78" s="41" t="s">
        <v>496</v>
      </c>
      <c r="G78" s="43" t="s">
        <v>537</v>
      </c>
      <c r="H78" s="36" t="s">
        <v>385</v>
      </c>
      <c r="I78" s="35" t="s">
        <v>392</v>
      </c>
      <c r="J78" s="31" t="s">
        <v>1</v>
      </c>
      <c r="K78" s="23" t="s">
        <v>1</v>
      </c>
      <c r="L78" s="31" t="s">
        <v>692</v>
      </c>
      <c r="M78" s="35" t="s">
        <v>506</v>
      </c>
      <c r="N78" s="31" t="s">
        <v>386</v>
      </c>
      <c r="O78" s="23" t="s">
        <v>287</v>
      </c>
      <c r="P78" s="31" t="s">
        <v>640</v>
      </c>
      <c r="Q78" s="23" t="s">
        <v>642</v>
      </c>
      <c r="R78" s="31" t="s">
        <v>689</v>
      </c>
      <c r="S78" s="23" t="s">
        <v>691</v>
      </c>
      <c r="T78" s="31" t="s">
        <v>641</v>
      </c>
      <c r="U78" s="23" t="s">
        <v>643</v>
      </c>
    </row>
    <row r="79" spans="1:21" ht="7" customHeight="1" x14ac:dyDescent="0.4">
      <c r="A79" s="22">
        <v>79</v>
      </c>
      <c r="B79" s="45" t="s">
        <v>104</v>
      </c>
      <c r="C79" s="30" t="s">
        <v>421</v>
      </c>
      <c r="D79" s="41" t="s">
        <v>559</v>
      </c>
      <c r="E79" s="43" t="s">
        <v>558</v>
      </c>
      <c r="F79" s="41" t="s">
        <v>496</v>
      </c>
      <c r="G79" s="43" t="s">
        <v>537</v>
      </c>
      <c r="H79" s="36" t="s">
        <v>385</v>
      </c>
      <c r="I79" s="35" t="s">
        <v>392</v>
      </c>
      <c r="J79" s="31" t="s">
        <v>1</v>
      </c>
      <c r="K79" s="23" t="s">
        <v>1</v>
      </c>
      <c r="L79" s="31" t="s">
        <v>692</v>
      </c>
      <c r="M79" s="35" t="s">
        <v>506</v>
      </c>
      <c r="N79" s="31" t="s">
        <v>386</v>
      </c>
      <c r="O79" s="23" t="s">
        <v>288</v>
      </c>
      <c r="P79" s="31" t="s">
        <v>640</v>
      </c>
      <c r="Q79" s="23" t="s">
        <v>642</v>
      </c>
      <c r="R79" s="31" t="s">
        <v>689</v>
      </c>
      <c r="S79" s="23" t="s">
        <v>691</v>
      </c>
      <c r="T79" s="31" t="s">
        <v>641</v>
      </c>
      <c r="U79" s="23" t="s">
        <v>643</v>
      </c>
    </row>
    <row r="80" spans="1:21" ht="7" customHeight="1" x14ac:dyDescent="0.4">
      <c r="A80" s="22">
        <v>80</v>
      </c>
      <c r="B80" s="45" t="s">
        <v>105</v>
      </c>
      <c r="C80" s="30" t="s">
        <v>421</v>
      </c>
      <c r="D80" s="41" t="s">
        <v>559</v>
      </c>
      <c r="E80" s="43" t="s">
        <v>558</v>
      </c>
      <c r="F80" s="41" t="s">
        <v>496</v>
      </c>
      <c r="G80" s="43" t="s">
        <v>537</v>
      </c>
      <c r="H80" s="36" t="s">
        <v>385</v>
      </c>
      <c r="I80" s="35" t="s">
        <v>392</v>
      </c>
      <c r="J80" s="31" t="s">
        <v>1</v>
      </c>
      <c r="K80" s="23" t="s">
        <v>1</v>
      </c>
      <c r="L80" s="31" t="s">
        <v>692</v>
      </c>
      <c r="M80" s="35" t="s">
        <v>506</v>
      </c>
      <c r="N80" s="31" t="s">
        <v>386</v>
      </c>
      <c r="O80" s="23" t="s">
        <v>273</v>
      </c>
      <c r="P80" s="31" t="s">
        <v>640</v>
      </c>
      <c r="Q80" s="23" t="s">
        <v>642</v>
      </c>
      <c r="R80" s="31" t="s">
        <v>689</v>
      </c>
      <c r="S80" s="23" t="s">
        <v>691</v>
      </c>
      <c r="T80" s="31" t="s">
        <v>641</v>
      </c>
      <c r="U80" s="23" t="s">
        <v>643</v>
      </c>
    </row>
    <row r="81" spans="1:21" ht="7" customHeight="1" x14ac:dyDescent="0.4">
      <c r="A81" s="22">
        <v>81</v>
      </c>
      <c r="B81" s="45" t="s">
        <v>106</v>
      </c>
      <c r="C81" s="30" t="s">
        <v>421</v>
      </c>
      <c r="D81" s="41" t="s">
        <v>559</v>
      </c>
      <c r="E81" s="43" t="s">
        <v>558</v>
      </c>
      <c r="F81" s="41" t="s">
        <v>496</v>
      </c>
      <c r="G81" s="43" t="s">
        <v>534</v>
      </c>
      <c r="H81" s="36" t="s">
        <v>385</v>
      </c>
      <c r="I81" s="35" t="s">
        <v>392</v>
      </c>
      <c r="J81" s="31" t="s">
        <v>1</v>
      </c>
      <c r="K81" s="23" t="s">
        <v>1</v>
      </c>
      <c r="L81" s="31" t="s">
        <v>692</v>
      </c>
      <c r="M81" s="35" t="s">
        <v>506</v>
      </c>
      <c r="N81" s="31" t="s">
        <v>386</v>
      </c>
      <c r="O81" s="23" t="s">
        <v>289</v>
      </c>
      <c r="P81" s="31" t="s">
        <v>640</v>
      </c>
      <c r="Q81" s="23" t="s">
        <v>642</v>
      </c>
      <c r="R81" s="31" t="s">
        <v>689</v>
      </c>
      <c r="S81" s="23" t="s">
        <v>691</v>
      </c>
      <c r="T81" s="31" t="s">
        <v>641</v>
      </c>
      <c r="U81" s="23" t="s">
        <v>643</v>
      </c>
    </row>
    <row r="82" spans="1:21" ht="7" customHeight="1" x14ac:dyDescent="0.4">
      <c r="A82" s="22">
        <v>82</v>
      </c>
      <c r="B82" s="45" t="s">
        <v>107</v>
      </c>
      <c r="C82" s="30" t="s">
        <v>421</v>
      </c>
      <c r="D82" s="41" t="s">
        <v>559</v>
      </c>
      <c r="E82" s="43" t="s">
        <v>558</v>
      </c>
      <c r="F82" s="41" t="s">
        <v>496</v>
      </c>
      <c r="G82" s="43" t="s">
        <v>534</v>
      </c>
      <c r="H82" s="36" t="s">
        <v>385</v>
      </c>
      <c r="I82" s="35" t="s">
        <v>392</v>
      </c>
      <c r="J82" s="31" t="s">
        <v>1</v>
      </c>
      <c r="K82" s="23" t="s">
        <v>1</v>
      </c>
      <c r="L82" s="31" t="s">
        <v>692</v>
      </c>
      <c r="M82" s="35" t="s">
        <v>506</v>
      </c>
      <c r="N82" s="31" t="s">
        <v>386</v>
      </c>
      <c r="O82" s="23" t="s">
        <v>290</v>
      </c>
      <c r="P82" s="31" t="s">
        <v>640</v>
      </c>
      <c r="Q82" s="23" t="s">
        <v>642</v>
      </c>
      <c r="R82" s="31" t="s">
        <v>689</v>
      </c>
      <c r="S82" s="23" t="s">
        <v>691</v>
      </c>
      <c r="T82" s="31" t="s">
        <v>641</v>
      </c>
      <c r="U82" s="23" t="s">
        <v>643</v>
      </c>
    </row>
    <row r="83" spans="1:21" ht="7" customHeight="1" x14ac:dyDescent="0.4">
      <c r="A83" s="22">
        <v>83</v>
      </c>
      <c r="B83" s="45" t="s">
        <v>108</v>
      </c>
      <c r="C83" s="30" t="s">
        <v>421</v>
      </c>
      <c r="D83" s="41" t="s">
        <v>559</v>
      </c>
      <c r="E83" s="43" t="s">
        <v>558</v>
      </c>
      <c r="F83" s="41" t="s">
        <v>496</v>
      </c>
      <c r="G83" s="43" t="s">
        <v>534</v>
      </c>
      <c r="H83" s="36" t="s">
        <v>385</v>
      </c>
      <c r="I83" s="35" t="s">
        <v>392</v>
      </c>
      <c r="J83" s="31" t="s">
        <v>1</v>
      </c>
      <c r="K83" s="23" t="s">
        <v>1</v>
      </c>
      <c r="L83" s="31" t="s">
        <v>692</v>
      </c>
      <c r="M83" s="35" t="s">
        <v>506</v>
      </c>
      <c r="N83" s="31" t="s">
        <v>386</v>
      </c>
      <c r="O83" s="23" t="s">
        <v>291</v>
      </c>
      <c r="P83" s="31" t="s">
        <v>640</v>
      </c>
      <c r="Q83" s="23" t="s">
        <v>642</v>
      </c>
      <c r="R83" s="31" t="s">
        <v>689</v>
      </c>
      <c r="S83" s="23" t="s">
        <v>691</v>
      </c>
      <c r="T83" s="31" t="s">
        <v>641</v>
      </c>
      <c r="U83" s="23" t="s">
        <v>643</v>
      </c>
    </row>
    <row r="84" spans="1:21" ht="7" customHeight="1" x14ac:dyDescent="0.4">
      <c r="A84" s="22">
        <v>84</v>
      </c>
      <c r="B84" s="45" t="s">
        <v>109</v>
      </c>
      <c r="C84" s="30" t="s">
        <v>421</v>
      </c>
      <c r="D84" s="41" t="s">
        <v>559</v>
      </c>
      <c r="E84" s="43" t="s">
        <v>558</v>
      </c>
      <c r="F84" s="41" t="s">
        <v>496</v>
      </c>
      <c r="G84" s="43" t="s">
        <v>534</v>
      </c>
      <c r="H84" s="36" t="s">
        <v>385</v>
      </c>
      <c r="I84" s="35" t="s">
        <v>392</v>
      </c>
      <c r="J84" s="31" t="s">
        <v>1</v>
      </c>
      <c r="K84" s="23" t="s">
        <v>1</v>
      </c>
      <c r="L84" s="31" t="s">
        <v>692</v>
      </c>
      <c r="M84" s="35" t="s">
        <v>506</v>
      </c>
      <c r="N84" s="31" t="s">
        <v>386</v>
      </c>
      <c r="O84" s="23" t="s">
        <v>292</v>
      </c>
      <c r="P84" s="31" t="s">
        <v>640</v>
      </c>
      <c r="Q84" s="23" t="s">
        <v>642</v>
      </c>
      <c r="R84" s="31" t="s">
        <v>689</v>
      </c>
      <c r="S84" s="23" t="s">
        <v>691</v>
      </c>
      <c r="T84" s="31" t="s">
        <v>641</v>
      </c>
      <c r="U84" s="23" t="s">
        <v>643</v>
      </c>
    </row>
    <row r="85" spans="1:21" ht="7" customHeight="1" x14ac:dyDescent="0.4">
      <c r="A85" s="22">
        <v>85</v>
      </c>
      <c r="B85" s="45" t="s">
        <v>110</v>
      </c>
      <c r="C85" s="30" t="s">
        <v>421</v>
      </c>
      <c r="D85" s="41" t="s">
        <v>559</v>
      </c>
      <c r="E85" s="43" t="s">
        <v>558</v>
      </c>
      <c r="F85" s="41" t="s">
        <v>496</v>
      </c>
      <c r="G85" s="43" t="s">
        <v>537</v>
      </c>
      <c r="H85" s="36" t="s">
        <v>385</v>
      </c>
      <c r="I85" s="35" t="s">
        <v>392</v>
      </c>
      <c r="J85" s="31" t="s">
        <v>1</v>
      </c>
      <c r="K85" s="23" t="s">
        <v>1</v>
      </c>
      <c r="L85" s="31" t="s">
        <v>692</v>
      </c>
      <c r="M85" s="35" t="s">
        <v>506</v>
      </c>
      <c r="N85" s="31" t="s">
        <v>386</v>
      </c>
      <c r="O85" s="23" t="s">
        <v>293</v>
      </c>
      <c r="P85" s="31" t="s">
        <v>640</v>
      </c>
      <c r="Q85" s="23" t="s">
        <v>642</v>
      </c>
      <c r="R85" s="31" t="s">
        <v>689</v>
      </c>
      <c r="S85" s="23" t="s">
        <v>691</v>
      </c>
      <c r="T85" s="31" t="s">
        <v>641</v>
      </c>
      <c r="U85" s="23" t="s">
        <v>643</v>
      </c>
    </row>
    <row r="86" spans="1:21" ht="7" customHeight="1" x14ac:dyDescent="0.4">
      <c r="A86" s="22">
        <v>86</v>
      </c>
      <c r="B86" s="45" t="s">
        <v>111</v>
      </c>
      <c r="C86" s="30" t="s">
        <v>416</v>
      </c>
      <c r="D86" s="41" t="s">
        <v>559</v>
      </c>
      <c r="E86" s="43" t="s">
        <v>558</v>
      </c>
      <c r="F86" s="41" t="s">
        <v>496</v>
      </c>
      <c r="G86" s="43" t="s">
        <v>537</v>
      </c>
      <c r="H86" s="36" t="s">
        <v>385</v>
      </c>
      <c r="I86" s="35" t="s">
        <v>392</v>
      </c>
      <c r="J86" s="31" t="s">
        <v>1</v>
      </c>
      <c r="K86" s="23" t="s">
        <v>1</v>
      </c>
      <c r="L86" s="31" t="s">
        <v>692</v>
      </c>
      <c r="M86" s="35" t="s">
        <v>503</v>
      </c>
      <c r="N86" s="31" t="s">
        <v>386</v>
      </c>
      <c r="O86" s="23" t="s">
        <v>278</v>
      </c>
      <c r="P86" s="31" t="s">
        <v>640</v>
      </c>
      <c r="Q86" s="23" t="s">
        <v>642</v>
      </c>
      <c r="R86" s="31" t="s">
        <v>689</v>
      </c>
      <c r="S86" s="23" t="s">
        <v>691</v>
      </c>
      <c r="T86" s="31" t="s">
        <v>641</v>
      </c>
      <c r="U86" s="23" t="s">
        <v>643</v>
      </c>
    </row>
    <row r="87" spans="1:21" ht="7" customHeight="1" x14ac:dyDescent="0.4">
      <c r="A87" s="22">
        <v>87</v>
      </c>
      <c r="B87" s="45" t="s">
        <v>112</v>
      </c>
      <c r="C87" s="30" t="s">
        <v>416</v>
      </c>
      <c r="D87" s="41" t="s">
        <v>559</v>
      </c>
      <c r="E87" s="43" t="s">
        <v>558</v>
      </c>
      <c r="F87" s="41" t="s">
        <v>496</v>
      </c>
      <c r="G87" s="43" t="s">
        <v>537</v>
      </c>
      <c r="H87" s="36" t="s">
        <v>385</v>
      </c>
      <c r="I87" s="35" t="s">
        <v>392</v>
      </c>
      <c r="J87" s="31" t="s">
        <v>1</v>
      </c>
      <c r="K87" s="23" t="s">
        <v>1</v>
      </c>
      <c r="L87" s="31" t="s">
        <v>692</v>
      </c>
      <c r="M87" s="35" t="s">
        <v>503</v>
      </c>
      <c r="N87" s="31" t="s">
        <v>386</v>
      </c>
      <c r="O87" s="23" t="s">
        <v>577</v>
      </c>
      <c r="P87" s="31" t="s">
        <v>640</v>
      </c>
      <c r="Q87" s="23" t="s">
        <v>642</v>
      </c>
      <c r="R87" s="31" t="s">
        <v>689</v>
      </c>
      <c r="S87" s="23" t="s">
        <v>691</v>
      </c>
      <c r="T87" s="31" t="s">
        <v>641</v>
      </c>
      <c r="U87" s="23" t="s">
        <v>643</v>
      </c>
    </row>
    <row r="88" spans="1:21" ht="7" customHeight="1" x14ac:dyDescent="0.4">
      <c r="A88" s="22">
        <v>88</v>
      </c>
      <c r="B88" s="45" t="s">
        <v>113</v>
      </c>
      <c r="C88" s="30" t="s">
        <v>421</v>
      </c>
      <c r="D88" s="41" t="s">
        <v>559</v>
      </c>
      <c r="E88" s="43" t="s">
        <v>558</v>
      </c>
      <c r="F88" s="41" t="s">
        <v>496</v>
      </c>
      <c r="G88" s="43" t="s">
        <v>537</v>
      </c>
      <c r="H88" s="36" t="s">
        <v>385</v>
      </c>
      <c r="I88" s="35" t="s">
        <v>392</v>
      </c>
      <c r="J88" s="31" t="s">
        <v>1</v>
      </c>
      <c r="K88" s="23" t="s">
        <v>1</v>
      </c>
      <c r="L88" s="31" t="s">
        <v>692</v>
      </c>
      <c r="M88" s="35" t="s">
        <v>506</v>
      </c>
      <c r="N88" s="31" t="s">
        <v>386</v>
      </c>
      <c r="O88" s="23" t="s">
        <v>268</v>
      </c>
      <c r="P88" s="31" t="s">
        <v>640</v>
      </c>
      <c r="Q88" s="23" t="s">
        <v>642</v>
      </c>
      <c r="R88" s="31" t="s">
        <v>689</v>
      </c>
      <c r="S88" s="23" t="s">
        <v>691</v>
      </c>
      <c r="T88" s="31" t="s">
        <v>641</v>
      </c>
      <c r="U88" s="23" t="s">
        <v>643</v>
      </c>
    </row>
    <row r="89" spans="1:21" ht="7" customHeight="1" x14ac:dyDescent="0.4">
      <c r="A89" s="22">
        <v>89</v>
      </c>
      <c r="B89" s="45" t="s">
        <v>114</v>
      </c>
      <c r="C89" s="30" t="s">
        <v>421</v>
      </c>
      <c r="D89" s="41" t="s">
        <v>559</v>
      </c>
      <c r="E89" s="43" t="s">
        <v>558</v>
      </c>
      <c r="F89" s="41" t="s">
        <v>496</v>
      </c>
      <c r="G89" s="43" t="s">
        <v>537</v>
      </c>
      <c r="H89" s="36" t="s">
        <v>385</v>
      </c>
      <c r="I89" s="35" t="s">
        <v>392</v>
      </c>
      <c r="J89" s="31" t="s">
        <v>1</v>
      </c>
      <c r="K89" s="23" t="s">
        <v>1</v>
      </c>
      <c r="L89" s="31" t="s">
        <v>692</v>
      </c>
      <c r="M89" s="35" t="s">
        <v>506</v>
      </c>
      <c r="N89" s="31" t="s">
        <v>386</v>
      </c>
      <c r="O89" s="23" t="s">
        <v>294</v>
      </c>
      <c r="P89" s="31" t="s">
        <v>640</v>
      </c>
      <c r="Q89" s="23" t="s">
        <v>642</v>
      </c>
      <c r="R89" s="31" t="s">
        <v>689</v>
      </c>
      <c r="S89" s="23" t="s">
        <v>691</v>
      </c>
      <c r="T89" s="31" t="s">
        <v>641</v>
      </c>
      <c r="U89" s="23" t="s">
        <v>643</v>
      </c>
    </row>
    <row r="90" spans="1:21" ht="7" customHeight="1" x14ac:dyDescent="0.4">
      <c r="A90" s="22">
        <v>90</v>
      </c>
      <c r="B90" s="45" t="s">
        <v>115</v>
      </c>
      <c r="C90" s="30" t="s">
        <v>421</v>
      </c>
      <c r="D90" s="41" t="s">
        <v>559</v>
      </c>
      <c r="E90" s="43" t="s">
        <v>558</v>
      </c>
      <c r="F90" s="41" t="s">
        <v>496</v>
      </c>
      <c r="G90" s="43" t="s">
        <v>537</v>
      </c>
      <c r="H90" s="36" t="s">
        <v>385</v>
      </c>
      <c r="I90" s="35" t="s">
        <v>392</v>
      </c>
      <c r="J90" s="31" t="s">
        <v>1</v>
      </c>
      <c r="K90" s="23" t="s">
        <v>1</v>
      </c>
      <c r="L90" s="31" t="s">
        <v>692</v>
      </c>
      <c r="M90" s="35" t="s">
        <v>506</v>
      </c>
      <c r="N90" s="31" t="s">
        <v>386</v>
      </c>
      <c r="O90" s="23" t="s">
        <v>295</v>
      </c>
      <c r="P90" s="31" t="s">
        <v>640</v>
      </c>
      <c r="Q90" s="23" t="s">
        <v>642</v>
      </c>
      <c r="R90" s="31" t="s">
        <v>689</v>
      </c>
      <c r="S90" s="23" t="s">
        <v>691</v>
      </c>
      <c r="T90" s="31" t="s">
        <v>641</v>
      </c>
      <c r="U90" s="23" t="s">
        <v>643</v>
      </c>
    </row>
    <row r="91" spans="1:21" ht="7" customHeight="1" x14ac:dyDescent="0.4">
      <c r="A91" s="22">
        <v>91</v>
      </c>
      <c r="B91" s="45" t="s">
        <v>116</v>
      </c>
      <c r="C91" s="30" t="s">
        <v>421</v>
      </c>
      <c r="D91" s="41" t="s">
        <v>559</v>
      </c>
      <c r="E91" s="43" t="s">
        <v>558</v>
      </c>
      <c r="F91" s="41" t="s">
        <v>496</v>
      </c>
      <c r="G91" s="43" t="s">
        <v>537</v>
      </c>
      <c r="H91" s="36" t="s">
        <v>385</v>
      </c>
      <c r="I91" s="35" t="s">
        <v>392</v>
      </c>
      <c r="J91" s="31" t="s">
        <v>1</v>
      </c>
      <c r="K91" s="23" t="s">
        <v>1</v>
      </c>
      <c r="L91" s="31" t="s">
        <v>692</v>
      </c>
      <c r="M91" s="35" t="s">
        <v>506</v>
      </c>
      <c r="N91" s="31" t="s">
        <v>386</v>
      </c>
      <c r="O91" s="23" t="s">
        <v>562</v>
      </c>
      <c r="P91" s="31" t="s">
        <v>640</v>
      </c>
      <c r="Q91" s="23" t="s">
        <v>642</v>
      </c>
      <c r="R91" s="31" t="s">
        <v>689</v>
      </c>
      <c r="S91" s="23" t="s">
        <v>691</v>
      </c>
      <c r="T91" s="31" t="s">
        <v>641</v>
      </c>
      <c r="U91" s="23" t="s">
        <v>643</v>
      </c>
    </row>
    <row r="92" spans="1:21" ht="7" customHeight="1" x14ac:dyDescent="0.4">
      <c r="A92" s="22">
        <v>92</v>
      </c>
      <c r="B92" s="45" t="s">
        <v>117</v>
      </c>
      <c r="C92" s="30" t="s">
        <v>421</v>
      </c>
      <c r="D92" s="41" t="s">
        <v>559</v>
      </c>
      <c r="E92" s="43" t="s">
        <v>558</v>
      </c>
      <c r="F92" s="41" t="s">
        <v>496</v>
      </c>
      <c r="G92" s="43" t="s">
        <v>537</v>
      </c>
      <c r="H92" s="36" t="s">
        <v>385</v>
      </c>
      <c r="I92" s="35" t="s">
        <v>392</v>
      </c>
      <c r="J92" s="31" t="s">
        <v>1</v>
      </c>
      <c r="K92" s="23" t="s">
        <v>1</v>
      </c>
      <c r="L92" s="31" t="s">
        <v>692</v>
      </c>
      <c r="M92" s="35" t="s">
        <v>506</v>
      </c>
      <c r="N92" s="31" t="s">
        <v>386</v>
      </c>
      <c r="O92" s="23" t="s">
        <v>296</v>
      </c>
      <c r="P92" s="31" t="s">
        <v>640</v>
      </c>
      <c r="Q92" s="23" t="s">
        <v>642</v>
      </c>
      <c r="R92" s="31" t="s">
        <v>689</v>
      </c>
      <c r="S92" s="23" t="s">
        <v>691</v>
      </c>
      <c r="T92" s="31" t="s">
        <v>641</v>
      </c>
      <c r="U92" s="23" t="s">
        <v>643</v>
      </c>
    </row>
    <row r="93" spans="1:21" ht="7" customHeight="1" x14ac:dyDescent="0.4">
      <c r="A93" s="22">
        <v>93</v>
      </c>
      <c r="B93" s="45" t="s">
        <v>118</v>
      </c>
      <c r="C93" s="30" t="s">
        <v>399</v>
      </c>
      <c r="D93" s="41" t="s">
        <v>559</v>
      </c>
      <c r="E93" s="43" t="s">
        <v>558</v>
      </c>
      <c r="F93" s="41" t="s">
        <v>496</v>
      </c>
      <c r="G93" s="43" t="s">
        <v>537</v>
      </c>
      <c r="H93" s="36" t="s">
        <v>385</v>
      </c>
      <c r="I93" s="35" t="s">
        <v>392</v>
      </c>
      <c r="J93" s="31" t="s">
        <v>1</v>
      </c>
      <c r="K93" s="23" t="s">
        <v>1</v>
      </c>
      <c r="L93" s="31" t="s">
        <v>692</v>
      </c>
      <c r="M93" s="35" t="s">
        <v>497</v>
      </c>
      <c r="N93" s="31" t="s">
        <v>386</v>
      </c>
      <c r="O93" s="23" t="s">
        <v>297</v>
      </c>
      <c r="P93" s="31" t="s">
        <v>640</v>
      </c>
      <c r="Q93" s="23" t="s">
        <v>642</v>
      </c>
      <c r="R93" s="31" t="s">
        <v>689</v>
      </c>
      <c r="S93" s="23" t="s">
        <v>691</v>
      </c>
      <c r="T93" s="31" t="s">
        <v>641</v>
      </c>
      <c r="U93" s="23" t="s">
        <v>643</v>
      </c>
    </row>
    <row r="94" spans="1:21" ht="7" customHeight="1" x14ac:dyDescent="0.4">
      <c r="A94" s="22">
        <v>94</v>
      </c>
      <c r="B94" s="45" t="s">
        <v>119</v>
      </c>
      <c r="C94" s="30" t="s">
        <v>421</v>
      </c>
      <c r="D94" s="41" t="s">
        <v>559</v>
      </c>
      <c r="E94" s="43" t="s">
        <v>558</v>
      </c>
      <c r="F94" s="41" t="s">
        <v>496</v>
      </c>
      <c r="G94" s="43" t="s">
        <v>537</v>
      </c>
      <c r="H94" s="36" t="s">
        <v>385</v>
      </c>
      <c r="I94" s="35" t="s">
        <v>392</v>
      </c>
      <c r="J94" s="31" t="s">
        <v>1</v>
      </c>
      <c r="K94" s="23" t="s">
        <v>1</v>
      </c>
      <c r="L94" s="31" t="s">
        <v>692</v>
      </c>
      <c r="M94" s="35" t="s">
        <v>506</v>
      </c>
      <c r="N94" s="31" t="s">
        <v>386</v>
      </c>
      <c r="O94" s="23" t="s">
        <v>563</v>
      </c>
      <c r="P94" s="31" t="s">
        <v>640</v>
      </c>
      <c r="Q94" s="23" t="s">
        <v>642</v>
      </c>
      <c r="R94" s="31" t="s">
        <v>689</v>
      </c>
      <c r="S94" s="23" t="s">
        <v>691</v>
      </c>
      <c r="T94" s="31" t="s">
        <v>641</v>
      </c>
      <c r="U94" s="23" t="s">
        <v>643</v>
      </c>
    </row>
    <row r="95" spans="1:21" ht="7" customHeight="1" x14ac:dyDescent="0.4">
      <c r="A95" s="22">
        <v>95</v>
      </c>
      <c r="B95" s="45" t="s">
        <v>120</v>
      </c>
      <c r="C95" s="30" t="s">
        <v>416</v>
      </c>
      <c r="D95" s="41" t="s">
        <v>559</v>
      </c>
      <c r="E95" s="43" t="s">
        <v>558</v>
      </c>
      <c r="F95" s="41" t="s">
        <v>496</v>
      </c>
      <c r="G95" s="43" t="s">
        <v>533</v>
      </c>
      <c r="H95" s="36" t="s">
        <v>385</v>
      </c>
      <c r="I95" s="35" t="s">
        <v>393</v>
      </c>
      <c r="J95" s="31" t="s">
        <v>1</v>
      </c>
      <c r="K95" s="23" t="s">
        <v>1</v>
      </c>
      <c r="L95" s="31" t="s">
        <v>692</v>
      </c>
      <c r="M95" s="35" t="s">
        <v>503</v>
      </c>
      <c r="N95" s="31" t="s">
        <v>386</v>
      </c>
      <c r="O95" s="23" t="s">
        <v>577</v>
      </c>
      <c r="P95" s="31" t="s">
        <v>640</v>
      </c>
      <c r="Q95" s="23" t="s">
        <v>642</v>
      </c>
      <c r="R95" s="31" t="s">
        <v>689</v>
      </c>
      <c r="S95" s="23" t="s">
        <v>691</v>
      </c>
      <c r="T95" s="31" t="s">
        <v>641</v>
      </c>
      <c r="U95" s="23" t="s">
        <v>643</v>
      </c>
    </row>
    <row r="96" spans="1:21" ht="7" customHeight="1" x14ac:dyDescent="0.4">
      <c r="A96" s="22">
        <v>96</v>
      </c>
      <c r="B96" s="45" t="s">
        <v>121</v>
      </c>
      <c r="C96" s="30" t="s">
        <v>421</v>
      </c>
      <c r="D96" s="41" t="s">
        <v>559</v>
      </c>
      <c r="E96" s="43" t="s">
        <v>558</v>
      </c>
      <c r="F96" s="41" t="s">
        <v>496</v>
      </c>
      <c r="G96" s="43" t="s">
        <v>533</v>
      </c>
      <c r="H96" s="36" t="s">
        <v>385</v>
      </c>
      <c r="I96" s="35" t="s">
        <v>393</v>
      </c>
      <c r="J96" s="31" t="s">
        <v>1</v>
      </c>
      <c r="K96" s="23" t="s">
        <v>1</v>
      </c>
      <c r="L96" s="31" t="s">
        <v>692</v>
      </c>
      <c r="M96" s="35" t="s">
        <v>506</v>
      </c>
      <c r="N96" s="31" t="s">
        <v>386</v>
      </c>
      <c r="O96" s="23" t="s">
        <v>298</v>
      </c>
      <c r="P96" s="31" t="s">
        <v>640</v>
      </c>
      <c r="Q96" s="23" t="s">
        <v>642</v>
      </c>
      <c r="R96" s="31" t="s">
        <v>689</v>
      </c>
      <c r="S96" s="23" t="s">
        <v>691</v>
      </c>
      <c r="T96" s="31" t="s">
        <v>641</v>
      </c>
      <c r="U96" s="23" t="s">
        <v>643</v>
      </c>
    </row>
    <row r="97" spans="1:21" ht="7" customHeight="1" x14ac:dyDescent="0.4">
      <c r="A97" s="22">
        <v>97</v>
      </c>
      <c r="B97" s="45" t="s">
        <v>122</v>
      </c>
      <c r="C97" s="30" t="s">
        <v>421</v>
      </c>
      <c r="D97" s="41" t="s">
        <v>559</v>
      </c>
      <c r="E97" s="43" t="s">
        <v>558</v>
      </c>
      <c r="F97" s="41" t="s">
        <v>496</v>
      </c>
      <c r="G97" s="43" t="s">
        <v>533</v>
      </c>
      <c r="H97" s="36" t="s">
        <v>385</v>
      </c>
      <c r="I97" s="35" t="s">
        <v>393</v>
      </c>
      <c r="J97" s="31" t="s">
        <v>1</v>
      </c>
      <c r="K97" s="23" t="s">
        <v>1</v>
      </c>
      <c r="L97" s="31" t="s">
        <v>692</v>
      </c>
      <c r="M97" s="35" t="s">
        <v>506</v>
      </c>
      <c r="N97" s="31" t="s">
        <v>386</v>
      </c>
      <c r="O97" s="23" t="s">
        <v>299</v>
      </c>
      <c r="P97" s="31" t="s">
        <v>640</v>
      </c>
      <c r="Q97" s="23" t="s">
        <v>642</v>
      </c>
      <c r="R97" s="31" t="s">
        <v>689</v>
      </c>
      <c r="S97" s="23" t="s">
        <v>691</v>
      </c>
      <c r="T97" s="31" t="s">
        <v>641</v>
      </c>
      <c r="U97" s="23" t="s">
        <v>643</v>
      </c>
    </row>
    <row r="98" spans="1:21" ht="7" customHeight="1" x14ac:dyDescent="0.4">
      <c r="A98" s="22">
        <v>98</v>
      </c>
      <c r="B98" s="45" t="s">
        <v>123</v>
      </c>
      <c r="C98" s="30" t="s">
        <v>399</v>
      </c>
      <c r="D98" s="41" t="s">
        <v>559</v>
      </c>
      <c r="E98" s="43" t="s">
        <v>558</v>
      </c>
      <c r="F98" s="41" t="s">
        <v>496</v>
      </c>
      <c r="G98" s="43" t="s">
        <v>533</v>
      </c>
      <c r="H98" s="36" t="s">
        <v>385</v>
      </c>
      <c r="I98" s="35" t="s">
        <v>393</v>
      </c>
      <c r="J98" s="31" t="s">
        <v>1</v>
      </c>
      <c r="K98" s="23" t="s">
        <v>1</v>
      </c>
      <c r="L98" s="31" t="s">
        <v>692</v>
      </c>
      <c r="M98" s="35" t="s">
        <v>497</v>
      </c>
      <c r="N98" s="31" t="s">
        <v>386</v>
      </c>
      <c r="O98" s="23" t="s">
        <v>300</v>
      </c>
      <c r="P98" s="31" t="s">
        <v>640</v>
      </c>
      <c r="Q98" s="23" t="s">
        <v>642</v>
      </c>
      <c r="R98" s="31" t="s">
        <v>689</v>
      </c>
      <c r="S98" s="23" t="s">
        <v>691</v>
      </c>
      <c r="T98" s="31" t="s">
        <v>641</v>
      </c>
      <c r="U98" s="23" t="s">
        <v>643</v>
      </c>
    </row>
    <row r="99" spans="1:21" ht="7" customHeight="1" x14ac:dyDescent="0.4">
      <c r="A99" s="22">
        <v>99</v>
      </c>
      <c r="B99" s="45" t="s">
        <v>124</v>
      </c>
      <c r="C99" s="30" t="s">
        <v>399</v>
      </c>
      <c r="D99" s="41" t="s">
        <v>559</v>
      </c>
      <c r="E99" s="43" t="s">
        <v>558</v>
      </c>
      <c r="F99" s="41" t="s">
        <v>496</v>
      </c>
      <c r="G99" s="43" t="s">
        <v>533</v>
      </c>
      <c r="H99" s="36" t="s">
        <v>385</v>
      </c>
      <c r="I99" s="35" t="s">
        <v>393</v>
      </c>
      <c r="J99" s="31" t="s">
        <v>1</v>
      </c>
      <c r="K99" s="23" t="s">
        <v>1</v>
      </c>
      <c r="L99" s="31" t="s">
        <v>692</v>
      </c>
      <c r="M99" s="35" t="s">
        <v>497</v>
      </c>
      <c r="N99" s="31" t="s">
        <v>386</v>
      </c>
      <c r="O99" s="23" t="s">
        <v>301</v>
      </c>
      <c r="P99" s="31" t="s">
        <v>640</v>
      </c>
      <c r="Q99" s="23" t="s">
        <v>642</v>
      </c>
      <c r="R99" s="31" t="s">
        <v>689</v>
      </c>
      <c r="S99" s="23" t="s">
        <v>691</v>
      </c>
      <c r="T99" s="31" t="s">
        <v>641</v>
      </c>
      <c r="U99" s="23" t="s">
        <v>643</v>
      </c>
    </row>
    <row r="100" spans="1:21" ht="7" customHeight="1" x14ac:dyDescent="0.4">
      <c r="A100" s="22">
        <v>100</v>
      </c>
      <c r="B100" s="45" t="s">
        <v>125</v>
      </c>
      <c r="C100" s="30" t="s">
        <v>420</v>
      </c>
      <c r="D100" s="41" t="s">
        <v>559</v>
      </c>
      <c r="E100" s="43" t="s">
        <v>558</v>
      </c>
      <c r="F100" s="41" t="s">
        <v>496</v>
      </c>
      <c r="G100" s="43" t="s">
        <v>533</v>
      </c>
      <c r="H100" s="36" t="s">
        <v>385</v>
      </c>
      <c r="I100" s="35" t="s">
        <v>393</v>
      </c>
      <c r="J100" s="31" t="s">
        <v>1</v>
      </c>
      <c r="K100" s="23" t="s">
        <v>1</v>
      </c>
      <c r="L100" s="31" t="s">
        <v>692</v>
      </c>
      <c r="M100" s="35" t="s">
        <v>500</v>
      </c>
      <c r="N100" s="31" t="s">
        <v>386</v>
      </c>
      <c r="O100" s="23" t="s">
        <v>302</v>
      </c>
      <c r="P100" s="31" t="s">
        <v>640</v>
      </c>
      <c r="Q100" s="23" t="s">
        <v>642</v>
      </c>
      <c r="R100" s="31" t="s">
        <v>689</v>
      </c>
      <c r="S100" s="23" t="s">
        <v>691</v>
      </c>
      <c r="T100" s="31" t="s">
        <v>641</v>
      </c>
      <c r="U100" s="23" t="s">
        <v>643</v>
      </c>
    </row>
    <row r="101" spans="1:21" ht="7" customHeight="1" x14ac:dyDescent="0.4">
      <c r="A101" s="22">
        <v>101</v>
      </c>
      <c r="B101" s="45" t="s">
        <v>126</v>
      </c>
      <c r="C101" s="30" t="s">
        <v>419</v>
      </c>
      <c r="D101" s="41" t="s">
        <v>559</v>
      </c>
      <c r="E101" s="43" t="s">
        <v>558</v>
      </c>
      <c r="F101" s="41" t="s">
        <v>496</v>
      </c>
      <c r="G101" s="43" t="s">
        <v>533</v>
      </c>
      <c r="H101" s="36" t="s">
        <v>385</v>
      </c>
      <c r="I101" s="35" t="s">
        <v>393</v>
      </c>
      <c r="J101" s="31" t="s">
        <v>1</v>
      </c>
      <c r="K101" s="23" t="s">
        <v>1</v>
      </c>
      <c r="L101" s="31" t="s">
        <v>692</v>
      </c>
      <c r="M101" s="35" t="s">
        <v>504</v>
      </c>
      <c r="N101" s="31" t="s">
        <v>386</v>
      </c>
      <c r="O101" s="23" t="s">
        <v>303</v>
      </c>
      <c r="P101" s="31" t="s">
        <v>640</v>
      </c>
      <c r="Q101" s="23" t="s">
        <v>642</v>
      </c>
      <c r="R101" s="31" t="s">
        <v>689</v>
      </c>
      <c r="S101" s="23" t="s">
        <v>691</v>
      </c>
      <c r="T101" s="31" t="s">
        <v>641</v>
      </c>
      <c r="U101" s="23" t="s">
        <v>643</v>
      </c>
    </row>
    <row r="102" spans="1:21" ht="7" customHeight="1" x14ac:dyDescent="0.4">
      <c r="A102" s="22">
        <v>102</v>
      </c>
      <c r="B102" s="45" t="s">
        <v>127</v>
      </c>
      <c r="C102" s="30" t="s">
        <v>420</v>
      </c>
      <c r="D102" s="41" t="s">
        <v>559</v>
      </c>
      <c r="E102" s="43" t="s">
        <v>558</v>
      </c>
      <c r="F102" s="41" t="s">
        <v>496</v>
      </c>
      <c r="G102" s="43" t="s">
        <v>533</v>
      </c>
      <c r="H102" s="36" t="s">
        <v>385</v>
      </c>
      <c r="I102" s="35" t="s">
        <v>393</v>
      </c>
      <c r="J102" s="31" t="s">
        <v>1</v>
      </c>
      <c r="K102" s="23" t="s">
        <v>1</v>
      </c>
      <c r="L102" s="31" t="s">
        <v>692</v>
      </c>
      <c r="M102" s="35" t="s">
        <v>500</v>
      </c>
      <c r="N102" s="31" t="s">
        <v>386</v>
      </c>
      <c r="O102" s="23" t="s">
        <v>304</v>
      </c>
      <c r="P102" s="31" t="s">
        <v>640</v>
      </c>
      <c r="Q102" s="23" t="s">
        <v>642</v>
      </c>
      <c r="R102" s="31" t="s">
        <v>689</v>
      </c>
      <c r="S102" s="23" t="s">
        <v>691</v>
      </c>
      <c r="T102" s="31" t="s">
        <v>641</v>
      </c>
      <c r="U102" s="23" t="s">
        <v>643</v>
      </c>
    </row>
    <row r="103" spans="1:21" ht="7" customHeight="1" x14ac:dyDescent="0.4">
      <c r="A103" s="22">
        <v>103</v>
      </c>
      <c r="B103" s="45" t="s">
        <v>128</v>
      </c>
      <c r="C103" s="30" t="s">
        <v>419</v>
      </c>
      <c r="D103" s="41" t="s">
        <v>559</v>
      </c>
      <c r="E103" s="43" t="s">
        <v>558</v>
      </c>
      <c r="F103" s="41" t="s">
        <v>496</v>
      </c>
      <c r="G103" s="43" t="s">
        <v>533</v>
      </c>
      <c r="H103" s="36" t="s">
        <v>385</v>
      </c>
      <c r="I103" s="35" t="s">
        <v>393</v>
      </c>
      <c r="J103" s="31" t="s">
        <v>1</v>
      </c>
      <c r="K103" s="23" t="s">
        <v>1</v>
      </c>
      <c r="L103" s="31" t="s">
        <v>692</v>
      </c>
      <c r="M103" s="35" t="s">
        <v>504</v>
      </c>
      <c r="N103" s="31" t="s">
        <v>386</v>
      </c>
      <c r="O103" s="23" t="s">
        <v>305</v>
      </c>
      <c r="P103" s="31" t="s">
        <v>640</v>
      </c>
      <c r="Q103" s="23" t="s">
        <v>642</v>
      </c>
      <c r="R103" s="31" t="s">
        <v>689</v>
      </c>
      <c r="S103" s="23" t="s">
        <v>691</v>
      </c>
      <c r="T103" s="31" t="s">
        <v>641</v>
      </c>
      <c r="U103" s="23" t="s">
        <v>643</v>
      </c>
    </row>
    <row r="104" spans="1:21" ht="7" customHeight="1" x14ac:dyDescent="0.4">
      <c r="A104" s="22">
        <v>104</v>
      </c>
      <c r="B104" s="45" t="s">
        <v>129</v>
      </c>
      <c r="C104" s="30" t="s">
        <v>420</v>
      </c>
      <c r="D104" s="41" t="s">
        <v>559</v>
      </c>
      <c r="E104" s="43" t="s">
        <v>558</v>
      </c>
      <c r="F104" s="41" t="s">
        <v>496</v>
      </c>
      <c r="G104" s="43" t="s">
        <v>533</v>
      </c>
      <c r="H104" s="36" t="s">
        <v>385</v>
      </c>
      <c r="I104" s="35" t="s">
        <v>393</v>
      </c>
      <c r="J104" s="31" t="s">
        <v>1</v>
      </c>
      <c r="K104" s="23" t="s">
        <v>1</v>
      </c>
      <c r="L104" s="31" t="s">
        <v>692</v>
      </c>
      <c r="M104" s="35" t="s">
        <v>500</v>
      </c>
      <c r="N104" s="31" t="s">
        <v>386</v>
      </c>
      <c r="O104" s="23" t="s">
        <v>306</v>
      </c>
      <c r="P104" s="31" t="s">
        <v>640</v>
      </c>
      <c r="Q104" s="23" t="s">
        <v>642</v>
      </c>
      <c r="R104" s="31" t="s">
        <v>689</v>
      </c>
      <c r="S104" s="23" t="s">
        <v>691</v>
      </c>
      <c r="T104" s="31" t="s">
        <v>641</v>
      </c>
      <c r="U104" s="23" t="s">
        <v>643</v>
      </c>
    </row>
    <row r="105" spans="1:21" ht="7" customHeight="1" x14ac:dyDescent="0.4">
      <c r="A105" s="22">
        <v>105</v>
      </c>
      <c r="B105" s="45" t="s">
        <v>130</v>
      </c>
      <c r="C105" s="30" t="s">
        <v>419</v>
      </c>
      <c r="D105" s="41" t="s">
        <v>559</v>
      </c>
      <c r="E105" s="43" t="s">
        <v>558</v>
      </c>
      <c r="F105" s="41" t="s">
        <v>496</v>
      </c>
      <c r="G105" s="43" t="s">
        <v>533</v>
      </c>
      <c r="H105" s="36" t="s">
        <v>385</v>
      </c>
      <c r="I105" s="35" t="s">
        <v>393</v>
      </c>
      <c r="J105" s="31" t="s">
        <v>1</v>
      </c>
      <c r="K105" s="23" t="s">
        <v>1</v>
      </c>
      <c r="L105" s="31" t="s">
        <v>692</v>
      </c>
      <c r="M105" s="35" t="s">
        <v>504</v>
      </c>
      <c r="N105" s="31" t="s">
        <v>386</v>
      </c>
      <c r="O105" s="23" t="s">
        <v>307</v>
      </c>
      <c r="P105" s="31" t="s">
        <v>640</v>
      </c>
      <c r="Q105" s="23" t="s">
        <v>642</v>
      </c>
      <c r="R105" s="31" t="s">
        <v>689</v>
      </c>
      <c r="S105" s="23" t="s">
        <v>691</v>
      </c>
      <c r="T105" s="31" t="s">
        <v>641</v>
      </c>
      <c r="U105" s="23" t="s">
        <v>643</v>
      </c>
    </row>
    <row r="106" spans="1:21" ht="7" customHeight="1" x14ac:dyDescent="0.4">
      <c r="A106" s="22">
        <v>106</v>
      </c>
      <c r="B106" s="45" t="s">
        <v>131</v>
      </c>
      <c r="C106" s="30" t="s">
        <v>420</v>
      </c>
      <c r="D106" s="41" t="s">
        <v>559</v>
      </c>
      <c r="E106" s="43" t="s">
        <v>558</v>
      </c>
      <c r="F106" s="41" t="s">
        <v>496</v>
      </c>
      <c r="G106" s="43" t="s">
        <v>533</v>
      </c>
      <c r="H106" s="36" t="s">
        <v>385</v>
      </c>
      <c r="I106" s="35" t="s">
        <v>393</v>
      </c>
      <c r="J106" s="31" t="s">
        <v>1</v>
      </c>
      <c r="K106" s="23" t="s">
        <v>1</v>
      </c>
      <c r="L106" s="31" t="s">
        <v>692</v>
      </c>
      <c r="M106" s="35" t="s">
        <v>500</v>
      </c>
      <c r="N106" s="31" t="s">
        <v>386</v>
      </c>
      <c r="O106" s="23" t="s">
        <v>308</v>
      </c>
      <c r="P106" s="31" t="s">
        <v>640</v>
      </c>
      <c r="Q106" s="23" t="s">
        <v>642</v>
      </c>
      <c r="R106" s="31" t="s">
        <v>689</v>
      </c>
      <c r="S106" s="23" t="s">
        <v>691</v>
      </c>
      <c r="T106" s="31" t="s">
        <v>641</v>
      </c>
      <c r="U106" s="23" t="s">
        <v>643</v>
      </c>
    </row>
    <row r="107" spans="1:21" ht="7" customHeight="1" x14ac:dyDescent="0.4">
      <c r="A107" s="22">
        <v>107</v>
      </c>
      <c r="B107" s="45" t="s">
        <v>132</v>
      </c>
      <c r="C107" s="30" t="s">
        <v>419</v>
      </c>
      <c r="D107" s="41" t="s">
        <v>559</v>
      </c>
      <c r="E107" s="43" t="s">
        <v>558</v>
      </c>
      <c r="F107" s="41" t="s">
        <v>496</v>
      </c>
      <c r="G107" s="43" t="s">
        <v>533</v>
      </c>
      <c r="H107" s="36" t="s">
        <v>385</v>
      </c>
      <c r="I107" s="35" t="s">
        <v>393</v>
      </c>
      <c r="J107" s="31" t="s">
        <v>1</v>
      </c>
      <c r="K107" s="23" t="s">
        <v>1</v>
      </c>
      <c r="L107" s="31" t="s">
        <v>692</v>
      </c>
      <c r="M107" s="35" t="s">
        <v>505</v>
      </c>
      <c r="N107" s="31" t="s">
        <v>386</v>
      </c>
      <c r="O107" s="23" t="s">
        <v>576</v>
      </c>
      <c r="P107" s="31" t="s">
        <v>640</v>
      </c>
      <c r="Q107" s="23" t="s">
        <v>642</v>
      </c>
      <c r="R107" s="31" t="s">
        <v>689</v>
      </c>
      <c r="S107" s="23" t="s">
        <v>691</v>
      </c>
      <c r="T107" s="31" t="s">
        <v>641</v>
      </c>
      <c r="U107" s="23" t="s">
        <v>643</v>
      </c>
    </row>
    <row r="108" spans="1:21" ht="7" customHeight="1" x14ac:dyDescent="0.4">
      <c r="A108" s="22">
        <v>108</v>
      </c>
      <c r="B108" s="45" t="s">
        <v>133</v>
      </c>
      <c r="C108" s="30" t="s">
        <v>399</v>
      </c>
      <c r="D108" s="41" t="s">
        <v>559</v>
      </c>
      <c r="E108" s="43" t="s">
        <v>558</v>
      </c>
      <c r="F108" s="41" t="s">
        <v>496</v>
      </c>
      <c r="G108" s="43" t="s">
        <v>533</v>
      </c>
      <c r="H108" s="36" t="s">
        <v>385</v>
      </c>
      <c r="I108" s="35" t="s">
        <v>393</v>
      </c>
      <c r="J108" s="31" t="s">
        <v>1</v>
      </c>
      <c r="K108" s="23" t="s">
        <v>1</v>
      </c>
      <c r="L108" s="31" t="s">
        <v>692</v>
      </c>
      <c r="M108" s="35" t="s">
        <v>497</v>
      </c>
      <c r="N108" s="31" t="s">
        <v>386</v>
      </c>
      <c r="O108" s="23" t="s">
        <v>309</v>
      </c>
      <c r="P108" s="31" t="s">
        <v>640</v>
      </c>
      <c r="Q108" s="23" t="s">
        <v>642</v>
      </c>
      <c r="R108" s="31" t="s">
        <v>689</v>
      </c>
      <c r="S108" s="23" t="s">
        <v>691</v>
      </c>
      <c r="T108" s="31" t="s">
        <v>641</v>
      </c>
      <c r="U108" s="23" t="s">
        <v>643</v>
      </c>
    </row>
    <row r="109" spans="1:21" ht="7" customHeight="1" x14ac:dyDescent="0.4">
      <c r="A109" s="22">
        <v>109</v>
      </c>
      <c r="B109" s="45" t="s">
        <v>134</v>
      </c>
      <c r="C109" s="30" t="s">
        <v>399</v>
      </c>
      <c r="D109" s="41" t="s">
        <v>559</v>
      </c>
      <c r="E109" s="43" t="s">
        <v>558</v>
      </c>
      <c r="F109" s="41" t="s">
        <v>496</v>
      </c>
      <c r="G109" s="43" t="s">
        <v>533</v>
      </c>
      <c r="H109" s="36" t="s">
        <v>385</v>
      </c>
      <c r="I109" s="35" t="s">
        <v>393</v>
      </c>
      <c r="J109" s="31" t="s">
        <v>1</v>
      </c>
      <c r="K109" s="23" t="s">
        <v>1</v>
      </c>
      <c r="L109" s="31" t="s">
        <v>692</v>
      </c>
      <c r="M109" s="35" t="s">
        <v>497</v>
      </c>
      <c r="N109" s="31" t="s">
        <v>386</v>
      </c>
      <c r="O109" s="23" t="s">
        <v>310</v>
      </c>
      <c r="P109" s="31" t="s">
        <v>640</v>
      </c>
      <c r="Q109" s="23" t="s">
        <v>642</v>
      </c>
      <c r="R109" s="31" t="s">
        <v>689</v>
      </c>
      <c r="S109" s="23" t="s">
        <v>691</v>
      </c>
      <c r="T109" s="31" t="s">
        <v>641</v>
      </c>
      <c r="U109" s="23" t="s">
        <v>643</v>
      </c>
    </row>
    <row r="110" spans="1:21" ht="7" customHeight="1" x14ac:dyDescent="0.4">
      <c r="A110" s="22">
        <v>110</v>
      </c>
      <c r="B110" s="45" t="s">
        <v>135</v>
      </c>
      <c r="C110" s="30" t="s">
        <v>421</v>
      </c>
      <c r="D110" s="41" t="s">
        <v>559</v>
      </c>
      <c r="E110" s="43" t="s">
        <v>558</v>
      </c>
      <c r="F110" s="41" t="s">
        <v>496</v>
      </c>
      <c r="G110" s="43" t="s">
        <v>533</v>
      </c>
      <c r="H110" s="36" t="s">
        <v>385</v>
      </c>
      <c r="I110" s="35" t="s">
        <v>393</v>
      </c>
      <c r="J110" s="31" t="s">
        <v>1</v>
      </c>
      <c r="K110" s="23" t="s">
        <v>1</v>
      </c>
      <c r="L110" s="31" t="s">
        <v>692</v>
      </c>
      <c r="M110" s="35" t="s">
        <v>506</v>
      </c>
      <c r="N110" s="31" t="s">
        <v>386</v>
      </c>
      <c r="O110" s="23" t="s">
        <v>311</v>
      </c>
      <c r="P110" s="31" t="s">
        <v>640</v>
      </c>
      <c r="Q110" s="23" t="s">
        <v>642</v>
      </c>
      <c r="R110" s="31" t="s">
        <v>689</v>
      </c>
      <c r="S110" s="23" t="s">
        <v>691</v>
      </c>
      <c r="T110" s="31" t="s">
        <v>641</v>
      </c>
      <c r="U110" s="23" t="s">
        <v>643</v>
      </c>
    </row>
    <row r="111" spans="1:21" ht="7" customHeight="1" x14ac:dyDescent="0.4">
      <c r="A111" s="22">
        <v>111</v>
      </c>
      <c r="B111" s="45" t="s">
        <v>136</v>
      </c>
      <c r="C111" s="30" t="s">
        <v>416</v>
      </c>
      <c r="D111" s="41" t="s">
        <v>559</v>
      </c>
      <c r="E111" s="43" t="s">
        <v>558</v>
      </c>
      <c r="F111" s="41" t="s">
        <v>496</v>
      </c>
      <c r="G111" s="43" t="s">
        <v>533</v>
      </c>
      <c r="H111" s="36" t="s">
        <v>385</v>
      </c>
      <c r="I111" s="35" t="s">
        <v>393</v>
      </c>
      <c r="J111" s="31" t="s">
        <v>1</v>
      </c>
      <c r="K111" s="23" t="s">
        <v>1</v>
      </c>
      <c r="L111" s="31" t="s">
        <v>692</v>
      </c>
      <c r="M111" s="35" t="s">
        <v>503</v>
      </c>
      <c r="N111" s="31" t="s">
        <v>386</v>
      </c>
      <c r="O111" s="23" t="s">
        <v>577</v>
      </c>
      <c r="P111" s="31" t="s">
        <v>640</v>
      </c>
      <c r="Q111" s="23" t="s">
        <v>642</v>
      </c>
      <c r="R111" s="31" t="s">
        <v>689</v>
      </c>
      <c r="S111" s="23" t="s">
        <v>691</v>
      </c>
      <c r="T111" s="31" t="s">
        <v>641</v>
      </c>
      <c r="U111" s="23" t="s">
        <v>643</v>
      </c>
    </row>
    <row r="112" spans="1:21" ht="7" customHeight="1" x14ac:dyDescent="0.4">
      <c r="A112" s="22">
        <v>112</v>
      </c>
      <c r="B112" s="45" t="s">
        <v>137</v>
      </c>
      <c r="C112" s="30" t="s">
        <v>399</v>
      </c>
      <c r="D112" s="41" t="s">
        <v>559</v>
      </c>
      <c r="E112" s="43" t="s">
        <v>558</v>
      </c>
      <c r="F112" s="41" t="s">
        <v>496</v>
      </c>
      <c r="G112" s="43" t="s">
        <v>533</v>
      </c>
      <c r="H112" s="36" t="s">
        <v>385</v>
      </c>
      <c r="I112" s="35" t="s">
        <v>393</v>
      </c>
      <c r="J112" s="31" t="s">
        <v>1</v>
      </c>
      <c r="K112" s="23" t="s">
        <v>1</v>
      </c>
      <c r="L112" s="31" t="s">
        <v>692</v>
      </c>
      <c r="M112" s="35" t="s">
        <v>497</v>
      </c>
      <c r="N112" s="31" t="s">
        <v>386</v>
      </c>
      <c r="O112" s="23" t="s">
        <v>300</v>
      </c>
      <c r="P112" s="31" t="s">
        <v>640</v>
      </c>
      <c r="Q112" s="23" t="s">
        <v>642</v>
      </c>
      <c r="R112" s="31" t="s">
        <v>689</v>
      </c>
      <c r="S112" s="23" t="s">
        <v>691</v>
      </c>
      <c r="T112" s="31" t="s">
        <v>641</v>
      </c>
      <c r="U112" s="23" t="s">
        <v>643</v>
      </c>
    </row>
    <row r="113" spans="1:21" ht="7" customHeight="1" x14ac:dyDescent="0.4">
      <c r="A113" s="22">
        <v>113</v>
      </c>
      <c r="B113" s="45" t="s">
        <v>138</v>
      </c>
      <c r="C113" s="30" t="s">
        <v>399</v>
      </c>
      <c r="D113" s="41" t="s">
        <v>559</v>
      </c>
      <c r="E113" s="43" t="s">
        <v>558</v>
      </c>
      <c r="F113" s="41" t="s">
        <v>496</v>
      </c>
      <c r="G113" s="43" t="s">
        <v>533</v>
      </c>
      <c r="H113" s="36" t="s">
        <v>385</v>
      </c>
      <c r="I113" s="35" t="s">
        <v>393</v>
      </c>
      <c r="J113" s="31" t="s">
        <v>1</v>
      </c>
      <c r="K113" s="23" t="s">
        <v>1</v>
      </c>
      <c r="L113" s="31" t="s">
        <v>692</v>
      </c>
      <c r="M113" s="35" t="s">
        <v>497</v>
      </c>
      <c r="N113" s="31" t="s">
        <v>386</v>
      </c>
      <c r="O113" s="23" t="s">
        <v>312</v>
      </c>
      <c r="P113" s="31" t="s">
        <v>640</v>
      </c>
      <c r="Q113" s="23" t="s">
        <v>642</v>
      </c>
      <c r="R113" s="31" t="s">
        <v>689</v>
      </c>
      <c r="S113" s="23" t="s">
        <v>691</v>
      </c>
      <c r="T113" s="31" t="s">
        <v>641</v>
      </c>
      <c r="U113" s="23" t="s">
        <v>643</v>
      </c>
    </row>
    <row r="114" spans="1:21" ht="7" customHeight="1" x14ac:dyDescent="0.4">
      <c r="A114" s="22">
        <v>114</v>
      </c>
      <c r="B114" s="45" t="s">
        <v>139</v>
      </c>
      <c r="C114" s="30" t="s">
        <v>399</v>
      </c>
      <c r="D114" s="41" t="s">
        <v>559</v>
      </c>
      <c r="E114" s="43" t="s">
        <v>558</v>
      </c>
      <c r="F114" s="41" t="s">
        <v>496</v>
      </c>
      <c r="G114" s="43" t="s">
        <v>533</v>
      </c>
      <c r="H114" s="36" t="s">
        <v>385</v>
      </c>
      <c r="I114" s="35" t="s">
        <v>393</v>
      </c>
      <c r="J114" s="31" t="s">
        <v>1</v>
      </c>
      <c r="K114" s="23" t="s">
        <v>1</v>
      </c>
      <c r="L114" s="31" t="s">
        <v>692</v>
      </c>
      <c r="M114" s="35" t="s">
        <v>497</v>
      </c>
      <c r="N114" s="31" t="s">
        <v>386</v>
      </c>
      <c r="O114" s="23" t="s">
        <v>313</v>
      </c>
      <c r="P114" s="31" t="s">
        <v>640</v>
      </c>
      <c r="Q114" s="23" t="s">
        <v>642</v>
      </c>
      <c r="R114" s="31" t="s">
        <v>689</v>
      </c>
      <c r="S114" s="23" t="s">
        <v>691</v>
      </c>
      <c r="T114" s="31" t="s">
        <v>641</v>
      </c>
      <c r="U114" s="23" t="s">
        <v>643</v>
      </c>
    </row>
    <row r="115" spans="1:21" ht="7" customHeight="1" x14ac:dyDescent="0.4">
      <c r="A115" s="22">
        <v>115</v>
      </c>
      <c r="B115" s="45" t="s">
        <v>140</v>
      </c>
      <c r="C115" s="30" t="s">
        <v>421</v>
      </c>
      <c r="D115" s="41" t="s">
        <v>559</v>
      </c>
      <c r="E115" s="43" t="s">
        <v>558</v>
      </c>
      <c r="F115" s="41" t="s">
        <v>496</v>
      </c>
      <c r="G115" s="43" t="s">
        <v>533</v>
      </c>
      <c r="H115" s="36" t="s">
        <v>385</v>
      </c>
      <c r="I115" s="35" t="s">
        <v>393</v>
      </c>
      <c r="J115" s="31" t="s">
        <v>1</v>
      </c>
      <c r="K115" s="23" t="s">
        <v>1</v>
      </c>
      <c r="L115" s="31" t="s">
        <v>692</v>
      </c>
      <c r="M115" s="35" t="s">
        <v>507</v>
      </c>
      <c r="N115" s="31" t="s">
        <v>386</v>
      </c>
      <c r="O115" s="23" t="s">
        <v>564</v>
      </c>
      <c r="P115" s="31" t="s">
        <v>640</v>
      </c>
      <c r="Q115" s="23" t="s">
        <v>642</v>
      </c>
      <c r="R115" s="31" t="s">
        <v>689</v>
      </c>
      <c r="S115" s="23" t="s">
        <v>691</v>
      </c>
      <c r="T115" s="31" t="s">
        <v>641</v>
      </c>
      <c r="U115" s="23" t="s">
        <v>643</v>
      </c>
    </row>
    <row r="116" spans="1:21" ht="7" customHeight="1" x14ac:dyDescent="0.4">
      <c r="A116" s="22">
        <v>116</v>
      </c>
      <c r="B116" s="45" t="s">
        <v>141</v>
      </c>
      <c r="C116" s="30" t="s">
        <v>416</v>
      </c>
      <c r="D116" s="41" t="s">
        <v>559</v>
      </c>
      <c r="E116" s="43" t="s">
        <v>558</v>
      </c>
      <c r="F116" s="41" t="s">
        <v>496</v>
      </c>
      <c r="G116" s="43" t="s">
        <v>533</v>
      </c>
      <c r="H116" s="36" t="s">
        <v>385</v>
      </c>
      <c r="I116" s="35" t="s">
        <v>393</v>
      </c>
      <c r="J116" s="31" t="s">
        <v>1</v>
      </c>
      <c r="K116" s="23" t="s">
        <v>1</v>
      </c>
      <c r="L116" s="31" t="s">
        <v>692</v>
      </c>
      <c r="M116" s="35" t="s">
        <v>503</v>
      </c>
      <c r="N116" s="31" t="s">
        <v>386</v>
      </c>
      <c r="O116" s="23" t="s">
        <v>314</v>
      </c>
      <c r="P116" s="31" t="s">
        <v>640</v>
      </c>
      <c r="Q116" s="23" t="s">
        <v>642</v>
      </c>
      <c r="R116" s="31" t="s">
        <v>689</v>
      </c>
      <c r="S116" s="23" t="s">
        <v>691</v>
      </c>
      <c r="T116" s="31" t="s">
        <v>641</v>
      </c>
      <c r="U116" s="23" t="s">
        <v>643</v>
      </c>
    </row>
    <row r="117" spans="1:21" ht="7" customHeight="1" x14ac:dyDescent="0.4">
      <c r="A117" s="22">
        <v>117</v>
      </c>
      <c r="B117" s="45" t="s">
        <v>142</v>
      </c>
      <c r="C117" s="30" t="s">
        <v>399</v>
      </c>
      <c r="D117" s="41" t="s">
        <v>559</v>
      </c>
      <c r="E117" s="43" t="s">
        <v>558</v>
      </c>
      <c r="F117" s="41" t="s">
        <v>496</v>
      </c>
      <c r="G117" s="43" t="s">
        <v>533</v>
      </c>
      <c r="H117" s="36" t="s">
        <v>385</v>
      </c>
      <c r="I117" s="35" t="s">
        <v>393</v>
      </c>
      <c r="J117" s="31" t="s">
        <v>1</v>
      </c>
      <c r="K117" s="23" t="s">
        <v>1</v>
      </c>
      <c r="L117" s="31" t="s">
        <v>692</v>
      </c>
      <c r="M117" s="35" t="s">
        <v>497</v>
      </c>
      <c r="N117" s="31" t="s">
        <v>386</v>
      </c>
      <c r="O117" s="23" t="s">
        <v>300</v>
      </c>
      <c r="P117" s="31" t="s">
        <v>640</v>
      </c>
      <c r="Q117" s="23" t="s">
        <v>642</v>
      </c>
      <c r="R117" s="31" t="s">
        <v>689</v>
      </c>
      <c r="S117" s="23" t="s">
        <v>691</v>
      </c>
      <c r="T117" s="31" t="s">
        <v>641</v>
      </c>
      <c r="U117" s="23" t="s">
        <v>643</v>
      </c>
    </row>
    <row r="118" spans="1:21" ht="7" customHeight="1" x14ac:dyDescent="0.4">
      <c r="A118" s="22">
        <v>118</v>
      </c>
      <c r="B118" s="45" t="s">
        <v>143</v>
      </c>
      <c r="C118" s="30" t="s">
        <v>419</v>
      </c>
      <c r="D118" s="41" t="s">
        <v>559</v>
      </c>
      <c r="E118" s="43" t="s">
        <v>558</v>
      </c>
      <c r="F118" s="41" t="s">
        <v>496</v>
      </c>
      <c r="G118" s="43" t="s">
        <v>533</v>
      </c>
      <c r="H118" s="36" t="s">
        <v>385</v>
      </c>
      <c r="I118" s="35" t="s">
        <v>393</v>
      </c>
      <c r="J118" s="31" t="s">
        <v>1</v>
      </c>
      <c r="K118" s="23" t="s">
        <v>1</v>
      </c>
      <c r="L118" s="31" t="s">
        <v>692</v>
      </c>
      <c r="M118" s="35" t="s">
        <v>504</v>
      </c>
      <c r="N118" s="31" t="s">
        <v>386</v>
      </c>
      <c r="O118" s="23" t="s">
        <v>315</v>
      </c>
      <c r="P118" s="31" t="s">
        <v>640</v>
      </c>
      <c r="Q118" s="23" t="s">
        <v>642</v>
      </c>
      <c r="R118" s="31" t="s">
        <v>689</v>
      </c>
      <c r="S118" s="23" t="s">
        <v>691</v>
      </c>
      <c r="T118" s="31" t="s">
        <v>641</v>
      </c>
      <c r="U118" s="23" t="s">
        <v>643</v>
      </c>
    </row>
    <row r="119" spans="1:21" ht="7" customHeight="1" x14ac:dyDescent="0.4">
      <c r="A119" s="22">
        <v>119</v>
      </c>
      <c r="B119" s="45" t="s">
        <v>144</v>
      </c>
      <c r="C119" s="30" t="s">
        <v>399</v>
      </c>
      <c r="D119" s="41" t="s">
        <v>559</v>
      </c>
      <c r="E119" s="43" t="s">
        <v>558</v>
      </c>
      <c r="F119" s="41" t="s">
        <v>496</v>
      </c>
      <c r="G119" s="43" t="s">
        <v>533</v>
      </c>
      <c r="H119" s="36" t="s">
        <v>385</v>
      </c>
      <c r="I119" s="35" t="s">
        <v>393</v>
      </c>
      <c r="J119" s="31" t="s">
        <v>1</v>
      </c>
      <c r="K119" s="23" t="s">
        <v>1</v>
      </c>
      <c r="L119" s="31" t="s">
        <v>692</v>
      </c>
      <c r="M119" s="35" t="s">
        <v>497</v>
      </c>
      <c r="N119" s="31" t="s">
        <v>386</v>
      </c>
      <c r="O119" s="23" t="s">
        <v>316</v>
      </c>
      <c r="P119" s="31" t="s">
        <v>640</v>
      </c>
      <c r="Q119" s="23" t="s">
        <v>642</v>
      </c>
      <c r="R119" s="31" t="s">
        <v>689</v>
      </c>
      <c r="S119" s="23" t="s">
        <v>691</v>
      </c>
      <c r="T119" s="31" t="s">
        <v>641</v>
      </c>
      <c r="U119" s="23" t="s">
        <v>643</v>
      </c>
    </row>
    <row r="120" spans="1:21" ht="7" customHeight="1" x14ac:dyDescent="0.4">
      <c r="A120" s="22">
        <v>120</v>
      </c>
      <c r="B120" s="45" t="s">
        <v>145</v>
      </c>
      <c r="C120" s="30" t="s">
        <v>421</v>
      </c>
      <c r="D120" s="41" t="s">
        <v>559</v>
      </c>
      <c r="E120" s="43" t="s">
        <v>558</v>
      </c>
      <c r="F120" s="41" t="s">
        <v>496</v>
      </c>
      <c r="G120" s="43" t="s">
        <v>533</v>
      </c>
      <c r="H120" s="36" t="s">
        <v>385</v>
      </c>
      <c r="I120" s="35" t="s">
        <v>393</v>
      </c>
      <c r="J120" s="31" t="s">
        <v>1</v>
      </c>
      <c r="K120" s="23" t="s">
        <v>1</v>
      </c>
      <c r="L120" s="31" t="s">
        <v>692</v>
      </c>
      <c r="M120" s="35" t="s">
        <v>506</v>
      </c>
      <c r="N120" s="31" t="s">
        <v>386</v>
      </c>
      <c r="O120" s="23" t="s">
        <v>578</v>
      </c>
      <c r="P120" s="31" t="s">
        <v>640</v>
      </c>
      <c r="Q120" s="23" t="s">
        <v>642</v>
      </c>
      <c r="R120" s="31" t="s">
        <v>689</v>
      </c>
      <c r="S120" s="23" t="s">
        <v>691</v>
      </c>
      <c r="T120" s="31" t="s">
        <v>641</v>
      </c>
      <c r="U120" s="23" t="s">
        <v>643</v>
      </c>
    </row>
    <row r="121" spans="1:21" ht="7" customHeight="1" x14ac:dyDescent="0.4">
      <c r="A121" s="22">
        <v>121</v>
      </c>
      <c r="B121" s="45" t="s">
        <v>146</v>
      </c>
      <c r="C121" s="30" t="s">
        <v>421</v>
      </c>
      <c r="D121" s="41" t="s">
        <v>559</v>
      </c>
      <c r="E121" s="43" t="s">
        <v>558</v>
      </c>
      <c r="F121" s="41" t="s">
        <v>496</v>
      </c>
      <c r="G121" s="43" t="s">
        <v>533</v>
      </c>
      <c r="H121" s="36" t="s">
        <v>385</v>
      </c>
      <c r="I121" s="35" t="s">
        <v>393</v>
      </c>
      <c r="J121" s="31" t="s">
        <v>1</v>
      </c>
      <c r="K121" s="23" t="s">
        <v>1</v>
      </c>
      <c r="L121" s="31" t="s">
        <v>692</v>
      </c>
      <c r="M121" s="35" t="s">
        <v>506</v>
      </c>
      <c r="N121" s="31" t="s">
        <v>386</v>
      </c>
      <c r="O121" s="23" t="s">
        <v>317</v>
      </c>
      <c r="P121" s="31" t="s">
        <v>640</v>
      </c>
      <c r="Q121" s="23" t="s">
        <v>642</v>
      </c>
      <c r="R121" s="31" t="s">
        <v>689</v>
      </c>
      <c r="S121" s="23" t="s">
        <v>691</v>
      </c>
      <c r="T121" s="31" t="s">
        <v>641</v>
      </c>
      <c r="U121" s="23" t="s">
        <v>643</v>
      </c>
    </row>
    <row r="122" spans="1:21" ht="7" customHeight="1" x14ac:dyDescent="0.4">
      <c r="A122" s="22">
        <v>122</v>
      </c>
      <c r="B122" s="45" t="s">
        <v>147</v>
      </c>
      <c r="C122" s="30" t="s">
        <v>399</v>
      </c>
      <c r="D122" s="41" t="s">
        <v>559</v>
      </c>
      <c r="E122" s="43" t="s">
        <v>558</v>
      </c>
      <c r="F122" s="41" t="s">
        <v>496</v>
      </c>
      <c r="G122" s="43" t="s">
        <v>533</v>
      </c>
      <c r="H122" s="36" t="s">
        <v>385</v>
      </c>
      <c r="I122" s="35" t="s">
        <v>393</v>
      </c>
      <c r="J122" s="31" t="s">
        <v>1</v>
      </c>
      <c r="K122" s="23" t="s">
        <v>1</v>
      </c>
      <c r="L122" s="31" t="s">
        <v>692</v>
      </c>
      <c r="M122" s="35" t="s">
        <v>497</v>
      </c>
      <c r="N122" s="31" t="s">
        <v>386</v>
      </c>
      <c r="O122" s="23" t="s">
        <v>318</v>
      </c>
      <c r="P122" s="31" t="s">
        <v>640</v>
      </c>
      <c r="Q122" s="23" t="s">
        <v>642</v>
      </c>
      <c r="R122" s="31" t="s">
        <v>689</v>
      </c>
      <c r="S122" s="23" t="s">
        <v>691</v>
      </c>
      <c r="T122" s="31" t="s">
        <v>641</v>
      </c>
      <c r="U122" s="23" t="s">
        <v>643</v>
      </c>
    </row>
    <row r="123" spans="1:21" ht="7" customHeight="1" x14ac:dyDescent="0.4">
      <c r="A123" s="22">
        <v>123</v>
      </c>
      <c r="B123" s="45" t="s">
        <v>148</v>
      </c>
      <c r="C123" s="30" t="s">
        <v>416</v>
      </c>
      <c r="D123" s="41" t="s">
        <v>559</v>
      </c>
      <c r="E123" s="43" t="s">
        <v>558</v>
      </c>
      <c r="F123" s="41" t="s">
        <v>496</v>
      </c>
      <c r="G123" s="43" t="s">
        <v>533</v>
      </c>
      <c r="H123" s="36" t="s">
        <v>385</v>
      </c>
      <c r="I123" s="35" t="s">
        <v>393</v>
      </c>
      <c r="J123" s="31" t="s">
        <v>1</v>
      </c>
      <c r="K123" s="23" t="s">
        <v>1</v>
      </c>
      <c r="L123" s="31" t="s">
        <v>692</v>
      </c>
      <c r="M123" s="35" t="s">
        <v>503</v>
      </c>
      <c r="N123" s="31" t="s">
        <v>386</v>
      </c>
      <c r="O123" s="23" t="s">
        <v>577</v>
      </c>
      <c r="P123" s="31" t="s">
        <v>640</v>
      </c>
      <c r="Q123" s="23" t="s">
        <v>642</v>
      </c>
      <c r="R123" s="31" t="s">
        <v>689</v>
      </c>
      <c r="S123" s="23" t="s">
        <v>691</v>
      </c>
      <c r="T123" s="31" t="s">
        <v>641</v>
      </c>
      <c r="U123" s="23" t="s">
        <v>643</v>
      </c>
    </row>
    <row r="124" spans="1:21" ht="7" customHeight="1" x14ac:dyDescent="0.4">
      <c r="A124" s="22">
        <v>124</v>
      </c>
      <c r="B124" s="45" t="s">
        <v>149</v>
      </c>
      <c r="C124" s="30" t="s">
        <v>399</v>
      </c>
      <c r="D124" s="41" t="s">
        <v>559</v>
      </c>
      <c r="E124" s="43" t="s">
        <v>558</v>
      </c>
      <c r="F124" s="41" t="s">
        <v>496</v>
      </c>
      <c r="G124" s="43" t="s">
        <v>533</v>
      </c>
      <c r="H124" s="36" t="s">
        <v>385</v>
      </c>
      <c r="I124" s="35" t="s">
        <v>393</v>
      </c>
      <c r="J124" s="31" t="s">
        <v>1</v>
      </c>
      <c r="K124" s="23" t="s">
        <v>1</v>
      </c>
      <c r="L124" s="31" t="s">
        <v>692</v>
      </c>
      <c r="M124" s="35" t="s">
        <v>497</v>
      </c>
      <c r="N124" s="31" t="s">
        <v>386</v>
      </c>
      <c r="O124" s="23" t="s">
        <v>300</v>
      </c>
      <c r="P124" s="31" t="s">
        <v>640</v>
      </c>
      <c r="Q124" s="23" t="s">
        <v>642</v>
      </c>
      <c r="R124" s="31" t="s">
        <v>689</v>
      </c>
      <c r="S124" s="23" t="s">
        <v>691</v>
      </c>
      <c r="T124" s="31" t="s">
        <v>641</v>
      </c>
      <c r="U124" s="23" t="s">
        <v>643</v>
      </c>
    </row>
    <row r="125" spans="1:21" ht="7" customHeight="1" x14ac:dyDescent="0.4">
      <c r="A125" s="22">
        <v>125</v>
      </c>
      <c r="B125" s="45" t="s">
        <v>150</v>
      </c>
      <c r="C125" s="30" t="s">
        <v>421</v>
      </c>
      <c r="D125" s="41" t="s">
        <v>559</v>
      </c>
      <c r="E125" s="43" t="s">
        <v>558</v>
      </c>
      <c r="F125" s="41" t="s">
        <v>496</v>
      </c>
      <c r="G125" s="43" t="s">
        <v>533</v>
      </c>
      <c r="H125" s="36" t="s">
        <v>385</v>
      </c>
      <c r="I125" s="35" t="s">
        <v>393</v>
      </c>
      <c r="J125" s="31" t="s">
        <v>1</v>
      </c>
      <c r="K125" s="23" t="s">
        <v>1</v>
      </c>
      <c r="L125" s="31" t="s">
        <v>692</v>
      </c>
      <c r="M125" s="35" t="s">
        <v>506</v>
      </c>
      <c r="N125" s="31" t="s">
        <v>386</v>
      </c>
      <c r="O125" s="23" t="s">
        <v>299</v>
      </c>
      <c r="P125" s="31" t="s">
        <v>640</v>
      </c>
      <c r="Q125" s="23" t="s">
        <v>642</v>
      </c>
      <c r="R125" s="31" t="s">
        <v>689</v>
      </c>
      <c r="S125" s="23" t="s">
        <v>691</v>
      </c>
      <c r="T125" s="31" t="s">
        <v>641</v>
      </c>
      <c r="U125" s="23" t="s">
        <v>643</v>
      </c>
    </row>
    <row r="126" spans="1:21" ht="7" customHeight="1" x14ac:dyDescent="0.4">
      <c r="A126" s="22">
        <v>126</v>
      </c>
      <c r="B126" s="45" t="s">
        <v>151</v>
      </c>
      <c r="C126" s="30" t="s">
        <v>421</v>
      </c>
      <c r="D126" s="41" t="s">
        <v>559</v>
      </c>
      <c r="E126" s="43" t="s">
        <v>558</v>
      </c>
      <c r="F126" s="41" t="s">
        <v>496</v>
      </c>
      <c r="G126" s="43" t="s">
        <v>533</v>
      </c>
      <c r="H126" s="36" t="s">
        <v>385</v>
      </c>
      <c r="I126" s="35" t="s">
        <v>393</v>
      </c>
      <c r="J126" s="31" t="s">
        <v>1</v>
      </c>
      <c r="K126" s="23" t="s">
        <v>1</v>
      </c>
      <c r="L126" s="31" t="s">
        <v>692</v>
      </c>
      <c r="M126" s="35" t="s">
        <v>506</v>
      </c>
      <c r="N126" s="31" t="s">
        <v>386</v>
      </c>
      <c r="O126" s="23" t="s">
        <v>268</v>
      </c>
      <c r="P126" s="31" t="s">
        <v>640</v>
      </c>
      <c r="Q126" s="23" t="s">
        <v>642</v>
      </c>
      <c r="R126" s="31" t="s">
        <v>689</v>
      </c>
      <c r="S126" s="23" t="s">
        <v>691</v>
      </c>
      <c r="T126" s="31" t="s">
        <v>641</v>
      </c>
      <c r="U126" s="23" t="s">
        <v>643</v>
      </c>
    </row>
    <row r="127" spans="1:21" ht="7" customHeight="1" x14ac:dyDescent="0.4">
      <c r="A127" s="22">
        <v>127</v>
      </c>
      <c r="B127" s="45" t="s">
        <v>152</v>
      </c>
      <c r="C127" s="30" t="s">
        <v>419</v>
      </c>
      <c r="D127" s="41" t="s">
        <v>559</v>
      </c>
      <c r="E127" s="43" t="s">
        <v>558</v>
      </c>
      <c r="F127" s="41" t="s">
        <v>496</v>
      </c>
      <c r="G127" s="43" t="s">
        <v>533</v>
      </c>
      <c r="H127" s="36" t="s">
        <v>385</v>
      </c>
      <c r="I127" s="35" t="s">
        <v>393</v>
      </c>
      <c r="J127" s="31" t="s">
        <v>1</v>
      </c>
      <c r="K127" s="23" t="s">
        <v>1</v>
      </c>
      <c r="L127" s="31" t="s">
        <v>692</v>
      </c>
      <c r="M127" s="35" t="s">
        <v>504</v>
      </c>
      <c r="N127" s="31" t="s">
        <v>386</v>
      </c>
      <c r="O127" s="23" t="s">
        <v>504</v>
      </c>
      <c r="P127" s="31" t="s">
        <v>640</v>
      </c>
      <c r="Q127" s="23" t="s">
        <v>642</v>
      </c>
      <c r="R127" s="31" t="s">
        <v>689</v>
      </c>
      <c r="S127" s="23" t="s">
        <v>691</v>
      </c>
      <c r="T127" s="31" t="s">
        <v>641</v>
      </c>
      <c r="U127" s="23" t="s">
        <v>643</v>
      </c>
    </row>
    <row r="128" spans="1:21" ht="7" customHeight="1" x14ac:dyDescent="0.4">
      <c r="A128" s="22">
        <v>128</v>
      </c>
      <c r="B128" s="45" t="s">
        <v>153</v>
      </c>
      <c r="C128" s="30" t="s">
        <v>420</v>
      </c>
      <c r="D128" s="41" t="s">
        <v>559</v>
      </c>
      <c r="E128" s="43" t="s">
        <v>558</v>
      </c>
      <c r="F128" s="41" t="s">
        <v>496</v>
      </c>
      <c r="G128" s="43" t="s">
        <v>533</v>
      </c>
      <c r="H128" s="36" t="s">
        <v>385</v>
      </c>
      <c r="I128" s="35" t="s">
        <v>393</v>
      </c>
      <c r="J128" s="31" t="s">
        <v>1</v>
      </c>
      <c r="K128" s="23" t="s">
        <v>1</v>
      </c>
      <c r="L128" s="31" t="s">
        <v>692</v>
      </c>
      <c r="M128" s="35" t="s">
        <v>500</v>
      </c>
      <c r="N128" s="31" t="s">
        <v>386</v>
      </c>
      <c r="O128" s="23" t="s">
        <v>565</v>
      </c>
      <c r="P128" s="31" t="s">
        <v>640</v>
      </c>
      <c r="Q128" s="23" t="s">
        <v>642</v>
      </c>
      <c r="R128" s="31" t="s">
        <v>689</v>
      </c>
      <c r="S128" s="23" t="s">
        <v>691</v>
      </c>
      <c r="T128" s="31" t="s">
        <v>641</v>
      </c>
      <c r="U128" s="23" t="s">
        <v>643</v>
      </c>
    </row>
    <row r="129" spans="1:21" ht="7" customHeight="1" x14ac:dyDescent="0.4">
      <c r="A129" s="22">
        <v>129</v>
      </c>
      <c r="B129" s="45" t="s">
        <v>154</v>
      </c>
      <c r="C129" s="30" t="s">
        <v>421</v>
      </c>
      <c r="D129" s="41" t="s">
        <v>559</v>
      </c>
      <c r="E129" s="43" t="s">
        <v>558</v>
      </c>
      <c r="F129" s="41" t="s">
        <v>496</v>
      </c>
      <c r="G129" s="43" t="s">
        <v>533</v>
      </c>
      <c r="H129" s="36" t="s">
        <v>385</v>
      </c>
      <c r="I129" s="35" t="s">
        <v>393</v>
      </c>
      <c r="J129" s="31" t="s">
        <v>1</v>
      </c>
      <c r="K129" s="23" t="s">
        <v>1</v>
      </c>
      <c r="L129" s="31" t="s">
        <v>692</v>
      </c>
      <c r="M129" s="35" t="s">
        <v>506</v>
      </c>
      <c r="N129" s="31" t="s">
        <v>386</v>
      </c>
      <c r="O129" s="23" t="s">
        <v>319</v>
      </c>
      <c r="P129" s="31" t="s">
        <v>640</v>
      </c>
      <c r="Q129" s="23" t="s">
        <v>642</v>
      </c>
      <c r="R129" s="31" t="s">
        <v>689</v>
      </c>
      <c r="S129" s="23" t="s">
        <v>691</v>
      </c>
      <c r="T129" s="31" t="s">
        <v>641</v>
      </c>
      <c r="U129" s="23" t="s">
        <v>643</v>
      </c>
    </row>
    <row r="130" spans="1:21" ht="7" customHeight="1" x14ac:dyDescent="0.4">
      <c r="A130" s="22">
        <v>130</v>
      </c>
      <c r="B130" s="45" t="s">
        <v>155</v>
      </c>
      <c r="C130" s="30" t="s">
        <v>421</v>
      </c>
      <c r="D130" s="41" t="s">
        <v>559</v>
      </c>
      <c r="E130" s="43" t="s">
        <v>558</v>
      </c>
      <c r="F130" s="41" t="s">
        <v>496</v>
      </c>
      <c r="G130" s="43" t="s">
        <v>533</v>
      </c>
      <c r="H130" s="36" t="s">
        <v>385</v>
      </c>
      <c r="I130" s="35" t="s">
        <v>393</v>
      </c>
      <c r="J130" s="31" t="s">
        <v>1</v>
      </c>
      <c r="K130" s="23" t="s">
        <v>1</v>
      </c>
      <c r="L130" s="31" t="s">
        <v>692</v>
      </c>
      <c r="M130" s="35" t="s">
        <v>508</v>
      </c>
      <c r="N130" s="31" t="s">
        <v>386</v>
      </c>
      <c r="O130" s="23" t="s">
        <v>320</v>
      </c>
      <c r="P130" s="31" t="s">
        <v>640</v>
      </c>
      <c r="Q130" s="23" t="s">
        <v>642</v>
      </c>
      <c r="R130" s="31" t="s">
        <v>689</v>
      </c>
      <c r="S130" s="23" t="s">
        <v>691</v>
      </c>
      <c r="T130" s="31" t="s">
        <v>641</v>
      </c>
      <c r="U130" s="23" t="s">
        <v>643</v>
      </c>
    </row>
    <row r="131" spans="1:21" ht="7" customHeight="1" x14ac:dyDescent="0.4">
      <c r="A131" s="22">
        <v>131</v>
      </c>
      <c r="B131" s="45" t="s">
        <v>156</v>
      </c>
      <c r="C131" s="30" t="s">
        <v>415</v>
      </c>
      <c r="D131" s="41" t="s">
        <v>559</v>
      </c>
      <c r="E131" s="43" t="s">
        <v>558</v>
      </c>
      <c r="F131" s="41" t="s">
        <v>496</v>
      </c>
      <c r="G131" s="43" t="s">
        <v>538</v>
      </c>
      <c r="H131" s="36" t="s">
        <v>385</v>
      </c>
      <c r="I131" s="35" t="s">
        <v>394</v>
      </c>
      <c r="J131" s="31" t="s">
        <v>1</v>
      </c>
      <c r="K131" s="23" t="s">
        <v>1</v>
      </c>
      <c r="L131" s="31" t="s">
        <v>692</v>
      </c>
      <c r="M131" s="35" t="s">
        <v>498</v>
      </c>
      <c r="N131" s="31" t="s">
        <v>386</v>
      </c>
      <c r="O131" s="23" t="s">
        <v>321</v>
      </c>
      <c r="P131" s="31" t="s">
        <v>640</v>
      </c>
      <c r="Q131" s="23" t="s">
        <v>642</v>
      </c>
      <c r="R131" s="31" t="s">
        <v>689</v>
      </c>
      <c r="S131" s="23" t="s">
        <v>691</v>
      </c>
      <c r="T131" s="31" t="s">
        <v>641</v>
      </c>
      <c r="U131" s="23" t="s">
        <v>643</v>
      </c>
    </row>
    <row r="132" spans="1:21" ht="7" customHeight="1" x14ac:dyDescent="0.4">
      <c r="A132" s="22">
        <v>132</v>
      </c>
      <c r="B132" s="45" t="s">
        <v>157</v>
      </c>
      <c r="C132" s="30" t="s">
        <v>421</v>
      </c>
      <c r="D132" s="41" t="s">
        <v>559</v>
      </c>
      <c r="E132" s="43" t="s">
        <v>558</v>
      </c>
      <c r="F132" s="41" t="s">
        <v>496</v>
      </c>
      <c r="G132" s="43" t="s">
        <v>538</v>
      </c>
      <c r="H132" s="36" t="s">
        <v>385</v>
      </c>
      <c r="I132" s="35" t="s">
        <v>394</v>
      </c>
      <c r="J132" s="31" t="s">
        <v>1</v>
      </c>
      <c r="K132" s="23" t="s">
        <v>1</v>
      </c>
      <c r="L132" s="31" t="s">
        <v>692</v>
      </c>
      <c r="M132" s="35" t="s">
        <v>506</v>
      </c>
      <c r="N132" s="31" t="s">
        <v>386</v>
      </c>
      <c r="O132" s="23" t="s">
        <v>322</v>
      </c>
      <c r="P132" s="31" t="s">
        <v>640</v>
      </c>
      <c r="Q132" s="23" t="s">
        <v>642</v>
      </c>
      <c r="R132" s="31" t="s">
        <v>689</v>
      </c>
      <c r="S132" s="23" t="s">
        <v>691</v>
      </c>
      <c r="T132" s="31" t="s">
        <v>641</v>
      </c>
      <c r="U132" s="23" t="s">
        <v>643</v>
      </c>
    </row>
    <row r="133" spans="1:21" ht="7" customHeight="1" x14ac:dyDescent="0.4">
      <c r="A133" s="22">
        <v>133</v>
      </c>
      <c r="B133" s="45" t="s">
        <v>158</v>
      </c>
      <c r="C133" s="30" t="s">
        <v>422</v>
      </c>
      <c r="D133" s="41" t="s">
        <v>559</v>
      </c>
      <c r="E133" s="43" t="s">
        <v>558</v>
      </c>
      <c r="F133" s="41" t="s">
        <v>496</v>
      </c>
      <c r="G133" s="43" t="s">
        <v>538</v>
      </c>
      <c r="H133" s="36" t="s">
        <v>385</v>
      </c>
      <c r="I133" s="35" t="s">
        <v>394</v>
      </c>
      <c r="J133" s="31" t="s">
        <v>1</v>
      </c>
      <c r="K133" s="23" t="s">
        <v>1</v>
      </c>
      <c r="L133" s="31" t="s">
        <v>692</v>
      </c>
      <c r="M133" s="35" t="s">
        <v>502</v>
      </c>
      <c r="N133" s="31" t="s">
        <v>386</v>
      </c>
      <c r="O133" s="23" t="s">
        <v>502</v>
      </c>
      <c r="P133" s="31" t="s">
        <v>640</v>
      </c>
      <c r="Q133" s="23" t="s">
        <v>642</v>
      </c>
      <c r="R133" s="31" t="s">
        <v>689</v>
      </c>
      <c r="S133" s="23" t="s">
        <v>691</v>
      </c>
      <c r="T133" s="31" t="s">
        <v>641</v>
      </c>
      <c r="U133" s="23" t="s">
        <v>643</v>
      </c>
    </row>
    <row r="134" spans="1:21" ht="7" customHeight="1" x14ac:dyDescent="0.4">
      <c r="A134" s="22">
        <v>134</v>
      </c>
      <c r="B134" s="45" t="s">
        <v>159</v>
      </c>
      <c r="C134" s="30" t="s">
        <v>421</v>
      </c>
      <c r="D134" s="41" t="s">
        <v>559</v>
      </c>
      <c r="E134" s="43" t="s">
        <v>558</v>
      </c>
      <c r="F134" s="41" t="s">
        <v>496</v>
      </c>
      <c r="G134" s="43" t="s">
        <v>538</v>
      </c>
      <c r="H134" s="36" t="s">
        <v>385</v>
      </c>
      <c r="I134" s="35" t="s">
        <v>394</v>
      </c>
      <c r="J134" s="31" t="s">
        <v>1</v>
      </c>
      <c r="K134" s="23" t="s">
        <v>1</v>
      </c>
      <c r="L134" s="31" t="s">
        <v>692</v>
      </c>
      <c r="M134" s="35" t="s">
        <v>509</v>
      </c>
      <c r="N134" s="31" t="s">
        <v>386</v>
      </c>
      <c r="O134" s="23" t="s">
        <v>323</v>
      </c>
      <c r="P134" s="31" t="s">
        <v>640</v>
      </c>
      <c r="Q134" s="23" t="s">
        <v>642</v>
      </c>
      <c r="R134" s="31" t="s">
        <v>689</v>
      </c>
      <c r="S134" s="23" t="s">
        <v>691</v>
      </c>
      <c r="T134" s="31" t="s">
        <v>641</v>
      </c>
      <c r="U134" s="23" t="s">
        <v>643</v>
      </c>
    </row>
    <row r="135" spans="1:21" ht="7" customHeight="1" x14ac:dyDescent="0.4">
      <c r="A135" s="22">
        <v>135</v>
      </c>
      <c r="B135" s="45" t="s">
        <v>160</v>
      </c>
      <c r="C135" s="30" t="s">
        <v>417</v>
      </c>
      <c r="D135" s="41" t="s">
        <v>559</v>
      </c>
      <c r="E135" s="43" t="s">
        <v>558</v>
      </c>
      <c r="F135" s="41" t="s">
        <v>496</v>
      </c>
      <c r="G135" s="43" t="s">
        <v>538</v>
      </c>
      <c r="H135" s="36" t="s">
        <v>385</v>
      </c>
      <c r="I135" s="35" t="s">
        <v>394</v>
      </c>
      <c r="J135" s="31" t="s">
        <v>1</v>
      </c>
      <c r="K135" s="23" t="s">
        <v>1</v>
      </c>
      <c r="L135" s="31" t="s">
        <v>692</v>
      </c>
      <c r="M135" s="35" t="s">
        <v>499</v>
      </c>
      <c r="N135" s="31" t="s">
        <v>386</v>
      </c>
      <c r="O135" s="23" t="s">
        <v>566</v>
      </c>
      <c r="P135" s="31" t="s">
        <v>640</v>
      </c>
      <c r="Q135" s="23" t="s">
        <v>642</v>
      </c>
      <c r="R135" s="31" t="s">
        <v>689</v>
      </c>
      <c r="S135" s="23" t="s">
        <v>691</v>
      </c>
      <c r="T135" s="31" t="s">
        <v>641</v>
      </c>
      <c r="U135" s="23" t="s">
        <v>643</v>
      </c>
    </row>
    <row r="136" spans="1:21" ht="7" customHeight="1" x14ac:dyDescent="0.4">
      <c r="A136" s="22">
        <v>136</v>
      </c>
      <c r="B136" s="45" t="s">
        <v>161</v>
      </c>
      <c r="C136" s="30" t="s">
        <v>421</v>
      </c>
      <c r="D136" s="41" t="s">
        <v>559</v>
      </c>
      <c r="E136" s="43" t="s">
        <v>558</v>
      </c>
      <c r="F136" s="41" t="s">
        <v>496</v>
      </c>
      <c r="G136" s="43" t="s">
        <v>538</v>
      </c>
      <c r="H136" s="36" t="s">
        <v>385</v>
      </c>
      <c r="I136" s="35" t="s">
        <v>394</v>
      </c>
      <c r="J136" s="31" t="s">
        <v>1</v>
      </c>
      <c r="K136" s="23" t="s">
        <v>1</v>
      </c>
      <c r="L136" s="31" t="s">
        <v>692</v>
      </c>
      <c r="M136" s="35" t="s">
        <v>506</v>
      </c>
      <c r="N136" s="31" t="s">
        <v>386</v>
      </c>
      <c r="O136" s="23" t="s">
        <v>567</v>
      </c>
      <c r="P136" s="31" t="s">
        <v>640</v>
      </c>
      <c r="Q136" s="23" t="s">
        <v>642</v>
      </c>
      <c r="R136" s="31" t="s">
        <v>689</v>
      </c>
      <c r="S136" s="23" t="s">
        <v>691</v>
      </c>
      <c r="T136" s="31" t="s">
        <v>641</v>
      </c>
      <c r="U136" s="23" t="s">
        <v>643</v>
      </c>
    </row>
    <row r="137" spans="1:21" ht="7" customHeight="1" x14ac:dyDescent="0.4">
      <c r="A137" s="22">
        <v>137</v>
      </c>
      <c r="B137" s="45" t="s">
        <v>162</v>
      </c>
      <c r="C137" s="30" t="s">
        <v>417</v>
      </c>
      <c r="D137" s="41" t="s">
        <v>559</v>
      </c>
      <c r="E137" s="43" t="s">
        <v>558</v>
      </c>
      <c r="F137" s="41" t="s">
        <v>496</v>
      </c>
      <c r="G137" s="43" t="s">
        <v>538</v>
      </c>
      <c r="H137" s="36" t="s">
        <v>385</v>
      </c>
      <c r="I137" s="35" t="s">
        <v>394</v>
      </c>
      <c r="J137" s="31" t="s">
        <v>1</v>
      </c>
      <c r="K137" s="23" t="s">
        <v>1</v>
      </c>
      <c r="L137" s="31" t="s">
        <v>692</v>
      </c>
      <c r="M137" s="35" t="s">
        <v>499</v>
      </c>
      <c r="N137" s="31" t="s">
        <v>386</v>
      </c>
      <c r="O137" s="23" t="s">
        <v>324</v>
      </c>
      <c r="P137" s="31" t="s">
        <v>640</v>
      </c>
      <c r="Q137" s="23" t="s">
        <v>642</v>
      </c>
      <c r="R137" s="31" t="s">
        <v>689</v>
      </c>
      <c r="S137" s="23" t="s">
        <v>691</v>
      </c>
      <c r="T137" s="31" t="s">
        <v>641</v>
      </c>
      <c r="U137" s="23" t="s">
        <v>643</v>
      </c>
    </row>
    <row r="138" spans="1:21" ht="7" customHeight="1" x14ac:dyDescent="0.4">
      <c r="A138" s="22">
        <v>138</v>
      </c>
      <c r="B138" s="45" t="s">
        <v>163</v>
      </c>
      <c r="C138" s="30" t="s">
        <v>421</v>
      </c>
      <c r="D138" s="41" t="s">
        <v>559</v>
      </c>
      <c r="E138" s="43" t="s">
        <v>558</v>
      </c>
      <c r="F138" s="41" t="s">
        <v>496</v>
      </c>
      <c r="G138" s="43" t="s">
        <v>538</v>
      </c>
      <c r="H138" s="36" t="s">
        <v>385</v>
      </c>
      <c r="I138" s="35" t="s">
        <v>394</v>
      </c>
      <c r="J138" s="31" t="s">
        <v>1</v>
      </c>
      <c r="K138" s="23" t="s">
        <v>1</v>
      </c>
      <c r="L138" s="31" t="s">
        <v>692</v>
      </c>
      <c r="M138" s="35" t="s">
        <v>506</v>
      </c>
      <c r="N138" s="31" t="s">
        <v>386</v>
      </c>
      <c r="O138" s="23" t="s">
        <v>325</v>
      </c>
      <c r="P138" s="31" t="s">
        <v>640</v>
      </c>
      <c r="Q138" s="23" t="s">
        <v>642</v>
      </c>
      <c r="R138" s="31" t="s">
        <v>689</v>
      </c>
      <c r="S138" s="23" t="s">
        <v>691</v>
      </c>
      <c r="T138" s="31" t="s">
        <v>641</v>
      </c>
      <c r="U138" s="23" t="s">
        <v>643</v>
      </c>
    </row>
    <row r="139" spans="1:21" ht="7" customHeight="1" x14ac:dyDescent="0.4">
      <c r="A139" s="22">
        <v>139</v>
      </c>
      <c r="B139" s="45" t="s">
        <v>164</v>
      </c>
      <c r="C139" s="30" t="s">
        <v>421</v>
      </c>
      <c r="D139" s="41" t="s">
        <v>559</v>
      </c>
      <c r="E139" s="43" t="s">
        <v>558</v>
      </c>
      <c r="F139" s="41" t="s">
        <v>496</v>
      </c>
      <c r="G139" s="43" t="s">
        <v>542</v>
      </c>
      <c r="H139" s="36" t="s">
        <v>385</v>
      </c>
      <c r="I139" s="35" t="s">
        <v>395</v>
      </c>
      <c r="J139" s="31" t="s">
        <v>1</v>
      </c>
      <c r="K139" s="23" t="s">
        <v>1</v>
      </c>
      <c r="L139" s="31" t="s">
        <v>692</v>
      </c>
      <c r="M139" s="35" t="s">
        <v>506</v>
      </c>
      <c r="N139" s="31" t="s">
        <v>386</v>
      </c>
      <c r="O139" s="23" t="s">
        <v>326</v>
      </c>
      <c r="P139" s="31" t="s">
        <v>640</v>
      </c>
      <c r="Q139" s="23" t="s">
        <v>642</v>
      </c>
      <c r="R139" s="31" t="s">
        <v>689</v>
      </c>
      <c r="S139" s="23" t="s">
        <v>691</v>
      </c>
      <c r="T139" s="31" t="s">
        <v>641</v>
      </c>
      <c r="U139" s="23" t="s">
        <v>643</v>
      </c>
    </row>
    <row r="140" spans="1:21" ht="7" customHeight="1" x14ac:dyDescent="0.4">
      <c r="A140" s="22">
        <v>140</v>
      </c>
      <c r="B140" s="45" t="s">
        <v>165</v>
      </c>
      <c r="C140" s="30" t="s">
        <v>421</v>
      </c>
      <c r="D140" s="41" t="s">
        <v>559</v>
      </c>
      <c r="E140" s="43" t="s">
        <v>558</v>
      </c>
      <c r="F140" s="41" t="s">
        <v>496</v>
      </c>
      <c r="G140" s="43" t="s">
        <v>542</v>
      </c>
      <c r="H140" s="36" t="s">
        <v>385</v>
      </c>
      <c r="I140" s="35" t="s">
        <v>395</v>
      </c>
      <c r="J140" s="31" t="s">
        <v>1</v>
      </c>
      <c r="K140" s="23" t="s">
        <v>1</v>
      </c>
      <c r="L140" s="31" t="s">
        <v>692</v>
      </c>
      <c r="M140" s="35" t="s">
        <v>506</v>
      </c>
      <c r="N140" s="31" t="s">
        <v>386</v>
      </c>
      <c r="O140" s="23" t="s">
        <v>327</v>
      </c>
      <c r="P140" s="31" t="s">
        <v>640</v>
      </c>
      <c r="Q140" s="23" t="s">
        <v>642</v>
      </c>
      <c r="R140" s="31" t="s">
        <v>689</v>
      </c>
      <c r="S140" s="23" t="s">
        <v>691</v>
      </c>
      <c r="T140" s="31" t="s">
        <v>641</v>
      </c>
      <c r="U140" s="23" t="s">
        <v>643</v>
      </c>
    </row>
    <row r="141" spans="1:21" ht="7" customHeight="1" x14ac:dyDescent="0.4">
      <c r="A141" s="22">
        <v>141</v>
      </c>
      <c r="B141" s="45" t="s">
        <v>166</v>
      </c>
      <c r="C141" s="30" t="s">
        <v>421</v>
      </c>
      <c r="D141" s="41" t="s">
        <v>559</v>
      </c>
      <c r="E141" s="43" t="s">
        <v>558</v>
      </c>
      <c r="F141" s="41" t="s">
        <v>496</v>
      </c>
      <c r="G141" s="43" t="s">
        <v>542</v>
      </c>
      <c r="H141" s="36" t="s">
        <v>385</v>
      </c>
      <c r="I141" s="35" t="s">
        <v>395</v>
      </c>
      <c r="J141" s="31" t="s">
        <v>1</v>
      </c>
      <c r="K141" s="23" t="s">
        <v>1</v>
      </c>
      <c r="L141" s="31" t="s">
        <v>692</v>
      </c>
      <c r="M141" s="35" t="s">
        <v>506</v>
      </c>
      <c r="N141" s="31" t="s">
        <v>386</v>
      </c>
      <c r="O141" s="23" t="s">
        <v>328</v>
      </c>
      <c r="P141" s="31" t="s">
        <v>640</v>
      </c>
      <c r="Q141" s="23" t="s">
        <v>642</v>
      </c>
      <c r="R141" s="31" t="s">
        <v>689</v>
      </c>
      <c r="S141" s="23" t="s">
        <v>691</v>
      </c>
      <c r="T141" s="31" t="s">
        <v>641</v>
      </c>
      <c r="U141" s="23" t="s">
        <v>643</v>
      </c>
    </row>
    <row r="142" spans="1:21" ht="7" customHeight="1" x14ac:dyDescent="0.4">
      <c r="A142" s="22">
        <v>142</v>
      </c>
      <c r="B142" s="45" t="s">
        <v>167</v>
      </c>
      <c r="C142" s="30" t="s">
        <v>421</v>
      </c>
      <c r="D142" s="41" t="s">
        <v>559</v>
      </c>
      <c r="E142" s="43" t="s">
        <v>558</v>
      </c>
      <c r="F142" s="41" t="s">
        <v>496</v>
      </c>
      <c r="G142" s="43" t="s">
        <v>542</v>
      </c>
      <c r="H142" s="36" t="s">
        <v>385</v>
      </c>
      <c r="I142" s="35" t="s">
        <v>395</v>
      </c>
      <c r="J142" s="31" t="s">
        <v>1</v>
      </c>
      <c r="K142" s="23" t="s">
        <v>1</v>
      </c>
      <c r="L142" s="31" t="s">
        <v>692</v>
      </c>
      <c r="M142" s="35" t="s">
        <v>506</v>
      </c>
      <c r="N142" s="31" t="s">
        <v>386</v>
      </c>
      <c r="O142" s="23" t="s">
        <v>268</v>
      </c>
      <c r="P142" s="31" t="s">
        <v>640</v>
      </c>
      <c r="Q142" s="23" t="s">
        <v>642</v>
      </c>
      <c r="R142" s="31" t="s">
        <v>689</v>
      </c>
      <c r="S142" s="23" t="s">
        <v>691</v>
      </c>
      <c r="T142" s="31" t="s">
        <v>641</v>
      </c>
      <c r="U142" s="23" t="s">
        <v>643</v>
      </c>
    </row>
    <row r="143" spans="1:21" ht="7" customHeight="1" x14ac:dyDescent="0.4">
      <c r="A143" s="22">
        <v>143</v>
      </c>
      <c r="B143" s="45" t="s">
        <v>168</v>
      </c>
      <c r="C143" s="30" t="s">
        <v>421</v>
      </c>
      <c r="D143" s="41" t="s">
        <v>559</v>
      </c>
      <c r="E143" s="43" t="s">
        <v>558</v>
      </c>
      <c r="F143" s="41" t="s">
        <v>496</v>
      </c>
      <c r="G143" s="43" t="s">
        <v>542</v>
      </c>
      <c r="H143" s="36" t="s">
        <v>385</v>
      </c>
      <c r="I143" s="35" t="s">
        <v>395</v>
      </c>
      <c r="J143" s="31" t="s">
        <v>1</v>
      </c>
      <c r="K143" s="23" t="s">
        <v>1</v>
      </c>
      <c r="L143" s="31" t="s">
        <v>692</v>
      </c>
      <c r="M143" s="35" t="s">
        <v>506</v>
      </c>
      <c r="N143" s="31" t="s">
        <v>386</v>
      </c>
      <c r="O143" s="23" t="s">
        <v>580</v>
      </c>
      <c r="P143" s="31" t="s">
        <v>640</v>
      </c>
      <c r="Q143" s="23" t="s">
        <v>642</v>
      </c>
      <c r="R143" s="31" t="s">
        <v>689</v>
      </c>
      <c r="S143" s="23" t="s">
        <v>691</v>
      </c>
      <c r="T143" s="31" t="s">
        <v>641</v>
      </c>
      <c r="U143" s="23" t="s">
        <v>643</v>
      </c>
    </row>
    <row r="144" spans="1:21" ht="7" customHeight="1" x14ac:dyDescent="0.4">
      <c r="A144" s="22">
        <v>144</v>
      </c>
      <c r="B144" s="45" t="s">
        <v>169</v>
      </c>
      <c r="C144" s="30" t="s">
        <v>421</v>
      </c>
      <c r="D144" s="41" t="s">
        <v>559</v>
      </c>
      <c r="E144" s="43" t="s">
        <v>558</v>
      </c>
      <c r="F144" s="41" t="s">
        <v>496</v>
      </c>
      <c r="G144" s="43" t="s">
        <v>542</v>
      </c>
      <c r="H144" s="36" t="s">
        <v>385</v>
      </c>
      <c r="I144" s="35" t="s">
        <v>395</v>
      </c>
      <c r="J144" s="31" t="s">
        <v>1</v>
      </c>
      <c r="K144" s="23" t="s">
        <v>1</v>
      </c>
      <c r="L144" s="31" t="s">
        <v>692</v>
      </c>
      <c r="M144" s="35" t="s">
        <v>506</v>
      </c>
      <c r="N144" s="31" t="s">
        <v>386</v>
      </c>
      <c r="O144" s="23" t="s">
        <v>579</v>
      </c>
      <c r="P144" s="31" t="s">
        <v>640</v>
      </c>
      <c r="Q144" s="23" t="s">
        <v>642</v>
      </c>
      <c r="R144" s="31" t="s">
        <v>689</v>
      </c>
      <c r="S144" s="23" t="s">
        <v>691</v>
      </c>
      <c r="T144" s="31" t="s">
        <v>641</v>
      </c>
      <c r="U144" s="23" t="s">
        <v>643</v>
      </c>
    </row>
    <row r="145" spans="1:21" ht="7" customHeight="1" x14ac:dyDescent="0.4">
      <c r="A145" s="22">
        <v>145</v>
      </c>
      <c r="B145" s="45" t="s">
        <v>170</v>
      </c>
      <c r="C145" s="30" t="s">
        <v>421</v>
      </c>
      <c r="D145" s="41" t="s">
        <v>559</v>
      </c>
      <c r="E145" s="43" t="s">
        <v>558</v>
      </c>
      <c r="F145" s="41" t="s">
        <v>496</v>
      </c>
      <c r="G145" s="43" t="s">
        <v>542</v>
      </c>
      <c r="H145" s="36" t="s">
        <v>385</v>
      </c>
      <c r="I145" s="35" t="s">
        <v>395</v>
      </c>
      <c r="J145" s="31" t="s">
        <v>1</v>
      </c>
      <c r="K145" s="23" t="s">
        <v>1</v>
      </c>
      <c r="L145" s="31" t="s">
        <v>692</v>
      </c>
      <c r="M145" s="35" t="s">
        <v>506</v>
      </c>
      <c r="N145" s="31" t="s">
        <v>386</v>
      </c>
      <c r="O145" s="23" t="s">
        <v>581</v>
      </c>
      <c r="P145" s="31" t="s">
        <v>640</v>
      </c>
      <c r="Q145" s="23" t="s">
        <v>642</v>
      </c>
      <c r="R145" s="31" t="s">
        <v>689</v>
      </c>
      <c r="S145" s="23" t="s">
        <v>691</v>
      </c>
      <c r="T145" s="31" t="s">
        <v>641</v>
      </c>
      <c r="U145" s="23" t="s">
        <v>643</v>
      </c>
    </row>
    <row r="146" spans="1:21" ht="7" customHeight="1" x14ac:dyDescent="0.4">
      <c r="A146" s="22">
        <v>146</v>
      </c>
      <c r="B146" s="45" t="s">
        <v>171</v>
      </c>
      <c r="C146" s="30" t="s">
        <v>421</v>
      </c>
      <c r="D146" s="41" t="s">
        <v>559</v>
      </c>
      <c r="E146" s="43" t="s">
        <v>558</v>
      </c>
      <c r="F146" s="41" t="s">
        <v>496</v>
      </c>
      <c r="G146" s="43" t="s">
        <v>542</v>
      </c>
      <c r="H146" s="36" t="s">
        <v>385</v>
      </c>
      <c r="I146" s="35" t="s">
        <v>395</v>
      </c>
      <c r="J146" s="31" t="s">
        <v>1</v>
      </c>
      <c r="K146" s="23" t="s">
        <v>1</v>
      </c>
      <c r="L146" s="31" t="s">
        <v>692</v>
      </c>
      <c r="M146" s="35" t="s">
        <v>506</v>
      </c>
      <c r="N146" s="31" t="s">
        <v>386</v>
      </c>
      <c r="O146" s="23" t="s">
        <v>582</v>
      </c>
      <c r="P146" s="31" t="s">
        <v>640</v>
      </c>
      <c r="Q146" s="23" t="s">
        <v>642</v>
      </c>
      <c r="R146" s="31" t="s">
        <v>689</v>
      </c>
      <c r="S146" s="23" t="s">
        <v>691</v>
      </c>
      <c r="T146" s="31" t="s">
        <v>641</v>
      </c>
      <c r="U146" s="23" t="s">
        <v>643</v>
      </c>
    </row>
    <row r="147" spans="1:21" ht="7" customHeight="1" x14ac:dyDescent="0.4">
      <c r="A147" s="22">
        <v>147</v>
      </c>
      <c r="B147" s="45" t="s">
        <v>172</v>
      </c>
      <c r="C147" s="30" t="s">
        <v>421</v>
      </c>
      <c r="D147" s="41" t="s">
        <v>559</v>
      </c>
      <c r="E147" s="43" t="s">
        <v>558</v>
      </c>
      <c r="F147" s="41" t="s">
        <v>496</v>
      </c>
      <c r="G147" s="43" t="s">
        <v>542</v>
      </c>
      <c r="H147" s="36" t="s">
        <v>385</v>
      </c>
      <c r="I147" s="35" t="s">
        <v>395</v>
      </c>
      <c r="J147" s="31" t="s">
        <v>1</v>
      </c>
      <c r="K147" s="23" t="s">
        <v>1</v>
      </c>
      <c r="L147" s="31" t="s">
        <v>692</v>
      </c>
      <c r="M147" s="35" t="s">
        <v>506</v>
      </c>
      <c r="N147" s="31" t="s">
        <v>386</v>
      </c>
      <c r="O147" s="23" t="s">
        <v>583</v>
      </c>
      <c r="P147" s="31" t="s">
        <v>640</v>
      </c>
      <c r="Q147" s="23" t="s">
        <v>642</v>
      </c>
      <c r="R147" s="31" t="s">
        <v>689</v>
      </c>
      <c r="S147" s="23" t="s">
        <v>691</v>
      </c>
      <c r="T147" s="31" t="s">
        <v>641</v>
      </c>
      <c r="U147" s="23" t="s">
        <v>643</v>
      </c>
    </row>
    <row r="148" spans="1:21" ht="7" customHeight="1" x14ac:dyDescent="0.4">
      <c r="A148" s="22">
        <v>148</v>
      </c>
      <c r="B148" s="45" t="s">
        <v>173</v>
      </c>
      <c r="C148" s="30" t="s">
        <v>399</v>
      </c>
      <c r="D148" s="41" t="s">
        <v>559</v>
      </c>
      <c r="E148" s="43" t="s">
        <v>558</v>
      </c>
      <c r="F148" s="41" t="s">
        <v>496</v>
      </c>
      <c r="G148" s="43" t="s">
        <v>542</v>
      </c>
      <c r="H148" s="36" t="s">
        <v>385</v>
      </c>
      <c r="I148" s="35" t="s">
        <v>395</v>
      </c>
      <c r="J148" s="31" t="s">
        <v>1</v>
      </c>
      <c r="K148" s="23" t="s">
        <v>1</v>
      </c>
      <c r="L148" s="31" t="s">
        <v>692</v>
      </c>
      <c r="M148" s="35" t="s">
        <v>497</v>
      </c>
      <c r="N148" s="31" t="s">
        <v>386</v>
      </c>
      <c r="O148" s="23" t="s">
        <v>329</v>
      </c>
      <c r="P148" s="31" t="s">
        <v>640</v>
      </c>
      <c r="Q148" s="23" t="s">
        <v>642</v>
      </c>
      <c r="R148" s="31" t="s">
        <v>689</v>
      </c>
      <c r="S148" s="23" t="s">
        <v>691</v>
      </c>
      <c r="T148" s="31" t="s">
        <v>641</v>
      </c>
      <c r="U148" s="23" t="s">
        <v>643</v>
      </c>
    </row>
    <row r="149" spans="1:21" ht="7" customHeight="1" x14ac:dyDescent="0.4">
      <c r="A149" s="22">
        <v>149</v>
      </c>
      <c r="B149" s="45" t="s">
        <v>174</v>
      </c>
      <c r="C149" s="30" t="s">
        <v>421</v>
      </c>
      <c r="D149" s="41" t="s">
        <v>559</v>
      </c>
      <c r="E149" s="43" t="s">
        <v>558</v>
      </c>
      <c r="F149" s="41" t="s">
        <v>496</v>
      </c>
      <c r="G149" s="43" t="s">
        <v>542</v>
      </c>
      <c r="H149" s="36" t="s">
        <v>385</v>
      </c>
      <c r="I149" s="35" t="s">
        <v>395</v>
      </c>
      <c r="J149" s="31" t="s">
        <v>1</v>
      </c>
      <c r="K149" s="23" t="s">
        <v>1</v>
      </c>
      <c r="L149" s="31" t="s">
        <v>692</v>
      </c>
      <c r="M149" s="35" t="s">
        <v>506</v>
      </c>
      <c r="N149" s="31" t="s">
        <v>386</v>
      </c>
      <c r="O149" s="23" t="s">
        <v>334</v>
      </c>
      <c r="P149" s="31" t="s">
        <v>640</v>
      </c>
      <c r="Q149" s="23" t="s">
        <v>642</v>
      </c>
      <c r="R149" s="31" t="s">
        <v>689</v>
      </c>
      <c r="S149" s="23" t="s">
        <v>691</v>
      </c>
      <c r="T149" s="31" t="s">
        <v>641</v>
      </c>
      <c r="U149" s="23" t="s">
        <v>643</v>
      </c>
    </row>
    <row r="150" spans="1:21" ht="7" customHeight="1" x14ac:dyDescent="0.4">
      <c r="A150" s="22">
        <v>150</v>
      </c>
      <c r="B150" s="45" t="s">
        <v>175</v>
      </c>
      <c r="C150" s="30" t="s">
        <v>417</v>
      </c>
      <c r="D150" s="41" t="s">
        <v>559</v>
      </c>
      <c r="E150" s="43" t="s">
        <v>558</v>
      </c>
      <c r="F150" s="41" t="s">
        <v>496</v>
      </c>
      <c r="G150" s="43" t="s">
        <v>542</v>
      </c>
      <c r="H150" s="36" t="s">
        <v>385</v>
      </c>
      <c r="I150" s="35" t="s">
        <v>395</v>
      </c>
      <c r="J150" s="31" t="s">
        <v>1</v>
      </c>
      <c r="K150" s="23" t="s">
        <v>1</v>
      </c>
      <c r="L150" s="31" t="s">
        <v>692</v>
      </c>
      <c r="M150" s="35" t="s">
        <v>499</v>
      </c>
      <c r="N150" s="31" t="s">
        <v>386</v>
      </c>
      <c r="O150" s="23" t="s">
        <v>274</v>
      </c>
      <c r="P150" s="31" t="s">
        <v>640</v>
      </c>
      <c r="Q150" s="23" t="s">
        <v>642</v>
      </c>
      <c r="R150" s="31" t="s">
        <v>689</v>
      </c>
      <c r="S150" s="23" t="s">
        <v>691</v>
      </c>
      <c r="T150" s="31" t="s">
        <v>641</v>
      </c>
      <c r="U150" s="23" t="s">
        <v>643</v>
      </c>
    </row>
    <row r="151" spans="1:21" ht="7" customHeight="1" x14ac:dyDescent="0.4">
      <c r="A151" s="22">
        <v>151</v>
      </c>
      <c r="B151" s="45" t="s">
        <v>176</v>
      </c>
      <c r="C151" s="30" t="s">
        <v>399</v>
      </c>
      <c r="D151" s="41" t="s">
        <v>559</v>
      </c>
      <c r="E151" s="43" t="s">
        <v>558</v>
      </c>
      <c r="F151" s="41" t="s">
        <v>496</v>
      </c>
      <c r="G151" s="43" t="s">
        <v>542</v>
      </c>
      <c r="H151" s="36" t="s">
        <v>385</v>
      </c>
      <c r="I151" s="35" t="s">
        <v>395</v>
      </c>
      <c r="J151" s="31" t="s">
        <v>1</v>
      </c>
      <c r="K151" s="23" t="s">
        <v>1</v>
      </c>
      <c r="L151" s="31" t="s">
        <v>692</v>
      </c>
      <c r="M151" s="35" t="s">
        <v>497</v>
      </c>
      <c r="N151" s="31" t="s">
        <v>386</v>
      </c>
      <c r="O151" s="23" t="s">
        <v>330</v>
      </c>
      <c r="P151" s="31" t="s">
        <v>640</v>
      </c>
      <c r="Q151" s="23" t="s">
        <v>642</v>
      </c>
      <c r="R151" s="31" t="s">
        <v>689</v>
      </c>
      <c r="S151" s="23" t="s">
        <v>691</v>
      </c>
      <c r="T151" s="31" t="s">
        <v>641</v>
      </c>
      <c r="U151" s="23" t="s">
        <v>643</v>
      </c>
    </row>
    <row r="152" spans="1:21" ht="7" customHeight="1" x14ac:dyDescent="0.4">
      <c r="A152" s="22">
        <v>152</v>
      </c>
      <c r="B152" s="45" t="s">
        <v>177</v>
      </c>
      <c r="C152" s="30" t="s">
        <v>399</v>
      </c>
      <c r="D152" s="41" t="s">
        <v>559</v>
      </c>
      <c r="E152" s="43" t="s">
        <v>558</v>
      </c>
      <c r="F152" s="41" t="s">
        <v>496</v>
      </c>
      <c r="G152" s="43" t="s">
        <v>542</v>
      </c>
      <c r="H152" s="36" t="s">
        <v>385</v>
      </c>
      <c r="I152" s="35" t="s">
        <v>395</v>
      </c>
      <c r="J152" s="31" t="s">
        <v>1</v>
      </c>
      <c r="K152" s="23" t="s">
        <v>1</v>
      </c>
      <c r="L152" s="31" t="s">
        <v>692</v>
      </c>
      <c r="M152" s="35" t="s">
        <v>497</v>
      </c>
      <c r="N152" s="31" t="s">
        <v>386</v>
      </c>
      <c r="O152" s="23" t="s">
        <v>584</v>
      </c>
      <c r="P152" s="31" t="s">
        <v>640</v>
      </c>
      <c r="Q152" s="23" t="s">
        <v>642</v>
      </c>
      <c r="R152" s="31" t="s">
        <v>689</v>
      </c>
      <c r="S152" s="23" t="s">
        <v>691</v>
      </c>
      <c r="T152" s="31" t="s">
        <v>641</v>
      </c>
      <c r="U152" s="23" t="s">
        <v>643</v>
      </c>
    </row>
    <row r="153" spans="1:21" ht="7" customHeight="1" x14ac:dyDescent="0.4">
      <c r="A153" s="22">
        <v>153</v>
      </c>
      <c r="B153" s="45" t="s">
        <v>178</v>
      </c>
      <c r="C153" s="30" t="s">
        <v>399</v>
      </c>
      <c r="D153" s="41" t="s">
        <v>559</v>
      </c>
      <c r="E153" s="43" t="s">
        <v>558</v>
      </c>
      <c r="F153" s="41" t="s">
        <v>496</v>
      </c>
      <c r="G153" s="43" t="s">
        <v>542</v>
      </c>
      <c r="H153" s="36" t="s">
        <v>385</v>
      </c>
      <c r="I153" s="35" t="s">
        <v>395</v>
      </c>
      <c r="J153" s="31" t="s">
        <v>1</v>
      </c>
      <c r="K153" s="23" t="s">
        <v>1</v>
      </c>
      <c r="L153" s="31" t="s">
        <v>692</v>
      </c>
      <c r="M153" s="35" t="s">
        <v>497</v>
      </c>
      <c r="N153" s="31" t="s">
        <v>386</v>
      </c>
      <c r="O153" s="23" t="s">
        <v>331</v>
      </c>
      <c r="P153" s="31" t="s">
        <v>640</v>
      </c>
      <c r="Q153" s="23" t="s">
        <v>642</v>
      </c>
      <c r="R153" s="31" t="s">
        <v>689</v>
      </c>
      <c r="S153" s="23" t="s">
        <v>691</v>
      </c>
      <c r="T153" s="31" t="s">
        <v>641</v>
      </c>
      <c r="U153" s="23" t="s">
        <v>643</v>
      </c>
    </row>
    <row r="154" spans="1:21" ht="7" customHeight="1" x14ac:dyDescent="0.4">
      <c r="A154" s="22">
        <v>154</v>
      </c>
      <c r="B154" s="45" t="s">
        <v>179</v>
      </c>
      <c r="C154" s="30" t="s">
        <v>421</v>
      </c>
      <c r="D154" s="41" t="s">
        <v>559</v>
      </c>
      <c r="E154" s="43" t="s">
        <v>558</v>
      </c>
      <c r="F154" s="41" t="s">
        <v>496</v>
      </c>
      <c r="G154" s="43" t="s">
        <v>542</v>
      </c>
      <c r="H154" s="36" t="s">
        <v>385</v>
      </c>
      <c r="I154" s="35" t="s">
        <v>395</v>
      </c>
      <c r="J154" s="31" t="s">
        <v>1</v>
      </c>
      <c r="K154" s="23" t="s">
        <v>1</v>
      </c>
      <c r="L154" s="31" t="s">
        <v>692</v>
      </c>
      <c r="M154" s="35" t="s">
        <v>506</v>
      </c>
      <c r="N154" s="31" t="s">
        <v>386</v>
      </c>
      <c r="O154" s="23" t="s">
        <v>332</v>
      </c>
      <c r="P154" s="31" t="s">
        <v>640</v>
      </c>
      <c r="Q154" s="23" t="s">
        <v>642</v>
      </c>
      <c r="R154" s="31" t="s">
        <v>689</v>
      </c>
      <c r="S154" s="23" t="s">
        <v>691</v>
      </c>
      <c r="T154" s="31" t="s">
        <v>641</v>
      </c>
      <c r="U154" s="23" t="s">
        <v>643</v>
      </c>
    </row>
    <row r="155" spans="1:21" ht="7" customHeight="1" x14ac:dyDescent="0.4">
      <c r="A155" s="22">
        <v>155</v>
      </c>
      <c r="B155" s="45" t="s">
        <v>180</v>
      </c>
      <c r="C155" s="30" t="s">
        <v>416</v>
      </c>
      <c r="D155" s="41" t="s">
        <v>559</v>
      </c>
      <c r="E155" s="43" t="s">
        <v>558</v>
      </c>
      <c r="F155" s="41" t="s">
        <v>496</v>
      </c>
      <c r="G155" s="43" t="s">
        <v>542</v>
      </c>
      <c r="H155" s="36" t="s">
        <v>385</v>
      </c>
      <c r="I155" s="35" t="s">
        <v>395</v>
      </c>
      <c r="J155" s="31" t="s">
        <v>1</v>
      </c>
      <c r="K155" s="23" t="s">
        <v>1</v>
      </c>
      <c r="L155" s="31" t="s">
        <v>692</v>
      </c>
      <c r="M155" s="35" t="s">
        <v>503</v>
      </c>
      <c r="N155" s="31" t="s">
        <v>386</v>
      </c>
      <c r="O155" s="23" t="s">
        <v>278</v>
      </c>
      <c r="P155" s="31" t="s">
        <v>640</v>
      </c>
      <c r="Q155" s="23" t="s">
        <v>642</v>
      </c>
      <c r="R155" s="31" t="s">
        <v>689</v>
      </c>
      <c r="S155" s="23" t="s">
        <v>691</v>
      </c>
      <c r="T155" s="31" t="s">
        <v>641</v>
      </c>
      <c r="U155" s="23" t="s">
        <v>643</v>
      </c>
    </row>
    <row r="156" spans="1:21" ht="7" customHeight="1" x14ac:dyDescent="0.4">
      <c r="A156" s="22">
        <v>156</v>
      </c>
      <c r="B156" s="45" t="s">
        <v>181</v>
      </c>
      <c r="C156" s="30" t="s">
        <v>399</v>
      </c>
      <c r="D156" s="41" t="s">
        <v>559</v>
      </c>
      <c r="E156" s="43" t="s">
        <v>558</v>
      </c>
      <c r="F156" s="41" t="s">
        <v>496</v>
      </c>
      <c r="G156" s="43" t="s">
        <v>542</v>
      </c>
      <c r="H156" s="36" t="s">
        <v>385</v>
      </c>
      <c r="I156" s="35" t="s">
        <v>395</v>
      </c>
      <c r="J156" s="31" t="s">
        <v>1</v>
      </c>
      <c r="K156" s="23" t="s">
        <v>1</v>
      </c>
      <c r="L156" s="31" t="s">
        <v>692</v>
      </c>
      <c r="M156" s="35" t="s">
        <v>497</v>
      </c>
      <c r="N156" s="31" t="s">
        <v>386</v>
      </c>
      <c r="O156" s="23" t="s">
        <v>333</v>
      </c>
      <c r="P156" s="31" t="s">
        <v>640</v>
      </c>
      <c r="Q156" s="23" t="s">
        <v>642</v>
      </c>
      <c r="R156" s="31" t="s">
        <v>689</v>
      </c>
      <c r="S156" s="23" t="s">
        <v>691</v>
      </c>
      <c r="T156" s="31" t="s">
        <v>641</v>
      </c>
      <c r="U156" s="23" t="s">
        <v>643</v>
      </c>
    </row>
    <row r="157" spans="1:21" ht="7" customHeight="1" x14ac:dyDescent="0.4">
      <c r="A157" s="22">
        <v>157</v>
      </c>
      <c r="B157" s="45" t="s">
        <v>182</v>
      </c>
      <c r="C157" s="30" t="s">
        <v>421</v>
      </c>
      <c r="D157" s="41" t="s">
        <v>559</v>
      </c>
      <c r="E157" s="43" t="s">
        <v>558</v>
      </c>
      <c r="F157" s="41" t="s">
        <v>496</v>
      </c>
      <c r="G157" s="43" t="s">
        <v>542</v>
      </c>
      <c r="H157" s="36" t="s">
        <v>385</v>
      </c>
      <c r="I157" s="35" t="s">
        <v>395</v>
      </c>
      <c r="J157" s="31" t="s">
        <v>1</v>
      </c>
      <c r="K157" s="23" t="s">
        <v>1</v>
      </c>
      <c r="L157" s="31" t="s">
        <v>692</v>
      </c>
      <c r="M157" s="35" t="s">
        <v>506</v>
      </c>
      <c r="N157" s="31" t="s">
        <v>386</v>
      </c>
      <c r="O157" s="23" t="s">
        <v>334</v>
      </c>
      <c r="P157" s="31" t="s">
        <v>640</v>
      </c>
      <c r="Q157" s="23" t="s">
        <v>642</v>
      </c>
      <c r="R157" s="31" t="s">
        <v>689</v>
      </c>
      <c r="S157" s="23" t="s">
        <v>691</v>
      </c>
      <c r="T157" s="31" t="s">
        <v>641</v>
      </c>
      <c r="U157" s="23" t="s">
        <v>643</v>
      </c>
    </row>
    <row r="158" spans="1:21" ht="7" customHeight="1" x14ac:dyDescent="0.4">
      <c r="A158" s="22">
        <v>158</v>
      </c>
      <c r="B158" s="45" t="s">
        <v>183</v>
      </c>
      <c r="C158" s="30" t="s">
        <v>421</v>
      </c>
      <c r="D158" s="41" t="s">
        <v>559</v>
      </c>
      <c r="E158" s="43" t="s">
        <v>558</v>
      </c>
      <c r="F158" s="41" t="s">
        <v>496</v>
      </c>
      <c r="G158" s="43" t="s">
        <v>542</v>
      </c>
      <c r="H158" s="36" t="s">
        <v>385</v>
      </c>
      <c r="I158" s="35" t="s">
        <v>395</v>
      </c>
      <c r="J158" s="31" t="s">
        <v>1</v>
      </c>
      <c r="K158" s="23" t="s">
        <v>1</v>
      </c>
      <c r="L158" s="31" t="s">
        <v>692</v>
      </c>
      <c r="M158" s="35" t="s">
        <v>506</v>
      </c>
      <c r="N158" s="31" t="s">
        <v>386</v>
      </c>
      <c r="O158" s="23" t="s">
        <v>335</v>
      </c>
      <c r="P158" s="31" t="s">
        <v>640</v>
      </c>
      <c r="Q158" s="23" t="s">
        <v>642</v>
      </c>
      <c r="R158" s="31" t="s">
        <v>689</v>
      </c>
      <c r="S158" s="23" t="s">
        <v>691</v>
      </c>
      <c r="T158" s="31" t="s">
        <v>641</v>
      </c>
      <c r="U158" s="23" t="s">
        <v>643</v>
      </c>
    </row>
    <row r="159" spans="1:21" ht="7" customHeight="1" x14ac:dyDescent="0.4">
      <c r="A159" s="22">
        <v>159</v>
      </c>
      <c r="B159" s="45" t="s">
        <v>184</v>
      </c>
      <c r="C159" s="30" t="s">
        <v>399</v>
      </c>
      <c r="D159" s="41" t="s">
        <v>559</v>
      </c>
      <c r="E159" s="43" t="s">
        <v>558</v>
      </c>
      <c r="F159" s="41" t="s">
        <v>496</v>
      </c>
      <c r="G159" s="43" t="s">
        <v>542</v>
      </c>
      <c r="H159" s="36" t="s">
        <v>385</v>
      </c>
      <c r="I159" s="35" t="s">
        <v>395</v>
      </c>
      <c r="J159" s="31" t="s">
        <v>1</v>
      </c>
      <c r="K159" s="23" t="s">
        <v>1</v>
      </c>
      <c r="L159" s="31" t="s">
        <v>692</v>
      </c>
      <c r="M159" s="35" t="s">
        <v>497</v>
      </c>
      <c r="N159" s="31" t="s">
        <v>386</v>
      </c>
      <c r="O159" s="23" t="s">
        <v>329</v>
      </c>
      <c r="P159" s="31" t="s">
        <v>640</v>
      </c>
      <c r="Q159" s="23" t="s">
        <v>642</v>
      </c>
      <c r="R159" s="31" t="s">
        <v>689</v>
      </c>
      <c r="S159" s="23" t="s">
        <v>691</v>
      </c>
      <c r="T159" s="31" t="s">
        <v>641</v>
      </c>
      <c r="U159" s="23" t="s">
        <v>643</v>
      </c>
    </row>
    <row r="160" spans="1:21" ht="7" customHeight="1" x14ac:dyDescent="0.4">
      <c r="A160" s="22">
        <v>160</v>
      </c>
      <c r="B160" s="45" t="s">
        <v>185</v>
      </c>
      <c r="C160" s="30" t="s">
        <v>421</v>
      </c>
      <c r="D160" s="41" t="s">
        <v>559</v>
      </c>
      <c r="E160" s="43" t="s">
        <v>558</v>
      </c>
      <c r="F160" s="41" t="s">
        <v>496</v>
      </c>
      <c r="G160" s="43" t="s">
        <v>542</v>
      </c>
      <c r="H160" s="36" t="s">
        <v>385</v>
      </c>
      <c r="I160" s="35" t="s">
        <v>395</v>
      </c>
      <c r="J160" s="31" t="s">
        <v>1</v>
      </c>
      <c r="K160" s="23" t="s">
        <v>1</v>
      </c>
      <c r="L160" s="31" t="s">
        <v>692</v>
      </c>
      <c r="M160" s="35" t="s">
        <v>506</v>
      </c>
      <c r="N160" s="31" t="s">
        <v>386</v>
      </c>
      <c r="O160" s="23" t="s">
        <v>336</v>
      </c>
      <c r="P160" s="31" t="s">
        <v>640</v>
      </c>
      <c r="Q160" s="23" t="s">
        <v>642</v>
      </c>
      <c r="R160" s="31" t="s">
        <v>689</v>
      </c>
      <c r="S160" s="23" t="s">
        <v>691</v>
      </c>
      <c r="T160" s="31" t="s">
        <v>641</v>
      </c>
      <c r="U160" s="23" t="s">
        <v>643</v>
      </c>
    </row>
    <row r="161" spans="1:21" ht="7" customHeight="1" x14ac:dyDescent="0.4">
      <c r="A161" s="22">
        <v>161</v>
      </c>
      <c r="B161" s="45" t="s">
        <v>186</v>
      </c>
      <c r="C161" s="30" t="s">
        <v>416</v>
      </c>
      <c r="D161" s="41" t="s">
        <v>559</v>
      </c>
      <c r="E161" s="43" t="s">
        <v>558</v>
      </c>
      <c r="F161" s="41" t="s">
        <v>496</v>
      </c>
      <c r="G161" s="43" t="s">
        <v>542</v>
      </c>
      <c r="H161" s="36" t="s">
        <v>385</v>
      </c>
      <c r="I161" s="35" t="s">
        <v>395</v>
      </c>
      <c r="J161" s="31" t="s">
        <v>1</v>
      </c>
      <c r="K161" s="23" t="s">
        <v>1</v>
      </c>
      <c r="L161" s="31" t="s">
        <v>692</v>
      </c>
      <c r="M161" s="35" t="s">
        <v>503</v>
      </c>
      <c r="N161" s="31" t="s">
        <v>386</v>
      </c>
      <c r="O161" s="23" t="s">
        <v>278</v>
      </c>
      <c r="P161" s="31" t="s">
        <v>640</v>
      </c>
      <c r="Q161" s="23" t="s">
        <v>642</v>
      </c>
      <c r="R161" s="31" t="s">
        <v>689</v>
      </c>
      <c r="S161" s="23" t="s">
        <v>691</v>
      </c>
      <c r="T161" s="31" t="s">
        <v>641</v>
      </c>
      <c r="U161" s="23" t="s">
        <v>643</v>
      </c>
    </row>
    <row r="162" spans="1:21" ht="7" customHeight="1" x14ac:dyDescent="0.4">
      <c r="A162" s="22">
        <v>162</v>
      </c>
      <c r="B162" s="45" t="s">
        <v>187</v>
      </c>
      <c r="C162" s="30" t="s">
        <v>421</v>
      </c>
      <c r="D162" s="41" t="s">
        <v>559</v>
      </c>
      <c r="E162" s="43" t="s">
        <v>558</v>
      </c>
      <c r="F162" s="41" t="s">
        <v>496</v>
      </c>
      <c r="G162" s="43" t="s">
        <v>542</v>
      </c>
      <c r="H162" s="36" t="s">
        <v>385</v>
      </c>
      <c r="I162" s="35" t="s">
        <v>395</v>
      </c>
      <c r="J162" s="31" t="s">
        <v>1</v>
      </c>
      <c r="K162" s="23" t="s">
        <v>1</v>
      </c>
      <c r="L162" s="31" t="s">
        <v>692</v>
      </c>
      <c r="M162" s="35" t="s">
        <v>506</v>
      </c>
      <c r="N162" s="31" t="s">
        <v>386</v>
      </c>
      <c r="O162" s="23" t="s">
        <v>585</v>
      </c>
      <c r="P162" s="31" t="s">
        <v>640</v>
      </c>
      <c r="Q162" s="23" t="s">
        <v>642</v>
      </c>
      <c r="R162" s="31" t="s">
        <v>689</v>
      </c>
      <c r="S162" s="23" t="s">
        <v>691</v>
      </c>
      <c r="T162" s="31" t="s">
        <v>641</v>
      </c>
      <c r="U162" s="23" t="s">
        <v>643</v>
      </c>
    </row>
    <row r="163" spans="1:21" ht="7" customHeight="1" x14ac:dyDescent="0.4">
      <c r="A163" s="22">
        <v>163</v>
      </c>
      <c r="B163" s="45" t="s">
        <v>188</v>
      </c>
      <c r="C163" s="30" t="s">
        <v>421</v>
      </c>
      <c r="D163" s="41" t="s">
        <v>559</v>
      </c>
      <c r="E163" s="43" t="s">
        <v>558</v>
      </c>
      <c r="F163" s="41" t="s">
        <v>496</v>
      </c>
      <c r="G163" s="43" t="s">
        <v>542</v>
      </c>
      <c r="H163" s="36" t="s">
        <v>385</v>
      </c>
      <c r="I163" s="35" t="s">
        <v>395</v>
      </c>
      <c r="J163" s="31" t="s">
        <v>1</v>
      </c>
      <c r="K163" s="23" t="s">
        <v>1</v>
      </c>
      <c r="L163" s="31" t="s">
        <v>692</v>
      </c>
      <c r="M163" s="35" t="s">
        <v>506</v>
      </c>
      <c r="N163" s="31" t="s">
        <v>386</v>
      </c>
      <c r="O163" s="23" t="s">
        <v>337</v>
      </c>
      <c r="P163" s="31" t="s">
        <v>640</v>
      </c>
      <c r="Q163" s="23" t="s">
        <v>642</v>
      </c>
      <c r="R163" s="31" t="s">
        <v>689</v>
      </c>
      <c r="S163" s="23" t="s">
        <v>691</v>
      </c>
      <c r="T163" s="31" t="s">
        <v>641</v>
      </c>
      <c r="U163" s="23" t="s">
        <v>643</v>
      </c>
    </row>
    <row r="164" spans="1:21" ht="7" customHeight="1" x14ac:dyDescent="0.4">
      <c r="A164" s="22">
        <v>164</v>
      </c>
      <c r="B164" s="45" t="s">
        <v>189</v>
      </c>
      <c r="C164" s="30" t="s">
        <v>421</v>
      </c>
      <c r="D164" s="41" t="s">
        <v>559</v>
      </c>
      <c r="E164" s="43" t="s">
        <v>558</v>
      </c>
      <c r="F164" s="41" t="s">
        <v>496</v>
      </c>
      <c r="G164" s="43" t="s">
        <v>542</v>
      </c>
      <c r="H164" s="36" t="s">
        <v>385</v>
      </c>
      <c r="I164" s="35" t="s">
        <v>395</v>
      </c>
      <c r="J164" s="31" t="s">
        <v>1</v>
      </c>
      <c r="K164" s="23" t="s">
        <v>1</v>
      </c>
      <c r="L164" s="31" t="s">
        <v>692</v>
      </c>
      <c r="M164" s="35" t="s">
        <v>506</v>
      </c>
      <c r="N164" s="31" t="s">
        <v>386</v>
      </c>
      <c r="O164" s="23" t="s">
        <v>586</v>
      </c>
      <c r="P164" s="31" t="s">
        <v>640</v>
      </c>
      <c r="Q164" s="23" t="s">
        <v>642</v>
      </c>
      <c r="R164" s="31" t="s">
        <v>689</v>
      </c>
      <c r="S164" s="23" t="s">
        <v>691</v>
      </c>
      <c r="T164" s="31" t="s">
        <v>641</v>
      </c>
      <c r="U164" s="23" t="s">
        <v>643</v>
      </c>
    </row>
    <row r="165" spans="1:21" ht="7" customHeight="1" x14ac:dyDescent="0.4">
      <c r="A165" s="22">
        <v>165</v>
      </c>
      <c r="B165" s="45" t="s">
        <v>190</v>
      </c>
      <c r="C165" s="30" t="s">
        <v>421</v>
      </c>
      <c r="D165" s="41" t="s">
        <v>559</v>
      </c>
      <c r="E165" s="43" t="s">
        <v>558</v>
      </c>
      <c r="F165" s="41" t="s">
        <v>496</v>
      </c>
      <c r="G165" s="43" t="s">
        <v>542</v>
      </c>
      <c r="H165" s="36" t="s">
        <v>385</v>
      </c>
      <c r="I165" s="35" t="s">
        <v>395</v>
      </c>
      <c r="J165" s="31" t="s">
        <v>1</v>
      </c>
      <c r="K165" s="23" t="s">
        <v>1</v>
      </c>
      <c r="L165" s="31" t="s">
        <v>692</v>
      </c>
      <c r="M165" s="35" t="s">
        <v>506</v>
      </c>
      <c r="N165" s="31" t="s">
        <v>386</v>
      </c>
      <c r="O165" s="23" t="s">
        <v>587</v>
      </c>
      <c r="P165" s="31" t="s">
        <v>640</v>
      </c>
      <c r="Q165" s="23" t="s">
        <v>642</v>
      </c>
      <c r="R165" s="31" t="s">
        <v>689</v>
      </c>
      <c r="S165" s="23" t="s">
        <v>691</v>
      </c>
      <c r="T165" s="31" t="s">
        <v>641</v>
      </c>
      <c r="U165" s="23" t="s">
        <v>643</v>
      </c>
    </row>
    <row r="166" spans="1:21" ht="7" customHeight="1" x14ac:dyDescent="0.4">
      <c r="A166" s="22">
        <v>166</v>
      </c>
      <c r="B166" s="45" t="s">
        <v>191</v>
      </c>
      <c r="C166" s="30" t="s">
        <v>421</v>
      </c>
      <c r="D166" s="41" t="s">
        <v>559</v>
      </c>
      <c r="E166" s="43" t="s">
        <v>558</v>
      </c>
      <c r="F166" s="41" t="s">
        <v>496</v>
      </c>
      <c r="G166" s="43" t="s">
        <v>542</v>
      </c>
      <c r="H166" s="36" t="s">
        <v>385</v>
      </c>
      <c r="I166" s="35" t="s">
        <v>395</v>
      </c>
      <c r="J166" s="31" t="s">
        <v>1</v>
      </c>
      <c r="K166" s="23" t="s">
        <v>1</v>
      </c>
      <c r="L166" s="31" t="s">
        <v>692</v>
      </c>
      <c r="M166" s="35" t="s">
        <v>506</v>
      </c>
      <c r="N166" s="31" t="s">
        <v>386</v>
      </c>
      <c r="O166" s="23" t="s">
        <v>588</v>
      </c>
      <c r="P166" s="31" t="s">
        <v>640</v>
      </c>
      <c r="Q166" s="23" t="s">
        <v>642</v>
      </c>
      <c r="R166" s="31" t="s">
        <v>689</v>
      </c>
      <c r="S166" s="23" t="s">
        <v>691</v>
      </c>
      <c r="T166" s="31" t="s">
        <v>641</v>
      </c>
      <c r="U166" s="23" t="s">
        <v>643</v>
      </c>
    </row>
    <row r="167" spans="1:21" ht="7" customHeight="1" x14ac:dyDescent="0.4">
      <c r="A167" s="22">
        <v>167</v>
      </c>
      <c r="B167" s="45" t="s">
        <v>192</v>
      </c>
      <c r="C167" s="30" t="s">
        <v>421</v>
      </c>
      <c r="D167" s="41" t="s">
        <v>559</v>
      </c>
      <c r="E167" s="43" t="s">
        <v>558</v>
      </c>
      <c r="F167" s="41" t="s">
        <v>496</v>
      </c>
      <c r="G167" s="43" t="s">
        <v>542</v>
      </c>
      <c r="H167" s="36" t="s">
        <v>385</v>
      </c>
      <c r="I167" s="35" t="s">
        <v>395</v>
      </c>
      <c r="J167" s="31" t="s">
        <v>1</v>
      </c>
      <c r="K167" s="23" t="s">
        <v>1</v>
      </c>
      <c r="L167" s="31" t="s">
        <v>692</v>
      </c>
      <c r="M167" s="35" t="s">
        <v>506</v>
      </c>
      <c r="N167" s="31" t="s">
        <v>386</v>
      </c>
      <c r="O167" s="23" t="s">
        <v>590</v>
      </c>
      <c r="P167" s="31" t="s">
        <v>640</v>
      </c>
      <c r="Q167" s="23" t="s">
        <v>642</v>
      </c>
      <c r="R167" s="31" t="s">
        <v>689</v>
      </c>
      <c r="S167" s="23" t="s">
        <v>691</v>
      </c>
      <c r="T167" s="31" t="s">
        <v>641</v>
      </c>
      <c r="U167" s="23" t="s">
        <v>643</v>
      </c>
    </row>
    <row r="168" spans="1:21" ht="7" customHeight="1" x14ac:dyDescent="0.4">
      <c r="A168" s="22">
        <v>168</v>
      </c>
      <c r="B168" s="45" t="s">
        <v>193</v>
      </c>
      <c r="C168" s="30" t="s">
        <v>421</v>
      </c>
      <c r="D168" s="41" t="s">
        <v>559</v>
      </c>
      <c r="E168" s="43" t="s">
        <v>558</v>
      </c>
      <c r="F168" s="41" t="s">
        <v>496</v>
      </c>
      <c r="G168" s="43" t="s">
        <v>542</v>
      </c>
      <c r="H168" s="36" t="s">
        <v>385</v>
      </c>
      <c r="I168" s="35" t="s">
        <v>395</v>
      </c>
      <c r="J168" s="31" t="s">
        <v>1</v>
      </c>
      <c r="K168" s="23" t="s">
        <v>1</v>
      </c>
      <c r="L168" s="31" t="s">
        <v>692</v>
      </c>
      <c r="M168" s="35" t="s">
        <v>506</v>
      </c>
      <c r="N168" s="31" t="s">
        <v>386</v>
      </c>
      <c r="O168" s="23" t="s">
        <v>589</v>
      </c>
      <c r="P168" s="31" t="s">
        <v>640</v>
      </c>
      <c r="Q168" s="23" t="s">
        <v>642</v>
      </c>
      <c r="R168" s="31" t="s">
        <v>689</v>
      </c>
      <c r="S168" s="23" t="s">
        <v>691</v>
      </c>
      <c r="T168" s="31" t="s">
        <v>641</v>
      </c>
      <c r="U168" s="23" t="s">
        <v>643</v>
      </c>
    </row>
    <row r="169" spans="1:21" ht="7" customHeight="1" x14ac:dyDescent="0.4">
      <c r="A169" s="22">
        <v>169</v>
      </c>
      <c r="B169" s="45" t="s">
        <v>194</v>
      </c>
      <c r="C169" s="30" t="s">
        <v>421</v>
      </c>
      <c r="D169" s="41" t="s">
        <v>559</v>
      </c>
      <c r="E169" s="43" t="s">
        <v>558</v>
      </c>
      <c r="F169" s="41" t="s">
        <v>496</v>
      </c>
      <c r="G169" s="43" t="s">
        <v>542</v>
      </c>
      <c r="H169" s="36" t="s">
        <v>385</v>
      </c>
      <c r="I169" s="35" t="s">
        <v>395</v>
      </c>
      <c r="J169" s="31" t="s">
        <v>1</v>
      </c>
      <c r="K169" s="23" t="s">
        <v>1</v>
      </c>
      <c r="L169" s="31" t="s">
        <v>692</v>
      </c>
      <c r="M169" s="35" t="s">
        <v>506</v>
      </c>
      <c r="N169" s="31" t="s">
        <v>386</v>
      </c>
      <c r="O169" s="23" t="s">
        <v>338</v>
      </c>
      <c r="P169" s="31" t="s">
        <v>640</v>
      </c>
      <c r="Q169" s="23" t="s">
        <v>642</v>
      </c>
      <c r="R169" s="31" t="s">
        <v>689</v>
      </c>
      <c r="S169" s="23" t="s">
        <v>691</v>
      </c>
      <c r="T169" s="31" t="s">
        <v>641</v>
      </c>
      <c r="U169" s="23" t="s">
        <v>643</v>
      </c>
    </row>
    <row r="170" spans="1:21" ht="7" customHeight="1" x14ac:dyDescent="0.4">
      <c r="A170" s="22">
        <v>170</v>
      </c>
      <c r="B170" s="45" t="s">
        <v>195</v>
      </c>
      <c r="C170" s="30" t="s">
        <v>421</v>
      </c>
      <c r="D170" s="41" t="s">
        <v>559</v>
      </c>
      <c r="E170" s="43" t="s">
        <v>558</v>
      </c>
      <c r="F170" s="41" t="s">
        <v>496</v>
      </c>
      <c r="G170" s="43" t="s">
        <v>542</v>
      </c>
      <c r="H170" s="36" t="s">
        <v>385</v>
      </c>
      <c r="I170" s="35" t="s">
        <v>395</v>
      </c>
      <c r="J170" s="31" t="s">
        <v>1</v>
      </c>
      <c r="K170" s="23" t="s">
        <v>1</v>
      </c>
      <c r="L170" s="31" t="s">
        <v>692</v>
      </c>
      <c r="M170" s="35" t="s">
        <v>506</v>
      </c>
      <c r="N170" s="31" t="s">
        <v>386</v>
      </c>
      <c r="O170" s="23" t="s">
        <v>334</v>
      </c>
      <c r="P170" s="31" t="s">
        <v>640</v>
      </c>
      <c r="Q170" s="23" t="s">
        <v>642</v>
      </c>
      <c r="R170" s="31" t="s">
        <v>689</v>
      </c>
      <c r="S170" s="23" t="s">
        <v>691</v>
      </c>
      <c r="T170" s="31" t="s">
        <v>641</v>
      </c>
      <c r="U170" s="23" t="s">
        <v>643</v>
      </c>
    </row>
    <row r="171" spans="1:21" ht="7" customHeight="1" x14ac:dyDescent="0.4">
      <c r="A171" s="22">
        <v>171</v>
      </c>
      <c r="B171" s="45" t="s">
        <v>196</v>
      </c>
      <c r="C171" s="30" t="s">
        <v>399</v>
      </c>
      <c r="D171" s="41" t="s">
        <v>559</v>
      </c>
      <c r="E171" s="43" t="s">
        <v>558</v>
      </c>
      <c r="F171" s="41" t="s">
        <v>496</v>
      </c>
      <c r="G171" s="43" t="s">
        <v>542</v>
      </c>
      <c r="H171" s="36" t="s">
        <v>385</v>
      </c>
      <c r="I171" s="35" t="s">
        <v>395</v>
      </c>
      <c r="J171" s="31" t="s">
        <v>1</v>
      </c>
      <c r="K171" s="23" t="s">
        <v>1</v>
      </c>
      <c r="L171" s="31" t="s">
        <v>692</v>
      </c>
      <c r="M171" s="35" t="s">
        <v>497</v>
      </c>
      <c r="N171" s="31" t="s">
        <v>386</v>
      </c>
      <c r="O171" s="23" t="s">
        <v>339</v>
      </c>
      <c r="P171" s="31" t="s">
        <v>640</v>
      </c>
      <c r="Q171" s="23" t="s">
        <v>642</v>
      </c>
      <c r="R171" s="31" t="s">
        <v>689</v>
      </c>
      <c r="S171" s="23" t="s">
        <v>691</v>
      </c>
      <c r="T171" s="31" t="s">
        <v>641</v>
      </c>
      <c r="U171" s="23" t="s">
        <v>643</v>
      </c>
    </row>
    <row r="172" spans="1:21" ht="7" customHeight="1" x14ac:dyDescent="0.4">
      <c r="A172" s="22">
        <v>172</v>
      </c>
      <c r="B172" s="45" t="s">
        <v>197</v>
      </c>
      <c r="C172" s="30" t="s">
        <v>421</v>
      </c>
      <c r="D172" s="41" t="s">
        <v>559</v>
      </c>
      <c r="E172" s="43" t="s">
        <v>558</v>
      </c>
      <c r="F172" s="41" t="s">
        <v>496</v>
      </c>
      <c r="G172" s="43" t="s">
        <v>542</v>
      </c>
      <c r="H172" s="36" t="s">
        <v>385</v>
      </c>
      <c r="I172" s="35" t="s">
        <v>395</v>
      </c>
      <c r="J172" s="31" t="s">
        <v>1</v>
      </c>
      <c r="K172" s="23" t="s">
        <v>1</v>
      </c>
      <c r="L172" s="31" t="s">
        <v>692</v>
      </c>
      <c r="M172" s="35" t="s">
        <v>506</v>
      </c>
      <c r="N172" s="31" t="s">
        <v>386</v>
      </c>
      <c r="O172" s="23" t="s">
        <v>336</v>
      </c>
      <c r="P172" s="31" t="s">
        <v>640</v>
      </c>
      <c r="Q172" s="23" t="s">
        <v>642</v>
      </c>
      <c r="R172" s="31" t="s">
        <v>689</v>
      </c>
      <c r="S172" s="23" t="s">
        <v>691</v>
      </c>
      <c r="T172" s="31" t="s">
        <v>641</v>
      </c>
      <c r="U172" s="23" t="s">
        <v>643</v>
      </c>
    </row>
    <row r="173" spans="1:21" ht="7" customHeight="1" x14ac:dyDescent="0.4">
      <c r="A173" s="22">
        <v>173</v>
      </c>
      <c r="B173" s="45" t="s">
        <v>198</v>
      </c>
      <c r="C173" s="30" t="s">
        <v>421</v>
      </c>
      <c r="D173" s="41" t="s">
        <v>559</v>
      </c>
      <c r="E173" s="43" t="s">
        <v>558</v>
      </c>
      <c r="F173" s="41" t="s">
        <v>496</v>
      </c>
      <c r="G173" s="43" t="s">
        <v>542</v>
      </c>
      <c r="H173" s="36" t="s">
        <v>385</v>
      </c>
      <c r="I173" s="35" t="s">
        <v>395</v>
      </c>
      <c r="J173" s="31" t="s">
        <v>1</v>
      </c>
      <c r="K173" s="23" t="s">
        <v>1</v>
      </c>
      <c r="L173" s="31" t="s">
        <v>692</v>
      </c>
      <c r="M173" s="35" t="s">
        <v>506</v>
      </c>
      <c r="N173" s="31" t="s">
        <v>386</v>
      </c>
      <c r="O173" s="23" t="s">
        <v>573</v>
      </c>
      <c r="P173" s="31" t="s">
        <v>640</v>
      </c>
      <c r="Q173" s="23" t="s">
        <v>642</v>
      </c>
      <c r="R173" s="31" t="s">
        <v>689</v>
      </c>
      <c r="S173" s="23" t="s">
        <v>691</v>
      </c>
      <c r="T173" s="31" t="s">
        <v>641</v>
      </c>
      <c r="U173" s="23" t="s">
        <v>643</v>
      </c>
    </row>
    <row r="174" spans="1:21" ht="7" customHeight="1" x14ac:dyDescent="0.4">
      <c r="A174" s="22">
        <v>174</v>
      </c>
      <c r="B174" s="45" t="s">
        <v>199</v>
      </c>
      <c r="C174" s="30" t="s">
        <v>399</v>
      </c>
      <c r="D174" s="41" t="s">
        <v>559</v>
      </c>
      <c r="E174" s="43" t="s">
        <v>558</v>
      </c>
      <c r="F174" s="41" t="s">
        <v>496</v>
      </c>
      <c r="G174" s="43" t="s">
        <v>542</v>
      </c>
      <c r="H174" s="36" t="s">
        <v>385</v>
      </c>
      <c r="I174" s="35" t="s">
        <v>395</v>
      </c>
      <c r="J174" s="31" t="s">
        <v>1</v>
      </c>
      <c r="K174" s="23" t="s">
        <v>1</v>
      </c>
      <c r="L174" s="31" t="s">
        <v>692</v>
      </c>
      <c r="M174" s="35" t="s">
        <v>497</v>
      </c>
      <c r="N174" s="31" t="s">
        <v>386</v>
      </c>
      <c r="O174" s="23" t="s">
        <v>329</v>
      </c>
      <c r="P174" s="31" t="s">
        <v>640</v>
      </c>
      <c r="Q174" s="23" t="s">
        <v>642</v>
      </c>
      <c r="R174" s="31" t="s">
        <v>689</v>
      </c>
      <c r="S174" s="23" t="s">
        <v>691</v>
      </c>
      <c r="T174" s="31" t="s">
        <v>641</v>
      </c>
      <c r="U174" s="23" t="s">
        <v>643</v>
      </c>
    </row>
    <row r="175" spans="1:21" ht="7" customHeight="1" x14ac:dyDescent="0.4">
      <c r="A175" s="22">
        <v>175</v>
      </c>
      <c r="B175" s="45" t="s">
        <v>200</v>
      </c>
      <c r="C175" s="30" t="s">
        <v>399</v>
      </c>
      <c r="D175" s="41" t="s">
        <v>559</v>
      </c>
      <c r="E175" s="43" t="s">
        <v>558</v>
      </c>
      <c r="F175" s="41" t="s">
        <v>496</v>
      </c>
      <c r="G175" s="43" t="s">
        <v>542</v>
      </c>
      <c r="H175" s="36" t="s">
        <v>385</v>
      </c>
      <c r="I175" s="35" t="s">
        <v>395</v>
      </c>
      <c r="J175" s="31" t="s">
        <v>1</v>
      </c>
      <c r="K175" s="23" t="s">
        <v>1</v>
      </c>
      <c r="L175" s="31" t="s">
        <v>692</v>
      </c>
      <c r="M175" s="35" t="s">
        <v>497</v>
      </c>
      <c r="N175" s="31" t="s">
        <v>386</v>
      </c>
      <c r="O175" s="23" t="s">
        <v>574</v>
      </c>
      <c r="P175" s="31" t="s">
        <v>640</v>
      </c>
      <c r="Q175" s="23" t="s">
        <v>642</v>
      </c>
      <c r="R175" s="31" t="s">
        <v>689</v>
      </c>
      <c r="S175" s="23" t="s">
        <v>691</v>
      </c>
      <c r="T175" s="31" t="s">
        <v>641</v>
      </c>
      <c r="U175" s="23" t="s">
        <v>643</v>
      </c>
    </row>
    <row r="176" spans="1:21" ht="7" customHeight="1" x14ac:dyDescent="0.4">
      <c r="A176" s="22">
        <v>176</v>
      </c>
      <c r="B176" s="45" t="s">
        <v>201</v>
      </c>
      <c r="C176" s="30" t="s">
        <v>416</v>
      </c>
      <c r="D176" s="41" t="s">
        <v>559</v>
      </c>
      <c r="E176" s="43" t="s">
        <v>558</v>
      </c>
      <c r="F176" s="41" t="s">
        <v>496</v>
      </c>
      <c r="G176" s="43" t="s">
        <v>542</v>
      </c>
      <c r="H176" s="36" t="s">
        <v>385</v>
      </c>
      <c r="I176" s="35" t="s">
        <v>395</v>
      </c>
      <c r="J176" s="31" t="s">
        <v>1</v>
      </c>
      <c r="K176" s="23" t="s">
        <v>1</v>
      </c>
      <c r="L176" s="31" t="s">
        <v>692</v>
      </c>
      <c r="M176" s="35" t="s">
        <v>503</v>
      </c>
      <c r="N176" s="31" t="s">
        <v>386</v>
      </c>
      <c r="O176" s="23" t="s">
        <v>278</v>
      </c>
      <c r="P176" s="31" t="s">
        <v>640</v>
      </c>
      <c r="Q176" s="23" t="s">
        <v>642</v>
      </c>
      <c r="R176" s="31" t="s">
        <v>689</v>
      </c>
      <c r="S176" s="23" t="s">
        <v>691</v>
      </c>
      <c r="T176" s="31" t="s">
        <v>641</v>
      </c>
      <c r="U176" s="23" t="s">
        <v>643</v>
      </c>
    </row>
    <row r="177" spans="1:21" ht="7" customHeight="1" x14ac:dyDescent="0.4">
      <c r="A177" s="22">
        <v>177</v>
      </c>
      <c r="B177" s="45" t="s">
        <v>202</v>
      </c>
      <c r="C177" s="30" t="s">
        <v>421</v>
      </c>
      <c r="D177" s="41" t="s">
        <v>559</v>
      </c>
      <c r="E177" s="43" t="s">
        <v>558</v>
      </c>
      <c r="F177" s="41" t="s">
        <v>496</v>
      </c>
      <c r="G177" s="43" t="s">
        <v>542</v>
      </c>
      <c r="H177" s="36" t="s">
        <v>385</v>
      </c>
      <c r="I177" s="35" t="s">
        <v>395</v>
      </c>
      <c r="J177" s="31" t="s">
        <v>1</v>
      </c>
      <c r="K177" s="23" t="s">
        <v>1</v>
      </c>
      <c r="L177" s="31" t="s">
        <v>692</v>
      </c>
      <c r="M177" s="35" t="s">
        <v>506</v>
      </c>
      <c r="N177" s="31" t="s">
        <v>386</v>
      </c>
      <c r="O177" s="23" t="s">
        <v>337</v>
      </c>
      <c r="P177" s="31" t="s">
        <v>640</v>
      </c>
      <c r="Q177" s="23" t="s">
        <v>642</v>
      </c>
      <c r="R177" s="31" t="s">
        <v>689</v>
      </c>
      <c r="S177" s="23" t="s">
        <v>691</v>
      </c>
      <c r="T177" s="31" t="s">
        <v>641</v>
      </c>
      <c r="U177" s="23" t="s">
        <v>643</v>
      </c>
    </row>
    <row r="178" spans="1:21" ht="7" customHeight="1" x14ac:dyDescent="0.4">
      <c r="A178" s="22">
        <v>178</v>
      </c>
      <c r="B178" s="45" t="s">
        <v>203</v>
      </c>
      <c r="C178" s="30" t="s">
        <v>421</v>
      </c>
      <c r="D178" s="41" t="s">
        <v>559</v>
      </c>
      <c r="E178" s="43" t="s">
        <v>558</v>
      </c>
      <c r="F178" s="41" t="s">
        <v>496</v>
      </c>
      <c r="G178" s="43" t="s">
        <v>542</v>
      </c>
      <c r="H178" s="36" t="s">
        <v>385</v>
      </c>
      <c r="I178" s="35" t="s">
        <v>395</v>
      </c>
      <c r="J178" s="31" t="s">
        <v>1</v>
      </c>
      <c r="K178" s="23" t="s">
        <v>1</v>
      </c>
      <c r="L178" s="31" t="s">
        <v>692</v>
      </c>
      <c r="M178" s="35" t="s">
        <v>506</v>
      </c>
      <c r="N178" s="31" t="s">
        <v>386</v>
      </c>
      <c r="O178" s="23" t="s">
        <v>340</v>
      </c>
      <c r="P178" s="31" t="s">
        <v>640</v>
      </c>
      <c r="Q178" s="23" t="s">
        <v>642</v>
      </c>
      <c r="R178" s="31" t="s">
        <v>689</v>
      </c>
      <c r="S178" s="23" t="s">
        <v>691</v>
      </c>
      <c r="T178" s="31" t="s">
        <v>641</v>
      </c>
      <c r="U178" s="23" t="s">
        <v>643</v>
      </c>
    </row>
    <row r="179" spans="1:21" ht="7" customHeight="1" x14ac:dyDescent="0.4">
      <c r="A179" s="22">
        <v>179</v>
      </c>
      <c r="B179" s="45" t="s">
        <v>204</v>
      </c>
      <c r="C179" s="30" t="s">
        <v>421</v>
      </c>
      <c r="D179" s="41" t="s">
        <v>559</v>
      </c>
      <c r="E179" s="43" t="s">
        <v>558</v>
      </c>
      <c r="F179" s="41" t="s">
        <v>496</v>
      </c>
      <c r="G179" s="43" t="s">
        <v>542</v>
      </c>
      <c r="H179" s="36" t="s">
        <v>385</v>
      </c>
      <c r="I179" s="35" t="s">
        <v>395</v>
      </c>
      <c r="J179" s="31" t="s">
        <v>1</v>
      </c>
      <c r="K179" s="23" t="s">
        <v>1</v>
      </c>
      <c r="L179" s="31" t="s">
        <v>692</v>
      </c>
      <c r="M179" s="35" t="s">
        <v>506</v>
      </c>
      <c r="N179" s="31" t="s">
        <v>386</v>
      </c>
      <c r="O179" s="23" t="s">
        <v>341</v>
      </c>
      <c r="P179" s="31" t="s">
        <v>640</v>
      </c>
      <c r="Q179" s="23" t="s">
        <v>642</v>
      </c>
      <c r="R179" s="31" t="s">
        <v>689</v>
      </c>
      <c r="S179" s="23" t="s">
        <v>691</v>
      </c>
      <c r="T179" s="31" t="s">
        <v>641</v>
      </c>
      <c r="U179" s="23" t="s">
        <v>643</v>
      </c>
    </row>
    <row r="180" spans="1:21" ht="7" customHeight="1" x14ac:dyDescent="0.4">
      <c r="A180" s="22">
        <v>180</v>
      </c>
      <c r="B180" s="45" t="s">
        <v>205</v>
      </c>
      <c r="C180" s="30" t="s">
        <v>417</v>
      </c>
      <c r="D180" s="41" t="s">
        <v>559</v>
      </c>
      <c r="E180" s="43" t="s">
        <v>558</v>
      </c>
      <c r="F180" s="41" t="s">
        <v>496</v>
      </c>
      <c r="G180" s="43" t="s">
        <v>542</v>
      </c>
      <c r="H180" s="36" t="s">
        <v>385</v>
      </c>
      <c r="I180" s="35" t="s">
        <v>395</v>
      </c>
      <c r="J180" s="31" t="s">
        <v>1</v>
      </c>
      <c r="K180" s="23" t="s">
        <v>1</v>
      </c>
      <c r="L180" s="31" t="s">
        <v>692</v>
      </c>
      <c r="M180" s="35" t="s">
        <v>499</v>
      </c>
      <c r="N180" s="31" t="s">
        <v>386</v>
      </c>
      <c r="O180" s="23" t="s">
        <v>274</v>
      </c>
      <c r="P180" s="31" t="s">
        <v>640</v>
      </c>
      <c r="Q180" s="23" t="s">
        <v>642</v>
      </c>
      <c r="R180" s="31" t="s">
        <v>689</v>
      </c>
      <c r="S180" s="23" t="s">
        <v>691</v>
      </c>
      <c r="T180" s="31" t="s">
        <v>641</v>
      </c>
      <c r="U180" s="23" t="s">
        <v>643</v>
      </c>
    </row>
    <row r="181" spans="1:21" ht="7" customHeight="1" x14ac:dyDescent="0.4">
      <c r="A181" s="22">
        <v>181</v>
      </c>
      <c r="B181" s="45" t="s">
        <v>206</v>
      </c>
      <c r="C181" s="30" t="s">
        <v>421</v>
      </c>
      <c r="D181" s="41" t="s">
        <v>559</v>
      </c>
      <c r="E181" s="43" t="s">
        <v>558</v>
      </c>
      <c r="F181" s="41" t="s">
        <v>496</v>
      </c>
      <c r="G181" s="43" t="s">
        <v>542</v>
      </c>
      <c r="H181" s="36" t="s">
        <v>385</v>
      </c>
      <c r="I181" s="35" t="s">
        <v>395</v>
      </c>
      <c r="J181" s="31" t="s">
        <v>1</v>
      </c>
      <c r="K181" s="23" t="s">
        <v>1</v>
      </c>
      <c r="L181" s="31" t="s">
        <v>692</v>
      </c>
      <c r="M181" s="35" t="s">
        <v>506</v>
      </c>
      <c r="N181" s="31" t="s">
        <v>386</v>
      </c>
      <c r="O181" s="23" t="s">
        <v>575</v>
      </c>
      <c r="P181" s="31" t="s">
        <v>640</v>
      </c>
      <c r="Q181" s="23" t="s">
        <v>642</v>
      </c>
      <c r="R181" s="31" t="s">
        <v>689</v>
      </c>
      <c r="S181" s="23" t="s">
        <v>691</v>
      </c>
      <c r="T181" s="31" t="s">
        <v>641</v>
      </c>
      <c r="U181" s="23" t="s">
        <v>643</v>
      </c>
    </row>
    <row r="182" spans="1:21" ht="7" customHeight="1" x14ac:dyDescent="0.4">
      <c r="A182" s="22">
        <v>182</v>
      </c>
      <c r="B182" s="45" t="s">
        <v>207</v>
      </c>
      <c r="C182" s="30" t="s">
        <v>421</v>
      </c>
      <c r="D182" s="41" t="s">
        <v>559</v>
      </c>
      <c r="E182" s="43" t="s">
        <v>558</v>
      </c>
      <c r="F182" s="41" t="s">
        <v>496</v>
      </c>
      <c r="G182" s="43" t="s">
        <v>542</v>
      </c>
      <c r="H182" s="36" t="s">
        <v>385</v>
      </c>
      <c r="I182" s="35" t="s">
        <v>395</v>
      </c>
      <c r="J182" s="31" t="s">
        <v>1</v>
      </c>
      <c r="K182" s="23" t="s">
        <v>1</v>
      </c>
      <c r="L182" s="31" t="s">
        <v>692</v>
      </c>
      <c r="M182" s="35" t="s">
        <v>506</v>
      </c>
      <c r="N182" s="31" t="s">
        <v>386</v>
      </c>
      <c r="O182" s="23" t="s">
        <v>342</v>
      </c>
      <c r="P182" s="31" t="s">
        <v>640</v>
      </c>
      <c r="Q182" s="23" t="s">
        <v>642</v>
      </c>
      <c r="R182" s="31" t="s">
        <v>689</v>
      </c>
      <c r="S182" s="23" t="s">
        <v>691</v>
      </c>
      <c r="T182" s="31" t="s">
        <v>641</v>
      </c>
      <c r="U182" s="23" t="s">
        <v>643</v>
      </c>
    </row>
    <row r="183" spans="1:21" ht="7" customHeight="1" x14ac:dyDescent="0.4">
      <c r="A183" s="22">
        <v>183</v>
      </c>
      <c r="B183" s="45" t="s">
        <v>208</v>
      </c>
      <c r="C183" s="30" t="s">
        <v>421</v>
      </c>
      <c r="D183" s="41" t="s">
        <v>559</v>
      </c>
      <c r="E183" s="43" t="s">
        <v>558</v>
      </c>
      <c r="F183" s="41" t="s">
        <v>496</v>
      </c>
      <c r="G183" s="43" t="s">
        <v>542</v>
      </c>
      <c r="H183" s="36" t="s">
        <v>385</v>
      </c>
      <c r="I183" s="35" t="s">
        <v>395</v>
      </c>
      <c r="J183" s="31" t="s">
        <v>1</v>
      </c>
      <c r="K183" s="23" t="s">
        <v>1</v>
      </c>
      <c r="L183" s="31" t="s">
        <v>692</v>
      </c>
      <c r="M183" s="35" t="s">
        <v>506</v>
      </c>
      <c r="N183" s="31" t="s">
        <v>386</v>
      </c>
      <c r="O183" s="23" t="s">
        <v>343</v>
      </c>
      <c r="P183" s="31" t="s">
        <v>640</v>
      </c>
      <c r="Q183" s="23" t="s">
        <v>642</v>
      </c>
      <c r="R183" s="31" t="s">
        <v>689</v>
      </c>
      <c r="S183" s="23" t="s">
        <v>691</v>
      </c>
      <c r="T183" s="31" t="s">
        <v>641</v>
      </c>
      <c r="U183" s="23" t="s">
        <v>643</v>
      </c>
    </row>
    <row r="184" spans="1:21" ht="7" customHeight="1" x14ac:dyDescent="0.4">
      <c r="A184" s="22">
        <v>184</v>
      </c>
      <c r="B184" s="45" t="s">
        <v>209</v>
      </c>
      <c r="C184" s="30" t="s">
        <v>421</v>
      </c>
      <c r="D184" s="41" t="s">
        <v>559</v>
      </c>
      <c r="E184" s="43" t="s">
        <v>558</v>
      </c>
      <c r="F184" s="41" t="s">
        <v>496</v>
      </c>
      <c r="G184" s="43" t="s">
        <v>542</v>
      </c>
      <c r="H184" s="36" t="s">
        <v>385</v>
      </c>
      <c r="I184" s="35" t="s">
        <v>395</v>
      </c>
      <c r="J184" s="31" t="s">
        <v>1</v>
      </c>
      <c r="K184" s="23" t="s">
        <v>1</v>
      </c>
      <c r="L184" s="31" t="s">
        <v>692</v>
      </c>
      <c r="M184" s="35" t="s">
        <v>506</v>
      </c>
      <c r="N184" s="31" t="s">
        <v>386</v>
      </c>
      <c r="O184" s="23" t="s">
        <v>344</v>
      </c>
      <c r="P184" s="31" t="s">
        <v>640</v>
      </c>
      <c r="Q184" s="23" t="s">
        <v>642</v>
      </c>
      <c r="R184" s="31" t="s">
        <v>689</v>
      </c>
      <c r="S184" s="23" t="s">
        <v>691</v>
      </c>
      <c r="T184" s="31" t="s">
        <v>641</v>
      </c>
      <c r="U184" s="23" t="s">
        <v>643</v>
      </c>
    </row>
    <row r="185" spans="1:21" ht="7" customHeight="1" x14ac:dyDescent="0.4">
      <c r="A185" s="22">
        <v>185</v>
      </c>
      <c r="B185" s="45" t="s">
        <v>210</v>
      </c>
      <c r="C185" s="30" t="s">
        <v>421</v>
      </c>
      <c r="D185" s="41" t="s">
        <v>559</v>
      </c>
      <c r="E185" s="43" t="s">
        <v>558</v>
      </c>
      <c r="F185" s="41" t="s">
        <v>496</v>
      </c>
      <c r="G185" s="43" t="s">
        <v>542</v>
      </c>
      <c r="H185" s="36" t="s">
        <v>385</v>
      </c>
      <c r="I185" s="35" t="s">
        <v>395</v>
      </c>
      <c r="J185" s="31" t="s">
        <v>1</v>
      </c>
      <c r="K185" s="23" t="s">
        <v>1</v>
      </c>
      <c r="L185" s="31" t="s">
        <v>692</v>
      </c>
      <c r="M185" s="35" t="s">
        <v>506</v>
      </c>
      <c r="N185" s="31" t="s">
        <v>386</v>
      </c>
      <c r="O185" s="23" t="s">
        <v>337</v>
      </c>
      <c r="P185" s="31" t="s">
        <v>640</v>
      </c>
      <c r="Q185" s="23" t="s">
        <v>642</v>
      </c>
      <c r="R185" s="31" t="s">
        <v>689</v>
      </c>
      <c r="S185" s="23" t="s">
        <v>691</v>
      </c>
      <c r="T185" s="31" t="s">
        <v>641</v>
      </c>
      <c r="U185" s="23" t="s">
        <v>643</v>
      </c>
    </row>
    <row r="186" spans="1:21" ht="7" customHeight="1" x14ac:dyDescent="0.4">
      <c r="A186" s="22">
        <v>186</v>
      </c>
      <c r="B186" s="45" t="s">
        <v>211</v>
      </c>
      <c r="C186" s="30" t="s">
        <v>421</v>
      </c>
      <c r="D186" s="41" t="s">
        <v>559</v>
      </c>
      <c r="E186" s="43" t="s">
        <v>558</v>
      </c>
      <c r="F186" s="41" t="s">
        <v>496</v>
      </c>
      <c r="G186" s="43" t="s">
        <v>543</v>
      </c>
      <c r="H186" s="36" t="s">
        <v>385</v>
      </c>
      <c r="I186" s="35" t="s">
        <v>390</v>
      </c>
      <c r="J186" s="31" t="s">
        <v>1</v>
      </c>
      <c r="K186" s="23" t="s">
        <v>1</v>
      </c>
      <c r="L186" s="31" t="s">
        <v>692</v>
      </c>
      <c r="M186" s="35" t="s">
        <v>506</v>
      </c>
      <c r="N186" s="31" t="s">
        <v>386</v>
      </c>
      <c r="O186" s="23" t="s">
        <v>345</v>
      </c>
      <c r="P186" s="31" t="s">
        <v>640</v>
      </c>
      <c r="Q186" s="23" t="s">
        <v>642</v>
      </c>
      <c r="R186" s="31" t="s">
        <v>689</v>
      </c>
      <c r="S186" s="23" t="s">
        <v>691</v>
      </c>
      <c r="T186" s="31" t="s">
        <v>641</v>
      </c>
      <c r="U186" s="23" t="s">
        <v>643</v>
      </c>
    </row>
    <row r="187" spans="1:21" ht="7" customHeight="1" x14ac:dyDescent="0.4">
      <c r="A187" s="22">
        <v>187</v>
      </c>
      <c r="B187" s="45" t="s">
        <v>212</v>
      </c>
      <c r="C187" s="30" t="s">
        <v>421</v>
      </c>
      <c r="D187" s="41" t="s">
        <v>559</v>
      </c>
      <c r="E187" s="43" t="s">
        <v>558</v>
      </c>
      <c r="F187" s="41" t="s">
        <v>496</v>
      </c>
      <c r="G187" s="43" t="s">
        <v>543</v>
      </c>
      <c r="H187" s="36" t="s">
        <v>385</v>
      </c>
      <c r="I187" s="35" t="s">
        <v>390</v>
      </c>
      <c r="J187" s="31" t="s">
        <v>1</v>
      </c>
      <c r="K187" s="23" t="s">
        <v>1</v>
      </c>
      <c r="L187" s="31" t="s">
        <v>692</v>
      </c>
      <c r="M187" s="35" t="s">
        <v>506</v>
      </c>
      <c r="N187" s="31" t="s">
        <v>386</v>
      </c>
      <c r="O187" s="23" t="s">
        <v>346</v>
      </c>
      <c r="P187" s="31" t="s">
        <v>640</v>
      </c>
      <c r="Q187" s="23" t="s">
        <v>642</v>
      </c>
      <c r="R187" s="31" t="s">
        <v>689</v>
      </c>
      <c r="S187" s="23" t="s">
        <v>691</v>
      </c>
      <c r="T187" s="31" t="s">
        <v>641</v>
      </c>
      <c r="U187" s="23" t="s">
        <v>643</v>
      </c>
    </row>
    <row r="188" spans="1:21" ht="7" customHeight="1" x14ac:dyDescent="0.4">
      <c r="A188" s="22">
        <v>188</v>
      </c>
      <c r="B188" s="45" t="s">
        <v>213</v>
      </c>
      <c r="C188" s="30" t="s">
        <v>421</v>
      </c>
      <c r="D188" s="41" t="s">
        <v>559</v>
      </c>
      <c r="E188" s="43" t="s">
        <v>558</v>
      </c>
      <c r="F188" s="41" t="s">
        <v>496</v>
      </c>
      <c r="G188" s="43" t="s">
        <v>543</v>
      </c>
      <c r="H188" s="36" t="s">
        <v>385</v>
      </c>
      <c r="I188" s="35" t="s">
        <v>390</v>
      </c>
      <c r="J188" s="31" t="s">
        <v>1</v>
      </c>
      <c r="K188" s="23" t="s">
        <v>1</v>
      </c>
      <c r="L188" s="31" t="s">
        <v>692</v>
      </c>
      <c r="M188" s="35" t="s">
        <v>506</v>
      </c>
      <c r="N188" s="31" t="s">
        <v>386</v>
      </c>
      <c r="O188" s="23" t="s">
        <v>347</v>
      </c>
      <c r="P188" s="31" t="s">
        <v>640</v>
      </c>
      <c r="Q188" s="23" t="s">
        <v>642</v>
      </c>
      <c r="R188" s="31" t="s">
        <v>689</v>
      </c>
      <c r="S188" s="23" t="s">
        <v>691</v>
      </c>
      <c r="T188" s="31" t="s">
        <v>641</v>
      </c>
      <c r="U188" s="23" t="s">
        <v>643</v>
      </c>
    </row>
    <row r="189" spans="1:21" ht="7" customHeight="1" x14ac:dyDescent="0.4">
      <c r="A189" s="22">
        <v>189</v>
      </c>
      <c r="B189" s="45" t="s">
        <v>214</v>
      </c>
      <c r="C189" s="30" t="s">
        <v>421</v>
      </c>
      <c r="D189" s="41" t="s">
        <v>559</v>
      </c>
      <c r="E189" s="43" t="s">
        <v>558</v>
      </c>
      <c r="F189" s="41" t="s">
        <v>496</v>
      </c>
      <c r="G189" s="43" t="s">
        <v>543</v>
      </c>
      <c r="H189" s="36" t="s">
        <v>385</v>
      </c>
      <c r="I189" s="35" t="s">
        <v>390</v>
      </c>
      <c r="J189" s="31" t="s">
        <v>1</v>
      </c>
      <c r="K189" s="23" t="s">
        <v>1</v>
      </c>
      <c r="L189" s="31" t="s">
        <v>692</v>
      </c>
      <c r="M189" s="35" t="s">
        <v>506</v>
      </c>
      <c r="N189" s="31" t="s">
        <v>386</v>
      </c>
      <c r="O189" s="23" t="s">
        <v>348</v>
      </c>
      <c r="P189" s="31" t="s">
        <v>640</v>
      </c>
      <c r="Q189" s="23" t="s">
        <v>642</v>
      </c>
      <c r="R189" s="31" t="s">
        <v>689</v>
      </c>
      <c r="S189" s="23" t="s">
        <v>691</v>
      </c>
      <c r="T189" s="31" t="s">
        <v>641</v>
      </c>
      <c r="U189" s="23" t="s">
        <v>643</v>
      </c>
    </row>
    <row r="190" spans="1:21" ht="7" customHeight="1" x14ac:dyDescent="0.4">
      <c r="A190" s="22">
        <v>190</v>
      </c>
      <c r="B190" s="45" t="s">
        <v>215</v>
      </c>
      <c r="C190" s="30" t="s">
        <v>421</v>
      </c>
      <c r="D190" s="41" t="s">
        <v>559</v>
      </c>
      <c r="E190" s="43" t="s">
        <v>558</v>
      </c>
      <c r="F190" s="41" t="s">
        <v>496</v>
      </c>
      <c r="G190" s="43" t="s">
        <v>543</v>
      </c>
      <c r="H190" s="36" t="s">
        <v>385</v>
      </c>
      <c r="I190" s="35" t="s">
        <v>390</v>
      </c>
      <c r="J190" s="31" t="s">
        <v>1</v>
      </c>
      <c r="K190" s="23" t="s">
        <v>1</v>
      </c>
      <c r="L190" s="31" t="s">
        <v>692</v>
      </c>
      <c r="M190" s="35" t="s">
        <v>506</v>
      </c>
      <c r="N190" s="31" t="s">
        <v>386</v>
      </c>
      <c r="O190" s="23" t="s">
        <v>349</v>
      </c>
      <c r="P190" s="31" t="s">
        <v>640</v>
      </c>
      <c r="Q190" s="23" t="s">
        <v>642</v>
      </c>
      <c r="R190" s="31" t="s">
        <v>689</v>
      </c>
      <c r="S190" s="23" t="s">
        <v>691</v>
      </c>
      <c r="T190" s="31" t="s">
        <v>641</v>
      </c>
      <c r="U190" s="23" t="s">
        <v>643</v>
      </c>
    </row>
    <row r="191" spans="1:21" ht="7" customHeight="1" x14ac:dyDescent="0.4">
      <c r="A191" s="22">
        <v>191</v>
      </c>
      <c r="B191" s="45" t="s">
        <v>216</v>
      </c>
      <c r="C191" s="30" t="s">
        <v>421</v>
      </c>
      <c r="D191" s="41" t="s">
        <v>559</v>
      </c>
      <c r="E191" s="43" t="s">
        <v>558</v>
      </c>
      <c r="F191" s="41" t="s">
        <v>496</v>
      </c>
      <c r="G191" s="43" t="s">
        <v>543</v>
      </c>
      <c r="H191" s="36" t="s">
        <v>385</v>
      </c>
      <c r="I191" s="35" t="s">
        <v>390</v>
      </c>
      <c r="J191" s="31" t="s">
        <v>1</v>
      </c>
      <c r="K191" s="23" t="s">
        <v>1</v>
      </c>
      <c r="L191" s="31" t="s">
        <v>692</v>
      </c>
      <c r="M191" s="35" t="s">
        <v>506</v>
      </c>
      <c r="N191" s="31" t="s">
        <v>386</v>
      </c>
      <c r="O191" s="23" t="s">
        <v>350</v>
      </c>
      <c r="P191" s="31" t="s">
        <v>640</v>
      </c>
      <c r="Q191" s="23" t="s">
        <v>642</v>
      </c>
      <c r="R191" s="31" t="s">
        <v>689</v>
      </c>
      <c r="S191" s="23" t="s">
        <v>691</v>
      </c>
      <c r="T191" s="31" t="s">
        <v>641</v>
      </c>
      <c r="U191" s="23" t="s">
        <v>643</v>
      </c>
    </row>
    <row r="192" spans="1:21" ht="7" customHeight="1" x14ac:dyDescent="0.4">
      <c r="A192" s="22">
        <v>192</v>
      </c>
      <c r="B192" s="45" t="s">
        <v>217</v>
      </c>
      <c r="C192" s="30" t="s">
        <v>421</v>
      </c>
      <c r="D192" s="41" t="s">
        <v>559</v>
      </c>
      <c r="E192" s="43" t="s">
        <v>558</v>
      </c>
      <c r="F192" s="41" t="s">
        <v>496</v>
      </c>
      <c r="G192" s="43" t="s">
        <v>543</v>
      </c>
      <c r="H192" s="38" t="s">
        <v>385</v>
      </c>
      <c r="I192" s="37" t="s">
        <v>390</v>
      </c>
      <c r="J192" s="31" t="s">
        <v>1</v>
      </c>
      <c r="K192" s="23" t="s">
        <v>1</v>
      </c>
      <c r="L192" s="31" t="s">
        <v>692</v>
      </c>
      <c r="M192" s="37" t="s">
        <v>510</v>
      </c>
      <c r="N192" s="31" t="s">
        <v>386</v>
      </c>
      <c r="O192" s="23" t="s">
        <v>568</v>
      </c>
      <c r="P192" s="31" t="s">
        <v>640</v>
      </c>
      <c r="Q192" s="23" t="s">
        <v>642</v>
      </c>
      <c r="R192" s="31" t="s">
        <v>689</v>
      </c>
      <c r="S192" s="23" t="s">
        <v>691</v>
      </c>
      <c r="T192" s="31" t="s">
        <v>641</v>
      </c>
      <c r="U192" s="23" t="s">
        <v>643</v>
      </c>
    </row>
    <row r="193" spans="1:21" ht="7" customHeight="1" x14ac:dyDescent="0.4">
      <c r="A193" s="22">
        <v>193</v>
      </c>
      <c r="B193" s="45" t="s">
        <v>218</v>
      </c>
      <c r="C193" s="40" t="s">
        <v>421</v>
      </c>
      <c r="D193" s="41" t="s">
        <v>559</v>
      </c>
      <c r="E193" s="43" t="s">
        <v>558</v>
      </c>
      <c r="F193" s="41" t="s">
        <v>496</v>
      </c>
      <c r="G193" s="43" t="s">
        <v>539</v>
      </c>
      <c r="H193" s="38" t="s">
        <v>385</v>
      </c>
      <c r="I193" s="37" t="s">
        <v>389</v>
      </c>
      <c r="J193" s="31" t="s">
        <v>1</v>
      </c>
      <c r="K193" s="23" t="s">
        <v>1</v>
      </c>
      <c r="L193" s="31" t="s">
        <v>692</v>
      </c>
      <c r="M193" s="35" t="s">
        <v>506</v>
      </c>
      <c r="N193" s="31" t="s">
        <v>386</v>
      </c>
      <c r="O193" s="23" t="s">
        <v>569</v>
      </c>
      <c r="P193" s="31" t="s">
        <v>640</v>
      </c>
      <c r="Q193" s="23" t="s">
        <v>642</v>
      </c>
      <c r="R193" s="31" t="s">
        <v>689</v>
      </c>
      <c r="S193" s="23" t="s">
        <v>691</v>
      </c>
      <c r="T193" s="31" t="s">
        <v>641</v>
      </c>
      <c r="U193" s="23" t="s">
        <v>643</v>
      </c>
    </row>
    <row r="194" spans="1:21" ht="7" customHeight="1" x14ac:dyDescent="0.4">
      <c r="A194" s="22">
        <v>194</v>
      </c>
      <c r="B194" s="45" t="s">
        <v>219</v>
      </c>
      <c r="C194" s="40" t="s">
        <v>421</v>
      </c>
      <c r="D194" s="41" t="s">
        <v>559</v>
      </c>
      <c r="E194" s="43" t="s">
        <v>558</v>
      </c>
      <c r="F194" s="41" t="s">
        <v>496</v>
      </c>
      <c r="G194" s="43" t="s">
        <v>539</v>
      </c>
      <c r="H194" s="38" t="s">
        <v>385</v>
      </c>
      <c r="I194" s="37" t="s">
        <v>389</v>
      </c>
      <c r="J194" s="31" t="s">
        <v>1</v>
      </c>
      <c r="K194" s="23" t="s">
        <v>1</v>
      </c>
      <c r="L194" s="31" t="s">
        <v>692</v>
      </c>
      <c r="M194" s="35" t="s">
        <v>510</v>
      </c>
      <c r="N194" s="31" t="s">
        <v>386</v>
      </c>
      <c r="O194" s="23" t="s">
        <v>351</v>
      </c>
      <c r="P194" s="31" t="s">
        <v>640</v>
      </c>
      <c r="Q194" s="23" t="s">
        <v>642</v>
      </c>
      <c r="R194" s="31" t="s">
        <v>689</v>
      </c>
      <c r="S194" s="23" t="s">
        <v>691</v>
      </c>
      <c r="T194" s="31" t="s">
        <v>641</v>
      </c>
      <c r="U194" s="23" t="s">
        <v>643</v>
      </c>
    </row>
    <row r="195" spans="1:21" ht="7" customHeight="1" x14ac:dyDescent="0.4">
      <c r="A195" s="22">
        <v>195</v>
      </c>
      <c r="B195" s="45" t="s">
        <v>220</v>
      </c>
      <c r="C195" s="40" t="s">
        <v>421</v>
      </c>
      <c r="D195" s="41" t="s">
        <v>559</v>
      </c>
      <c r="E195" s="43" t="s">
        <v>558</v>
      </c>
      <c r="F195" s="41" t="s">
        <v>496</v>
      </c>
      <c r="G195" s="43" t="s">
        <v>539</v>
      </c>
      <c r="H195" s="38" t="s">
        <v>385</v>
      </c>
      <c r="I195" s="37" t="s">
        <v>389</v>
      </c>
      <c r="J195" s="31" t="s">
        <v>1</v>
      </c>
      <c r="K195" s="23" t="s">
        <v>1</v>
      </c>
      <c r="L195" s="31" t="s">
        <v>692</v>
      </c>
      <c r="M195" s="35" t="s">
        <v>511</v>
      </c>
      <c r="N195" s="31" t="s">
        <v>386</v>
      </c>
      <c r="O195" s="23" t="s">
        <v>591</v>
      </c>
      <c r="P195" s="31" t="s">
        <v>640</v>
      </c>
      <c r="Q195" s="23" t="s">
        <v>642</v>
      </c>
      <c r="R195" s="31" t="s">
        <v>689</v>
      </c>
      <c r="S195" s="23" t="s">
        <v>691</v>
      </c>
      <c r="T195" s="31" t="s">
        <v>641</v>
      </c>
      <c r="U195" s="23" t="s">
        <v>643</v>
      </c>
    </row>
    <row r="196" spans="1:21" ht="7" customHeight="1" x14ac:dyDescent="0.4">
      <c r="A196" s="22">
        <v>196</v>
      </c>
      <c r="B196" s="45" t="s">
        <v>221</v>
      </c>
      <c r="C196" s="40" t="s">
        <v>421</v>
      </c>
      <c r="D196" s="41" t="s">
        <v>559</v>
      </c>
      <c r="E196" s="43" t="s">
        <v>558</v>
      </c>
      <c r="F196" s="41" t="s">
        <v>496</v>
      </c>
      <c r="G196" s="43" t="s">
        <v>539</v>
      </c>
      <c r="H196" s="38" t="s">
        <v>385</v>
      </c>
      <c r="I196" s="37" t="s">
        <v>389</v>
      </c>
      <c r="J196" s="31" t="s">
        <v>1</v>
      </c>
      <c r="K196" s="23" t="s">
        <v>1</v>
      </c>
      <c r="L196" s="31" t="s">
        <v>692</v>
      </c>
      <c r="M196" s="35" t="s">
        <v>512</v>
      </c>
      <c r="N196" s="31" t="s">
        <v>386</v>
      </c>
      <c r="O196" s="23" t="s">
        <v>352</v>
      </c>
      <c r="P196" s="31" t="s">
        <v>640</v>
      </c>
      <c r="Q196" s="23" t="s">
        <v>642</v>
      </c>
      <c r="R196" s="31" t="s">
        <v>689</v>
      </c>
      <c r="S196" s="23" t="s">
        <v>691</v>
      </c>
      <c r="T196" s="31" t="s">
        <v>641</v>
      </c>
      <c r="U196" s="23" t="s">
        <v>643</v>
      </c>
    </row>
    <row r="197" spans="1:21" ht="7" customHeight="1" x14ac:dyDescent="0.4">
      <c r="A197" s="22">
        <v>197</v>
      </c>
      <c r="B197" s="45" t="s">
        <v>222</v>
      </c>
      <c r="C197" s="40" t="s">
        <v>421</v>
      </c>
      <c r="D197" s="41" t="s">
        <v>559</v>
      </c>
      <c r="E197" s="43" t="s">
        <v>558</v>
      </c>
      <c r="F197" s="41" t="s">
        <v>496</v>
      </c>
      <c r="G197" s="43" t="s">
        <v>539</v>
      </c>
      <c r="H197" s="38" t="s">
        <v>385</v>
      </c>
      <c r="I197" s="37" t="s">
        <v>389</v>
      </c>
      <c r="J197" s="31" t="s">
        <v>1</v>
      </c>
      <c r="K197" s="23" t="s">
        <v>1</v>
      </c>
      <c r="L197" s="31" t="s">
        <v>692</v>
      </c>
      <c r="M197" s="35" t="s">
        <v>506</v>
      </c>
      <c r="N197" s="31" t="s">
        <v>386</v>
      </c>
      <c r="O197" s="23" t="s">
        <v>353</v>
      </c>
      <c r="P197" s="31" t="s">
        <v>640</v>
      </c>
      <c r="Q197" s="23" t="s">
        <v>642</v>
      </c>
      <c r="R197" s="31" t="s">
        <v>689</v>
      </c>
      <c r="S197" s="23" t="s">
        <v>691</v>
      </c>
      <c r="T197" s="31" t="s">
        <v>641</v>
      </c>
      <c r="U197" s="23" t="s">
        <v>643</v>
      </c>
    </row>
    <row r="198" spans="1:21" ht="7" customHeight="1" x14ac:dyDescent="0.4">
      <c r="A198" s="22">
        <v>198</v>
      </c>
      <c r="B198" s="45" t="s">
        <v>223</v>
      </c>
      <c r="C198" s="40" t="s">
        <v>421</v>
      </c>
      <c r="D198" s="41" t="s">
        <v>559</v>
      </c>
      <c r="E198" s="43" t="s">
        <v>558</v>
      </c>
      <c r="F198" s="41" t="s">
        <v>496</v>
      </c>
      <c r="G198" s="43" t="s">
        <v>539</v>
      </c>
      <c r="H198" s="38" t="s">
        <v>385</v>
      </c>
      <c r="I198" s="37" t="s">
        <v>389</v>
      </c>
      <c r="J198" s="31" t="s">
        <v>1</v>
      </c>
      <c r="K198" s="23" t="s">
        <v>1</v>
      </c>
      <c r="L198" s="31" t="s">
        <v>692</v>
      </c>
      <c r="M198" s="35" t="s">
        <v>506</v>
      </c>
      <c r="N198" s="31" t="s">
        <v>386</v>
      </c>
      <c r="O198" s="23" t="s">
        <v>354</v>
      </c>
      <c r="P198" s="31" t="s">
        <v>640</v>
      </c>
      <c r="Q198" s="23" t="s">
        <v>642</v>
      </c>
      <c r="R198" s="31" t="s">
        <v>689</v>
      </c>
      <c r="S198" s="23" t="s">
        <v>691</v>
      </c>
      <c r="T198" s="31" t="s">
        <v>641</v>
      </c>
      <c r="U198" s="23" t="s">
        <v>643</v>
      </c>
    </row>
    <row r="199" spans="1:21" ht="7" customHeight="1" x14ac:dyDescent="0.4">
      <c r="A199" s="22">
        <v>199</v>
      </c>
      <c r="B199" s="45" t="s">
        <v>224</v>
      </c>
      <c r="C199" s="40" t="s">
        <v>421</v>
      </c>
      <c r="D199" s="41" t="s">
        <v>559</v>
      </c>
      <c r="E199" s="43" t="s">
        <v>558</v>
      </c>
      <c r="F199" s="41" t="s">
        <v>496</v>
      </c>
      <c r="G199" s="43" t="s">
        <v>539</v>
      </c>
      <c r="H199" s="38" t="s">
        <v>385</v>
      </c>
      <c r="I199" s="37" t="s">
        <v>389</v>
      </c>
      <c r="J199" s="31" t="s">
        <v>1</v>
      </c>
      <c r="K199" s="23" t="s">
        <v>1</v>
      </c>
      <c r="L199" s="31" t="s">
        <v>692</v>
      </c>
      <c r="M199" s="35" t="s">
        <v>506</v>
      </c>
      <c r="N199" s="31" t="s">
        <v>386</v>
      </c>
      <c r="O199" s="23" t="s">
        <v>355</v>
      </c>
      <c r="P199" s="31" t="s">
        <v>640</v>
      </c>
      <c r="Q199" s="23" t="s">
        <v>642</v>
      </c>
      <c r="R199" s="31" t="s">
        <v>689</v>
      </c>
      <c r="S199" s="23" t="s">
        <v>691</v>
      </c>
      <c r="T199" s="31" t="s">
        <v>641</v>
      </c>
      <c r="U199" s="23" t="s">
        <v>643</v>
      </c>
    </row>
    <row r="200" spans="1:21" ht="7" customHeight="1" x14ac:dyDescent="0.4">
      <c r="A200" s="22">
        <v>200</v>
      </c>
      <c r="B200" s="45" t="s">
        <v>225</v>
      </c>
      <c r="C200" s="40" t="s">
        <v>421</v>
      </c>
      <c r="D200" s="41" t="s">
        <v>559</v>
      </c>
      <c r="E200" s="43" t="s">
        <v>558</v>
      </c>
      <c r="F200" s="41" t="s">
        <v>496</v>
      </c>
      <c r="G200" s="43" t="s">
        <v>539</v>
      </c>
      <c r="H200" s="38" t="s">
        <v>385</v>
      </c>
      <c r="I200" s="37" t="s">
        <v>389</v>
      </c>
      <c r="J200" s="31" t="s">
        <v>1</v>
      </c>
      <c r="K200" s="23" t="s">
        <v>1</v>
      </c>
      <c r="L200" s="31" t="s">
        <v>692</v>
      </c>
      <c r="M200" s="35" t="s">
        <v>513</v>
      </c>
      <c r="N200" s="31" t="s">
        <v>386</v>
      </c>
      <c r="O200" s="23" t="s">
        <v>356</v>
      </c>
      <c r="P200" s="31" t="s">
        <v>640</v>
      </c>
      <c r="Q200" s="23" t="s">
        <v>642</v>
      </c>
      <c r="R200" s="31" t="s">
        <v>689</v>
      </c>
      <c r="S200" s="23" t="s">
        <v>691</v>
      </c>
      <c r="T200" s="31" t="s">
        <v>641</v>
      </c>
      <c r="U200" s="23" t="s">
        <v>643</v>
      </c>
    </row>
    <row r="201" spans="1:21" ht="7" customHeight="1" x14ac:dyDescent="0.4">
      <c r="A201" s="22">
        <v>201</v>
      </c>
      <c r="B201" s="45" t="s">
        <v>226</v>
      </c>
      <c r="C201" s="40" t="s">
        <v>421</v>
      </c>
      <c r="D201" s="41" t="s">
        <v>559</v>
      </c>
      <c r="E201" s="43" t="s">
        <v>558</v>
      </c>
      <c r="F201" s="41" t="s">
        <v>496</v>
      </c>
      <c r="G201" s="43" t="s">
        <v>539</v>
      </c>
      <c r="H201" s="38" t="s">
        <v>385</v>
      </c>
      <c r="I201" s="37" t="s">
        <v>389</v>
      </c>
      <c r="J201" s="31" t="s">
        <v>1</v>
      </c>
      <c r="K201" s="23" t="s">
        <v>1</v>
      </c>
      <c r="L201" s="31" t="s">
        <v>692</v>
      </c>
      <c r="M201" s="35" t="s">
        <v>506</v>
      </c>
      <c r="N201" s="31" t="s">
        <v>386</v>
      </c>
      <c r="O201" s="23" t="s">
        <v>357</v>
      </c>
      <c r="P201" s="31" t="s">
        <v>640</v>
      </c>
      <c r="Q201" s="23" t="s">
        <v>642</v>
      </c>
      <c r="R201" s="31" t="s">
        <v>689</v>
      </c>
      <c r="S201" s="23" t="s">
        <v>691</v>
      </c>
      <c r="T201" s="31" t="s">
        <v>641</v>
      </c>
      <c r="U201" s="23" t="s">
        <v>643</v>
      </c>
    </row>
    <row r="202" spans="1:21" ht="7" customHeight="1" x14ac:dyDescent="0.4">
      <c r="A202" s="22">
        <v>202</v>
      </c>
      <c r="B202" s="45" t="s">
        <v>227</v>
      </c>
      <c r="C202" s="40" t="s">
        <v>421</v>
      </c>
      <c r="D202" s="41" t="s">
        <v>559</v>
      </c>
      <c r="E202" s="43" t="s">
        <v>558</v>
      </c>
      <c r="F202" s="41" t="s">
        <v>496</v>
      </c>
      <c r="G202" s="43" t="s">
        <v>539</v>
      </c>
      <c r="H202" s="38" t="s">
        <v>385</v>
      </c>
      <c r="I202" s="37" t="s">
        <v>389</v>
      </c>
      <c r="J202" s="31" t="s">
        <v>1</v>
      </c>
      <c r="K202" s="23" t="s">
        <v>1</v>
      </c>
      <c r="L202" s="31" t="s">
        <v>692</v>
      </c>
      <c r="M202" s="35" t="s">
        <v>506</v>
      </c>
      <c r="N202" s="31" t="s">
        <v>386</v>
      </c>
      <c r="O202" s="23" t="s">
        <v>570</v>
      </c>
      <c r="P202" s="31" t="s">
        <v>640</v>
      </c>
      <c r="Q202" s="23" t="s">
        <v>642</v>
      </c>
      <c r="R202" s="31" t="s">
        <v>689</v>
      </c>
      <c r="S202" s="23" t="s">
        <v>691</v>
      </c>
      <c r="T202" s="31" t="s">
        <v>641</v>
      </c>
      <c r="U202" s="23" t="s">
        <v>643</v>
      </c>
    </row>
    <row r="203" spans="1:21" ht="7" customHeight="1" x14ac:dyDescent="0.4">
      <c r="A203" s="22">
        <v>203</v>
      </c>
      <c r="B203" s="45" t="s">
        <v>228</v>
      </c>
      <c r="C203" s="40" t="s">
        <v>421</v>
      </c>
      <c r="D203" s="41" t="s">
        <v>559</v>
      </c>
      <c r="E203" s="43" t="s">
        <v>558</v>
      </c>
      <c r="F203" s="41" t="s">
        <v>496</v>
      </c>
      <c r="G203" s="43" t="s">
        <v>539</v>
      </c>
      <c r="H203" s="38" t="s">
        <v>385</v>
      </c>
      <c r="I203" s="37" t="s">
        <v>389</v>
      </c>
      <c r="J203" s="31" t="s">
        <v>1</v>
      </c>
      <c r="K203" s="23" t="s">
        <v>1</v>
      </c>
      <c r="L203" s="31" t="s">
        <v>692</v>
      </c>
      <c r="M203" s="35" t="s">
        <v>506</v>
      </c>
      <c r="N203" s="31" t="s">
        <v>386</v>
      </c>
      <c r="O203" s="23" t="s">
        <v>592</v>
      </c>
      <c r="P203" s="31" t="s">
        <v>640</v>
      </c>
      <c r="Q203" s="23" t="s">
        <v>642</v>
      </c>
      <c r="R203" s="31" t="s">
        <v>689</v>
      </c>
      <c r="S203" s="23" t="s">
        <v>691</v>
      </c>
      <c r="T203" s="31" t="s">
        <v>641</v>
      </c>
      <c r="U203" s="23" t="s">
        <v>643</v>
      </c>
    </row>
    <row r="204" spans="1:21" ht="7" customHeight="1" x14ac:dyDescent="0.4">
      <c r="A204" s="22">
        <v>204</v>
      </c>
      <c r="B204" s="45" t="s">
        <v>229</v>
      </c>
      <c r="C204" s="40" t="s">
        <v>421</v>
      </c>
      <c r="D204" s="41" t="s">
        <v>559</v>
      </c>
      <c r="E204" s="43" t="s">
        <v>558</v>
      </c>
      <c r="F204" s="41" t="s">
        <v>496</v>
      </c>
      <c r="G204" s="43" t="s">
        <v>539</v>
      </c>
      <c r="H204" s="38" t="s">
        <v>385</v>
      </c>
      <c r="I204" s="37" t="s">
        <v>389</v>
      </c>
      <c r="J204" s="31" t="s">
        <v>1</v>
      </c>
      <c r="K204" s="23" t="s">
        <v>1</v>
      </c>
      <c r="L204" s="31" t="s">
        <v>692</v>
      </c>
      <c r="M204" s="35" t="s">
        <v>513</v>
      </c>
      <c r="N204" s="31" t="s">
        <v>386</v>
      </c>
      <c r="O204" s="23" t="s">
        <v>358</v>
      </c>
      <c r="P204" s="31" t="s">
        <v>640</v>
      </c>
      <c r="Q204" s="23" t="s">
        <v>642</v>
      </c>
      <c r="R204" s="31" t="s">
        <v>689</v>
      </c>
      <c r="S204" s="23" t="s">
        <v>691</v>
      </c>
      <c r="T204" s="31" t="s">
        <v>641</v>
      </c>
      <c r="U204" s="23" t="s">
        <v>643</v>
      </c>
    </row>
    <row r="205" spans="1:21" ht="7" customHeight="1" x14ac:dyDescent="0.4">
      <c r="A205" s="22">
        <v>205</v>
      </c>
      <c r="B205" s="45" t="s">
        <v>230</v>
      </c>
      <c r="C205" s="40" t="s">
        <v>418</v>
      </c>
      <c r="D205" s="41" t="s">
        <v>559</v>
      </c>
      <c r="E205" s="43" t="s">
        <v>558</v>
      </c>
      <c r="F205" s="41" t="s">
        <v>496</v>
      </c>
      <c r="G205" s="43" t="s">
        <v>539</v>
      </c>
      <c r="H205" s="38" t="s">
        <v>385</v>
      </c>
      <c r="I205" s="37" t="s">
        <v>389</v>
      </c>
      <c r="J205" s="31" t="s">
        <v>1</v>
      </c>
      <c r="K205" s="23" t="s">
        <v>1</v>
      </c>
      <c r="L205" s="31" t="s">
        <v>692</v>
      </c>
      <c r="M205" s="35" t="s">
        <v>501</v>
      </c>
      <c r="N205" s="31" t="s">
        <v>386</v>
      </c>
      <c r="O205" s="23" t="s">
        <v>359</v>
      </c>
      <c r="P205" s="31" t="s">
        <v>640</v>
      </c>
      <c r="Q205" s="23" t="s">
        <v>642</v>
      </c>
      <c r="R205" s="31" t="s">
        <v>689</v>
      </c>
      <c r="S205" s="23" t="s">
        <v>691</v>
      </c>
      <c r="T205" s="31" t="s">
        <v>641</v>
      </c>
      <c r="U205" s="23" t="s">
        <v>643</v>
      </c>
    </row>
    <row r="206" spans="1:21" ht="7" customHeight="1" x14ac:dyDescent="0.4">
      <c r="A206" s="22">
        <v>206</v>
      </c>
      <c r="B206" s="45" t="s">
        <v>231</v>
      </c>
      <c r="C206" s="40" t="s">
        <v>421</v>
      </c>
      <c r="D206" s="41" t="s">
        <v>559</v>
      </c>
      <c r="E206" s="43" t="s">
        <v>558</v>
      </c>
      <c r="F206" s="41" t="s">
        <v>496</v>
      </c>
      <c r="G206" s="43" t="s">
        <v>539</v>
      </c>
      <c r="H206" s="38" t="s">
        <v>385</v>
      </c>
      <c r="I206" s="37" t="s">
        <v>389</v>
      </c>
      <c r="J206" s="31" t="s">
        <v>1</v>
      </c>
      <c r="K206" s="23" t="s">
        <v>1</v>
      </c>
      <c r="L206" s="31" t="s">
        <v>692</v>
      </c>
      <c r="M206" s="35" t="s">
        <v>506</v>
      </c>
      <c r="N206" s="31" t="s">
        <v>386</v>
      </c>
      <c r="O206" s="23" t="s">
        <v>360</v>
      </c>
      <c r="P206" s="31" t="s">
        <v>640</v>
      </c>
      <c r="Q206" s="23" t="s">
        <v>642</v>
      </c>
      <c r="R206" s="31" t="s">
        <v>689</v>
      </c>
      <c r="S206" s="23" t="s">
        <v>691</v>
      </c>
      <c r="T206" s="31" t="s">
        <v>641</v>
      </c>
      <c r="U206" s="23" t="s">
        <v>643</v>
      </c>
    </row>
    <row r="207" spans="1:21" ht="7" customHeight="1" x14ac:dyDescent="0.4">
      <c r="A207" s="22">
        <v>207</v>
      </c>
      <c r="B207" s="45" t="s">
        <v>232</v>
      </c>
      <c r="C207" s="40" t="s">
        <v>417</v>
      </c>
      <c r="D207" s="41" t="s">
        <v>559</v>
      </c>
      <c r="E207" s="43" t="s">
        <v>558</v>
      </c>
      <c r="F207" s="41" t="s">
        <v>496</v>
      </c>
      <c r="G207" s="43" t="s">
        <v>539</v>
      </c>
      <c r="H207" s="38" t="s">
        <v>385</v>
      </c>
      <c r="I207" s="37" t="s">
        <v>389</v>
      </c>
      <c r="J207" s="31" t="s">
        <v>1</v>
      </c>
      <c r="K207" s="23" t="s">
        <v>1</v>
      </c>
      <c r="L207" s="31" t="s">
        <v>692</v>
      </c>
      <c r="M207" s="35" t="s">
        <v>499</v>
      </c>
      <c r="N207" s="31" t="s">
        <v>386</v>
      </c>
      <c r="O207" s="23" t="s">
        <v>274</v>
      </c>
      <c r="P207" s="31" t="s">
        <v>640</v>
      </c>
      <c r="Q207" s="23" t="s">
        <v>642</v>
      </c>
      <c r="R207" s="31" t="s">
        <v>689</v>
      </c>
      <c r="S207" s="23" t="s">
        <v>691</v>
      </c>
      <c r="T207" s="31" t="s">
        <v>641</v>
      </c>
      <c r="U207" s="23" t="s">
        <v>643</v>
      </c>
    </row>
    <row r="208" spans="1:21" ht="7" customHeight="1" x14ac:dyDescent="0.4">
      <c r="A208" s="22">
        <v>208</v>
      </c>
      <c r="B208" s="45" t="s">
        <v>233</v>
      </c>
      <c r="C208" s="40" t="s">
        <v>421</v>
      </c>
      <c r="D208" s="41" t="s">
        <v>559</v>
      </c>
      <c r="E208" s="43" t="s">
        <v>558</v>
      </c>
      <c r="F208" s="41" t="s">
        <v>496</v>
      </c>
      <c r="G208" s="43" t="s">
        <v>539</v>
      </c>
      <c r="H208" s="38" t="s">
        <v>385</v>
      </c>
      <c r="I208" s="37" t="s">
        <v>389</v>
      </c>
      <c r="J208" s="31" t="s">
        <v>1</v>
      </c>
      <c r="K208" s="23" t="s">
        <v>1</v>
      </c>
      <c r="L208" s="31" t="s">
        <v>692</v>
      </c>
      <c r="M208" s="35" t="s">
        <v>506</v>
      </c>
      <c r="N208" s="31" t="s">
        <v>386</v>
      </c>
      <c r="O208" s="23" t="s">
        <v>361</v>
      </c>
      <c r="P208" s="31" t="s">
        <v>640</v>
      </c>
      <c r="Q208" s="23" t="s">
        <v>642</v>
      </c>
      <c r="R208" s="31" t="s">
        <v>689</v>
      </c>
      <c r="S208" s="23" t="s">
        <v>691</v>
      </c>
      <c r="T208" s="31" t="s">
        <v>641</v>
      </c>
      <c r="U208" s="23" t="s">
        <v>643</v>
      </c>
    </row>
    <row r="209" spans="1:21" ht="7" customHeight="1" x14ac:dyDescent="0.4">
      <c r="A209" s="22">
        <v>209</v>
      </c>
      <c r="B209" s="45" t="s">
        <v>234</v>
      </c>
      <c r="C209" s="40" t="s">
        <v>416</v>
      </c>
      <c r="D209" s="41" t="s">
        <v>559</v>
      </c>
      <c r="E209" s="43" t="s">
        <v>558</v>
      </c>
      <c r="F209" s="41" t="s">
        <v>496</v>
      </c>
      <c r="G209" s="43" t="s">
        <v>539</v>
      </c>
      <c r="H209" s="38" t="s">
        <v>385</v>
      </c>
      <c r="I209" s="37" t="s">
        <v>389</v>
      </c>
      <c r="J209" s="31" t="s">
        <v>1</v>
      </c>
      <c r="K209" s="23" t="s">
        <v>1</v>
      </c>
      <c r="L209" s="31" t="s">
        <v>692</v>
      </c>
      <c r="M209" s="35" t="s">
        <v>503</v>
      </c>
      <c r="N209" s="31" t="s">
        <v>386</v>
      </c>
      <c r="O209" s="23" t="s">
        <v>278</v>
      </c>
      <c r="P209" s="31" t="s">
        <v>640</v>
      </c>
      <c r="Q209" s="23" t="s">
        <v>642</v>
      </c>
      <c r="R209" s="31" t="s">
        <v>689</v>
      </c>
      <c r="S209" s="23" t="s">
        <v>691</v>
      </c>
      <c r="T209" s="31" t="s">
        <v>641</v>
      </c>
      <c r="U209" s="23" t="s">
        <v>643</v>
      </c>
    </row>
    <row r="210" spans="1:21" ht="7" customHeight="1" x14ac:dyDescent="0.4">
      <c r="A210" s="22">
        <v>210</v>
      </c>
      <c r="B210" s="45" t="s">
        <v>235</v>
      </c>
      <c r="C210" s="40" t="s">
        <v>418</v>
      </c>
      <c r="D210" s="41" t="s">
        <v>559</v>
      </c>
      <c r="E210" s="43" t="s">
        <v>558</v>
      </c>
      <c r="F210" s="41" t="s">
        <v>496</v>
      </c>
      <c r="G210" s="43" t="s">
        <v>544</v>
      </c>
      <c r="H210" s="38" t="s">
        <v>385</v>
      </c>
      <c r="I210" s="37" t="s">
        <v>388</v>
      </c>
      <c r="J210" s="31" t="s">
        <v>1</v>
      </c>
      <c r="K210" s="23" t="s">
        <v>1</v>
      </c>
      <c r="L210" s="31" t="s">
        <v>692</v>
      </c>
      <c r="M210" s="35" t="s">
        <v>501</v>
      </c>
      <c r="N210" s="31" t="s">
        <v>386</v>
      </c>
      <c r="O210" s="23" t="s">
        <v>362</v>
      </c>
      <c r="P210" s="31" t="s">
        <v>640</v>
      </c>
      <c r="Q210" s="23" t="s">
        <v>642</v>
      </c>
      <c r="R210" s="31" t="s">
        <v>689</v>
      </c>
      <c r="S210" s="23" t="s">
        <v>691</v>
      </c>
      <c r="T210" s="31" t="s">
        <v>641</v>
      </c>
      <c r="U210" s="23" t="s">
        <v>643</v>
      </c>
    </row>
    <row r="211" spans="1:21" ht="7" customHeight="1" x14ac:dyDescent="0.4">
      <c r="A211" s="22">
        <v>211</v>
      </c>
      <c r="B211" s="45" t="s">
        <v>236</v>
      </c>
      <c r="C211" s="40" t="s">
        <v>421</v>
      </c>
      <c r="D211" s="41" t="s">
        <v>559</v>
      </c>
      <c r="E211" s="43" t="s">
        <v>558</v>
      </c>
      <c r="F211" s="41" t="s">
        <v>496</v>
      </c>
      <c r="G211" s="43" t="s">
        <v>544</v>
      </c>
      <c r="H211" s="38" t="s">
        <v>385</v>
      </c>
      <c r="I211" s="37" t="s">
        <v>388</v>
      </c>
      <c r="J211" s="31" t="s">
        <v>1</v>
      </c>
      <c r="K211" s="23" t="s">
        <v>1</v>
      </c>
      <c r="L211" s="31" t="s">
        <v>692</v>
      </c>
      <c r="M211" s="35" t="s">
        <v>506</v>
      </c>
      <c r="N211" s="31" t="s">
        <v>386</v>
      </c>
      <c r="O211" s="23" t="s">
        <v>363</v>
      </c>
      <c r="P211" s="31" t="s">
        <v>640</v>
      </c>
      <c r="Q211" s="23" t="s">
        <v>642</v>
      </c>
      <c r="R211" s="31" t="s">
        <v>689</v>
      </c>
      <c r="S211" s="23" t="s">
        <v>691</v>
      </c>
      <c r="T211" s="31" t="s">
        <v>641</v>
      </c>
      <c r="U211" s="23" t="s">
        <v>643</v>
      </c>
    </row>
    <row r="212" spans="1:21" ht="7" customHeight="1" x14ac:dyDescent="0.4">
      <c r="A212" s="22">
        <v>212</v>
      </c>
      <c r="B212" s="45" t="s">
        <v>237</v>
      </c>
      <c r="C212" s="40" t="s">
        <v>415</v>
      </c>
      <c r="D212" s="41" t="s">
        <v>559</v>
      </c>
      <c r="E212" s="43" t="s">
        <v>558</v>
      </c>
      <c r="F212" s="41" t="s">
        <v>496</v>
      </c>
      <c r="G212" s="43" t="s">
        <v>544</v>
      </c>
      <c r="H212" s="38" t="s">
        <v>385</v>
      </c>
      <c r="I212" s="37" t="s">
        <v>388</v>
      </c>
      <c r="J212" s="31" t="s">
        <v>1</v>
      </c>
      <c r="K212" s="23" t="s">
        <v>1</v>
      </c>
      <c r="L212" s="31" t="s">
        <v>692</v>
      </c>
      <c r="M212" s="35" t="s">
        <v>498</v>
      </c>
      <c r="N212" s="31" t="s">
        <v>386</v>
      </c>
      <c r="O212" s="23" t="s">
        <v>364</v>
      </c>
      <c r="P212" s="31" t="s">
        <v>640</v>
      </c>
      <c r="Q212" s="23" t="s">
        <v>642</v>
      </c>
      <c r="R212" s="31" t="s">
        <v>689</v>
      </c>
      <c r="S212" s="23" t="s">
        <v>691</v>
      </c>
      <c r="T212" s="31" t="s">
        <v>641</v>
      </c>
      <c r="U212" s="23" t="s">
        <v>643</v>
      </c>
    </row>
    <row r="213" spans="1:21" ht="7" customHeight="1" x14ac:dyDescent="0.4">
      <c r="A213" s="22">
        <v>213</v>
      </c>
      <c r="B213" s="45" t="s">
        <v>238</v>
      </c>
      <c r="C213" s="40" t="s">
        <v>418</v>
      </c>
      <c r="D213" s="41" t="s">
        <v>559</v>
      </c>
      <c r="E213" s="43" t="s">
        <v>558</v>
      </c>
      <c r="F213" s="41" t="s">
        <v>496</v>
      </c>
      <c r="G213" s="43" t="s">
        <v>544</v>
      </c>
      <c r="H213" s="38" t="s">
        <v>385</v>
      </c>
      <c r="I213" s="37" t="s">
        <v>388</v>
      </c>
      <c r="J213" s="31" t="s">
        <v>1</v>
      </c>
      <c r="K213" s="23" t="s">
        <v>1</v>
      </c>
      <c r="L213" s="31" t="s">
        <v>692</v>
      </c>
      <c r="M213" s="35" t="s">
        <v>501</v>
      </c>
      <c r="N213" s="31" t="s">
        <v>386</v>
      </c>
      <c r="O213" s="23" t="s">
        <v>365</v>
      </c>
      <c r="P213" s="31" t="s">
        <v>640</v>
      </c>
      <c r="Q213" s="23" t="s">
        <v>642</v>
      </c>
      <c r="R213" s="31" t="s">
        <v>689</v>
      </c>
      <c r="S213" s="23" t="s">
        <v>691</v>
      </c>
      <c r="T213" s="31" t="s">
        <v>641</v>
      </c>
      <c r="U213" s="23" t="s">
        <v>643</v>
      </c>
    </row>
    <row r="214" spans="1:21" ht="7" customHeight="1" x14ac:dyDescent="0.4">
      <c r="A214" s="22">
        <v>214</v>
      </c>
      <c r="B214" s="45" t="s">
        <v>239</v>
      </c>
      <c r="C214" s="40" t="s">
        <v>421</v>
      </c>
      <c r="D214" s="41" t="s">
        <v>559</v>
      </c>
      <c r="E214" s="43" t="s">
        <v>558</v>
      </c>
      <c r="F214" s="41" t="s">
        <v>496</v>
      </c>
      <c r="G214" s="43" t="s">
        <v>544</v>
      </c>
      <c r="H214" s="38" t="s">
        <v>385</v>
      </c>
      <c r="I214" s="37" t="s">
        <v>388</v>
      </c>
      <c r="J214" s="31" t="s">
        <v>1</v>
      </c>
      <c r="K214" s="23" t="s">
        <v>1</v>
      </c>
      <c r="L214" s="31" t="s">
        <v>692</v>
      </c>
      <c r="M214" s="35" t="s">
        <v>506</v>
      </c>
      <c r="N214" s="31" t="s">
        <v>386</v>
      </c>
      <c r="O214" s="23" t="s">
        <v>366</v>
      </c>
      <c r="P214" s="31" t="s">
        <v>640</v>
      </c>
      <c r="Q214" s="23" t="s">
        <v>642</v>
      </c>
      <c r="R214" s="31" t="s">
        <v>689</v>
      </c>
      <c r="S214" s="23" t="s">
        <v>691</v>
      </c>
      <c r="T214" s="31" t="s">
        <v>641</v>
      </c>
      <c r="U214" s="23" t="s">
        <v>643</v>
      </c>
    </row>
    <row r="215" spans="1:21" ht="7" customHeight="1" x14ac:dyDescent="0.4">
      <c r="A215" s="22">
        <v>215</v>
      </c>
      <c r="B215" s="45" t="s">
        <v>240</v>
      </c>
      <c r="C215" s="40" t="s">
        <v>421</v>
      </c>
      <c r="D215" s="41" t="s">
        <v>559</v>
      </c>
      <c r="E215" s="43" t="s">
        <v>558</v>
      </c>
      <c r="F215" s="41" t="s">
        <v>496</v>
      </c>
      <c r="G215" s="43" t="s">
        <v>544</v>
      </c>
      <c r="H215" s="38" t="s">
        <v>385</v>
      </c>
      <c r="I215" s="37" t="s">
        <v>388</v>
      </c>
      <c r="J215" s="31" t="s">
        <v>1</v>
      </c>
      <c r="K215" s="23" t="s">
        <v>1</v>
      </c>
      <c r="L215" s="31" t="s">
        <v>692</v>
      </c>
      <c r="M215" s="35" t="s">
        <v>506</v>
      </c>
      <c r="N215" s="31" t="s">
        <v>386</v>
      </c>
      <c r="O215" s="23" t="s">
        <v>367</v>
      </c>
      <c r="P215" s="31" t="s">
        <v>640</v>
      </c>
      <c r="Q215" s="23" t="s">
        <v>642</v>
      </c>
      <c r="R215" s="31" t="s">
        <v>689</v>
      </c>
      <c r="S215" s="23" t="s">
        <v>691</v>
      </c>
      <c r="T215" s="31" t="s">
        <v>641</v>
      </c>
      <c r="U215" s="23" t="s">
        <v>643</v>
      </c>
    </row>
    <row r="216" spans="1:21" ht="7" customHeight="1" x14ac:dyDescent="0.4">
      <c r="A216" s="22">
        <v>216</v>
      </c>
      <c r="B216" s="45" t="s">
        <v>241</v>
      </c>
      <c r="C216" s="40" t="s">
        <v>421</v>
      </c>
      <c r="D216" s="41" t="s">
        <v>559</v>
      </c>
      <c r="E216" s="43" t="s">
        <v>558</v>
      </c>
      <c r="F216" s="41" t="s">
        <v>496</v>
      </c>
      <c r="G216" s="43" t="s">
        <v>544</v>
      </c>
      <c r="H216" s="38" t="s">
        <v>385</v>
      </c>
      <c r="I216" s="37" t="s">
        <v>388</v>
      </c>
      <c r="J216" s="31" t="s">
        <v>1</v>
      </c>
      <c r="K216" s="23" t="s">
        <v>1</v>
      </c>
      <c r="L216" s="31" t="s">
        <v>692</v>
      </c>
      <c r="M216" s="35" t="s">
        <v>506</v>
      </c>
      <c r="N216" s="31" t="s">
        <v>386</v>
      </c>
      <c r="O216" s="23" t="s">
        <v>368</v>
      </c>
      <c r="P216" s="31" t="s">
        <v>640</v>
      </c>
      <c r="Q216" s="23" t="s">
        <v>642</v>
      </c>
      <c r="R216" s="31" t="s">
        <v>689</v>
      </c>
      <c r="S216" s="23" t="s">
        <v>691</v>
      </c>
      <c r="T216" s="31" t="s">
        <v>641</v>
      </c>
      <c r="U216" s="23" t="s">
        <v>643</v>
      </c>
    </row>
    <row r="217" spans="1:21" ht="7" customHeight="1" x14ac:dyDescent="0.4">
      <c r="A217" s="22">
        <v>217</v>
      </c>
      <c r="B217" s="45" t="s">
        <v>242</v>
      </c>
      <c r="C217" s="40" t="s">
        <v>421</v>
      </c>
      <c r="D217" s="41" t="s">
        <v>559</v>
      </c>
      <c r="E217" s="43" t="s">
        <v>558</v>
      </c>
      <c r="F217" s="41" t="s">
        <v>496</v>
      </c>
      <c r="G217" s="43" t="s">
        <v>544</v>
      </c>
      <c r="H217" s="38" t="s">
        <v>385</v>
      </c>
      <c r="I217" s="37" t="s">
        <v>388</v>
      </c>
      <c r="J217" s="31" t="s">
        <v>1</v>
      </c>
      <c r="K217" s="23" t="s">
        <v>1</v>
      </c>
      <c r="L217" s="31" t="s">
        <v>692</v>
      </c>
      <c r="M217" s="35" t="s">
        <v>506</v>
      </c>
      <c r="N217" s="31" t="s">
        <v>386</v>
      </c>
      <c r="O217" s="23" t="s">
        <v>369</v>
      </c>
      <c r="P217" s="31" t="s">
        <v>640</v>
      </c>
      <c r="Q217" s="23" t="s">
        <v>642</v>
      </c>
      <c r="R217" s="31" t="s">
        <v>689</v>
      </c>
      <c r="S217" s="23" t="s">
        <v>691</v>
      </c>
      <c r="T217" s="31" t="s">
        <v>641</v>
      </c>
      <c r="U217" s="23" t="s">
        <v>643</v>
      </c>
    </row>
    <row r="218" spans="1:21" ht="7" customHeight="1" x14ac:dyDescent="0.4">
      <c r="A218" s="22">
        <v>218</v>
      </c>
      <c r="B218" s="45" t="s">
        <v>243</v>
      </c>
      <c r="C218" s="40" t="s">
        <v>415</v>
      </c>
      <c r="D218" s="41" t="s">
        <v>559</v>
      </c>
      <c r="E218" s="43" t="s">
        <v>558</v>
      </c>
      <c r="F218" s="41" t="s">
        <v>496</v>
      </c>
      <c r="G218" s="43" t="s">
        <v>548</v>
      </c>
      <c r="H218" s="38" t="s">
        <v>385</v>
      </c>
      <c r="I218" s="37" t="s">
        <v>387</v>
      </c>
      <c r="J218" s="31" t="s">
        <v>1</v>
      </c>
      <c r="K218" s="23" t="s">
        <v>1</v>
      </c>
      <c r="L218" s="31" t="s">
        <v>692</v>
      </c>
      <c r="M218" s="35" t="s">
        <v>498</v>
      </c>
      <c r="N218" s="31" t="s">
        <v>386</v>
      </c>
      <c r="O218" s="23" t="s">
        <v>370</v>
      </c>
      <c r="P218" s="31" t="s">
        <v>640</v>
      </c>
      <c r="Q218" s="23" t="s">
        <v>642</v>
      </c>
      <c r="R218" s="31" t="s">
        <v>689</v>
      </c>
      <c r="S218" s="23" t="s">
        <v>691</v>
      </c>
      <c r="T218" s="31" t="s">
        <v>641</v>
      </c>
      <c r="U218" s="23" t="s">
        <v>643</v>
      </c>
    </row>
    <row r="219" spans="1:21" ht="7" customHeight="1" x14ac:dyDescent="0.4">
      <c r="A219" s="22">
        <v>219</v>
      </c>
      <c r="B219" s="45" t="s">
        <v>244</v>
      </c>
      <c r="C219" s="40" t="s">
        <v>421</v>
      </c>
      <c r="D219" s="41" t="s">
        <v>559</v>
      </c>
      <c r="E219" s="43" t="s">
        <v>558</v>
      </c>
      <c r="F219" s="41" t="s">
        <v>496</v>
      </c>
      <c r="G219" s="43" t="s">
        <v>548</v>
      </c>
      <c r="H219" s="38" t="s">
        <v>385</v>
      </c>
      <c r="I219" s="37" t="s">
        <v>387</v>
      </c>
      <c r="J219" s="31" t="s">
        <v>1</v>
      </c>
      <c r="K219" s="23" t="s">
        <v>1</v>
      </c>
      <c r="L219" s="31" t="s">
        <v>692</v>
      </c>
      <c r="M219" s="35" t="s">
        <v>506</v>
      </c>
      <c r="N219" s="31" t="s">
        <v>386</v>
      </c>
      <c r="O219" s="23" t="s">
        <v>360</v>
      </c>
      <c r="P219" s="31" t="s">
        <v>640</v>
      </c>
      <c r="Q219" s="23" t="s">
        <v>642</v>
      </c>
      <c r="R219" s="31" t="s">
        <v>689</v>
      </c>
      <c r="S219" s="23" t="s">
        <v>691</v>
      </c>
      <c r="T219" s="31" t="s">
        <v>641</v>
      </c>
      <c r="U219" s="23" t="s">
        <v>643</v>
      </c>
    </row>
    <row r="220" spans="1:21" ht="7" customHeight="1" x14ac:dyDescent="0.4">
      <c r="A220" s="22">
        <v>220</v>
      </c>
      <c r="B220" s="45" t="s">
        <v>245</v>
      </c>
      <c r="C220" s="40" t="s">
        <v>399</v>
      </c>
      <c r="D220" s="41" t="s">
        <v>559</v>
      </c>
      <c r="E220" s="43" t="s">
        <v>558</v>
      </c>
      <c r="F220" s="41" t="s">
        <v>496</v>
      </c>
      <c r="G220" s="43" t="s">
        <v>548</v>
      </c>
      <c r="H220" s="38" t="s">
        <v>385</v>
      </c>
      <c r="I220" s="37" t="s">
        <v>387</v>
      </c>
      <c r="J220" s="31" t="s">
        <v>1</v>
      </c>
      <c r="K220" s="23" t="s">
        <v>1</v>
      </c>
      <c r="L220" s="31" t="s">
        <v>692</v>
      </c>
      <c r="M220" s="35" t="s">
        <v>497</v>
      </c>
      <c r="N220" s="31" t="s">
        <v>386</v>
      </c>
      <c r="O220" s="23" t="s">
        <v>371</v>
      </c>
      <c r="P220" s="31" t="s">
        <v>640</v>
      </c>
      <c r="Q220" s="23" t="s">
        <v>642</v>
      </c>
      <c r="R220" s="31" t="s">
        <v>689</v>
      </c>
      <c r="S220" s="23" t="s">
        <v>691</v>
      </c>
      <c r="T220" s="31" t="s">
        <v>641</v>
      </c>
      <c r="U220" s="23" t="s">
        <v>643</v>
      </c>
    </row>
    <row r="221" spans="1:21" ht="7" customHeight="1" x14ac:dyDescent="0.4">
      <c r="A221" s="22">
        <v>221</v>
      </c>
      <c r="B221" s="45" t="s">
        <v>246</v>
      </c>
      <c r="C221" s="40" t="s">
        <v>421</v>
      </c>
      <c r="D221" s="41" t="s">
        <v>559</v>
      </c>
      <c r="E221" s="43" t="s">
        <v>558</v>
      </c>
      <c r="F221" s="41" t="s">
        <v>496</v>
      </c>
      <c r="G221" s="43" t="s">
        <v>548</v>
      </c>
      <c r="H221" s="38" t="s">
        <v>385</v>
      </c>
      <c r="I221" s="37" t="s">
        <v>387</v>
      </c>
      <c r="J221" s="31" t="s">
        <v>1</v>
      </c>
      <c r="K221" s="23" t="s">
        <v>1</v>
      </c>
      <c r="L221" s="31" t="s">
        <v>692</v>
      </c>
      <c r="M221" s="35" t="s">
        <v>506</v>
      </c>
      <c r="N221" s="31" t="s">
        <v>386</v>
      </c>
      <c r="O221" s="23" t="s">
        <v>372</v>
      </c>
      <c r="P221" s="31" t="s">
        <v>640</v>
      </c>
      <c r="Q221" s="23" t="s">
        <v>642</v>
      </c>
      <c r="R221" s="31" t="s">
        <v>689</v>
      </c>
      <c r="S221" s="23" t="s">
        <v>691</v>
      </c>
      <c r="T221" s="31" t="s">
        <v>641</v>
      </c>
      <c r="U221" s="23" t="s">
        <v>643</v>
      </c>
    </row>
    <row r="222" spans="1:21" ht="7" customHeight="1" x14ac:dyDescent="0.4">
      <c r="A222" s="22">
        <v>222</v>
      </c>
      <c r="B222" s="45" t="s">
        <v>247</v>
      </c>
      <c r="C222" s="40" t="s">
        <v>421</v>
      </c>
      <c r="D222" s="41" t="s">
        <v>559</v>
      </c>
      <c r="E222" s="43" t="s">
        <v>558</v>
      </c>
      <c r="F222" s="41" t="s">
        <v>496</v>
      </c>
      <c r="G222" s="43" t="s">
        <v>548</v>
      </c>
      <c r="H222" s="38" t="s">
        <v>385</v>
      </c>
      <c r="I222" s="37" t="s">
        <v>387</v>
      </c>
      <c r="J222" s="31" t="s">
        <v>1</v>
      </c>
      <c r="K222" s="23" t="s">
        <v>1</v>
      </c>
      <c r="L222" s="31" t="s">
        <v>692</v>
      </c>
      <c r="M222" s="35" t="s">
        <v>506</v>
      </c>
      <c r="N222" s="31" t="s">
        <v>386</v>
      </c>
      <c r="O222" s="23" t="s">
        <v>373</v>
      </c>
      <c r="P222" s="31" t="s">
        <v>640</v>
      </c>
      <c r="Q222" s="23" t="s">
        <v>642</v>
      </c>
      <c r="R222" s="31" t="s">
        <v>689</v>
      </c>
      <c r="S222" s="23" t="s">
        <v>691</v>
      </c>
      <c r="T222" s="31" t="s">
        <v>641</v>
      </c>
      <c r="U222" s="23" t="s">
        <v>643</v>
      </c>
    </row>
    <row r="223" spans="1:21" ht="7" customHeight="1" x14ac:dyDescent="0.4">
      <c r="A223" s="22">
        <v>223</v>
      </c>
      <c r="B223" s="45" t="s">
        <v>248</v>
      </c>
      <c r="C223" s="40" t="s">
        <v>418</v>
      </c>
      <c r="D223" s="41" t="s">
        <v>559</v>
      </c>
      <c r="E223" s="43" t="s">
        <v>558</v>
      </c>
      <c r="F223" s="41" t="s">
        <v>496</v>
      </c>
      <c r="G223" s="43" t="s">
        <v>541</v>
      </c>
      <c r="H223" s="38" t="s">
        <v>385</v>
      </c>
      <c r="I223" s="37" t="s">
        <v>387</v>
      </c>
      <c r="J223" s="31" t="s">
        <v>1</v>
      </c>
      <c r="K223" s="23" t="s">
        <v>1</v>
      </c>
      <c r="L223" s="31" t="s">
        <v>692</v>
      </c>
      <c r="M223" s="35" t="s">
        <v>501</v>
      </c>
      <c r="N223" s="31" t="s">
        <v>386</v>
      </c>
      <c r="O223" s="23" t="s">
        <v>374</v>
      </c>
      <c r="P223" s="31" t="s">
        <v>640</v>
      </c>
      <c r="Q223" s="23" t="s">
        <v>642</v>
      </c>
      <c r="R223" s="31" t="s">
        <v>689</v>
      </c>
      <c r="S223" s="23" t="s">
        <v>691</v>
      </c>
      <c r="T223" s="31" t="s">
        <v>641</v>
      </c>
      <c r="U223" s="23" t="s">
        <v>643</v>
      </c>
    </row>
    <row r="224" spans="1:21" ht="7" customHeight="1" x14ac:dyDescent="0.4">
      <c r="A224" s="22">
        <v>224</v>
      </c>
      <c r="B224" s="45" t="s">
        <v>249</v>
      </c>
      <c r="C224" s="40" t="s">
        <v>418</v>
      </c>
      <c r="D224" s="41" t="s">
        <v>559</v>
      </c>
      <c r="E224" s="43" t="s">
        <v>558</v>
      </c>
      <c r="F224" s="41" t="s">
        <v>496</v>
      </c>
      <c r="G224" s="43" t="s">
        <v>541</v>
      </c>
      <c r="H224" s="38" t="s">
        <v>385</v>
      </c>
      <c r="I224" s="37" t="s">
        <v>387</v>
      </c>
      <c r="J224" s="31" t="s">
        <v>1</v>
      </c>
      <c r="K224" s="23" t="s">
        <v>1</v>
      </c>
      <c r="L224" s="31" t="s">
        <v>692</v>
      </c>
      <c r="M224" s="37" t="s">
        <v>501</v>
      </c>
      <c r="N224" s="31" t="s">
        <v>386</v>
      </c>
      <c r="O224" s="23" t="s">
        <v>375</v>
      </c>
      <c r="P224" s="31" t="s">
        <v>640</v>
      </c>
      <c r="Q224" s="23" t="s">
        <v>642</v>
      </c>
      <c r="R224" s="31" t="s">
        <v>689</v>
      </c>
      <c r="S224" s="23" t="s">
        <v>691</v>
      </c>
      <c r="T224" s="31" t="s">
        <v>641</v>
      </c>
      <c r="U224" s="23" t="s">
        <v>643</v>
      </c>
    </row>
    <row r="225" spans="1:21" ht="7" customHeight="1" x14ac:dyDescent="0.4">
      <c r="A225" s="22">
        <v>225</v>
      </c>
      <c r="B225" s="45" t="s">
        <v>250</v>
      </c>
      <c r="C225" s="30" t="s">
        <v>418</v>
      </c>
      <c r="D225" s="41" t="s">
        <v>559</v>
      </c>
      <c r="E225" s="43" t="s">
        <v>558</v>
      </c>
      <c r="F225" s="41" t="s">
        <v>496</v>
      </c>
      <c r="G225" s="43" t="s">
        <v>541</v>
      </c>
      <c r="H225" s="36" t="s">
        <v>385</v>
      </c>
      <c r="I225" s="35" t="s">
        <v>387</v>
      </c>
      <c r="J225" s="31" t="s">
        <v>1</v>
      </c>
      <c r="K225" s="23" t="s">
        <v>1</v>
      </c>
      <c r="L225" s="31" t="s">
        <v>692</v>
      </c>
      <c r="M225" s="35" t="s">
        <v>501</v>
      </c>
      <c r="N225" s="31" t="s">
        <v>386</v>
      </c>
      <c r="O225" s="23" t="s">
        <v>376</v>
      </c>
      <c r="P225" s="31" t="s">
        <v>640</v>
      </c>
      <c r="Q225" s="23" t="s">
        <v>642</v>
      </c>
      <c r="R225" s="31" t="s">
        <v>689</v>
      </c>
      <c r="S225" s="23" t="s">
        <v>691</v>
      </c>
      <c r="T225" s="31" t="s">
        <v>641</v>
      </c>
      <c r="U225" s="23" t="s">
        <v>643</v>
      </c>
    </row>
    <row r="226" spans="1:21" ht="7" customHeight="1" x14ac:dyDescent="0.4">
      <c r="A226" s="22">
        <v>226</v>
      </c>
      <c r="B226" s="45" t="s">
        <v>251</v>
      </c>
      <c r="C226" s="30" t="s">
        <v>418</v>
      </c>
      <c r="D226" s="41" t="s">
        <v>559</v>
      </c>
      <c r="E226" s="43" t="s">
        <v>558</v>
      </c>
      <c r="F226" s="41" t="s">
        <v>496</v>
      </c>
      <c r="G226" s="43" t="s">
        <v>541</v>
      </c>
      <c r="H226" s="36" t="s">
        <v>385</v>
      </c>
      <c r="I226" s="35" t="s">
        <v>387</v>
      </c>
      <c r="J226" s="31" t="s">
        <v>1</v>
      </c>
      <c r="K226" s="23" t="s">
        <v>1</v>
      </c>
      <c r="L226" s="31" t="s">
        <v>692</v>
      </c>
      <c r="M226" s="35" t="s">
        <v>501</v>
      </c>
      <c r="N226" s="31" t="s">
        <v>386</v>
      </c>
      <c r="O226" s="23" t="s">
        <v>377</v>
      </c>
      <c r="P226" s="31" t="s">
        <v>640</v>
      </c>
      <c r="Q226" s="23" t="s">
        <v>642</v>
      </c>
      <c r="R226" s="31" t="s">
        <v>689</v>
      </c>
      <c r="S226" s="23" t="s">
        <v>691</v>
      </c>
      <c r="T226" s="31" t="s">
        <v>641</v>
      </c>
      <c r="U226" s="23" t="s">
        <v>643</v>
      </c>
    </row>
    <row r="227" spans="1:21" ht="7" customHeight="1" x14ac:dyDescent="0.4">
      <c r="A227" s="22">
        <v>227</v>
      </c>
      <c r="B227" s="45" t="s">
        <v>252</v>
      </c>
      <c r="C227" s="30" t="s">
        <v>418</v>
      </c>
      <c r="D227" s="41" t="s">
        <v>559</v>
      </c>
      <c r="E227" s="43" t="s">
        <v>558</v>
      </c>
      <c r="F227" s="41" t="s">
        <v>496</v>
      </c>
      <c r="G227" s="43" t="s">
        <v>541</v>
      </c>
      <c r="H227" s="36" t="s">
        <v>385</v>
      </c>
      <c r="I227" s="35" t="s">
        <v>387</v>
      </c>
      <c r="J227" s="31" t="s">
        <v>1</v>
      </c>
      <c r="K227" s="23" t="s">
        <v>1</v>
      </c>
      <c r="L227" s="31" t="s">
        <v>692</v>
      </c>
      <c r="M227" s="35" t="s">
        <v>501</v>
      </c>
      <c r="N227" s="31" t="s">
        <v>386</v>
      </c>
      <c r="O227" s="23" t="s">
        <v>378</v>
      </c>
      <c r="P227" s="31" t="s">
        <v>640</v>
      </c>
      <c r="Q227" s="23" t="s">
        <v>642</v>
      </c>
      <c r="R227" s="31" t="s">
        <v>689</v>
      </c>
      <c r="S227" s="23" t="s">
        <v>691</v>
      </c>
      <c r="T227" s="31" t="s">
        <v>641</v>
      </c>
      <c r="U227" s="23" t="s">
        <v>643</v>
      </c>
    </row>
    <row r="228" spans="1:21" ht="7" customHeight="1" x14ac:dyDescent="0.4">
      <c r="A228" s="22">
        <v>228</v>
      </c>
      <c r="B228" s="45" t="s">
        <v>253</v>
      </c>
      <c r="C228" s="30" t="s">
        <v>418</v>
      </c>
      <c r="D228" s="41" t="s">
        <v>559</v>
      </c>
      <c r="E228" s="43" t="s">
        <v>558</v>
      </c>
      <c r="F228" s="41" t="s">
        <v>496</v>
      </c>
      <c r="G228" s="43" t="s">
        <v>541</v>
      </c>
      <c r="H228" s="36" t="s">
        <v>385</v>
      </c>
      <c r="I228" s="35" t="s">
        <v>387</v>
      </c>
      <c r="J228" s="31" t="s">
        <v>1</v>
      </c>
      <c r="K228" s="23" t="s">
        <v>1</v>
      </c>
      <c r="L228" s="31" t="s">
        <v>692</v>
      </c>
      <c r="M228" s="35" t="s">
        <v>501</v>
      </c>
      <c r="N228" s="31" t="s">
        <v>386</v>
      </c>
      <c r="O228" s="23" t="s">
        <v>379</v>
      </c>
      <c r="P228" s="31" t="s">
        <v>640</v>
      </c>
      <c r="Q228" s="23" t="s">
        <v>642</v>
      </c>
      <c r="R228" s="31" t="s">
        <v>689</v>
      </c>
      <c r="S228" s="23" t="s">
        <v>691</v>
      </c>
      <c r="T228" s="31" t="s">
        <v>641</v>
      </c>
      <c r="U228" s="23" t="s">
        <v>643</v>
      </c>
    </row>
    <row r="229" spans="1:21" ht="7" customHeight="1" x14ac:dyDescent="0.4">
      <c r="A229" s="22">
        <v>229</v>
      </c>
      <c r="B229" s="45" t="s">
        <v>254</v>
      </c>
      <c r="C229" s="30" t="s">
        <v>418</v>
      </c>
      <c r="D229" s="41" t="s">
        <v>559</v>
      </c>
      <c r="E229" s="43" t="s">
        <v>558</v>
      </c>
      <c r="F229" s="41" t="s">
        <v>496</v>
      </c>
      <c r="G229" s="43" t="s">
        <v>541</v>
      </c>
      <c r="H229" s="36" t="s">
        <v>385</v>
      </c>
      <c r="I229" s="35" t="s">
        <v>387</v>
      </c>
      <c r="J229" s="31" t="s">
        <v>1</v>
      </c>
      <c r="K229" s="23" t="s">
        <v>1</v>
      </c>
      <c r="L229" s="31" t="s">
        <v>692</v>
      </c>
      <c r="M229" s="35" t="s">
        <v>501</v>
      </c>
      <c r="N229" s="31" t="s">
        <v>386</v>
      </c>
      <c r="O229" s="23" t="s">
        <v>380</v>
      </c>
      <c r="P229" s="31" t="s">
        <v>640</v>
      </c>
      <c r="Q229" s="23" t="s">
        <v>642</v>
      </c>
      <c r="R229" s="31" t="s">
        <v>689</v>
      </c>
      <c r="S229" s="23" t="s">
        <v>691</v>
      </c>
      <c r="T229" s="31" t="s">
        <v>641</v>
      </c>
      <c r="U229" s="23" t="s">
        <v>643</v>
      </c>
    </row>
    <row r="230" spans="1:21" ht="7" customHeight="1" x14ac:dyDescent="0.4">
      <c r="A230" s="22">
        <v>230</v>
      </c>
      <c r="B230" s="45" t="s">
        <v>255</v>
      </c>
      <c r="C230" s="30" t="s">
        <v>418</v>
      </c>
      <c r="D230" s="41" t="s">
        <v>559</v>
      </c>
      <c r="E230" s="43" t="s">
        <v>558</v>
      </c>
      <c r="F230" s="41" t="s">
        <v>496</v>
      </c>
      <c r="G230" s="43" t="s">
        <v>541</v>
      </c>
      <c r="H230" s="36" t="s">
        <v>385</v>
      </c>
      <c r="I230" s="35" t="s">
        <v>387</v>
      </c>
      <c r="J230" s="31" t="s">
        <v>1</v>
      </c>
      <c r="K230" s="23" t="s">
        <v>1</v>
      </c>
      <c r="L230" s="31" t="s">
        <v>692</v>
      </c>
      <c r="M230" s="35" t="s">
        <v>501</v>
      </c>
      <c r="N230" s="31" t="s">
        <v>386</v>
      </c>
      <c r="O230" s="23" t="s">
        <v>381</v>
      </c>
      <c r="P230" s="31" t="s">
        <v>640</v>
      </c>
      <c r="Q230" s="23" t="s">
        <v>642</v>
      </c>
      <c r="R230" s="31" t="s">
        <v>689</v>
      </c>
      <c r="S230" s="23" t="s">
        <v>691</v>
      </c>
      <c r="T230" s="31" t="s">
        <v>641</v>
      </c>
      <c r="U230" s="23" t="s">
        <v>643</v>
      </c>
    </row>
    <row r="231" spans="1:21" ht="7" customHeight="1" x14ac:dyDescent="0.4">
      <c r="A231" s="22">
        <v>231</v>
      </c>
      <c r="B231" s="45" t="s">
        <v>256</v>
      </c>
      <c r="C231" s="30" t="s">
        <v>418</v>
      </c>
      <c r="D231" s="41" t="s">
        <v>559</v>
      </c>
      <c r="E231" s="43" t="s">
        <v>558</v>
      </c>
      <c r="F231" s="41" t="s">
        <v>496</v>
      </c>
      <c r="G231" s="43" t="s">
        <v>541</v>
      </c>
      <c r="H231" s="36" t="s">
        <v>385</v>
      </c>
      <c r="I231" s="35" t="s">
        <v>387</v>
      </c>
      <c r="J231" s="31" t="s">
        <v>1</v>
      </c>
      <c r="K231" s="23" t="s">
        <v>1</v>
      </c>
      <c r="L231" s="31" t="s">
        <v>692</v>
      </c>
      <c r="M231" s="35" t="s">
        <v>501</v>
      </c>
      <c r="N231" s="31" t="s">
        <v>386</v>
      </c>
      <c r="O231" s="23" t="s">
        <v>593</v>
      </c>
      <c r="P231" s="31" t="s">
        <v>640</v>
      </c>
      <c r="Q231" s="23" t="s">
        <v>642</v>
      </c>
      <c r="R231" s="31" t="s">
        <v>689</v>
      </c>
      <c r="S231" s="23" t="s">
        <v>691</v>
      </c>
      <c r="T231" s="31" t="s">
        <v>641</v>
      </c>
      <c r="U231" s="23" t="s">
        <v>643</v>
      </c>
    </row>
    <row r="232" spans="1:21" ht="7" customHeight="1" x14ac:dyDescent="0.4">
      <c r="A232" s="22">
        <v>232</v>
      </c>
      <c r="B232" s="45" t="s">
        <v>257</v>
      </c>
      <c r="C232" s="30" t="s">
        <v>418</v>
      </c>
      <c r="D232" s="41" t="s">
        <v>559</v>
      </c>
      <c r="E232" s="43" t="s">
        <v>558</v>
      </c>
      <c r="F232" s="41" t="s">
        <v>496</v>
      </c>
      <c r="G232" s="43" t="s">
        <v>541</v>
      </c>
      <c r="H232" s="36" t="s">
        <v>385</v>
      </c>
      <c r="I232" s="35" t="s">
        <v>387</v>
      </c>
      <c r="J232" s="31" t="s">
        <v>1</v>
      </c>
      <c r="K232" s="23" t="s">
        <v>1</v>
      </c>
      <c r="L232" s="31" t="s">
        <v>692</v>
      </c>
      <c r="M232" s="35" t="s">
        <v>501</v>
      </c>
      <c r="N232" s="31" t="s">
        <v>386</v>
      </c>
      <c r="O232" s="23" t="s">
        <v>594</v>
      </c>
      <c r="P232" s="31" t="s">
        <v>640</v>
      </c>
      <c r="Q232" s="23" t="s">
        <v>642</v>
      </c>
      <c r="R232" s="31" t="s">
        <v>689</v>
      </c>
      <c r="S232" s="23" t="s">
        <v>691</v>
      </c>
      <c r="T232" s="31" t="s">
        <v>641</v>
      </c>
      <c r="U232" s="23" t="s">
        <v>643</v>
      </c>
    </row>
    <row r="233" spans="1:21" ht="7" customHeight="1" x14ac:dyDescent="0.4">
      <c r="A233" s="22">
        <v>233</v>
      </c>
      <c r="B233" s="45" t="s">
        <v>258</v>
      </c>
      <c r="C233" s="30" t="s">
        <v>418</v>
      </c>
      <c r="D233" s="41" t="s">
        <v>559</v>
      </c>
      <c r="E233" s="43" t="s">
        <v>558</v>
      </c>
      <c r="F233" s="41" t="s">
        <v>496</v>
      </c>
      <c r="G233" s="43" t="s">
        <v>541</v>
      </c>
      <c r="H233" s="36" t="s">
        <v>385</v>
      </c>
      <c r="I233" s="35" t="s">
        <v>387</v>
      </c>
      <c r="J233" s="31" t="s">
        <v>1</v>
      </c>
      <c r="K233" s="23" t="s">
        <v>1</v>
      </c>
      <c r="L233" s="31" t="s">
        <v>692</v>
      </c>
      <c r="M233" s="35" t="s">
        <v>501</v>
      </c>
      <c r="N233" s="31" t="s">
        <v>386</v>
      </c>
      <c r="O233" s="23" t="s">
        <v>595</v>
      </c>
      <c r="P233" s="31" t="s">
        <v>640</v>
      </c>
      <c r="Q233" s="23" t="s">
        <v>642</v>
      </c>
      <c r="R233" s="31" t="s">
        <v>689</v>
      </c>
      <c r="S233" s="23" t="s">
        <v>691</v>
      </c>
      <c r="T233" s="31" t="s">
        <v>641</v>
      </c>
      <c r="U233" s="23" t="s">
        <v>643</v>
      </c>
    </row>
    <row r="234" spans="1:21" ht="7" customHeight="1" x14ac:dyDescent="0.4">
      <c r="A234" s="22">
        <v>234</v>
      </c>
      <c r="B234" s="45" t="s">
        <v>259</v>
      </c>
      <c r="C234" s="30" t="s">
        <v>418</v>
      </c>
      <c r="D234" s="41" t="s">
        <v>559</v>
      </c>
      <c r="E234" s="43" t="s">
        <v>558</v>
      </c>
      <c r="F234" s="41" t="s">
        <v>496</v>
      </c>
      <c r="G234" s="43" t="s">
        <v>541</v>
      </c>
      <c r="H234" s="36" t="s">
        <v>385</v>
      </c>
      <c r="I234" s="35" t="s">
        <v>387</v>
      </c>
      <c r="J234" s="31" t="s">
        <v>1</v>
      </c>
      <c r="K234" s="23" t="s">
        <v>1</v>
      </c>
      <c r="L234" s="31" t="s">
        <v>692</v>
      </c>
      <c r="M234" s="35" t="s">
        <v>501</v>
      </c>
      <c r="N234" s="31" t="s">
        <v>386</v>
      </c>
      <c r="O234" s="23" t="s">
        <v>597</v>
      </c>
      <c r="P234" s="31" t="s">
        <v>640</v>
      </c>
      <c r="Q234" s="23" t="s">
        <v>642</v>
      </c>
      <c r="R234" s="31" t="s">
        <v>689</v>
      </c>
      <c r="S234" s="23" t="s">
        <v>691</v>
      </c>
      <c r="T234" s="31" t="s">
        <v>641</v>
      </c>
      <c r="U234" s="23" t="s">
        <v>643</v>
      </c>
    </row>
    <row r="235" spans="1:21" ht="7" customHeight="1" x14ac:dyDescent="0.4">
      <c r="A235" s="22">
        <v>235</v>
      </c>
      <c r="B235" s="45" t="s">
        <v>260</v>
      </c>
      <c r="C235" s="30" t="s">
        <v>418</v>
      </c>
      <c r="D235" s="41" t="s">
        <v>559</v>
      </c>
      <c r="E235" s="43" t="s">
        <v>558</v>
      </c>
      <c r="F235" s="41" t="s">
        <v>496</v>
      </c>
      <c r="G235" s="43" t="s">
        <v>541</v>
      </c>
      <c r="H235" s="36" t="s">
        <v>385</v>
      </c>
      <c r="I235" s="35" t="s">
        <v>387</v>
      </c>
      <c r="J235" s="31" t="s">
        <v>1</v>
      </c>
      <c r="K235" s="23" t="s">
        <v>1</v>
      </c>
      <c r="L235" s="31" t="s">
        <v>692</v>
      </c>
      <c r="M235" s="35" t="s">
        <v>501</v>
      </c>
      <c r="N235" s="31" t="s">
        <v>386</v>
      </c>
      <c r="O235" s="23" t="s">
        <v>596</v>
      </c>
      <c r="P235" s="31" t="s">
        <v>640</v>
      </c>
      <c r="Q235" s="23" t="s">
        <v>642</v>
      </c>
      <c r="R235" s="31" t="s">
        <v>689</v>
      </c>
      <c r="S235" s="23" t="s">
        <v>691</v>
      </c>
      <c r="T235" s="31" t="s">
        <v>641</v>
      </c>
      <c r="U235" s="23" t="s">
        <v>643</v>
      </c>
    </row>
    <row r="236" spans="1:21" ht="7" customHeight="1" x14ac:dyDescent="0.4">
      <c r="A236" s="22">
        <v>236</v>
      </c>
      <c r="B236" s="45" t="s">
        <v>261</v>
      </c>
      <c r="C236" s="30" t="s">
        <v>418</v>
      </c>
      <c r="D236" s="41" t="s">
        <v>559</v>
      </c>
      <c r="E236" s="43" t="s">
        <v>558</v>
      </c>
      <c r="F236" s="41" t="s">
        <v>496</v>
      </c>
      <c r="G236" s="43" t="s">
        <v>541</v>
      </c>
      <c r="H236" s="36" t="s">
        <v>385</v>
      </c>
      <c r="I236" s="35" t="s">
        <v>387</v>
      </c>
      <c r="J236" s="31" t="s">
        <v>1</v>
      </c>
      <c r="K236" s="23" t="s">
        <v>1</v>
      </c>
      <c r="L236" s="31" t="s">
        <v>692</v>
      </c>
      <c r="M236" s="35" t="s">
        <v>501</v>
      </c>
      <c r="N236" s="31" t="s">
        <v>386</v>
      </c>
      <c r="O236" s="23" t="s">
        <v>382</v>
      </c>
      <c r="P236" s="31" t="s">
        <v>640</v>
      </c>
      <c r="Q236" s="23" t="s">
        <v>642</v>
      </c>
      <c r="R236" s="31" t="s">
        <v>689</v>
      </c>
      <c r="S236" s="23" t="s">
        <v>691</v>
      </c>
      <c r="T236" s="31" t="s">
        <v>641</v>
      </c>
      <c r="U236" s="23" t="s">
        <v>643</v>
      </c>
    </row>
    <row r="237" spans="1:21" ht="7" customHeight="1" x14ac:dyDescent="0.4">
      <c r="A237" s="22">
        <v>237</v>
      </c>
      <c r="B237" s="45" t="s">
        <v>262</v>
      </c>
      <c r="C237" s="30" t="s">
        <v>418</v>
      </c>
      <c r="D237" s="41" t="s">
        <v>559</v>
      </c>
      <c r="E237" s="43" t="s">
        <v>558</v>
      </c>
      <c r="F237" s="41" t="s">
        <v>496</v>
      </c>
      <c r="G237" s="43" t="s">
        <v>541</v>
      </c>
      <c r="H237" s="36" t="s">
        <v>385</v>
      </c>
      <c r="I237" s="35" t="s">
        <v>387</v>
      </c>
      <c r="J237" s="31" t="s">
        <v>1</v>
      </c>
      <c r="K237" s="23" t="s">
        <v>1</v>
      </c>
      <c r="L237" s="31" t="s">
        <v>692</v>
      </c>
      <c r="M237" s="35" t="s">
        <v>501</v>
      </c>
      <c r="N237" s="31" t="s">
        <v>386</v>
      </c>
      <c r="O237" s="23" t="s">
        <v>383</v>
      </c>
      <c r="P237" s="31" t="s">
        <v>640</v>
      </c>
      <c r="Q237" s="23" t="s">
        <v>642</v>
      </c>
      <c r="R237" s="31" t="s">
        <v>689</v>
      </c>
      <c r="S237" s="23" t="s">
        <v>691</v>
      </c>
      <c r="T237" s="31" t="s">
        <v>641</v>
      </c>
      <c r="U237" s="23" t="s">
        <v>643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2026-07-30T14:49:33Z</dcterms:modified>
</cp:coreProperties>
</file>