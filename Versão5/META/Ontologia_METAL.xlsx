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EstaPastaDeTrabalho" defaultThemeVersion="166925"/>
  <mc:AlternateContent xmlns:mc="http://schemas.openxmlformats.org/markup-compatibility/2006">
    <mc:Choice Requires="x15">
      <x15ac:absPath xmlns:x15ac="http://schemas.microsoft.com/office/spreadsheetml/2010/11/ac" url="C:\Construtor_Onto\META\"/>
    </mc:Choice>
  </mc:AlternateContent>
  <xr:revisionPtr revIDLastSave="0" documentId="13_ncr:1_{52DC97FE-0E77-461A-AAD3-CD7173F94FEE}" xr6:coauthVersionLast="47" xr6:coauthVersionMax="47" xr10:uidLastSave="{00000000-0000-0000-0000-000000000000}"/>
  <bookViews>
    <workbookView xWindow="-120" yWindow="-120" windowWidth="24240" windowHeight="13290" tabRatio="527" activeTab="1" xr2:uid="{6AA21774-678E-47D1-B8DD-6444A2CEB00E}"/>
  </bookViews>
  <sheets>
    <sheet name="Projeto" sheetId="31" r:id="rId1"/>
    <sheet name="Classes" sheetId="39" r:id="rId2"/>
    <sheet name="Disjunt" sheetId="36" r:id="rId3"/>
    <sheet name="Interop" sheetId="37" r:id="rId4"/>
    <sheet name="FatosIn" sheetId="3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 i="39" l="1"/>
  <c r="W3" i="39"/>
  <c r="W4" i="39"/>
  <c r="W5" i="39"/>
  <c r="W6" i="39"/>
  <c r="W7" i="39"/>
  <c r="W8" i="39"/>
  <c r="W9" i="39"/>
  <c r="W10" i="39"/>
  <c r="W11" i="39"/>
  <c r="W12" i="39"/>
  <c r="W13" i="39"/>
  <c r="W14" i="39"/>
  <c r="W15" i="39"/>
  <c r="W16" i="39"/>
  <c r="W17" i="39"/>
  <c r="W18" i="39"/>
  <c r="W19" i="39"/>
  <c r="W20" i="39"/>
  <c r="W21" i="39"/>
  <c r="W22" i="39"/>
  <c r="W23" i="39"/>
  <c r="W24" i="39"/>
  <c r="W25" i="39"/>
  <c r="W26" i="39"/>
  <c r="W27" i="39"/>
  <c r="W28" i="39"/>
  <c r="W29" i="39"/>
  <c r="W30" i="39"/>
  <c r="W31" i="39"/>
  <c r="W32" i="39"/>
  <c r="W33" i="39"/>
  <c r="W34" i="39"/>
  <c r="W35" i="39"/>
  <c r="W36" i="39"/>
  <c r="W37" i="39"/>
  <c r="W38" i="39"/>
  <c r="W39" i="39"/>
  <c r="W40" i="39"/>
  <c r="W41" i="39"/>
  <c r="W42" i="39"/>
  <c r="W43" i="39"/>
  <c r="W44" i="39"/>
  <c r="W45" i="39"/>
  <c r="W46" i="39"/>
  <c r="W47" i="39"/>
  <c r="W48" i="39"/>
  <c r="W49" i="39"/>
  <c r="W50" i="39"/>
  <c r="W51" i="39"/>
  <c r="W52" i="39"/>
  <c r="W53" i="39"/>
  <c r="W54" i="39"/>
  <c r="W55" i="39"/>
  <c r="W56" i="39"/>
  <c r="W57" i="39"/>
  <c r="W58" i="39"/>
  <c r="W59" i="39"/>
  <c r="W60" i="39"/>
  <c r="W61" i="39"/>
  <c r="W62" i="39"/>
  <c r="W63" i="39"/>
  <c r="W64" i="39"/>
  <c r="W65" i="39"/>
  <c r="W66" i="39"/>
  <c r="W67" i="39"/>
  <c r="W68" i="39"/>
  <c r="W69" i="39"/>
  <c r="W70" i="39"/>
  <c r="W71" i="39"/>
  <c r="W72" i="39"/>
  <c r="W73" i="39"/>
  <c r="W74" i="39"/>
  <c r="W75" i="39"/>
  <c r="W76" i="39"/>
  <c r="W77" i="39"/>
  <c r="W78" i="39"/>
  <c r="W79" i="39"/>
  <c r="W80" i="39"/>
  <c r="W81" i="39"/>
  <c r="W82" i="39"/>
  <c r="W83" i="39"/>
  <c r="W84" i="39"/>
  <c r="W85" i="39"/>
  <c r="W86" i="39"/>
  <c r="W87" i="39"/>
  <c r="W88" i="39"/>
  <c r="W89" i="39"/>
  <c r="W90" i="39"/>
  <c r="W91" i="39"/>
  <c r="W92" i="39"/>
  <c r="W93" i="39"/>
  <c r="W94" i="39"/>
  <c r="W95" i="39"/>
  <c r="W96" i="39"/>
  <c r="W97" i="39"/>
  <c r="W98" i="39"/>
  <c r="W99" i="39"/>
  <c r="W100" i="39"/>
  <c r="W101" i="39"/>
  <c r="W102" i="39"/>
  <c r="W103" i="39"/>
  <c r="W104" i="39"/>
  <c r="W105" i="39"/>
  <c r="W106" i="39"/>
  <c r="W107" i="39"/>
  <c r="W108" i="39"/>
  <c r="W109" i="39"/>
  <c r="W110" i="39"/>
  <c r="W111" i="39"/>
  <c r="W112" i="39"/>
  <c r="W113" i="39"/>
  <c r="W114" i="39"/>
  <c r="W115" i="39"/>
  <c r="W116" i="39"/>
  <c r="W117" i="39"/>
  <c r="W118" i="39"/>
  <c r="W119" i="39"/>
  <c r="W120" i="39"/>
  <c r="W121" i="39"/>
  <c r="W122" i="39"/>
  <c r="W123" i="39"/>
  <c r="W124" i="39"/>
  <c r="W125" i="39"/>
  <c r="W126" i="39"/>
  <c r="B24" i="31"/>
  <c r="U126" i="39" l="1"/>
  <c r="T126" i="39"/>
  <c r="S126" i="39"/>
  <c r="O126" i="39"/>
  <c r="N126" i="39"/>
  <c r="M126" i="39"/>
  <c r="L126" i="39"/>
  <c r="U125" i="39"/>
  <c r="T125" i="39"/>
  <c r="S125" i="39"/>
  <c r="O125" i="39"/>
  <c r="N125" i="39"/>
  <c r="M125" i="39"/>
  <c r="L125" i="39"/>
  <c r="U124" i="39"/>
  <c r="T124" i="39"/>
  <c r="S124" i="39"/>
  <c r="O124" i="39"/>
  <c r="N124" i="39"/>
  <c r="M124" i="39"/>
  <c r="L124" i="39"/>
  <c r="U12" i="39"/>
  <c r="T12" i="39"/>
  <c r="S12" i="39"/>
  <c r="O12" i="39"/>
  <c r="N12" i="39"/>
  <c r="M12" i="39"/>
  <c r="L12" i="39"/>
  <c r="U14" i="39"/>
  <c r="T14" i="39"/>
  <c r="S14" i="39"/>
  <c r="O14" i="39"/>
  <c r="N14" i="39"/>
  <c r="M14" i="39"/>
  <c r="L14" i="39"/>
  <c r="U13" i="39"/>
  <c r="T13" i="39"/>
  <c r="S13" i="39"/>
  <c r="O13" i="39"/>
  <c r="N13" i="39"/>
  <c r="M13" i="39"/>
  <c r="L13" i="39"/>
  <c r="U11" i="39"/>
  <c r="T11" i="39"/>
  <c r="S11" i="39"/>
  <c r="O11" i="39"/>
  <c r="N11" i="39"/>
  <c r="M11" i="39"/>
  <c r="L11" i="39"/>
  <c r="U15" i="39"/>
  <c r="T15" i="39"/>
  <c r="S15" i="39"/>
  <c r="O15" i="39"/>
  <c r="N15" i="39"/>
  <c r="M15" i="39"/>
  <c r="L15" i="39"/>
  <c r="U10" i="39"/>
  <c r="T10" i="39"/>
  <c r="S10" i="39"/>
  <c r="O10" i="39"/>
  <c r="N10" i="39"/>
  <c r="M10" i="39"/>
  <c r="L10" i="39"/>
  <c r="U9" i="39"/>
  <c r="T9" i="39"/>
  <c r="S9" i="39"/>
  <c r="O9" i="39"/>
  <c r="N9" i="39"/>
  <c r="M9" i="39"/>
  <c r="L9" i="39"/>
  <c r="U8" i="39"/>
  <c r="T8" i="39"/>
  <c r="S8" i="39"/>
  <c r="O8" i="39"/>
  <c r="N8" i="39"/>
  <c r="M8" i="39"/>
  <c r="L8" i="39"/>
  <c r="H3" i="39"/>
  <c r="H2" i="39"/>
  <c r="G3" i="39"/>
  <c r="G2" i="39"/>
  <c r="U7" i="39"/>
  <c r="T7" i="39"/>
  <c r="S7" i="39"/>
  <c r="O7" i="39"/>
  <c r="N7" i="39"/>
  <c r="M7" i="39"/>
  <c r="L7" i="39"/>
  <c r="U6" i="39"/>
  <c r="T6" i="39"/>
  <c r="S6" i="39"/>
  <c r="O6" i="39"/>
  <c r="N6" i="39"/>
  <c r="M6" i="39"/>
  <c r="L6" i="39"/>
  <c r="U5" i="39"/>
  <c r="T5" i="39"/>
  <c r="S5" i="39"/>
  <c r="O5" i="39"/>
  <c r="N5" i="39"/>
  <c r="M5" i="39"/>
  <c r="L5" i="39"/>
  <c r="U4" i="39"/>
  <c r="T4" i="39"/>
  <c r="S4" i="39"/>
  <c r="O4" i="39"/>
  <c r="N4" i="39"/>
  <c r="M4" i="39"/>
  <c r="L4" i="39"/>
  <c r="AA104" i="39"/>
  <c r="AA53" i="39"/>
  <c r="AA74" i="39"/>
  <c r="AA97" i="39"/>
  <c r="AA94" i="39"/>
  <c r="AA107" i="39"/>
  <c r="AA49" i="39"/>
  <c r="AA42" i="39"/>
  <c r="AA8" i="39"/>
  <c r="AA43" i="39"/>
  <c r="AA109" i="39"/>
  <c r="AA92" i="39"/>
  <c r="AA4" i="39"/>
  <c r="AA56" i="39"/>
  <c r="AA86" i="39"/>
  <c r="AA119" i="39"/>
  <c r="AA120" i="39"/>
  <c r="AA31" i="39"/>
  <c r="AA106" i="39"/>
  <c r="AA16" i="39"/>
  <c r="AA100" i="39"/>
  <c r="AA58" i="39"/>
  <c r="AA80" i="39"/>
  <c r="AA24" i="39"/>
  <c r="AA98" i="39"/>
  <c r="AA48" i="39"/>
  <c r="AA124" i="39"/>
  <c r="AA85" i="39"/>
  <c r="AA121" i="39"/>
  <c r="AA40" i="39"/>
  <c r="AA62" i="39"/>
  <c r="AA45" i="39"/>
  <c r="AA71" i="39"/>
  <c r="AA114" i="39"/>
  <c r="AA5" i="39"/>
  <c r="AA91" i="39"/>
  <c r="AA99" i="39"/>
  <c r="AA50" i="39"/>
  <c r="AA77" i="39"/>
  <c r="AA125" i="39"/>
  <c r="AA110" i="39"/>
  <c r="AA73" i="39"/>
  <c r="AA90" i="39"/>
  <c r="AA51" i="39"/>
  <c r="AA101" i="39"/>
  <c r="AA54" i="39"/>
  <c r="AA81" i="39"/>
  <c r="AA36" i="39"/>
  <c r="AA25" i="39"/>
  <c r="AA65" i="39"/>
  <c r="AA60" i="39"/>
  <c r="AA117" i="39"/>
  <c r="AA113" i="39"/>
  <c r="AA6" i="39"/>
  <c r="AA46" i="39"/>
  <c r="AA68" i="39"/>
  <c r="AA75" i="39"/>
  <c r="AA23" i="39"/>
  <c r="AA22" i="39"/>
  <c r="AA103" i="39"/>
  <c r="AA79" i="39"/>
  <c r="AA34" i="39"/>
  <c r="AA64" i="39"/>
  <c r="AA7" i="39"/>
  <c r="AA47" i="39"/>
  <c r="AA108" i="39"/>
  <c r="AA116" i="39"/>
  <c r="AA12" i="39"/>
  <c r="AA82" i="39"/>
  <c r="AA61" i="39"/>
  <c r="AA30" i="39"/>
  <c r="AA39" i="39"/>
  <c r="AA15" i="39"/>
  <c r="AA26" i="39"/>
  <c r="AA115" i="39"/>
  <c r="AA66" i="39"/>
  <c r="AA21" i="39"/>
  <c r="AA89" i="39"/>
  <c r="AA33" i="39"/>
  <c r="AA13" i="39"/>
  <c r="AA102" i="39"/>
  <c r="AA95" i="39"/>
  <c r="AA17" i="39"/>
  <c r="AA87" i="39"/>
  <c r="AA78" i="39"/>
  <c r="AA63" i="39"/>
  <c r="AA83" i="39"/>
  <c r="AA35" i="39"/>
  <c r="AA88" i="39"/>
  <c r="AA122" i="39"/>
  <c r="AA57" i="39"/>
  <c r="AA18" i="39"/>
  <c r="AA20" i="39"/>
  <c r="AA72" i="39"/>
  <c r="AA10" i="39"/>
  <c r="AA32" i="39"/>
  <c r="AA93" i="39"/>
  <c r="AA28" i="39"/>
  <c r="AA37" i="39"/>
  <c r="AA11" i="39"/>
  <c r="AA84" i="39"/>
  <c r="AA70" i="39"/>
  <c r="AA9" i="39"/>
  <c r="AA69" i="39"/>
  <c r="AA38" i="39"/>
  <c r="AA52" i="39"/>
  <c r="AA55" i="39"/>
  <c r="AA76" i="39"/>
  <c r="AA105" i="39"/>
  <c r="AA67" i="39"/>
  <c r="AA27" i="39"/>
  <c r="AA112" i="39"/>
  <c r="AA96" i="39"/>
  <c r="AA59" i="39"/>
  <c r="AA118" i="39"/>
  <c r="AA126" i="39"/>
  <c r="AA29" i="39"/>
  <c r="AA111" i="39"/>
  <c r="AA41" i="39"/>
  <c r="AA19" i="39"/>
  <c r="AA123" i="39"/>
  <c r="AA2" i="39"/>
  <c r="AA3" i="39"/>
  <c r="AA44" i="39"/>
  <c r="AA14" i="39"/>
  <c r="S3" i="39" l="1"/>
  <c r="T3" i="39"/>
  <c r="U3" i="39"/>
  <c r="S16" i="39"/>
  <c r="T16" i="39"/>
  <c r="U16" i="39"/>
  <c r="S17" i="39"/>
  <c r="T17" i="39"/>
  <c r="U17" i="39"/>
  <c r="S18" i="39"/>
  <c r="T18" i="39"/>
  <c r="U18" i="39"/>
  <c r="S19" i="39"/>
  <c r="T19" i="39"/>
  <c r="U19" i="39"/>
  <c r="S20" i="39"/>
  <c r="T20" i="39"/>
  <c r="U20" i="39"/>
  <c r="S21" i="39"/>
  <c r="T21" i="39"/>
  <c r="U21" i="39"/>
  <c r="S22" i="39"/>
  <c r="T22" i="39"/>
  <c r="U22" i="39"/>
  <c r="S23" i="39"/>
  <c r="T23" i="39"/>
  <c r="U23" i="39"/>
  <c r="S24" i="39"/>
  <c r="T24" i="39"/>
  <c r="U24" i="39"/>
  <c r="S25" i="39"/>
  <c r="T25" i="39"/>
  <c r="U25" i="39"/>
  <c r="S26" i="39"/>
  <c r="T26" i="39"/>
  <c r="U26" i="39"/>
  <c r="S27" i="39"/>
  <c r="T27" i="39"/>
  <c r="U27" i="39"/>
  <c r="S28" i="39"/>
  <c r="T28" i="39"/>
  <c r="U28" i="39"/>
  <c r="S29" i="39"/>
  <c r="T29" i="39"/>
  <c r="U29" i="39"/>
  <c r="S30" i="39"/>
  <c r="T30" i="39"/>
  <c r="U30" i="39"/>
  <c r="S31" i="39"/>
  <c r="T31" i="39"/>
  <c r="U31" i="39"/>
  <c r="S32" i="39"/>
  <c r="T32" i="39"/>
  <c r="U32" i="39"/>
  <c r="S33" i="39"/>
  <c r="T33" i="39"/>
  <c r="U33" i="39"/>
  <c r="S34" i="39"/>
  <c r="T34" i="39"/>
  <c r="U34" i="39"/>
  <c r="S35" i="39"/>
  <c r="T35" i="39"/>
  <c r="U35" i="39"/>
  <c r="S36" i="39"/>
  <c r="T36" i="39"/>
  <c r="U36" i="39"/>
  <c r="S37" i="39"/>
  <c r="T37" i="39"/>
  <c r="U37" i="39"/>
  <c r="S38" i="39"/>
  <c r="T38" i="39"/>
  <c r="U38" i="39"/>
  <c r="S39" i="39"/>
  <c r="T39" i="39"/>
  <c r="U39" i="39"/>
  <c r="S40" i="39"/>
  <c r="T40" i="39"/>
  <c r="U40" i="39"/>
  <c r="S41" i="39"/>
  <c r="T41" i="39"/>
  <c r="U41" i="39"/>
  <c r="S42" i="39"/>
  <c r="T42" i="39"/>
  <c r="U42" i="39"/>
  <c r="S43" i="39"/>
  <c r="T43" i="39"/>
  <c r="U43" i="39"/>
  <c r="S44" i="39"/>
  <c r="T44" i="39"/>
  <c r="U44" i="39"/>
  <c r="S45" i="39"/>
  <c r="T45" i="39"/>
  <c r="U45" i="39"/>
  <c r="S46" i="39"/>
  <c r="T46" i="39"/>
  <c r="U46" i="39"/>
  <c r="S47" i="39"/>
  <c r="T47" i="39"/>
  <c r="U47" i="39"/>
  <c r="S48" i="39"/>
  <c r="T48" i="39"/>
  <c r="U48" i="39"/>
  <c r="S49" i="39"/>
  <c r="T49" i="39"/>
  <c r="U49" i="39"/>
  <c r="S50" i="39"/>
  <c r="T50" i="39"/>
  <c r="U50" i="39"/>
  <c r="S51" i="39"/>
  <c r="T51" i="39"/>
  <c r="U51" i="39"/>
  <c r="S52" i="39"/>
  <c r="T52" i="39"/>
  <c r="U52" i="39"/>
  <c r="S53" i="39"/>
  <c r="T53" i="39"/>
  <c r="U53" i="39"/>
  <c r="S54" i="39"/>
  <c r="T54" i="39"/>
  <c r="U54" i="39"/>
  <c r="S55" i="39"/>
  <c r="T55" i="39"/>
  <c r="U55" i="39"/>
  <c r="S56" i="39"/>
  <c r="T56" i="39"/>
  <c r="U56" i="39"/>
  <c r="S57" i="39"/>
  <c r="T57" i="39"/>
  <c r="U57" i="39"/>
  <c r="S58" i="39"/>
  <c r="T58" i="39"/>
  <c r="U58" i="39"/>
  <c r="S59" i="39"/>
  <c r="T59" i="39"/>
  <c r="U59" i="39"/>
  <c r="S60" i="39"/>
  <c r="T60" i="39"/>
  <c r="U60" i="39"/>
  <c r="S61" i="39"/>
  <c r="T61" i="39"/>
  <c r="U61" i="39"/>
  <c r="S62" i="39"/>
  <c r="T62" i="39"/>
  <c r="U62" i="39"/>
  <c r="S63" i="39"/>
  <c r="T63" i="39"/>
  <c r="U63" i="39"/>
  <c r="S64" i="39"/>
  <c r="T64" i="39"/>
  <c r="U64" i="39"/>
  <c r="S65" i="39"/>
  <c r="T65" i="39"/>
  <c r="U65" i="39"/>
  <c r="S66" i="39"/>
  <c r="T66" i="39"/>
  <c r="U66" i="39"/>
  <c r="S67" i="39"/>
  <c r="T67" i="39"/>
  <c r="U67" i="39"/>
  <c r="S68" i="39"/>
  <c r="T68" i="39"/>
  <c r="U68" i="39"/>
  <c r="S69" i="39"/>
  <c r="T69" i="39"/>
  <c r="U69" i="39"/>
  <c r="S70" i="39"/>
  <c r="T70" i="39"/>
  <c r="U70" i="39"/>
  <c r="S71" i="39"/>
  <c r="T71" i="39"/>
  <c r="U71" i="39"/>
  <c r="S72" i="39"/>
  <c r="T72" i="39"/>
  <c r="U72" i="39"/>
  <c r="S73" i="39"/>
  <c r="T73" i="39"/>
  <c r="U73" i="39"/>
  <c r="S74" i="39"/>
  <c r="T74" i="39"/>
  <c r="U74" i="39"/>
  <c r="S75" i="39"/>
  <c r="T75" i="39"/>
  <c r="U75" i="39"/>
  <c r="S76" i="39"/>
  <c r="T76" i="39"/>
  <c r="U76" i="39"/>
  <c r="S77" i="39"/>
  <c r="T77" i="39"/>
  <c r="U77" i="39"/>
  <c r="S78" i="39"/>
  <c r="T78" i="39"/>
  <c r="U78" i="39"/>
  <c r="S79" i="39"/>
  <c r="T79" i="39"/>
  <c r="U79" i="39"/>
  <c r="S80" i="39"/>
  <c r="T80" i="39"/>
  <c r="U80" i="39"/>
  <c r="S81" i="39"/>
  <c r="T81" i="39"/>
  <c r="U81" i="39"/>
  <c r="S82" i="39"/>
  <c r="T82" i="39"/>
  <c r="U82" i="39"/>
  <c r="S83" i="39"/>
  <c r="T83" i="39"/>
  <c r="U83" i="39"/>
  <c r="S84" i="39"/>
  <c r="T84" i="39"/>
  <c r="U84" i="39"/>
  <c r="S85" i="39"/>
  <c r="T85" i="39"/>
  <c r="U85" i="39"/>
  <c r="S86" i="39"/>
  <c r="T86" i="39"/>
  <c r="U86" i="39"/>
  <c r="S87" i="39"/>
  <c r="T87" i="39"/>
  <c r="U87" i="39"/>
  <c r="S88" i="39"/>
  <c r="T88" i="39"/>
  <c r="U88" i="39"/>
  <c r="S89" i="39"/>
  <c r="T89" i="39"/>
  <c r="U89" i="39"/>
  <c r="S90" i="39"/>
  <c r="T90" i="39"/>
  <c r="U90" i="39"/>
  <c r="S91" i="39"/>
  <c r="T91" i="39"/>
  <c r="U91" i="39"/>
  <c r="S92" i="39"/>
  <c r="T92" i="39"/>
  <c r="U92" i="39"/>
  <c r="S93" i="39"/>
  <c r="T93" i="39"/>
  <c r="U93" i="39"/>
  <c r="S94" i="39"/>
  <c r="T94" i="39"/>
  <c r="U94" i="39"/>
  <c r="S95" i="39"/>
  <c r="T95" i="39"/>
  <c r="U95" i="39"/>
  <c r="S96" i="39"/>
  <c r="T96" i="39"/>
  <c r="U96" i="39"/>
  <c r="S97" i="39"/>
  <c r="T97" i="39"/>
  <c r="U97" i="39"/>
  <c r="S98" i="39"/>
  <c r="T98" i="39"/>
  <c r="U98" i="39"/>
  <c r="S99" i="39"/>
  <c r="T99" i="39"/>
  <c r="U99" i="39"/>
  <c r="S100" i="39"/>
  <c r="T100" i="39"/>
  <c r="U100" i="39"/>
  <c r="S101" i="39"/>
  <c r="T101" i="39"/>
  <c r="U101" i="39"/>
  <c r="S102" i="39"/>
  <c r="T102" i="39"/>
  <c r="U102" i="39"/>
  <c r="S103" i="39"/>
  <c r="T103" i="39"/>
  <c r="U103" i="39"/>
  <c r="S104" i="39"/>
  <c r="T104" i="39"/>
  <c r="U104" i="39"/>
  <c r="S105" i="39"/>
  <c r="T105" i="39"/>
  <c r="U105" i="39"/>
  <c r="S106" i="39"/>
  <c r="T106" i="39"/>
  <c r="U106" i="39"/>
  <c r="S107" i="39"/>
  <c r="T107" i="39"/>
  <c r="U107" i="39"/>
  <c r="S108" i="39"/>
  <c r="T108" i="39"/>
  <c r="U108" i="39"/>
  <c r="S109" i="39"/>
  <c r="T109" i="39"/>
  <c r="U109" i="39"/>
  <c r="S110" i="39"/>
  <c r="T110" i="39"/>
  <c r="U110" i="39"/>
  <c r="S111" i="39"/>
  <c r="T111" i="39"/>
  <c r="U111" i="39"/>
  <c r="S112" i="39"/>
  <c r="T112" i="39"/>
  <c r="U112" i="39"/>
  <c r="S113" i="39"/>
  <c r="T113" i="39"/>
  <c r="U113" i="39"/>
  <c r="S114" i="39"/>
  <c r="T114" i="39"/>
  <c r="U114" i="39"/>
  <c r="S115" i="39"/>
  <c r="T115" i="39"/>
  <c r="U115" i="39"/>
  <c r="S116" i="39"/>
  <c r="T116" i="39"/>
  <c r="U116" i="39"/>
  <c r="S117" i="39"/>
  <c r="T117" i="39"/>
  <c r="U117" i="39"/>
  <c r="S118" i="39"/>
  <c r="T118" i="39"/>
  <c r="U118" i="39"/>
  <c r="S119" i="39"/>
  <c r="T119" i="39"/>
  <c r="U119" i="39"/>
  <c r="S120" i="39"/>
  <c r="T120" i="39"/>
  <c r="U120" i="39"/>
  <c r="S121" i="39"/>
  <c r="T121" i="39"/>
  <c r="U121" i="39"/>
  <c r="S122" i="39"/>
  <c r="T122" i="39"/>
  <c r="U122" i="39"/>
  <c r="S123" i="39"/>
  <c r="T123" i="39"/>
  <c r="U123" i="39"/>
  <c r="O87" i="39"/>
  <c r="N87" i="39"/>
  <c r="M87" i="39"/>
  <c r="L87" i="39"/>
  <c r="O104" i="39"/>
  <c r="N104" i="39"/>
  <c r="M104" i="39"/>
  <c r="L104" i="39"/>
  <c r="O103" i="39"/>
  <c r="N103" i="39"/>
  <c r="M103" i="39"/>
  <c r="L103" i="39"/>
  <c r="O105" i="39"/>
  <c r="N105" i="39"/>
  <c r="M105" i="39"/>
  <c r="L105" i="39"/>
  <c r="O39" i="39" l="1"/>
  <c r="N39" i="39"/>
  <c r="M39" i="39"/>
  <c r="L39" i="39"/>
  <c r="O111" i="39" l="1"/>
  <c r="N111" i="39"/>
  <c r="M111" i="39"/>
  <c r="L111" i="39"/>
  <c r="O110" i="39"/>
  <c r="N110" i="39"/>
  <c r="M110" i="39"/>
  <c r="L110" i="39"/>
  <c r="O109" i="39"/>
  <c r="N109" i="39"/>
  <c r="M109" i="39"/>
  <c r="L109" i="39"/>
  <c r="O112" i="39"/>
  <c r="N112" i="39"/>
  <c r="M112" i="39"/>
  <c r="L112" i="39"/>
  <c r="O107" i="39"/>
  <c r="N107" i="39"/>
  <c r="M107" i="39"/>
  <c r="L107" i="39"/>
  <c r="O29" i="39"/>
  <c r="N29" i="39"/>
  <c r="M29" i="39"/>
  <c r="L29" i="39"/>
  <c r="O30" i="39"/>
  <c r="N30" i="39"/>
  <c r="M30" i="39"/>
  <c r="L30" i="39"/>
  <c r="O31" i="39"/>
  <c r="N31" i="39"/>
  <c r="M31" i="39"/>
  <c r="L31" i="39"/>
  <c r="O28" i="39"/>
  <c r="N28" i="39"/>
  <c r="M28" i="39"/>
  <c r="L28" i="39"/>
  <c r="O114" i="39"/>
  <c r="N114" i="39"/>
  <c r="M114" i="39"/>
  <c r="L114" i="39"/>
  <c r="O113" i="39"/>
  <c r="N113" i="39"/>
  <c r="M113" i="39"/>
  <c r="L113" i="39"/>
  <c r="O108" i="39"/>
  <c r="N108" i="39"/>
  <c r="M108" i="39"/>
  <c r="L108" i="39"/>
  <c r="O106" i="39"/>
  <c r="N106" i="39"/>
  <c r="M106" i="39"/>
  <c r="L106" i="39"/>
  <c r="O102" i="39"/>
  <c r="N102" i="39"/>
  <c r="M102" i="39"/>
  <c r="L102" i="39"/>
  <c r="O23" i="39"/>
  <c r="N23" i="39"/>
  <c r="M23" i="39"/>
  <c r="L23" i="39"/>
  <c r="O22" i="39"/>
  <c r="N22" i="39"/>
  <c r="M22" i="39"/>
  <c r="L22" i="39"/>
  <c r="O24" i="39"/>
  <c r="N24" i="39"/>
  <c r="M24" i="39"/>
  <c r="L24" i="39"/>
  <c r="O101" i="39"/>
  <c r="N101" i="39"/>
  <c r="M101" i="39"/>
  <c r="L101" i="39"/>
  <c r="O115" i="39"/>
  <c r="N115" i="39"/>
  <c r="M115" i="39"/>
  <c r="L115" i="39"/>
  <c r="O100" i="39"/>
  <c r="N100" i="39"/>
  <c r="M100" i="39"/>
  <c r="L100" i="39"/>
  <c r="O27" i="39"/>
  <c r="N27" i="39"/>
  <c r="M27" i="39"/>
  <c r="L27" i="39"/>
  <c r="O65" i="39"/>
  <c r="N65" i="39"/>
  <c r="M65" i="39"/>
  <c r="L65" i="39"/>
  <c r="O59" i="39"/>
  <c r="N59" i="39"/>
  <c r="M59" i="39"/>
  <c r="L59" i="39"/>
  <c r="O60" i="39"/>
  <c r="N60" i="39"/>
  <c r="M60" i="39"/>
  <c r="L60" i="39"/>
  <c r="O58" i="39"/>
  <c r="N58" i="39"/>
  <c r="M58" i="39"/>
  <c r="L58" i="39"/>
  <c r="O57" i="39"/>
  <c r="N57" i="39"/>
  <c r="M57" i="39"/>
  <c r="L57" i="39"/>
  <c r="O56" i="39"/>
  <c r="N56" i="39"/>
  <c r="M56" i="39"/>
  <c r="L56" i="39"/>
  <c r="O55" i="39"/>
  <c r="N55" i="39"/>
  <c r="M55" i="39"/>
  <c r="L55" i="39"/>
  <c r="O66" i="39"/>
  <c r="N66" i="39"/>
  <c r="M66" i="39"/>
  <c r="L66" i="39"/>
  <c r="O64" i="39"/>
  <c r="N64" i="39"/>
  <c r="M64" i="39"/>
  <c r="L64" i="39"/>
  <c r="O54" i="39" l="1"/>
  <c r="N54" i="39"/>
  <c r="M54" i="39"/>
  <c r="L54" i="39"/>
  <c r="O53" i="39"/>
  <c r="N53" i="39"/>
  <c r="M53" i="39"/>
  <c r="L53" i="39"/>
  <c r="O52" i="39"/>
  <c r="N52" i="39"/>
  <c r="M52" i="39"/>
  <c r="L52" i="39"/>
  <c r="O51" i="39"/>
  <c r="N51" i="39"/>
  <c r="M51" i="39"/>
  <c r="L51" i="39"/>
  <c r="O67" i="39"/>
  <c r="N67" i="39"/>
  <c r="M67" i="39"/>
  <c r="L67" i="39"/>
  <c r="O63" i="39"/>
  <c r="N63" i="39"/>
  <c r="M63" i="39"/>
  <c r="L63" i="39"/>
  <c r="O62" i="39"/>
  <c r="N62" i="39"/>
  <c r="M62" i="39"/>
  <c r="L62" i="39"/>
  <c r="O61" i="39"/>
  <c r="N61" i="39"/>
  <c r="M61" i="39"/>
  <c r="L61" i="39"/>
  <c r="O48" i="39" l="1"/>
  <c r="N48" i="39"/>
  <c r="M48" i="39"/>
  <c r="L48" i="39"/>
  <c r="O50" i="39"/>
  <c r="N50" i="39"/>
  <c r="M50" i="39"/>
  <c r="L50" i="39"/>
  <c r="O49" i="39"/>
  <c r="N49" i="39"/>
  <c r="M49" i="39"/>
  <c r="L49" i="39"/>
  <c r="O38" i="39"/>
  <c r="N38" i="39"/>
  <c r="M38" i="39"/>
  <c r="L38" i="39"/>
  <c r="O37" i="39"/>
  <c r="N37" i="39"/>
  <c r="M37" i="39"/>
  <c r="L37" i="39"/>
  <c r="O36" i="39"/>
  <c r="N36" i="39"/>
  <c r="M36" i="39"/>
  <c r="L36" i="39"/>
  <c r="O76" i="39"/>
  <c r="N76" i="39"/>
  <c r="M76" i="39"/>
  <c r="L76" i="39"/>
  <c r="O79" i="39"/>
  <c r="N79" i="39"/>
  <c r="M79" i="39"/>
  <c r="L79" i="39"/>
  <c r="O78" i="39"/>
  <c r="N78" i="39"/>
  <c r="M78" i="39"/>
  <c r="L78" i="39"/>
  <c r="O77" i="39"/>
  <c r="N77" i="39"/>
  <c r="M77" i="39"/>
  <c r="L77" i="39"/>
  <c r="O75" i="39"/>
  <c r="N75" i="39"/>
  <c r="M75" i="39"/>
  <c r="L75" i="39"/>
  <c r="U2" i="39"/>
  <c r="T2" i="39"/>
  <c r="S2" i="39"/>
  <c r="O32" i="39" l="1"/>
  <c r="N32" i="39"/>
  <c r="M32" i="39"/>
  <c r="L32" i="39"/>
  <c r="O40" i="39"/>
  <c r="N40" i="39"/>
  <c r="M40" i="39"/>
  <c r="L40" i="39"/>
  <c r="O35" i="39"/>
  <c r="N35" i="39"/>
  <c r="M35" i="39"/>
  <c r="L35" i="39"/>
  <c r="O34" i="39"/>
  <c r="N34" i="39"/>
  <c r="M34" i="39"/>
  <c r="L34" i="39"/>
  <c r="O33" i="39"/>
  <c r="N33" i="39"/>
  <c r="M33" i="39"/>
  <c r="L33" i="39"/>
  <c r="O45" i="39"/>
  <c r="N45" i="39"/>
  <c r="M45" i="39"/>
  <c r="L45" i="39"/>
  <c r="O44" i="39"/>
  <c r="N44" i="39"/>
  <c r="M44" i="39"/>
  <c r="L44" i="39"/>
  <c r="O41" i="39"/>
  <c r="N41" i="39"/>
  <c r="M41" i="39"/>
  <c r="L41" i="39"/>
  <c r="O46" i="39"/>
  <c r="N46" i="39"/>
  <c r="M46" i="39"/>
  <c r="L46" i="39"/>
  <c r="O71" i="39"/>
  <c r="N71" i="39"/>
  <c r="M71" i="39"/>
  <c r="L71" i="39"/>
  <c r="O70" i="39"/>
  <c r="N70" i="39"/>
  <c r="M70" i="39"/>
  <c r="L70" i="39"/>
  <c r="O69" i="39"/>
  <c r="N69" i="39"/>
  <c r="M69" i="39"/>
  <c r="L69" i="39"/>
  <c r="O72" i="39"/>
  <c r="N72" i="39"/>
  <c r="M72" i="39"/>
  <c r="L72" i="39"/>
  <c r="O68" i="39"/>
  <c r="N68" i="39"/>
  <c r="M68" i="39"/>
  <c r="L68" i="39"/>
  <c r="O80" i="39"/>
  <c r="N80" i="39"/>
  <c r="M80" i="39"/>
  <c r="L80" i="39"/>
  <c r="O18" i="39"/>
  <c r="N18" i="39"/>
  <c r="M18" i="39"/>
  <c r="L18" i="39"/>
  <c r="O17" i="39"/>
  <c r="N17" i="39"/>
  <c r="M17" i="39"/>
  <c r="L17" i="39"/>
  <c r="O16" i="39"/>
  <c r="N16" i="39"/>
  <c r="M16" i="39"/>
  <c r="L16" i="39"/>
  <c r="O97" i="39"/>
  <c r="N97" i="39"/>
  <c r="M97" i="39"/>
  <c r="L97" i="39"/>
  <c r="O96" i="39"/>
  <c r="N96" i="39"/>
  <c r="M96" i="39"/>
  <c r="L96" i="39"/>
  <c r="O95" i="39"/>
  <c r="N95" i="39"/>
  <c r="M95" i="39"/>
  <c r="L95" i="39"/>
  <c r="O94" i="39"/>
  <c r="N94" i="39"/>
  <c r="M94" i="39"/>
  <c r="L94" i="39"/>
  <c r="O93" i="39"/>
  <c r="N93" i="39"/>
  <c r="M93" i="39"/>
  <c r="L93" i="39"/>
  <c r="O92" i="39"/>
  <c r="N92" i="39"/>
  <c r="M92" i="39"/>
  <c r="L92" i="39"/>
  <c r="O91" i="39"/>
  <c r="N91" i="39"/>
  <c r="M91" i="39"/>
  <c r="L91" i="39"/>
  <c r="O90" i="39"/>
  <c r="N90" i="39"/>
  <c r="M90" i="39"/>
  <c r="L90" i="39"/>
  <c r="O89" i="39"/>
  <c r="N89" i="39"/>
  <c r="M89" i="39"/>
  <c r="L89" i="39"/>
  <c r="O88" i="39"/>
  <c r="N88" i="39"/>
  <c r="M88" i="39"/>
  <c r="L88" i="39"/>
  <c r="O86" i="39"/>
  <c r="N86" i="39"/>
  <c r="M86" i="39"/>
  <c r="L86" i="39"/>
  <c r="O85" i="39"/>
  <c r="N85" i="39"/>
  <c r="M85" i="39"/>
  <c r="L85" i="39"/>
  <c r="O84" i="39"/>
  <c r="N84" i="39"/>
  <c r="M84" i="39"/>
  <c r="L84" i="39"/>
  <c r="O83" i="39"/>
  <c r="N83" i="39"/>
  <c r="M83" i="39"/>
  <c r="L83" i="39"/>
  <c r="O73" i="39"/>
  <c r="N73" i="39"/>
  <c r="M73" i="39"/>
  <c r="L73" i="39"/>
  <c r="O123" i="39"/>
  <c r="N123" i="39"/>
  <c r="M123" i="39"/>
  <c r="L123" i="39"/>
  <c r="O2" i="39" l="1"/>
  <c r="N2" i="39"/>
  <c r="M2" i="39"/>
  <c r="L2" i="39"/>
  <c r="O82" i="39"/>
  <c r="N82" i="39"/>
  <c r="M82" i="39"/>
  <c r="L82" i="39"/>
  <c r="O98" i="39"/>
  <c r="N98" i="39"/>
  <c r="M98" i="39"/>
  <c r="L98" i="39"/>
  <c r="O116" i="39"/>
  <c r="N116" i="39"/>
  <c r="M116" i="39"/>
  <c r="L116" i="39"/>
  <c r="O81" i="39"/>
  <c r="N81" i="39"/>
  <c r="M81" i="39"/>
  <c r="L81" i="39"/>
  <c r="O3" i="39"/>
  <c r="N3" i="39"/>
  <c r="M3" i="39"/>
  <c r="L3" i="39"/>
  <c r="O117" i="39" l="1"/>
  <c r="N117" i="39"/>
  <c r="M117" i="39"/>
  <c r="L117" i="39"/>
  <c r="O118" i="39"/>
  <c r="N118" i="39"/>
  <c r="M118" i="39"/>
  <c r="L118" i="39"/>
  <c r="O99" i="39"/>
  <c r="O120" i="39"/>
  <c r="N120" i="39"/>
  <c r="M120" i="39"/>
  <c r="L120" i="39"/>
  <c r="O119" i="39"/>
  <c r="N119" i="39"/>
  <c r="M119" i="39"/>
  <c r="L119" i="39"/>
  <c r="L121" i="39"/>
  <c r="M121" i="39"/>
  <c r="N121" i="39"/>
  <c r="O121" i="39"/>
  <c r="L122" i="39"/>
  <c r="M122" i="39"/>
  <c r="N122" i="39"/>
  <c r="O122" i="39"/>
  <c r="N99" i="39"/>
  <c r="M99" i="39"/>
  <c r="L99" i="39"/>
  <c r="L47" i="39" l="1"/>
  <c r="M47" i="39"/>
  <c r="N47" i="39"/>
  <c r="O47" i="39"/>
  <c r="O43" i="39"/>
  <c r="N43" i="39"/>
  <c r="M43" i="39"/>
  <c r="L43" i="39"/>
  <c r="O42" i="39"/>
  <c r="N42" i="39"/>
  <c r="M42" i="39"/>
  <c r="L42" i="39"/>
  <c r="O74" i="39"/>
  <c r="N74" i="39"/>
  <c r="M74" i="39"/>
  <c r="L74" i="39"/>
  <c r="O25" i="39"/>
  <c r="N25" i="39"/>
  <c r="M25" i="39"/>
  <c r="L25" i="39"/>
  <c r="O26" i="39"/>
  <c r="N26" i="39"/>
  <c r="M26" i="39"/>
  <c r="L26" i="39"/>
  <c r="O21" i="39"/>
  <c r="N21" i="39"/>
  <c r="M21" i="39"/>
  <c r="L21" i="39"/>
  <c r="O20" i="39"/>
  <c r="N20" i="39"/>
  <c r="M20" i="39"/>
  <c r="L20" i="39"/>
  <c r="O19" i="39"/>
  <c r="N19" i="39"/>
  <c r="M19" i="39"/>
  <c r="L19" i="39"/>
  <c r="B18" i="31" l="1"/>
  <c r="B6" i="31" l="1"/>
  <c r="B5" i="31"/>
</calcChain>
</file>

<file path=xl/sharedStrings.xml><?xml version="1.0" encoding="utf-8"?>
<sst xmlns="http://schemas.openxmlformats.org/spreadsheetml/2006/main" count="7464" uniqueCount="1087">
  <si>
    <t>Edição</t>
  </si>
  <si>
    <t>ISBN</t>
  </si>
  <si>
    <t>Valor</t>
  </si>
  <si>
    <t>Chave</t>
  </si>
  <si>
    <t>URI</t>
  </si>
  <si>
    <t>Autor</t>
  </si>
  <si>
    <t>RaizProp</t>
  </si>
  <si>
    <t>RaizClass</t>
  </si>
  <si>
    <t>RaizData</t>
  </si>
  <si>
    <t>null</t>
  </si>
  <si>
    <t>Observações</t>
  </si>
  <si>
    <t>Cidade</t>
  </si>
  <si>
    <t>-</t>
  </si>
  <si>
    <t>Indivíduo</t>
  </si>
  <si>
    <t>Classe</t>
  </si>
  <si>
    <t>Fato</t>
  </si>
  <si>
    <t>descrição</t>
  </si>
  <si>
    <t>OntologiaPrefixo</t>
  </si>
  <si>
    <t>OntologiaTema</t>
  </si>
  <si>
    <t>BIM</t>
  </si>
  <si>
    <t>Organização</t>
  </si>
  <si>
    <t>Escola Politécnica da UFRJ</t>
  </si>
  <si>
    <t>NormaNúmero</t>
  </si>
  <si>
    <t>NormaEscopo</t>
  </si>
  <si>
    <t>NormaReferência1</t>
  </si>
  <si>
    <t>NormaReferência2</t>
  </si>
  <si>
    <t>NormaReferência3</t>
  </si>
  <si>
    <t>DataHora</t>
  </si>
  <si>
    <t>Advertência1</t>
  </si>
  <si>
    <t>Prédio</t>
  </si>
  <si>
    <t>N°</t>
  </si>
  <si>
    <t>https://github.com/JLMenegotto/RepoOnto#</t>
  </si>
  <si>
    <t>Explicação</t>
  </si>
  <si>
    <t>Explicación</t>
  </si>
  <si>
    <t>Natureza</t>
  </si>
  <si>
    <t>Disciplina</t>
  </si>
  <si>
    <t>Tema</t>
  </si>
  <si>
    <t>Disjunta 1</t>
  </si>
  <si>
    <t>Disjunta 2</t>
  </si>
  <si>
    <t>Disjunta 3</t>
  </si>
  <si>
    <t>Disjunta 4</t>
  </si>
  <si>
    <t>Disjunta 5</t>
  </si>
  <si>
    <t>Disjunta 6</t>
  </si>
  <si>
    <t>Disjunta 7</t>
  </si>
  <si>
    <t>Disjunta 8</t>
  </si>
  <si>
    <t>Disjunta 9</t>
  </si>
  <si>
    <t>Disjunta 10</t>
  </si>
  <si>
    <t>Disjunta 11</t>
  </si>
  <si>
    <t>Disjunta 12</t>
  </si>
  <si>
    <t>Disjunta 13</t>
  </si>
  <si>
    <t>Disjunta 14</t>
  </si>
  <si>
    <t>Disjunta 15</t>
  </si>
  <si>
    <t>Disjunta 16</t>
  </si>
  <si>
    <t>Disjunta 17</t>
  </si>
  <si>
    <t>Disjunta 18</t>
  </si>
  <si>
    <t>Disjunta 19</t>
  </si>
  <si>
    <t>Disjunta 20</t>
  </si>
  <si>
    <t>Key</t>
  </si>
  <si>
    <t>00Raiz</t>
  </si>
  <si>
    <t>00Super
Class
2</t>
  </si>
  <si>
    <t>00Super
Class
3</t>
  </si>
  <si>
    <t>00Super
Class
4</t>
  </si>
  <si>
    <t>EquivalentTo: 
Raiz
Condições 
necessárias</t>
  </si>
  <si>
    <t>EquivalentTo: 
Classe2
Condições 
necessárias</t>
  </si>
  <si>
    <t>EquivalentTo: 
Classe3
Condições 
necessárias</t>
  </si>
  <si>
    <t>EquivalentTo: 
Classe4 
Condições 
necessárias</t>
  </si>
  <si>
    <t>EquivalentTo: 
Classe5
Condições 
necessárias</t>
  </si>
  <si>
    <t>Anotações 
de ajuda
Classe 1</t>
  </si>
  <si>
    <t>Anotações 
de ajuda
Classe 2</t>
  </si>
  <si>
    <t>Anotações 
de ajuda
Classe 3</t>
  </si>
  <si>
    <t>Anotações 
de ajuda
Classe 5</t>
  </si>
  <si>
    <t>000 Tradução Classe 5</t>
  </si>
  <si>
    <t>000 Traducción Classe 5</t>
  </si>
  <si>
    <t>Interop</t>
  </si>
  <si>
    <t>Especie</t>
  </si>
  <si>
    <t>Equivalente a</t>
  </si>
  <si>
    <t>bim:</t>
  </si>
  <si>
    <t>Brasil - Rio de Janeiro</t>
  </si>
  <si>
    <t>Dados de perfis metálicos</t>
  </si>
  <si>
    <t>Formalizar dados de elementos estruturais metálicos.</t>
  </si>
  <si>
    <t>Formalizar dados de elementos estructurales metálicos.</t>
  </si>
  <si>
    <t>EstruturaMetálica</t>
  </si>
  <si>
    <t>Perfil.U</t>
  </si>
  <si>
    <t>Perfil.T</t>
  </si>
  <si>
    <t>bitola</t>
  </si>
  <si>
    <t>"W150x13"</t>
  </si>
  <si>
    <t>altura</t>
  </si>
  <si>
    <t>largura</t>
  </si>
  <si>
    <t>Estrutura.Principal</t>
  </si>
  <si>
    <t>Estrutura.Secundária</t>
  </si>
  <si>
    <t>5.8</t>
  </si>
  <si>
    <t>6.6</t>
  </si>
  <si>
    <t>4.1</t>
  </si>
  <si>
    <t>22.5</t>
  </si>
  <si>
    <t>9.3</t>
  </si>
  <si>
    <t>4.18</t>
  </si>
  <si>
    <t>29.8</t>
  </si>
  <si>
    <t>8.1</t>
  </si>
  <si>
    <t>11.6</t>
  </si>
  <si>
    <t>4.22</t>
  </si>
  <si>
    <t>37.1</t>
  </si>
  <si>
    <t>6.2</t>
  </si>
  <si>
    <t>10.2</t>
  </si>
  <si>
    <t>4.5</t>
  </si>
  <si>
    <t>35.9</t>
  </si>
  <si>
    <t>7.2</t>
  </si>
  <si>
    <t>11.8</t>
  </si>
  <si>
    <t>4.53</t>
  </si>
  <si>
    <t>41.7</t>
  </si>
  <si>
    <t>5.58</t>
  </si>
  <si>
    <t>46.1</t>
  </si>
  <si>
    <t>7.9</t>
  </si>
  <si>
    <t>12.6</t>
  </si>
  <si>
    <t>5.61</t>
  </si>
  <si>
    <t>11.3</t>
  </si>
  <si>
    <t>5.57</t>
  </si>
  <si>
    <t>9.1</t>
  </si>
  <si>
    <t>14.2</t>
  </si>
  <si>
    <t>5.64</t>
  </si>
  <si>
    <t>17.4</t>
  </si>
  <si>
    <t>5.7</t>
  </si>
  <si>
    <t>20.6</t>
  </si>
  <si>
    <t>5.77</t>
  </si>
  <si>
    <t>10.5</t>
  </si>
  <si>
    <t>10.7</t>
  </si>
  <si>
    <t>6.89</t>
  </si>
  <si>
    <t>8.6</t>
  </si>
  <si>
    <t>7.01</t>
  </si>
  <si>
    <t>9.4</t>
  </si>
  <si>
    <t>15.6</t>
  </si>
  <si>
    <t>7.04</t>
  </si>
  <si>
    <t>14.4</t>
  </si>
  <si>
    <t>17.3</t>
  </si>
  <si>
    <t>7.06</t>
  </si>
  <si>
    <t>11.9</t>
  </si>
  <si>
    <t>19.6</t>
  </si>
  <si>
    <t>7.1</t>
  </si>
  <si>
    <t>13.5</t>
  </si>
  <si>
    <t>22.1</t>
  </si>
  <si>
    <t>7.16</t>
  </si>
  <si>
    <t>8.2</t>
  </si>
  <si>
    <t>13.1</t>
  </si>
  <si>
    <t>8.26</t>
  </si>
  <si>
    <t>9.9</t>
  </si>
  <si>
    <t>15.4</t>
  </si>
  <si>
    <t>8.38</t>
  </si>
  <si>
    <t>10.9</t>
  </si>
  <si>
    <t>8.41</t>
  </si>
  <si>
    <t>15.5</t>
  </si>
  <si>
    <t>8.33</t>
  </si>
  <si>
    <t>18.7</t>
  </si>
  <si>
    <t>8.44</t>
  </si>
  <si>
    <t>9.5</t>
  </si>
  <si>
    <t>16.4</t>
  </si>
  <si>
    <t>6.9</t>
  </si>
  <si>
    <t>18.3</t>
  </si>
  <si>
    <t>6.93</t>
  </si>
  <si>
    <t>11.4</t>
  </si>
  <si>
    <t>19.9</t>
  </si>
  <si>
    <t>6.96</t>
  </si>
  <si>
    <t>21.7</t>
  </si>
  <si>
    <t>6.98</t>
  </si>
  <si>
    <t>"HP150x22"</t>
  </si>
  <si>
    <t>"HP150x29"</t>
  </si>
  <si>
    <t>"HP150x37"</t>
  </si>
  <si>
    <t>"HP200x35"</t>
  </si>
  <si>
    <t>"HP200x41"</t>
  </si>
  <si>
    <t>"HP200x46"</t>
  </si>
  <si>
    <t>"HP200x52"</t>
  </si>
  <si>
    <t>"HP200x53"</t>
  </si>
  <si>
    <t>"HP200x59"</t>
  </si>
  <si>
    <t>"HP200x71"</t>
  </si>
  <si>
    <t>"HP200x86"</t>
  </si>
  <si>
    <t>"HP250x62"</t>
  </si>
  <si>
    <t>"HP250x73"</t>
  </si>
  <si>
    <t>"HP250x80"</t>
  </si>
  <si>
    <t>"HP250x85"</t>
  </si>
  <si>
    <t>"HP250x89"</t>
  </si>
  <si>
    <t>"HP250x101"</t>
  </si>
  <si>
    <t>"HP250x115"</t>
  </si>
  <si>
    <t>"HP310x79"</t>
  </si>
  <si>
    <t>"HP310x93"</t>
  </si>
  <si>
    <t>"HP310x97"</t>
  </si>
  <si>
    <t>"HP310x107"</t>
  </si>
  <si>
    <t>"HP310x110"</t>
  </si>
  <si>
    <t>"HP310x117"</t>
  </si>
  <si>
    <t>"HP310x125"</t>
  </si>
  <si>
    <t>"HP360x91"</t>
  </si>
  <si>
    <t>"HP360x101"</t>
  </si>
  <si>
    <t>"HP360x110"</t>
  </si>
  <si>
    <t>"HP360x122"</t>
  </si>
  <si>
    <t>t.w</t>
  </si>
  <si>
    <t>t.f</t>
  </si>
  <si>
    <t>"Gerdau"</t>
  </si>
  <si>
    <t>raio</t>
  </si>
  <si>
    <t>4.32</t>
  </si>
  <si>
    <t>4.95</t>
  </si>
  <si>
    <t>6.35</t>
  </si>
  <si>
    <t>5.84</t>
  </si>
  <si>
    <t>7.11</t>
  </si>
  <si>
    <t>6.39</t>
  </si>
  <si>
    <t>6.4</t>
  </si>
  <si>
    <t>10.3</t>
  </si>
  <si>
    <t>6.3</t>
  </si>
  <si>
    <t>9.27</t>
  </si>
  <si>
    <t>6.33</t>
  </si>
  <si>
    <t>8.13</t>
  </si>
  <si>
    <t>14.5</t>
  </si>
  <si>
    <t>23.7</t>
  </si>
  <si>
    <t>10.1</t>
  </si>
  <si>
    <t>5.21</t>
  </si>
  <si>
    <t>7.59</t>
  </si>
  <si>
    <t>6.48</t>
  </si>
  <si>
    <t>7.62</t>
  </si>
  <si>
    <t>6.22</t>
  </si>
  <si>
    <t>7.6</t>
  </si>
  <si>
    <t>7.24</t>
  </si>
  <si>
    <t>7.87</t>
  </si>
  <si>
    <t>9.14</t>
  </si>
  <si>
    <t>12.7</t>
  </si>
  <si>
    <t>25.1</t>
  </si>
  <si>
    <t>28.4</t>
  </si>
  <si>
    <t>19.2</t>
  </si>
  <si>
    <t>31.8</t>
  </si>
  <si>
    <t>4.83</t>
  </si>
  <si>
    <t>5.33</t>
  </si>
  <si>
    <t>7.67</t>
  </si>
  <si>
    <t>6.86</t>
  </si>
  <si>
    <t>7.64</t>
  </si>
  <si>
    <t>6.1</t>
  </si>
  <si>
    <t>7.7</t>
  </si>
  <si>
    <t>7.66</t>
  </si>
  <si>
    <t>11.2</t>
  </si>
  <si>
    <t>8.64</t>
  </si>
  <si>
    <t>12.8</t>
  </si>
  <si>
    <t>15.3</t>
  </si>
  <si>
    <t>15.1</t>
  </si>
  <si>
    <t>15.2</t>
  </si>
  <si>
    <t>22.9</t>
  </si>
  <si>
    <t>28.2</t>
  </si>
  <si>
    <t>20.1</t>
  </si>
  <si>
    <t>5.08</t>
  </si>
  <si>
    <t>5.72</t>
  </si>
  <si>
    <t>7.58</t>
  </si>
  <si>
    <t>5.59</t>
  </si>
  <si>
    <t>6.73</t>
  </si>
  <si>
    <t>5.97</t>
  </si>
  <si>
    <t>8.89</t>
  </si>
  <si>
    <t>7.61</t>
  </si>
  <si>
    <t>10.8</t>
  </si>
  <si>
    <t>9.65</t>
  </si>
  <si>
    <t>7.65</t>
  </si>
  <si>
    <t>13.2</t>
  </si>
  <si>
    <t>7.5</t>
  </si>
  <si>
    <t>8.5</t>
  </si>
  <si>
    <t>14.6</t>
  </si>
  <si>
    <t>16.3</t>
  </si>
  <si>
    <t>9.91</t>
  </si>
  <si>
    <t>8.51</t>
  </si>
  <si>
    <t>10.19</t>
  </si>
  <si>
    <t>9.78</t>
  </si>
  <si>
    <t>10.12</t>
  </si>
  <si>
    <t>7.75</t>
  </si>
  <si>
    <t>14.9</t>
  </si>
  <si>
    <t>16.8</t>
  </si>
  <si>
    <t>9.53</t>
  </si>
  <si>
    <t>8.76</t>
  </si>
  <si>
    <t>10.24</t>
  </si>
  <si>
    <t>6.99</t>
  </si>
  <si>
    <t>7.49</t>
  </si>
  <si>
    <t>18.2</t>
  </si>
  <si>
    <t>13.3</t>
  </si>
  <si>
    <t>9.02</t>
  </si>
  <si>
    <t>17.7</t>
  </si>
  <si>
    <t>19.1</t>
  </si>
  <si>
    <t>18.8</t>
  </si>
  <si>
    <t>21.2</t>
  </si>
  <si>
    <t>14.7</t>
  </si>
  <si>
    <t>23.6</t>
  </si>
  <si>
    <t>13.6</t>
  </si>
  <si>
    <t>16.5</t>
  </si>
  <si>
    <t>22.2</t>
  </si>
  <si>
    <t>12.9</t>
  </si>
  <si>
    <t>24.9</t>
  </si>
  <si>
    <t>21.6</t>
  </si>
  <si>
    <t>24.4</t>
  </si>
  <si>
    <t>27.7</t>
  </si>
  <si>
    <t>"W150x18"</t>
  </si>
  <si>
    <t>"W150x22"</t>
  </si>
  <si>
    <t>"W150x24"</t>
  </si>
  <si>
    <t>"W150x29"</t>
  </si>
  <si>
    <t>"W150x37"</t>
  </si>
  <si>
    <t>"W200x100"</t>
  </si>
  <si>
    <t>"W200x15"</t>
  </si>
  <si>
    <t>"W200x19"</t>
  </si>
  <si>
    <t>"W200x22"</t>
  </si>
  <si>
    <t>"W200x26"</t>
  </si>
  <si>
    <t>"W200x31"</t>
  </si>
  <si>
    <t>"W200x35"</t>
  </si>
  <si>
    <t>"W200x41"</t>
  </si>
  <si>
    <t>"W200x46"</t>
  </si>
  <si>
    <t>"W200x52"</t>
  </si>
  <si>
    <t>"W200x59"</t>
  </si>
  <si>
    <t>"W200x71"</t>
  </si>
  <si>
    <t>"W200x86"</t>
  </si>
  <si>
    <t>"W250x101"</t>
  </si>
  <si>
    <t>"W250x115"</t>
  </si>
  <si>
    <t>"W250x131"</t>
  </si>
  <si>
    <t>"W250x149"</t>
  </si>
  <si>
    <t>"W250x167"</t>
  </si>
  <si>
    <t>"W250x17"</t>
  </si>
  <si>
    <t>"W250x22"</t>
  </si>
  <si>
    <t>"W250x25"</t>
  </si>
  <si>
    <t>"W250x28"</t>
  </si>
  <si>
    <t>"W250x32"</t>
  </si>
  <si>
    <t>"W250x38"</t>
  </si>
  <si>
    <t>"W250x44"</t>
  </si>
  <si>
    <t>"W250x73"</t>
  </si>
  <si>
    <t>"W250x80"</t>
  </si>
  <si>
    <t>"W250x89"</t>
  </si>
  <si>
    <t>"W310x107"</t>
  </si>
  <si>
    <t>"W310x117"</t>
  </si>
  <si>
    <t>"W310x129"</t>
  </si>
  <si>
    <t>"W310x143"</t>
  </si>
  <si>
    <t>"W310x158"</t>
  </si>
  <si>
    <t>"W310x179"</t>
  </si>
  <si>
    <t>"W310x202"</t>
  </si>
  <si>
    <t>"W310x21"</t>
  </si>
  <si>
    <t>"W310x23"</t>
  </si>
  <si>
    <t>"W310x28"</t>
  </si>
  <si>
    <t>"W310x32"</t>
  </si>
  <si>
    <t>"W310x38"</t>
  </si>
  <si>
    <t>"W310x44"</t>
  </si>
  <si>
    <t>"W310x52"</t>
  </si>
  <si>
    <t>"W310x60*"</t>
  </si>
  <si>
    <t>"W310x67*"</t>
  </si>
  <si>
    <t>"W310x74*"</t>
  </si>
  <si>
    <t>"W310x97"</t>
  </si>
  <si>
    <t>"W360x101"</t>
  </si>
  <si>
    <t>"W360x110"</t>
  </si>
  <si>
    <t>"W360x122"</t>
  </si>
  <si>
    <t>"W360x32"</t>
  </si>
  <si>
    <t>"W360x39"</t>
  </si>
  <si>
    <t>"W360x44"</t>
  </si>
  <si>
    <t>"W360x51"</t>
  </si>
  <si>
    <t>"W360x57"</t>
  </si>
  <si>
    <t>"W360x64"</t>
  </si>
  <si>
    <t>"W360x72"</t>
  </si>
  <si>
    <t>"W360x79"</t>
  </si>
  <si>
    <t>"W360x91"</t>
  </si>
  <si>
    <t>"W410x38"</t>
  </si>
  <si>
    <t>"W410x46"</t>
  </si>
  <si>
    <t>"W410x53"</t>
  </si>
  <si>
    <t>"W410x60"</t>
  </si>
  <si>
    <t>"W410x67"</t>
  </si>
  <si>
    <t>"W410x75"</t>
  </si>
  <si>
    <t>"W410x85"</t>
  </si>
  <si>
    <t>"W460x106"</t>
  </si>
  <si>
    <t>"W460x52"</t>
  </si>
  <si>
    <t>"W460x60"</t>
  </si>
  <si>
    <t>"W460x68"</t>
  </si>
  <si>
    <t>"W460x74"</t>
  </si>
  <si>
    <t>"W460x82"</t>
  </si>
  <si>
    <t>"W460x89"</t>
  </si>
  <si>
    <t>"W460x97"</t>
  </si>
  <si>
    <t>"W530x101"</t>
  </si>
  <si>
    <t>"W530x109"</t>
  </si>
  <si>
    <t>"W530x123"</t>
  </si>
  <si>
    <t>"W530x138"</t>
  </si>
  <si>
    <t>"W530x66"</t>
  </si>
  <si>
    <t>"W530x72"</t>
  </si>
  <si>
    <t>"W530x74"</t>
  </si>
  <si>
    <t>"W530x82"</t>
  </si>
  <si>
    <t>"W530x85"</t>
  </si>
  <si>
    <t>"W530x92"</t>
  </si>
  <si>
    <t>"W610x101"</t>
  </si>
  <si>
    <t>"W610x113"</t>
  </si>
  <si>
    <t>"W610x125"</t>
  </si>
  <si>
    <t>"W610x140"</t>
  </si>
  <si>
    <t>"W610x153"</t>
  </si>
  <si>
    <t>"W610x155"</t>
  </si>
  <si>
    <t>"W610x174"</t>
  </si>
  <si>
    <t>"W610x195"</t>
  </si>
  <si>
    <t>"W610x82"</t>
  </si>
  <si>
    <t>"W610x92"</t>
  </si>
  <si>
    <t>"W610x217"</t>
  </si>
  <si>
    <t>Estrutura.de.Apoio</t>
  </si>
  <si>
    <t>HP150x22</t>
  </si>
  <si>
    <t>HP150x29</t>
  </si>
  <si>
    <t>HP150x37</t>
  </si>
  <si>
    <t>HP200x35</t>
  </si>
  <si>
    <t>HP200x41</t>
  </si>
  <si>
    <t>HP200x46</t>
  </si>
  <si>
    <t>HP200x52</t>
  </si>
  <si>
    <t>HP200x53</t>
  </si>
  <si>
    <t>HP200x59</t>
  </si>
  <si>
    <t>HP200x71</t>
  </si>
  <si>
    <t>HP200x86</t>
  </si>
  <si>
    <t>HP250x62</t>
  </si>
  <si>
    <t>HP250x73</t>
  </si>
  <si>
    <t>HP250x80</t>
  </si>
  <si>
    <t>HP250x85</t>
  </si>
  <si>
    <t>HP250x89</t>
  </si>
  <si>
    <t>HP250x101</t>
  </si>
  <si>
    <t>HP250x115</t>
  </si>
  <si>
    <t>HP310x79</t>
  </si>
  <si>
    <t>HP310x93</t>
  </si>
  <si>
    <t>HP310x97</t>
  </si>
  <si>
    <t>HP310x107</t>
  </si>
  <si>
    <t>HP310x110</t>
  </si>
  <si>
    <t>HP310x117</t>
  </si>
  <si>
    <t>HP310x125</t>
  </si>
  <si>
    <t>HP360x91</t>
  </si>
  <si>
    <t>HP360x101</t>
  </si>
  <si>
    <t>HP360x110</t>
  </si>
  <si>
    <t>HP360x122</t>
  </si>
  <si>
    <t>W150x13</t>
  </si>
  <si>
    <t>W150x18</t>
  </si>
  <si>
    <t>W150x22</t>
  </si>
  <si>
    <t>W150x24</t>
  </si>
  <si>
    <t>W150x29</t>
  </si>
  <si>
    <t>W150x37</t>
  </si>
  <si>
    <t>W200x100</t>
  </si>
  <si>
    <t>W200x15</t>
  </si>
  <si>
    <t>W200x19</t>
  </si>
  <si>
    <t>W200x22</t>
  </si>
  <si>
    <t>W200x26</t>
  </si>
  <si>
    <t>W200x31</t>
  </si>
  <si>
    <t>W200x35</t>
  </si>
  <si>
    <t>W200x41</t>
  </si>
  <si>
    <t>W200x46</t>
  </si>
  <si>
    <t>W200x52</t>
  </si>
  <si>
    <t>W200x59</t>
  </si>
  <si>
    <t>W200x71</t>
  </si>
  <si>
    <t>W200x86</t>
  </si>
  <si>
    <t>W250x101</t>
  </si>
  <si>
    <t>W250x115</t>
  </si>
  <si>
    <t>W250x131</t>
  </si>
  <si>
    <t>W250x149</t>
  </si>
  <si>
    <t>W250x167</t>
  </si>
  <si>
    <t>W250x17</t>
  </si>
  <si>
    <t>W250x22</t>
  </si>
  <si>
    <t>W250x25</t>
  </si>
  <si>
    <t>W250x28</t>
  </si>
  <si>
    <t>W250x32</t>
  </si>
  <si>
    <t>W250x38</t>
  </si>
  <si>
    <t>W250x44</t>
  </si>
  <si>
    <t>W250x73</t>
  </si>
  <si>
    <t>W250x80</t>
  </si>
  <si>
    <t>W250x89</t>
  </si>
  <si>
    <t>W310x107</t>
  </si>
  <si>
    <t>W310x117</t>
  </si>
  <si>
    <t>W310x129</t>
  </si>
  <si>
    <t>W310x143</t>
  </si>
  <si>
    <t>W310x158</t>
  </si>
  <si>
    <t>W310x179</t>
  </si>
  <si>
    <t>W310x202</t>
  </si>
  <si>
    <t>W310x21</t>
  </si>
  <si>
    <t>W310x23</t>
  </si>
  <si>
    <t>W310x28</t>
  </si>
  <si>
    <t>W310x32</t>
  </si>
  <si>
    <t>W310x38</t>
  </si>
  <si>
    <t>W310x44</t>
  </si>
  <si>
    <t>W310x52</t>
  </si>
  <si>
    <t>W310x97</t>
  </si>
  <si>
    <t>W360x101</t>
  </si>
  <si>
    <t>W360x110</t>
  </si>
  <si>
    <t>W360x122</t>
  </si>
  <si>
    <t>W360x32</t>
  </si>
  <si>
    <t>W360x39</t>
  </si>
  <si>
    <t>W360x44</t>
  </si>
  <si>
    <t>W360x51</t>
  </si>
  <si>
    <t>W360x57</t>
  </si>
  <si>
    <t>W360x64</t>
  </si>
  <si>
    <t>W360x72</t>
  </si>
  <si>
    <t>W360x79</t>
  </si>
  <si>
    <t>W360x91</t>
  </si>
  <si>
    <t>W410x38</t>
  </si>
  <si>
    <t>W410x46</t>
  </si>
  <si>
    <t>W410x53</t>
  </si>
  <si>
    <t>W410x60</t>
  </si>
  <si>
    <t>W410x67</t>
  </si>
  <si>
    <t>W410x75</t>
  </si>
  <si>
    <t>W410x85</t>
  </si>
  <si>
    <t>W460x106</t>
  </si>
  <si>
    <t>W460x52</t>
  </si>
  <si>
    <t>W460x60</t>
  </si>
  <si>
    <t>W460x68</t>
  </si>
  <si>
    <t>W460x74</t>
  </si>
  <si>
    <t>W460x82</t>
  </si>
  <si>
    <t>W460x89</t>
  </si>
  <si>
    <t>W460x97</t>
  </si>
  <si>
    <t>W530x101</t>
  </si>
  <si>
    <t>W530x109</t>
  </si>
  <si>
    <t>W530x123</t>
  </si>
  <si>
    <t>W530x138</t>
  </si>
  <si>
    <t>W530x66</t>
  </si>
  <si>
    <t>W530x72</t>
  </si>
  <si>
    <t>W530x74</t>
  </si>
  <si>
    <t>W530x82</t>
  </si>
  <si>
    <t>W530x85</t>
  </si>
  <si>
    <t>W530x92</t>
  </si>
  <si>
    <t>W610x101</t>
  </si>
  <si>
    <t>W610x113</t>
  </si>
  <si>
    <t>W610x125</t>
  </si>
  <si>
    <t>W610x140</t>
  </si>
  <si>
    <t>W610x153</t>
  </si>
  <si>
    <t>W610x155</t>
  </si>
  <si>
    <t>W610x174</t>
  </si>
  <si>
    <t>W610x195</t>
  </si>
  <si>
    <t>W610x82</t>
  </si>
  <si>
    <t>W610x92</t>
  </si>
  <si>
    <t>W610x217</t>
  </si>
  <si>
    <t>W310x60</t>
  </si>
  <si>
    <t>W310x67</t>
  </si>
  <si>
    <t>W310x74</t>
  </si>
  <si>
    <t>Sustentação</t>
  </si>
  <si>
    <t>VP.01</t>
  </si>
  <si>
    <t>VP.02</t>
  </si>
  <si>
    <t>VP.03</t>
  </si>
  <si>
    <t>VP.04</t>
  </si>
  <si>
    <t>"Viga perimetral da fachada"</t>
  </si>
  <si>
    <t>VI.01</t>
  </si>
  <si>
    <t>VI.02</t>
  </si>
  <si>
    <t>VI.03</t>
  </si>
  <si>
    <t>VI.04</t>
  </si>
  <si>
    <t>é.bitola</t>
  </si>
  <si>
    <t>"Viga interior"</t>
  </si>
  <si>
    <t>é.pertencente.a</t>
  </si>
  <si>
    <t>Parafuso_01</t>
  </si>
  <si>
    <t>Parafuso_02</t>
  </si>
  <si>
    <t>Parafuso_03</t>
  </si>
  <si>
    <t>Parafuso_04</t>
  </si>
  <si>
    <t>Parafuso.Brocante</t>
  </si>
  <si>
    <t>Parafuso.Drywall</t>
  </si>
  <si>
    <t>Parafuso Drywall</t>
  </si>
  <si>
    <t>Parafuso Brocante</t>
  </si>
  <si>
    <t>Parafuso Autoatarraxante</t>
  </si>
  <si>
    <t>Parafuso.ASTM</t>
  </si>
  <si>
    <t>nome</t>
  </si>
  <si>
    <t>"ASTM A325"</t>
  </si>
  <si>
    <t>"ASTM A490"</t>
  </si>
  <si>
    <t>"ASTM A307B"</t>
  </si>
  <si>
    <t>"ASTM A394TO"</t>
  </si>
  <si>
    <t>"Parafuso estrutural de alta resistência ASTM A325"</t>
  </si>
  <si>
    <t>"Parafuso estrutural resistente a oxidação ASTM A307B"</t>
  </si>
  <si>
    <t>"Parafuso estrutural de alta resistência ASTM A394TO"</t>
  </si>
  <si>
    <t>"Parafuso estrutural de alta resistência ASTM A490"</t>
  </si>
  <si>
    <t>Parafuso estrutural ASTM linha pesada</t>
  </si>
  <si>
    <t>Parafuso.Auto.Atarraxante</t>
  </si>
  <si>
    <t>Placa de base</t>
  </si>
  <si>
    <t>Parafuso estrutural norma DIN</t>
  </si>
  <si>
    <t>Placa de interface aço-concreto</t>
  </si>
  <si>
    <t>"Perfil estrutural de aço W de abas paralelas iguais"</t>
  </si>
  <si>
    <t>"Perfil estrutural de aço HP de abas paralelas iguais"</t>
  </si>
  <si>
    <t>A572-50</t>
  </si>
  <si>
    <t>A572-60</t>
  </si>
  <si>
    <t>A36</t>
  </si>
  <si>
    <t>categoria.revit</t>
  </si>
  <si>
    <t>classe.ifc</t>
  </si>
  <si>
    <t xml:space="preserve">Placa para fechamento </t>
  </si>
  <si>
    <t>"Liga de aço carbono de baixa liga"</t>
  </si>
  <si>
    <t>"Liga de aço estrutural de alta resistência e baixa liga"</t>
  </si>
  <si>
    <t>limite.de.escoamento</t>
  </si>
  <si>
    <t>é.classe.de.aço</t>
  </si>
  <si>
    <t>Aço.da.Estrutura</t>
  </si>
  <si>
    <t>Aço.da.Fachada</t>
  </si>
  <si>
    <t>A242</t>
  </si>
  <si>
    <t>A588-A</t>
  </si>
  <si>
    <t>WS350-Gerdau</t>
  </si>
  <si>
    <t>Ligas de aço utilizadas no projeto</t>
  </si>
  <si>
    <t>Parafuso.DIN</t>
  </si>
  <si>
    <t>Estai</t>
  </si>
  <si>
    <t>"Aço utilizado na fachada do projeto"</t>
  </si>
  <si>
    <t>"Aço utilizado na estrutura do projeto"</t>
  </si>
  <si>
    <t>"Aço utilizado na estrutura principal do projeto"</t>
  </si>
  <si>
    <t>"Aço utilizado na estrutura secundária do projeto"</t>
  </si>
  <si>
    <t>"Aço utilizado nas estruturas de apoio do projeto"</t>
  </si>
  <si>
    <t>Chumbador.Interno</t>
  </si>
  <si>
    <t>Chumbador.Externo</t>
  </si>
  <si>
    <t>Chumbadores</t>
  </si>
  <si>
    <t>Chumbador localizado na região interna da placa de base</t>
  </si>
  <si>
    <t>Chumbador localizado na região externa da placa de base</t>
  </si>
  <si>
    <t>Elemento de acoragem</t>
  </si>
  <si>
    <t>Elemento de conector</t>
  </si>
  <si>
    <t>Membrana de fechamento</t>
  </si>
  <si>
    <t>Tensionadas</t>
  </si>
  <si>
    <t>Ligas de alumínio utilizadas no projeto</t>
  </si>
  <si>
    <t>Aleación de aluminio utilizadas en el proyecto</t>
  </si>
  <si>
    <t>Aleación de acero utilizadas en el proyecto</t>
  </si>
  <si>
    <t>Alumínio_7075</t>
  </si>
  <si>
    <t>Alumínio_6060</t>
  </si>
  <si>
    <t>"Liga de alumínio com média resistência mecânica, alta resistência à corrosão e excelente acabamento para anodização ou pintura eletrostática"</t>
  </si>
  <si>
    <t>"Liga de alumínio de alta resistência mecânica com teores maiores de de zinco e magnésio"</t>
  </si>
  <si>
    <t>CategoriaRvt</t>
  </si>
  <si>
    <t>ClasseIfc</t>
  </si>
  <si>
    <t>Da.Estrutura</t>
  </si>
  <si>
    <t>Ligas.Metálicas</t>
  </si>
  <si>
    <t>Aço.Estrutural</t>
  </si>
  <si>
    <t>Alumínio.Estrutural</t>
  </si>
  <si>
    <t>Pinos</t>
  </si>
  <si>
    <t>Treliça.Ponte</t>
  </si>
  <si>
    <t>Tensores</t>
  </si>
  <si>
    <t>Ancoragem.de.Estai</t>
  </si>
  <si>
    <t>Ancoragem.Acoplador</t>
  </si>
  <si>
    <t>Tensor.Barra</t>
  </si>
  <si>
    <t>Tensor.Bainha</t>
  </si>
  <si>
    <t>Tensor.Corda</t>
  </si>
  <si>
    <t>Tensor.Fio</t>
  </si>
  <si>
    <t>Tensor.Bainha.Acoplador</t>
  </si>
  <si>
    <t>Tensor.Trombeta</t>
  </si>
  <si>
    <t>Tensor.Injetor</t>
  </si>
  <si>
    <t>Tensor.Revestido</t>
  </si>
  <si>
    <t>Tensor.Bainha.Diabolo</t>
  </si>
  <si>
    <t>Tensor.Bainha.Cabo</t>
  </si>
  <si>
    <t>Parafusos</t>
  </si>
  <si>
    <t>Pino.de.Cisalhamento</t>
  </si>
  <si>
    <t>Fixações</t>
  </si>
  <si>
    <t>00.Super
Class
5</t>
  </si>
  <si>
    <t>Coluna.Soldada</t>
  </si>
  <si>
    <t>Viga.Soldada</t>
  </si>
  <si>
    <t>Coluna.Viga.Soldada</t>
  </si>
  <si>
    <t>Perfil metálico soldado para Vigas (VS). São perfis metálicos estruturais formados pela união de chapas de aço conectadas com soldagem.</t>
  </si>
  <si>
    <t>Perfil metálico soldado para Coluna e Viga  (CVS). São perfis metálicos estruturais formados pela união de chapas de aço conectadas com soldagem.</t>
  </si>
  <si>
    <t>Perfil metálico soldado para Coluna  (CS). São perfis metálicos estruturais formados pela união de chapas de aço conectadas com soldagem.</t>
  </si>
  <si>
    <t>Perfil.Laminado.I</t>
  </si>
  <si>
    <t>Perfil.Laminado.HP</t>
  </si>
  <si>
    <t>Perfil.Laminado.W</t>
  </si>
  <si>
    <t>Laminados</t>
  </si>
  <si>
    <t>Soldados</t>
  </si>
  <si>
    <t>Barras</t>
  </si>
  <si>
    <t>Treliçados</t>
  </si>
  <si>
    <t>Placas</t>
  </si>
  <si>
    <t>Placa.de.Base</t>
  </si>
  <si>
    <t>Placa.de.Interface</t>
  </si>
  <si>
    <t>Placa.de.Emenda</t>
  </si>
  <si>
    <t>Placa.de.Fechamento</t>
  </si>
  <si>
    <t>Placa.Enrijecedora</t>
  </si>
  <si>
    <t>Tesoura</t>
  </si>
  <si>
    <t>Treliça.Pratt</t>
  </si>
  <si>
    <t>Treliça de banzos paralelos com diagonais inclinadas para baixo no sentido do centro.</t>
  </si>
  <si>
    <t>Treliça.Howe</t>
  </si>
  <si>
    <t>Treliça de banzos paralelos com diagonais inclinadas para cima no sentido do centro.</t>
  </si>
  <si>
    <t>Treliça.Warren</t>
  </si>
  <si>
    <t>Treliça.Vierendeel</t>
  </si>
  <si>
    <t>Treliça de banzos paralelos com diagonais formando triângulos equiláteros ou isósceles.</t>
  </si>
  <si>
    <t>Treliça.Fink</t>
  </si>
  <si>
    <t>Treliças.Planas</t>
  </si>
  <si>
    <t>Treliça de banzos inclinados com diagonais em W ou M.</t>
  </si>
  <si>
    <t>Treliça de maior altura e sem diagonais. Formada por retânculos ou quadrados rígidos.</t>
  </si>
  <si>
    <t>Treliça plana de banzos inclinados para telhados residenciais.</t>
  </si>
  <si>
    <t>Barra.Hexagonal</t>
  </si>
  <si>
    <t>Barra.Redonda</t>
  </si>
  <si>
    <t>Perfil laminado a quente de aço aquecido e moldado por rolos industriais em formato I de abas paralelas com comprimentos de 6 a 12 m.</t>
  </si>
  <si>
    <t>Perfil laminado a quente de aço aquecido e moldado por rolos industriais em formato HP de abas paralelas com comprimentos de 6 a 12 m.</t>
  </si>
  <si>
    <t>Perfil laminado a quente de aço aquecido e moldado por rolos industriais em formato W de abas paralelas com comprimentos de 6 a 12 m.</t>
  </si>
  <si>
    <t>Treliça plana de banzos paralelos para pontes.</t>
  </si>
  <si>
    <t>Placa de emenda para unir peças metálicas</t>
  </si>
  <si>
    <t>Barra.Chata</t>
  </si>
  <si>
    <t>Barra chata</t>
  </si>
  <si>
    <t>Barras.Laminadas</t>
  </si>
  <si>
    <t>Barra.Quadrada</t>
  </si>
  <si>
    <t>Barras.Trefiladas</t>
  </si>
  <si>
    <t>Barra.Trefilada.Quadrada</t>
  </si>
  <si>
    <t>Barra.Trefilada.Redonda</t>
  </si>
  <si>
    <t>Barra.Trefilada.Hexagonal</t>
  </si>
  <si>
    <t>Barra redonda trefilada</t>
  </si>
  <si>
    <t>Barra quadrada trefilada</t>
  </si>
  <si>
    <t>Perfis.T</t>
  </si>
  <si>
    <t>Perfis.U</t>
  </si>
  <si>
    <t>Ancoragem.Extremo.Fixo</t>
  </si>
  <si>
    <t>Ancoragem.Extremo.Tensionado</t>
  </si>
  <si>
    <t>Estrutura</t>
  </si>
  <si>
    <t>Mastro.Estrutural</t>
  </si>
  <si>
    <t>Membrana.Estrutural</t>
  </si>
  <si>
    <t>Conector.Estrutural</t>
  </si>
  <si>
    <t>Ancora.Estrutural</t>
  </si>
  <si>
    <t>Treliça.Espacial.Reticulada</t>
  </si>
  <si>
    <t>Treliça.Espacial.Geodésica</t>
  </si>
  <si>
    <t>Treliça.Espacial.Piramidal</t>
  </si>
  <si>
    <t>Treliça espacial formada por duas ou mais camadas de barras iguais dispostas em malha quadrada ou retangular.</t>
  </si>
  <si>
    <t>Treliça.Espacial.Octaédrica</t>
  </si>
  <si>
    <t>Treliça de módulos espaciais de formação mista de barras iguais.</t>
  </si>
  <si>
    <t>Treliça espacial formada por módulos espaciais de octaedros de barras iguais.</t>
  </si>
  <si>
    <t>Treliça espacial formada por módulos espaciais piramidais de barras iguais.</t>
  </si>
  <si>
    <t>Treliça espacial formada como uma cúpula geodésica de triânculos equiláteros ou quase equiláteros.</t>
  </si>
  <si>
    <t>Treliças.Espaciais</t>
  </si>
  <si>
    <t>Treliça.Espacial.Arqueada</t>
  </si>
  <si>
    <t>Treliça espacial formada como uma abóbada ou curvaturas de triânculos equiláteros ou quase equiláteros.</t>
  </si>
  <si>
    <t>Treliça.Espacial.Híbrida</t>
  </si>
  <si>
    <t>Perfil metálico soldado para columna y viga (CVS). Son perfiles metálicos estructurales formados por la unión de placas de acero conectadas con soldadura.</t>
  </si>
  <si>
    <t>Perfil metálico soldado para columna (CS). Son perfiles metálicos estructurales formados por la unión de placas de acero conectadas con soldadura.</t>
  </si>
  <si>
    <t>Perfil metálico soldado para vigas (VS). Son perfiles metálicos estructurales formados por la unión de placas de acero conectadas con soldadura.</t>
  </si>
  <si>
    <t>Perfil laminado en caliente fabricado en acero calentado y conformado por rodillos industriales en forma de I con láminas paralelas con longitudes de 6 a 12 m.</t>
  </si>
  <si>
    <t>Perfil laminado en caliente fabricado en acero calentado y conformado por rodillos industriales en formato HP con láminas paralelas con longitudes de 6 a 12 m.</t>
  </si>
  <si>
    <t>Perfil laminado en caliente fabricado en acero calentado y conformado por rodillos industriales en forma de W con láminas paralelas con longitudes de 6 a 12 m.</t>
  </si>
  <si>
    <t>Placa base</t>
  </si>
  <si>
    <t>Placa de interfaz acero-hormigón</t>
  </si>
  <si>
    <t>Placa de empalme para unir piezas metálicas</t>
  </si>
  <si>
    <t>Placa para cierre</t>
  </si>
  <si>
    <t>Barra plana</t>
  </si>
  <si>
    <t>Cercha de bridas paralelas con diagonales inclinadas hacia abajo hacia el centro.</t>
  </si>
  <si>
    <t>Cercha de bridas paralelas con diagonales inclinadas hacia arriba hacia el centro.</t>
  </si>
  <si>
    <t>Entramado de bridas paralelas con diagonales formando triángulos equiláteros o isósceles.</t>
  </si>
  <si>
    <t>Cercha con bridas inclinadas con diagonales W o M.</t>
  </si>
  <si>
    <t>Cercha con mayor altura y sin diagonales. Formado por rectáculos rígidos o cuadrados.</t>
  </si>
  <si>
    <t>Cercha plana de bridas inclinadas para techos residenciales.</t>
  </si>
  <si>
    <t>Cercha plana con bridas paralelas para puentes.</t>
  </si>
  <si>
    <t>Cercha espacial formada por dos o más capas de barras iguales dispuestas en una malla cuadrada o rectangular.</t>
  </si>
  <si>
    <t>Cercha espacial formada como una cúpula geodésica de triángulos equiláteros o casi equiláteros.</t>
  </si>
  <si>
    <t>Cercha espacial formada como bóveda o curvaturas de tricculles equiláteros o casi equiláteros.</t>
  </si>
  <si>
    <t>Cercha espacial formada por módulos espaciales piramidales de barras iguales.</t>
  </si>
  <si>
    <t>Cercha espacial formada por módulos espaciales de octaedros de barras iguales.</t>
  </si>
  <si>
    <t>Armadura de módulos espaciales de formación mixta de barras iguales.</t>
  </si>
  <si>
    <t>Elemento de anclaje</t>
  </si>
  <si>
    <t>Elemento conector</t>
  </si>
  <si>
    <t>Membrana de cierre</t>
  </si>
  <si>
    <t>Perno de anclaje ubicado en la región interior de la placa base</t>
  </si>
  <si>
    <t>Perno de anclaje ubicado en la región exterior de la placa base</t>
  </si>
  <si>
    <t>Perno estructural estándar DIN</t>
  </si>
  <si>
    <t>Perno estructural de rosca de servicio pesado ASTM</t>
  </si>
  <si>
    <t>Tornillo para paneles de yeso</t>
  </si>
  <si>
    <t>Tornillo de perforación</t>
  </si>
  <si>
    <t>Tornillo autorroscante</t>
  </si>
  <si>
    <t>Perfil laminado en caliente de acero calentado y conformado por rodillos industriales en forma de T.</t>
  </si>
  <si>
    <t>Perfil de acero laminado en caliente calentado y moldeado por rodillos industriales en forma de U.</t>
  </si>
  <si>
    <t>Perfil de acero laminado en caliente calentado y moldeado por rodillos industriales en forma de U endurecida.</t>
  </si>
  <si>
    <t>Perfil laminado en caliente de acero calentado y conformado por rodillos industriales en forma de L con láminas iguales.</t>
  </si>
  <si>
    <t>Perfil laminado en caliente de acero calentado y conformado por rodillos industriales en forma de L con láminas irregulares.</t>
  </si>
  <si>
    <t>Perfil laminado a quente de aço aquecido e moldado por rolos industriais em formato T.</t>
  </si>
  <si>
    <t>Perfil laminado a quente de aço aquecido e moldado  por rolos industriais em formato U.</t>
  </si>
  <si>
    <t>Perfil laminado a quente de aço aquecido e  moldado  por rolos industriais em formato U enrijecido.</t>
  </si>
  <si>
    <t>Perfil laminado a quente de aço aquecido e  moldado  por rolos industriais em formato L de abas iguais.</t>
  </si>
  <si>
    <t>Perfil laminado a quente de aço aquecido e  moldado  por rolos industriais em formato L de abas desiguais.</t>
  </si>
  <si>
    <t>Barra laminada redonda</t>
  </si>
  <si>
    <t>Barra laminada hexagonal</t>
  </si>
  <si>
    <t>Barra laminada quadrada</t>
  </si>
  <si>
    <t>Barra laminada cuadrada</t>
  </si>
  <si>
    <t>Barra trefilada redonda</t>
  </si>
  <si>
    <t>Barra trefilada hexagonal</t>
  </si>
  <si>
    <t>Barra trefilada cuadrada</t>
  </si>
  <si>
    <t>Emplacados</t>
  </si>
  <si>
    <t>Placa.de.Cumeeira</t>
  </si>
  <si>
    <t>Placa para conectar a coluna e a viga do pórtico de um galpão metálico.</t>
  </si>
  <si>
    <t>Placa para conectar as vigas do pórtico de um galpão metálico.</t>
  </si>
  <si>
    <t>Placa para conectar la columna y la viga del pórtico de un cobertizo metálico.</t>
  </si>
  <si>
    <t>Placa para conectar las vigas de pórtico de un cobertizo metálico.</t>
  </si>
  <si>
    <t>Placa.de.Mísula</t>
  </si>
  <si>
    <t>Galpões</t>
  </si>
  <si>
    <t>Barra.Contraventamento</t>
  </si>
  <si>
    <t>Barra.Comprimida</t>
  </si>
  <si>
    <t>Barra.Tracionada</t>
  </si>
  <si>
    <t>Barra comprimida de um contraventamento.</t>
  </si>
  <si>
    <t>Barra tracionada de um contraventamento.</t>
  </si>
  <si>
    <t>Barra de um contraventamento.</t>
  </si>
  <si>
    <t>Barra de um arriostramiento.</t>
  </si>
  <si>
    <t>Barra comprimida de um arriostramiento.</t>
  </si>
  <si>
    <t>Barra tracionada de um arriostramiento.</t>
  </si>
  <si>
    <t>Barras.Montantes</t>
  </si>
  <si>
    <t>Barras.Diagonais</t>
  </si>
  <si>
    <t>Barra.Diagonal</t>
  </si>
  <si>
    <t>Barra.Montante</t>
  </si>
  <si>
    <t>Banzos</t>
  </si>
  <si>
    <t>Banzo.Superior</t>
  </si>
  <si>
    <t>Banzo.Inferior</t>
  </si>
  <si>
    <t>Banzo superior de uma treliça.</t>
  </si>
  <si>
    <t>Banzo inferior de uma treliça.</t>
  </si>
  <si>
    <t>Barra diagonal uma estrutura.</t>
  </si>
  <si>
    <t>Barra montante uma estrutura.</t>
  </si>
  <si>
    <t>Barra montante de una cercha.</t>
  </si>
  <si>
    <t>Barra diagonal de una estructura.</t>
  </si>
  <si>
    <t>Banzo superior de na estructura.</t>
  </si>
  <si>
    <t>Banzo inferior de una estructura.</t>
  </si>
  <si>
    <t>é.membro.de some Treliças.Planas</t>
  </si>
  <si>
    <t>ContraVentamento.Horizontal.X</t>
  </si>
  <si>
    <t>ContraVentamento.Vertical</t>
  </si>
  <si>
    <t>ContraVentamento.Vertical.X</t>
  </si>
  <si>
    <t>ContraVentamento.Vertical.K</t>
  </si>
  <si>
    <t>ContraVentamento.Vertical.V</t>
  </si>
  <si>
    <t>Barras.Contraventamentos</t>
  </si>
  <si>
    <t>ContraVentamentos</t>
  </si>
  <si>
    <t>ContraVentamentos.Horizontais</t>
  </si>
  <si>
    <t>ContraVentamentos.Verticais</t>
  </si>
  <si>
    <t>ContraVentamento.Vertical.VI</t>
  </si>
  <si>
    <t>é.membro.de some ContraVentamentos</t>
  </si>
  <si>
    <t>é.membro.de some Treliçados</t>
  </si>
  <si>
    <t>é.montante.de some Treliçados</t>
  </si>
  <si>
    <t>é.diagonal.de some Treliçados</t>
  </si>
  <si>
    <t>é.banzo.superior.de some Treliçados</t>
  </si>
  <si>
    <t>é.banzo.inferior.de some Treliçados</t>
  </si>
  <si>
    <t>ContraVentamentos.Cabos</t>
  </si>
  <si>
    <t>ContraVentamento.Cabo</t>
  </si>
  <si>
    <t>ContraVentamento.Horizontal.K</t>
  </si>
  <si>
    <t>ContraVentamento.Horizontal.V</t>
  </si>
  <si>
    <t>ContraVentamento.Horizontal.VI</t>
  </si>
  <si>
    <t>Arriostramiento con cable tensado. El refuerzo aumenta la rigidez general de la estructura metálica y ayuda a reducir el peso y la eficiencia de las piezas.</t>
  </si>
  <si>
    <t xml:space="preserve"> Contraventamento com cabo tensionado. Contraventamentos aumentam a rigidez global da estrutura metálica e ajudam a reduzir o peso e a eficiência das peças.</t>
  </si>
  <si>
    <t>Arriostramiento diagonal horizontal. El refuerzo aumenta la rigidez general de la estructura metálica y ayuda a reducir el peso y la eficiencia de las piezas.</t>
  </si>
  <si>
    <t>Arriostramiento diagonal vertical. El refuerzo aumenta la rigidez general de la estructura metálica y ayuda a reducir el peso y la eficiencia de las piezas.</t>
  </si>
  <si>
    <t>ContraVentamento.Horizontal.Diagonal</t>
  </si>
  <si>
    <t>ContraVentamento.Horizontal.Delta</t>
  </si>
  <si>
    <t>ContraVentamento.Vertical.Delta</t>
  </si>
  <si>
    <t>Contraventamento Delta horizontal. Contraventamentos aumentam a rigidez global da estrutura metálica e ajudam a reduzir o peso e a eficiência das peças.</t>
  </si>
  <si>
    <t>Contraventamento V invertido horizontal. Contraventamentos aumentam a rigidez global da estrutura metálica e ajudam a reduzir o peso e a eficiência das peças.</t>
  </si>
  <si>
    <t>Contraventamento V horizontal. Contraventamentos aumentam a rigidez global da estrutura metálica e ajudam a reduzir o peso e a eficiência das peças.</t>
  </si>
  <si>
    <t>Contraventamento K horizontal. Contraventamentos aumentam a rigidez global da estrutura metálica e ajudam a reduzir o peso e a eficiência das peças.</t>
  </si>
  <si>
    <t>Contraventamento Diagonal horizontal. Contraventamentos aumentam a rigidez global da estrutura metálica e ajudam a reduzir o peso e a eficiência das peças.</t>
  </si>
  <si>
    <t>Contraventamento Cruzado horizontal. Contraventamentos aumentam a rigidez global da estrutura metálica e ajudam a reduzir o peso e a eficiência das peças.</t>
  </si>
  <si>
    <t>Contraventamento Diagonal vertical. Contraventamentos aumentam a rigidez global da estrutura metálica e ajudam a reduzir o peso e a eficiência das peças.</t>
  </si>
  <si>
    <t>Contraventamento Cruzado vertical. Contraventamentos aumentam a rigidez global da estrutura metálica e ajudam a reduzir o peso e a eficiência das peças.</t>
  </si>
  <si>
    <t>Contraventamento K vertical. Contraventamentos aumentam a rigidez global da estrutura metálica e ajudam a reduzir o peso e a eficiência das peças.</t>
  </si>
  <si>
    <t>Contraventamento V vertical. Contraventamentos aumentam a rigidez global da estrutura metálica e ajudam a reduzir o peso e a eficiência das peças.</t>
  </si>
  <si>
    <t>Contraventamento V invertido vertical. Contraventamentos aumentam a rigidez global da estrutura metálica e ajudam a reduzir o peso e a eficiência das peças.</t>
  </si>
  <si>
    <t>Arriostramiento horizontal K. El refuerzo aumenta la rigidez general de la estructura metálica y ayuda a reducir el peso y la eficiencia de las piezas.</t>
  </si>
  <si>
    <t>Arriostramiento horizontal en V. El refuerzo aumenta la rigidez general de la estructura metálica y ayuda a reducir el peso y la eficiencia de las piezas.</t>
  </si>
  <si>
    <t>Arriostramiento horizontal en V invertido. El refuerzo aumenta la rigidez general de la estructura metálica y ayuda a reducir el peso y la eficiencia de las piezas.</t>
  </si>
  <si>
    <t>Arriostramiento Delta horizontal. El refuerzo aumenta la rigidez general de la estructura metálica y ayuda a reducir el peso y la eficiencia de las piezas.</t>
  </si>
  <si>
    <t>Arriostramiento vertical K. El refuerzo aumenta la rigidez general de la estructura metálica y ayuda a reducir el peso y la eficiencia de las piezas.</t>
  </si>
  <si>
    <t>Arriostramiento vertical en V. El refuerzo aumenta la rigidez general de la estructura metálica y ayuda a reducir el peso y la eficiencia de las piezas.</t>
  </si>
  <si>
    <t>Arriostramiento vertical en V invertido. El refuerzo aumenta la rigidez general de la estructura metálica y ayuda a reducir el peso y la eficiencia de las piezas.</t>
  </si>
  <si>
    <t>Arriostramiento transversal X horizontal. El refuerzo aumenta la rigidez general de la estructura metálica y ayuda a reducir el peso y la eficiencia de las piezas.</t>
  </si>
  <si>
    <t>Arriostramiento transversal X vertical. El refuerzo aumenta la rigidez general de la estructura metálica y ayuda a reducir el peso y la eficiencia de las piezas.</t>
  </si>
  <si>
    <t>Perfis.Z</t>
  </si>
  <si>
    <t>Perfil.Z</t>
  </si>
  <si>
    <t>Perfil laminado a quente de aço aquecido e  moldado  por rolos industriais em formato Z.</t>
  </si>
  <si>
    <t>Perfil de acero laminado en caliente calentado y moldeado por rodillos industriales en forma de Z.</t>
  </si>
  <si>
    <t>Perfil.UE</t>
  </si>
  <si>
    <t>Terças</t>
  </si>
  <si>
    <t>Terça.Fachada</t>
  </si>
  <si>
    <t>Terça.Cobertura</t>
  </si>
  <si>
    <t>Terças para cobertura de estrutura metálica colocadas a 1,50 m para suportar o telhado.</t>
  </si>
  <si>
    <t>Terças para suporte de elementos de fachada colocadas a 1,50 m para suportar paineis verticais.</t>
  </si>
  <si>
    <t>Terça.Cartola</t>
  </si>
  <si>
    <t>Perfis.S</t>
  </si>
  <si>
    <t>Perfis.L</t>
  </si>
  <si>
    <t>Cantoneira.Abas.Desiguais</t>
  </si>
  <si>
    <t>Perfil.Sigma</t>
  </si>
  <si>
    <t>Cantoneira</t>
  </si>
  <si>
    <t>Perfil laminado a quente de aço aquecido e moldado por rolos industriais em formato S (Sigma).</t>
  </si>
  <si>
    <t>Perfil laminado en caliente de acero calentado y conformado por rodillos industriales en forma de S (Sigma).</t>
  </si>
  <si>
    <t>Estrutura.Fechamento</t>
  </si>
  <si>
    <t>Telhas.Perfiladas</t>
  </si>
  <si>
    <t>Telha.Ondulada</t>
  </si>
  <si>
    <t>Sistemas.Perfilados</t>
  </si>
  <si>
    <t>Telha.Zipada</t>
  </si>
  <si>
    <t>Frechal de alinhamento de terças.</t>
  </si>
  <si>
    <t>Correas para cubiertas de estructura metálica colocadas a 1,50 m para soportar la cubierta.</t>
  </si>
  <si>
    <t>Correas para soportar elementos de fachada colocados a 1,50 m para soportar paneles verticales.</t>
  </si>
  <si>
    <t>Alineación de las correas.</t>
  </si>
  <si>
    <t>Perfis.LSTUZ</t>
  </si>
  <si>
    <t>Conexão.Estrutural</t>
  </si>
  <si>
    <t>Perfis.Tubulares</t>
  </si>
  <si>
    <t>Perfil tubular de seção circular.</t>
  </si>
  <si>
    <t>Perfil tubular de seção quadrada.</t>
  </si>
  <si>
    <t>Perfil tubular de sección cuadrada.</t>
  </si>
  <si>
    <t>Perfil tubular de sección circular.</t>
  </si>
  <si>
    <t>Perfil tubular de sección rectangular.</t>
  </si>
  <si>
    <t>Perfil tubular de seção retangular.</t>
  </si>
  <si>
    <t>Seção.Quadrada</t>
  </si>
  <si>
    <t>Seção.Retangular</t>
  </si>
  <si>
    <t>Seção.Circular</t>
  </si>
  <si>
    <t>é.membro.de some Terças</t>
  </si>
  <si>
    <t>Frechal.Alinhamento</t>
  </si>
  <si>
    <t>Terças.de.Suporte</t>
  </si>
  <si>
    <t>Frechais</t>
  </si>
  <si>
    <t>Painel Térmico com núcleo EPS atende demandas de isolamento térmico em ambientes que exigem controle de temperatura rigoroso, como frigoríficos e câmaras frias.</t>
  </si>
  <si>
    <t>Sistema de telha zipada sanduíche é aplicado em coberturas com baixa inclinação e grandes áreas, oferecendo isolamento térmico e estanqueidade sem a necessidade de furações.</t>
  </si>
  <si>
    <t>Sistemas.Sanduíches</t>
  </si>
  <si>
    <t>Paineis.Sanduíches</t>
  </si>
  <si>
    <t>Telhas.Sanduíches</t>
  </si>
  <si>
    <t>Painel.Sanduíche.Térmico</t>
  </si>
  <si>
    <t>Telha.Sanduíche.Zipada</t>
  </si>
  <si>
    <t>Sistema de telha sanduíche zipada é aplicado em coberturas com baixa inclinação e grandes áreas, oferecendo isolamento térmico e estanqueidade sem a necessidade de furações.</t>
  </si>
  <si>
    <t>Telha.Trapezoidal</t>
  </si>
  <si>
    <t>Telha.Sanduíche.Trapezoidal</t>
  </si>
  <si>
    <t>Telha sanduíche trapezoidal isotérmica oferece conforto térmico e economia de energia. Com três trapézios tem grande resistência mecânica, ideal para coberturas que demandam maior espaçamento entre terças ajundando a reduzir a estrutura de sustentação.</t>
  </si>
  <si>
    <t>Telha Ondulada composta por camadas de aço Galvalume e núcleo de PIR, com excelente isolamento térmico e resistência a intempéries, para projetos residenciais e comerciais.</t>
  </si>
  <si>
    <t>Telha.Sanduíche.Ondulada</t>
  </si>
  <si>
    <t>Telha Trapezoidal</t>
  </si>
  <si>
    <t>Telha.Sanduíche.Solar</t>
  </si>
  <si>
    <t>Telha sanduíche trapezoidal isotérmica oferece conforto térmico e economia de energia. Com trapézios de formato adaptado para colocação de paineis solares integrados à cobertura.</t>
  </si>
  <si>
    <t>Painel.Sanduíche.Fachada</t>
  </si>
  <si>
    <t>Painel Sandwich para fachadas de núcleos em PIR AP revestidos por chapas de aço pré-pintad. Proporcionam acabamento arquitetônico com sistema de encaixe oculto. Fabricados com injeção de espuma em alta pressão garantem uniformidade de isolamento.</t>
  </si>
  <si>
    <t>Placa.Gusset</t>
  </si>
  <si>
    <t>Chapas</t>
  </si>
  <si>
    <t>SteelDecks</t>
  </si>
  <si>
    <t>SteelDeck.Trapezoidal</t>
  </si>
  <si>
    <t>Sistema SteelDeck para laje de alta resistência, composto por uma chapa de aço perfilada trapezoidal como fôrma para concretagem. Aço ZAR 280. Espessuras de 0,8 mm, 0,95 e 1,25 mm. Comprimento 12 m, Largura de cobertura 0,85 m.</t>
  </si>
  <si>
    <t>Sistema SteelDeck para losa de alta resistencia, compuesto por una chapa de acero perfilada trapezoidal a modo de encofrado de hormigón. Acero ZAR 280. Espesores de 0,8 mm, 0,95 y 1,25 mm. Longitud 12 m, Ancho de cubierta 0,85 m.</t>
  </si>
  <si>
    <t>Placa Gusset é usada para conectar barras diagonais, montantes e banzos em nós de treliças metálicas.</t>
  </si>
  <si>
    <t>Placa Gusset é usada para conectar barras diagonales, montantes y bridas en nudos de cerchas metálicas.</t>
  </si>
  <si>
    <t>Galpão metálico</t>
  </si>
  <si>
    <t>Galpão metálico de múltiples módulos.</t>
  </si>
  <si>
    <t xml:space="preserve">Galpão metálico com anexo adjacente. </t>
  </si>
  <si>
    <t>Ancoragem de Estai</t>
  </si>
  <si>
    <t>Ancoragem Acoplador</t>
  </si>
  <si>
    <t>Ancoragem Extremo Fixo</t>
  </si>
  <si>
    <t>Ancoragem Extremo Tensionado</t>
  </si>
  <si>
    <t>Tensor Barra</t>
  </si>
  <si>
    <t>Tensor Revestido</t>
  </si>
  <si>
    <t>Tensor Bainha</t>
  </si>
  <si>
    <t>Tensor Bainha Acoplador</t>
  </si>
  <si>
    <t>Tensor Bainha Diabolo</t>
  </si>
  <si>
    <t>Tensor Bainha Cabo</t>
  </si>
  <si>
    <t>Tensor Injetor</t>
  </si>
  <si>
    <t>Tensor Trombeta</t>
  </si>
  <si>
    <t>Tensor Corda</t>
  </si>
  <si>
    <t>Tensor Fio</t>
  </si>
  <si>
    <t>Mastro Estrutural</t>
  </si>
  <si>
    <t>Cobertizo de metal</t>
  </si>
  <si>
    <t>Cobertizo metálico de múltiples módulos.</t>
  </si>
  <si>
    <t>Cobertizo de metal con anexo adyacente.</t>
  </si>
  <si>
    <t>Acoplador de anclaje</t>
  </si>
  <si>
    <t>Anclaje extremo fijo</t>
  </si>
  <si>
    <t>Anclaje tensado extremo</t>
  </si>
  <si>
    <t>Barra tensora</t>
  </si>
  <si>
    <t>Tensor recubierto</t>
  </si>
  <si>
    <t>Funda del tensor</t>
  </si>
  <si>
    <t>Acoplador de vaina tensora</t>
  </si>
  <si>
    <t>Tensor de funda Diabolo</t>
  </si>
  <si>
    <t>Cable de funda tensor</t>
  </si>
  <si>
    <t>Tensor del inyector</t>
  </si>
  <si>
    <t>Tensor de trompeta</t>
  </si>
  <si>
    <t>Tensor de cuerda</t>
  </si>
  <si>
    <t>Tensor de alambre</t>
  </si>
  <si>
    <t>Mástil estructural</t>
  </si>
  <si>
    <t>Panel sándwich para fachadas con núcleos PIR AP recubiertos de chapas de acero prepintadas. Proporcionan un acabado arquitectónico con un sistema de herrajes oculto. Fabricados con inyección de espuma a alta presión, garantizan la uniformidad del aislamiento.</t>
  </si>
  <si>
    <t>El panel térmico con núcleo de EPS cumple con las demandas de aislamiento térmico en entornos que requieren un estricto control de temperatura, como refrigeradores y cámaras frigoríficas.</t>
  </si>
  <si>
    <t>El sistema de teja sándwich con cremallera se aplica a cubiertas con baja pendiente y grandes superficies, ofreciendo aislamiento térmico y estanqueidad sin necesidad de perforación.</t>
  </si>
  <si>
    <t>Lámina Corrugada para Techos compuesta por capas de acero Galvalume y núcleo PIR, con excelente aislamiento térmico y resistencia a la intemperie, para proyectos residenciales y comerciales.</t>
  </si>
  <si>
    <t>La baldosa sándwich trapezoidal isotérmica ofrece confort térmico y ahorro energético. Con tres trapecios, tiene una gran resistencia mecánica, ideal para cubiertas que requieren un mayor espacio entre correas, ayudando a reducir la estructura de soporte.</t>
  </si>
  <si>
    <t>La baldosa sándwich trapezoidal isotérmica ofrece confort térmico y ahorro energético. Con trapecios de forma adaptada para la colocación de paneles solares integrados en el techo.</t>
  </si>
  <si>
    <t>Teja trapezoidal</t>
  </si>
  <si>
    <t>Cabo de sustentación o suspensión.</t>
  </si>
  <si>
    <t>Anclaje del cabo de sustentación o suspensión.</t>
  </si>
  <si>
    <t>Pórticos.de.Galpões</t>
  </si>
  <si>
    <t>Pórtico.Galpão</t>
  </si>
  <si>
    <t>Pórtico.Galpão.e.Anexo</t>
  </si>
  <si>
    <t>Pórtico.Galpão.Vãos.Múltiplos</t>
  </si>
  <si>
    <t>Tirantes</t>
  </si>
  <si>
    <t>Tirante.Beiral</t>
  </si>
  <si>
    <t>Tirante.Terça</t>
  </si>
  <si>
    <t>Tirante.Cumeeira</t>
  </si>
  <si>
    <t>Conexão metálica na junção entre a viga inclinada (rafter) e a coluna vertical no ponto onde o telhado encontra a parede latera.</t>
  </si>
  <si>
    <t>Conexão metálica na junção entre a viga inclinada (rafter) e a terça.</t>
  </si>
  <si>
    <t>Conexão metálica na junção entre as vigas inclinadas do pórtico.</t>
  </si>
  <si>
    <t>Conexión metálica en la unión entre las vigas inclinadas del pórtico.</t>
  </si>
  <si>
    <t>Conexión metálica en la unión entre la viga inclinada y la columna vertical en el punto donde el techo se encuentra con la pared lateral.</t>
  </si>
  <si>
    <t>Conexión metálica en la unión entre la viga inclinada y la correa.</t>
  </si>
  <si>
    <t>é.mísula.de some Pórticos.de.Galpões</t>
  </si>
  <si>
    <t>é.cumeeira.de some Pórticos.de.Galpões</t>
  </si>
  <si>
    <t>Ancoras</t>
  </si>
  <si>
    <t>Armaduras</t>
  </si>
  <si>
    <t>Vergalhão</t>
  </si>
  <si>
    <t>Vergalhão.Nervurado</t>
  </si>
  <si>
    <t>Vergalhão.Liso</t>
  </si>
  <si>
    <t>Vergalhões</t>
  </si>
  <si>
    <t>Vergalhão.GG70</t>
  </si>
  <si>
    <t>Estribos</t>
  </si>
  <si>
    <t>Vergalhão produzido pela Gerdau. O GG 70 se destaca como uma solução de alta performance que redefine os padrões estruturais, oferecendo mais resistência, produtividade e racionalização de recursos. É produzido em Aço CA-70.</t>
  </si>
  <si>
    <t>Vergalhão para concreto armado.</t>
  </si>
  <si>
    <t>Vergalhão liso para concreto armado. Geralmente usado quando a aderência não é uma preocupação primordial, como em lajes e pisos. Pode ser em Aço CA-25.</t>
  </si>
  <si>
    <t>Vergalhão nervurado para concreto armado. Apresentam saliências ao longo de sua superfície, com aderência superior ao concreto. Usados em elementos estruturais sujeitos a cargas elevadas, como vigas e pilares. Podem ser produzidos em Aço CA-50, CA-60 e CA-70.</t>
  </si>
  <si>
    <t>Barras de refuerzo para hormigón armado.</t>
  </si>
  <si>
    <t>Barras de refuerzo lisas para hormigón armado. Generalmente se usa cuando la adhesión no es una preocupación principal, como en losas y pisos. Puede ser de acero CA-25.</t>
  </si>
  <si>
    <t>Barras de refuerzo nervadas para hormigón armado. Tienen protuberancias a lo largo de su superficie, con una adhesión superior al hormigón. Se utiliza en elementos estructurales sometidos a altas cargas, como vigas y pilares. Se pueden producir en acero CA-50, CA-60 y CA-70.</t>
  </si>
  <si>
    <t>Barras de refuerzo producidas por Gerdau. El GG 70 se destaca como una solución de alto rendimiento que redefine los estándares estructurales, ofreciendo más resistencia, productividad y racionalización de recursos. Está fabricado en acero CA-70.</t>
  </si>
  <si>
    <t>Estribo.Retangular</t>
  </si>
  <si>
    <t>Estribo.Circular</t>
  </si>
  <si>
    <t>Estribo.Diagonal</t>
  </si>
  <si>
    <t>Estribo.Helicoidal</t>
  </si>
  <si>
    <t>Estribo que aumenta a resistência contra esforços diagonais em vigas e pilares.</t>
  </si>
  <si>
    <t>Estribo para resistir esforços cortantes e manter vergalhões na posição. Garantem distribuição uniforme dos esforços.</t>
  </si>
  <si>
    <t>Estribo usado em fôrmas circulares e tubulões.</t>
  </si>
  <si>
    <t>Estribo utilizado em estruturas sujeitas a grandes esforços de torção.</t>
  </si>
  <si>
    <t>Estribo para resistir las fuerzas de corte y mantener las barras de refuerzo en su posición. Aseguran una distribución uniforme de los esfuerzos.</t>
  </si>
  <si>
    <t>Estribo utilizado en encofrados circulares y tuberías.</t>
  </si>
  <si>
    <t>Estribo que aumenta la resistencia a los esfuerzos diagonales en vigas y pilares.</t>
  </si>
  <si>
    <t>Estribo utilizado en estructuras sometidas a altos esfuerzos de torsión.</t>
  </si>
  <si>
    <t>Pino de cisalhamento para lajes Steel Deck</t>
  </si>
  <si>
    <t>Studs de anclaje para resistir fuerzas cortantes.</t>
  </si>
  <si>
    <t>Prontas</t>
  </si>
  <si>
    <t>Armadura.APS</t>
  </si>
  <si>
    <t>Armadura pronta soldada (APS). Entregue pronta no canteiro, de acordo com o projeto da obra. As peças são entregues identificadas e de acordo com o cronograma de execução da obra.</t>
  </si>
  <si>
    <t>Fôrma.Incorporada</t>
  </si>
  <si>
    <t>Fôrma incorporada é produzida com painéis de aço galvanizado de 0,5 mm de espessura com perfurações, entregues com espaçadores plásticos e grampos galvanizados para aplicação permanente que substitui à fôrma convencional temporária, eliminando a etapa de desfôrma.</t>
  </si>
  <si>
    <t>Fôrma.Incorporada.APS</t>
  </si>
  <si>
    <t>Fôrma incorporada montada com armadura pronta soldada (APS).</t>
  </si>
  <si>
    <t>Refuerzo listo soldado (APS). Entregado listo en el sitio, de acuerdo con el proyecto de la obra. Las piezas se entregan identificadas y de acuerdo al cronograma de ejecución de la obra.</t>
  </si>
  <si>
    <t>El encofrado empotrado se produce con paneles de acero galvanizado de 0,5 mm de espesor con perforaciones, entregados con espaciadores de plástico y abrazaderas galvanizadas para aplicación permanente que reemplaza el encofrado convencional temporal, eliminando el paso de encofrado.</t>
  </si>
  <si>
    <t>Encofrado empotrado montado con armadura soldada (APS).</t>
  </si>
  <si>
    <t>Tela.Soldada</t>
  </si>
  <si>
    <t>Produzida em aço CA-60 nervurado e aço GG-50. Tela Soldada Nervurada é fornecida em painéis e formada por fios ou barras soldadas em todos os pontos de cruzamento configurando a malha de controle de fissuramento e resistência mecânica.</t>
  </si>
  <si>
    <t>Fabricado en acero CA-60 acanalado y acero GG-50. La malla soldada acanalada se suministra en paneles y está formada por alambres o barras soldadas en todos los puntos de cruce, configurando la malla de control de agrietamiento y la resistencia mecánica.</t>
  </si>
  <si>
    <t>é.membro.de some Estrutura.Principal</t>
  </si>
  <si>
    <t>Tipos.Estruturais</t>
  </si>
  <si>
    <t>Corten-A</t>
  </si>
  <si>
    <t>SameAs</t>
  </si>
  <si>
    <t>"Liga de aço de alta resistência composto por carbono, cobre, crómo, níquel, fósforo, enxofre, manganês, silício e vanádio. É um aço que cria uma pátina de ferrugem estável e resiste à corrosão atmosférica"</t>
  </si>
  <si>
    <t>"Em aplicação arquitetônica não estrutural como revestimentos de fachada, por exemplo."</t>
  </si>
  <si>
    <t>usado.em</t>
  </si>
  <si>
    <t>limite.de.resistência</t>
  </si>
  <si>
    <t>"Liga de aço patinável resistente à intempérie produzida pela Gerdau. Cumpre índice de corrosión ASTM G101 (6.3.1) ≥ 6,0"</t>
  </si>
  <si>
    <t>"Usar elementos de ligação de alta resistência, como parafusos, porcas e arruelas que cumpram à composição química prescrita em ASTM A325, Tipo 3, Grau A ou equivalente."</t>
  </si>
  <si>
    <t>ABNT</t>
  </si>
  <si>
    <t>000 Translate Classe 5</t>
  </si>
  <si>
    <t>Prof. José Luis Menegotto DEG/POLI/UFRJ</t>
  </si>
  <si>
    <t>Explanation</t>
  </si>
  <si>
    <t>Idioma</t>
  </si>
  <si>
    <t>pt</t>
  </si>
  <si>
    <t>es</t>
  </si>
  <si>
    <t>en</t>
  </si>
  <si>
    <t>[ OST_Materials ]</t>
  </si>
  <si>
    <t>[ IfcMaterial ]</t>
  </si>
  <si>
    <t>[ OST_Rebar ]</t>
  </si>
  <si>
    <t>[ IfcReinforcingBar ]</t>
  </si>
  <si>
    <t>[ OST_StructuralColumns , OST_StructuralFraming ]</t>
  </si>
  <si>
    <t>[ IfcColumn , IfcBeam ]</t>
  </si>
  <si>
    <t>[ OST_StructuralColumns ]</t>
  </si>
  <si>
    <t>[ IfcColumn ]</t>
  </si>
  <si>
    <t>[ OST_StructuralFraming ]</t>
  </si>
  <si>
    <t>[ IfcBeam ]</t>
  </si>
  <si>
    <t>[ OST_StructConnectionPlates ]</t>
  </si>
  <si>
    <t>[ IfcMemberPLATE ]</t>
  </si>
  <si>
    <t>[ OST_StructuralStiffener ]</t>
  </si>
  <si>
    <t>[ IfcMemberSTIFFENING_RIB ]</t>
  </si>
  <si>
    <t>[ OST_Floors ]</t>
  </si>
  <si>
    <t>[ IfcSlab ]</t>
  </si>
  <si>
    <t>[ OST_HorizontalBracing , OST_VerticalBracing ]</t>
  </si>
  <si>
    <t>[ IfcMemberBRACE ]</t>
  </si>
  <si>
    <t>[ IfcMemberMULLION ]</t>
  </si>
  <si>
    <t>[ IfcMemberCHORD ]</t>
  </si>
  <si>
    <t>[ OST_HorizontalBracing ]</t>
  </si>
  <si>
    <t>[ OST_VerticalBracing ]</t>
  </si>
  <si>
    <t>[ OST_StructuralTendons ]</t>
  </si>
  <si>
    <t>[ OST_StructuralTruss ]</t>
  </si>
  <si>
    <t>[ IfcElementAssemblyTRUSS ]</t>
  </si>
  <si>
    <t>[ OST_StructConnectionAnchors ]</t>
  </si>
  <si>
    <t>[ IfcMechanicalFastenerBOLT ]</t>
  </si>
  <si>
    <t>[ IfcTendonAnchor ]</t>
  </si>
  <si>
    <t>[ IfcTendonAnchorCOUPLER ]</t>
  </si>
  <si>
    <t>[ IfcTendonAnchorFIXED_END ]</t>
  </si>
  <si>
    <t>[ IfcTendonAnchorTENSIONING_END ]</t>
  </si>
  <si>
    <t>[ IfcTendon ]</t>
  </si>
  <si>
    <t>[ IfcTendonBAR ]</t>
  </si>
  <si>
    <t>[ IfcTendonCOATED ]</t>
  </si>
  <si>
    <t>[ IfcTendonConduit ]</t>
  </si>
  <si>
    <t>[ IfcTendonConduitCOUPLER ]</t>
  </si>
  <si>
    <t>[ IfcTendonConduitDIABOLO ]</t>
  </si>
  <si>
    <t>[ IfcTendonConduitDUCT ]</t>
  </si>
  <si>
    <t>[ IfcTendonConduitGROUTING_DUCT ]</t>
  </si>
  <si>
    <t>[ IfcTendonConduitTRUMPET ]</t>
  </si>
  <si>
    <t>[ IfcTendonSTRAND ]</t>
  </si>
  <si>
    <t>[ IfcTendonWIRE ]</t>
  </si>
  <si>
    <t>[ OST_AreaRein ]</t>
  </si>
  <si>
    <t>[ IfcStructuralSurfaceMember ]</t>
  </si>
  <si>
    <t>[ OST_KickerBracing ]</t>
  </si>
  <si>
    <t>[ OST_Walls , OST_CurtainWallPanels ]</t>
  </si>
  <si>
    <t>[ IfcWall ]</t>
  </si>
  <si>
    <t>[ OST_Roofs ]</t>
  </si>
  <si>
    <t>[ IfcRoof ]</t>
  </si>
  <si>
    <t>[ OST_StructConnectionBolts ]</t>
  </si>
  <si>
    <t>[ IfcMechanicalFastenerANCHORBOLT ]</t>
  </si>
  <si>
    <t>[ OST_StructConnectionShearStuds ]</t>
  </si>
  <si>
    <t>massa.linear</t>
  </si>
  <si>
    <t>quem.fabricou</t>
  </si>
  <si>
    <t>código.abnt</t>
  </si>
  <si>
    <t>"[ 3E ]"</t>
  </si>
  <si>
    <t>"[ 0M.20.20.01.01 ]"</t>
  </si>
  <si>
    <t>"[ 0M.20.20.03 ]"</t>
  </si>
  <si>
    <t>Fonte1</t>
  </si>
  <si>
    <t>https://brasil.un.org/pt-br/sdgs</t>
  </si>
  <si>
    <t>Fonte2</t>
  </si>
  <si>
    <t>https://eaesp.fgv.br/centros/centro-estudos-sustentabilidade/projetos/programa-brasileiro-ghg-protocol</t>
  </si>
  <si>
    <t>Fonte3</t>
  </si>
  <si>
    <t>https://www.gov.br/fazenda/pt-br/acesso-a-informacao/acoes-e-programas/transformacao-ecologica/transformacao-ecologica</t>
  </si>
  <si>
    <t>Conceitos</t>
  </si>
  <si>
    <t>Materialidades</t>
  </si>
  <si>
    <t>"[ - ]"</t>
  </si>
  <si>
    <t>"[ OST_Material ]"</t>
  </si>
  <si>
    <t>"[ OST_StructuralColumns ]"</t>
  </si>
  <si>
    <t>"[ OST_StructuralFraming ]"</t>
  </si>
  <si>
    <t>"[ OST_StructConnectionBolts ]"</t>
  </si>
  <si>
    <t>"[ IfcMaterial ]"</t>
  </si>
  <si>
    <t>"[ IfcColumn ]"</t>
  </si>
  <si>
    <t>"[ IfcBeam ]"</t>
  </si>
  <si>
    <t>"[ IfcStructuralConnection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</si>
</sst>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6"/>
      <color theme="1"/>
      <name val="Arial Nova Cond Light"/>
      <family val="2"/>
    </font>
    <font>
      <sz val="6"/>
      <color theme="1"/>
      <name val="Arial Nova Cond Light"/>
      <family val="2"/>
    </font>
    <font>
      <sz val="6"/>
      <color rgb="FF000000"/>
      <name val="Arial Nova Cond Light"/>
      <family val="2"/>
    </font>
    <font>
      <i/>
      <sz val="6"/>
      <name val="Arial Nova Cond Light"/>
      <family val="2"/>
    </font>
    <font>
      <b/>
      <sz val="6"/>
      <name val="Arial Nova Cond Light"/>
      <family val="2"/>
    </font>
    <font>
      <b/>
      <i/>
      <sz val="6"/>
      <name val="Arial Nova Cond Light"/>
      <family val="2"/>
    </font>
    <font>
      <sz val="6"/>
      <name val="Arial Nova Cond Light"/>
      <family val="2"/>
    </font>
    <font>
      <b/>
      <sz val="6"/>
      <color rgb="FF000000"/>
      <name val="Arial Nova Cond Light"/>
      <family val="2"/>
    </font>
    <font>
      <sz val="8"/>
      <name val="Calibri"/>
      <family val="2"/>
      <scheme val="minor"/>
    </font>
    <font>
      <b/>
      <sz val="5"/>
      <color rgb="FF000000"/>
      <name val="Arial Nova Cond Light"/>
      <family val="2"/>
    </font>
    <font>
      <sz val="8"/>
      <color theme="1"/>
      <name val="Arial Nova Cond"/>
      <family val="2"/>
    </font>
    <font>
      <sz val="8"/>
      <color theme="1"/>
      <name val="Arial Nova Cond Light"/>
      <family val="2"/>
    </font>
    <font>
      <u/>
      <sz val="11"/>
      <color theme="10"/>
      <name val="Calibri"/>
      <family val="2"/>
      <scheme val="minor"/>
    </font>
    <font>
      <sz val="6"/>
      <color theme="10"/>
      <name val="Arial Nova Cond Light"/>
      <family val="2"/>
    </font>
  </fonts>
  <fills count="22">
    <fill>
      <patternFill patternType="none"/>
    </fill>
    <fill>
      <patternFill patternType="gray125"/>
    </fill>
    <fill>
      <patternFill patternType="solid">
        <fgColor rgb="FFFFFFFF"/>
        <bgColor rgb="FF000000"/>
      </patternFill>
    </fill>
    <fill>
      <patternFill patternType="solid">
        <fgColor theme="9" tint="0.59999389629810485"/>
        <bgColor indexed="64"/>
      </patternFill>
    </fill>
    <fill>
      <patternFill patternType="solid">
        <fgColor theme="4" tint="0.59999389629810485"/>
        <bgColor indexed="64"/>
      </patternFill>
    </fill>
    <fill>
      <patternFill patternType="solid">
        <fgColor rgb="FFFF99FF"/>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rgb="FFFFCCFF"/>
        <bgColor indexed="64"/>
      </patternFill>
    </fill>
    <fill>
      <patternFill patternType="solid">
        <fgColor theme="2"/>
        <bgColor indexed="64"/>
      </patternFill>
    </fill>
    <fill>
      <patternFill patternType="solid">
        <fgColor theme="0" tint="-0.34998626667073579"/>
        <bgColor indexed="64"/>
      </patternFill>
    </fill>
    <fill>
      <patternFill patternType="solid">
        <fgColor rgb="FFD9D9D9"/>
        <bgColor rgb="FFD1D1D1"/>
      </patternFill>
    </fill>
    <fill>
      <patternFill patternType="solid">
        <fgColor rgb="FFF2AA84"/>
        <bgColor rgb="FFF6C6AD"/>
      </patternFill>
    </fill>
    <fill>
      <patternFill patternType="solid">
        <fgColor theme="0" tint="-0.14999847407452621"/>
        <bgColor indexed="64"/>
      </patternFill>
    </fill>
    <fill>
      <patternFill patternType="solid">
        <fgColor rgb="FFFFC000"/>
        <bgColor indexed="64"/>
      </patternFill>
    </fill>
    <fill>
      <patternFill patternType="solid">
        <fgColor rgb="FFFFC000"/>
        <bgColor rgb="FFFF9900"/>
      </patternFill>
    </fill>
    <fill>
      <patternFill patternType="solid">
        <fgColor rgb="FFFFC000"/>
        <bgColor rgb="FFD9F2D0"/>
      </patternFill>
    </fill>
    <fill>
      <patternFill patternType="solid">
        <fgColor theme="7" tint="0.79998168889431442"/>
        <bgColor rgb="FFD9F2D0"/>
      </patternFill>
    </fill>
    <fill>
      <patternFill patternType="solid">
        <fgColor rgb="FFFBE79D"/>
        <bgColor indexed="64"/>
      </patternFill>
    </fill>
    <fill>
      <patternFill patternType="solid">
        <fgColor theme="5" tint="0.79998168889431442"/>
        <bgColor indexed="64"/>
      </patternFill>
    </fill>
    <fill>
      <patternFill patternType="solid">
        <fgColor theme="5" tint="0.79998168889431442"/>
        <bgColor rgb="FFD9F2D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auto="1"/>
      </right>
      <top style="thin">
        <color auto="1"/>
      </top>
      <bottom style="thin">
        <color auto="1"/>
      </bottom>
      <diagonal/>
    </border>
  </borders>
  <cellStyleXfs count="2">
    <xf numFmtId="0" fontId="0" fillId="0" borderId="0"/>
    <xf numFmtId="0" fontId="13" fillId="0" borderId="0" applyNumberFormat="0" applyFill="0" applyBorder="0" applyAlignment="0" applyProtection="0"/>
  </cellStyleXfs>
  <cellXfs count="74">
    <xf numFmtId="0" fontId="0" fillId="0" borderId="0" xfId="0"/>
    <xf numFmtId="0" fontId="1" fillId="11" borderId="1" xfId="0" applyFont="1" applyFill="1" applyBorder="1" applyAlignment="1">
      <alignment horizontal="left" vertical="center"/>
    </xf>
    <xf numFmtId="0" fontId="2" fillId="0" borderId="1" xfId="0" applyFont="1" applyBorder="1" applyAlignment="1">
      <alignment horizontal="left" vertical="center"/>
    </xf>
    <xf numFmtId="0" fontId="3" fillId="2" borderId="1" xfId="0" applyFont="1" applyFill="1" applyBorder="1" applyAlignment="1">
      <alignment vertical="center"/>
    </xf>
    <xf numFmtId="0" fontId="2" fillId="0" borderId="1" xfId="0" applyFont="1" applyBorder="1" applyAlignment="1">
      <alignment vertical="center"/>
    </xf>
    <xf numFmtId="22" fontId="2" fillId="0" borderId="1" xfId="0" applyNumberFormat="1" applyFont="1" applyBorder="1" applyAlignment="1">
      <alignment horizontal="left" vertical="center"/>
    </xf>
    <xf numFmtId="0" fontId="2" fillId="0" borderId="1" xfId="0" applyFont="1" applyBorder="1" applyAlignment="1">
      <alignment vertical="center" wrapText="1"/>
    </xf>
    <xf numFmtId="0" fontId="4" fillId="12" borderId="1" xfId="0" applyFont="1" applyFill="1" applyBorder="1" applyAlignment="1">
      <alignment horizontal="center" vertical="center" wrapText="1"/>
    </xf>
    <xf numFmtId="0" fontId="6" fillId="12" borderId="1" xfId="0" applyFont="1" applyFill="1" applyBorder="1" applyAlignment="1">
      <alignment horizontal="center" vertical="center" wrapText="1"/>
    </xf>
    <xf numFmtId="0" fontId="6" fillId="12" borderId="1" xfId="0" applyFont="1" applyFill="1" applyBorder="1" applyAlignment="1">
      <alignment horizontal="left" vertical="center" wrapText="1"/>
    </xf>
    <xf numFmtId="0" fontId="2" fillId="0" borderId="0" xfId="0" applyFont="1" applyAlignment="1">
      <alignment vertical="center"/>
    </xf>
    <xf numFmtId="0" fontId="7" fillId="0" borderId="0" xfId="0" applyFont="1" applyAlignment="1">
      <alignment horizontal="center" vertical="center"/>
    </xf>
    <xf numFmtId="0" fontId="7" fillId="0" borderId="0" xfId="0" applyFont="1" applyAlignment="1">
      <alignment vertical="center"/>
    </xf>
    <xf numFmtId="0" fontId="2" fillId="0" borderId="0" xfId="0" applyFont="1"/>
    <xf numFmtId="0" fontId="1" fillId="7" borderId="1" xfId="0" applyFont="1" applyFill="1" applyBorder="1" applyAlignment="1">
      <alignment horizontal="center" vertical="center"/>
    </xf>
    <xf numFmtId="0" fontId="1" fillId="7" borderId="1" xfId="0" applyFont="1" applyFill="1" applyBorder="1" applyAlignment="1">
      <alignment horizontal="left" vertical="center"/>
    </xf>
    <xf numFmtId="0" fontId="7" fillId="10" borderId="1" xfId="0" applyFont="1" applyFill="1" applyBorder="1" applyAlignment="1">
      <alignment horizontal="center" vertical="center"/>
    </xf>
    <xf numFmtId="0" fontId="7" fillId="5" borderId="1" xfId="0" applyFont="1" applyFill="1" applyBorder="1" applyAlignment="1">
      <alignment horizontal="left" vertical="center"/>
    </xf>
    <xf numFmtId="0" fontId="2" fillId="6" borderId="1" xfId="0" applyFont="1" applyFill="1" applyBorder="1" applyAlignment="1">
      <alignment vertical="center"/>
    </xf>
    <xf numFmtId="0" fontId="7" fillId="8" borderId="1" xfId="0" applyFont="1" applyFill="1" applyBorder="1" applyAlignment="1">
      <alignment horizontal="left" vertical="center"/>
    </xf>
    <xf numFmtId="0" fontId="4" fillId="14" borderId="1" xfId="0" applyFont="1" applyFill="1" applyBorder="1" applyAlignment="1">
      <alignment horizontal="center" vertical="center" wrapText="1"/>
    </xf>
    <xf numFmtId="0" fontId="5" fillId="14" borderId="1" xfId="0" applyFont="1" applyFill="1" applyBorder="1" applyAlignment="1">
      <alignment vertical="center" wrapText="1"/>
    </xf>
    <xf numFmtId="0" fontId="7" fillId="0" borderId="0" xfId="0" applyFont="1"/>
    <xf numFmtId="0" fontId="7" fillId="15" borderId="1" xfId="0" applyFont="1" applyFill="1" applyBorder="1" applyAlignment="1">
      <alignment vertical="center"/>
    </xf>
    <xf numFmtId="0" fontId="8" fillId="16" borderId="3" xfId="0" applyFont="1" applyFill="1" applyBorder="1" applyAlignment="1">
      <alignment horizontal="center" vertical="center" wrapText="1"/>
    </xf>
    <xf numFmtId="0" fontId="8" fillId="13" borderId="3" xfId="0" applyFont="1" applyFill="1" applyBorder="1" applyAlignment="1">
      <alignment horizontal="left" vertical="center" wrapText="1"/>
    </xf>
    <xf numFmtId="0" fontId="3" fillId="17" borderId="1" xfId="0" applyFont="1" applyFill="1" applyBorder="1" applyAlignment="1">
      <alignment horizontal="left" vertical="center" wrapText="1"/>
    </xf>
    <xf numFmtId="0" fontId="3" fillId="18" borderId="1" xfId="0" applyFont="1" applyFill="1" applyBorder="1" applyAlignment="1">
      <alignment horizontal="left" vertical="center" wrapText="1"/>
    </xf>
    <xf numFmtId="0" fontId="1" fillId="7" borderId="1" xfId="0" applyFont="1" applyFill="1" applyBorder="1" applyAlignment="1">
      <alignment vertical="center"/>
    </xf>
    <xf numFmtId="0" fontId="7" fillId="4" borderId="1" xfId="0" applyFont="1" applyFill="1" applyBorder="1" applyAlignment="1">
      <alignment vertical="center"/>
    </xf>
    <xf numFmtId="0" fontId="7" fillId="9" borderId="1" xfId="0" applyFont="1" applyFill="1" applyBorder="1" applyAlignment="1">
      <alignment vertical="center"/>
    </xf>
    <xf numFmtId="0" fontId="2" fillId="3" borderId="1" xfId="0" applyFont="1" applyFill="1" applyBorder="1" applyAlignment="1">
      <alignment horizontal="left" vertical="center"/>
    </xf>
    <xf numFmtId="0" fontId="2" fillId="8" borderId="1" xfId="0" applyFont="1" applyFill="1" applyBorder="1" applyAlignment="1">
      <alignment horizontal="center" vertical="center"/>
    </xf>
    <xf numFmtId="0" fontId="7" fillId="8" borderId="1" xfId="0" applyFont="1" applyFill="1" applyBorder="1" applyAlignment="1">
      <alignment horizontal="center" vertical="center"/>
    </xf>
    <xf numFmtId="2" fontId="2" fillId="8" borderId="1" xfId="0" applyNumberFormat="1" applyFont="1" applyFill="1" applyBorder="1" applyAlignment="1">
      <alignment horizontal="center" vertical="center"/>
    </xf>
    <xf numFmtId="0" fontId="2" fillId="8" borderId="1" xfId="0" applyFont="1" applyFill="1" applyBorder="1" applyAlignment="1">
      <alignment horizontal="left" vertical="center"/>
    </xf>
    <xf numFmtId="0" fontId="7" fillId="4" borderId="1" xfId="0" applyFont="1" applyFill="1" applyBorder="1" applyAlignment="1">
      <alignment horizontal="left" vertical="center"/>
    </xf>
    <xf numFmtId="0" fontId="7" fillId="9" borderId="1" xfId="0" applyFont="1" applyFill="1" applyBorder="1" applyAlignment="1">
      <alignment horizontal="left" vertical="center"/>
    </xf>
    <xf numFmtId="0" fontId="0" fillId="0" borderId="0" xfId="0" applyAlignment="1">
      <alignment horizontal="left"/>
    </xf>
    <xf numFmtId="0" fontId="7" fillId="6" borderId="1" xfId="0" applyFont="1" applyFill="1" applyBorder="1" applyAlignment="1">
      <alignment horizontal="left" vertical="center" wrapText="1"/>
    </xf>
    <xf numFmtId="0" fontId="2" fillId="6" borderId="1" xfId="0" applyFont="1" applyFill="1" applyBorder="1" applyAlignment="1">
      <alignment horizontal="left" vertical="center"/>
    </xf>
    <xf numFmtId="0" fontId="7" fillId="3" borderId="1" xfId="0" applyFont="1" applyFill="1" applyBorder="1" applyAlignment="1">
      <alignment horizontal="left" vertical="center"/>
    </xf>
    <xf numFmtId="0" fontId="7" fillId="8" borderId="1" xfId="0" applyFont="1" applyFill="1" applyBorder="1" applyAlignment="1">
      <alignment vertical="center"/>
    </xf>
    <xf numFmtId="0" fontId="2" fillId="3" borderId="1" xfId="0" applyFont="1" applyFill="1" applyBorder="1" applyAlignment="1">
      <alignment vertical="center"/>
    </xf>
    <xf numFmtId="0" fontId="1" fillId="7" borderId="1" xfId="0" applyFont="1" applyFill="1" applyBorder="1" applyAlignment="1">
      <alignment horizontal="left" vertical="center" wrapText="1"/>
    </xf>
    <xf numFmtId="0" fontId="3" fillId="19" borderId="1" xfId="0" applyFont="1" applyFill="1" applyBorder="1" applyAlignment="1">
      <alignment horizontal="left" vertical="center"/>
    </xf>
    <xf numFmtId="0" fontId="3" fillId="19" borderId="4" xfId="0" applyFont="1" applyFill="1" applyBorder="1" applyAlignment="1">
      <alignment horizontal="left" vertical="center"/>
    </xf>
    <xf numFmtId="0" fontId="7" fillId="5" borderId="1" xfId="0" applyFont="1" applyFill="1" applyBorder="1" applyAlignment="1">
      <alignment vertical="center" wrapText="1"/>
    </xf>
    <xf numFmtId="0" fontId="3" fillId="6" borderId="1" xfId="0" applyFont="1" applyFill="1" applyBorder="1" applyAlignment="1">
      <alignment horizontal="left" vertical="center" wrapText="1"/>
    </xf>
    <xf numFmtId="0" fontId="10" fillId="13" borderId="1" xfId="0" applyFont="1" applyFill="1" applyBorder="1" applyAlignment="1">
      <alignment horizontal="left" vertical="center" wrapText="1"/>
    </xf>
    <xf numFmtId="0" fontId="3" fillId="20" borderId="1" xfId="0" applyFont="1" applyFill="1" applyBorder="1" applyAlignment="1">
      <alignment horizontal="left" vertical="center"/>
    </xf>
    <xf numFmtId="0" fontId="11" fillId="0" borderId="0" xfId="0" applyFont="1" applyAlignment="1">
      <alignment vertical="center"/>
    </xf>
    <xf numFmtId="0" fontId="1" fillId="11" borderId="1" xfId="0" applyFont="1" applyFill="1" applyBorder="1" applyAlignment="1">
      <alignment horizontal="center" vertical="center"/>
    </xf>
    <xf numFmtId="0" fontId="2" fillId="0" borderId="1" xfId="0" applyFont="1" applyBorder="1" applyAlignment="1">
      <alignment horizontal="center" vertical="center"/>
    </xf>
    <xf numFmtId="0" fontId="12" fillId="0" borderId="0" xfId="0" applyFont="1" applyAlignment="1">
      <alignment vertical="center"/>
    </xf>
    <xf numFmtId="0" fontId="2" fillId="20" borderId="1" xfId="0" applyFont="1" applyFill="1" applyBorder="1" applyAlignment="1">
      <alignment horizontal="left" vertical="center"/>
    </xf>
    <xf numFmtId="0" fontId="3" fillId="20" borderId="1" xfId="0" applyFont="1" applyFill="1" applyBorder="1" applyAlignment="1">
      <alignment horizontal="left" vertical="center" wrapText="1"/>
    </xf>
    <xf numFmtId="0" fontId="8" fillId="16" borderId="2" xfId="0" applyFont="1" applyFill="1" applyBorder="1" applyAlignment="1">
      <alignment horizontal="left" vertical="center" wrapText="1"/>
    </xf>
    <xf numFmtId="0" fontId="3" fillId="21" borderId="1" xfId="0" applyFont="1" applyFill="1" applyBorder="1" applyAlignment="1">
      <alignment horizontal="left" vertical="center"/>
    </xf>
    <xf numFmtId="0" fontId="1" fillId="7" borderId="1" xfId="0" applyFont="1" applyFill="1" applyBorder="1" applyAlignment="1">
      <alignment horizontal="right" vertical="center"/>
    </xf>
    <xf numFmtId="0" fontId="7" fillId="8" borderId="1" xfId="0" applyFont="1" applyFill="1" applyBorder="1" applyAlignment="1">
      <alignment horizontal="right" vertical="center"/>
    </xf>
    <xf numFmtId="0" fontId="2" fillId="8" borderId="1" xfId="0" applyFont="1" applyFill="1" applyBorder="1" applyAlignment="1">
      <alignment horizontal="right" vertical="center"/>
    </xf>
    <xf numFmtId="2" fontId="7" fillId="8" borderId="1" xfId="0" applyNumberFormat="1" applyFont="1" applyFill="1" applyBorder="1" applyAlignment="1">
      <alignment horizontal="left" vertical="center"/>
    </xf>
    <xf numFmtId="0" fontId="3" fillId="14" borderId="1" xfId="0" applyFont="1" applyFill="1" applyBorder="1" applyAlignment="1">
      <alignment horizontal="right" vertical="center"/>
    </xf>
    <xf numFmtId="0" fontId="7" fillId="16" borderId="1" xfId="0" applyFont="1" applyFill="1" applyBorder="1" applyAlignment="1">
      <alignment horizontal="left" vertical="center"/>
    </xf>
    <xf numFmtId="0" fontId="8" fillId="16" borderId="3" xfId="0" applyFont="1" applyFill="1" applyBorder="1" applyAlignment="1">
      <alignment horizontal="left" vertical="center" wrapText="1"/>
    </xf>
    <xf numFmtId="0" fontId="5" fillId="16" borderId="3" xfId="0" applyFont="1" applyFill="1" applyBorder="1" applyAlignment="1">
      <alignment horizontal="left" vertical="center" wrapText="1"/>
    </xf>
    <xf numFmtId="0" fontId="4" fillId="15" borderId="1" xfId="0" applyFont="1" applyFill="1" applyBorder="1" applyAlignment="1">
      <alignment horizontal="left" vertical="center"/>
    </xf>
    <xf numFmtId="0" fontId="0" fillId="0" borderId="0" xfId="0" applyAlignment="1">
      <alignment vertical="center"/>
    </xf>
    <xf numFmtId="0" fontId="0" fillId="0" borderId="0" xfId="0" applyAlignment="1">
      <alignment horizontal="left" vertical="center"/>
    </xf>
    <xf numFmtId="0" fontId="0" fillId="0" borderId="0" xfId="0" applyAlignment="1">
      <alignment horizontal="right" vertical="center"/>
    </xf>
    <xf numFmtId="0" fontId="0" fillId="0" borderId="0" xfId="0" applyAlignment="1">
      <alignment horizontal="center" vertical="center"/>
    </xf>
    <xf numFmtId="0" fontId="14" fillId="0" borderId="1" xfId="1" applyFont="1" applyBorder="1" applyAlignment="1">
      <alignment horizontal="left" vertical="center"/>
    </xf>
    <xf numFmtId="0" fontId="14" fillId="0" borderId="1" xfId="1" applyFont="1" applyFill="1" applyBorder="1" applyAlignment="1">
      <alignment vertical="center"/>
    </xf>
  </cellXfs>
  <cellStyles count="2">
    <cellStyle name="Hiperlink" xfId="1" builtinId="8"/>
    <cellStyle name="Normal" xfId="0" builtinId="0"/>
  </cellStyles>
  <dxfs count="7">
    <dxf>
      <font>
        <color rgb="FF9C0006"/>
      </font>
      <fill>
        <patternFill>
          <bgColor rgb="FFFFC7CE"/>
        </patternFill>
      </fill>
    </dxf>
    <dxf>
      <font>
        <color rgb="FF9C0006"/>
      </font>
      <fill>
        <patternFill>
          <bgColor rgb="FFFFC7CE"/>
        </patternFill>
      </fill>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s>
  <tableStyles count="0" defaultTableStyle="TableStyleMedium2" defaultPivotStyle="PivotStyleLight16"/>
  <colors>
    <mruColors>
      <color rgb="FFFF99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aesp.fgv.br/centros/centro-estudos-sustentabilidade/projetos/programa-brasileiro-ghg-protocol" TargetMode="External"/><Relationship Id="rId2" Type="http://schemas.openxmlformats.org/officeDocument/2006/relationships/hyperlink" Target="https://www.gov.br/fazenda/pt-br/acesso-a-informacao/acoes-e-programas/transformacao-ecologica/transformacao-ecologica" TargetMode="External"/><Relationship Id="rId1" Type="http://schemas.openxmlformats.org/officeDocument/2006/relationships/hyperlink" Target="https://brasil.un.org/pt-br/sdg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4724F-B8C4-4B86-9028-743FC73CDDB0}">
  <sheetPr codeName="Planilha1"/>
  <dimension ref="A1:C27"/>
  <sheetViews>
    <sheetView zoomScale="175" zoomScaleNormal="175" workbookViewId="0">
      <pane ySplit="1" topLeftCell="A2" activePane="bottomLeft" state="frozen"/>
      <selection pane="bottomLeft" activeCell="B29" sqref="B29"/>
    </sheetView>
  </sheetViews>
  <sheetFormatPr defaultColWidth="9.140625" defaultRowHeight="10.5" customHeight="1" x14ac:dyDescent="0.15"/>
  <cols>
    <col min="1" max="1" width="10.28515625" style="13" bestFit="1" customWidth="1"/>
    <col min="2" max="2" width="53.7109375" style="13" bestFit="1" customWidth="1"/>
    <col min="3" max="3" width="3.42578125" style="54" bestFit="1" customWidth="1"/>
    <col min="4" max="16384" width="9.140625" style="13"/>
  </cols>
  <sheetData>
    <row r="1" spans="1:3" s="10" customFormat="1" ht="21.75" customHeight="1" x14ac:dyDescent="0.25">
      <c r="A1" s="1" t="s">
        <v>3</v>
      </c>
      <c r="B1" s="1" t="s">
        <v>2</v>
      </c>
      <c r="C1" s="52" t="s">
        <v>1008</v>
      </c>
    </row>
    <row r="2" spans="1:3" ht="9" customHeight="1" x14ac:dyDescent="0.15">
      <c r="A2" s="2" t="s">
        <v>17</v>
      </c>
      <c r="B2" s="2" t="s">
        <v>76</v>
      </c>
      <c r="C2" s="53" t="s">
        <v>1009</v>
      </c>
    </row>
    <row r="3" spans="1:3" ht="9" customHeight="1" x14ac:dyDescent="0.15">
      <c r="A3" s="2" t="s">
        <v>18</v>
      </c>
      <c r="B3" s="3" t="s">
        <v>81</v>
      </c>
      <c r="C3" s="53" t="s">
        <v>1009</v>
      </c>
    </row>
    <row r="4" spans="1:3" ht="9" customHeight="1" x14ac:dyDescent="0.15">
      <c r="A4" s="2" t="s">
        <v>7</v>
      </c>
      <c r="B4" s="2" t="s">
        <v>19</v>
      </c>
      <c r="C4" s="53" t="s">
        <v>1009</v>
      </c>
    </row>
    <row r="5" spans="1:3" ht="9" customHeight="1" x14ac:dyDescent="0.15">
      <c r="A5" s="2" t="s">
        <v>6</v>
      </c>
      <c r="B5" s="2" t="str">
        <f>_xlfn.CONCAT(B4,"Prop")</f>
        <v>BIMProp</v>
      </c>
      <c r="C5" s="53" t="s">
        <v>1009</v>
      </c>
    </row>
    <row r="6" spans="1:3" ht="9" customHeight="1" x14ac:dyDescent="0.15">
      <c r="A6" s="2" t="s">
        <v>8</v>
      </c>
      <c r="B6" s="2" t="str">
        <f>_xlfn.CONCAT(B4,"Data")</f>
        <v>BIMData</v>
      </c>
      <c r="C6" s="53" t="s">
        <v>1009</v>
      </c>
    </row>
    <row r="7" spans="1:3" ht="9" customHeight="1" x14ac:dyDescent="0.15">
      <c r="A7" s="2" t="s">
        <v>4</v>
      </c>
      <c r="B7" s="2" t="s">
        <v>31</v>
      </c>
      <c r="C7" s="53" t="s">
        <v>1009</v>
      </c>
    </row>
    <row r="8" spans="1:3" s="51" customFormat="1" ht="8.25" customHeight="1" x14ac:dyDescent="0.25">
      <c r="A8" s="2" t="s">
        <v>5</v>
      </c>
      <c r="B8" s="2" t="s">
        <v>1006</v>
      </c>
      <c r="C8" s="53" t="s">
        <v>1009</v>
      </c>
    </row>
    <row r="9" spans="1:3" ht="9" customHeight="1" x14ac:dyDescent="0.15">
      <c r="A9" s="2" t="s">
        <v>20</v>
      </c>
      <c r="B9" s="2" t="s">
        <v>21</v>
      </c>
      <c r="C9" s="53" t="s">
        <v>1009</v>
      </c>
    </row>
    <row r="10" spans="1:3" ht="9" customHeight="1" x14ac:dyDescent="0.15">
      <c r="A10" s="2" t="s">
        <v>22</v>
      </c>
      <c r="B10" s="2" t="s">
        <v>12</v>
      </c>
      <c r="C10" s="53" t="s">
        <v>1009</v>
      </c>
    </row>
    <row r="11" spans="1:3" ht="9" customHeight="1" x14ac:dyDescent="0.15">
      <c r="A11" s="2" t="s">
        <v>0</v>
      </c>
      <c r="B11" s="2" t="s">
        <v>12</v>
      </c>
      <c r="C11" s="53" t="s">
        <v>1009</v>
      </c>
    </row>
    <row r="12" spans="1:3" ht="9" customHeight="1" x14ac:dyDescent="0.15">
      <c r="A12" s="2" t="s">
        <v>1</v>
      </c>
      <c r="B12" s="2" t="s">
        <v>12</v>
      </c>
      <c r="C12" s="53" t="s">
        <v>1009</v>
      </c>
    </row>
    <row r="13" spans="1:3" ht="9" customHeight="1" x14ac:dyDescent="0.15">
      <c r="A13" s="2" t="s">
        <v>23</v>
      </c>
      <c r="B13" s="2" t="s">
        <v>12</v>
      </c>
      <c r="C13" s="53" t="s">
        <v>1009</v>
      </c>
    </row>
    <row r="14" spans="1:3" ht="9" customHeight="1" x14ac:dyDescent="0.15">
      <c r="A14" s="2" t="s">
        <v>24</v>
      </c>
      <c r="B14" s="2" t="s">
        <v>12</v>
      </c>
      <c r="C14" s="53" t="s">
        <v>1009</v>
      </c>
    </row>
    <row r="15" spans="1:3" ht="9" customHeight="1" x14ac:dyDescent="0.15">
      <c r="A15" s="2" t="s">
        <v>25</v>
      </c>
      <c r="B15" s="2" t="s">
        <v>12</v>
      </c>
      <c r="C15" s="53" t="s">
        <v>1009</v>
      </c>
    </row>
    <row r="16" spans="1:3" ht="9" customHeight="1" x14ac:dyDescent="0.15">
      <c r="A16" s="2" t="s">
        <v>26</v>
      </c>
      <c r="B16" s="2" t="s">
        <v>12</v>
      </c>
      <c r="C16" s="53" t="s">
        <v>1009</v>
      </c>
    </row>
    <row r="17" spans="1:3" ht="9" customHeight="1" x14ac:dyDescent="0.15">
      <c r="A17" s="2" t="s">
        <v>10</v>
      </c>
      <c r="B17" s="4" t="s">
        <v>78</v>
      </c>
      <c r="C17" s="53" t="s">
        <v>1009</v>
      </c>
    </row>
    <row r="18" spans="1:3" ht="9" customHeight="1" x14ac:dyDescent="0.15">
      <c r="A18" s="2" t="s">
        <v>27</v>
      </c>
      <c r="B18" s="5">
        <f ca="1">NOW()</f>
        <v>46244.637201736114</v>
      </c>
      <c r="C18" s="53" t="s">
        <v>1009</v>
      </c>
    </row>
    <row r="19" spans="1:3" ht="9" customHeight="1" x14ac:dyDescent="0.15">
      <c r="A19" s="2" t="s">
        <v>28</v>
      </c>
      <c r="B19" s="2" t="s">
        <v>12</v>
      </c>
      <c r="C19" s="53" t="s">
        <v>1009</v>
      </c>
    </row>
    <row r="20" spans="1:3" ht="9" customHeight="1" x14ac:dyDescent="0.15">
      <c r="A20" s="2" t="s">
        <v>29</v>
      </c>
      <c r="B20" s="2" t="s">
        <v>12</v>
      </c>
      <c r="C20" s="53" t="s">
        <v>1009</v>
      </c>
    </row>
    <row r="21" spans="1:3" ht="9" customHeight="1" x14ac:dyDescent="0.15">
      <c r="A21" s="2" t="s">
        <v>11</v>
      </c>
      <c r="B21" s="2" t="s">
        <v>77</v>
      </c>
      <c r="C21" s="53" t="s">
        <v>1009</v>
      </c>
    </row>
    <row r="22" spans="1:3" ht="10.5" customHeight="1" x14ac:dyDescent="0.15">
      <c r="A22" s="4" t="s">
        <v>32</v>
      </c>
      <c r="B22" s="6" t="s">
        <v>79</v>
      </c>
      <c r="C22" s="53" t="s">
        <v>1009</v>
      </c>
    </row>
    <row r="23" spans="1:3" ht="10.5" customHeight="1" x14ac:dyDescent="0.15">
      <c r="A23" s="4" t="s">
        <v>33</v>
      </c>
      <c r="B23" s="6" t="s">
        <v>80</v>
      </c>
      <c r="C23" s="53" t="s">
        <v>1010</v>
      </c>
    </row>
    <row r="24" spans="1:3" s="51" customFormat="1" ht="9.75" customHeight="1" x14ac:dyDescent="0.25">
      <c r="A24" s="4" t="s">
        <v>1007</v>
      </c>
      <c r="B24" s="6" t="str">
        <f>_xlfn.TRANSLATE(B22,"pt","en")</f>
        <v>Formalize data of metallic structural elements.</v>
      </c>
      <c r="C24" s="53" t="s">
        <v>1011</v>
      </c>
    </row>
    <row r="25" spans="1:3" customFormat="1" ht="8.25" customHeight="1" x14ac:dyDescent="0.25">
      <c r="A25" s="2" t="s">
        <v>1070</v>
      </c>
      <c r="B25" s="72" t="s">
        <v>1071</v>
      </c>
      <c r="C25" s="53" t="s">
        <v>1009</v>
      </c>
    </row>
    <row r="26" spans="1:3" customFormat="1" ht="8.25" customHeight="1" x14ac:dyDescent="0.25">
      <c r="A26" s="2" t="s">
        <v>1072</v>
      </c>
      <c r="B26" s="73" t="s">
        <v>1073</v>
      </c>
      <c r="C26" s="53" t="s">
        <v>1009</v>
      </c>
    </row>
    <row r="27" spans="1:3" customFormat="1" ht="8.25" customHeight="1" x14ac:dyDescent="0.25">
      <c r="A27" s="2" t="s">
        <v>1074</v>
      </c>
      <c r="B27" s="73" t="s">
        <v>1075</v>
      </c>
      <c r="C27" s="53" t="s">
        <v>1009</v>
      </c>
    </row>
  </sheetData>
  <hyperlinks>
    <hyperlink ref="B25" r:id="rId1" xr:uid="{763F6EFF-1CBF-4A08-B396-8A1F8171051B}"/>
    <hyperlink ref="B27" r:id="rId2" xr:uid="{D9496D10-8177-4FC4-8305-0A7016FE37E2}"/>
    <hyperlink ref="B26" r:id="rId3" xr:uid="{728BC06F-7FB3-4EB3-8679-4770E93E19F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BB721-29D9-4DD8-81B8-03CCB3CE3CCF}">
  <sheetPr codeName="Planilha2"/>
  <dimension ref="A1:AA126"/>
  <sheetViews>
    <sheetView tabSelected="1" zoomScale="220" zoomScaleNormal="220" workbookViewId="0">
      <pane ySplit="1" topLeftCell="A2" activePane="bottomLeft" state="frozen"/>
      <selection pane="bottomLeft" activeCell="B14" sqref="B14"/>
    </sheetView>
  </sheetViews>
  <sheetFormatPr defaultColWidth="2.7109375" defaultRowHeight="6.6" customHeight="1" x14ac:dyDescent="0.25"/>
  <cols>
    <col min="1" max="1" width="3.140625" customWidth="1"/>
    <col min="2" max="2" width="5.7109375" style="38" bestFit="1" customWidth="1"/>
    <col min="3" max="3" width="12.140625" style="38" bestFit="1" customWidth="1"/>
    <col min="4" max="4" width="11.7109375" style="38" bestFit="1" customWidth="1"/>
    <col min="5" max="5" width="17.7109375" style="38" bestFit="1" customWidth="1"/>
    <col min="6" max="6" width="21.5703125" style="38" bestFit="1" customWidth="1"/>
    <col min="7" max="7" width="15.28515625" style="38" bestFit="1" customWidth="1"/>
    <col min="8" max="8" width="17.85546875" style="38" bestFit="1" customWidth="1"/>
    <col min="9" max="9" width="15" style="38" bestFit="1" customWidth="1"/>
    <col min="10" max="10" width="21.140625" style="38" bestFit="1" customWidth="1"/>
    <col min="11" max="11" width="22.7109375" style="38" bestFit="1" customWidth="1"/>
    <col min="12" max="12" width="12.140625" style="38" bestFit="1" customWidth="1"/>
    <col min="13" max="13" width="11.7109375" style="38" bestFit="1" customWidth="1"/>
    <col min="14" max="14" width="17.7109375" style="38" bestFit="1" customWidth="1"/>
    <col min="15" max="15" width="21.5703125" style="38" bestFit="1" customWidth="1"/>
    <col min="16" max="16" width="146.85546875" style="38" bestFit="1" customWidth="1"/>
    <col min="17" max="17" width="156.5703125" style="38" bestFit="1" customWidth="1"/>
    <col min="18" max="18" width="4.28515625" style="38" bestFit="1" customWidth="1"/>
    <col min="19" max="19" width="12.140625" style="38" bestFit="1" customWidth="1"/>
    <col min="20" max="20" width="11.7109375" style="38" bestFit="1" customWidth="1"/>
    <col min="21" max="21" width="17.7109375" style="38" bestFit="1" customWidth="1"/>
    <col min="22" max="22" width="6.7109375" style="38" bestFit="1" customWidth="1"/>
    <col min="23" max="23" width="8.140625" style="38" bestFit="1" customWidth="1"/>
    <col min="24" max="24" width="28.42578125" style="38" bestFit="1" customWidth="1"/>
    <col min="25" max="25" width="22.28515625" style="38" bestFit="1" customWidth="1"/>
    <col min="26" max="26" width="5.140625" style="38" bestFit="1" customWidth="1"/>
    <col min="27" max="27" width="134" style="38" bestFit="1" customWidth="1"/>
    <col min="28" max="28" width="59.5703125" style="38" customWidth="1"/>
    <col min="29" max="16384" width="2.7109375" style="38"/>
  </cols>
  <sheetData>
    <row r="1" spans="1:27" ht="30.6" customHeight="1" x14ac:dyDescent="0.25">
      <c r="A1" s="24">
        <v>0</v>
      </c>
      <c r="B1" s="65" t="s">
        <v>58</v>
      </c>
      <c r="C1" s="65" t="s">
        <v>59</v>
      </c>
      <c r="D1" s="65" t="s">
        <v>60</v>
      </c>
      <c r="E1" s="65" t="s">
        <v>61</v>
      </c>
      <c r="F1" s="65" t="s">
        <v>618</v>
      </c>
      <c r="G1" s="66" t="s">
        <v>62</v>
      </c>
      <c r="H1" s="66" t="s">
        <v>63</v>
      </c>
      <c r="I1" s="66" t="s">
        <v>64</v>
      </c>
      <c r="J1" s="66" t="s">
        <v>65</v>
      </c>
      <c r="K1" s="66" t="s">
        <v>66</v>
      </c>
      <c r="L1" s="25" t="s">
        <v>67</v>
      </c>
      <c r="M1" s="25" t="s">
        <v>68</v>
      </c>
      <c r="N1" s="25" t="s">
        <v>69</v>
      </c>
      <c r="O1" s="25" t="s">
        <v>70</v>
      </c>
      <c r="P1" s="25" t="s">
        <v>71</v>
      </c>
      <c r="Q1" s="25" t="s">
        <v>72</v>
      </c>
      <c r="R1" s="25" t="s">
        <v>73</v>
      </c>
      <c r="S1" s="25" t="s">
        <v>34</v>
      </c>
      <c r="T1" s="25" t="s">
        <v>74</v>
      </c>
      <c r="U1" s="25" t="s">
        <v>36</v>
      </c>
      <c r="V1" s="25" t="s">
        <v>35</v>
      </c>
      <c r="W1" s="57" t="s">
        <v>57</v>
      </c>
      <c r="X1" s="25" t="s">
        <v>594</v>
      </c>
      <c r="Y1" s="25" t="s">
        <v>595</v>
      </c>
      <c r="Z1" s="25" t="s">
        <v>1004</v>
      </c>
      <c r="AA1" s="49" t="s">
        <v>1005</v>
      </c>
    </row>
    <row r="2" spans="1:27" ht="6.75" customHeight="1" x14ac:dyDescent="0.25">
      <c r="A2" s="63">
        <v>2</v>
      </c>
      <c r="B2" s="45" t="s">
        <v>1076</v>
      </c>
      <c r="C2" s="46" t="s">
        <v>1077</v>
      </c>
      <c r="D2" s="45" t="s">
        <v>596</v>
      </c>
      <c r="E2" s="45" t="s">
        <v>597</v>
      </c>
      <c r="F2" s="40" t="s">
        <v>598</v>
      </c>
      <c r="G2" s="67" t="str">
        <f>_xlfn.CONCAT("é.nomeado some ",B2)</f>
        <v>é.nomeado some Conceitos</v>
      </c>
      <c r="H2" s="67" t="str">
        <f>_xlfn.CONCAT("é.nomeado some ",C2)</f>
        <v>é.nomeado some Materialidades</v>
      </c>
      <c r="I2" s="64" t="s">
        <v>9</v>
      </c>
      <c r="J2" s="64" t="s">
        <v>9</v>
      </c>
      <c r="K2" s="64" t="s">
        <v>9</v>
      </c>
      <c r="L2" s="55" t="str">
        <f>_xlfn.CONCAT(SUBSTITUTE(C2,"1.",""))</f>
        <v>Materialidades</v>
      </c>
      <c r="M2" s="55" t="str">
        <f t="shared" ref="M2:O18" si="0">_xlfn.CONCAT(SUBSTITUTE(D2,"."," "))</f>
        <v>Da Estrutura</v>
      </c>
      <c r="N2" s="55" t="str">
        <f t="shared" si="0"/>
        <v>Ligas Metálicas</v>
      </c>
      <c r="O2" s="55" t="str">
        <f t="shared" si="0"/>
        <v>Aço Estrutural</v>
      </c>
      <c r="P2" s="55" t="s">
        <v>570</v>
      </c>
      <c r="Q2" s="55" t="s">
        <v>589</v>
      </c>
      <c r="R2" s="50" t="s">
        <v>9</v>
      </c>
      <c r="S2" s="50" t="str">
        <f t="shared" ref="S2:U2" si="1">SUBSTITUTE(C2, ".", " ")</f>
        <v>Materialidades</v>
      </c>
      <c r="T2" s="50" t="str">
        <f t="shared" si="1"/>
        <v>Da Estrutura</v>
      </c>
      <c r="U2" s="50" t="str">
        <f t="shared" si="1"/>
        <v>Ligas Metálicas</v>
      </c>
      <c r="V2" s="50" t="s">
        <v>672</v>
      </c>
      <c r="W2" s="58" t="str">
        <f t="shared" ref="W2:W64" si="2">CONCATENATE("Key-MET-",A2)</f>
        <v>Key-MET-2</v>
      </c>
      <c r="X2" s="50" t="s">
        <v>1012</v>
      </c>
      <c r="Y2" s="50" t="s">
        <v>1013</v>
      </c>
      <c r="Z2" s="50" t="s">
        <v>9</v>
      </c>
      <c r="AA2" s="50" t="str">
        <f>_xlfn.TRANSLATE(P2,"pt","en")</f>
        <v>Alloy steel used in the project</v>
      </c>
    </row>
    <row r="3" spans="1:27" ht="6.6" customHeight="1" x14ac:dyDescent="0.25">
      <c r="A3" s="63">
        <v>3</v>
      </c>
      <c r="B3" s="45" t="s">
        <v>1076</v>
      </c>
      <c r="C3" s="46" t="s">
        <v>1077</v>
      </c>
      <c r="D3" s="45" t="s">
        <v>596</v>
      </c>
      <c r="E3" s="45" t="s">
        <v>597</v>
      </c>
      <c r="F3" s="40" t="s">
        <v>599</v>
      </c>
      <c r="G3" s="67" t="str">
        <f>_xlfn.CONCAT("é.nomeado some ",B3)</f>
        <v>é.nomeado some Conceitos</v>
      </c>
      <c r="H3" s="67" t="str">
        <f>_xlfn.CONCAT("é.nomeado some ",C3)</f>
        <v>é.nomeado some Materialidades</v>
      </c>
      <c r="I3" s="64" t="s">
        <v>9</v>
      </c>
      <c r="J3" s="64" t="s">
        <v>9</v>
      </c>
      <c r="K3" s="64" t="s">
        <v>9</v>
      </c>
      <c r="L3" s="55" t="str">
        <f>_xlfn.CONCAT(SUBSTITUTE(C3,"1.",""))</f>
        <v>Materialidades</v>
      </c>
      <c r="M3" s="55" t="str">
        <f t="shared" si="0"/>
        <v>Da Estrutura</v>
      </c>
      <c r="N3" s="55" t="str">
        <f t="shared" si="0"/>
        <v>Ligas Metálicas</v>
      </c>
      <c r="O3" s="55" t="str">
        <f t="shared" si="0"/>
        <v>Alumínio Estrutural</v>
      </c>
      <c r="P3" s="55" t="s">
        <v>587</v>
      </c>
      <c r="Q3" s="55" t="s">
        <v>588</v>
      </c>
      <c r="R3" s="50" t="s">
        <v>9</v>
      </c>
      <c r="S3" s="50" t="str">
        <f t="shared" ref="S3:S75" si="3">SUBSTITUTE(C3, ".", " ")</f>
        <v>Materialidades</v>
      </c>
      <c r="T3" s="50" t="str">
        <f t="shared" ref="T3:T75" si="4">SUBSTITUTE(D3, ".", " ")</f>
        <v>Da Estrutura</v>
      </c>
      <c r="U3" s="50" t="str">
        <f t="shared" ref="U3:U75" si="5">SUBSTITUTE(E3, ".", " ")</f>
        <v>Ligas Metálicas</v>
      </c>
      <c r="V3" s="50" t="s">
        <v>672</v>
      </c>
      <c r="W3" s="58" t="str">
        <f t="shared" si="2"/>
        <v>Key-MET-3</v>
      </c>
      <c r="X3" s="50" t="s">
        <v>1012</v>
      </c>
      <c r="Y3" s="50" t="s">
        <v>1013</v>
      </c>
      <c r="Z3" s="50" t="s">
        <v>9</v>
      </c>
      <c r="AA3" s="50" t="str">
        <f t="shared" ref="AA3:AA66" si="6">_xlfn.TRANSLATE(P3,"pt","en")</f>
        <v>Aluminum alloys used in the project</v>
      </c>
    </row>
    <row r="4" spans="1:27" ht="6.6" customHeight="1" x14ac:dyDescent="0.25">
      <c r="A4" s="63">
        <v>4</v>
      </c>
      <c r="B4" s="45" t="s">
        <v>1076</v>
      </c>
      <c r="C4" s="40" t="s">
        <v>88</v>
      </c>
      <c r="D4" s="40" t="s">
        <v>952</v>
      </c>
      <c r="E4" s="40" t="s">
        <v>956</v>
      </c>
      <c r="F4" s="40" t="s">
        <v>953</v>
      </c>
      <c r="G4" s="64" t="s">
        <v>9</v>
      </c>
      <c r="H4" s="64" t="s">
        <v>9</v>
      </c>
      <c r="I4" s="64" t="s">
        <v>9</v>
      </c>
      <c r="J4" s="64" t="s">
        <v>9</v>
      </c>
      <c r="K4" s="64" t="s">
        <v>9</v>
      </c>
      <c r="L4" s="55" t="str">
        <f t="shared" ref="L4:L7" si="7">_xlfn.CONCAT(SUBSTITUTE(C4,"1.",""))</f>
        <v>Estrutura.Principal</v>
      </c>
      <c r="M4" s="55" t="str">
        <f t="shared" si="0"/>
        <v>Armaduras</v>
      </c>
      <c r="N4" s="55" t="str">
        <f t="shared" si="0"/>
        <v>Vergalhões</v>
      </c>
      <c r="O4" s="55" t="str">
        <f t="shared" si="0"/>
        <v>Vergalhão</v>
      </c>
      <c r="P4" s="55" t="s">
        <v>960</v>
      </c>
      <c r="Q4" s="55" t="s">
        <v>963</v>
      </c>
      <c r="R4" s="50" t="s">
        <v>9</v>
      </c>
      <c r="S4" s="50" t="str">
        <f t="shared" si="3"/>
        <v>Estrutura Principal</v>
      </c>
      <c r="T4" s="50" t="str">
        <f t="shared" si="4"/>
        <v>Armaduras</v>
      </c>
      <c r="U4" s="50" t="str">
        <f t="shared" si="5"/>
        <v>Vergalhões</v>
      </c>
      <c r="V4" s="50" t="s">
        <v>672</v>
      </c>
      <c r="W4" s="58" t="str">
        <f t="shared" si="2"/>
        <v>Key-MET-4</v>
      </c>
      <c r="X4" s="50" t="s">
        <v>1014</v>
      </c>
      <c r="Y4" s="50" t="s">
        <v>1015</v>
      </c>
      <c r="Z4" s="50" t="s">
        <v>9</v>
      </c>
      <c r="AA4" s="50" t="str">
        <f t="shared" si="6"/>
        <v>Rebar for reinforced concrete.</v>
      </c>
    </row>
    <row r="5" spans="1:27" ht="6.6" customHeight="1" x14ac:dyDescent="0.25">
      <c r="A5" s="63">
        <v>5</v>
      </c>
      <c r="B5" s="45" t="s">
        <v>1076</v>
      </c>
      <c r="C5" s="40" t="s">
        <v>88</v>
      </c>
      <c r="D5" s="40" t="s">
        <v>952</v>
      </c>
      <c r="E5" s="40" t="s">
        <v>956</v>
      </c>
      <c r="F5" s="40" t="s">
        <v>955</v>
      </c>
      <c r="G5" s="64" t="s">
        <v>9</v>
      </c>
      <c r="H5" s="64" t="s">
        <v>9</v>
      </c>
      <c r="I5" s="64" t="s">
        <v>9</v>
      </c>
      <c r="J5" s="64" t="s">
        <v>9</v>
      </c>
      <c r="K5" s="64" t="s">
        <v>9</v>
      </c>
      <c r="L5" s="55" t="str">
        <f t="shared" si="7"/>
        <v>Estrutura.Principal</v>
      </c>
      <c r="M5" s="55" t="str">
        <f t="shared" si="0"/>
        <v>Armaduras</v>
      </c>
      <c r="N5" s="55" t="str">
        <f t="shared" si="0"/>
        <v>Vergalhões</v>
      </c>
      <c r="O5" s="55" t="str">
        <f t="shared" si="0"/>
        <v>Vergalhão Liso</v>
      </c>
      <c r="P5" s="55" t="s">
        <v>961</v>
      </c>
      <c r="Q5" s="55" t="s">
        <v>964</v>
      </c>
      <c r="R5" s="50" t="s">
        <v>9</v>
      </c>
      <c r="S5" s="50" t="str">
        <f t="shared" si="3"/>
        <v>Estrutura Principal</v>
      </c>
      <c r="T5" s="50" t="str">
        <f t="shared" si="4"/>
        <v>Armaduras</v>
      </c>
      <c r="U5" s="50" t="str">
        <f t="shared" si="5"/>
        <v>Vergalhões</v>
      </c>
      <c r="V5" s="50" t="s">
        <v>672</v>
      </c>
      <c r="W5" s="58" t="str">
        <f t="shared" si="2"/>
        <v>Key-MET-5</v>
      </c>
      <c r="X5" s="50" t="s">
        <v>1014</v>
      </c>
      <c r="Y5" s="50" t="s">
        <v>1015</v>
      </c>
      <c r="Z5" s="50" t="s">
        <v>9</v>
      </c>
      <c r="AA5" s="50" t="str">
        <f t="shared" si="6"/>
        <v>Smooth rebar for reinforced concrete. Generally used when adhesion is not a primary concern, such as on slabs and floors. Can be in CA-25 Steel.</v>
      </c>
    </row>
    <row r="6" spans="1:27" ht="6.6" customHeight="1" x14ac:dyDescent="0.25">
      <c r="A6" s="63">
        <v>6</v>
      </c>
      <c r="B6" s="45" t="s">
        <v>1076</v>
      </c>
      <c r="C6" s="40" t="s">
        <v>88</v>
      </c>
      <c r="D6" s="40" t="s">
        <v>952</v>
      </c>
      <c r="E6" s="40" t="s">
        <v>956</v>
      </c>
      <c r="F6" s="40" t="s">
        <v>954</v>
      </c>
      <c r="G6" s="64" t="s">
        <v>9</v>
      </c>
      <c r="H6" s="64" t="s">
        <v>9</v>
      </c>
      <c r="I6" s="64" t="s">
        <v>9</v>
      </c>
      <c r="J6" s="64" t="s">
        <v>9</v>
      </c>
      <c r="K6" s="64" t="s">
        <v>9</v>
      </c>
      <c r="L6" s="55" t="str">
        <f t="shared" si="7"/>
        <v>Estrutura.Principal</v>
      </c>
      <c r="M6" s="55" t="str">
        <f t="shared" si="0"/>
        <v>Armaduras</v>
      </c>
      <c r="N6" s="55" t="str">
        <f t="shared" si="0"/>
        <v>Vergalhões</v>
      </c>
      <c r="O6" s="55" t="str">
        <f t="shared" si="0"/>
        <v>Vergalhão Nervurado</v>
      </c>
      <c r="P6" s="55" t="s">
        <v>962</v>
      </c>
      <c r="Q6" s="55" t="s">
        <v>965</v>
      </c>
      <c r="R6" s="50" t="s">
        <v>9</v>
      </c>
      <c r="S6" s="50" t="str">
        <f t="shared" si="3"/>
        <v>Estrutura Principal</v>
      </c>
      <c r="T6" s="50" t="str">
        <f t="shared" si="4"/>
        <v>Armaduras</v>
      </c>
      <c r="U6" s="50" t="str">
        <f t="shared" si="5"/>
        <v>Vergalhões</v>
      </c>
      <c r="V6" s="50" t="s">
        <v>672</v>
      </c>
      <c r="W6" s="58" t="str">
        <f t="shared" si="2"/>
        <v>Key-MET-6</v>
      </c>
      <c r="X6" s="50" t="s">
        <v>1014</v>
      </c>
      <c r="Y6" s="50" t="s">
        <v>1015</v>
      </c>
      <c r="Z6" s="50" t="s">
        <v>9</v>
      </c>
      <c r="AA6" s="50" t="str">
        <f t="shared" si="6"/>
        <v>Ribbed rebar for reinforced concrete. They have protrusions along their surface, with superior adhesion to concrete. Used in structural elements subject to high loads, such as beams and columns. They can be produced in CA-50, CA-60 and CA-70 Steel.</v>
      </c>
    </row>
    <row r="7" spans="1:27" ht="6.6" customHeight="1" x14ac:dyDescent="0.25">
      <c r="A7" s="63">
        <v>7</v>
      </c>
      <c r="B7" s="45" t="s">
        <v>1076</v>
      </c>
      <c r="C7" s="40" t="s">
        <v>88</v>
      </c>
      <c r="D7" s="40" t="s">
        <v>952</v>
      </c>
      <c r="E7" s="40" t="s">
        <v>956</v>
      </c>
      <c r="F7" s="40" t="s">
        <v>957</v>
      </c>
      <c r="G7" s="64" t="s">
        <v>9</v>
      </c>
      <c r="H7" s="64" t="s">
        <v>9</v>
      </c>
      <c r="I7" s="64" t="s">
        <v>9</v>
      </c>
      <c r="J7" s="64" t="s">
        <v>9</v>
      </c>
      <c r="K7" s="64" t="s">
        <v>9</v>
      </c>
      <c r="L7" s="55" t="str">
        <f t="shared" si="7"/>
        <v>Estrutura.Principal</v>
      </c>
      <c r="M7" s="55" t="str">
        <f t="shared" si="0"/>
        <v>Armaduras</v>
      </c>
      <c r="N7" s="55" t="str">
        <f t="shared" si="0"/>
        <v>Vergalhões</v>
      </c>
      <c r="O7" s="55" t="str">
        <f t="shared" si="0"/>
        <v>Vergalhão GG70</v>
      </c>
      <c r="P7" s="55" t="s">
        <v>959</v>
      </c>
      <c r="Q7" s="55" t="s">
        <v>966</v>
      </c>
      <c r="R7" s="50" t="s">
        <v>9</v>
      </c>
      <c r="S7" s="50" t="str">
        <f t="shared" si="3"/>
        <v>Estrutura Principal</v>
      </c>
      <c r="T7" s="50" t="str">
        <f t="shared" si="4"/>
        <v>Armaduras</v>
      </c>
      <c r="U7" s="50" t="str">
        <f t="shared" si="5"/>
        <v>Vergalhões</v>
      </c>
      <c r="V7" s="50" t="s">
        <v>672</v>
      </c>
      <c r="W7" s="58" t="str">
        <f t="shared" si="2"/>
        <v>Key-MET-7</v>
      </c>
      <c r="X7" s="50" t="s">
        <v>1014</v>
      </c>
      <c r="Y7" s="50" t="s">
        <v>1015</v>
      </c>
      <c r="Z7" s="50" t="s">
        <v>9</v>
      </c>
      <c r="AA7" s="50" t="str">
        <f t="shared" si="6"/>
        <v>Rebar produced by Gerdau. The GG 70 stands out as a high-performance solution that redefines structural standards, offering more strength, productivity and resource rationalization. It is made of CA-70 Steel.</v>
      </c>
    </row>
    <row r="8" spans="1:27" ht="6.6" customHeight="1" x14ac:dyDescent="0.25">
      <c r="A8" s="63">
        <v>8</v>
      </c>
      <c r="B8" s="45" t="s">
        <v>1076</v>
      </c>
      <c r="C8" s="40" t="s">
        <v>88</v>
      </c>
      <c r="D8" s="40" t="s">
        <v>952</v>
      </c>
      <c r="E8" s="40" t="s">
        <v>958</v>
      </c>
      <c r="F8" s="40" t="s">
        <v>967</v>
      </c>
      <c r="G8" s="64" t="s">
        <v>9</v>
      </c>
      <c r="H8" s="64" t="s">
        <v>9</v>
      </c>
      <c r="I8" s="64" t="s">
        <v>9</v>
      </c>
      <c r="J8" s="64" t="s">
        <v>9</v>
      </c>
      <c r="K8" s="64" t="s">
        <v>9</v>
      </c>
      <c r="L8" s="55" t="str">
        <f t="shared" ref="L8:L15" si="8">_xlfn.CONCAT(SUBSTITUTE(C8,"1.",""))</f>
        <v>Estrutura.Principal</v>
      </c>
      <c r="M8" s="55" t="str">
        <f t="shared" ref="M8:M15" si="9">_xlfn.CONCAT(SUBSTITUTE(D8,"."," "))</f>
        <v>Armaduras</v>
      </c>
      <c r="N8" s="55" t="str">
        <f t="shared" ref="N8:N15" si="10">_xlfn.CONCAT(SUBSTITUTE(E8,"."," "))</f>
        <v>Estribos</v>
      </c>
      <c r="O8" s="55" t="str">
        <f t="shared" ref="O8:O15" si="11">_xlfn.CONCAT(SUBSTITUTE(F8,"."," "))</f>
        <v>Estribo Retangular</v>
      </c>
      <c r="P8" s="55" t="s">
        <v>972</v>
      </c>
      <c r="Q8" s="55" t="s">
        <v>975</v>
      </c>
      <c r="R8" s="50" t="s">
        <v>9</v>
      </c>
      <c r="S8" s="50" t="str">
        <f t="shared" ref="S8:S15" si="12">SUBSTITUTE(C8, ".", " ")</f>
        <v>Estrutura Principal</v>
      </c>
      <c r="T8" s="50" t="str">
        <f t="shared" ref="T8:T15" si="13">SUBSTITUTE(D8, ".", " ")</f>
        <v>Armaduras</v>
      </c>
      <c r="U8" s="50" t="str">
        <f t="shared" ref="U8:U15" si="14">SUBSTITUTE(E8, ".", " ")</f>
        <v>Estribos</v>
      </c>
      <c r="V8" s="50" t="s">
        <v>672</v>
      </c>
      <c r="W8" s="58" t="str">
        <f t="shared" si="2"/>
        <v>Key-MET-8</v>
      </c>
      <c r="X8" s="50" t="s">
        <v>1014</v>
      </c>
      <c r="Y8" s="50" t="s">
        <v>1015</v>
      </c>
      <c r="Z8" s="50" t="s">
        <v>9</v>
      </c>
      <c r="AA8" s="50" t="str">
        <f t="shared" si="6"/>
        <v>Stirrup to resist cutting forces and keep rebar in position. They ensure even distribution of efforts.</v>
      </c>
    </row>
    <row r="9" spans="1:27" ht="6.6" customHeight="1" x14ac:dyDescent="0.25">
      <c r="A9" s="63">
        <v>9</v>
      </c>
      <c r="B9" s="45" t="s">
        <v>1076</v>
      </c>
      <c r="C9" s="40" t="s">
        <v>88</v>
      </c>
      <c r="D9" s="40" t="s">
        <v>952</v>
      </c>
      <c r="E9" s="40" t="s">
        <v>958</v>
      </c>
      <c r="F9" s="40" t="s">
        <v>968</v>
      </c>
      <c r="G9" s="64" t="s">
        <v>9</v>
      </c>
      <c r="H9" s="64" t="s">
        <v>9</v>
      </c>
      <c r="I9" s="64" t="s">
        <v>9</v>
      </c>
      <c r="J9" s="64" t="s">
        <v>9</v>
      </c>
      <c r="K9" s="64" t="s">
        <v>9</v>
      </c>
      <c r="L9" s="55" t="str">
        <f t="shared" si="8"/>
        <v>Estrutura.Principal</v>
      </c>
      <c r="M9" s="55" t="str">
        <f t="shared" si="9"/>
        <v>Armaduras</v>
      </c>
      <c r="N9" s="55" t="str">
        <f t="shared" si="10"/>
        <v>Estribos</v>
      </c>
      <c r="O9" s="55" t="str">
        <f t="shared" si="11"/>
        <v>Estribo Circular</v>
      </c>
      <c r="P9" s="55" t="s">
        <v>973</v>
      </c>
      <c r="Q9" s="55" t="s">
        <v>976</v>
      </c>
      <c r="R9" s="50" t="s">
        <v>9</v>
      </c>
      <c r="S9" s="50" t="str">
        <f t="shared" si="12"/>
        <v>Estrutura Principal</v>
      </c>
      <c r="T9" s="50" t="str">
        <f t="shared" si="13"/>
        <v>Armaduras</v>
      </c>
      <c r="U9" s="50" t="str">
        <f t="shared" si="14"/>
        <v>Estribos</v>
      </c>
      <c r="V9" s="50" t="s">
        <v>672</v>
      </c>
      <c r="W9" s="58" t="str">
        <f t="shared" si="2"/>
        <v>Key-MET-9</v>
      </c>
      <c r="X9" s="50" t="s">
        <v>1014</v>
      </c>
      <c r="Y9" s="50" t="s">
        <v>1015</v>
      </c>
      <c r="Z9" s="50" t="s">
        <v>9</v>
      </c>
      <c r="AA9" s="50" t="str">
        <f t="shared" si="6"/>
        <v>Stirrup used in circular formwork and pipes.</v>
      </c>
    </row>
    <row r="10" spans="1:27" ht="6.6" customHeight="1" x14ac:dyDescent="0.25">
      <c r="A10" s="63">
        <v>10</v>
      </c>
      <c r="B10" s="45" t="s">
        <v>1076</v>
      </c>
      <c r="C10" s="40" t="s">
        <v>88</v>
      </c>
      <c r="D10" s="40" t="s">
        <v>952</v>
      </c>
      <c r="E10" s="40" t="s">
        <v>958</v>
      </c>
      <c r="F10" s="40" t="s">
        <v>969</v>
      </c>
      <c r="G10" s="64" t="s">
        <v>9</v>
      </c>
      <c r="H10" s="64" t="s">
        <v>9</v>
      </c>
      <c r="I10" s="64" t="s">
        <v>9</v>
      </c>
      <c r="J10" s="64" t="s">
        <v>9</v>
      </c>
      <c r="K10" s="64" t="s">
        <v>9</v>
      </c>
      <c r="L10" s="55" t="str">
        <f t="shared" si="8"/>
        <v>Estrutura.Principal</v>
      </c>
      <c r="M10" s="55" t="str">
        <f t="shared" si="9"/>
        <v>Armaduras</v>
      </c>
      <c r="N10" s="55" t="str">
        <f t="shared" si="10"/>
        <v>Estribos</v>
      </c>
      <c r="O10" s="55" t="str">
        <f t="shared" si="11"/>
        <v>Estribo Diagonal</v>
      </c>
      <c r="P10" s="55" t="s">
        <v>971</v>
      </c>
      <c r="Q10" s="55" t="s">
        <v>977</v>
      </c>
      <c r="R10" s="50" t="s">
        <v>9</v>
      </c>
      <c r="S10" s="50" t="str">
        <f t="shared" si="12"/>
        <v>Estrutura Principal</v>
      </c>
      <c r="T10" s="50" t="str">
        <f t="shared" si="13"/>
        <v>Armaduras</v>
      </c>
      <c r="U10" s="50" t="str">
        <f t="shared" si="14"/>
        <v>Estribos</v>
      </c>
      <c r="V10" s="50" t="s">
        <v>672</v>
      </c>
      <c r="W10" s="58" t="str">
        <f t="shared" si="2"/>
        <v>Key-MET-10</v>
      </c>
      <c r="X10" s="50" t="s">
        <v>1014</v>
      </c>
      <c r="Y10" s="50" t="s">
        <v>1015</v>
      </c>
      <c r="Z10" s="50" t="s">
        <v>9</v>
      </c>
      <c r="AA10" s="50" t="str">
        <f t="shared" si="6"/>
        <v>Stirrup that increases resistance against diagonal forces in beams and columns.</v>
      </c>
    </row>
    <row r="11" spans="1:27" ht="6.6" customHeight="1" x14ac:dyDescent="0.25">
      <c r="A11" s="63">
        <v>11</v>
      </c>
      <c r="B11" s="45" t="s">
        <v>1076</v>
      </c>
      <c r="C11" s="40" t="s">
        <v>88</v>
      </c>
      <c r="D11" s="40" t="s">
        <v>952</v>
      </c>
      <c r="E11" s="40" t="s">
        <v>958</v>
      </c>
      <c r="F11" s="40" t="s">
        <v>970</v>
      </c>
      <c r="G11" s="64" t="s">
        <v>9</v>
      </c>
      <c r="H11" s="64" t="s">
        <v>9</v>
      </c>
      <c r="I11" s="64" t="s">
        <v>9</v>
      </c>
      <c r="J11" s="64" t="s">
        <v>9</v>
      </c>
      <c r="K11" s="64" t="s">
        <v>9</v>
      </c>
      <c r="L11" s="55" t="str">
        <f t="shared" ref="L11:L14" si="15">_xlfn.CONCAT(SUBSTITUTE(C11,"1.",""))</f>
        <v>Estrutura.Principal</v>
      </c>
      <c r="M11" s="55" t="str">
        <f t="shared" ref="M11:M14" si="16">_xlfn.CONCAT(SUBSTITUTE(D11,"."," "))</f>
        <v>Armaduras</v>
      </c>
      <c r="N11" s="55" t="str">
        <f t="shared" ref="N11:N14" si="17">_xlfn.CONCAT(SUBSTITUTE(E11,"."," "))</f>
        <v>Estribos</v>
      </c>
      <c r="O11" s="55" t="str">
        <f t="shared" ref="O11:O14" si="18">_xlfn.CONCAT(SUBSTITUTE(F11,"."," "))</f>
        <v>Estribo Helicoidal</v>
      </c>
      <c r="P11" s="55" t="s">
        <v>974</v>
      </c>
      <c r="Q11" s="55" t="s">
        <v>978</v>
      </c>
      <c r="R11" s="50" t="s">
        <v>9</v>
      </c>
      <c r="S11" s="50" t="str">
        <f t="shared" ref="S11:S14" si="19">SUBSTITUTE(C11, ".", " ")</f>
        <v>Estrutura Principal</v>
      </c>
      <c r="T11" s="50" t="str">
        <f t="shared" ref="T11:T14" si="20">SUBSTITUTE(D11, ".", " ")</f>
        <v>Armaduras</v>
      </c>
      <c r="U11" s="50" t="str">
        <f t="shared" ref="U11:U14" si="21">SUBSTITUTE(E11, ".", " ")</f>
        <v>Estribos</v>
      </c>
      <c r="V11" s="50" t="s">
        <v>672</v>
      </c>
      <c r="W11" s="58" t="str">
        <f t="shared" si="2"/>
        <v>Key-MET-11</v>
      </c>
      <c r="X11" s="50" t="s">
        <v>1014</v>
      </c>
      <c r="Y11" s="50" t="s">
        <v>1015</v>
      </c>
      <c r="Z11" s="50" t="s">
        <v>9</v>
      </c>
      <c r="AA11" s="50" t="str">
        <f t="shared" si="6"/>
        <v>Stirrup used in structures subject to high torsional stress.</v>
      </c>
    </row>
    <row r="12" spans="1:27" ht="6.6" customHeight="1" x14ac:dyDescent="0.25">
      <c r="A12" s="63">
        <v>12</v>
      </c>
      <c r="B12" s="45" t="s">
        <v>1076</v>
      </c>
      <c r="C12" s="40" t="s">
        <v>88</v>
      </c>
      <c r="D12" s="40" t="s">
        <v>952</v>
      </c>
      <c r="E12" s="40" t="s">
        <v>981</v>
      </c>
      <c r="F12" s="40" t="s">
        <v>991</v>
      </c>
      <c r="G12" s="64" t="s">
        <v>9</v>
      </c>
      <c r="H12" s="64" t="s">
        <v>9</v>
      </c>
      <c r="I12" s="64" t="s">
        <v>9</v>
      </c>
      <c r="J12" s="64" t="s">
        <v>9</v>
      </c>
      <c r="K12" s="64" t="s">
        <v>9</v>
      </c>
      <c r="L12" s="55" t="str">
        <f t="shared" ref="L12" si="22">_xlfn.CONCAT(SUBSTITUTE(C12,"1.",""))</f>
        <v>Estrutura.Principal</v>
      </c>
      <c r="M12" s="55" t="str">
        <f t="shared" ref="M12" si="23">_xlfn.CONCAT(SUBSTITUTE(D12,"."," "))</f>
        <v>Armaduras</v>
      </c>
      <c r="N12" s="55" t="str">
        <f t="shared" ref="N12" si="24">_xlfn.CONCAT(SUBSTITUTE(E12,"."," "))</f>
        <v>Prontas</v>
      </c>
      <c r="O12" s="55" t="str">
        <f t="shared" ref="O12" si="25">_xlfn.CONCAT(SUBSTITUTE(F12,"."," "))</f>
        <v>Tela Soldada</v>
      </c>
      <c r="P12" s="55" t="s">
        <v>992</v>
      </c>
      <c r="Q12" s="55" t="s">
        <v>993</v>
      </c>
      <c r="R12" s="50" t="s">
        <v>9</v>
      </c>
      <c r="S12" s="50" t="str">
        <f t="shared" ref="S12" si="26">SUBSTITUTE(C12, ".", " ")</f>
        <v>Estrutura Principal</v>
      </c>
      <c r="T12" s="50" t="str">
        <f t="shared" ref="T12" si="27">SUBSTITUTE(D12, ".", " ")</f>
        <v>Armaduras</v>
      </c>
      <c r="U12" s="50" t="str">
        <f t="shared" ref="U12" si="28">SUBSTITUTE(E12, ".", " ")</f>
        <v>Prontas</v>
      </c>
      <c r="V12" s="50" t="s">
        <v>672</v>
      </c>
      <c r="W12" s="58" t="str">
        <f t="shared" si="2"/>
        <v>Key-MET-12</v>
      </c>
      <c r="X12" s="50" t="s">
        <v>1014</v>
      </c>
      <c r="Y12" s="50" t="s">
        <v>1015</v>
      </c>
      <c r="Z12" s="50" t="s">
        <v>9</v>
      </c>
      <c r="AA12" s="50" t="str">
        <f t="shared" si="6"/>
        <v>Made of ribbed CA-60 steel and GG-50 steel. Ribbed Welded Mesh is supplied in panels and formed by welded wires or bars at all crossing points configuring the cracking control mesh and mechanical resistance.</v>
      </c>
    </row>
    <row r="13" spans="1:27" ht="6.6" customHeight="1" x14ac:dyDescent="0.25">
      <c r="A13" s="63">
        <v>13</v>
      </c>
      <c r="B13" s="45" t="s">
        <v>1076</v>
      </c>
      <c r="C13" s="40" t="s">
        <v>88</v>
      </c>
      <c r="D13" s="40" t="s">
        <v>952</v>
      </c>
      <c r="E13" s="40" t="s">
        <v>981</v>
      </c>
      <c r="F13" s="40" t="s">
        <v>982</v>
      </c>
      <c r="G13" s="64" t="s">
        <v>9</v>
      </c>
      <c r="H13" s="64" t="s">
        <v>9</v>
      </c>
      <c r="I13" s="64" t="s">
        <v>9</v>
      </c>
      <c r="J13" s="64" t="s">
        <v>9</v>
      </c>
      <c r="K13" s="64" t="s">
        <v>9</v>
      </c>
      <c r="L13" s="55" t="str">
        <f t="shared" si="15"/>
        <v>Estrutura.Principal</v>
      </c>
      <c r="M13" s="55" t="str">
        <f t="shared" si="16"/>
        <v>Armaduras</v>
      </c>
      <c r="N13" s="55" t="str">
        <f t="shared" si="17"/>
        <v>Prontas</v>
      </c>
      <c r="O13" s="55" t="str">
        <f t="shared" si="18"/>
        <v>Armadura APS</v>
      </c>
      <c r="P13" s="55" t="s">
        <v>983</v>
      </c>
      <c r="Q13" s="55" t="s">
        <v>988</v>
      </c>
      <c r="R13" s="50" t="s">
        <v>9</v>
      </c>
      <c r="S13" s="50" t="str">
        <f t="shared" si="19"/>
        <v>Estrutura Principal</v>
      </c>
      <c r="T13" s="50" t="str">
        <f t="shared" si="20"/>
        <v>Armaduras</v>
      </c>
      <c r="U13" s="50" t="str">
        <f t="shared" si="21"/>
        <v>Prontas</v>
      </c>
      <c r="V13" s="50" t="s">
        <v>672</v>
      </c>
      <c r="W13" s="58" t="str">
        <f t="shared" si="2"/>
        <v>Key-MET-13</v>
      </c>
      <c r="X13" s="50" t="s">
        <v>1014</v>
      </c>
      <c r="Y13" s="50" t="s">
        <v>1015</v>
      </c>
      <c r="Z13" s="50" t="s">
        <v>9</v>
      </c>
      <c r="AA13" s="50" t="str">
        <f t="shared" si="6"/>
        <v>Welded ready reinforcement (APS). Delivered ready at the site, according to the project of the work. The pieces are delivered identified and according to the schedule of execution of the work.</v>
      </c>
    </row>
    <row r="14" spans="1:27" ht="6.6" customHeight="1" x14ac:dyDescent="0.25">
      <c r="A14" s="63">
        <v>14</v>
      </c>
      <c r="B14" s="45" t="s">
        <v>1076</v>
      </c>
      <c r="C14" s="40" t="s">
        <v>88</v>
      </c>
      <c r="D14" s="40" t="s">
        <v>952</v>
      </c>
      <c r="E14" s="40" t="s">
        <v>981</v>
      </c>
      <c r="F14" s="40" t="s">
        <v>984</v>
      </c>
      <c r="G14" s="64" t="s">
        <v>9</v>
      </c>
      <c r="H14" s="64" t="s">
        <v>9</v>
      </c>
      <c r="I14" s="64" t="s">
        <v>9</v>
      </c>
      <c r="J14" s="64" t="s">
        <v>9</v>
      </c>
      <c r="K14" s="64" t="s">
        <v>9</v>
      </c>
      <c r="L14" s="55" t="str">
        <f t="shared" si="15"/>
        <v>Estrutura.Principal</v>
      </c>
      <c r="M14" s="55" t="str">
        <f t="shared" si="16"/>
        <v>Armaduras</v>
      </c>
      <c r="N14" s="55" t="str">
        <f t="shared" si="17"/>
        <v>Prontas</v>
      </c>
      <c r="O14" s="55" t="str">
        <f t="shared" si="18"/>
        <v>Fôrma Incorporada</v>
      </c>
      <c r="P14" s="55" t="s">
        <v>985</v>
      </c>
      <c r="Q14" s="55" t="s">
        <v>989</v>
      </c>
      <c r="R14" s="50" t="s">
        <v>9</v>
      </c>
      <c r="S14" s="50" t="str">
        <f t="shared" si="19"/>
        <v>Estrutura Principal</v>
      </c>
      <c r="T14" s="50" t="str">
        <f t="shared" si="20"/>
        <v>Armaduras</v>
      </c>
      <c r="U14" s="50" t="str">
        <f t="shared" si="21"/>
        <v>Prontas</v>
      </c>
      <c r="V14" s="50" t="s">
        <v>672</v>
      </c>
      <c r="W14" s="58" t="str">
        <f t="shared" si="2"/>
        <v>Key-MET-14</v>
      </c>
      <c r="X14" s="50" t="s">
        <v>1014</v>
      </c>
      <c r="Y14" s="50" t="s">
        <v>1015</v>
      </c>
      <c r="Z14" s="50" t="s">
        <v>9</v>
      </c>
      <c r="AA14" s="50" t="str">
        <f t="shared" si="6"/>
        <v>Built-in formwork is produced with 0.5 mm thick galvanized steel panels with perforations, delivered with plastic spacers and galvanized clamps for permanent application that replaces the temporary conventional formwork, eliminating the formwork step.</v>
      </c>
    </row>
    <row r="15" spans="1:27" ht="6.6" customHeight="1" x14ac:dyDescent="0.25">
      <c r="A15" s="63">
        <v>15</v>
      </c>
      <c r="B15" s="45" t="s">
        <v>1076</v>
      </c>
      <c r="C15" s="40" t="s">
        <v>88</v>
      </c>
      <c r="D15" s="40" t="s">
        <v>952</v>
      </c>
      <c r="E15" s="40" t="s">
        <v>981</v>
      </c>
      <c r="F15" s="40" t="s">
        <v>986</v>
      </c>
      <c r="G15" s="64" t="s">
        <v>9</v>
      </c>
      <c r="H15" s="64" t="s">
        <v>9</v>
      </c>
      <c r="I15" s="64" t="s">
        <v>9</v>
      </c>
      <c r="J15" s="64" t="s">
        <v>9</v>
      </c>
      <c r="K15" s="64" t="s">
        <v>9</v>
      </c>
      <c r="L15" s="55" t="str">
        <f t="shared" si="8"/>
        <v>Estrutura.Principal</v>
      </c>
      <c r="M15" s="55" t="str">
        <f t="shared" si="9"/>
        <v>Armaduras</v>
      </c>
      <c r="N15" s="55" t="str">
        <f t="shared" si="10"/>
        <v>Prontas</v>
      </c>
      <c r="O15" s="55" t="str">
        <f t="shared" si="11"/>
        <v>Fôrma Incorporada APS</v>
      </c>
      <c r="P15" s="55" t="s">
        <v>987</v>
      </c>
      <c r="Q15" s="55" t="s">
        <v>990</v>
      </c>
      <c r="R15" s="50" t="s">
        <v>9</v>
      </c>
      <c r="S15" s="50" t="str">
        <f t="shared" si="12"/>
        <v>Estrutura Principal</v>
      </c>
      <c r="T15" s="50" t="str">
        <f t="shared" si="13"/>
        <v>Armaduras</v>
      </c>
      <c r="U15" s="50" t="str">
        <f t="shared" si="14"/>
        <v>Prontas</v>
      </c>
      <c r="V15" s="50" t="s">
        <v>672</v>
      </c>
      <c r="W15" s="58" t="str">
        <f t="shared" si="2"/>
        <v>Key-MET-15</v>
      </c>
      <c r="X15" s="50" t="s">
        <v>1014</v>
      </c>
      <c r="Y15" s="50" t="s">
        <v>1015</v>
      </c>
      <c r="Z15" s="50" t="s">
        <v>9</v>
      </c>
      <c r="AA15" s="50" t="str">
        <f t="shared" si="6"/>
        <v>Built-in formwork mounted with welded ready reinforcement (APS).</v>
      </c>
    </row>
    <row r="16" spans="1:27" ht="6.6" customHeight="1" x14ac:dyDescent="0.25">
      <c r="A16" s="63">
        <v>16</v>
      </c>
      <c r="B16" s="45" t="s">
        <v>1076</v>
      </c>
      <c r="C16" s="40" t="s">
        <v>88</v>
      </c>
      <c r="D16" s="40" t="s">
        <v>516</v>
      </c>
      <c r="E16" s="40" t="s">
        <v>629</v>
      </c>
      <c r="F16" s="40" t="s">
        <v>621</v>
      </c>
      <c r="G16" s="64" t="s">
        <v>9</v>
      </c>
      <c r="H16" s="64" t="s">
        <v>9</v>
      </c>
      <c r="I16" s="64" t="s">
        <v>9</v>
      </c>
      <c r="J16" s="67" t="s">
        <v>994</v>
      </c>
      <c r="K16" s="64" t="s">
        <v>9</v>
      </c>
      <c r="L16" s="55" t="str">
        <f t="shared" ref="L16:L18" si="29">_xlfn.CONCAT(SUBSTITUTE(C16,"1.",""))</f>
        <v>Estrutura.Principal</v>
      </c>
      <c r="M16" s="55" t="str">
        <f t="shared" si="0"/>
        <v>Sustentação</v>
      </c>
      <c r="N16" s="55" t="str">
        <f t="shared" si="0"/>
        <v>Soldados</v>
      </c>
      <c r="O16" s="55" t="str">
        <f t="shared" si="0"/>
        <v>Coluna Viga Soldada</v>
      </c>
      <c r="P16" s="55" t="s">
        <v>623</v>
      </c>
      <c r="Q16" s="55" t="s">
        <v>690</v>
      </c>
      <c r="R16" s="50" t="s">
        <v>9</v>
      </c>
      <c r="S16" s="50" t="str">
        <f t="shared" si="3"/>
        <v>Estrutura Principal</v>
      </c>
      <c r="T16" s="50" t="str">
        <f t="shared" si="4"/>
        <v>Sustentação</v>
      </c>
      <c r="U16" s="50" t="str">
        <f t="shared" si="5"/>
        <v>Soldados</v>
      </c>
      <c r="V16" s="50" t="s">
        <v>672</v>
      </c>
      <c r="W16" s="58" t="str">
        <f t="shared" si="2"/>
        <v>Key-MET-16</v>
      </c>
      <c r="X16" s="50" t="s">
        <v>1016</v>
      </c>
      <c r="Y16" s="50" t="s">
        <v>1017</v>
      </c>
      <c r="Z16" s="50" t="s">
        <v>9</v>
      </c>
      <c r="AA16" s="50" t="str">
        <f t="shared" si="6"/>
        <v>Welded metal profile for Column and Beam (CVS). They are structural metal profiles formed by joining steel plates connected with welding.</v>
      </c>
    </row>
    <row r="17" spans="1:27" ht="6.6" customHeight="1" x14ac:dyDescent="0.25">
      <c r="A17" s="63">
        <v>17</v>
      </c>
      <c r="B17" s="45" t="s">
        <v>1076</v>
      </c>
      <c r="C17" s="40" t="s">
        <v>88</v>
      </c>
      <c r="D17" s="40" t="s">
        <v>516</v>
      </c>
      <c r="E17" s="40" t="s">
        <v>629</v>
      </c>
      <c r="F17" s="40" t="s">
        <v>619</v>
      </c>
      <c r="G17" s="64" t="s">
        <v>9</v>
      </c>
      <c r="H17" s="64" t="s">
        <v>9</v>
      </c>
      <c r="I17" s="64" t="s">
        <v>9</v>
      </c>
      <c r="J17" s="64" t="s">
        <v>9</v>
      </c>
      <c r="K17" s="64" t="s">
        <v>9</v>
      </c>
      <c r="L17" s="55" t="str">
        <f t="shared" si="29"/>
        <v>Estrutura.Principal</v>
      </c>
      <c r="M17" s="55" t="str">
        <f t="shared" si="0"/>
        <v>Sustentação</v>
      </c>
      <c r="N17" s="55" t="str">
        <f t="shared" si="0"/>
        <v>Soldados</v>
      </c>
      <c r="O17" s="55" t="str">
        <f t="shared" si="0"/>
        <v>Coluna Soldada</v>
      </c>
      <c r="P17" s="55" t="s">
        <v>624</v>
      </c>
      <c r="Q17" s="55" t="s">
        <v>691</v>
      </c>
      <c r="R17" s="50" t="s">
        <v>9</v>
      </c>
      <c r="S17" s="50" t="str">
        <f t="shared" si="3"/>
        <v>Estrutura Principal</v>
      </c>
      <c r="T17" s="50" t="str">
        <f t="shared" si="4"/>
        <v>Sustentação</v>
      </c>
      <c r="U17" s="50" t="str">
        <f t="shared" si="5"/>
        <v>Soldados</v>
      </c>
      <c r="V17" s="50" t="s">
        <v>672</v>
      </c>
      <c r="W17" s="58" t="str">
        <f t="shared" si="2"/>
        <v>Key-MET-17</v>
      </c>
      <c r="X17" s="50" t="s">
        <v>1018</v>
      </c>
      <c r="Y17" s="50" t="s">
        <v>1019</v>
      </c>
      <c r="Z17" s="50" t="s">
        <v>9</v>
      </c>
      <c r="AA17" s="50" t="str">
        <f t="shared" si="6"/>
        <v>Welded metal profile for Column (CS). They are structural metal profiles formed by joining steel plates connected with welding.</v>
      </c>
    </row>
    <row r="18" spans="1:27" ht="6.6" customHeight="1" x14ac:dyDescent="0.25">
      <c r="A18" s="63">
        <v>18</v>
      </c>
      <c r="B18" s="45" t="s">
        <v>1076</v>
      </c>
      <c r="C18" s="40" t="s">
        <v>88</v>
      </c>
      <c r="D18" s="40" t="s">
        <v>516</v>
      </c>
      <c r="E18" s="40" t="s">
        <v>629</v>
      </c>
      <c r="F18" s="40" t="s">
        <v>620</v>
      </c>
      <c r="G18" s="64" t="s">
        <v>9</v>
      </c>
      <c r="H18" s="64" t="s">
        <v>9</v>
      </c>
      <c r="I18" s="64" t="s">
        <v>9</v>
      </c>
      <c r="J18" s="64" t="s">
        <v>9</v>
      </c>
      <c r="K18" s="64" t="s">
        <v>9</v>
      </c>
      <c r="L18" s="55" t="str">
        <f t="shared" si="29"/>
        <v>Estrutura.Principal</v>
      </c>
      <c r="M18" s="55" t="str">
        <f t="shared" si="0"/>
        <v>Sustentação</v>
      </c>
      <c r="N18" s="55" t="str">
        <f t="shared" si="0"/>
        <v>Soldados</v>
      </c>
      <c r="O18" s="55" t="str">
        <f t="shared" si="0"/>
        <v>Viga Soldada</v>
      </c>
      <c r="P18" s="55" t="s">
        <v>622</v>
      </c>
      <c r="Q18" s="55" t="s">
        <v>692</v>
      </c>
      <c r="R18" s="50" t="s">
        <v>9</v>
      </c>
      <c r="S18" s="50" t="str">
        <f t="shared" si="3"/>
        <v>Estrutura Principal</v>
      </c>
      <c r="T18" s="50" t="str">
        <f t="shared" si="4"/>
        <v>Sustentação</v>
      </c>
      <c r="U18" s="50" t="str">
        <f t="shared" si="5"/>
        <v>Soldados</v>
      </c>
      <c r="V18" s="50" t="s">
        <v>672</v>
      </c>
      <c r="W18" s="58" t="str">
        <f t="shared" si="2"/>
        <v>Key-MET-18</v>
      </c>
      <c r="X18" s="50" t="s">
        <v>1020</v>
      </c>
      <c r="Y18" s="50" t="s">
        <v>1021</v>
      </c>
      <c r="Z18" s="50" t="s">
        <v>9</v>
      </c>
      <c r="AA18" s="50" t="str">
        <f t="shared" si="6"/>
        <v>Welded metal profile for Beams (VS). They are structural metal profiles formed by joining steel plates connected with welding.</v>
      </c>
    </row>
    <row r="19" spans="1:27" ht="6.6" customHeight="1" x14ac:dyDescent="0.25">
      <c r="A19" s="63">
        <v>19</v>
      </c>
      <c r="B19" s="45" t="s">
        <v>1076</v>
      </c>
      <c r="C19" s="40" t="s">
        <v>88</v>
      </c>
      <c r="D19" s="40" t="s">
        <v>516</v>
      </c>
      <c r="E19" s="40" t="s">
        <v>628</v>
      </c>
      <c r="F19" s="40" t="s">
        <v>625</v>
      </c>
      <c r="G19" s="64" t="s">
        <v>9</v>
      </c>
      <c r="H19" s="64" t="s">
        <v>9</v>
      </c>
      <c r="I19" s="64" t="s">
        <v>9</v>
      </c>
      <c r="J19" s="67" t="s">
        <v>994</v>
      </c>
      <c r="K19" s="64" t="s">
        <v>9</v>
      </c>
      <c r="L19" s="55" t="str">
        <f t="shared" ref="L19:L31" si="30">_xlfn.CONCAT(SUBSTITUTE(C19,"1.",""))</f>
        <v>Estrutura.Principal</v>
      </c>
      <c r="M19" s="55" t="str">
        <f t="shared" ref="M19:M31" si="31">_xlfn.CONCAT(SUBSTITUTE(D19,"."," "))</f>
        <v>Sustentação</v>
      </c>
      <c r="N19" s="55" t="str">
        <f t="shared" ref="N19:N31" si="32">_xlfn.CONCAT(SUBSTITUTE(E19,"."," "))</f>
        <v>Laminados</v>
      </c>
      <c r="O19" s="55" t="str">
        <f t="shared" ref="O19:O31" si="33">_xlfn.CONCAT(SUBSTITUTE(F19,"."," "))</f>
        <v>Perfil Laminado I</v>
      </c>
      <c r="P19" s="55" t="s">
        <v>653</v>
      </c>
      <c r="Q19" s="55" t="s">
        <v>693</v>
      </c>
      <c r="R19" s="50" t="s">
        <v>9</v>
      </c>
      <c r="S19" s="50" t="str">
        <f t="shared" si="3"/>
        <v>Estrutura Principal</v>
      </c>
      <c r="T19" s="50" t="str">
        <f t="shared" si="4"/>
        <v>Sustentação</v>
      </c>
      <c r="U19" s="50" t="str">
        <f t="shared" si="5"/>
        <v>Laminados</v>
      </c>
      <c r="V19" s="50" t="s">
        <v>672</v>
      </c>
      <c r="W19" s="58" t="str">
        <f t="shared" si="2"/>
        <v>Key-MET-19</v>
      </c>
      <c r="X19" s="50" t="s">
        <v>1020</v>
      </c>
      <c r="Y19" s="50" t="s">
        <v>1021</v>
      </c>
      <c r="Z19" s="50" t="s">
        <v>9</v>
      </c>
      <c r="AA19" s="50" t="str">
        <f t="shared" si="6"/>
        <v>Hot-rolled profile made of heated steel and shaped by industrial rollers in I-shape with parallel flaps with lengths from 6 to 12 m.</v>
      </c>
    </row>
    <row r="20" spans="1:27" ht="6.6" customHeight="1" x14ac:dyDescent="0.25">
      <c r="A20" s="63">
        <v>20</v>
      </c>
      <c r="B20" s="45" t="s">
        <v>1076</v>
      </c>
      <c r="C20" s="40" t="s">
        <v>88</v>
      </c>
      <c r="D20" s="40" t="s">
        <v>516</v>
      </c>
      <c r="E20" s="40" t="s">
        <v>628</v>
      </c>
      <c r="F20" s="40" t="s">
        <v>626</v>
      </c>
      <c r="G20" s="64" t="s">
        <v>9</v>
      </c>
      <c r="H20" s="64" t="s">
        <v>9</v>
      </c>
      <c r="I20" s="64" t="s">
        <v>9</v>
      </c>
      <c r="J20" s="64" t="s">
        <v>9</v>
      </c>
      <c r="K20" s="64" t="s">
        <v>9</v>
      </c>
      <c r="L20" s="55" t="str">
        <f t="shared" si="30"/>
        <v>Estrutura.Principal</v>
      </c>
      <c r="M20" s="55" t="str">
        <f t="shared" si="31"/>
        <v>Sustentação</v>
      </c>
      <c r="N20" s="55" t="str">
        <f t="shared" si="32"/>
        <v>Laminados</v>
      </c>
      <c r="O20" s="55" t="str">
        <f t="shared" si="33"/>
        <v>Perfil Laminado HP</v>
      </c>
      <c r="P20" s="55" t="s">
        <v>654</v>
      </c>
      <c r="Q20" s="55" t="s">
        <v>694</v>
      </c>
      <c r="R20" s="50" t="s">
        <v>9</v>
      </c>
      <c r="S20" s="50" t="str">
        <f t="shared" si="3"/>
        <v>Estrutura Principal</v>
      </c>
      <c r="T20" s="50" t="str">
        <f t="shared" si="4"/>
        <v>Sustentação</v>
      </c>
      <c r="U20" s="50" t="str">
        <f t="shared" si="5"/>
        <v>Laminados</v>
      </c>
      <c r="V20" s="50" t="s">
        <v>672</v>
      </c>
      <c r="W20" s="58" t="str">
        <f t="shared" si="2"/>
        <v>Key-MET-20</v>
      </c>
      <c r="X20" s="50" t="s">
        <v>1016</v>
      </c>
      <c r="Y20" s="50" t="s">
        <v>1017</v>
      </c>
      <c r="Z20" s="50" t="s">
        <v>9</v>
      </c>
      <c r="AA20" s="50" t="str">
        <f t="shared" si="6"/>
        <v>Hot-rolled profile made of heated steel and shaped by industrial rollers in HP format with parallel flaps with lengths from 6 to 12 m.</v>
      </c>
    </row>
    <row r="21" spans="1:27" ht="6.6" customHeight="1" x14ac:dyDescent="0.25">
      <c r="A21" s="63">
        <v>21</v>
      </c>
      <c r="B21" s="45" t="s">
        <v>1076</v>
      </c>
      <c r="C21" s="40" t="s">
        <v>88</v>
      </c>
      <c r="D21" s="40" t="s">
        <v>516</v>
      </c>
      <c r="E21" s="40" t="s">
        <v>628</v>
      </c>
      <c r="F21" s="40" t="s">
        <v>627</v>
      </c>
      <c r="G21" s="64" t="s">
        <v>9</v>
      </c>
      <c r="H21" s="64" t="s">
        <v>9</v>
      </c>
      <c r="I21" s="64" t="s">
        <v>9</v>
      </c>
      <c r="J21" s="64" t="s">
        <v>9</v>
      </c>
      <c r="K21" s="64" t="s">
        <v>9</v>
      </c>
      <c r="L21" s="55" t="str">
        <f t="shared" si="30"/>
        <v>Estrutura.Principal</v>
      </c>
      <c r="M21" s="55" t="str">
        <f t="shared" si="31"/>
        <v>Sustentação</v>
      </c>
      <c r="N21" s="55" t="str">
        <f t="shared" si="32"/>
        <v>Laminados</v>
      </c>
      <c r="O21" s="55" t="str">
        <f t="shared" si="33"/>
        <v>Perfil Laminado W</v>
      </c>
      <c r="P21" s="55" t="s">
        <v>655</v>
      </c>
      <c r="Q21" s="55" t="s">
        <v>695</v>
      </c>
      <c r="R21" s="50" t="s">
        <v>9</v>
      </c>
      <c r="S21" s="50" t="str">
        <f t="shared" si="3"/>
        <v>Estrutura Principal</v>
      </c>
      <c r="T21" s="50" t="str">
        <f t="shared" si="4"/>
        <v>Sustentação</v>
      </c>
      <c r="U21" s="50" t="str">
        <f t="shared" si="5"/>
        <v>Laminados</v>
      </c>
      <c r="V21" s="50" t="s">
        <v>672</v>
      </c>
      <c r="W21" s="58" t="str">
        <f t="shared" si="2"/>
        <v>Key-MET-21</v>
      </c>
      <c r="X21" s="50" t="s">
        <v>1020</v>
      </c>
      <c r="Y21" s="50" t="s">
        <v>1021</v>
      </c>
      <c r="Z21" s="50" t="s">
        <v>9</v>
      </c>
      <c r="AA21" s="50" t="str">
        <f t="shared" si="6"/>
        <v>Hot-rolled profile made of heated steel and shaped by W-shaped industrial rollers with parallel flaps with lengths from 6 to 12 m.</v>
      </c>
    </row>
    <row r="22" spans="1:27" ht="6.6" customHeight="1" x14ac:dyDescent="0.25">
      <c r="A22" s="63">
        <v>22</v>
      </c>
      <c r="B22" s="45" t="s">
        <v>1076</v>
      </c>
      <c r="C22" s="40" t="s">
        <v>88</v>
      </c>
      <c r="D22" s="40" t="s">
        <v>849</v>
      </c>
      <c r="E22" s="40" t="s">
        <v>834</v>
      </c>
      <c r="F22" s="40" t="s">
        <v>837</v>
      </c>
      <c r="G22" s="64" t="s">
        <v>9</v>
      </c>
      <c r="H22" s="64" t="s">
        <v>9</v>
      </c>
      <c r="I22" s="67" t="s">
        <v>861</v>
      </c>
      <c r="J22" s="64" t="s">
        <v>9</v>
      </c>
      <c r="K22" s="64" t="s">
        <v>9</v>
      </c>
      <c r="L22" s="55" t="str">
        <f t="shared" si="30"/>
        <v>Estrutura.Principal</v>
      </c>
      <c r="M22" s="55" t="str">
        <f t="shared" si="31"/>
        <v>Perfis LSTUZ</v>
      </c>
      <c r="N22" s="55" t="str">
        <f t="shared" si="32"/>
        <v>Perfis L</v>
      </c>
      <c r="O22" s="55" t="str">
        <f t="shared" si="33"/>
        <v>Cantoneira</v>
      </c>
      <c r="P22" s="55" t="s">
        <v>732</v>
      </c>
      <c r="Q22" s="55" t="s">
        <v>727</v>
      </c>
      <c r="R22" s="50" t="s">
        <v>9</v>
      </c>
      <c r="S22" s="50" t="str">
        <f t="shared" si="3"/>
        <v>Estrutura Principal</v>
      </c>
      <c r="T22" s="50" t="str">
        <f t="shared" si="4"/>
        <v>Perfis LSTUZ</v>
      </c>
      <c r="U22" s="50" t="str">
        <f t="shared" si="5"/>
        <v>Perfis L</v>
      </c>
      <c r="V22" s="50" t="s">
        <v>672</v>
      </c>
      <c r="W22" s="58" t="str">
        <f t="shared" si="2"/>
        <v>Key-MET-22</v>
      </c>
      <c r="X22" s="50" t="s">
        <v>1020</v>
      </c>
      <c r="Y22" s="50" t="s">
        <v>1021</v>
      </c>
      <c r="Z22" s="50" t="s">
        <v>9</v>
      </c>
      <c r="AA22" s="50" t="str">
        <f t="shared" si="6"/>
        <v>Hot-rolled profile of heated steel and shaped by industrial rollers in L shape with equal flaps.</v>
      </c>
    </row>
    <row r="23" spans="1:27" ht="6.6" customHeight="1" x14ac:dyDescent="0.25">
      <c r="A23" s="63">
        <v>23</v>
      </c>
      <c r="B23" s="45" t="s">
        <v>1076</v>
      </c>
      <c r="C23" s="40" t="s">
        <v>88</v>
      </c>
      <c r="D23" s="40" t="s">
        <v>849</v>
      </c>
      <c r="E23" s="40" t="s">
        <v>834</v>
      </c>
      <c r="F23" s="40" t="s">
        <v>835</v>
      </c>
      <c r="G23" s="64" t="s">
        <v>9</v>
      </c>
      <c r="H23" s="64" t="s">
        <v>9</v>
      </c>
      <c r="I23" s="64" t="s">
        <v>9</v>
      </c>
      <c r="J23" s="64" t="s">
        <v>9</v>
      </c>
      <c r="K23" s="64" t="s">
        <v>9</v>
      </c>
      <c r="L23" s="55" t="str">
        <f t="shared" si="30"/>
        <v>Estrutura.Principal</v>
      </c>
      <c r="M23" s="55" t="str">
        <f t="shared" si="31"/>
        <v>Perfis LSTUZ</v>
      </c>
      <c r="N23" s="55" t="str">
        <f t="shared" si="32"/>
        <v>Perfis L</v>
      </c>
      <c r="O23" s="55" t="str">
        <f t="shared" si="33"/>
        <v>Cantoneira Abas Desiguais</v>
      </c>
      <c r="P23" s="55" t="s">
        <v>733</v>
      </c>
      <c r="Q23" s="55" t="s">
        <v>728</v>
      </c>
      <c r="R23" s="50" t="s">
        <v>9</v>
      </c>
      <c r="S23" s="50" t="str">
        <f t="shared" si="3"/>
        <v>Estrutura Principal</v>
      </c>
      <c r="T23" s="50" t="str">
        <f t="shared" si="4"/>
        <v>Perfis LSTUZ</v>
      </c>
      <c r="U23" s="50" t="str">
        <f t="shared" si="5"/>
        <v>Perfis L</v>
      </c>
      <c r="V23" s="50" t="s">
        <v>672</v>
      </c>
      <c r="W23" s="58" t="str">
        <f t="shared" si="2"/>
        <v>Key-MET-23</v>
      </c>
      <c r="X23" s="50" t="s">
        <v>1020</v>
      </c>
      <c r="Y23" s="50" t="s">
        <v>1021</v>
      </c>
      <c r="Z23" s="50" t="s">
        <v>9</v>
      </c>
      <c r="AA23" s="50" t="str">
        <f t="shared" si="6"/>
        <v>Hot-rolled profile of heated steel and shaped by industrial rollers in L shape with uneven flaps.</v>
      </c>
    </row>
    <row r="24" spans="1:27" ht="6.6" customHeight="1" x14ac:dyDescent="0.25">
      <c r="A24" s="63">
        <v>24</v>
      </c>
      <c r="B24" s="45" t="s">
        <v>1076</v>
      </c>
      <c r="C24" s="40" t="s">
        <v>88</v>
      </c>
      <c r="D24" s="40" t="s">
        <v>849</v>
      </c>
      <c r="E24" s="40" t="s">
        <v>833</v>
      </c>
      <c r="F24" s="40" t="s">
        <v>836</v>
      </c>
      <c r="G24" s="64" t="s">
        <v>9</v>
      </c>
      <c r="H24" s="64" t="s">
        <v>9</v>
      </c>
      <c r="I24" s="64" t="s">
        <v>9</v>
      </c>
      <c r="J24" s="64" t="s">
        <v>9</v>
      </c>
      <c r="K24" s="64" t="s">
        <v>9</v>
      </c>
      <c r="L24" s="55" t="str">
        <f t="shared" si="30"/>
        <v>Estrutura.Principal</v>
      </c>
      <c r="M24" s="55" t="str">
        <f t="shared" si="31"/>
        <v>Perfis LSTUZ</v>
      </c>
      <c r="N24" s="55" t="str">
        <f t="shared" si="32"/>
        <v>Perfis S</v>
      </c>
      <c r="O24" s="55" t="str">
        <f t="shared" si="33"/>
        <v>Perfil Sigma</v>
      </c>
      <c r="P24" s="55" t="s">
        <v>838</v>
      </c>
      <c r="Q24" s="55" t="s">
        <v>839</v>
      </c>
      <c r="R24" s="50" t="s">
        <v>9</v>
      </c>
      <c r="S24" s="50" t="str">
        <f t="shared" si="3"/>
        <v>Estrutura Principal</v>
      </c>
      <c r="T24" s="50" t="str">
        <f t="shared" si="4"/>
        <v>Perfis LSTUZ</v>
      </c>
      <c r="U24" s="50" t="str">
        <f t="shared" si="5"/>
        <v>Perfis S</v>
      </c>
      <c r="V24" s="50" t="s">
        <v>672</v>
      </c>
      <c r="W24" s="58" t="str">
        <f t="shared" si="2"/>
        <v>Key-MET-24</v>
      </c>
      <c r="X24" s="50" t="s">
        <v>1020</v>
      </c>
      <c r="Y24" s="50" t="s">
        <v>1021</v>
      </c>
      <c r="Z24" s="50" t="s">
        <v>9</v>
      </c>
      <c r="AA24" s="50" t="str">
        <f t="shared" si="6"/>
        <v>Hot-rolled profile of steel heated and shaped by industrial rollers in S-format (Sigma).</v>
      </c>
    </row>
    <row r="25" spans="1:27" ht="6.6" customHeight="1" x14ac:dyDescent="0.25">
      <c r="A25" s="63">
        <v>25</v>
      </c>
      <c r="B25" s="45" t="s">
        <v>1076</v>
      </c>
      <c r="C25" s="40" t="s">
        <v>88</v>
      </c>
      <c r="D25" s="40" t="s">
        <v>849</v>
      </c>
      <c r="E25" s="40" t="s">
        <v>668</v>
      </c>
      <c r="F25" s="40" t="s">
        <v>83</v>
      </c>
      <c r="G25" s="64" t="s">
        <v>9</v>
      </c>
      <c r="H25" s="64" t="s">
        <v>9</v>
      </c>
      <c r="I25" s="64" t="s">
        <v>9</v>
      </c>
      <c r="J25" s="64" t="s">
        <v>9</v>
      </c>
      <c r="K25" s="64" t="s">
        <v>9</v>
      </c>
      <c r="L25" s="55" t="str">
        <f t="shared" ref="L25" si="34">_xlfn.CONCAT(SUBSTITUTE(C25,"1.",""))</f>
        <v>Estrutura.Principal</v>
      </c>
      <c r="M25" s="55" t="str">
        <f t="shared" ref="M25" si="35">_xlfn.CONCAT(SUBSTITUTE(D25,"."," "))</f>
        <v>Perfis LSTUZ</v>
      </c>
      <c r="N25" s="55" t="str">
        <f t="shared" ref="N25" si="36">_xlfn.CONCAT(SUBSTITUTE(E25,"."," "))</f>
        <v>Perfis T</v>
      </c>
      <c r="O25" s="55" t="str">
        <f t="shared" ref="O25" si="37">_xlfn.CONCAT(SUBSTITUTE(F25,"."," "))</f>
        <v>Perfil T</v>
      </c>
      <c r="P25" s="55" t="s">
        <v>729</v>
      </c>
      <c r="Q25" s="55" t="s">
        <v>724</v>
      </c>
      <c r="R25" s="50" t="s">
        <v>9</v>
      </c>
      <c r="S25" s="50" t="str">
        <f t="shared" si="3"/>
        <v>Estrutura Principal</v>
      </c>
      <c r="T25" s="50" t="str">
        <f t="shared" si="4"/>
        <v>Perfis LSTUZ</v>
      </c>
      <c r="U25" s="50" t="str">
        <f t="shared" si="5"/>
        <v>Perfis T</v>
      </c>
      <c r="V25" s="50" t="s">
        <v>672</v>
      </c>
      <c r="W25" s="58" t="str">
        <f t="shared" si="2"/>
        <v>Key-MET-25</v>
      </c>
      <c r="X25" s="50" t="s">
        <v>1020</v>
      </c>
      <c r="Y25" s="50" t="s">
        <v>1021</v>
      </c>
      <c r="Z25" s="50" t="s">
        <v>9</v>
      </c>
      <c r="AA25" s="50" t="str">
        <f t="shared" si="6"/>
        <v>Hot-rolled profile of heated steel and shaped by industrial T-shaped rollers.</v>
      </c>
    </row>
    <row r="26" spans="1:27" ht="6.6" customHeight="1" x14ac:dyDescent="0.25">
      <c r="A26" s="63">
        <v>26</v>
      </c>
      <c r="B26" s="45" t="s">
        <v>1076</v>
      </c>
      <c r="C26" s="40" t="s">
        <v>88</v>
      </c>
      <c r="D26" s="40" t="s">
        <v>849</v>
      </c>
      <c r="E26" s="40" t="s">
        <v>669</v>
      </c>
      <c r="F26" s="40" t="s">
        <v>82</v>
      </c>
      <c r="G26" s="64" t="s">
        <v>9</v>
      </c>
      <c r="H26" s="64" t="s">
        <v>9</v>
      </c>
      <c r="I26" s="64" t="s">
        <v>9</v>
      </c>
      <c r="J26" s="64" t="s">
        <v>9</v>
      </c>
      <c r="K26" s="64" t="s">
        <v>9</v>
      </c>
      <c r="L26" s="55" t="str">
        <f t="shared" si="30"/>
        <v>Estrutura.Principal</v>
      </c>
      <c r="M26" s="55" t="str">
        <f t="shared" si="31"/>
        <v>Perfis LSTUZ</v>
      </c>
      <c r="N26" s="55" t="str">
        <f t="shared" si="32"/>
        <v>Perfis U</v>
      </c>
      <c r="O26" s="55" t="str">
        <f t="shared" si="33"/>
        <v>Perfil U</v>
      </c>
      <c r="P26" s="55" t="s">
        <v>730</v>
      </c>
      <c r="Q26" s="55" t="s">
        <v>725</v>
      </c>
      <c r="R26" s="50" t="s">
        <v>9</v>
      </c>
      <c r="S26" s="50" t="str">
        <f t="shared" si="3"/>
        <v>Estrutura Principal</v>
      </c>
      <c r="T26" s="50" t="str">
        <f t="shared" si="4"/>
        <v>Perfis LSTUZ</v>
      </c>
      <c r="U26" s="50" t="str">
        <f t="shared" si="5"/>
        <v>Perfis U</v>
      </c>
      <c r="V26" s="50" t="s">
        <v>672</v>
      </c>
      <c r="W26" s="58" t="str">
        <f t="shared" si="2"/>
        <v>Key-MET-26</v>
      </c>
      <c r="X26" s="50" t="s">
        <v>1020</v>
      </c>
      <c r="Y26" s="50" t="s">
        <v>1021</v>
      </c>
      <c r="Z26" s="50" t="s">
        <v>9</v>
      </c>
      <c r="AA26" s="50" t="str">
        <f t="shared" si="6"/>
        <v>Hot-rolled profile of steel heated and molded by industrial U-shaped rollers.</v>
      </c>
    </row>
    <row r="27" spans="1:27" ht="6.6" customHeight="1" x14ac:dyDescent="0.25">
      <c r="A27" s="63">
        <v>27</v>
      </c>
      <c r="B27" s="45" t="s">
        <v>1076</v>
      </c>
      <c r="C27" s="40" t="s">
        <v>88</v>
      </c>
      <c r="D27" s="40" t="s">
        <v>849</v>
      </c>
      <c r="E27" s="40" t="s">
        <v>669</v>
      </c>
      <c r="F27" s="40" t="s">
        <v>826</v>
      </c>
      <c r="G27" s="64" t="s">
        <v>9</v>
      </c>
      <c r="H27" s="64" t="s">
        <v>9</v>
      </c>
      <c r="I27" s="64" t="s">
        <v>9</v>
      </c>
      <c r="J27" s="64" t="s">
        <v>9</v>
      </c>
      <c r="K27" s="64" t="s">
        <v>9</v>
      </c>
      <c r="L27" s="55" t="str">
        <f t="shared" si="30"/>
        <v>Estrutura.Principal</v>
      </c>
      <c r="M27" s="55" t="str">
        <f t="shared" si="31"/>
        <v>Perfis LSTUZ</v>
      </c>
      <c r="N27" s="55" t="str">
        <f t="shared" si="32"/>
        <v>Perfis U</v>
      </c>
      <c r="O27" s="55" t="str">
        <f t="shared" si="33"/>
        <v>Perfil UE</v>
      </c>
      <c r="P27" s="55" t="s">
        <v>731</v>
      </c>
      <c r="Q27" s="55" t="s">
        <v>726</v>
      </c>
      <c r="R27" s="50" t="s">
        <v>9</v>
      </c>
      <c r="S27" s="50" t="str">
        <f t="shared" si="3"/>
        <v>Estrutura Principal</v>
      </c>
      <c r="T27" s="50" t="str">
        <f t="shared" si="4"/>
        <v>Perfis LSTUZ</v>
      </c>
      <c r="U27" s="50" t="str">
        <f t="shared" si="5"/>
        <v>Perfis U</v>
      </c>
      <c r="V27" s="50" t="s">
        <v>672</v>
      </c>
      <c r="W27" s="58" t="str">
        <f t="shared" si="2"/>
        <v>Key-MET-27</v>
      </c>
      <c r="X27" s="50" t="s">
        <v>1020</v>
      </c>
      <c r="Y27" s="50" t="s">
        <v>1021</v>
      </c>
      <c r="Z27" s="50" t="s">
        <v>9</v>
      </c>
      <c r="AA27" s="50" t="str">
        <f t="shared" si="6"/>
        <v>Hot-rolled profile of heated steel and shaped by hardened U-shaped industrial rollers.</v>
      </c>
    </row>
    <row r="28" spans="1:27" ht="6.6" customHeight="1" x14ac:dyDescent="0.25">
      <c r="A28" s="63">
        <v>28</v>
      </c>
      <c r="B28" s="45" t="s">
        <v>1076</v>
      </c>
      <c r="C28" s="40" t="s">
        <v>88</v>
      </c>
      <c r="D28" s="40" t="s">
        <v>849</v>
      </c>
      <c r="E28" s="40" t="s">
        <v>822</v>
      </c>
      <c r="F28" s="40" t="s">
        <v>823</v>
      </c>
      <c r="G28" s="64" t="s">
        <v>9</v>
      </c>
      <c r="H28" s="64" t="s">
        <v>9</v>
      </c>
      <c r="I28" s="64" t="s">
        <v>9</v>
      </c>
      <c r="J28" s="64" t="s">
        <v>9</v>
      </c>
      <c r="K28" s="64" t="s">
        <v>9</v>
      </c>
      <c r="L28" s="55" t="str">
        <f t="shared" si="30"/>
        <v>Estrutura.Principal</v>
      </c>
      <c r="M28" s="55" t="str">
        <f t="shared" si="31"/>
        <v>Perfis LSTUZ</v>
      </c>
      <c r="N28" s="55" t="str">
        <f t="shared" si="32"/>
        <v>Perfis Z</v>
      </c>
      <c r="O28" s="55" t="str">
        <f t="shared" si="33"/>
        <v>Perfil Z</v>
      </c>
      <c r="P28" s="55" t="s">
        <v>824</v>
      </c>
      <c r="Q28" s="55" t="s">
        <v>825</v>
      </c>
      <c r="R28" s="50" t="s">
        <v>9</v>
      </c>
      <c r="S28" s="50" t="str">
        <f t="shared" si="3"/>
        <v>Estrutura Principal</v>
      </c>
      <c r="T28" s="50" t="str">
        <f t="shared" si="4"/>
        <v>Perfis LSTUZ</v>
      </c>
      <c r="U28" s="50" t="str">
        <f t="shared" si="5"/>
        <v>Perfis Z</v>
      </c>
      <c r="V28" s="50" t="s">
        <v>672</v>
      </c>
      <c r="W28" s="58" t="str">
        <f t="shared" si="2"/>
        <v>Key-MET-28</v>
      </c>
      <c r="X28" s="50" t="s">
        <v>1020</v>
      </c>
      <c r="Y28" s="50" t="s">
        <v>1021</v>
      </c>
      <c r="Z28" s="50" t="s">
        <v>9</v>
      </c>
      <c r="AA28" s="50" t="str">
        <f t="shared" si="6"/>
        <v>Hot-rolled profile of heated steel and shaped by industrial rollers in Z shape.</v>
      </c>
    </row>
    <row r="29" spans="1:27" ht="6.6" customHeight="1" x14ac:dyDescent="0.25">
      <c r="A29" s="63">
        <v>29</v>
      </c>
      <c r="B29" s="45" t="s">
        <v>1076</v>
      </c>
      <c r="C29" s="40" t="s">
        <v>88</v>
      </c>
      <c r="D29" s="40" t="s">
        <v>849</v>
      </c>
      <c r="E29" s="40" t="s">
        <v>851</v>
      </c>
      <c r="F29" s="40" t="s">
        <v>860</v>
      </c>
      <c r="G29" s="64" t="s">
        <v>9</v>
      </c>
      <c r="H29" s="64" t="s">
        <v>9</v>
      </c>
      <c r="I29" s="64" t="s">
        <v>9</v>
      </c>
      <c r="J29" s="64" t="s">
        <v>9</v>
      </c>
      <c r="K29" s="64" t="s">
        <v>9</v>
      </c>
      <c r="L29" s="55" t="str">
        <f t="shared" si="30"/>
        <v>Estrutura.Principal</v>
      </c>
      <c r="M29" s="55" t="str">
        <f t="shared" si="31"/>
        <v>Perfis LSTUZ</v>
      </c>
      <c r="N29" s="55" t="str">
        <f t="shared" si="32"/>
        <v>Perfis Tubulares</v>
      </c>
      <c r="O29" s="55" t="str">
        <f t="shared" si="33"/>
        <v>Seção Circular</v>
      </c>
      <c r="P29" s="55" t="s">
        <v>852</v>
      </c>
      <c r="Q29" s="55" t="s">
        <v>855</v>
      </c>
      <c r="R29" s="50" t="s">
        <v>9</v>
      </c>
      <c r="S29" s="50" t="str">
        <f t="shared" si="3"/>
        <v>Estrutura Principal</v>
      </c>
      <c r="T29" s="50" t="str">
        <f t="shared" si="4"/>
        <v>Perfis LSTUZ</v>
      </c>
      <c r="U29" s="50" t="str">
        <f t="shared" si="5"/>
        <v>Perfis Tubulares</v>
      </c>
      <c r="V29" s="50" t="s">
        <v>672</v>
      </c>
      <c r="W29" s="58" t="str">
        <f t="shared" si="2"/>
        <v>Key-MET-29</v>
      </c>
      <c r="X29" s="50" t="s">
        <v>1020</v>
      </c>
      <c r="Y29" s="50" t="s">
        <v>1021</v>
      </c>
      <c r="Z29" s="50" t="s">
        <v>9</v>
      </c>
      <c r="AA29" s="50" t="str">
        <f t="shared" si="6"/>
        <v>Circular section tubular profile.</v>
      </c>
    </row>
    <row r="30" spans="1:27" ht="6.6" customHeight="1" x14ac:dyDescent="0.25">
      <c r="A30" s="63">
        <v>30</v>
      </c>
      <c r="B30" s="45" t="s">
        <v>1076</v>
      </c>
      <c r="C30" s="40" t="s">
        <v>88</v>
      </c>
      <c r="D30" s="40" t="s">
        <v>849</v>
      </c>
      <c r="E30" s="40" t="s">
        <v>851</v>
      </c>
      <c r="F30" s="40" t="s">
        <v>858</v>
      </c>
      <c r="G30" s="64" t="s">
        <v>9</v>
      </c>
      <c r="H30" s="64" t="s">
        <v>9</v>
      </c>
      <c r="I30" s="64" t="s">
        <v>9</v>
      </c>
      <c r="J30" s="64" t="s">
        <v>9</v>
      </c>
      <c r="K30" s="64" t="s">
        <v>9</v>
      </c>
      <c r="L30" s="55" t="str">
        <f t="shared" ref="L30" si="38">_xlfn.CONCAT(SUBSTITUTE(C30,"1.",""))</f>
        <v>Estrutura.Principal</v>
      </c>
      <c r="M30" s="55" t="str">
        <f t="shared" ref="M30" si="39">_xlfn.CONCAT(SUBSTITUTE(D30,"."," "))</f>
        <v>Perfis LSTUZ</v>
      </c>
      <c r="N30" s="55" t="str">
        <f t="shared" ref="N30" si="40">_xlfn.CONCAT(SUBSTITUTE(E30,"."," "))</f>
        <v>Perfis Tubulares</v>
      </c>
      <c r="O30" s="55" t="str">
        <f t="shared" ref="O30" si="41">_xlfn.CONCAT(SUBSTITUTE(F30,"."," "))</f>
        <v>Seção Quadrada</v>
      </c>
      <c r="P30" s="55" t="s">
        <v>853</v>
      </c>
      <c r="Q30" s="55" t="s">
        <v>854</v>
      </c>
      <c r="R30" s="50" t="s">
        <v>9</v>
      </c>
      <c r="S30" s="50" t="str">
        <f t="shared" si="3"/>
        <v>Estrutura Principal</v>
      </c>
      <c r="T30" s="50" t="str">
        <f t="shared" si="4"/>
        <v>Perfis LSTUZ</v>
      </c>
      <c r="U30" s="50" t="str">
        <f t="shared" si="5"/>
        <v>Perfis Tubulares</v>
      </c>
      <c r="V30" s="50" t="s">
        <v>672</v>
      </c>
      <c r="W30" s="58" t="str">
        <f t="shared" si="2"/>
        <v>Key-MET-30</v>
      </c>
      <c r="X30" s="50" t="s">
        <v>1020</v>
      </c>
      <c r="Y30" s="50" t="s">
        <v>1021</v>
      </c>
      <c r="Z30" s="50" t="s">
        <v>9</v>
      </c>
      <c r="AA30" s="50" t="str">
        <f t="shared" si="6"/>
        <v>Square section tubular profile.</v>
      </c>
    </row>
    <row r="31" spans="1:27" ht="6.6" customHeight="1" x14ac:dyDescent="0.25">
      <c r="A31" s="63">
        <v>31</v>
      </c>
      <c r="B31" s="45" t="s">
        <v>1076</v>
      </c>
      <c r="C31" s="40" t="s">
        <v>88</v>
      </c>
      <c r="D31" s="40" t="s">
        <v>849</v>
      </c>
      <c r="E31" s="40" t="s">
        <v>851</v>
      </c>
      <c r="F31" s="40" t="s">
        <v>859</v>
      </c>
      <c r="G31" s="64" t="s">
        <v>9</v>
      </c>
      <c r="H31" s="64" t="s">
        <v>9</v>
      </c>
      <c r="I31" s="64" t="s">
        <v>9</v>
      </c>
      <c r="J31" s="64" t="s">
        <v>9</v>
      </c>
      <c r="K31" s="64" t="s">
        <v>9</v>
      </c>
      <c r="L31" s="55" t="str">
        <f t="shared" si="30"/>
        <v>Estrutura.Principal</v>
      </c>
      <c r="M31" s="55" t="str">
        <f t="shared" si="31"/>
        <v>Perfis LSTUZ</v>
      </c>
      <c r="N31" s="55" t="str">
        <f t="shared" si="32"/>
        <v>Perfis Tubulares</v>
      </c>
      <c r="O31" s="55" t="str">
        <f t="shared" si="33"/>
        <v>Seção Retangular</v>
      </c>
      <c r="P31" s="55" t="s">
        <v>857</v>
      </c>
      <c r="Q31" s="55" t="s">
        <v>856</v>
      </c>
      <c r="R31" s="50" t="s">
        <v>9</v>
      </c>
      <c r="S31" s="50" t="str">
        <f t="shared" si="3"/>
        <v>Estrutura Principal</v>
      </c>
      <c r="T31" s="50" t="str">
        <f t="shared" si="4"/>
        <v>Perfis LSTUZ</v>
      </c>
      <c r="U31" s="50" t="str">
        <f t="shared" si="5"/>
        <v>Perfis Tubulares</v>
      </c>
      <c r="V31" s="50" t="s">
        <v>672</v>
      </c>
      <c r="W31" s="58" t="str">
        <f t="shared" si="2"/>
        <v>Key-MET-31</v>
      </c>
      <c r="X31" s="50" t="s">
        <v>1020</v>
      </c>
      <c r="Y31" s="50" t="s">
        <v>1021</v>
      </c>
      <c r="Z31" s="50" t="s">
        <v>9</v>
      </c>
      <c r="AA31" s="50" t="str">
        <f t="shared" si="6"/>
        <v>Tubular profile with rectangular section.</v>
      </c>
    </row>
    <row r="32" spans="1:27" ht="6.6" customHeight="1" x14ac:dyDescent="0.25">
      <c r="A32" s="63">
        <v>32</v>
      </c>
      <c r="B32" s="45" t="s">
        <v>1076</v>
      </c>
      <c r="C32" s="40" t="s">
        <v>88</v>
      </c>
      <c r="D32" s="40" t="s">
        <v>741</v>
      </c>
      <c r="E32" s="40" t="s">
        <v>632</v>
      </c>
      <c r="F32" s="40" t="s">
        <v>633</v>
      </c>
      <c r="G32" s="64" t="s">
        <v>9</v>
      </c>
      <c r="H32" s="64" t="s">
        <v>9</v>
      </c>
      <c r="I32" s="64" t="s">
        <v>9</v>
      </c>
      <c r="J32" s="64" t="s">
        <v>9</v>
      </c>
      <c r="K32" s="64" t="s">
        <v>9</v>
      </c>
      <c r="L32" s="55" t="str">
        <f t="shared" ref="L32:L98" si="42">_xlfn.CONCAT(SUBSTITUTE(C32,"1.",""))</f>
        <v>Estrutura.Principal</v>
      </c>
      <c r="M32" s="55" t="str">
        <f t="shared" ref="M32" si="43">_xlfn.CONCAT(SUBSTITUTE(D32,"."," "))</f>
        <v>Emplacados</v>
      </c>
      <c r="N32" s="55" t="str">
        <f t="shared" ref="N32" si="44">_xlfn.CONCAT(SUBSTITUTE(E32,"."," "))</f>
        <v>Placas</v>
      </c>
      <c r="O32" s="55" t="str">
        <f t="shared" ref="O32:O42" si="45">_xlfn.CONCAT(SUBSTITUTE(F32,"."," "))</f>
        <v>Placa de Base</v>
      </c>
      <c r="P32" s="55" t="s">
        <v>550</v>
      </c>
      <c r="Q32" s="55" t="s">
        <v>696</v>
      </c>
      <c r="R32" s="50" t="s">
        <v>9</v>
      </c>
      <c r="S32" s="50" t="str">
        <f t="shared" si="3"/>
        <v>Estrutura Principal</v>
      </c>
      <c r="T32" s="50" t="str">
        <f t="shared" si="4"/>
        <v>Emplacados</v>
      </c>
      <c r="U32" s="50" t="str">
        <f t="shared" si="5"/>
        <v>Placas</v>
      </c>
      <c r="V32" s="50" t="s">
        <v>672</v>
      </c>
      <c r="W32" s="58" t="str">
        <f t="shared" si="2"/>
        <v>Key-MET-32</v>
      </c>
      <c r="X32" s="50" t="s">
        <v>1022</v>
      </c>
      <c r="Y32" s="50" t="s">
        <v>1023</v>
      </c>
      <c r="Z32" s="50" t="s">
        <v>9</v>
      </c>
      <c r="AA32" s="50" t="str">
        <f t="shared" si="6"/>
        <v>Base Plate</v>
      </c>
    </row>
    <row r="33" spans="1:27" ht="6.6" customHeight="1" x14ac:dyDescent="0.25">
      <c r="A33" s="63">
        <v>33</v>
      </c>
      <c r="B33" s="45" t="s">
        <v>1076</v>
      </c>
      <c r="C33" s="40" t="s">
        <v>88</v>
      </c>
      <c r="D33" s="40" t="s">
        <v>741</v>
      </c>
      <c r="E33" s="40" t="s">
        <v>632</v>
      </c>
      <c r="F33" s="40" t="s">
        <v>637</v>
      </c>
      <c r="G33" s="64" t="s">
        <v>9</v>
      </c>
      <c r="H33" s="64" t="s">
        <v>9</v>
      </c>
      <c r="I33" s="64" t="s">
        <v>9</v>
      </c>
      <c r="J33" s="64" t="s">
        <v>9</v>
      </c>
      <c r="K33" s="64" t="s">
        <v>9</v>
      </c>
      <c r="L33" s="55" t="str">
        <f t="shared" si="42"/>
        <v>Estrutura.Principal</v>
      </c>
      <c r="M33" s="55" t="str">
        <f t="shared" ref="M33:M80" si="46">_xlfn.CONCAT(SUBSTITUTE(D33,"."," "))</f>
        <v>Emplacados</v>
      </c>
      <c r="N33" s="55" t="str">
        <f t="shared" ref="N33:N80" si="47">_xlfn.CONCAT(SUBSTITUTE(E33,"."," "))</f>
        <v>Placas</v>
      </c>
      <c r="O33" s="55" t="str">
        <f t="shared" ref="O33:O40" si="48">_xlfn.CONCAT(SUBSTITUTE(F33,"."," "))</f>
        <v>Placa Enrijecedora</v>
      </c>
      <c r="P33" s="55" t="s">
        <v>552</v>
      </c>
      <c r="Q33" s="55" t="s">
        <v>697</v>
      </c>
      <c r="R33" s="50" t="s">
        <v>9</v>
      </c>
      <c r="S33" s="50" t="str">
        <f t="shared" si="3"/>
        <v>Estrutura Principal</v>
      </c>
      <c r="T33" s="50" t="str">
        <f t="shared" si="4"/>
        <v>Emplacados</v>
      </c>
      <c r="U33" s="50" t="str">
        <f t="shared" si="5"/>
        <v>Placas</v>
      </c>
      <c r="V33" s="50" t="s">
        <v>672</v>
      </c>
      <c r="W33" s="58" t="str">
        <f t="shared" si="2"/>
        <v>Key-MET-33</v>
      </c>
      <c r="X33" s="50" t="s">
        <v>1024</v>
      </c>
      <c r="Y33" s="50" t="s">
        <v>1025</v>
      </c>
      <c r="Z33" s="50" t="s">
        <v>9</v>
      </c>
      <c r="AA33" s="50" t="str">
        <f t="shared" si="6"/>
        <v>Steel-concrete interface plate</v>
      </c>
    </row>
    <row r="34" spans="1:27" ht="6.6" customHeight="1" x14ac:dyDescent="0.25">
      <c r="A34" s="63">
        <v>34</v>
      </c>
      <c r="B34" s="45" t="s">
        <v>1076</v>
      </c>
      <c r="C34" s="40" t="s">
        <v>88</v>
      </c>
      <c r="D34" s="40" t="s">
        <v>741</v>
      </c>
      <c r="E34" s="40" t="s">
        <v>632</v>
      </c>
      <c r="F34" s="40" t="s">
        <v>634</v>
      </c>
      <c r="G34" s="64" t="s">
        <v>9</v>
      </c>
      <c r="H34" s="64" t="s">
        <v>9</v>
      </c>
      <c r="I34" s="64" t="s">
        <v>9</v>
      </c>
      <c r="J34" s="64" t="s">
        <v>9</v>
      </c>
      <c r="K34" s="64" t="s">
        <v>9</v>
      </c>
      <c r="L34" s="55" t="str">
        <f t="shared" ref="L34:L40" si="49">_xlfn.CONCAT(SUBSTITUTE(C34,"1.",""))</f>
        <v>Estrutura.Principal</v>
      </c>
      <c r="M34" s="55" t="str">
        <f t="shared" si="46"/>
        <v>Emplacados</v>
      </c>
      <c r="N34" s="55" t="str">
        <f t="shared" si="47"/>
        <v>Placas</v>
      </c>
      <c r="O34" s="55" t="str">
        <f t="shared" si="48"/>
        <v>Placa de Interface</v>
      </c>
      <c r="P34" s="55" t="s">
        <v>552</v>
      </c>
      <c r="Q34" s="55" t="s">
        <v>697</v>
      </c>
      <c r="R34" s="50" t="s">
        <v>9</v>
      </c>
      <c r="S34" s="50" t="str">
        <f t="shared" si="3"/>
        <v>Estrutura Principal</v>
      </c>
      <c r="T34" s="50" t="str">
        <f t="shared" si="4"/>
        <v>Emplacados</v>
      </c>
      <c r="U34" s="50" t="str">
        <f t="shared" si="5"/>
        <v>Placas</v>
      </c>
      <c r="V34" s="50" t="s">
        <v>672</v>
      </c>
      <c r="W34" s="58" t="str">
        <f t="shared" si="2"/>
        <v>Key-MET-34</v>
      </c>
      <c r="X34" s="50" t="s">
        <v>1022</v>
      </c>
      <c r="Y34" s="50" t="s">
        <v>1023</v>
      </c>
      <c r="Z34" s="50" t="s">
        <v>9</v>
      </c>
      <c r="AA34" s="50" t="str">
        <f t="shared" si="6"/>
        <v>Steel-concrete interface plate</v>
      </c>
    </row>
    <row r="35" spans="1:27" ht="6.6" customHeight="1" x14ac:dyDescent="0.25">
      <c r="A35" s="63">
        <v>35</v>
      </c>
      <c r="B35" s="45" t="s">
        <v>1076</v>
      </c>
      <c r="C35" s="40" t="s">
        <v>88</v>
      </c>
      <c r="D35" s="40" t="s">
        <v>741</v>
      </c>
      <c r="E35" s="40" t="s">
        <v>632</v>
      </c>
      <c r="F35" s="40" t="s">
        <v>635</v>
      </c>
      <c r="G35" s="64" t="s">
        <v>9</v>
      </c>
      <c r="H35" s="64" t="s">
        <v>9</v>
      </c>
      <c r="I35" s="64" t="s">
        <v>9</v>
      </c>
      <c r="J35" s="64" t="s">
        <v>9</v>
      </c>
      <c r="K35" s="64" t="s">
        <v>9</v>
      </c>
      <c r="L35" s="55" t="str">
        <f t="shared" si="49"/>
        <v>Estrutura.Principal</v>
      </c>
      <c r="M35" s="55" t="str">
        <f t="shared" si="46"/>
        <v>Emplacados</v>
      </c>
      <c r="N35" s="55" t="str">
        <f t="shared" si="47"/>
        <v>Placas</v>
      </c>
      <c r="O35" s="55" t="str">
        <f t="shared" si="48"/>
        <v>Placa de Emenda</v>
      </c>
      <c r="P35" s="55" t="s">
        <v>657</v>
      </c>
      <c r="Q35" s="55" t="s">
        <v>698</v>
      </c>
      <c r="R35" s="50" t="s">
        <v>9</v>
      </c>
      <c r="S35" s="50" t="str">
        <f t="shared" si="3"/>
        <v>Estrutura Principal</v>
      </c>
      <c r="T35" s="50" t="str">
        <f t="shared" si="4"/>
        <v>Emplacados</v>
      </c>
      <c r="U35" s="50" t="str">
        <f t="shared" si="5"/>
        <v>Placas</v>
      </c>
      <c r="V35" s="50" t="s">
        <v>672</v>
      </c>
      <c r="W35" s="58" t="str">
        <f t="shared" si="2"/>
        <v>Key-MET-35</v>
      </c>
      <c r="X35" s="50" t="s">
        <v>1022</v>
      </c>
      <c r="Y35" s="50" t="s">
        <v>1023</v>
      </c>
      <c r="Z35" s="50" t="s">
        <v>9</v>
      </c>
      <c r="AA35" s="50" t="str">
        <f t="shared" si="6"/>
        <v>Splice plate for joining metal parts</v>
      </c>
    </row>
    <row r="36" spans="1:27" ht="6.6" customHeight="1" x14ac:dyDescent="0.25">
      <c r="A36" s="63">
        <v>36</v>
      </c>
      <c r="B36" s="45" t="s">
        <v>1076</v>
      </c>
      <c r="C36" s="40" t="s">
        <v>88</v>
      </c>
      <c r="D36" s="40" t="s">
        <v>741</v>
      </c>
      <c r="E36" s="40" t="s">
        <v>632</v>
      </c>
      <c r="F36" s="40" t="s">
        <v>636</v>
      </c>
      <c r="G36" s="64" t="s">
        <v>9</v>
      </c>
      <c r="H36" s="64" t="s">
        <v>9</v>
      </c>
      <c r="I36" s="64" t="s">
        <v>9</v>
      </c>
      <c r="J36" s="64" t="s">
        <v>9</v>
      </c>
      <c r="K36" s="64" t="s">
        <v>9</v>
      </c>
      <c r="L36" s="55" t="str">
        <f t="shared" ref="L36:L39" si="50">_xlfn.CONCAT(SUBSTITUTE(C36,"1.",""))</f>
        <v>Estrutura.Principal</v>
      </c>
      <c r="M36" s="55" t="str">
        <f t="shared" ref="M36:M39" si="51">_xlfn.CONCAT(SUBSTITUTE(D36,"."," "))</f>
        <v>Emplacados</v>
      </c>
      <c r="N36" s="55" t="str">
        <f t="shared" ref="N36:N39" si="52">_xlfn.CONCAT(SUBSTITUTE(E36,"."," "))</f>
        <v>Placas</v>
      </c>
      <c r="O36" s="55" t="str">
        <f t="shared" ref="O36:O39" si="53">_xlfn.CONCAT(SUBSTITUTE(F36,"."," "))</f>
        <v>Placa de Fechamento</v>
      </c>
      <c r="P36" s="55" t="s">
        <v>560</v>
      </c>
      <c r="Q36" s="55" t="s">
        <v>699</v>
      </c>
      <c r="R36" s="50" t="s">
        <v>9</v>
      </c>
      <c r="S36" s="50" t="str">
        <f t="shared" si="3"/>
        <v>Estrutura Principal</v>
      </c>
      <c r="T36" s="50" t="str">
        <f t="shared" si="4"/>
        <v>Emplacados</v>
      </c>
      <c r="U36" s="50" t="str">
        <f t="shared" si="5"/>
        <v>Placas</v>
      </c>
      <c r="V36" s="50" t="s">
        <v>672</v>
      </c>
      <c r="W36" s="58" t="str">
        <f t="shared" si="2"/>
        <v>Key-MET-36</v>
      </c>
      <c r="X36" s="50" t="s">
        <v>1022</v>
      </c>
      <c r="Y36" s="50" t="s">
        <v>1023</v>
      </c>
      <c r="Z36" s="50" t="s">
        <v>9</v>
      </c>
      <c r="AA36" s="50" t="str">
        <f t="shared" si="6"/>
        <v>Plate for closure</v>
      </c>
    </row>
    <row r="37" spans="1:27" ht="6.6" customHeight="1" x14ac:dyDescent="0.25">
      <c r="A37" s="63">
        <v>37</v>
      </c>
      <c r="B37" s="45" t="s">
        <v>1076</v>
      </c>
      <c r="C37" s="40" t="s">
        <v>88</v>
      </c>
      <c r="D37" s="40" t="s">
        <v>741</v>
      </c>
      <c r="E37" s="40" t="s">
        <v>632</v>
      </c>
      <c r="F37" s="40" t="s">
        <v>747</v>
      </c>
      <c r="G37" s="64" t="s">
        <v>9</v>
      </c>
      <c r="H37" s="64" t="s">
        <v>9</v>
      </c>
      <c r="I37" s="64" t="s">
        <v>9</v>
      </c>
      <c r="J37" s="64" t="s">
        <v>9</v>
      </c>
      <c r="K37" s="67" t="s">
        <v>949</v>
      </c>
      <c r="L37" s="55" t="str">
        <f t="shared" si="50"/>
        <v>Estrutura.Principal</v>
      </c>
      <c r="M37" s="55" t="str">
        <f t="shared" si="51"/>
        <v>Emplacados</v>
      </c>
      <c r="N37" s="55" t="str">
        <f t="shared" si="52"/>
        <v>Placas</v>
      </c>
      <c r="O37" s="55" t="str">
        <f t="shared" si="53"/>
        <v>Placa de Mísula</v>
      </c>
      <c r="P37" s="55" t="s">
        <v>743</v>
      </c>
      <c r="Q37" s="55" t="s">
        <v>745</v>
      </c>
      <c r="R37" s="50" t="s">
        <v>9</v>
      </c>
      <c r="S37" s="50" t="str">
        <f t="shared" si="3"/>
        <v>Estrutura Principal</v>
      </c>
      <c r="T37" s="50" t="str">
        <f t="shared" si="4"/>
        <v>Emplacados</v>
      </c>
      <c r="U37" s="50" t="str">
        <f t="shared" si="5"/>
        <v>Placas</v>
      </c>
      <c r="V37" s="50" t="s">
        <v>672</v>
      </c>
      <c r="W37" s="58" t="str">
        <f t="shared" si="2"/>
        <v>Key-MET-37</v>
      </c>
      <c r="X37" s="50" t="s">
        <v>1022</v>
      </c>
      <c r="Y37" s="50" t="s">
        <v>1023</v>
      </c>
      <c r="Z37" s="50" t="s">
        <v>9</v>
      </c>
      <c r="AA37" s="50" t="str">
        <f t="shared" si="6"/>
        <v>Plate to connect the column and the girder of the gantry of a metal shed.</v>
      </c>
    </row>
    <row r="38" spans="1:27" ht="6.6" customHeight="1" x14ac:dyDescent="0.25">
      <c r="A38" s="63">
        <v>38</v>
      </c>
      <c r="B38" s="45" t="s">
        <v>1076</v>
      </c>
      <c r="C38" s="40" t="s">
        <v>88</v>
      </c>
      <c r="D38" s="40" t="s">
        <v>741</v>
      </c>
      <c r="E38" s="40" t="s">
        <v>632</v>
      </c>
      <c r="F38" s="40" t="s">
        <v>742</v>
      </c>
      <c r="G38" s="64" t="s">
        <v>9</v>
      </c>
      <c r="H38" s="64" t="s">
        <v>9</v>
      </c>
      <c r="I38" s="64" t="s">
        <v>9</v>
      </c>
      <c r="J38" s="64" t="s">
        <v>9</v>
      </c>
      <c r="K38" s="67" t="s">
        <v>950</v>
      </c>
      <c r="L38" s="55" t="str">
        <f t="shared" si="50"/>
        <v>Estrutura.Principal</v>
      </c>
      <c r="M38" s="55" t="str">
        <f t="shared" si="51"/>
        <v>Emplacados</v>
      </c>
      <c r="N38" s="55" t="str">
        <f t="shared" si="52"/>
        <v>Placas</v>
      </c>
      <c r="O38" s="55" t="str">
        <f t="shared" si="53"/>
        <v>Placa de Cumeeira</v>
      </c>
      <c r="P38" s="55" t="s">
        <v>744</v>
      </c>
      <c r="Q38" s="55" t="s">
        <v>746</v>
      </c>
      <c r="R38" s="50" t="s">
        <v>9</v>
      </c>
      <c r="S38" s="50" t="str">
        <f t="shared" si="3"/>
        <v>Estrutura Principal</v>
      </c>
      <c r="T38" s="50" t="str">
        <f t="shared" si="4"/>
        <v>Emplacados</v>
      </c>
      <c r="U38" s="50" t="str">
        <f t="shared" si="5"/>
        <v>Placas</v>
      </c>
      <c r="V38" s="50" t="s">
        <v>672</v>
      </c>
      <c r="W38" s="58" t="str">
        <f t="shared" si="2"/>
        <v>Key-MET-38</v>
      </c>
      <c r="X38" s="50" t="s">
        <v>1022</v>
      </c>
      <c r="Y38" s="50" t="s">
        <v>1023</v>
      </c>
      <c r="Z38" s="50" t="s">
        <v>9</v>
      </c>
      <c r="AA38" s="50" t="str">
        <f t="shared" si="6"/>
        <v>Plate to connect the gantry beams of a metal shed.</v>
      </c>
    </row>
    <row r="39" spans="1:27" ht="6.6" customHeight="1" x14ac:dyDescent="0.25">
      <c r="A39" s="63">
        <v>39</v>
      </c>
      <c r="B39" s="45" t="s">
        <v>1076</v>
      </c>
      <c r="C39" s="40" t="s">
        <v>88</v>
      </c>
      <c r="D39" s="40" t="s">
        <v>741</v>
      </c>
      <c r="E39" s="40" t="s">
        <v>632</v>
      </c>
      <c r="F39" s="40" t="s">
        <v>883</v>
      </c>
      <c r="G39" s="64" t="s">
        <v>9</v>
      </c>
      <c r="H39" s="64" t="s">
        <v>9</v>
      </c>
      <c r="I39" s="64" t="s">
        <v>9</v>
      </c>
      <c r="J39" s="64" t="s">
        <v>9</v>
      </c>
      <c r="K39" s="67" t="s">
        <v>773</v>
      </c>
      <c r="L39" s="55" t="str">
        <f t="shared" si="50"/>
        <v>Estrutura.Principal</v>
      </c>
      <c r="M39" s="55" t="str">
        <f t="shared" si="51"/>
        <v>Emplacados</v>
      </c>
      <c r="N39" s="55" t="str">
        <f t="shared" si="52"/>
        <v>Placas</v>
      </c>
      <c r="O39" s="55" t="str">
        <f t="shared" si="53"/>
        <v>Placa Gusset</v>
      </c>
      <c r="P39" s="55" t="s">
        <v>889</v>
      </c>
      <c r="Q39" s="55" t="s">
        <v>890</v>
      </c>
      <c r="R39" s="50" t="s">
        <v>9</v>
      </c>
      <c r="S39" s="50" t="str">
        <f t="shared" si="3"/>
        <v>Estrutura Principal</v>
      </c>
      <c r="T39" s="50" t="str">
        <f t="shared" si="4"/>
        <v>Emplacados</v>
      </c>
      <c r="U39" s="50" t="str">
        <f t="shared" si="5"/>
        <v>Placas</v>
      </c>
      <c r="V39" s="50" t="s">
        <v>672</v>
      </c>
      <c r="W39" s="58" t="str">
        <f t="shared" si="2"/>
        <v>Key-MET-39</v>
      </c>
      <c r="X39" s="50" t="s">
        <v>1022</v>
      </c>
      <c r="Y39" s="50" t="s">
        <v>1023</v>
      </c>
      <c r="Z39" s="50" t="s">
        <v>9</v>
      </c>
      <c r="AA39" s="50" t="str">
        <f t="shared" si="6"/>
        <v>Gusset plate is used to connect diagonal bars, uprights and flanges in metal truss nodes.</v>
      </c>
    </row>
    <row r="40" spans="1:27" ht="6.6" customHeight="1" x14ac:dyDescent="0.25">
      <c r="A40" s="63">
        <v>40</v>
      </c>
      <c r="B40" s="45" t="s">
        <v>1076</v>
      </c>
      <c r="C40" s="40" t="s">
        <v>88</v>
      </c>
      <c r="D40" s="40" t="s">
        <v>884</v>
      </c>
      <c r="E40" s="40" t="s">
        <v>885</v>
      </c>
      <c r="F40" s="40" t="s">
        <v>886</v>
      </c>
      <c r="G40" s="64" t="s">
        <v>9</v>
      </c>
      <c r="H40" s="64" t="s">
        <v>9</v>
      </c>
      <c r="I40" s="64" t="s">
        <v>9</v>
      </c>
      <c r="J40" s="64" t="s">
        <v>9</v>
      </c>
      <c r="K40" s="64" t="s">
        <v>9</v>
      </c>
      <c r="L40" s="55" t="str">
        <f t="shared" si="49"/>
        <v>Estrutura.Principal</v>
      </c>
      <c r="M40" s="55" t="str">
        <f t="shared" si="46"/>
        <v>Chapas</v>
      </c>
      <c r="N40" s="55" t="str">
        <f t="shared" si="47"/>
        <v>SteelDecks</v>
      </c>
      <c r="O40" s="55" t="str">
        <f t="shared" si="48"/>
        <v>SteelDeck Trapezoidal</v>
      </c>
      <c r="P40" s="55" t="s">
        <v>887</v>
      </c>
      <c r="Q40" s="55" t="s">
        <v>888</v>
      </c>
      <c r="R40" s="50" t="s">
        <v>9</v>
      </c>
      <c r="S40" s="50" t="str">
        <f t="shared" si="3"/>
        <v>Estrutura Principal</v>
      </c>
      <c r="T40" s="50" t="str">
        <f t="shared" si="4"/>
        <v>Chapas</v>
      </c>
      <c r="U40" s="50" t="str">
        <f t="shared" si="5"/>
        <v>SteelDecks</v>
      </c>
      <c r="V40" s="50" t="s">
        <v>672</v>
      </c>
      <c r="W40" s="58" t="str">
        <f t="shared" si="2"/>
        <v>Key-MET-40</v>
      </c>
      <c r="X40" s="50" t="s">
        <v>1026</v>
      </c>
      <c r="Y40" s="50" t="s">
        <v>1027</v>
      </c>
      <c r="Z40" s="50" t="s">
        <v>9</v>
      </c>
      <c r="AA40" s="50" t="str">
        <f t="shared" si="6"/>
        <v>SteelDeck system for high-strength slab, consisting of a trapezoidal profiled steel sheet as a concrete formwork. ZAR 280 steel. Thicknesses of 0.8 mm, 0.95 and 1.25 mm. Length 12 m, Cover width 0.85 m.</v>
      </c>
    </row>
    <row r="41" spans="1:27" ht="6.6" customHeight="1" x14ac:dyDescent="0.25">
      <c r="A41" s="63">
        <v>41</v>
      </c>
      <c r="B41" s="45" t="s">
        <v>1076</v>
      </c>
      <c r="C41" s="40" t="s">
        <v>88</v>
      </c>
      <c r="D41" s="40" t="s">
        <v>630</v>
      </c>
      <c r="E41" s="40" t="s">
        <v>660</v>
      </c>
      <c r="F41" s="40" t="s">
        <v>652</v>
      </c>
      <c r="G41" s="64" t="s">
        <v>9</v>
      </c>
      <c r="H41" s="64" t="s">
        <v>9</v>
      </c>
      <c r="I41" s="64" t="s">
        <v>9</v>
      </c>
      <c r="J41" s="64" t="s">
        <v>9</v>
      </c>
      <c r="K41" s="64" t="s">
        <v>9</v>
      </c>
      <c r="L41" s="55" t="str">
        <f t="shared" ref="L41" si="54">_xlfn.CONCAT(SUBSTITUTE(C41,"1.",""))</f>
        <v>Estrutura.Principal</v>
      </c>
      <c r="M41" s="55" t="str">
        <f t="shared" si="46"/>
        <v>Barras</v>
      </c>
      <c r="N41" s="55" t="str">
        <f t="shared" si="47"/>
        <v>Barras Laminadas</v>
      </c>
      <c r="O41" s="55" t="str">
        <f t="shared" ref="O41" si="55">_xlfn.CONCAT(SUBSTITUTE(F41,"."," "))</f>
        <v>Barra Redonda</v>
      </c>
      <c r="P41" s="55" t="s">
        <v>734</v>
      </c>
      <c r="Q41" s="55" t="s">
        <v>734</v>
      </c>
      <c r="R41" s="50" t="s">
        <v>9</v>
      </c>
      <c r="S41" s="50" t="str">
        <f t="shared" si="3"/>
        <v>Estrutura Principal</v>
      </c>
      <c r="T41" s="50" t="str">
        <f t="shared" si="4"/>
        <v>Barras</v>
      </c>
      <c r="U41" s="50" t="str">
        <f t="shared" si="5"/>
        <v>Barras Laminadas</v>
      </c>
      <c r="V41" s="50" t="s">
        <v>672</v>
      </c>
      <c r="W41" s="58" t="str">
        <f t="shared" si="2"/>
        <v>Key-MET-41</v>
      </c>
      <c r="X41" s="50" t="s">
        <v>1020</v>
      </c>
      <c r="Y41" s="50" t="s">
        <v>1021</v>
      </c>
      <c r="Z41" s="50" t="s">
        <v>9</v>
      </c>
      <c r="AA41" s="50" t="str">
        <f t="shared" si="6"/>
        <v>Round Rolled Bar</v>
      </c>
    </row>
    <row r="42" spans="1:27" ht="6.6" customHeight="1" x14ac:dyDescent="0.25">
      <c r="A42" s="63">
        <v>42</v>
      </c>
      <c r="B42" s="45" t="s">
        <v>1076</v>
      </c>
      <c r="C42" s="40" t="s">
        <v>88</v>
      </c>
      <c r="D42" s="40" t="s">
        <v>630</v>
      </c>
      <c r="E42" s="40" t="s">
        <v>660</v>
      </c>
      <c r="F42" s="40" t="s">
        <v>661</v>
      </c>
      <c r="G42" s="64" t="s">
        <v>9</v>
      </c>
      <c r="H42" s="64" t="s">
        <v>9</v>
      </c>
      <c r="I42" s="64" t="s">
        <v>9</v>
      </c>
      <c r="J42" s="64" t="s">
        <v>9</v>
      </c>
      <c r="K42" s="64" t="s">
        <v>9</v>
      </c>
      <c r="L42" s="55" t="str">
        <f t="shared" si="42"/>
        <v>Estrutura.Principal</v>
      </c>
      <c r="M42" s="55" t="str">
        <f t="shared" ref="M42" si="56">_xlfn.CONCAT(SUBSTITUTE(D42,"."," "))</f>
        <v>Barras</v>
      </c>
      <c r="N42" s="55" t="str">
        <f t="shared" ref="N42" si="57">_xlfn.CONCAT(SUBSTITUTE(E42,"."," "))</f>
        <v>Barras Laminadas</v>
      </c>
      <c r="O42" s="55" t="str">
        <f t="shared" si="45"/>
        <v>Barra Quadrada</v>
      </c>
      <c r="P42" s="55" t="s">
        <v>736</v>
      </c>
      <c r="Q42" s="55" t="s">
        <v>737</v>
      </c>
      <c r="R42" s="50" t="s">
        <v>9</v>
      </c>
      <c r="S42" s="50" t="str">
        <f t="shared" si="3"/>
        <v>Estrutura Principal</v>
      </c>
      <c r="T42" s="50" t="str">
        <f t="shared" si="4"/>
        <v>Barras</v>
      </c>
      <c r="U42" s="50" t="str">
        <f t="shared" si="5"/>
        <v>Barras Laminadas</v>
      </c>
      <c r="V42" s="50" t="s">
        <v>672</v>
      </c>
      <c r="W42" s="58" t="str">
        <f t="shared" si="2"/>
        <v>Key-MET-42</v>
      </c>
      <c r="X42" s="50" t="s">
        <v>1020</v>
      </c>
      <c r="Y42" s="50" t="s">
        <v>1021</v>
      </c>
      <c r="Z42" s="50" t="s">
        <v>9</v>
      </c>
      <c r="AA42" s="50" t="str">
        <f t="shared" si="6"/>
        <v>Square Rolled Bar</v>
      </c>
    </row>
    <row r="43" spans="1:27" ht="6.6" customHeight="1" x14ac:dyDescent="0.25">
      <c r="A43" s="63">
        <v>43</v>
      </c>
      <c r="B43" s="45" t="s">
        <v>1076</v>
      </c>
      <c r="C43" s="40" t="s">
        <v>88</v>
      </c>
      <c r="D43" s="40" t="s">
        <v>630</v>
      </c>
      <c r="E43" s="40" t="s">
        <v>660</v>
      </c>
      <c r="F43" s="40" t="s">
        <v>651</v>
      </c>
      <c r="G43" s="64" t="s">
        <v>9</v>
      </c>
      <c r="H43" s="64" t="s">
        <v>9</v>
      </c>
      <c r="I43" s="64" t="s">
        <v>9</v>
      </c>
      <c r="J43" s="64" t="s">
        <v>9</v>
      </c>
      <c r="K43" s="64" t="s">
        <v>9</v>
      </c>
      <c r="L43" s="55" t="str">
        <f t="shared" ref="L43:L73" si="58">_xlfn.CONCAT(SUBSTITUTE(C43,"1.",""))</f>
        <v>Estrutura.Principal</v>
      </c>
      <c r="M43" s="55" t="str">
        <f t="shared" ref="M43:M73" si="59">_xlfn.CONCAT(SUBSTITUTE(D43,"."," "))</f>
        <v>Barras</v>
      </c>
      <c r="N43" s="55" t="str">
        <f t="shared" ref="N43:N73" si="60">_xlfn.CONCAT(SUBSTITUTE(E43,"."," "))</f>
        <v>Barras Laminadas</v>
      </c>
      <c r="O43" s="55" t="str">
        <f t="shared" ref="O43:O73" si="61">_xlfn.CONCAT(SUBSTITUTE(F43,"."," "))</f>
        <v>Barra Hexagonal</v>
      </c>
      <c r="P43" s="55" t="s">
        <v>735</v>
      </c>
      <c r="Q43" s="55" t="s">
        <v>735</v>
      </c>
      <c r="R43" s="50" t="s">
        <v>9</v>
      </c>
      <c r="S43" s="50" t="str">
        <f t="shared" si="3"/>
        <v>Estrutura Principal</v>
      </c>
      <c r="T43" s="50" t="str">
        <f t="shared" si="4"/>
        <v>Barras</v>
      </c>
      <c r="U43" s="50" t="str">
        <f t="shared" si="5"/>
        <v>Barras Laminadas</v>
      </c>
      <c r="V43" s="50" t="s">
        <v>672</v>
      </c>
      <c r="W43" s="58" t="str">
        <f t="shared" si="2"/>
        <v>Key-MET-43</v>
      </c>
      <c r="X43" s="50" t="s">
        <v>1020</v>
      </c>
      <c r="Y43" s="50" t="s">
        <v>1021</v>
      </c>
      <c r="Z43" s="50" t="s">
        <v>9</v>
      </c>
      <c r="AA43" s="50" t="str">
        <f t="shared" si="6"/>
        <v>Hexagonal Rolled Bar</v>
      </c>
    </row>
    <row r="44" spans="1:27" ht="6.6" customHeight="1" x14ac:dyDescent="0.25">
      <c r="A44" s="63">
        <v>44</v>
      </c>
      <c r="B44" s="45" t="s">
        <v>1076</v>
      </c>
      <c r="C44" s="40" t="s">
        <v>88</v>
      </c>
      <c r="D44" s="40" t="s">
        <v>630</v>
      </c>
      <c r="E44" s="40" t="s">
        <v>660</v>
      </c>
      <c r="F44" s="40" t="s">
        <v>658</v>
      </c>
      <c r="G44" s="64" t="s">
        <v>9</v>
      </c>
      <c r="H44" s="64" t="s">
        <v>9</v>
      </c>
      <c r="I44" s="64" t="s">
        <v>9</v>
      </c>
      <c r="J44" s="64" t="s">
        <v>9</v>
      </c>
      <c r="K44" s="64" t="s">
        <v>9</v>
      </c>
      <c r="L44" s="55" t="str">
        <f t="shared" si="58"/>
        <v>Estrutura.Principal</v>
      </c>
      <c r="M44" s="55" t="str">
        <f t="shared" si="59"/>
        <v>Barras</v>
      </c>
      <c r="N44" s="55" t="str">
        <f t="shared" si="60"/>
        <v>Barras Laminadas</v>
      </c>
      <c r="O44" s="55" t="str">
        <f t="shared" si="61"/>
        <v>Barra Chata</v>
      </c>
      <c r="P44" s="55" t="s">
        <v>659</v>
      </c>
      <c r="Q44" s="55" t="s">
        <v>700</v>
      </c>
      <c r="R44" s="50" t="s">
        <v>9</v>
      </c>
      <c r="S44" s="50" t="str">
        <f t="shared" si="3"/>
        <v>Estrutura Principal</v>
      </c>
      <c r="T44" s="50" t="str">
        <f t="shared" si="4"/>
        <v>Barras</v>
      </c>
      <c r="U44" s="50" t="str">
        <f t="shared" si="5"/>
        <v>Barras Laminadas</v>
      </c>
      <c r="V44" s="50" t="s">
        <v>672</v>
      </c>
      <c r="W44" s="58" t="str">
        <f t="shared" si="2"/>
        <v>Key-MET-44</v>
      </c>
      <c r="X44" s="50" t="s">
        <v>1020</v>
      </c>
      <c r="Y44" s="50" t="s">
        <v>1021</v>
      </c>
      <c r="Z44" s="50" t="s">
        <v>9</v>
      </c>
      <c r="AA44" s="50" t="str">
        <f t="shared" si="6"/>
        <v>Flat bar</v>
      </c>
    </row>
    <row r="45" spans="1:27" ht="6.6" customHeight="1" x14ac:dyDescent="0.25">
      <c r="A45" s="63">
        <v>45</v>
      </c>
      <c r="B45" s="45" t="s">
        <v>1076</v>
      </c>
      <c r="C45" s="40" t="s">
        <v>88</v>
      </c>
      <c r="D45" s="40" t="s">
        <v>630</v>
      </c>
      <c r="E45" s="40" t="s">
        <v>662</v>
      </c>
      <c r="F45" s="40" t="s">
        <v>664</v>
      </c>
      <c r="G45" s="64" t="s">
        <v>9</v>
      </c>
      <c r="H45" s="64" t="s">
        <v>9</v>
      </c>
      <c r="I45" s="64" t="s">
        <v>9</v>
      </c>
      <c r="J45" s="64" t="s">
        <v>9</v>
      </c>
      <c r="K45" s="64" t="s">
        <v>9</v>
      </c>
      <c r="L45" s="55" t="str">
        <f t="shared" ref="L45" si="62">_xlfn.CONCAT(SUBSTITUTE(C45,"1.",""))</f>
        <v>Estrutura.Principal</v>
      </c>
      <c r="M45" s="55" t="str">
        <f t="shared" ref="M45" si="63">_xlfn.CONCAT(SUBSTITUTE(D45,"."," "))</f>
        <v>Barras</v>
      </c>
      <c r="N45" s="55" t="str">
        <f t="shared" ref="N45" si="64">_xlfn.CONCAT(SUBSTITUTE(E45,"."," "))</f>
        <v>Barras Trefiladas</v>
      </c>
      <c r="O45" s="55" t="str">
        <f t="shared" ref="O45" si="65">_xlfn.CONCAT(SUBSTITUTE(F45,"."," "))</f>
        <v>Barra Trefilada Redonda</v>
      </c>
      <c r="P45" s="55" t="s">
        <v>666</v>
      </c>
      <c r="Q45" s="55" t="s">
        <v>738</v>
      </c>
      <c r="R45" s="50" t="s">
        <v>9</v>
      </c>
      <c r="S45" s="50" t="str">
        <f t="shared" si="3"/>
        <v>Estrutura Principal</v>
      </c>
      <c r="T45" s="50" t="str">
        <f t="shared" si="4"/>
        <v>Barras</v>
      </c>
      <c r="U45" s="50" t="str">
        <f t="shared" si="5"/>
        <v>Barras Trefiladas</v>
      </c>
      <c r="V45" s="50" t="s">
        <v>672</v>
      </c>
      <c r="W45" s="58" t="str">
        <f t="shared" si="2"/>
        <v>Key-MET-45</v>
      </c>
      <c r="X45" s="50" t="s">
        <v>1020</v>
      </c>
      <c r="Y45" s="50" t="s">
        <v>1021</v>
      </c>
      <c r="Z45" s="50" t="s">
        <v>9</v>
      </c>
      <c r="AA45" s="50" t="str">
        <f t="shared" si="6"/>
        <v>Drawn round bar</v>
      </c>
    </row>
    <row r="46" spans="1:27" ht="6.6" customHeight="1" x14ac:dyDescent="0.25">
      <c r="A46" s="63">
        <v>46</v>
      </c>
      <c r="B46" s="45" t="s">
        <v>1076</v>
      </c>
      <c r="C46" s="40" t="s">
        <v>88</v>
      </c>
      <c r="D46" s="40" t="s">
        <v>630</v>
      </c>
      <c r="E46" s="40" t="s">
        <v>662</v>
      </c>
      <c r="F46" s="40" t="s">
        <v>663</v>
      </c>
      <c r="G46" s="64" t="s">
        <v>9</v>
      </c>
      <c r="H46" s="64" t="s">
        <v>9</v>
      </c>
      <c r="I46" s="64" t="s">
        <v>9</v>
      </c>
      <c r="J46" s="64" t="s">
        <v>9</v>
      </c>
      <c r="K46" s="64" t="s">
        <v>9</v>
      </c>
      <c r="L46" s="55" t="str">
        <f t="shared" si="58"/>
        <v>Estrutura.Principal</v>
      </c>
      <c r="M46" s="55" t="str">
        <f t="shared" si="59"/>
        <v>Barras</v>
      </c>
      <c r="N46" s="55" t="str">
        <f t="shared" si="60"/>
        <v>Barras Trefiladas</v>
      </c>
      <c r="O46" s="55" t="str">
        <f t="shared" si="61"/>
        <v>Barra Trefilada Quadrada</v>
      </c>
      <c r="P46" s="55" t="s">
        <v>667</v>
      </c>
      <c r="Q46" s="55" t="s">
        <v>740</v>
      </c>
      <c r="R46" s="50" t="s">
        <v>9</v>
      </c>
      <c r="S46" s="50" t="str">
        <f t="shared" si="3"/>
        <v>Estrutura Principal</v>
      </c>
      <c r="T46" s="50" t="str">
        <f t="shared" si="4"/>
        <v>Barras</v>
      </c>
      <c r="U46" s="50" t="str">
        <f t="shared" si="5"/>
        <v>Barras Trefiladas</v>
      </c>
      <c r="V46" s="50" t="s">
        <v>672</v>
      </c>
      <c r="W46" s="58" t="str">
        <f t="shared" si="2"/>
        <v>Key-MET-46</v>
      </c>
      <c r="X46" s="50" t="s">
        <v>1020</v>
      </c>
      <c r="Y46" s="50" t="s">
        <v>1021</v>
      </c>
      <c r="Z46" s="50" t="s">
        <v>9</v>
      </c>
      <c r="AA46" s="50" t="str">
        <f t="shared" si="6"/>
        <v>Drawn square bar</v>
      </c>
    </row>
    <row r="47" spans="1:27" ht="6.6" customHeight="1" x14ac:dyDescent="0.25">
      <c r="A47" s="63">
        <v>47</v>
      </c>
      <c r="B47" s="45" t="s">
        <v>1076</v>
      </c>
      <c r="C47" s="40" t="s">
        <v>88</v>
      </c>
      <c r="D47" s="40" t="s">
        <v>630</v>
      </c>
      <c r="E47" s="40" t="s">
        <v>662</v>
      </c>
      <c r="F47" s="40" t="s">
        <v>665</v>
      </c>
      <c r="G47" s="64" t="s">
        <v>9</v>
      </c>
      <c r="H47" s="64" t="s">
        <v>9</v>
      </c>
      <c r="I47" s="64" t="s">
        <v>9</v>
      </c>
      <c r="J47" s="64" t="s">
        <v>9</v>
      </c>
      <c r="K47" s="64" t="s">
        <v>9</v>
      </c>
      <c r="L47" s="55" t="str">
        <f t="shared" si="58"/>
        <v>Estrutura.Principal</v>
      </c>
      <c r="M47" s="55" t="str">
        <f t="shared" si="59"/>
        <v>Barras</v>
      </c>
      <c r="N47" s="55" t="str">
        <f t="shared" si="60"/>
        <v>Barras Trefiladas</v>
      </c>
      <c r="O47" s="55" t="str">
        <f t="shared" si="61"/>
        <v>Barra Trefilada Hexagonal</v>
      </c>
      <c r="P47" s="55" t="s">
        <v>666</v>
      </c>
      <c r="Q47" s="55" t="s">
        <v>739</v>
      </c>
      <c r="R47" s="50" t="s">
        <v>9</v>
      </c>
      <c r="S47" s="50" t="str">
        <f t="shared" si="3"/>
        <v>Estrutura Principal</v>
      </c>
      <c r="T47" s="50" t="str">
        <f t="shared" si="4"/>
        <v>Barras</v>
      </c>
      <c r="U47" s="50" t="str">
        <f t="shared" si="5"/>
        <v>Barras Trefiladas</v>
      </c>
      <c r="V47" s="50" t="s">
        <v>672</v>
      </c>
      <c r="W47" s="58" t="str">
        <f t="shared" si="2"/>
        <v>Key-MET-47</v>
      </c>
      <c r="X47" s="50" t="s">
        <v>1020</v>
      </c>
      <c r="Y47" s="50" t="s">
        <v>1021</v>
      </c>
      <c r="Z47" s="50" t="s">
        <v>9</v>
      </c>
      <c r="AA47" s="50" t="str">
        <f t="shared" si="6"/>
        <v>Drawn round bar</v>
      </c>
    </row>
    <row r="48" spans="1:27" ht="6.6" customHeight="1" x14ac:dyDescent="0.25">
      <c r="A48" s="63">
        <v>48</v>
      </c>
      <c r="B48" s="45" t="s">
        <v>1076</v>
      </c>
      <c r="C48" s="40" t="s">
        <v>88</v>
      </c>
      <c r="D48" s="40" t="s">
        <v>630</v>
      </c>
      <c r="E48" s="40" t="s">
        <v>779</v>
      </c>
      <c r="F48" s="40" t="s">
        <v>749</v>
      </c>
      <c r="G48" s="64" t="s">
        <v>9</v>
      </c>
      <c r="H48" s="64" t="s">
        <v>9</v>
      </c>
      <c r="I48" s="64" t="s">
        <v>9</v>
      </c>
      <c r="J48" s="64" t="s">
        <v>9</v>
      </c>
      <c r="K48" s="67" t="s">
        <v>784</v>
      </c>
      <c r="L48" s="55" t="str">
        <f t="shared" ref="L48" si="66">_xlfn.CONCAT(SUBSTITUTE(C48,"1.",""))</f>
        <v>Estrutura.Principal</v>
      </c>
      <c r="M48" s="55" t="str">
        <f t="shared" ref="M48" si="67">_xlfn.CONCAT(SUBSTITUTE(D48,"."," "))</f>
        <v>Barras</v>
      </c>
      <c r="N48" s="55" t="str">
        <f t="shared" ref="N48" si="68">_xlfn.CONCAT(SUBSTITUTE(E48,"."," "))</f>
        <v>Barras Contraventamentos</v>
      </c>
      <c r="O48" s="55" t="str">
        <f t="shared" ref="O48" si="69">_xlfn.CONCAT(SUBSTITUTE(F48,"."," "))</f>
        <v>Barra Contraventamento</v>
      </c>
      <c r="P48" s="55" t="s">
        <v>754</v>
      </c>
      <c r="Q48" s="55" t="s">
        <v>755</v>
      </c>
      <c r="R48" s="50" t="s">
        <v>9</v>
      </c>
      <c r="S48" s="50" t="str">
        <f t="shared" si="3"/>
        <v>Estrutura Principal</v>
      </c>
      <c r="T48" s="50" t="str">
        <f t="shared" si="4"/>
        <v>Barras</v>
      </c>
      <c r="U48" s="50" t="str">
        <f t="shared" si="5"/>
        <v>Barras Contraventamentos</v>
      </c>
      <c r="V48" s="50" t="s">
        <v>672</v>
      </c>
      <c r="W48" s="58" t="str">
        <f t="shared" si="2"/>
        <v>Key-MET-48</v>
      </c>
      <c r="X48" s="50" t="s">
        <v>1028</v>
      </c>
      <c r="Y48" s="50" t="s">
        <v>1029</v>
      </c>
      <c r="Z48" s="50" t="s">
        <v>9</v>
      </c>
      <c r="AA48" s="50" t="str">
        <f t="shared" si="6"/>
        <v>Bar of a bracing.</v>
      </c>
    </row>
    <row r="49" spans="1:27" ht="6.6" customHeight="1" x14ac:dyDescent="0.25">
      <c r="A49" s="63">
        <v>49</v>
      </c>
      <c r="B49" s="45" t="s">
        <v>1076</v>
      </c>
      <c r="C49" s="40" t="s">
        <v>88</v>
      </c>
      <c r="D49" s="40" t="s">
        <v>630</v>
      </c>
      <c r="E49" s="40" t="s">
        <v>779</v>
      </c>
      <c r="F49" s="40" t="s">
        <v>750</v>
      </c>
      <c r="G49" s="64" t="s">
        <v>9</v>
      </c>
      <c r="H49" s="64" t="s">
        <v>9</v>
      </c>
      <c r="I49" s="64" t="s">
        <v>9</v>
      </c>
      <c r="J49" s="64" t="s">
        <v>9</v>
      </c>
      <c r="K49" s="67" t="s">
        <v>784</v>
      </c>
      <c r="L49" s="55" t="str">
        <f t="shared" ref="L49:L53" si="70">_xlfn.CONCAT(SUBSTITUTE(C49,"1.",""))</f>
        <v>Estrutura.Principal</v>
      </c>
      <c r="M49" s="55" t="str">
        <f t="shared" ref="M49:M53" si="71">_xlfn.CONCAT(SUBSTITUTE(D49,"."," "))</f>
        <v>Barras</v>
      </c>
      <c r="N49" s="55" t="str">
        <f t="shared" ref="N49:N53" si="72">_xlfn.CONCAT(SUBSTITUTE(E49,"."," "))</f>
        <v>Barras Contraventamentos</v>
      </c>
      <c r="O49" s="55" t="str">
        <f t="shared" ref="O49:O53" si="73">_xlfn.CONCAT(SUBSTITUTE(F49,"."," "))</f>
        <v>Barra Comprimida</v>
      </c>
      <c r="P49" s="55" t="s">
        <v>752</v>
      </c>
      <c r="Q49" s="55" t="s">
        <v>756</v>
      </c>
      <c r="R49" s="50" t="s">
        <v>9</v>
      </c>
      <c r="S49" s="50" t="str">
        <f t="shared" si="3"/>
        <v>Estrutura Principal</v>
      </c>
      <c r="T49" s="50" t="str">
        <f t="shared" si="4"/>
        <v>Barras</v>
      </c>
      <c r="U49" s="50" t="str">
        <f t="shared" si="5"/>
        <v>Barras Contraventamentos</v>
      </c>
      <c r="V49" s="50" t="s">
        <v>672</v>
      </c>
      <c r="W49" s="58" t="str">
        <f t="shared" si="2"/>
        <v>Key-MET-49</v>
      </c>
      <c r="X49" s="50" t="s">
        <v>1028</v>
      </c>
      <c r="Y49" s="50" t="s">
        <v>1029</v>
      </c>
      <c r="Z49" s="50" t="s">
        <v>9</v>
      </c>
      <c r="AA49" s="50" t="str">
        <f t="shared" si="6"/>
        <v>Compressed bar of a bracing.</v>
      </c>
    </row>
    <row r="50" spans="1:27" ht="6.6" customHeight="1" x14ac:dyDescent="0.25">
      <c r="A50" s="63">
        <v>50</v>
      </c>
      <c r="B50" s="45" t="s">
        <v>1076</v>
      </c>
      <c r="C50" s="40" t="s">
        <v>88</v>
      </c>
      <c r="D50" s="40" t="s">
        <v>630</v>
      </c>
      <c r="E50" s="40" t="s">
        <v>779</v>
      </c>
      <c r="F50" s="40" t="s">
        <v>751</v>
      </c>
      <c r="G50" s="64" t="s">
        <v>9</v>
      </c>
      <c r="H50" s="64" t="s">
        <v>9</v>
      </c>
      <c r="I50" s="64" t="s">
        <v>9</v>
      </c>
      <c r="J50" s="64" t="s">
        <v>9</v>
      </c>
      <c r="K50" s="67" t="s">
        <v>784</v>
      </c>
      <c r="L50" s="55" t="str">
        <f t="shared" si="70"/>
        <v>Estrutura.Principal</v>
      </c>
      <c r="M50" s="55" t="str">
        <f t="shared" si="71"/>
        <v>Barras</v>
      </c>
      <c r="N50" s="55" t="str">
        <f t="shared" si="72"/>
        <v>Barras Contraventamentos</v>
      </c>
      <c r="O50" s="55" t="str">
        <f t="shared" si="73"/>
        <v>Barra Tracionada</v>
      </c>
      <c r="P50" s="55" t="s">
        <v>753</v>
      </c>
      <c r="Q50" s="55" t="s">
        <v>757</v>
      </c>
      <c r="R50" s="50" t="s">
        <v>9</v>
      </c>
      <c r="S50" s="50" t="str">
        <f t="shared" si="3"/>
        <v>Estrutura Principal</v>
      </c>
      <c r="T50" s="50" t="str">
        <f t="shared" si="4"/>
        <v>Barras</v>
      </c>
      <c r="U50" s="50" t="str">
        <f t="shared" si="5"/>
        <v>Barras Contraventamentos</v>
      </c>
      <c r="V50" s="50" t="s">
        <v>672</v>
      </c>
      <c r="W50" s="58" t="str">
        <f t="shared" si="2"/>
        <v>Key-MET-50</v>
      </c>
      <c r="X50" s="50" t="s">
        <v>1028</v>
      </c>
      <c r="Y50" s="50" t="s">
        <v>1029</v>
      </c>
      <c r="Z50" s="50" t="s">
        <v>9</v>
      </c>
      <c r="AA50" s="50" t="str">
        <f t="shared" si="6"/>
        <v>Traction bar of a bracing.</v>
      </c>
    </row>
    <row r="51" spans="1:27" ht="6.6" customHeight="1" x14ac:dyDescent="0.25">
      <c r="A51" s="63">
        <v>51</v>
      </c>
      <c r="B51" s="45" t="s">
        <v>1076</v>
      </c>
      <c r="C51" s="40" t="s">
        <v>88</v>
      </c>
      <c r="D51" s="40" t="s">
        <v>630</v>
      </c>
      <c r="E51" s="40" t="s">
        <v>758</v>
      </c>
      <c r="F51" s="40" t="s">
        <v>761</v>
      </c>
      <c r="G51" s="64" t="s">
        <v>9</v>
      </c>
      <c r="H51" s="64" t="s">
        <v>9</v>
      </c>
      <c r="I51" s="64" t="s">
        <v>9</v>
      </c>
      <c r="J51" s="67" t="s">
        <v>785</v>
      </c>
      <c r="K51" s="67" t="s">
        <v>786</v>
      </c>
      <c r="L51" s="55" t="str">
        <f t="shared" si="70"/>
        <v>Estrutura.Principal</v>
      </c>
      <c r="M51" s="55" t="str">
        <f t="shared" si="71"/>
        <v>Barras</v>
      </c>
      <c r="N51" s="55" t="str">
        <f t="shared" si="72"/>
        <v>Barras Montantes</v>
      </c>
      <c r="O51" s="55" t="str">
        <f t="shared" si="73"/>
        <v>Barra Montante</v>
      </c>
      <c r="P51" s="55" t="s">
        <v>768</v>
      </c>
      <c r="Q51" s="55" t="s">
        <v>769</v>
      </c>
      <c r="R51" s="50" t="s">
        <v>9</v>
      </c>
      <c r="S51" s="50" t="str">
        <f t="shared" si="3"/>
        <v>Estrutura Principal</v>
      </c>
      <c r="T51" s="50" t="str">
        <f t="shared" si="4"/>
        <v>Barras</v>
      </c>
      <c r="U51" s="50" t="str">
        <f t="shared" si="5"/>
        <v>Barras Montantes</v>
      </c>
      <c r="V51" s="50" t="s">
        <v>672</v>
      </c>
      <c r="W51" s="58" t="str">
        <f t="shared" si="2"/>
        <v>Key-MET-51</v>
      </c>
      <c r="X51" s="50" t="s">
        <v>1020</v>
      </c>
      <c r="Y51" s="50" t="s">
        <v>1030</v>
      </c>
      <c r="Z51" s="50" t="s">
        <v>9</v>
      </c>
      <c r="AA51" s="50" t="str">
        <f t="shared" si="6"/>
        <v>Slash upstream a structure.</v>
      </c>
    </row>
    <row r="52" spans="1:27" ht="6.6" customHeight="1" x14ac:dyDescent="0.25">
      <c r="A52" s="63">
        <v>52</v>
      </c>
      <c r="B52" s="45" t="s">
        <v>1076</v>
      </c>
      <c r="C52" s="40" t="s">
        <v>88</v>
      </c>
      <c r="D52" s="40" t="s">
        <v>630</v>
      </c>
      <c r="E52" s="40" t="s">
        <v>759</v>
      </c>
      <c r="F52" s="40" t="s">
        <v>760</v>
      </c>
      <c r="G52" s="64" t="s">
        <v>9</v>
      </c>
      <c r="H52" s="64" t="s">
        <v>9</v>
      </c>
      <c r="I52" s="64" t="s">
        <v>9</v>
      </c>
      <c r="J52" s="67" t="s">
        <v>785</v>
      </c>
      <c r="K52" s="67" t="s">
        <v>787</v>
      </c>
      <c r="L52" s="55" t="str">
        <f t="shared" si="70"/>
        <v>Estrutura.Principal</v>
      </c>
      <c r="M52" s="55" t="str">
        <f t="shared" si="71"/>
        <v>Barras</v>
      </c>
      <c r="N52" s="55" t="str">
        <f t="shared" si="72"/>
        <v>Barras Diagonais</v>
      </c>
      <c r="O52" s="55" t="str">
        <f t="shared" si="73"/>
        <v>Barra Diagonal</v>
      </c>
      <c r="P52" s="55" t="s">
        <v>767</v>
      </c>
      <c r="Q52" s="55" t="s">
        <v>770</v>
      </c>
      <c r="R52" s="50" t="s">
        <v>9</v>
      </c>
      <c r="S52" s="50" t="str">
        <f t="shared" si="3"/>
        <v>Estrutura Principal</v>
      </c>
      <c r="T52" s="50" t="str">
        <f t="shared" si="4"/>
        <v>Barras</v>
      </c>
      <c r="U52" s="50" t="str">
        <f t="shared" si="5"/>
        <v>Barras Diagonais</v>
      </c>
      <c r="V52" s="50" t="s">
        <v>672</v>
      </c>
      <c r="W52" s="58" t="str">
        <f t="shared" si="2"/>
        <v>Key-MET-52</v>
      </c>
      <c r="X52" s="50" t="s">
        <v>1020</v>
      </c>
      <c r="Y52" s="50" t="s">
        <v>1029</v>
      </c>
      <c r="Z52" s="50" t="s">
        <v>9</v>
      </c>
      <c r="AA52" s="50" t="str">
        <f t="shared" si="6"/>
        <v>Diagonal bar a structure.</v>
      </c>
    </row>
    <row r="53" spans="1:27" ht="6.6" customHeight="1" x14ac:dyDescent="0.25">
      <c r="A53" s="63">
        <v>53</v>
      </c>
      <c r="B53" s="45" t="s">
        <v>1076</v>
      </c>
      <c r="C53" s="40" t="s">
        <v>88</v>
      </c>
      <c r="D53" s="40" t="s">
        <v>630</v>
      </c>
      <c r="E53" s="40" t="s">
        <v>762</v>
      </c>
      <c r="F53" s="40" t="s">
        <v>763</v>
      </c>
      <c r="G53" s="64" t="s">
        <v>9</v>
      </c>
      <c r="H53" s="64" t="s">
        <v>9</v>
      </c>
      <c r="I53" s="64" t="s">
        <v>9</v>
      </c>
      <c r="J53" s="67" t="s">
        <v>785</v>
      </c>
      <c r="K53" s="67" t="s">
        <v>788</v>
      </c>
      <c r="L53" s="55" t="str">
        <f t="shared" si="70"/>
        <v>Estrutura.Principal</v>
      </c>
      <c r="M53" s="55" t="str">
        <f t="shared" si="71"/>
        <v>Barras</v>
      </c>
      <c r="N53" s="55" t="str">
        <f t="shared" si="72"/>
        <v>Banzos</v>
      </c>
      <c r="O53" s="55" t="str">
        <f t="shared" si="73"/>
        <v>Banzo Superior</v>
      </c>
      <c r="P53" s="55" t="s">
        <v>765</v>
      </c>
      <c r="Q53" s="55" t="s">
        <v>771</v>
      </c>
      <c r="R53" s="50" t="s">
        <v>9</v>
      </c>
      <c r="S53" s="50" t="str">
        <f t="shared" si="3"/>
        <v>Estrutura Principal</v>
      </c>
      <c r="T53" s="50" t="str">
        <f t="shared" si="4"/>
        <v>Barras</v>
      </c>
      <c r="U53" s="50" t="str">
        <f t="shared" si="5"/>
        <v>Banzos</v>
      </c>
      <c r="V53" s="50" t="s">
        <v>672</v>
      </c>
      <c r="W53" s="58" t="str">
        <f t="shared" si="2"/>
        <v>Key-MET-53</v>
      </c>
      <c r="X53" s="50" t="s">
        <v>1020</v>
      </c>
      <c r="Y53" s="50" t="s">
        <v>1031</v>
      </c>
      <c r="Z53" s="50" t="s">
        <v>9</v>
      </c>
      <c r="AA53" s="50" t="str">
        <f t="shared" si="6"/>
        <v>Top sting of a truss.</v>
      </c>
    </row>
    <row r="54" spans="1:27" ht="6.6" customHeight="1" x14ac:dyDescent="0.25">
      <c r="A54" s="63">
        <v>54</v>
      </c>
      <c r="B54" s="45" t="s">
        <v>1076</v>
      </c>
      <c r="C54" s="40" t="s">
        <v>88</v>
      </c>
      <c r="D54" s="40" t="s">
        <v>630</v>
      </c>
      <c r="E54" s="40" t="s">
        <v>762</v>
      </c>
      <c r="F54" s="40" t="s">
        <v>764</v>
      </c>
      <c r="G54" s="64" t="s">
        <v>9</v>
      </c>
      <c r="H54" s="64" t="s">
        <v>9</v>
      </c>
      <c r="I54" s="64" t="s">
        <v>9</v>
      </c>
      <c r="J54" s="64" t="s">
        <v>9</v>
      </c>
      <c r="K54" s="67" t="s">
        <v>789</v>
      </c>
      <c r="L54" s="55" t="str">
        <f t="shared" ref="L54" si="74">_xlfn.CONCAT(SUBSTITUTE(C54,"1.",""))</f>
        <v>Estrutura.Principal</v>
      </c>
      <c r="M54" s="55" t="str">
        <f t="shared" ref="M54" si="75">_xlfn.CONCAT(SUBSTITUTE(D54,"."," "))</f>
        <v>Barras</v>
      </c>
      <c r="N54" s="55" t="str">
        <f t="shared" ref="N54" si="76">_xlfn.CONCAT(SUBSTITUTE(E54,"."," "))</f>
        <v>Banzos</v>
      </c>
      <c r="O54" s="55" t="str">
        <f t="shared" ref="O54" si="77">_xlfn.CONCAT(SUBSTITUTE(F54,"."," "))</f>
        <v>Banzo Inferior</v>
      </c>
      <c r="P54" s="55" t="s">
        <v>766</v>
      </c>
      <c r="Q54" s="55" t="s">
        <v>772</v>
      </c>
      <c r="R54" s="50" t="s">
        <v>9</v>
      </c>
      <c r="S54" s="50" t="str">
        <f t="shared" si="3"/>
        <v>Estrutura Principal</v>
      </c>
      <c r="T54" s="50" t="str">
        <f t="shared" si="4"/>
        <v>Barras</v>
      </c>
      <c r="U54" s="50" t="str">
        <f t="shared" si="5"/>
        <v>Banzos</v>
      </c>
      <c r="V54" s="50" t="s">
        <v>672</v>
      </c>
      <c r="W54" s="58" t="str">
        <f t="shared" si="2"/>
        <v>Key-MET-54</v>
      </c>
      <c r="X54" s="50" t="s">
        <v>1020</v>
      </c>
      <c r="Y54" s="50" t="s">
        <v>1031</v>
      </c>
      <c r="Z54" s="50" t="s">
        <v>9</v>
      </c>
      <c r="AA54" s="50" t="str">
        <f t="shared" si="6"/>
        <v>Lower flange of a truss.</v>
      </c>
    </row>
    <row r="55" spans="1:27" ht="6.6" customHeight="1" x14ac:dyDescent="0.25">
      <c r="A55" s="63">
        <v>55</v>
      </c>
      <c r="B55" s="45" t="s">
        <v>1076</v>
      </c>
      <c r="C55" s="40" t="s">
        <v>88</v>
      </c>
      <c r="D55" s="40" t="s">
        <v>780</v>
      </c>
      <c r="E55" s="40" t="s">
        <v>781</v>
      </c>
      <c r="F55" s="40" t="s">
        <v>799</v>
      </c>
      <c r="G55" s="64" t="s">
        <v>9</v>
      </c>
      <c r="H55" s="64" t="s">
        <v>9</v>
      </c>
      <c r="I55" s="64" t="s">
        <v>9</v>
      </c>
      <c r="J55" s="64" t="s">
        <v>9</v>
      </c>
      <c r="K55" s="64" t="s">
        <v>9</v>
      </c>
      <c r="L55" s="55" t="str">
        <f t="shared" ref="L55:L60" si="78">_xlfn.CONCAT(SUBSTITUTE(C55,"1.",""))</f>
        <v>Estrutura.Principal</v>
      </c>
      <c r="M55" s="55" t="str">
        <f t="shared" ref="M55:M60" si="79">_xlfn.CONCAT(SUBSTITUTE(D55,"."," "))</f>
        <v>ContraVentamentos</v>
      </c>
      <c r="N55" s="55" t="str">
        <f t="shared" ref="N55:N60" si="80">_xlfn.CONCAT(SUBSTITUTE(E55,"."," "))</f>
        <v>ContraVentamentos Horizontais</v>
      </c>
      <c r="O55" s="55" t="str">
        <f t="shared" ref="O55:O60" si="81">_xlfn.CONCAT(SUBSTITUTE(F55,"."," "))</f>
        <v>ContraVentamento Horizontal Diagonal</v>
      </c>
      <c r="P55" s="55" t="s">
        <v>806</v>
      </c>
      <c r="Q55" s="55" t="s">
        <v>797</v>
      </c>
      <c r="R55" s="50" t="s">
        <v>9</v>
      </c>
      <c r="S55" s="50" t="str">
        <f t="shared" si="3"/>
        <v>Estrutura Principal</v>
      </c>
      <c r="T55" s="50" t="str">
        <f t="shared" si="4"/>
        <v>ContraVentamentos</v>
      </c>
      <c r="U55" s="50" t="str">
        <f t="shared" si="5"/>
        <v>ContraVentamentos Horizontais</v>
      </c>
      <c r="V55" s="50" t="s">
        <v>672</v>
      </c>
      <c r="W55" s="58" t="str">
        <f t="shared" si="2"/>
        <v>Key-MET-55</v>
      </c>
      <c r="X55" s="50" t="s">
        <v>1032</v>
      </c>
      <c r="Y55" s="50" t="s">
        <v>1029</v>
      </c>
      <c r="Z55" s="50" t="s">
        <v>9</v>
      </c>
      <c r="AA55" s="50" t="str">
        <f t="shared" si="6"/>
        <v>Horizontal Diagonal Bracing. Bracing increases the overall rigidity of the metal structure and helps reduce the weight and efficiency of the parts.</v>
      </c>
    </row>
    <row r="56" spans="1:27" ht="6.6" customHeight="1" x14ac:dyDescent="0.25">
      <c r="A56" s="63">
        <v>56</v>
      </c>
      <c r="B56" s="45" t="s">
        <v>1076</v>
      </c>
      <c r="C56" s="40" t="s">
        <v>88</v>
      </c>
      <c r="D56" s="40" t="s">
        <v>780</v>
      </c>
      <c r="E56" s="40" t="s">
        <v>781</v>
      </c>
      <c r="F56" s="40" t="s">
        <v>774</v>
      </c>
      <c r="G56" s="64" t="s">
        <v>9</v>
      </c>
      <c r="H56" s="64" t="s">
        <v>9</v>
      </c>
      <c r="I56" s="64" t="s">
        <v>9</v>
      </c>
      <c r="J56" s="64" t="s">
        <v>9</v>
      </c>
      <c r="K56" s="64" t="s">
        <v>9</v>
      </c>
      <c r="L56" s="55" t="str">
        <f t="shared" si="78"/>
        <v>Estrutura.Principal</v>
      </c>
      <c r="M56" s="55" t="str">
        <f t="shared" si="79"/>
        <v>ContraVentamentos</v>
      </c>
      <c r="N56" s="55" t="str">
        <f t="shared" si="80"/>
        <v>ContraVentamentos Horizontais</v>
      </c>
      <c r="O56" s="55" t="str">
        <f t="shared" si="81"/>
        <v>ContraVentamento Horizontal X</v>
      </c>
      <c r="P56" s="55" t="s">
        <v>807</v>
      </c>
      <c r="Q56" s="55" t="s">
        <v>820</v>
      </c>
      <c r="R56" s="50" t="s">
        <v>9</v>
      </c>
      <c r="S56" s="50" t="str">
        <f t="shared" si="3"/>
        <v>Estrutura Principal</v>
      </c>
      <c r="T56" s="50" t="str">
        <f t="shared" si="4"/>
        <v>ContraVentamentos</v>
      </c>
      <c r="U56" s="50" t="str">
        <f t="shared" si="5"/>
        <v>ContraVentamentos Horizontais</v>
      </c>
      <c r="V56" s="50" t="s">
        <v>672</v>
      </c>
      <c r="W56" s="58" t="str">
        <f t="shared" si="2"/>
        <v>Key-MET-56</v>
      </c>
      <c r="X56" s="50" t="s">
        <v>1032</v>
      </c>
      <c r="Y56" s="50" t="s">
        <v>1029</v>
      </c>
      <c r="Z56" s="50" t="s">
        <v>9</v>
      </c>
      <c r="AA56" s="50" t="str">
        <f t="shared" si="6"/>
        <v>Horizontal Cross Bracing. Bracing increases the overall rigidity of the metal structure and helps reduce the weight and efficiency of the parts.</v>
      </c>
    </row>
    <row r="57" spans="1:27" ht="6.6" customHeight="1" x14ac:dyDescent="0.25">
      <c r="A57" s="63">
        <v>57</v>
      </c>
      <c r="B57" s="45" t="s">
        <v>1076</v>
      </c>
      <c r="C57" s="40" t="s">
        <v>88</v>
      </c>
      <c r="D57" s="40" t="s">
        <v>780</v>
      </c>
      <c r="E57" s="40" t="s">
        <v>781</v>
      </c>
      <c r="F57" s="40" t="s">
        <v>792</v>
      </c>
      <c r="G57" s="64" t="s">
        <v>9</v>
      </c>
      <c r="H57" s="64" t="s">
        <v>9</v>
      </c>
      <c r="I57" s="64" t="s">
        <v>9</v>
      </c>
      <c r="J57" s="64" t="s">
        <v>9</v>
      </c>
      <c r="K57" s="64" t="s">
        <v>9</v>
      </c>
      <c r="L57" s="55" t="str">
        <f t="shared" si="78"/>
        <v>Estrutura.Principal</v>
      </c>
      <c r="M57" s="55" t="str">
        <f t="shared" si="79"/>
        <v>ContraVentamentos</v>
      </c>
      <c r="N57" s="55" t="str">
        <f t="shared" si="80"/>
        <v>ContraVentamentos Horizontais</v>
      </c>
      <c r="O57" s="55" t="str">
        <f t="shared" si="81"/>
        <v>ContraVentamento Horizontal K</v>
      </c>
      <c r="P57" s="55" t="s">
        <v>805</v>
      </c>
      <c r="Q57" s="55" t="s">
        <v>813</v>
      </c>
      <c r="R57" s="50" t="s">
        <v>9</v>
      </c>
      <c r="S57" s="50" t="str">
        <f t="shared" si="3"/>
        <v>Estrutura Principal</v>
      </c>
      <c r="T57" s="50" t="str">
        <f t="shared" si="4"/>
        <v>ContraVentamentos</v>
      </c>
      <c r="U57" s="50" t="str">
        <f t="shared" si="5"/>
        <v>ContraVentamentos Horizontais</v>
      </c>
      <c r="V57" s="50" t="s">
        <v>672</v>
      </c>
      <c r="W57" s="58" t="str">
        <f t="shared" si="2"/>
        <v>Key-MET-57</v>
      </c>
      <c r="X57" s="50" t="s">
        <v>1032</v>
      </c>
      <c r="Y57" s="50" t="s">
        <v>1029</v>
      </c>
      <c r="Z57" s="50" t="s">
        <v>9</v>
      </c>
      <c r="AA57" s="50" t="str">
        <f t="shared" si="6"/>
        <v>Horizontal bracing K. Bracing increases the overall rigidity of the metal structure and helps reduce the weight and efficiency of the parts.</v>
      </c>
    </row>
    <row r="58" spans="1:27" ht="6.6" customHeight="1" x14ac:dyDescent="0.25">
      <c r="A58" s="63">
        <v>58</v>
      </c>
      <c r="B58" s="45" t="s">
        <v>1076</v>
      </c>
      <c r="C58" s="40" t="s">
        <v>88</v>
      </c>
      <c r="D58" s="40" t="s">
        <v>780</v>
      </c>
      <c r="E58" s="40" t="s">
        <v>781</v>
      </c>
      <c r="F58" s="40" t="s">
        <v>793</v>
      </c>
      <c r="G58" s="64" t="s">
        <v>9</v>
      </c>
      <c r="H58" s="64" t="s">
        <v>9</v>
      </c>
      <c r="I58" s="64" t="s">
        <v>9</v>
      </c>
      <c r="J58" s="64" t="s">
        <v>9</v>
      </c>
      <c r="K58" s="64" t="s">
        <v>9</v>
      </c>
      <c r="L58" s="55" t="str">
        <f t="shared" si="78"/>
        <v>Estrutura.Principal</v>
      </c>
      <c r="M58" s="55" t="str">
        <f t="shared" si="79"/>
        <v>ContraVentamentos</v>
      </c>
      <c r="N58" s="55" t="str">
        <f t="shared" si="80"/>
        <v>ContraVentamentos Horizontais</v>
      </c>
      <c r="O58" s="55" t="str">
        <f t="shared" si="81"/>
        <v>ContraVentamento Horizontal V</v>
      </c>
      <c r="P58" s="55" t="s">
        <v>804</v>
      </c>
      <c r="Q58" s="55" t="s">
        <v>814</v>
      </c>
      <c r="R58" s="50" t="s">
        <v>9</v>
      </c>
      <c r="S58" s="50" t="str">
        <f t="shared" si="3"/>
        <v>Estrutura Principal</v>
      </c>
      <c r="T58" s="50" t="str">
        <f t="shared" si="4"/>
        <v>ContraVentamentos</v>
      </c>
      <c r="U58" s="50" t="str">
        <f t="shared" si="5"/>
        <v>ContraVentamentos Horizontais</v>
      </c>
      <c r="V58" s="50" t="s">
        <v>672</v>
      </c>
      <c r="W58" s="58" t="str">
        <f t="shared" si="2"/>
        <v>Key-MET-58</v>
      </c>
      <c r="X58" s="50" t="s">
        <v>1032</v>
      </c>
      <c r="Y58" s="50" t="s">
        <v>1029</v>
      </c>
      <c r="Z58" s="50" t="s">
        <v>9</v>
      </c>
      <c r="AA58" s="50" t="str">
        <f t="shared" si="6"/>
        <v>Horizontal V bracing. Bracing increases the overall rigidity of the metal structure and helps reduce the weight and efficiency of the parts.</v>
      </c>
    </row>
    <row r="59" spans="1:27" ht="6.6" customHeight="1" x14ac:dyDescent="0.25">
      <c r="A59" s="63">
        <v>59</v>
      </c>
      <c r="B59" s="45" t="s">
        <v>1076</v>
      </c>
      <c r="C59" s="40" t="s">
        <v>88</v>
      </c>
      <c r="D59" s="40" t="s">
        <v>780</v>
      </c>
      <c r="E59" s="40" t="s">
        <v>781</v>
      </c>
      <c r="F59" s="40" t="s">
        <v>794</v>
      </c>
      <c r="G59" s="64" t="s">
        <v>9</v>
      </c>
      <c r="H59" s="64" t="s">
        <v>9</v>
      </c>
      <c r="I59" s="64" t="s">
        <v>9</v>
      </c>
      <c r="J59" s="64" t="s">
        <v>9</v>
      </c>
      <c r="K59" s="64" t="s">
        <v>9</v>
      </c>
      <c r="L59" s="55" t="str">
        <f t="shared" ref="L59" si="82">_xlfn.CONCAT(SUBSTITUTE(C59,"1.",""))</f>
        <v>Estrutura.Principal</v>
      </c>
      <c r="M59" s="55" t="str">
        <f t="shared" ref="M59" si="83">_xlfn.CONCAT(SUBSTITUTE(D59,"."," "))</f>
        <v>ContraVentamentos</v>
      </c>
      <c r="N59" s="55" t="str">
        <f t="shared" ref="N59" si="84">_xlfn.CONCAT(SUBSTITUTE(E59,"."," "))</f>
        <v>ContraVentamentos Horizontais</v>
      </c>
      <c r="O59" s="55" t="str">
        <f t="shared" ref="O59" si="85">_xlfn.CONCAT(SUBSTITUTE(F59,"."," "))</f>
        <v>ContraVentamento Horizontal VI</v>
      </c>
      <c r="P59" s="55" t="s">
        <v>803</v>
      </c>
      <c r="Q59" s="55" t="s">
        <v>815</v>
      </c>
      <c r="R59" s="50" t="s">
        <v>9</v>
      </c>
      <c r="S59" s="50" t="str">
        <f t="shared" si="3"/>
        <v>Estrutura Principal</v>
      </c>
      <c r="T59" s="50" t="str">
        <f t="shared" si="4"/>
        <v>ContraVentamentos</v>
      </c>
      <c r="U59" s="50" t="str">
        <f t="shared" si="5"/>
        <v>ContraVentamentos Horizontais</v>
      </c>
      <c r="V59" s="50" t="s">
        <v>672</v>
      </c>
      <c r="W59" s="58" t="str">
        <f t="shared" si="2"/>
        <v>Key-MET-59</v>
      </c>
      <c r="X59" s="50" t="s">
        <v>1032</v>
      </c>
      <c r="Y59" s="50" t="s">
        <v>1029</v>
      </c>
      <c r="Z59" s="50" t="s">
        <v>9</v>
      </c>
      <c r="AA59" s="50" t="str">
        <f t="shared" si="6"/>
        <v>Horizontal inverted V bracing. Bracing increases the overall rigidity of the metal structure and helps reduce the weight and efficiency of the parts.</v>
      </c>
    </row>
    <row r="60" spans="1:27" ht="6.6" customHeight="1" x14ac:dyDescent="0.25">
      <c r="A60" s="63">
        <v>60</v>
      </c>
      <c r="B60" s="45" t="s">
        <v>1076</v>
      </c>
      <c r="C60" s="40" t="s">
        <v>88</v>
      </c>
      <c r="D60" s="40" t="s">
        <v>780</v>
      </c>
      <c r="E60" s="40" t="s">
        <v>781</v>
      </c>
      <c r="F60" s="40" t="s">
        <v>800</v>
      </c>
      <c r="G60" s="64" t="s">
        <v>9</v>
      </c>
      <c r="H60" s="64" t="s">
        <v>9</v>
      </c>
      <c r="I60" s="64" t="s">
        <v>9</v>
      </c>
      <c r="J60" s="64" t="s">
        <v>9</v>
      </c>
      <c r="K60" s="64" t="s">
        <v>9</v>
      </c>
      <c r="L60" s="55" t="str">
        <f t="shared" si="78"/>
        <v>Estrutura.Principal</v>
      </c>
      <c r="M60" s="55" t="str">
        <f t="shared" si="79"/>
        <v>ContraVentamentos</v>
      </c>
      <c r="N60" s="55" t="str">
        <f t="shared" si="80"/>
        <v>ContraVentamentos Horizontais</v>
      </c>
      <c r="O60" s="55" t="str">
        <f t="shared" si="81"/>
        <v>ContraVentamento Horizontal Delta</v>
      </c>
      <c r="P60" s="55" t="s">
        <v>802</v>
      </c>
      <c r="Q60" s="55" t="s">
        <v>816</v>
      </c>
      <c r="R60" s="50" t="s">
        <v>9</v>
      </c>
      <c r="S60" s="50" t="str">
        <f t="shared" si="3"/>
        <v>Estrutura Principal</v>
      </c>
      <c r="T60" s="50" t="str">
        <f t="shared" si="4"/>
        <v>ContraVentamentos</v>
      </c>
      <c r="U60" s="50" t="str">
        <f t="shared" si="5"/>
        <v>ContraVentamentos Horizontais</v>
      </c>
      <c r="V60" s="50" t="s">
        <v>672</v>
      </c>
      <c r="W60" s="58" t="str">
        <f t="shared" si="2"/>
        <v>Key-MET-60</v>
      </c>
      <c r="X60" s="50" t="s">
        <v>1032</v>
      </c>
      <c r="Y60" s="50" t="s">
        <v>1029</v>
      </c>
      <c r="Z60" s="50" t="s">
        <v>9</v>
      </c>
      <c r="AA60" s="50" t="str">
        <f t="shared" si="6"/>
        <v>Horizontal Delta bracing. Bracing increases the overall rigidity of the metal structure and helps reduce the weight and efficiency of the parts.</v>
      </c>
    </row>
    <row r="61" spans="1:27" ht="6.6" customHeight="1" x14ac:dyDescent="0.25">
      <c r="A61" s="63">
        <v>61</v>
      </c>
      <c r="B61" s="45" t="s">
        <v>1076</v>
      </c>
      <c r="C61" s="40" t="s">
        <v>88</v>
      </c>
      <c r="D61" s="40" t="s">
        <v>780</v>
      </c>
      <c r="E61" s="40" t="s">
        <v>782</v>
      </c>
      <c r="F61" s="40" t="s">
        <v>775</v>
      </c>
      <c r="G61" s="64" t="s">
        <v>9</v>
      </c>
      <c r="H61" s="64" t="s">
        <v>9</v>
      </c>
      <c r="I61" s="64" t="s">
        <v>9</v>
      </c>
      <c r="J61" s="64" t="s">
        <v>9</v>
      </c>
      <c r="K61" s="64" t="s">
        <v>9</v>
      </c>
      <c r="L61" s="55" t="str">
        <f t="shared" ref="L61" si="86">_xlfn.CONCAT(SUBSTITUTE(C61,"1.",""))</f>
        <v>Estrutura.Principal</v>
      </c>
      <c r="M61" s="55" t="str">
        <f t="shared" ref="M61" si="87">_xlfn.CONCAT(SUBSTITUTE(D61,"."," "))</f>
        <v>ContraVentamentos</v>
      </c>
      <c r="N61" s="55" t="str">
        <f t="shared" ref="N61" si="88">_xlfn.CONCAT(SUBSTITUTE(E61,"."," "))</f>
        <v>ContraVentamentos Verticais</v>
      </c>
      <c r="O61" s="55" t="str">
        <f t="shared" ref="O61" si="89">_xlfn.CONCAT(SUBSTITUTE(F61,"."," "))</f>
        <v>ContraVentamento Vertical</v>
      </c>
      <c r="P61" s="55" t="s">
        <v>808</v>
      </c>
      <c r="Q61" s="55" t="s">
        <v>798</v>
      </c>
      <c r="R61" s="50" t="s">
        <v>9</v>
      </c>
      <c r="S61" s="50" t="str">
        <f t="shared" si="3"/>
        <v>Estrutura Principal</v>
      </c>
      <c r="T61" s="50" t="str">
        <f t="shared" si="4"/>
        <v>ContraVentamentos</v>
      </c>
      <c r="U61" s="50" t="str">
        <f t="shared" si="5"/>
        <v>ContraVentamentos Verticais</v>
      </c>
      <c r="V61" s="50" t="s">
        <v>672</v>
      </c>
      <c r="W61" s="58" t="str">
        <f t="shared" si="2"/>
        <v>Key-MET-61</v>
      </c>
      <c r="X61" s="50" t="s">
        <v>1033</v>
      </c>
      <c r="Y61" s="50" t="s">
        <v>1029</v>
      </c>
      <c r="Z61" s="50" t="s">
        <v>9</v>
      </c>
      <c r="AA61" s="50" t="str">
        <f t="shared" si="6"/>
        <v>Vertical Diagonal Bracing. Bracing increases the overall rigidity of the metal structure and helps reduce the weight and efficiency of the parts.</v>
      </c>
    </row>
    <row r="62" spans="1:27" ht="6.6" customHeight="1" x14ac:dyDescent="0.25">
      <c r="A62" s="63">
        <v>62</v>
      </c>
      <c r="B62" s="45" t="s">
        <v>1076</v>
      </c>
      <c r="C62" s="40" t="s">
        <v>88</v>
      </c>
      <c r="D62" s="40" t="s">
        <v>780</v>
      </c>
      <c r="E62" s="40" t="s">
        <v>782</v>
      </c>
      <c r="F62" s="40" t="s">
        <v>776</v>
      </c>
      <c r="G62" s="64" t="s">
        <v>9</v>
      </c>
      <c r="H62" s="64" t="s">
        <v>9</v>
      </c>
      <c r="I62" s="64" t="s">
        <v>9</v>
      </c>
      <c r="J62" s="64" t="s">
        <v>9</v>
      </c>
      <c r="K62" s="64" t="s">
        <v>9</v>
      </c>
      <c r="L62" s="55" t="str">
        <f t="shared" ref="L62:L67" si="90">_xlfn.CONCAT(SUBSTITUTE(C62,"1.",""))</f>
        <v>Estrutura.Principal</v>
      </c>
      <c r="M62" s="55" t="str">
        <f t="shared" ref="M62:M67" si="91">_xlfn.CONCAT(SUBSTITUTE(D62,"."," "))</f>
        <v>ContraVentamentos</v>
      </c>
      <c r="N62" s="55" t="str">
        <f t="shared" ref="N62:N67" si="92">_xlfn.CONCAT(SUBSTITUTE(E62,"."," "))</f>
        <v>ContraVentamentos Verticais</v>
      </c>
      <c r="O62" s="55" t="str">
        <f t="shared" ref="O62:O67" si="93">_xlfn.CONCAT(SUBSTITUTE(F62,"."," "))</f>
        <v>ContraVentamento Vertical X</v>
      </c>
      <c r="P62" s="55" t="s">
        <v>809</v>
      </c>
      <c r="Q62" s="55" t="s">
        <v>821</v>
      </c>
      <c r="R62" s="50" t="s">
        <v>9</v>
      </c>
      <c r="S62" s="50" t="str">
        <f t="shared" si="3"/>
        <v>Estrutura Principal</v>
      </c>
      <c r="T62" s="50" t="str">
        <f t="shared" si="4"/>
        <v>ContraVentamentos</v>
      </c>
      <c r="U62" s="50" t="str">
        <f t="shared" si="5"/>
        <v>ContraVentamentos Verticais</v>
      </c>
      <c r="V62" s="50" t="s">
        <v>672</v>
      </c>
      <c r="W62" s="58" t="str">
        <f t="shared" si="2"/>
        <v>Key-MET-62</v>
      </c>
      <c r="X62" s="50" t="s">
        <v>1033</v>
      </c>
      <c r="Y62" s="50" t="s">
        <v>1029</v>
      </c>
      <c r="Z62" s="50" t="s">
        <v>9</v>
      </c>
      <c r="AA62" s="50" t="str">
        <f t="shared" si="6"/>
        <v>Vertical Cross Bracing. Bracing increases the overall rigidity of the metal structure and helps reduce the weight and efficiency of the parts.</v>
      </c>
    </row>
    <row r="63" spans="1:27" ht="6.6" customHeight="1" x14ac:dyDescent="0.25">
      <c r="A63" s="63">
        <v>63</v>
      </c>
      <c r="B63" s="45" t="s">
        <v>1076</v>
      </c>
      <c r="C63" s="40" t="s">
        <v>88</v>
      </c>
      <c r="D63" s="40" t="s">
        <v>780</v>
      </c>
      <c r="E63" s="40" t="s">
        <v>782</v>
      </c>
      <c r="F63" s="40" t="s">
        <v>777</v>
      </c>
      <c r="G63" s="64" t="s">
        <v>9</v>
      </c>
      <c r="H63" s="64" t="s">
        <v>9</v>
      </c>
      <c r="I63" s="64" t="s">
        <v>9</v>
      </c>
      <c r="J63" s="64" t="s">
        <v>9</v>
      </c>
      <c r="K63" s="64" t="s">
        <v>9</v>
      </c>
      <c r="L63" s="55" t="str">
        <f t="shared" si="90"/>
        <v>Estrutura.Principal</v>
      </c>
      <c r="M63" s="55" t="str">
        <f t="shared" si="91"/>
        <v>ContraVentamentos</v>
      </c>
      <c r="N63" s="55" t="str">
        <f t="shared" si="92"/>
        <v>ContraVentamentos Verticais</v>
      </c>
      <c r="O63" s="55" t="str">
        <f t="shared" si="93"/>
        <v>ContraVentamento Vertical K</v>
      </c>
      <c r="P63" s="55" t="s">
        <v>810</v>
      </c>
      <c r="Q63" s="55" t="s">
        <v>817</v>
      </c>
      <c r="R63" s="50" t="s">
        <v>9</v>
      </c>
      <c r="S63" s="50" t="str">
        <f t="shared" si="3"/>
        <v>Estrutura Principal</v>
      </c>
      <c r="T63" s="50" t="str">
        <f t="shared" si="4"/>
        <v>ContraVentamentos</v>
      </c>
      <c r="U63" s="50" t="str">
        <f t="shared" si="5"/>
        <v>ContraVentamentos Verticais</v>
      </c>
      <c r="V63" s="50" t="s">
        <v>672</v>
      </c>
      <c r="W63" s="58" t="str">
        <f t="shared" si="2"/>
        <v>Key-MET-63</v>
      </c>
      <c r="X63" s="50" t="s">
        <v>1033</v>
      </c>
      <c r="Y63" s="50" t="s">
        <v>1029</v>
      </c>
      <c r="Z63" s="50" t="s">
        <v>9</v>
      </c>
      <c r="AA63" s="50" t="str">
        <f t="shared" si="6"/>
        <v>Vertical K bracing. Bracing increases the overall rigidity of the metal structure and helps reduce the weight and efficiency of the parts.</v>
      </c>
    </row>
    <row r="64" spans="1:27" ht="6.6" customHeight="1" x14ac:dyDescent="0.25">
      <c r="A64" s="63">
        <v>64</v>
      </c>
      <c r="B64" s="45" t="s">
        <v>1076</v>
      </c>
      <c r="C64" s="40" t="s">
        <v>88</v>
      </c>
      <c r="D64" s="40" t="s">
        <v>780</v>
      </c>
      <c r="E64" s="40" t="s">
        <v>782</v>
      </c>
      <c r="F64" s="40" t="s">
        <v>778</v>
      </c>
      <c r="G64" s="64" t="s">
        <v>9</v>
      </c>
      <c r="H64" s="64" t="s">
        <v>9</v>
      </c>
      <c r="I64" s="64" t="s">
        <v>9</v>
      </c>
      <c r="J64" s="64" t="s">
        <v>9</v>
      </c>
      <c r="K64" s="64" t="s">
        <v>9</v>
      </c>
      <c r="L64" s="55" t="str">
        <f t="shared" ref="L64:L66" si="94">_xlfn.CONCAT(SUBSTITUTE(C64,"1.",""))</f>
        <v>Estrutura.Principal</v>
      </c>
      <c r="M64" s="55" t="str">
        <f t="shared" ref="M64:M66" si="95">_xlfn.CONCAT(SUBSTITUTE(D64,"."," "))</f>
        <v>ContraVentamentos</v>
      </c>
      <c r="N64" s="55" t="str">
        <f t="shared" ref="N64:N66" si="96">_xlfn.CONCAT(SUBSTITUTE(E64,"."," "))</f>
        <v>ContraVentamentos Verticais</v>
      </c>
      <c r="O64" s="55" t="str">
        <f t="shared" ref="O64:O66" si="97">_xlfn.CONCAT(SUBSTITUTE(F64,"."," "))</f>
        <v>ContraVentamento Vertical V</v>
      </c>
      <c r="P64" s="55" t="s">
        <v>811</v>
      </c>
      <c r="Q64" s="55" t="s">
        <v>818</v>
      </c>
      <c r="R64" s="50" t="s">
        <v>9</v>
      </c>
      <c r="S64" s="50" t="str">
        <f t="shared" si="3"/>
        <v>Estrutura Principal</v>
      </c>
      <c r="T64" s="50" t="str">
        <f t="shared" si="4"/>
        <v>ContraVentamentos</v>
      </c>
      <c r="U64" s="50" t="str">
        <f t="shared" si="5"/>
        <v>ContraVentamentos Verticais</v>
      </c>
      <c r="V64" s="50" t="s">
        <v>672</v>
      </c>
      <c r="W64" s="58" t="str">
        <f t="shared" si="2"/>
        <v>Key-MET-64</v>
      </c>
      <c r="X64" s="50" t="s">
        <v>1033</v>
      </c>
      <c r="Y64" s="50" t="s">
        <v>1029</v>
      </c>
      <c r="Z64" s="50" t="s">
        <v>9</v>
      </c>
      <c r="AA64" s="50" t="str">
        <f t="shared" si="6"/>
        <v>Vertical V bracing. Bracing increases the overall rigidity of the metal structure and helps reduce the weight and efficiency of the parts.</v>
      </c>
    </row>
    <row r="65" spans="1:27" ht="6.6" customHeight="1" x14ac:dyDescent="0.25">
      <c r="A65" s="63">
        <v>65</v>
      </c>
      <c r="B65" s="45" t="s">
        <v>1076</v>
      </c>
      <c r="C65" s="40" t="s">
        <v>88</v>
      </c>
      <c r="D65" s="40" t="s">
        <v>780</v>
      </c>
      <c r="E65" s="40" t="s">
        <v>782</v>
      </c>
      <c r="F65" s="40" t="s">
        <v>783</v>
      </c>
      <c r="G65" s="64" t="s">
        <v>9</v>
      </c>
      <c r="H65" s="64" t="s">
        <v>9</v>
      </c>
      <c r="I65" s="64" t="s">
        <v>9</v>
      </c>
      <c r="J65" s="64" t="s">
        <v>9</v>
      </c>
      <c r="K65" s="64" t="s">
        <v>9</v>
      </c>
      <c r="L65" s="55" t="str">
        <f t="shared" ref="L65" si="98">_xlfn.CONCAT(SUBSTITUTE(C65,"1.",""))</f>
        <v>Estrutura.Principal</v>
      </c>
      <c r="M65" s="55" t="str">
        <f t="shared" ref="M65" si="99">_xlfn.CONCAT(SUBSTITUTE(D65,"."," "))</f>
        <v>ContraVentamentos</v>
      </c>
      <c r="N65" s="55" t="str">
        <f t="shared" ref="N65" si="100">_xlfn.CONCAT(SUBSTITUTE(E65,"."," "))</f>
        <v>ContraVentamentos Verticais</v>
      </c>
      <c r="O65" s="55" t="str">
        <f t="shared" ref="O65" si="101">_xlfn.CONCAT(SUBSTITUTE(F65,"."," "))</f>
        <v>ContraVentamento Vertical VI</v>
      </c>
      <c r="P65" s="55" t="s">
        <v>812</v>
      </c>
      <c r="Q65" s="55" t="s">
        <v>819</v>
      </c>
      <c r="R65" s="50" t="s">
        <v>9</v>
      </c>
      <c r="S65" s="50" t="str">
        <f t="shared" si="3"/>
        <v>Estrutura Principal</v>
      </c>
      <c r="T65" s="50" t="str">
        <f t="shared" si="4"/>
        <v>ContraVentamentos</v>
      </c>
      <c r="U65" s="50" t="str">
        <f t="shared" si="5"/>
        <v>ContraVentamentos Verticais</v>
      </c>
      <c r="V65" s="50" t="s">
        <v>672</v>
      </c>
      <c r="W65" s="58" t="str">
        <f t="shared" ref="W65:W126" si="102">CONCATENATE("Key-MET-",A65)</f>
        <v>Key-MET-65</v>
      </c>
      <c r="X65" s="50" t="s">
        <v>1033</v>
      </c>
      <c r="Y65" s="50" t="s">
        <v>1029</v>
      </c>
      <c r="Z65" s="50" t="s">
        <v>9</v>
      </c>
      <c r="AA65" s="50" t="str">
        <f t="shared" si="6"/>
        <v>Vertical inverted V bracing. Bracing increases the overall rigidity of the metal structure and helps reduce the weight and efficiency of the parts.</v>
      </c>
    </row>
    <row r="66" spans="1:27" ht="6.6" customHeight="1" x14ac:dyDescent="0.25">
      <c r="A66" s="63">
        <v>66</v>
      </c>
      <c r="B66" s="45" t="s">
        <v>1076</v>
      </c>
      <c r="C66" s="40" t="s">
        <v>88</v>
      </c>
      <c r="D66" s="40" t="s">
        <v>780</v>
      </c>
      <c r="E66" s="40" t="s">
        <v>782</v>
      </c>
      <c r="F66" s="40" t="s">
        <v>801</v>
      </c>
      <c r="G66" s="64" t="s">
        <v>9</v>
      </c>
      <c r="H66" s="64" t="s">
        <v>9</v>
      </c>
      <c r="I66" s="64" t="s">
        <v>9</v>
      </c>
      <c r="J66" s="64" t="s">
        <v>9</v>
      </c>
      <c r="K66" s="64" t="s">
        <v>9</v>
      </c>
      <c r="L66" s="55" t="str">
        <f t="shared" si="94"/>
        <v>Estrutura.Principal</v>
      </c>
      <c r="M66" s="55" t="str">
        <f t="shared" si="95"/>
        <v>ContraVentamentos</v>
      </c>
      <c r="N66" s="55" t="str">
        <f t="shared" si="96"/>
        <v>ContraVentamentos Verticais</v>
      </c>
      <c r="O66" s="55" t="str">
        <f t="shared" si="97"/>
        <v>ContraVentamento Vertical Delta</v>
      </c>
      <c r="P66" s="55" t="s">
        <v>802</v>
      </c>
      <c r="Q66" s="55" t="s">
        <v>816</v>
      </c>
      <c r="R66" s="50" t="s">
        <v>9</v>
      </c>
      <c r="S66" s="50" t="str">
        <f t="shared" si="3"/>
        <v>Estrutura Principal</v>
      </c>
      <c r="T66" s="50" t="str">
        <f t="shared" si="4"/>
        <v>ContraVentamentos</v>
      </c>
      <c r="U66" s="50" t="str">
        <f t="shared" si="5"/>
        <v>ContraVentamentos Verticais</v>
      </c>
      <c r="V66" s="50" t="s">
        <v>672</v>
      </c>
      <c r="W66" s="58" t="str">
        <f t="shared" si="102"/>
        <v>Key-MET-66</v>
      </c>
      <c r="X66" s="50" t="s">
        <v>1033</v>
      </c>
      <c r="Y66" s="50" t="s">
        <v>1029</v>
      </c>
      <c r="Z66" s="50" t="s">
        <v>9</v>
      </c>
      <c r="AA66" s="50" t="str">
        <f t="shared" si="6"/>
        <v>Horizontal Delta bracing. Bracing increases the overall rigidity of the metal structure and helps reduce the weight and efficiency of the parts.</v>
      </c>
    </row>
    <row r="67" spans="1:27" ht="6.6" customHeight="1" x14ac:dyDescent="0.25">
      <c r="A67" s="63">
        <v>67</v>
      </c>
      <c r="B67" s="45" t="s">
        <v>1076</v>
      </c>
      <c r="C67" s="40" t="s">
        <v>88</v>
      </c>
      <c r="D67" s="40" t="s">
        <v>780</v>
      </c>
      <c r="E67" s="40" t="s">
        <v>790</v>
      </c>
      <c r="F67" s="40" t="s">
        <v>791</v>
      </c>
      <c r="G67" s="64" t="s">
        <v>9</v>
      </c>
      <c r="H67" s="64" t="s">
        <v>9</v>
      </c>
      <c r="I67" s="64" t="s">
        <v>9</v>
      </c>
      <c r="J67" s="64" t="s">
        <v>9</v>
      </c>
      <c r="K67" s="64" t="s">
        <v>9</v>
      </c>
      <c r="L67" s="55" t="str">
        <f t="shared" si="90"/>
        <v>Estrutura.Principal</v>
      </c>
      <c r="M67" s="55" t="str">
        <f t="shared" si="91"/>
        <v>ContraVentamentos</v>
      </c>
      <c r="N67" s="55" t="str">
        <f t="shared" si="92"/>
        <v>ContraVentamentos Cabos</v>
      </c>
      <c r="O67" s="55" t="str">
        <f t="shared" si="93"/>
        <v>ContraVentamento Cabo</v>
      </c>
      <c r="P67" s="55" t="s">
        <v>796</v>
      </c>
      <c r="Q67" s="55" t="s">
        <v>795</v>
      </c>
      <c r="R67" s="50" t="s">
        <v>9</v>
      </c>
      <c r="S67" s="50" t="str">
        <f t="shared" si="3"/>
        <v>Estrutura Principal</v>
      </c>
      <c r="T67" s="50" t="str">
        <f t="shared" si="4"/>
        <v>ContraVentamentos</v>
      </c>
      <c r="U67" s="50" t="str">
        <f t="shared" si="5"/>
        <v>ContraVentamentos Cabos</v>
      </c>
      <c r="V67" s="50" t="s">
        <v>672</v>
      </c>
      <c r="W67" s="58" t="str">
        <f t="shared" si="102"/>
        <v>Key-MET-67</v>
      </c>
      <c r="X67" s="50" t="s">
        <v>1034</v>
      </c>
      <c r="Y67" s="50" t="s">
        <v>1029</v>
      </c>
      <c r="Z67" s="50" t="s">
        <v>9</v>
      </c>
      <c r="AA67" s="50" t="str">
        <f t="shared" ref="AA67:AA126" si="103">_xlfn.TRANSLATE(P67,"pt","en")</f>
        <v>Bracing with tensioned cable. Bracing increases the overall rigidity of the metal structure and helps reduce the weight and efficiency of the parts.</v>
      </c>
    </row>
    <row r="68" spans="1:27" ht="6.6" customHeight="1" x14ac:dyDescent="0.25">
      <c r="A68" s="63">
        <v>68</v>
      </c>
      <c r="B68" s="45" t="s">
        <v>1076</v>
      </c>
      <c r="C68" s="40" t="s">
        <v>88</v>
      </c>
      <c r="D68" s="40" t="s">
        <v>631</v>
      </c>
      <c r="E68" s="40" t="s">
        <v>647</v>
      </c>
      <c r="F68" s="40" t="s">
        <v>639</v>
      </c>
      <c r="G68" s="64" t="s">
        <v>9</v>
      </c>
      <c r="H68" s="64" t="s">
        <v>9</v>
      </c>
      <c r="I68" s="64" t="s">
        <v>9</v>
      </c>
      <c r="J68" s="64" t="s">
        <v>9</v>
      </c>
      <c r="K68" s="64" t="s">
        <v>9</v>
      </c>
      <c r="L68" s="55" t="str">
        <f t="shared" ref="L68:L72" si="104">_xlfn.CONCAT(SUBSTITUTE(C68,"1.",""))</f>
        <v>Estrutura.Principal</v>
      </c>
      <c r="M68" s="55" t="str">
        <f t="shared" ref="M68:M72" si="105">_xlfn.CONCAT(SUBSTITUTE(D68,"."," "))</f>
        <v>Treliçados</v>
      </c>
      <c r="N68" s="55" t="str">
        <f t="shared" ref="N68:N72" si="106">_xlfn.CONCAT(SUBSTITUTE(E68,"."," "))</f>
        <v>Treliças Planas</v>
      </c>
      <c r="O68" s="55" t="str">
        <f t="shared" ref="O68:O71" si="107">_xlfn.CONCAT(SUBSTITUTE(F68,"."," "))</f>
        <v>Treliça Pratt</v>
      </c>
      <c r="P68" s="55" t="s">
        <v>640</v>
      </c>
      <c r="Q68" s="55" t="s">
        <v>701</v>
      </c>
      <c r="R68" s="50" t="s">
        <v>9</v>
      </c>
      <c r="S68" s="50" t="str">
        <f t="shared" si="3"/>
        <v>Estrutura Principal</v>
      </c>
      <c r="T68" s="50" t="str">
        <f t="shared" si="4"/>
        <v>Treliçados</v>
      </c>
      <c r="U68" s="50" t="str">
        <f t="shared" si="5"/>
        <v>Treliças Planas</v>
      </c>
      <c r="V68" s="50" t="s">
        <v>672</v>
      </c>
      <c r="W68" s="58" t="str">
        <f t="shared" si="102"/>
        <v>Key-MET-68</v>
      </c>
      <c r="X68" s="50" t="s">
        <v>1035</v>
      </c>
      <c r="Y68" s="50" t="s">
        <v>1036</v>
      </c>
      <c r="Z68" s="50" t="s">
        <v>9</v>
      </c>
      <c r="AA68" s="50" t="str">
        <f t="shared" si="103"/>
        <v>Truss of parallel flanges with diagonals sloping downwards towards the center.</v>
      </c>
    </row>
    <row r="69" spans="1:27" ht="6.6" customHeight="1" x14ac:dyDescent="0.25">
      <c r="A69" s="63">
        <v>69</v>
      </c>
      <c r="B69" s="45" t="s">
        <v>1076</v>
      </c>
      <c r="C69" s="40" t="s">
        <v>88</v>
      </c>
      <c r="D69" s="40" t="s">
        <v>631</v>
      </c>
      <c r="E69" s="40" t="s">
        <v>647</v>
      </c>
      <c r="F69" s="40" t="s">
        <v>641</v>
      </c>
      <c r="G69" s="64" t="s">
        <v>9</v>
      </c>
      <c r="H69" s="64" t="s">
        <v>9</v>
      </c>
      <c r="I69" s="64" t="s">
        <v>9</v>
      </c>
      <c r="J69" s="64" t="s">
        <v>9</v>
      </c>
      <c r="K69" s="64" t="s">
        <v>9</v>
      </c>
      <c r="L69" s="55" t="str">
        <f t="shared" ref="L69:L71" si="108">_xlfn.CONCAT(SUBSTITUTE(C69,"1.",""))</f>
        <v>Estrutura.Principal</v>
      </c>
      <c r="M69" s="55" t="str">
        <f t="shared" ref="M69:M71" si="109">_xlfn.CONCAT(SUBSTITUTE(D69,"."," "))</f>
        <v>Treliçados</v>
      </c>
      <c r="N69" s="55" t="str">
        <f t="shared" ref="N69:N71" si="110">_xlfn.CONCAT(SUBSTITUTE(E69,"."," "))</f>
        <v>Treliças Planas</v>
      </c>
      <c r="O69" s="55" t="str">
        <f t="shared" si="107"/>
        <v>Treliça Howe</v>
      </c>
      <c r="P69" s="55" t="s">
        <v>642</v>
      </c>
      <c r="Q69" s="55" t="s">
        <v>702</v>
      </c>
      <c r="R69" s="50" t="s">
        <v>9</v>
      </c>
      <c r="S69" s="50" t="str">
        <f t="shared" si="3"/>
        <v>Estrutura Principal</v>
      </c>
      <c r="T69" s="50" t="str">
        <f t="shared" si="4"/>
        <v>Treliçados</v>
      </c>
      <c r="U69" s="50" t="str">
        <f t="shared" si="5"/>
        <v>Treliças Planas</v>
      </c>
      <c r="V69" s="50" t="s">
        <v>672</v>
      </c>
      <c r="W69" s="58" t="str">
        <f t="shared" si="102"/>
        <v>Key-MET-69</v>
      </c>
      <c r="X69" s="50" t="s">
        <v>1035</v>
      </c>
      <c r="Y69" s="50" t="s">
        <v>1036</v>
      </c>
      <c r="Z69" s="50" t="s">
        <v>9</v>
      </c>
      <c r="AA69" s="50" t="str">
        <f t="shared" si="103"/>
        <v>Truss of parallel flanges with diagonals sloping upwards towards the center.</v>
      </c>
    </row>
    <row r="70" spans="1:27" ht="6.6" customHeight="1" x14ac:dyDescent="0.25">
      <c r="A70" s="63">
        <v>70</v>
      </c>
      <c r="B70" s="45" t="s">
        <v>1076</v>
      </c>
      <c r="C70" s="40" t="s">
        <v>88</v>
      </c>
      <c r="D70" s="40" t="s">
        <v>631</v>
      </c>
      <c r="E70" s="40" t="s">
        <v>647</v>
      </c>
      <c r="F70" s="40" t="s">
        <v>643</v>
      </c>
      <c r="G70" s="64" t="s">
        <v>9</v>
      </c>
      <c r="H70" s="64" t="s">
        <v>9</v>
      </c>
      <c r="I70" s="64" t="s">
        <v>9</v>
      </c>
      <c r="J70" s="64" t="s">
        <v>9</v>
      </c>
      <c r="K70" s="64" t="s">
        <v>9</v>
      </c>
      <c r="L70" s="55" t="str">
        <f t="shared" si="108"/>
        <v>Estrutura.Principal</v>
      </c>
      <c r="M70" s="55" t="str">
        <f t="shared" si="109"/>
        <v>Treliçados</v>
      </c>
      <c r="N70" s="55" t="str">
        <f t="shared" si="110"/>
        <v>Treliças Planas</v>
      </c>
      <c r="O70" s="55" t="str">
        <f t="shared" si="107"/>
        <v>Treliça Warren</v>
      </c>
      <c r="P70" s="55" t="s">
        <v>645</v>
      </c>
      <c r="Q70" s="55" t="s">
        <v>703</v>
      </c>
      <c r="R70" s="50" t="s">
        <v>9</v>
      </c>
      <c r="S70" s="50" t="str">
        <f t="shared" si="3"/>
        <v>Estrutura Principal</v>
      </c>
      <c r="T70" s="50" t="str">
        <f t="shared" si="4"/>
        <v>Treliçados</v>
      </c>
      <c r="U70" s="50" t="str">
        <f t="shared" si="5"/>
        <v>Treliças Planas</v>
      </c>
      <c r="V70" s="50" t="s">
        <v>672</v>
      </c>
      <c r="W70" s="58" t="str">
        <f t="shared" si="102"/>
        <v>Key-MET-70</v>
      </c>
      <c r="X70" s="50" t="s">
        <v>1035</v>
      </c>
      <c r="Y70" s="50" t="s">
        <v>1036</v>
      </c>
      <c r="Z70" s="50" t="s">
        <v>9</v>
      </c>
      <c r="AA70" s="50" t="str">
        <f t="shared" si="103"/>
        <v>Lattice of parallel flanges with diagonals forming equilateral or isosceles triangles.</v>
      </c>
    </row>
    <row r="71" spans="1:27" ht="6.6" customHeight="1" x14ac:dyDescent="0.25">
      <c r="A71" s="63">
        <v>71</v>
      </c>
      <c r="B71" s="45" t="s">
        <v>1076</v>
      </c>
      <c r="C71" s="40" t="s">
        <v>88</v>
      </c>
      <c r="D71" s="40" t="s">
        <v>631</v>
      </c>
      <c r="E71" s="40" t="s">
        <v>647</v>
      </c>
      <c r="F71" s="40" t="s">
        <v>646</v>
      </c>
      <c r="G71" s="64" t="s">
        <v>9</v>
      </c>
      <c r="H71" s="64" t="s">
        <v>9</v>
      </c>
      <c r="I71" s="64" t="s">
        <v>9</v>
      </c>
      <c r="J71" s="64" t="s">
        <v>9</v>
      </c>
      <c r="K71" s="64" t="s">
        <v>9</v>
      </c>
      <c r="L71" s="55" t="str">
        <f t="shared" si="108"/>
        <v>Estrutura.Principal</v>
      </c>
      <c r="M71" s="55" t="str">
        <f t="shared" si="109"/>
        <v>Treliçados</v>
      </c>
      <c r="N71" s="55" t="str">
        <f t="shared" si="110"/>
        <v>Treliças Planas</v>
      </c>
      <c r="O71" s="55" t="str">
        <f t="shared" si="107"/>
        <v>Treliça Fink</v>
      </c>
      <c r="P71" s="55" t="s">
        <v>648</v>
      </c>
      <c r="Q71" s="55" t="s">
        <v>704</v>
      </c>
      <c r="R71" s="50" t="s">
        <v>9</v>
      </c>
      <c r="S71" s="50" t="str">
        <f t="shared" si="3"/>
        <v>Estrutura Principal</v>
      </c>
      <c r="T71" s="50" t="str">
        <f t="shared" si="4"/>
        <v>Treliçados</v>
      </c>
      <c r="U71" s="50" t="str">
        <f t="shared" si="5"/>
        <v>Treliças Planas</v>
      </c>
      <c r="V71" s="50" t="s">
        <v>672</v>
      </c>
      <c r="W71" s="58" t="str">
        <f t="shared" si="102"/>
        <v>Key-MET-71</v>
      </c>
      <c r="X71" s="50" t="s">
        <v>1035</v>
      </c>
      <c r="Y71" s="50" t="s">
        <v>1036</v>
      </c>
      <c r="Z71" s="50" t="s">
        <v>9</v>
      </c>
      <c r="AA71" s="50" t="str">
        <f t="shared" si="103"/>
        <v>Truss with sloping flanges with W or M diagonals.</v>
      </c>
    </row>
    <row r="72" spans="1:27" ht="6.6" customHeight="1" x14ac:dyDescent="0.25">
      <c r="A72" s="63">
        <v>72</v>
      </c>
      <c r="B72" s="45" t="s">
        <v>1076</v>
      </c>
      <c r="C72" s="40" t="s">
        <v>88</v>
      </c>
      <c r="D72" s="40" t="s">
        <v>631</v>
      </c>
      <c r="E72" s="40" t="s">
        <v>647</v>
      </c>
      <c r="F72" s="40" t="s">
        <v>644</v>
      </c>
      <c r="G72" s="64" t="s">
        <v>9</v>
      </c>
      <c r="H72" s="64" t="s">
        <v>9</v>
      </c>
      <c r="I72" s="64" t="s">
        <v>9</v>
      </c>
      <c r="J72" s="64" t="s">
        <v>9</v>
      </c>
      <c r="K72" s="64" t="s">
        <v>9</v>
      </c>
      <c r="L72" s="55" t="str">
        <f t="shared" si="104"/>
        <v>Estrutura.Principal</v>
      </c>
      <c r="M72" s="55" t="str">
        <f t="shared" si="105"/>
        <v>Treliçados</v>
      </c>
      <c r="N72" s="55" t="str">
        <f t="shared" si="106"/>
        <v>Treliças Planas</v>
      </c>
      <c r="O72" s="55" t="str">
        <f t="shared" ref="O72" si="111">_xlfn.CONCAT(SUBSTITUTE(F72,"."," "))</f>
        <v>Treliça Vierendeel</v>
      </c>
      <c r="P72" s="55" t="s">
        <v>649</v>
      </c>
      <c r="Q72" s="55" t="s">
        <v>705</v>
      </c>
      <c r="R72" s="50" t="s">
        <v>9</v>
      </c>
      <c r="S72" s="50" t="str">
        <f t="shared" si="3"/>
        <v>Estrutura Principal</v>
      </c>
      <c r="T72" s="50" t="str">
        <f t="shared" si="4"/>
        <v>Treliçados</v>
      </c>
      <c r="U72" s="50" t="str">
        <f t="shared" si="5"/>
        <v>Treliças Planas</v>
      </c>
      <c r="V72" s="50" t="s">
        <v>672</v>
      </c>
      <c r="W72" s="58" t="str">
        <f t="shared" si="102"/>
        <v>Key-MET-72</v>
      </c>
      <c r="X72" s="50" t="s">
        <v>1035</v>
      </c>
      <c r="Y72" s="50" t="s">
        <v>1036</v>
      </c>
      <c r="Z72" s="50" t="s">
        <v>9</v>
      </c>
      <c r="AA72" s="50" t="str">
        <f t="shared" si="103"/>
        <v>Truss with greater height and no diagonals. Formed by rigid rectacles or squares.</v>
      </c>
    </row>
    <row r="73" spans="1:27" ht="6.6" customHeight="1" x14ac:dyDescent="0.25">
      <c r="A73" s="63">
        <v>73</v>
      </c>
      <c r="B73" s="45" t="s">
        <v>1076</v>
      </c>
      <c r="C73" s="40" t="s">
        <v>88</v>
      </c>
      <c r="D73" s="40" t="s">
        <v>631</v>
      </c>
      <c r="E73" s="40" t="s">
        <v>647</v>
      </c>
      <c r="F73" s="40" t="s">
        <v>638</v>
      </c>
      <c r="G73" s="64" t="s">
        <v>9</v>
      </c>
      <c r="H73" s="64" t="s">
        <v>9</v>
      </c>
      <c r="I73" s="64" t="s">
        <v>9</v>
      </c>
      <c r="J73" s="64" t="s">
        <v>9</v>
      </c>
      <c r="K73" s="64" t="s">
        <v>9</v>
      </c>
      <c r="L73" s="55" t="str">
        <f t="shared" si="58"/>
        <v>Estrutura.Principal</v>
      </c>
      <c r="M73" s="55" t="str">
        <f t="shared" si="59"/>
        <v>Treliçados</v>
      </c>
      <c r="N73" s="55" t="str">
        <f t="shared" si="60"/>
        <v>Treliças Planas</v>
      </c>
      <c r="O73" s="55" t="str">
        <f t="shared" si="61"/>
        <v>Tesoura</v>
      </c>
      <c r="P73" s="55" t="s">
        <v>650</v>
      </c>
      <c r="Q73" s="55" t="s">
        <v>706</v>
      </c>
      <c r="R73" s="50" t="s">
        <v>9</v>
      </c>
      <c r="S73" s="50" t="str">
        <f t="shared" si="3"/>
        <v>Estrutura Principal</v>
      </c>
      <c r="T73" s="50" t="str">
        <f t="shared" si="4"/>
        <v>Treliçados</v>
      </c>
      <c r="U73" s="50" t="str">
        <f t="shared" si="5"/>
        <v>Treliças Planas</v>
      </c>
      <c r="V73" s="50" t="s">
        <v>672</v>
      </c>
      <c r="W73" s="58" t="str">
        <f t="shared" si="102"/>
        <v>Key-MET-73</v>
      </c>
      <c r="X73" s="50" t="s">
        <v>1035</v>
      </c>
      <c r="Y73" s="50" t="s">
        <v>1036</v>
      </c>
      <c r="Z73" s="50" t="s">
        <v>9</v>
      </c>
      <c r="AA73" s="50" t="str">
        <f t="shared" si="103"/>
        <v>Flat truss of sloping flanges for residential roofs.</v>
      </c>
    </row>
    <row r="74" spans="1:27" ht="6.6" customHeight="1" x14ac:dyDescent="0.25">
      <c r="A74" s="63">
        <v>74</v>
      </c>
      <c r="B74" s="45" t="s">
        <v>1076</v>
      </c>
      <c r="C74" s="40" t="s">
        <v>88</v>
      </c>
      <c r="D74" s="40" t="s">
        <v>631</v>
      </c>
      <c r="E74" s="40" t="s">
        <v>647</v>
      </c>
      <c r="F74" s="40" t="s">
        <v>601</v>
      </c>
      <c r="G74" s="64" t="s">
        <v>9</v>
      </c>
      <c r="H74" s="64" t="s">
        <v>9</v>
      </c>
      <c r="I74" s="64" t="s">
        <v>9</v>
      </c>
      <c r="J74" s="64" t="s">
        <v>9</v>
      </c>
      <c r="K74" s="64" t="s">
        <v>9</v>
      </c>
      <c r="L74" s="55" t="str">
        <f t="shared" ref="L74:L80" si="112">_xlfn.CONCAT(SUBSTITUTE(C74,"1.",""))</f>
        <v>Estrutura.Principal</v>
      </c>
      <c r="M74" s="55" t="str">
        <f t="shared" si="46"/>
        <v>Treliçados</v>
      </c>
      <c r="N74" s="55" t="str">
        <f t="shared" si="47"/>
        <v>Treliças Planas</v>
      </c>
      <c r="O74" s="55" t="str">
        <f t="shared" ref="O74:O80" si="113">_xlfn.CONCAT(SUBSTITUTE(F74,"."," "))</f>
        <v>Treliça Ponte</v>
      </c>
      <c r="P74" s="55" t="s">
        <v>656</v>
      </c>
      <c r="Q74" s="55" t="s">
        <v>707</v>
      </c>
      <c r="R74" s="50" t="s">
        <v>9</v>
      </c>
      <c r="S74" s="50" t="str">
        <f t="shared" si="3"/>
        <v>Estrutura Principal</v>
      </c>
      <c r="T74" s="50" t="str">
        <f t="shared" si="4"/>
        <v>Treliçados</v>
      </c>
      <c r="U74" s="50" t="str">
        <f t="shared" si="5"/>
        <v>Treliças Planas</v>
      </c>
      <c r="V74" s="50" t="s">
        <v>672</v>
      </c>
      <c r="W74" s="58" t="str">
        <f t="shared" si="102"/>
        <v>Key-MET-74</v>
      </c>
      <c r="X74" s="50" t="s">
        <v>1035</v>
      </c>
      <c r="Y74" s="50" t="s">
        <v>1036</v>
      </c>
      <c r="Z74" s="50" t="s">
        <v>9</v>
      </c>
      <c r="AA74" s="50" t="str">
        <f t="shared" si="103"/>
        <v>Flat truss with parallel flanges for bridges.</v>
      </c>
    </row>
    <row r="75" spans="1:27" ht="6.6" customHeight="1" x14ac:dyDescent="0.25">
      <c r="A75" s="63">
        <v>75</v>
      </c>
      <c r="B75" s="45" t="s">
        <v>1076</v>
      </c>
      <c r="C75" s="40" t="s">
        <v>88</v>
      </c>
      <c r="D75" s="40" t="s">
        <v>631</v>
      </c>
      <c r="E75" s="40" t="s">
        <v>686</v>
      </c>
      <c r="F75" s="40" t="s">
        <v>677</v>
      </c>
      <c r="G75" s="64" t="s">
        <v>9</v>
      </c>
      <c r="H75" s="64" t="s">
        <v>9</v>
      </c>
      <c r="I75" s="64" t="s">
        <v>9</v>
      </c>
      <c r="J75" s="64" t="s">
        <v>9</v>
      </c>
      <c r="K75" s="64" t="s">
        <v>9</v>
      </c>
      <c r="L75" s="55" t="str">
        <f t="shared" ref="L75:L79" si="114">_xlfn.CONCAT(SUBSTITUTE(C75,"1.",""))</f>
        <v>Estrutura.Principal</v>
      </c>
      <c r="M75" s="55" t="str">
        <f t="shared" ref="M75:M79" si="115">_xlfn.CONCAT(SUBSTITUTE(D75,"."," "))</f>
        <v>Treliçados</v>
      </c>
      <c r="N75" s="55" t="str">
        <f t="shared" ref="N75:N79" si="116">_xlfn.CONCAT(SUBSTITUTE(E75,"."," "))</f>
        <v>Treliças Espaciais</v>
      </c>
      <c r="O75" s="55" t="str">
        <f t="shared" ref="O75:O79" si="117">_xlfn.CONCAT(SUBSTITUTE(F75,"."," "))</f>
        <v>Treliça Espacial Reticulada</v>
      </c>
      <c r="P75" s="55" t="s">
        <v>680</v>
      </c>
      <c r="Q75" s="55" t="s">
        <v>708</v>
      </c>
      <c r="R75" s="50" t="s">
        <v>9</v>
      </c>
      <c r="S75" s="50" t="str">
        <f t="shared" si="3"/>
        <v>Estrutura Principal</v>
      </c>
      <c r="T75" s="50" t="str">
        <f t="shared" si="4"/>
        <v>Treliçados</v>
      </c>
      <c r="U75" s="50" t="str">
        <f t="shared" si="5"/>
        <v>Treliças Espaciais</v>
      </c>
      <c r="V75" s="50" t="s">
        <v>672</v>
      </c>
      <c r="W75" s="58" t="str">
        <f t="shared" si="102"/>
        <v>Key-MET-75</v>
      </c>
      <c r="X75" s="50" t="s">
        <v>1035</v>
      </c>
      <c r="Y75" s="50" t="s">
        <v>1036</v>
      </c>
      <c r="Z75" s="50" t="s">
        <v>9</v>
      </c>
      <c r="AA75" s="50" t="str">
        <f t="shared" si="103"/>
        <v>Spatial truss formed by two or more layers of equal bars arranged in a square or rectangular mesh.</v>
      </c>
    </row>
    <row r="76" spans="1:27" ht="6.6" customHeight="1" x14ac:dyDescent="0.25">
      <c r="A76" s="63">
        <v>76</v>
      </c>
      <c r="B76" s="45" t="s">
        <v>1076</v>
      </c>
      <c r="C76" s="40" t="s">
        <v>88</v>
      </c>
      <c r="D76" s="40" t="s">
        <v>631</v>
      </c>
      <c r="E76" s="40" t="s">
        <v>686</v>
      </c>
      <c r="F76" s="40" t="s">
        <v>678</v>
      </c>
      <c r="G76" s="64" t="s">
        <v>9</v>
      </c>
      <c r="H76" s="64" t="s">
        <v>9</v>
      </c>
      <c r="I76" s="64" t="s">
        <v>9</v>
      </c>
      <c r="J76" s="64" t="s">
        <v>9</v>
      </c>
      <c r="K76" s="64" t="s">
        <v>9</v>
      </c>
      <c r="L76" s="55" t="str">
        <f t="shared" ref="L76" si="118">_xlfn.CONCAT(SUBSTITUTE(C76,"1.",""))</f>
        <v>Estrutura.Principal</v>
      </c>
      <c r="M76" s="55" t="str">
        <f t="shared" ref="M76" si="119">_xlfn.CONCAT(SUBSTITUTE(D76,"."," "))</f>
        <v>Treliçados</v>
      </c>
      <c r="N76" s="55" t="str">
        <f t="shared" ref="N76" si="120">_xlfn.CONCAT(SUBSTITUTE(E76,"."," "))</f>
        <v>Treliças Espaciais</v>
      </c>
      <c r="O76" s="55" t="str">
        <f t="shared" ref="O76" si="121">_xlfn.CONCAT(SUBSTITUTE(F76,"."," "))</f>
        <v>Treliça Espacial Geodésica</v>
      </c>
      <c r="P76" s="55" t="s">
        <v>685</v>
      </c>
      <c r="Q76" s="55" t="s">
        <v>709</v>
      </c>
      <c r="R76" s="50" t="s">
        <v>9</v>
      </c>
      <c r="S76" s="50" t="str">
        <f t="shared" ref="S76:S123" si="122">SUBSTITUTE(C76, ".", " ")</f>
        <v>Estrutura Principal</v>
      </c>
      <c r="T76" s="50" t="str">
        <f t="shared" ref="T76:T123" si="123">SUBSTITUTE(D76, ".", " ")</f>
        <v>Treliçados</v>
      </c>
      <c r="U76" s="50" t="str">
        <f t="shared" ref="U76:U123" si="124">SUBSTITUTE(E76, ".", " ")</f>
        <v>Treliças Espaciais</v>
      </c>
      <c r="V76" s="50" t="s">
        <v>672</v>
      </c>
      <c r="W76" s="58" t="str">
        <f t="shared" si="102"/>
        <v>Key-MET-76</v>
      </c>
      <c r="X76" s="50" t="s">
        <v>1035</v>
      </c>
      <c r="Y76" s="50" t="s">
        <v>1036</v>
      </c>
      <c r="Z76" s="50" t="s">
        <v>9</v>
      </c>
      <c r="AA76" s="50" t="str">
        <f t="shared" si="103"/>
        <v>Spatial truss formed as a geodesic dome of equilateral or near-equilateral triangles.</v>
      </c>
    </row>
    <row r="77" spans="1:27" ht="6.6" customHeight="1" x14ac:dyDescent="0.25">
      <c r="A77" s="63">
        <v>77</v>
      </c>
      <c r="B77" s="45" t="s">
        <v>1076</v>
      </c>
      <c r="C77" s="40" t="s">
        <v>88</v>
      </c>
      <c r="D77" s="40" t="s">
        <v>631</v>
      </c>
      <c r="E77" s="40" t="s">
        <v>686</v>
      </c>
      <c r="F77" s="40" t="s">
        <v>687</v>
      </c>
      <c r="G77" s="64" t="s">
        <v>9</v>
      </c>
      <c r="H77" s="64" t="s">
        <v>9</v>
      </c>
      <c r="I77" s="64" t="s">
        <v>9</v>
      </c>
      <c r="J77" s="64" t="s">
        <v>9</v>
      </c>
      <c r="K77" s="64" t="s">
        <v>9</v>
      </c>
      <c r="L77" s="55" t="str">
        <f t="shared" si="114"/>
        <v>Estrutura.Principal</v>
      </c>
      <c r="M77" s="55" t="str">
        <f t="shared" si="115"/>
        <v>Treliçados</v>
      </c>
      <c r="N77" s="55" t="str">
        <f t="shared" si="116"/>
        <v>Treliças Espaciais</v>
      </c>
      <c r="O77" s="55" t="str">
        <f t="shared" si="117"/>
        <v>Treliça Espacial Arqueada</v>
      </c>
      <c r="P77" s="55" t="s">
        <v>688</v>
      </c>
      <c r="Q77" s="55" t="s">
        <v>710</v>
      </c>
      <c r="R77" s="50" t="s">
        <v>9</v>
      </c>
      <c r="S77" s="50" t="str">
        <f t="shared" si="122"/>
        <v>Estrutura Principal</v>
      </c>
      <c r="T77" s="50" t="str">
        <f t="shared" si="123"/>
        <v>Treliçados</v>
      </c>
      <c r="U77" s="50" t="str">
        <f t="shared" si="124"/>
        <v>Treliças Espaciais</v>
      </c>
      <c r="V77" s="50" t="s">
        <v>672</v>
      </c>
      <c r="W77" s="58" t="str">
        <f t="shared" si="102"/>
        <v>Key-MET-77</v>
      </c>
      <c r="X77" s="50" t="s">
        <v>1035</v>
      </c>
      <c r="Y77" s="50" t="s">
        <v>1036</v>
      </c>
      <c r="Z77" s="50" t="s">
        <v>9</v>
      </c>
      <c r="AA77" s="50" t="str">
        <f t="shared" si="103"/>
        <v>Spatial truss formed as a vault or curvatures of equilateral or near-equilateral tricculles.</v>
      </c>
    </row>
    <row r="78" spans="1:27" ht="6.6" customHeight="1" x14ac:dyDescent="0.25">
      <c r="A78" s="63">
        <v>78</v>
      </c>
      <c r="B78" s="45" t="s">
        <v>1076</v>
      </c>
      <c r="C78" s="40" t="s">
        <v>88</v>
      </c>
      <c r="D78" s="40" t="s">
        <v>631</v>
      </c>
      <c r="E78" s="40" t="s">
        <v>686</v>
      </c>
      <c r="F78" s="40" t="s">
        <v>679</v>
      </c>
      <c r="G78" s="64" t="s">
        <v>9</v>
      </c>
      <c r="H78" s="64" t="s">
        <v>9</v>
      </c>
      <c r="I78" s="64" t="s">
        <v>9</v>
      </c>
      <c r="J78" s="64" t="s">
        <v>9</v>
      </c>
      <c r="K78" s="64" t="s">
        <v>9</v>
      </c>
      <c r="L78" s="55" t="str">
        <f t="shared" si="114"/>
        <v>Estrutura.Principal</v>
      </c>
      <c r="M78" s="55" t="str">
        <f t="shared" si="115"/>
        <v>Treliçados</v>
      </c>
      <c r="N78" s="55" t="str">
        <f t="shared" si="116"/>
        <v>Treliças Espaciais</v>
      </c>
      <c r="O78" s="55" t="str">
        <f t="shared" si="117"/>
        <v>Treliça Espacial Piramidal</v>
      </c>
      <c r="P78" s="55" t="s">
        <v>684</v>
      </c>
      <c r="Q78" s="55" t="s">
        <v>711</v>
      </c>
      <c r="R78" s="50" t="s">
        <v>9</v>
      </c>
      <c r="S78" s="50" t="str">
        <f t="shared" si="122"/>
        <v>Estrutura Principal</v>
      </c>
      <c r="T78" s="50" t="str">
        <f t="shared" si="123"/>
        <v>Treliçados</v>
      </c>
      <c r="U78" s="50" t="str">
        <f t="shared" si="124"/>
        <v>Treliças Espaciais</v>
      </c>
      <c r="V78" s="50" t="s">
        <v>672</v>
      </c>
      <c r="W78" s="58" t="str">
        <f t="shared" si="102"/>
        <v>Key-MET-78</v>
      </c>
      <c r="X78" s="50" t="s">
        <v>1035</v>
      </c>
      <c r="Y78" s="50" t="s">
        <v>1036</v>
      </c>
      <c r="Z78" s="50" t="s">
        <v>9</v>
      </c>
      <c r="AA78" s="50" t="str">
        <f t="shared" si="103"/>
        <v>Spatial truss formed by pyramidal spatial modules of equal bars.</v>
      </c>
    </row>
    <row r="79" spans="1:27" ht="6.6" customHeight="1" x14ac:dyDescent="0.25">
      <c r="A79" s="63">
        <v>79</v>
      </c>
      <c r="B79" s="45" t="s">
        <v>1076</v>
      </c>
      <c r="C79" s="40" t="s">
        <v>88</v>
      </c>
      <c r="D79" s="40" t="s">
        <v>631</v>
      </c>
      <c r="E79" s="40" t="s">
        <v>686</v>
      </c>
      <c r="F79" s="40" t="s">
        <v>681</v>
      </c>
      <c r="G79" s="64" t="s">
        <v>9</v>
      </c>
      <c r="H79" s="64" t="s">
        <v>9</v>
      </c>
      <c r="I79" s="64" t="s">
        <v>9</v>
      </c>
      <c r="J79" s="64" t="s">
        <v>9</v>
      </c>
      <c r="K79" s="64" t="s">
        <v>9</v>
      </c>
      <c r="L79" s="55" t="str">
        <f t="shared" si="114"/>
        <v>Estrutura.Principal</v>
      </c>
      <c r="M79" s="55" t="str">
        <f t="shared" si="115"/>
        <v>Treliçados</v>
      </c>
      <c r="N79" s="55" t="str">
        <f t="shared" si="116"/>
        <v>Treliças Espaciais</v>
      </c>
      <c r="O79" s="55" t="str">
        <f t="shared" si="117"/>
        <v>Treliça Espacial Octaédrica</v>
      </c>
      <c r="P79" s="55" t="s">
        <v>683</v>
      </c>
      <c r="Q79" s="55" t="s">
        <v>712</v>
      </c>
      <c r="R79" s="50" t="s">
        <v>9</v>
      </c>
      <c r="S79" s="50" t="str">
        <f t="shared" si="122"/>
        <v>Estrutura Principal</v>
      </c>
      <c r="T79" s="50" t="str">
        <f t="shared" si="123"/>
        <v>Treliçados</v>
      </c>
      <c r="U79" s="50" t="str">
        <f t="shared" si="124"/>
        <v>Treliças Espaciais</v>
      </c>
      <c r="V79" s="50" t="s">
        <v>672</v>
      </c>
      <c r="W79" s="58" t="str">
        <f t="shared" si="102"/>
        <v>Key-MET-79</v>
      </c>
      <c r="X79" s="50" t="s">
        <v>1035</v>
      </c>
      <c r="Y79" s="50" t="s">
        <v>1036</v>
      </c>
      <c r="Z79" s="50" t="s">
        <v>9</v>
      </c>
      <c r="AA79" s="50" t="str">
        <f t="shared" si="103"/>
        <v>Spatial truss formed by spatial modules of octahedra of equal bars.</v>
      </c>
    </row>
    <row r="80" spans="1:27" ht="6.6" customHeight="1" x14ac:dyDescent="0.25">
      <c r="A80" s="63">
        <v>80</v>
      </c>
      <c r="B80" s="45" t="s">
        <v>1076</v>
      </c>
      <c r="C80" s="40" t="s">
        <v>88</v>
      </c>
      <c r="D80" s="40" t="s">
        <v>631</v>
      </c>
      <c r="E80" s="40" t="s">
        <v>686</v>
      </c>
      <c r="F80" s="40" t="s">
        <v>689</v>
      </c>
      <c r="G80" s="64" t="s">
        <v>9</v>
      </c>
      <c r="H80" s="64" t="s">
        <v>9</v>
      </c>
      <c r="I80" s="64" t="s">
        <v>9</v>
      </c>
      <c r="J80" s="64" t="s">
        <v>9</v>
      </c>
      <c r="K80" s="64" t="s">
        <v>9</v>
      </c>
      <c r="L80" s="55" t="str">
        <f t="shared" si="112"/>
        <v>Estrutura.Principal</v>
      </c>
      <c r="M80" s="55" t="str">
        <f t="shared" si="46"/>
        <v>Treliçados</v>
      </c>
      <c r="N80" s="55" t="str">
        <f t="shared" si="47"/>
        <v>Treliças Espaciais</v>
      </c>
      <c r="O80" s="55" t="str">
        <f t="shared" si="113"/>
        <v>Treliça Espacial Híbrida</v>
      </c>
      <c r="P80" s="55" t="s">
        <v>682</v>
      </c>
      <c r="Q80" s="55" t="s">
        <v>713</v>
      </c>
      <c r="R80" s="50" t="s">
        <v>9</v>
      </c>
      <c r="S80" s="50" t="str">
        <f t="shared" si="122"/>
        <v>Estrutura Principal</v>
      </c>
      <c r="T80" s="50" t="str">
        <f t="shared" si="123"/>
        <v>Treliçados</v>
      </c>
      <c r="U80" s="50" t="str">
        <f t="shared" si="124"/>
        <v>Treliças Espaciais</v>
      </c>
      <c r="V80" s="50" t="s">
        <v>672</v>
      </c>
      <c r="W80" s="58" t="str">
        <f t="shared" si="102"/>
        <v>Key-MET-80</v>
      </c>
      <c r="X80" s="50" t="s">
        <v>1035</v>
      </c>
      <c r="Y80" s="50" t="s">
        <v>1036</v>
      </c>
      <c r="Z80" s="50" t="s">
        <v>9</v>
      </c>
      <c r="AA80" s="50" t="str">
        <f t="shared" si="103"/>
        <v>Truss of space modules of mixed formation of equal bars.</v>
      </c>
    </row>
    <row r="81" spans="1:27" ht="6.6" customHeight="1" x14ac:dyDescent="0.25">
      <c r="A81" s="63">
        <v>81</v>
      </c>
      <c r="B81" s="45" t="s">
        <v>1076</v>
      </c>
      <c r="C81" s="40" t="s">
        <v>88</v>
      </c>
      <c r="D81" s="40" t="s">
        <v>586</v>
      </c>
      <c r="E81" s="40" t="s">
        <v>951</v>
      </c>
      <c r="F81" s="40" t="s">
        <v>676</v>
      </c>
      <c r="G81" s="64" t="s">
        <v>9</v>
      </c>
      <c r="H81" s="64" t="s">
        <v>9</v>
      </c>
      <c r="I81" s="64" t="s">
        <v>9</v>
      </c>
      <c r="J81" s="64" t="s">
        <v>9</v>
      </c>
      <c r="K81" s="64" t="s">
        <v>9</v>
      </c>
      <c r="L81" s="55" t="str">
        <f t="shared" si="42"/>
        <v>Estrutura.Principal</v>
      </c>
      <c r="M81" s="55" t="str">
        <f t="shared" ref="M81:M98" si="125">_xlfn.CONCAT(SUBSTITUTE(D81,"."," "))</f>
        <v>Tensionadas</v>
      </c>
      <c r="N81" s="55" t="str">
        <f t="shared" ref="N81:N98" si="126">_xlfn.CONCAT(SUBSTITUTE(E81,"."," "))</f>
        <v>Ancoras</v>
      </c>
      <c r="O81" s="55" t="str">
        <f t="shared" ref="O81:O115" si="127">_xlfn.CONCAT(SUBSTITUTE(F81,"."," "))</f>
        <v>Ancora Estrutural</v>
      </c>
      <c r="P81" s="55" t="s">
        <v>583</v>
      </c>
      <c r="Q81" s="55" t="s">
        <v>714</v>
      </c>
      <c r="R81" s="50" t="s">
        <v>9</v>
      </c>
      <c r="S81" s="50" t="str">
        <f t="shared" si="122"/>
        <v>Estrutura Principal</v>
      </c>
      <c r="T81" s="50" t="str">
        <f t="shared" si="123"/>
        <v>Tensionadas</v>
      </c>
      <c r="U81" s="50" t="str">
        <f t="shared" si="124"/>
        <v>Ancoras</v>
      </c>
      <c r="V81" s="50" t="s">
        <v>672</v>
      </c>
      <c r="W81" s="58" t="str">
        <f t="shared" si="102"/>
        <v>Key-MET-81</v>
      </c>
      <c r="X81" s="50" t="s">
        <v>1037</v>
      </c>
      <c r="Y81" s="50" t="s">
        <v>1038</v>
      </c>
      <c r="Z81" s="50" t="s">
        <v>9</v>
      </c>
      <c r="AA81" s="50" t="str">
        <f t="shared" si="103"/>
        <v>Anchoring element</v>
      </c>
    </row>
    <row r="82" spans="1:27" ht="6.6" customHeight="1" x14ac:dyDescent="0.25">
      <c r="A82" s="63">
        <v>82</v>
      </c>
      <c r="B82" s="45" t="s">
        <v>1076</v>
      </c>
      <c r="C82" s="40" t="s">
        <v>88</v>
      </c>
      <c r="D82" s="40" t="s">
        <v>586</v>
      </c>
      <c r="E82" s="40" t="s">
        <v>951</v>
      </c>
      <c r="F82" s="40" t="s">
        <v>675</v>
      </c>
      <c r="G82" s="64" t="s">
        <v>9</v>
      </c>
      <c r="H82" s="64" t="s">
        <v>9</v>
      </c>
      <c r="I82" s="64" t="s">
        <v>9</v>
      </c>
      <c r="J82" s="64" t="s">
        <v>9</v>
      </c>
      <c r="K82" s="64" t="s">
        <v>9</v>
      </c>
      <c r="L82" s="55" t="str">
        <f t="shared" ref="L82:L97" si="128">_xlfn.CONCAT(SUBSTITUTE(C82,"1.",""))</f>
        <v>Estrutura.Principal</v>
      </c>
      <c r="M82" s="55" t="str">
        <f t="shared" ref="M82:M97" si="129">_xlfn.CONCAT(SUBSTITUTE(D82,"."," "))</f>
        <v>Tensionadas</v>
      </c>
      <c r="N82" s="55" t="str">
        <f t="shared" ref="N82:N97" si="130">_xlfn.CONCAT(SUBSTITUTE(E82,"."," "))</f>
        <v>Ancoras</v>
      </c>
      <c r="O82" s="55" t="str">
        <f t="shared" si="127"/>
        <v>Conector Estrutural</v>
      </c>
      <c r="P82" s="55" t="s">
        <v>584</v>
      </c>
      <c r="Q82" s="55" t="s">
        <v>715</v>
      </c>
      <c r="R82" s="50" t="s">
        <v>9</v>
      </c>
      <c r="S82" s="50" t="str">
        <f t="shared" si="122"/>
        <v>Estrutura Principal</v>
      </c>
      <c r="T82" s="50" t="str">
        <f t="shared" si="123"/>
        <v>Tensionadas</v>
      </c>
      <c r="U82" s="50" t="str">
        <f t="shared" si="124"/>
        <v>Ancoras</v>
      </c>
      <c r="V82" s="50" t="s">
        <v>672</v>
      </c>
      <c r="W82" s="58" t="str">
        <f t="shared" si="102"/>
        <v>Key-MET-82</v>
      </c>
      <c r="X82" s="50" t="s">
        <v>1037</v>
      </c>
      <c r="Y82" s="50" t="s">
        <v>1038</v>
      </c>
      <c r="Z82" s="50" t="s">
        <v>9</v>
      </c>
      <c r="AA82" s="50" t="str">
        <f t="shared" si="103"/>
        <v>Connector element</v>
      </c>
    </row>
    <row r="83" spans="1:27" ht="6.6" customHeight="1" x14ac:dyDescent="0.25">
      <c r="A83" s="63">
        <v>83</v>
      </c>
      <c r="B83" s="45" t="s">
        <v>1076</v>
      </c>
      <c r="C83" s="40" t="s">
        <v>88</v>
      </c>
      <c r="D83" s="40" t="s">
        <v>586</v>
      </c>
      <c r="E83" s="40" t="s">
        <v>951</v>
      </c>
      <c r="F83" s="48" t="s">
        <v>603</v>
      </c>
      <c r="G83" s="64" t="s">
        <v>9</v>
      </c>
      <c r="H83" s="64" t="s">
        <v>9</v>
      </c>
      <c r="I83" s="64" t="s">
        <v>9</v>
      </c>
      <c r="J83" s="64" t="s">
        <v>9</v>
      </c>
      <c r="K83" s="64" t="s">
        <v>9</v>
      </c>
      <c r="L83" s="55" t="str">
        <f t="shared" si="128"/>
        <v>Estrutura.Principal</v>
      </c>
      <c r="M83" s="55" t="str">
        <f t="shared" si="129"/>
        <v>Tensionadas</v>
      </c>
      <c r="N83" s="55" t="str">
        <f t="shared" si="130"/>
        <v>Ancoras</v>
      </c>
      <c r="O83" s="55" t="str">
        <f t="shared" si="127"/>
        <v>Ancoragem de Estai</v>
      </c>
      <c r="P83" s="55" t="s">
        <v>894</v>
      </c>
      <c r="Q83" s="55" t="s">
        <v>934</v>
      </c>
      <c r="R83" s="50" t="s">
        <v>9</v>
      </c>
      <c r="S83" s="50" t="str">
        <f t="shared" si="122"/>
        <v>Estrutura Principal</v>
      </c>
      <c r="T83" s="50" t="str">
        <f t="shared" si="123"/>
        <v>Tensionadas</v>
      </c>
      <c r="U83" s="50" t="str">
        <f t="shared" si="124"/>
        <v>Ancoras</v>
      </c>
      <c r="V83" s="50" t="s">
        <v>672</v>
      </c>
      <c r="W83" s="58" t="str">
        <f t="shared" si="102"/>
        <v>Key-MET-83</v>
      </c>
      <c r="X83" s="50" t="s">
        <v>1034</v>
      </c>
      <c r="Y83" s="56" t="s">
        <v>1039</v>
      </c>
      <c r="Z83" s="50" t="s">
        <v>9</v>
      </c>
      <c r="AA83" s="50" t="str">
        <f t="shared" si="103"/>
        <v>Estai Anchoring</v>
      </c>
    </row>
    <row r="84" spans="1:27" ht="6.6" customHeight="1" x14ac:dyDescent="0.25">
      <c r="A84" s="63">
        <v>84</v>
      </c>
      <c r="B84" s="45" t="s">
        <v>1076</v>
      </c>
      <c r="C84" s="40" t="s">
        <v>88</v>
      </c>
      <c r="D84" s="40" t="s">
        <v>586</v>
      </c>
      <c r="E84" s="40" t="s">
        <v>951</v>
      </c>
      <c r="F84" s="48" t="s">
        <v>604</v>
      </c>
      <c r="G84" s="64" t="s">
        <v>9</v>
      </c>
      <c r="H84" s="64" t="s">
        <v>9</v>
      </c>
      <c r="I84" s="64" t="s">
        <v>9</v>
      </c>
      <c r="J84" s="64" t="s">
        <v>9</v>
      </c>
      <c r="K84" s="64" t="s">
        <v>9</v>
      </c>
      <c r="L84" s="55" t="str">
        <f t="shared" si="128"/>
        <v>Estrutura.Principal</v>
      </c>
      <c r="M84" s="55" t="str">
        <f t="shared" si="129"/>
        <v>Tensionadas</v>
      </c>
      <c r="N84" s="55" t="str">
        <f t="shared" si="130"/>
        <v>Ancoras</v>
      </c>
      <c r="O84" s="55" t="str">
        <f t="shared" si="127"/>
        <v>Ancoragem Acoplador</v>
      </c>
      <c r="P84" s="55" t="s">
        <v>895</v>
      </c>
      <c r="Q84" s="55" t="s">
        <v>912</v>
      </c>
      <c r="R84" s="50" t="s">
        <v>9</v>
      </c>
      <c r="S84" s="50" t="str">
        <f t="shared" si="122"/>
        <v>Estrutura Principal</v>
      </c>
      <c r="T84" s="50" t="str">
        <f t="shared" si="123"/>
        <v>Tensionadas</v>
      </c>
      <c r="U84" s="50" t="str">
        <f t="shared" si="124"/>
        <v>Ancoras</v>
      </c>
      <c r="V84" s="50" t="s">
        <v>672</v>
      </c>
      <c r="W84" s="58" t="str">
        <f t="shared" si="102"/>
        <v>Key-MET-84</v>
      </c>
      <c r="X84" s="50" t="s">
        <v>1034</v>
      </c>
      <c r="Y84" s="56" t="s">
        <v>1040</v>
      </c>
      <c r="Z84" s="50" t="s">
        <v>9</v>
      </c>
      <c r="AA84" s="50" t="str">
        <f t="shared" si="103"/>
        <v>Anchor Coupler</v>
      </c>
    </row>
    <row r="85" spans="1:27" ht="6.6" customHeight="1" x14ac:dyDescent="0.25">
      <c r="A85" s="63">
        <v>85</v>
      </c>
      <c r="B85" s="45" t="s">
        <v>1076</v>
      </c>
      <c r="C85" s="40" t="s">
        <v>88</v>
      </c>
      <c r="D85" s="40" t="s">
        <v>586</v>
      </c>
      <c r="E85" s="40" t="s">
        <v>951</v>
      </c>
      <c r="F85" s="48" t="s">
        <v>670</v>
      </c>
      <c r="G85" s="64" t="s">
        <v>9</v>
      </c>
      <c r="H85" s="64" t="s">
        <v>9</v>
      </c>
      <c r="I85" s="64" t="s">
        <v>9</v>
      </c>
      <c r="J85" s="64" t="s">
        <v>9</v>
      </c>
      <c r="K85" s="64" t="s">
        <v>9</v>
      </c>
      <c r="L85" s="55" t="str">
        <f t="shared" si="128"/>
        <v>Estrutura.Principal</v>
      </c>
      <c r="M85" s="55" t="str">
        <f t="shared" si="129"/>
        <v>Tensionadas</v>
      </c>
      <c r="N85" s="55" t="str">
        <f t="shared" si="130"/>
        <v>Ancoras</v>
      </c>
      <c r="O85" s="55" t="str">
        <f t="shared" si="127"/>
        <v>Ancoragem Extremo Fixo</v>
      </c>
      <c r="P85" s="55" t="s">
        <v>896</v>
      </c>
      <c r="Q85" s="55" t="s">
        <v>913</v>
      </c>
      <c r="R85" s="50" t="s">
        <v>9</v>
      </c>
      <c r="S85" s="50" t="str">
        <f t="shared" si="122"/>
        <v>Estrutura Principal</v>
      </c>
      <c r="T85" s="50" t="str">
        <f t="shared" si="123"/>
        <v>Tensionadas</v>
      </c>
      <c r="U85" s="50" t="str">
        <f t="shared" si="124"/>
        <v>Ancoras</v>
      </c>
      <c r="V85" s="50" t="s">
        <v>672</v>
      </c>
      <c r="W85" s="58" t="str">
        <f t="shared" si="102"/>
        <v>Key-MET-85</v>
      </c>
      <c r="X85" s="50" t="s">
        <v>1034</v>
      </c>
      <c r="Y85" s="56" t="s">
        <v>1041</v>
      </c>
      <c r="Z85" s="50" t="s">
        <v>9</v>
      </c>
      <c r="AA85" s="50" t="str">
        <f t="shared" si="103"/>
        <v>Fixed Extreme Anchorage</v>
      </c>
    </row>
    <row r="86" spans="1:27" ht="6.6" customHeight="1" x14ac:dyDescent="0.25">
      <c r="A86" s="63">
        <v>86</v>
      </c>
      <c r="B86" s="45" t="s">
        <v>1076</v>
      </c>
      <c r="C86" s="40" t="s">
        <v>88</v>
      </c>
      <c r="D86" s="40" t="s">
        <v>586</v>
      </c>
      <c r="E86" s="40" t="s">
        <v>951</v>
      </c>
      <c r="F86" s="48" t="s">
        <v>671</v>
      </c>
      <c r="G86" s="64" t="s">
        <v>9</v>
      </c>
      <c r="H86" s="64" t="s">
        <v>9</v>
      </c>
      <c r="I86" s="64" t="s">
        <v>9</v>
      </c>
      <c r="J86" s="64" t="s">
        <v>9</v>
      </c>
      <c r="K86" s="64" t="s">
        <v>9</v>
      </c>
      <c r="L86" s="55" t="str">
        <f t="shared" si="128"/>
        <v>Estrutura.Principal</v>
      </c>
      <c r="M86" s="55" t="str">
        <f t="shared" si="129"/>
        <v>Tensionadas</v>
      </c>
      <c r="N86" s="55" t="str">
        <f t="shared" si="130"/>
        <v>Ancoras</v>
      </c>
      <c r="O86" s="55" t="str">
        <f t="shared" si="127"/>
        <v>Ancoragem Extremo Tensionado</v>
      </c>
      <c r="P86" s="55" t="s">
        <v>897</v>
      </c>
      <c r="Q86" s="55" t="s">
        <v>914</v>
      </c>
      <c r="R86" s="50" t="s">
        <v>9</v>
      </c>
      <c r="S86" s="50" t="str">
        <f t="shared" si="122"/>
        <v>Estrutura Principal</v>
      </c>
      <c r="T86" s="50" t="str">
        <f t="shared" si="123"/>
        <v>Tensionadas</v>
      </c>
      <c r="U86" s="50" t="str">
        <f t="shared" si="124"/>
        <v>Ancoras</v>
      </c>
      <c r="V86" s="50" t="s">
        <v>672</v>
      </c>
      <c r="W86" s="58" t="str">
        <f t="shared" si="102"/>
        <v>Key-MET-86</v>
      </c>
      <c r="X86" s="50" t="s">
        <v>1034</v>
      </c>
      <c r="Y86" s="56" t="s">
        <v>1042</v>
      </c>
      <c r="Z86" s="50" t="s">
        <v>9</v>
      </c>
      <c r="AA86" s="50" t="str">
        <f t="shared" si="103"/>
        <v>Extreme Tensioned Anchor</v>
      </c>
    </row>
    <row r="87" spans="1:27" ht="6.6" customHeight="1" x14ac:dyDescent="0.25">
      <c r="A87" s="63">
        <v>87</v>
      </c>
      <c r="B87" s="45" t="s">
        <v>1076</v>
      </c>
      <c r="C87" s="40" t="s">
        <v>88</v>
      </c>
      <c r="D87" s="40" t="s">
        <v>586</v>
      </c>
      <c r="E87" s="40" t="s">
        <v>602</v>
      </c>
      <c r="F87" s="48" t="s">
        <v>572</v>
      </c>
      <c r="G87" s="64" t="s">
        <v>9</v>
      </c>
      <c r="H87" s="64" t="s">
        <v>9</v>
      </c>
      <c r="I87" s="64" t="s">
        <v>9</v>
      </c>
      <c r="J87" s="64" t="s">
        <v>9</v>
      </c>
      <c r="K87" s="64" t="s">
        <v>9</v>
      </c>
      <c r="L87" s="55" t="str">
        <f t="shared" ref="L87" si="131">_xlfn.CONCAT(SUBSTITUTE(C87,"1.",""))</f>
        <v>Estrutura.Principal</v>
      </c>
      <c r="M87" s="55" t="str">
        <f t="shared" ref="M87" si="132">_xlfn.CONCAT(SUBSTITUTE(D87,"."," "))</f>
        <v>Tensionadas</v>
      </c>
      <c r="N87" s="55" t="str">
        <f t="shared" ref="N87" si="133">_xlfn.CONCAT(SUBSTITUTE(E87,"."," "))</f>
        <v>Tensores</v>
      </c>
      <c r="O87" s="55" t="str">
        <f t="shared" ref="O87" si="134">_xlfn.CONCAT(SUBSTITUTE(F87,"."," "))</f>
        <v>Estai</v>
      </c>
      <c r="P87" s="55" t="s">
        <v>572</v>
      </c>
      <c r="Q87" s="55" t="s">
        <v>933</v>
      </c>
      <c r="R87" s="50" t="s">
        <v>9</v>
      </c>
      <c r="S87" s="50" t="str">
        <f t="shared" si="122"/>
        <v>Estrutura Principal</v>
      </c>
      <c r="T87" s="50" t="str">
        <f t="shared" si="123"/>
        <v>Tensionadas</v>
      </c>
      <c r="U87" s="50" t="str">
        <f t="shared" si="124"/>
        <v>Tensores</v>
      </c>
      <c r="V87" s="50" t="s">
        <v>672</v>
      </c>
      <c r="W87" s="58" t="str">
        <f t="shared" si="102"/>
        <v>Key-MET-87</v>
      </c>
      <c r="X87" s="50" t="s">
        <v>1034</v>
      </c>
      <c r="Y87" s="56" t="s">
        <v>1043</v>
      </c>
      <c r="Z87" s="50" t="s">
        <v>9</v>
      </c>
      <c r="AA87" s="50" t="str">
        <f t="shared" si="103"/>
        <v>Stay</v>
      </c>
    </row>
    <row r="88" spans="1:27" ht="6.6" customHeight="1" x14ac:dyDescent="0.25">
      <c r="A88" s="63">
        <v>88</v>
      </c>
      <c r="B88" s="45" t="s">
        <v>1076</v>
      </c>
      <c r="C88" s="40" t="s">
        <v>88</v>
      </c>
      <c r="D88" s="40" t="s">
        <v>586</v>
      </c>
      <c r="E88" s="40" t="s">
        <v>602</v>
      </c>
      <c r="F88" s="48" t="s">
        <v>605</v>
      </c>
      <c r="G88" s="64" t="s">
        <v>9</v>
      </c>
      <c r="H88" s="64" t="s">
        <v>9</v>
      </c>
      <c r="I88" s="64" t="s">
        <v>9</v>
      </c>
      <c r="J88" s="64" t="s">
        <v>9</v>
      </c>
      <c r="K88" s="64" t="s">
        <v>9</v>
      </c>
      <c r="L88" s="55" t="str">
        <f t="shared" si="128"/>
        <v>Estrutura.Principal</v>
      </c>
      <c r="M88" s="55" t="str">
        <f t="shared" si="129"/>
        <v>Tensionadas</v>
      </c>
      <c r="N88" s="55" t="str">
        <f t="shared" si="130"/>
        <v>Tensores</v>
      </c>
      <c r="O88" s="55" t="str">
        <f t="shared" si="127"/>
        <v>Tensor Barra</v>
      </c>
      <c r="P88" s="55" t="s">
        <v>898</v>
      </c>
      <c r="Q88" s="55" t="s">
        <v>915</v>
      </c>
      <c r="R88" s="50" t="s">
        <v>9</v>
      </c>
      <c r="S88" s="50" t="str">
        <f t="shared" si="122"/>
        <v>Estrutura Principal</v>
      </c>
      <c r="T88" s="50" t="str">
        <f t="shared" si="123"/>
        <v>Tensionadas</v>
      </c>
      <c r="U88" s="50" t="str">
        <f t="shared" si="124"/>
        <v>Tensores</v>
      </c>
      <c r="V88" s="50" t="s">
        <v>672</v>
      </c>
      <c r="W88" s="58" t="str">
        <f t="shared" si="102"/>
        <v>Key-MET-88</v>
      </c>
      <c r="X88" s="50" t="s">
        <v>1034</v>
      </c>
      <c r="Y88" s="56" t="s">
        <v>1044</v>
      </c>
      <c r="Z88" s="50" t="s">
        <v>9</v>
      </c>
      <c r="AA88" s="50" t="str">
        <f t="shared" si="103"/>
        <v>Tensioner Bar</v>
      </c>
    </row>
    <row r="89" spans="1:27" ht="6.6" customHeight="1" x14ac:dyDescent="0.25">
      <c r="A89" s="63">
        <v>89</v>
      </c>
      <c r="B89" s="45" t="s">
        <v>1076</v>
      </c>
      <c r="C89" s="40" t="s">
        <v>88</v>
      </c>
      <c r="D89" s="40" t="s">
        <v>586</v>
      </c>
      <c r="E89" s="40" t="s">
        <v>602</v>
      </c>
      <c r="F89" s="48" t="s">
        <v>612</v>
      </c>
      <c r="G89" s="64" t="s">
        <v>9</v>
      </c>
      <c r="H89" s="64" t="s">
        <v>9</v>
      </c>
      <c r="I89" s="64" t="s">
        <v>9</v>
      </c>
      <c r="J89" s="64" t="s">
        <v>9</v>
      </c>
      <c r="K89" s="64" t="s">
        <v>9</v>
      </c>
      <c r="L89" s="55" t="str">
        <f t="shared" si="128"/>
        <v>Estrutura.Principal</v>
      </c>
      <c r="M89" s="55" t="str">
        <f t="shared" si="129"/>
        <v>Tensionadas</v>
      </c>
      <c r="N89" s="55" t="str">
        <f t="shared" si="130"/>
        <v>Tensores</v>
      </c>
      <c r="O89" s="55" t="str">
        <f t="shared" si="127"/>
        <v>Tensor Revestido</v>
      </c>
      <c r="P89" s="55" t="s">
        <v>899</v>
      </c>
      <c r="Q89" s="55" t="s">
        <v>916</v>
      </c>
      <c r="R89" s="50" t="s">
        <v>9</v>
      </c>
      <c r="S89" s="50" t="str">
        <f t="shared" si="122"/>
        <v>Estrutura Principal</v>
      </c>
      <c r="T89" s="50" t="str">
        <f t="shared" si="123"/>
        <v>Tensionadas</v>
      </c>
      <c r="U89" s="50" t="str">
        <f t="shared" si="124"/>
        <v>Tensores</v>
      </c>
      <c r="V89" s="50" t="s">
        <v>672</v>
      </c>
      <c r="W89" s="58" t="str">
        <f t="shared" si="102"/>
        <v>Key-MET-89</v>
      </c>
      <c r="X89" s="50" t="s">
        <v>1034</v>
      </c>
      <c r="Y89" s="56" t="s">
        <v>1045</v>
      </c>
      <c r="Z89" s="50" t="s">
        <v>9</v>
      </c>
      <c r="AA89" s="50" t="str">
        <f t="shared" si="103"/>
        <v>Coated Tensioner</v>
      </c>
    </row>
    <row r="90" spans="1:27" ht="6.6" customHeight="1" x14ac:dyDescent="0.25">
      <c r="A90" s="63">
        <v>90</v>
      </c>
      <c r="B90" s="45" t="s">
        <v>1076</v>
      </c>
      <c r="C90" s="40" t="s">
        <v>88</v>
      </c>
      <c r="D90" s="40" t="s">
        <v>586</v>
      </c>
      <c r="E90" s="40" t="s">
        <v>602</v>
      </c>
      <c r="F90" s="48" t="s">
        <v>606</v>
      </c>
      <c r="G90" s="64" t="s">
        <v>9</v>
      </c>
      <c r="H90" s="64" t="s">
        <v>9</v>
      </c>
      <c r="I90" s="64" t="s">
        <v>9</v>
      </c>
      <c r="J90" s="64" t="s">
        <v>9</v>
      </c>
      <c r="K90" s="64" t="s">
        <v>9</v>
      </c>
      <c r="L90" s="55" t="str">
        <f t="shared" si="128"/>
        <v>Estrutura.Principal</v>
      </c>
      <c r="M90" s="55" t="str">
        <f t="shared" si="129"/>
        <v>Tensionadas</v>
      </c>
      <c r="N90" s="55" t="str">
        <f t="shared" si="130"/>
        <v>Tensores</v>
      </c>
      <c r="O90" s="55" t="str">
        <f t="shared" si="127"/>
        <v>Tensor Bainha</v>
      </c>
      <c r="P90" s="55" t="s">
        <v>900</v>
      </c>
      <c r="Q90" s="55" t="s">
        <v>917</v>
      </c>
      <c r="R90" s="50" t="s">
        <v>9</v>
      </c>
      <c r="S90" s="50" t="str">
        <f t="shared" si="122"/>
        <v>Estrutura Principal</v>
      </c>
      <c r="T90" s="50" t="str">
        <f t="shared" si="123"/>
        <v>Tensionadas</v>
      </c>
      <c r="U90" s="50" t="str">
        <f t="shared" si="124"/>
        <v>Tensores</v>
      </c>
      <c r="V90" s="50" t="s">
        <v>672</v>
      </c>
      <c r="W90" s="58" t="str">
        <f t="shared" si="102"/>
        <v>Key-MET-90</v>
      </c>
      <c r="X90" s="50" t="s">
        <v>1034</v>
      </c>
      <c r="Y90" s="56" t="s">
        <v>1046</v>
      </c>
      <c r="Z90" s="50" t="s">
        <v>9</v>
      </c>
      <c r="AA90" s="50" t="str">
        <f t="shared" si="103"/>
        <v>Tensioner Sheath</v>
      </c>
    </row>
    <row r="91" spans="1:27" ht="6.6" customHeight="1" x14ac:dyDescent="0.25">
      <c r="A91" s="63">
        <v>91</v>
      </c>
      <c r="B91" s="45" t="s">
        <v>1076</v>
      </c>
      <c r="C91" s="40" t="s">
        <v>88</v>
      </c>
      <c r="D91" s="40" t="s">
        <v>586</v>
      </c>
      <c r="E91" s="40" t="s">
        <v>602</v>
      </c>
      <c r="F91" s="48" t="s">
        <v>609</v>
      </c>
      <c r="G91" s="64" t="s">
        <v>9</v>
      </c>
      <c r="H91" s="64" t="s">
        <v>9</v>
      </c>
      <c r="I91" s="64" t="s">
        <v>9</v>
      </c>
      <c r="J91" s="64" t="s">
        <v>9</v>
      </c>
      <c r="K91" s="64" t="s">
        <v>9</v>
      </c>
      <c r="L91" s="55" t="str">
        <f t="shared" si="128"/>
        <v>Estrutura.Principal</v>
      </c>
      <c r="M91" s="55" t="str">
        <f t="shared" si="129"/>
        <v>Tensionadas</v>
      </c>
      <c r="N91" s="55" t="str">
        <f t="shared" si="130"/>
        <v>Tensores</v>
      </c>
      <c r="O91" s="55" t="str">
        <f t="shared" si="127"/>
        <v>Tensor Bainha Acoplador</v>
      </c>
      <c r="P91" s="55" t="s">
        <v>901</v>
      </c>
      <c r="Q91" s="55" t="s">
        <v>918</v>
      </c>
      <c r="R91" s="50" t="s">
        <v>9</v>
      </c>
      <c r="S91" s="50" t="str">
        <f t="shared" si="122"/>
        <v>Estrutura Principal</v>
      </c>
      <c r="T91" s="50" t="str">
        <f t="shared" si="123"/>
        <v>Tensionadas</v>
      </c>
      <c r="U91" s="50" t="str">
        <f t="shared" si="124"/>
        <v>Tensores</v>
      </c>
      <c r="V91" s="50" t="s">
        <v>672</v>
      </c>
      <c r="W91" s="58" t="str">
        <f t="shared" si="102"/>
        <v>Key-MET-91</v>
      </c>
      <c r="X91" s="50" t="s">
        <v>1034</v>
      </c>
      <c r="Y91" s="56" t="s">
        <v>1047</v>
      </c>
      <c r="Z91" s="50" t="s">
        <v>9</v>
      </c>
      <c r="AA91" s="50" t="str">
        <f t="shared" si="103"/>
        <v>Tensioner Sheath Coupler</v>
      </c>
    </row>
    <row r="92" spans="1:27" ht="6.6" customHeight="1" x14ac:dyDescent="0.25">
      <c r="A92" s="63">
        <v>92</v>
      </c>
      <c r="B92" s="45" t="s">
        <v>1076</v>
      </c>
      <c r="C92" s="40" t="s">
        <v>88</v>
      </c>
      <c r="D92" s="40" t="s">
        <v>586</v>
      </c>
      <c r="E92" s="40" t="s">
        <v>602</v>
      </c>
      <c r="F92" s="48" t="s">
        <v>613</v>
      </c>
      <c r="G92" s="64" t="s">
        <v>9</v>
      </c>
      <c r="H92" s="64" t="s">
        <v>9</v>
      </c>
      <c r="I92" s="64" t="s">
        <v>9</v>
      </c>
      <c r="J92" s="64" t="s">
        <v>9</v>
      </c>
      <c r="K92" s="64" t="s">
        <v>9</v>
      </c>
      <c r="L92" s="55" t="str">
        <f t="shared" si="128"/>
        <v>Estrutura.Principal</v>
      </c>
      <c r="M92" s="55" t="str">
        <f t="shared" si="129"/>
        <v>Tensionadas</v>
      </c>
      <c r="N92" s="55" t="str">
        <f t="shared" si="130"/>
        <v>Tensores</v>
      </c>
      <c r="O92" s="55" t="str">
        <f t="shared" si="127"/>
        <v>Tensor Bainha Diabolo</v>
      </c>
      <c r="P92" s="55" t="s">
        <v>902</v>
      </c>
      <c r="Q92" s="55" t="s">
        <v>919</v>
      </c>
      <c r="R92" s="50" t="s">
        <v>9</v>
      </c>
      <c r="S92" s="50" t="str">
        <f t="shared" si="122"/>
        <v>Estrutura Principal</v>
      </c>
      <c r="T92" s="50" t="str">
        <f t="shared" si="123"/>
        <v>Tensionadas</v>
      </c>
      <c r="U92" s="50" t="str">
        <f t="shared" si="124"/>
        <v>Tensores</v>
      </c>
      <c r="V92" s="50" t="s">
        <v>672</v>
      </c>
      <c r="W92" s="58" t="str">
        <f t="shared" si="102"/>
        <v>Key-MET-92</v>
      </c>
      <c r="X92" s="50" t="s">
        <v>1034</v>
      </c>
      <c r="Y92" s="56" t="s">
        <v>1048</v>
      </c>
      <c r="Z92" s="50" t="s">
        <v>9</v>
      </c>
      <c r="AA92" s="50" t="str">
        <f t="shared" si="103"/>
        <v>Diabolo Sheath Tensioner</v>
      </c>
    </row>
    <row r="93" spans="1:27" ht="6.6" customHeight="1" x14ac:dyDescent="0.25">
      <c r="A93" s="63">
        <v>93</v>
      </c>
      <c r="B93" s="45" t="s">
        <v>1076</v>
      </c>
      <c r="C93" s="40" t="s">
        <v>88</v>
      </c>
      <c r="D93" s="40" t="s">
        <v>586</v>
      </c>
      <c r="E93" s="40" t="s">
        <v>602</v>
      </c>
      <c r="F93" s="48" t="s">
        <v>614</v>
      </c>
      <c r="G93" s="64" t="s">
        <v>9</v>
      </c>
      <c r="H93" s="64" t="s">
        <v>9</v>
      </c>
      <c r="I93" s="64" t="s">
        <v>9</v>
      </c>
      <c r="J93" s="64" t="s">
        <v>9</v>
      </c>
      <c r="K93" s="64" t="s">
        <v>9</v>
      </c>
      <c r="L93" s="55" t="str">
        <f t="shared" si="128"/>
        <v>Estrutura.Principal</v>
      </c>
      <c r="M93" s="55" t="str">
        <f t="shared" si="129"/>
        <v>Tensionadas</v>
      </c>
      <c r="N93" s="55" t="str">
        <f t="shared" si="130"/>
        <v>Tensores</v>
      </c>
      <c r="O93" s="55" t="str">
        <f t="shared" si="127"/>
        <v>Tensor Bainha Cabo</v>
      </c>
      <c r="P93" s="55" t="s">
        <v>903</v>
      </c>
      <c r="Q93" s="55" t="s">
        <v>920</v>
      </c>
      <c r="R93" s="50" t="s">
        <v>9</v>
      </c>
      <c r="S93" s="50" t="str">
        <f t="shared" si="122"/>
        <v>Estrutura Principal</v>
      </c>
      <c r="T93" s="50" t="str">
        <f t="shared" si="123"/>
        <v>Tensionadas</v>
      </c>
      <c r="U93" s="50" t="str">
        <f t="shared" si="124"/>
        <v>Tensores</v>
      </c>
      <c r="V93" s="50" t="s">
        <v>672</v>
      </c>
      <c r="W93" s="58" t="str">
        <f t="shared" si="102"/>
        <v>Key-MET-93</v>
      </c>
      <c r="X93" s="50" t="s">
        <v>1034</v>
      </c>
      <c r="Y93" s="56" t="s">
        <v>1049</v>
      </c>
      <c r="Z93" s="50" t="s">
        <v>9</v>
      </c>
      <c r="AA93" s="50" t="str">
        <f t="shared" si="103"/>
        <v>Tensioner Sheath Cable</v>
      </c>
    </row>
    <row r="94" spans="1:27" ht="6.6" customHeight="1" x14ac:dyDescent="0.25">
      <c r="A94" s="63">
        <v>94</v>
      </c>
      <c r="B94" s="45" t="s">
        <v>1076</v>
      </c>
      <c r="C94" s="40" t="s">
        <v>88</v>
      </c>
      <c r="D94" s="40" t="s">
        <v>586</v>
      </c>
      <c r="E94" s="40" t="s">
        <v>602</v>
      </c>
      <c r="F94" s="48" t="s">
        <v>611</v>
      </c>
      <c r="G94" s="64" t="s">
        <v>9</v>
      </c>
      <c r="H94" s="64" t="s">
        <v>9</v>
      </c>
      <c r="I94" s="64" t="s">
        <v>9</v>
      </c>
      <c r="J94" s="64" t="s">
        <v>9</v>
      </c>
      <c r="K94" s="64" t="s">
        <v>9</v>
      </c>
      <c r="L94" s="55" t="str">
        <f t="shared" si="128"/>
        <v>Estrutura.Principal</v>
      </c>
      <c r="M94" s="55" t="str">
        <f t="shared" si="129"/>
        <v>Tensionadas</v>
      </c>
      <c r="N94" s="55" t="str">
        <f t="shared" si="130"/>
        <v>Tensores</v>
      </c>
      <c r="O94" s="55" t="str">
        <f t="shared" si="127"/>
        <v>Tensor Injetor</v>
      </c>
      <c r="P94" s="55" t="s">
        <v>904</v>
      </c>
      <c r="Q94" s="55" t="s">
        <v>921</v>
      </c>
      <c r="R94" s="50" t="s">
        <v>9</v>
      </c>
      <c r="S94" s="50" t="str">
        <f t="shared" si="122"/>
        <v>Estrutura Principal</v>
      </c>
      <c r="T94" s="50" t="str">
        <f t="shared" si="123"/>
        <v>Tensionadas</v>
      </c>
      <c r="U94" s="50" t="str">
        <f t="shared" si="124"/>
        <v>Tensores</v>
      </c>
      <c r="V94" s="50" t="s">
        <v>672</v>
      </c>
      <c r="W94" s="58" t="str">
        <f t="shared" si="102"/>
        <v>Key-MET-94</v>
      </c>
      <c r="X94" s="50" t="s">
        <v>1034</v>
      </c>
      <c r="Y94" s="56" t="s">
        <v>1050</v>
      </c>
      <c r="Z94" s="50" t="s">
        <v>9</v>
      </c>
      <c r="AA94" s="50" t="str">
        <f t="shared" si="103"/>
        <v>Injector Tensioner</v>
      </c>
    </row>
    <row r="95" spans="1:27" ht="6.6" customHeight="1" x14ac:dyDescent="0.25">
      <c r="A95" s="63">
        <v>95</v>
      </c>
      <c r="B95" s="45" t="s">
        <v>1076</v>
      </c>
      <c r="C95" s="40" t="s">
        <v>88</v>
      </c>
      <c r="D95" s="40" t="s">
        <v>586</v>
      </c>
      <c r="E95" s="40" t="s">
        <v>602</v>
      </c>
      <c r="F95" s="48" t="s">
        <v>610</v>
      </c>
      <c r="G95" s="64" t="s">
        <v>9</v>
      </c>
      <c r="H95" s="64" t="s">
        <v>9</v>
      </c>
      <c r="I95" s="64" t="s">
        <v>9</v>
      </c>
      <c r="J95" s="64" t="s">
        <v>9</v>
      </c>
      <c r="K95" s="64" t="s">
        <v>9</v>
      </c>
      <c r="L95" s="55" t="str">
        <f t="shared" si="128"/>
        <v>Estrutura.Principal</v>
      </c>
      <c r="M95" s="55" t="str">
        <f t="shared" si="129"/>
        <v>Tensionadas</v>
      </c>
      <c r="N95" s="55" t="str">
        <f t="shared" si="130"/>
        <v>Tensores</v>
      </c>
      <c r="O95" s="55" t="str">
        <f t="shared" si="127"/>
        <v>Tensor Trombeta</v>
      </c>
      <c r="P95" s="55" t="s">
        <v>905</v>
      </c>
      <c r="Q95" s="55" t="s">
        <v>922</v>
      </c>
      <c r="R95" s="50" t="s">
        <v>9</v>
      </c>
      <c r="S95" s="50" t="str">
        <f t="shared" si="122"/>
        <v>Estrutura Principal</v>
      </c>
      <c r="T95" s="50" t="str">
        <f t="shared" si="123"/>
        <v>Tensionadas</v>
      </c>
      <c r="U95" s="50" t="str">
        <f t="shared" si="124"/>
        <v>Tensores</v>
      </c>
      <c r="V95" s="50" t="s">
        <v>672</v>
      </c>
      <c r="W95" s="58" t="str">
        <f t="shared" si="102"/>
        <v>Key-MET-95</v>
      </c>
      <c r="X95" s="50" t="s">
        <v>1034</v>
      </c>
      <c r="Y95" s="56" t="s">
        <v>1051</v>
      </c>
      <c r="Z95" s="50" t="s">
        <v>9</v>
      </c>
      <c r="AA95" s="50" t="str">
        <f t="shared" si="103"/>
        <v>Trumpet Tensor</v>
      </c>
    </row>
    <row r="96" spans="1:27" ht="6.6" customHeight="1" x14ac:dyDescent="0.25">
      <c r="A96" s="63">
        <v>96</v>
      </c>
      <c r="B96" s="45" t="s">
        <v>1076</v>
      </c>
      <c r="C96" s="40" t="s">
        <v>88</v>
      </c>
      <c r="D96" s="40" t="s">
        <v>586</v>
      </c>
      <c r="E96" s="40" t="s">
        <v>602</v>
      </c>
      <c r="F96" s="48" t="s">
        <v>607</v>
      </c>
      <c r="G96" s="64" t="s">
        <v>9</v>
      </c>
      <c r="H96" s="64" t="s">
        <v>9</v>
      </c>
      <c r="I96" s="64" t="s">
        <v>9</v>
      </c>
      <c r="J96" s="64" t="s">
        <v>9</v>
      </c>
      <c r="K96" s="64" t="s">
        <v>9</v>
      </c>
      <c r="L96" s="55" t="str">
        <f t="shared" si="128"/>
        <v>Estrutura.Principal</v>
      </c>
      <c r="M96" s="55" t="str">
        <f t="shared" si="129"/>
        <v>Tensionadas</v>
      </c>
      <c r="N96" s="55" t="str">
        <f t="shared" si="130"/>
        <v>Tensores</v>
      </c>
      <c r="O96" s="55" t="str">
        <f t="shared" si="127"/>
        <v>Tensor Corda</v>
      </c>
      <c r="P96" s="55" t="s">
        <v>906</v>
      </c>
      <c r="Q96" s="55" t="s">
        <v>923</v>
      </c>
      <c r="R96" s="50" t="s">
        <v>9</v>
      </c>
      <c r="S96" s="50" t="str">
        <f t="shared" si="122"/>
        <v>Estrutura Principal</v>
      </c>
      <c r="T96" s="50" t="str">
        <f t="shared" si="123"/>
        <v>Tensionadas</v>
      </c>
      <c r="U96" s="50" t="str">
        <f t="shared" si="124"/>
        <v>Tensores</v>
      </c>
      <c r="V96" s="50" t="s">
        <v>672</v>
      </c>
      <c r="W96" s="58" t="str">
        <f t="shared" si="102"/>
        <v>Key-MET-96</v>
      </c>
      <c r="X96" s="50" t="s">
        <v>1034</v>
      </c>
      <c r="Y96" s="56" t="s">
        <v>1052</v>
      </c>
      <c r="Z96" s="50" t="s">
        <v>9</v>
      </c>
      <c r="AA96" s="50" t="str">
        <f t="shared" si="103"/>
        <v>Rope Tensioner</v>
      </c>
    </row>
    <row r="97" spans="1:27" ht="6.6" customHeight="1" x14ac:dyDescent="0.25">
      <c r="A97" s="63">
        <v>97</v>
      </c>
      <c r="B97" s="45" t="s">
        <v>1076</v>
      </c>
      <c r="C97" s="40" t="s">
        <v>88</v>
      </c>
      <c r="D97" s="40" t="s">
        <v>586</v>
      </c>
      <c r="E97" s="40" t="s">
        <v>602</v>
      </c>
      <c r="F97" s="48" t="s">
        <v>608</v>
      </c>
      <c r="G97" s="64" t="s">
        <v>9</v>
      </c>
      <c r="H97" s="64" t="s">
        <v>9</v>
      </c>
      <c r="I97" s="64" t="s">
        <v>9</v>
      </c>
      <c r="J97" s="64" t="s">
        <v>9</v>
      </c>
      <c r="K97" s="64" t="s">
        <v>9</v>
      </c>
      <c r="L97" s="55" t="str">
        <f t="shared" si="128"/>
        <v>Estrutura.Principal</v>
      </c>
      <c r="M97" s="55" t="str">
        <f t="shared" si="129"/>
        <v>Tensionadas</v>
      </c>
      <c r="N97" s="55" t="str">
        <f t="shared" si="130"/>
        <v>Tensores</v>
      </c>
      <c r="O97" s="55" t="str">
        <f t="shared" si="127"/>
        <v>Tensor Fio</v>
      </c>
      <c r="P97" s="55" t="s">
        <v>907</v>
      </c>
      <c r="Q97" s="55" t="s">
        <v>924</v>
      </c>
      <c r="R97" s="50" t="s">
        <v>9</v>
      </c>
      <c r="S97" s="50" t="str">
        <f t="shared" si="122"/>
        <v>Estrutura Principal</v>
      </c>
      <c r="T97" s="50" t="str">
        <f t="shared" si="123"/>
        <v>Tensionadas</v>
      </c>
      <c r="U97" s="50" t="str">
        <f t="shared" si="124"/>
        <v>Tensores</v>
      </c>
      <c r="V97" s="50" t="s">
        <v>672</v>
      </c>
      <c r="W97" s="58" t="str">
        <f t="shared" si="102"/>
        <v>Key-MET-97</v>
      </c>
      <c r="X97" s="50" t="s">
        <v>1034</v>
      </c>
      <c r="Y97" s="56" t="s">
        <v>1053</v>
      </c>
      <c r="Z97" s="50" t="s">
        <v>9</v>
      </c>
      <c r="AA97" s="50" t="str">
        <f t="shared" si="103"/>
        <v>Wire Tensioner</v>
      </c>
    </row>
    <row r="98" spans="1:27" ht="6.6" customHeight="1" x14ac:dyDescent="0.25">
      <c r="A98" s="63">
        <v>98</v>
      </c>
      <c r="B98" s="45" t="s">
        <v>1076</v>
      </c>
      <c r="C98" s="40" t="s">
        <v>88</v>
      </c>
      <c r="D98" s="40" t="s">
        <v>586</v>
      </c>
      <c r="E98" s="40" t="s">
        <v>602</v>
      </c>
      <c r="F98" s="40" t="s">
        <v>673</v>
      </c>
      <c r="G98" s="64" t="s">
        <v>9</v>
      </c>
      <c r="H98" s="64" t="s">
        <v>9</v>
      </c>
      <c r="I98" s="64" t="s">
        <v>9</v>
      </c>
      <c r="J98" s="64" t="s">
        <v>9</v>
      </c>
      <c r="K98" s="64" t="s">
        <v>9</v>
      </c>
      <c r="L98" s="55" t="str">
        <f t="shared" si="42"/>
        <v>Estrutura.Principal</v>
      </c>
      <c r="M98" s="55" t="str">
        <f t="shared" si="125"/>
        <v>Tensionadas</v>
      </c>
      <c r="N98" s="55" t="str">
        <f t="shared" si="126"/>
        <v>Tensores</v>
      </c>
      <c r="O98" s="55" t="str">
        <f t="shared" si="127"/>
        <v>Mastro Estrutural</v>
      </c>
      <c r="P98" s="55" t="s">
        <v>908</v>
      </c>
      <c r="Q98" s="55" t="s">
        <v>925</v>
      </c>
      <c r="R98" s="50" t="s">
        <v>9</v>
      </c>
      <c r="S98" s="50" t="str">
        <f t="shared" si="122"/>
        <v>Estrutura Principal</v>
      </c>
      <c r="T98" s="50" t="str">
        <f t="shared" si="123"/>
        <v>Tensionadas</v>
      </c>
      <c r="U98" s="50" t="str">
        <f t="shared" si="124"/>
        <v>Tensores</v>
      </c>
      <c r="V98" s="50" t="s">
        <v>672</v>
      </c>
      <c r="W98" s="58" t="str">
        <f t="shared" si="102"/>
        <v>Key-MET-98</v>
      </c>
      <c r="X98" s="50" t="s">
        <v>1018</v>
      </c>
      <c r="Y98" s="50" t="s">
        <v>1019</v>
      </c>
      <c r="Z98" s="50" t="s">
        <v>9</v>
      </c>
      <c r="AA98" s="50" t="str">
        <f t="shared" si="103"/>
        <v>Structural Mast</v>
      </c>
    </row>
    <row r="99" spans="1:27" ht="6.6" customHeight="1" x14ac:dyDescent="0.25">
      <c r="A99" s="63">
        <v>99</v>
      </c>
      <c r="B99" s="45" t="s">
        <v>1076</v>
      </c>
      <c r="C99" s="40" t="s">
        <v>88</v>
      </c>
      <c r="D99" s="40" t="s">
        <v>586</v>
      </c>
      <c r="E99" s="40" t="s">
        <v>602</v>
      </c>
      <c r="F99" s="40" t="s">
        <v>674</v>
      </c>
      <c r="G99" s="64" t="s">
        <v>9</v>
      </c>
      <c r="H99" s="64" t="s">
        <v>9</v>
      </c>
      <c r="I99" s="64" t="s">
        <v>9</v>
      </c>
      <c r="J99" s="64" t="s">
        <v>9</v>
      </c>
      <c r="K99" s="64" t="s">
        <v>9</v>
      </c>
      <c r="L99" s="55" t="str">
        <f t="shared" ref="L99:L120" si="135">_xlfn.CONCAT(SUBSTITUTE(C99,"1.",""))</f>
        <v>Estrutura.Principal</v>
      </c>
      <c r="M99" s="55" t="str">
        <f t="shared" ref="M99:M120" si="136">_xlfn.CONCAT(SUBSTITUTE(D99,"."," "))</f>
        <v>Tensionadas</v>
      </c>
      <c r="N99" s="55" t="str">
        <f t="shared" ref="N99:N120" si="137">_xlfn.CONCAT(SUBSTITUTE(E99,"."," "))</f>
        <v>Tensores</v>
      </c>
      <c r="O99" s="55" t="str">
        <f t="shared" si="127"/>
        <v>Membrana Estrutural</v>
      </c>
      <c r="P99" s="55" t="s">
        <v>585</v>
      </c>
      <c r="Q99" s="55" t="s">
        <v>716</v>
      </c>
      <c r="R99" s="50" t="s">
        <v>9</v>
      </c>
      <c r="S99" s="50" t="str">
        <f t="shared" si="122"/>
        <v>Estrutura Principal</v>
      </c>
      <c r="T99" s="50" t="str">
        <f t="shared" si="123"/>
        <v>Tensionadas</v>
      </c>
      <c r="U99" s="50" t="str">
        <f t="shared" si="124"/>
        <v>Tensores</v>
      </c>
      <c r="V99" s="50" t="s">
        <v>672</v>
      </c>
      <c r="W99" s="58" t="str">
        <f t="shared" si="102"/>
        <v>Key-MET-99</v>
      </c>
      <c r="X99" s="50" t="s">
        <v>1054</v>
      </c>
      <c r="Y99" s="50" t="s">
        <v>1055</v>
      </c>
      <c r="Z99" s="50" t="s">
        <v>9</v>
      </c>
      <c r="AA99" s="50" t="str">
        <f t="shared" si="103"/>
        <v>Closure membrane</v>
      </c>
    </row>
    <row r="100" spans="1:27" ht="6.6" customHeight="1" x14ac:dyDescent="0.25">
      <c r="A100" s="63">
        <v>100</v>
      </c>
      <c r="B100" s="45" t="s">
        <v>1076</v>
      </c>
      <c r="C100" s="40" t="s">
        <v>89</v>
      </c>
      <c r="D100" s="40" t="s">
        <v>863</v>
      </c>
      <c r="E100" s="40" t="s">
        <v>827</v>
      </c>
      <c r="F100" s="40" t="s">
        <v>829</v>
      </c>
      <c r="G100" s="64" t="s">
        <v>9</v>
      </c>
      <c r="H100" s="64" t="s">
        <v>9</v>
      </c>
      <c r="I100" s="64" t="s">
        <v>9</v>
      </c>
      <c r="J100" s="64" t="s">
        <v>9</v>
      </c>
      <c r="K100" s="64" t="s">
        <v>9</v>
      </c>
      <c r="L100" s="55" t="str">
        <f t="shared" si="135"/>
        <v>Estrutura.Secundária</v>
      </c>
      <c r="M100" s="55" t="str">
        <f t="shared" si="136"/>
        <v>Terças de Suporte</v>
      </c>
      <c r="N100" s="55" t="str">
        <f t="shared" si="137"/>
        <v>Terças</v>
      </c>
      <c r="O100" s="55" t="str">
        <f t="shared" si="127"/>
        <v>Terça Cobertura</v>
      </c>
      <c r="P100" s="55" t="s">
        <v>830</v>
      </c>
      <c r="Q100" s="55" t="s">
        <v>846</v>
      </c>
      <c r="R100" s="50" t="s">
        <v>9</v>
      </c>
      <c r="S100" s="50" t="str">
        <f t="shared" si="122"/>
        <v>Estrutura Secundária</v>
      </c>
      <c r="T100" s="50" t="str">
        <f t="shared" si="123"/>
        <v>Terças de Suporte</v>
      </c>
      <c r="U100" s="50" t="str">
        <f t="shared" si="124"/>
        <v>Terças</v>
      </c>
      <c r="V100" s="50" t="s">
        <v>672</v>
      </c>
      <c r="W100" s="58" t="str">
        <f t="shared" si="102"/>
        <v>Key-MET-100</v>
      </c>
      <c r="X100" s="50" t="s">
        <v>1020</v>
      </c>
      <c r="Y100" s="50" t="s">
        <v>1021</v>
      </c>
      <c r="Z100" s="50" t="s">
        <v>9</v>
      </c>
      <c r="AA100" s="50" t="str">
        <f t="shared" si="103"/>
        <v>Purlins for metal structure roofing placed at 1.50 m to support the roof.</v>
      </c>
    </row>
    <row r="101" spans="1:27" ht="6.6" customHeight="1" x14ac:dyDescent="0.25">
      <c r="A101" s="63">
        <v>101</v>
      </c>
      <c r="B101" s="45" t="s">
        <v>1076</v>
      </c>
      <c r="C101" s="40" t="s">
        <v>89</v>
      </c>
      <c r="D101" s="40" t="s">
        <v>863</v>
      </c>
      <c r="E101" s="40" t="s">
        <v>827</v>
      </c>
      <c r="F101" s="40" t="s">
        <v>828</v>
      </c>
      <c r="G101" s="64" t="s">
        <v>9</v>
      </c>
      <c r="H101" s="64" t="s">
        <v>9</v>
      </c>
      <c r="I101" s="64" t="s">
        <v>9</v>
      </c>
      <c r="J101" s="64" t="s">
        <v>9</v>
      </c>
      <c r="K101" s="64" t="s">
        <v>9</v>
      </c>
      <c r="L101" s="55" t="str">
        <f t="shared" ref="L101:L114" si="138">_xlfn.CONCAT(SUBSTITUTE(C101,"1.",""))</f>
        <v>Estrutura.Secundária</v>
      </c>
      <c r="M101" s="55" t="str">
        <f t="shared" ref="M101:M114" si="139">_xlfn.CONCAT(SUBSTITUTE(D101,"."," "))</f>
        <v>Terças de Suporte</v>
      </c>
      <c r="N101" s="55" t="str">
        <f t="shared" ref="N101:N114" si="140">_xlfn.CONCAT(SUBSTITUTE(E101,"."," "))</f>
        <v>Terças</v>
      </c>
      <c r="O101" s="55" t="str">
        <f t="shared" ref="O101:O114" si="141">_xlfn.CONCAT(SUBSTITUTE(F101,"."," "))</f>
        <v>Terça Fachada</v>
      </c>
      <c r="P101" s="55" t="s">
        <v>831</v>
      </c>
      <c r="Q101" s="55" t="s">
        <v>847</v>
      </c>
      <c r="R101" s="50" t="s">
        <v>9</v>
      </c>
      <c r="S101" s="50" t="str">
        <f t="shared" si="122"/>
        <v>Estrutura Secundária</v>
      </c>
      <c r="T101" s="50" t="str">
        <f t="shared" si="123"/>
        <v>Terças de Suporte</v>
      </c>
      <c r="U101" s="50" t="str">
        <f t="shared" si="124"/>
        <v>Terças</v>
      </c>
      <c r="V101" s="50" t="s">
        <v>672</v>
      </c>
      <c r="W101" s="58" t="str">
        <f t="shared" si="102"/>
        <v>Key-MET-101</v>
      </c>
      <c r="X101" s="50" t="s">
        <v>1020</v>
      </c>
      <c r="Y101" s="50" t="s">
        <v>1021</v>
      </c>
      <c r="Z101" s="50" t="s">
        <v>9</v>
      </c>
      <c r="AA101" s="50" t="str">
        <f t="shared" si="103"/>
        <v>Purlins to support façade elements placed at 1.50 m to support vertical panels.</v>
      </c>
    </row>
    <row r="102" spans="1:27" ht="6.6" customHeight="1" x14ac:dyDescent="0.25">
      <c r="A102" s="63">
        <v>102</v>
      </c>
      <c r="B102" s="45" t="s">
        <v>1076</v>
      </c>
      <c r="C102" s="40" t="s">
        <v>89</v>
      </c>
      <c r="D102" s="40" t="s">
        <v>863</v>
      </c>
      <c r="E102" s="40" t="s">
        <v>827</v>
      </c>
      <c r="F102" s="40" t="s">
        <v>832</v>
      </c>
      <c r="G102" s="64" t="s">
        <v>9</v>
      </c>
      <c r="H102" s="64" t="s">
        <v>9</v>
      </c>
      <c r="I102" s="64" t="s">
        <v>9</v>
      </c>
      <c r="J102" s="64" t="s">
        <v>9</v>
      </c>
      <c r="K102" s="64" t="s">
        <v>9</v>
      </c>
      <c r="L102" s="55" t="str">
        <f t="shared" si="138"/>
        <v>Estrutura.Secundária</v>
      </c>
      <c r="M102" s="55" t="str">
        <f t="shared" si="139"/>
        <v>Terças de Suporte</v>
      </c>
      <c r="N102" s="55" t="str">
        <f t="shared" si="140"/>
        <v>Terças</v>
      </c>
      <c r="O102" s="55" t="str">
        <f t="shared" si="141"/>
        <v>Terça Cartola</v>
      </c>
      <c r="P102" s="55" t="s">
        <v>831</v>
      </c>
      <c r="Q102" s="55" t="s">
        <v>847</v>
      </c>
      <c r="R102" s="50" t="s">
        <v>9</v>
      </c>
      <c r="S102" s="50" t="str">
        <f t="shared" si="122"/>
        <v>Estrutura Secundária</v>
      </c>
      <c r="T102" s="50" t="str">
        <f t="shared" si="123"/>
        <v>Terças de Suporte</v>
      </c>
      <c r="U102" s="50" t="str">
        <f t="shared" si="124"/>
        <v>Terças</v>
      </c>
      <c r="V102" s="50" t="s">
        <v>672</v>
      </c>
      <c r="W102" s="58" t="str">
        <f t="shared" si="102"/>
        <v>Key-MET-102</v>
      </c>
      <c r="X102" s="50" t="s">
        <v>1020</v>
      </c>
      <c r="Y102" s="50" t="s">
        <v>1021</v>
      </c>
      <c r="Z102" s="50" t="s">
        <v>9</v>
      </c>
      <c r="AA102" s="50" t="str">
        <f t="shared" si="103"/>
        <v>Purlins to support façade elements placed at 1.50 m to support vertical panels.</v>
      </c>
    </row>
    <row r="103" spans="1:27" ht="6.6" customHeight="1" x14ac:dyDescent="0.25">
      <c r="A103" s="63">
        <v>103</v>
      </c>
      <c r="B103" s="45" t="s">
        <v>1076</v>
      </c>
      <c r="C103" s="40" t="s">
        <v>89</v>
      </c>
      <c r="D103" s="40" t="s">
        <v>863</v>
      </c>
      <c r="E103" s="40" t="s">
        <v>939</v>
      </c>
      <c r="F103" s="40" t="s">
        <v>940</v>
      </c>
      <c r="G103" s="64" t="s">
        <v>9</v>
      </c>
      <c r="H103" s="64" t="s">
        <v>9</v>
      </c>
      <c r="I103" s="64" t="s">
        <v>9</v>
      </c>
      <c r="J103" s="64" t="s">
        <v>9</v>
      </c>
      <c r="K103" s="64" t="s">
        <v>9</v>
      </c>
      <c r="L103" s="55" t="str">
        <f t="shared" si="138"/>
        <v>Estrutura.Secundária</v>
      </c>
      <c r="M103" s="55" t="str">
        <f t="shared" si="139"/>
        <v>Terças de Suporte</v>
      </c>
      <c r="N103" s="55" t="str">
        <f t="shared" si="140"/>
        <v>Tirantes</v>
      </c>
      <c r="O103" s="55" t="str">
        <f t="shared" si="141"/>
        <v>Tirante Beiral</v>
      </c>
      <c r="P103" s="55" t="s">
        <v>943</v>
      </c>
      <c r="Q103" s="55" t="s">
        <v>947</v>
      </c>
      <c r="R103" s="50" t="s">
        <v>9</v>
      </c>
      <c r="S103" s="50" t="str">
        <f t="shared" si="122"/>
        <v>Estrutura Secundária</v>
      </c>
      <c r="T103" s="50" t="str">
        <f t="shared" si="123"/>
        <v>Terças de Suporte</v>
      </c>
      <c r="U103" s="50" t="str">
        <f t="shared" si="124"/>
        <v>Tirantes</v>
      </c>
      <c r="V103" s="50" t="s">
        <v>672</v>
      </c>
      <c r="W103" s="58" t="str">
        <f t="shared" si="102"/>
        <v>Key-MET-103</v>
      </c>
      <c r="X103" s="50" t="s">
        <v>1056</v>
      </c>
      <c r="Y103" s="50" t="s">
        <v>1029</v>
      </c>
      <c r="Z103" s="50" t="s">
        <v>9</v>
      </c>
      <c r="AA103" s="50" t="str">
        <f t="shared" si="103"/>
        <v>Metal connection at the junction between the inclined beam (rafter) and the vertical column at the point where the roof meets the side wall.</v>
      </c>
    </row>
    <row r="104" spans="1:27" ht="6.6" customHeight="1" x14ac:dyDescent="0.25">
      <c r="A104" s="63">
        <v>104</v>
      </c>
      <c r="B104" s="45" t="s">
        <v>1076</v>
      </c>
      <c r="C104" s="40" t="s">
        <v>89</v>
      </c>
      <c r="D104" s="40" t="s">
        <v>863</v>
      </c>
      <c r="E104" s="40" t="s">
        <v>939</v>
      </c>
      <c r="F104" s="40" t="s">
        <v>941</v>
      </c>
      <c r="G104" s="64" t="s">
        <v>9</v>
      </c>
      <c r="H104" s="64" t="s">
        <v>9</v>
      </c>
      <c r="I104" s="64" t="s">
        <v>9</v>
      </c>
      <c r="J104" s="64" t="s">
        <v>9</v>
      </c>
      <c r="K104" s="64" t="s">
        <v>9</v>
      </c>
      <c r="L104" s="55" t="str">
        <f t="shared" si="138"/>
        <v>Estrutura.Secundária</v>
      </c>
      <c r="M104" s="55" t="str">
        <f t="shared" si="139"/>
        <v>Terças de Suporte</v>
      </c>
      <c r="N104" s="55" t="str">
        <f t="shared" si="140"/>
        <v>Tirantes</v>
      </c>
      <c r="O104" s="55" t="str">
        <f t="shared" si="141"/>
        <v>Tirante Terça</v>
      </c>
      <c r="P104" s="55" t="s">
        <v>944</v>
      </c>
      <c r="Q104" s="55" t="s">
        <v>948</v>
      </c>
      <c r="R104" s="50" t="s">
        <v>9</v>
      </c>
      <c r="S104" s="50" t="str">
        <f t="shared" si="122"/>
        <v>Estrutura Secundária</v>
      </c>
      <c r="T104" s="50" t="str">
        <f t="shared" si="123"/>
        <v>Terças de Suporte</v>
      </c>
      <c r="U104" s="50" t="str">
        <f t="shared" si="124"/>
        <v>Tirantes</v>
      </c>
      <c r="V104" s="50" t="s">
        <v>672</v>
      </c>
      <c r="W104" s="58" t="str">
        <f t="shared" si="102"/>
        <v>Key-MET-104</v>
      </c>
      <c r="X104" s="50" t="s">
        <v>1056</v>
      </c>
      <c r="Y104" s="50" t="s">
        <v>1029</v>
      </c>
      <c r="Z104" s="50" t="s">
        <v>9</v>
      </c>
      <c r="AA104" s="50" t="str">
        <f t="shared" si="103"/>
        <v>Metal connection at the junction between the inclined beam (rafter) and the purlin.</v>
      </c>
    </row>
    <row r="105" spans="1:27" ht="6.6" customHeight="1" x14ac:dyDescent="0.25">
      <c r="A105" s="63">
        <v>105</v>
      </c>
      <c r="B105" s="45" t="s">
        <v>1076</v>
      </c>
      <c r="C105" s="40" t="s">
        <v>89</v>
      </c>
      <c r="D105" s="40" t="s">
        <v>863</v>
      </c>
      <c r="E105" s="40" t="s">
        <v>939</v>
      </c>
      <c r="F105" s="40" t="s">
        <v>942</v>
      </c>
      <c r="G105" s="64" t="s">
        <v>9</v>
      </c>
      <c r="H105" s="64" t="s">
        <v>9</v>
      </c>
      <c r="I105" s="64" t="s">
        <v>9</v>
      </c>
      <c r="J105" s="64" t="s">
        <v>9</v>
      </c>
      <c r="K105" s="64" t="s">
        <v>9</v>
      </c>
      <c r="L105" s="55" t="str">
        <f t="shared" ref="L105" si="142">_xlfn.CONCAT(SUBSTITUTE(C105,"1.",""))</f>
        <v>Estrutura.Secundária</v>
      </c>
      <c r="M105" s="55" t="str">
        <f t="shared" ref="M105" si="143">_xlfn.CONCAT(SUBSTITUTE(D105,"."," "))</f>
        <v>Terças de Suporte</v>
      </c>
      <c r="N105" s="55" t="str">
        <f t="shared" ref="N105" si="144">_xlfn.CONCAT(SUBSTITUTE(E105,"."," "))</f>
        <v>Tirantes</v>
      </c>
      <c r="O105" s="55" t="str">
        <f t="shared" ref="O105" si="145">_xlfn.CONCAT(SUBSTITUTE(F105,"."," "))</f>
        <v>Tirante Cumeeira</v>
      </c>
      <c r="P105" s="55" t="s">
        <v>945</v>
      </c>
      <c r="Q105" s="55" t="s">
        <v>946</v>
      </c>
      <c r="R105" s="50" t="s">
        <v>9</v>
      </c>
      <c r="S105" s="50" t="str">
        <f t="shared" si="122"/>
        <v>Estrutura Secundária</v>
      </c>
      <c r="T105" s="50" t="str">
        <f t="shared" si="123"/>
        <v>Terças de Suporte</v>
      </c>
      <c r="U105" s="50" t="str">
        <f t="shared" si="124"/>
        <v>Tirantes</v>
      </c>
      <c r="V105" s="50" t="s">
        <v>672</v>
      </c>
      <c r="W105" s="58" t="str">
        <f t="shared" si="102"/>
        <v>Key-MET-105</v>
      </c>
      <c r="X105" s="50" t="s">
        <v>1056</v>
      </c>
      <c r="Y105" s="50" t="s">
        <v>1029</v>
      </c>
      <c r="Z105" s="50" t="s">
        <v>9</v>
      </c>
      <c r="AA105" s="50" t="str">
        <f t="shared" si="103"/>
        <v>Metal connection at the junction between the inclined beams of the gantry.</v>
      </c>
    </row>
    <row r="106" spans="1:27" ht="6.6" customHeight="1" x14ac:dyDescent="0.25">
      <c r="A106" s="63">
        <v>106</v>
      </c>
      <c r="B106" s="45" t="s">
        <v>1076</v>
      </c>
      <c r="C106" s="40" t="s">
        <v>89</v>
      </c>
      <c r="D106" s="40" t="s">
        <v>863</v>
      </c>
      <c r="E106" s="40" t="s">
        <v>864</v>
      </c>
      <c r="F106" s="40" t="s">
        <v>862</v>
      </c>
      <c r="G106" s="64" t="s">
        <v>9</v>
      </c>
      <c r="H106" s="64" t="s">
        <v>9</v>
      </c>
      <c r="I106" s="64" t="s">
        <v>9</v>
      </c>
      <c r="J106" s="64" t="s">
        <v>9</v>
      </c>
      <c r="K106" s="64" t="s">
        <v>9</v>
      </c>
      <c r="L106" s="55" t="str">
        <f t="shared" si="138"/>
        <v>Estrutura.Secundária</v>
      </c>
      <c r="M106" s="55" t="str">
        <f t="shared" si="139"/>
        <v>Terças de Suporte</v>
      </c>
      <c r="N106" s="55" t="str">
        <f t="shared" si="140"/>
        <v>Frechais</v>
      </c>
      <c r="O106" s="55" t="str">
        <f t="shared" si="141"/>
        <v>Frechal Alinhamento</v>
      </c>
      <c r="P106" s="55" t="s">
        <v>845</v>
      </c>
      <c r="Q106" s="55" t="s">
        <v>848</v>
      </c>
      <c r="R106" s="50" t="s">
        <v>9</v>
      </c>
      <c r="S106" s="50" t="str">
        <f t="shared" si="122"/>
        <v>Estrutura Secundária</v>
      </c>
      <c r="T106" s="50" t="str">
        <f t="shared" si="123"/>
        <v>Terças de Suporte</v>
      </c>
      <c r="U106" s="50" t="str">
        <f t="shared" si="124"/>
        <v>Frechais</v>
      </c>
      <c r="V106" s="50" t="s">
        <v>672</v>
      </c>
      <c r="W106" s="58" t="str">
        <f t="shared" si="102"/>
        <v>Key-MET-106</v>
      </c>
      <c r="X106" s="50" t="s">
        <v>1034</v>
      </c>
      <c r="Y106" s="56" t="s">
        <v>1043</v>
      </c>
      <c r="Z106" s="50" t="s">
        <v>9</v>
      </c>
      <c r="AA106" s="50" t="str">
        <f t="shared" si="103"/>
        <v>Alignment of purliners.</v>
      </c>
    </row>
    <row r="107" spans="1:27" ht="6.6" customHeight="1" x14ac:dyDescent="0.25">
      <c r="A107" s="63">
        <v>107</v>
      </c>
      <c r="B107" s="45" t="s">
        <v>1076</v>
      </c>
      <c r="C107" s="40" t="s">
        <v>840</v>
      </c>
      <c r="D107" s="40" t="s">
        <v>867</v>
      </c>
      <c r="E107" s="40" t="s">
        <v>868</v>
      </c>
      <c r="F107" s="40" t="s">
        <v>881</v>
      </c>
      <c r="G107" s="64" t="s">
        <v>9</v>
      </c>
      <c r="H107" s="64" t="s">
        <v>9</v>
      </c>
      <c r="I107" s="64" t="s">
        <v>9</v>
      </c>
      <c r="J107" s="64" t="s">
        <v>9</v>
      </c>
      <c r="K107" s="64" t="s">
        <v>9</v>
      </c>
      <c r="L107" s="55" t="str">
        <f t="shared" ref="L107" si="146">_xlfn.CONCAT(SUBSTITUTE(C107,"1.",""))</f>
        <v>Estrutura.Fechamento</v>
      </c>
      <c r="M107" s="55" t="str">
        <f t="shared" ref="M107" si="147">_xlfn.CONCAT(SUBSTITUTE(D107,"."," "))</f>
        <v>Sistemas Sanduíches</v>
      </c>
      <c r="N107" s="55" t="str">
        <f t="shared" ref="N107" si="148">_xlfn.CONCAT(SUBSTITUTE(E107,"."," "))</f>
        <v>Paineis Sanduíches</v>
      </c>
      <c r="O107" s="55" t="str">
        <f t="shared" ref="O107" si="149">_xlfn.CONCAT(SUBSTITUTE(F107,"."," "))</f>
        <v>Painel Sanduíche Fachada</v>
      </c>
      <c r="P107" s="55" t="s">
        <v>882</v>
      </c>
      <c r="Q107" s="55" t="s">
        <v>926</v>
      </c>
      <c r="R107" s="50" t="s">
        <v>9</v>
      </c>
      <c r="S107" s="50" t="str">
        <f t="shared" si="122"/>
        <v>Estrutura Fechamento</v>
      </c>
      <c r="T107" s="50" t="str">
        <f t="shared" si="123"/>
        <v>Sistemas Sanduíches</v>
      </c>
      <c r="U107" s="50" t="str">
        <f t="shared" si="124"/>
        <v>Paineis Sanduíches</v>
      </c>
      <c r="V107" s="50" t="s">
        <v>672</v>
      </c>
      <c r="W107" s="58" t="str">
        <f t="shared" si="102"/>
        <v>Key-MET-107</v>
      </c>
      <c r="X107" s="50" t="s">
        <v>1057</v>
      </c>
      <c r="Y107" s="50" t="s">
        <v>1058</v>
      </c>
      <c r="Z107" s="50" t="s">
        <v>9</v>
      </c>
      <c r="AA107" s="50" t="str">
        <f t="shared" si="103"/>
        <v>Sandwich panel for facades with PIR AP cores covered by pre-painted steel sheets. They provide architectural finish with a concealed fitting system. Manufactured with high-pressure foam injection, they ensure uniformity of insulation.</v>
      </c>
    </row>
    <row r="108" spans="1:27" ht="6.6" customHeight="1" x14ac:dyDescent="0.25">
      <c r="A108" s="63">
        <v>108</v>
      </c>
      <c r="B108" s="45" t="s">
        <v>1076</v>
      </c>
      <c r="C108" s="40" t="s">
        <v>840</v>
      </c>
      <c r="D108" s="40" t="s">
        <v>867</v>
      </c>
      <c r="E108" s="40" t="s">
        <v>868</v>
      </c>
      <c r="F108" s="40" t="s">
        <v>870</v>
      </c>
      <c r="G108" s="64" t="s">
        <v>9</v>
      </c>
      <c r="H108" s="64" t="s">
        <v>9</v>
      </c>
      <c r="I108" s="64" t="s">
        <v>9</v>
      </c>
      <c r="J108" s="64" t="s">
        <v>9</v>
      </c>
      <c r="K108" s="64" t="s">
        <v>9</v>
      </c>
      <c r="L108" s="55" t="str">
        <f t="shared" si="138"/>
        <v>Estrutura.Fechamento</v>
      </c>
      <c r="M108" s="55" t="str">
        <f t="shared" si="139"/>
        <v>Sistemas Sanduíches</v>
      </c>
      <c r="N108" s="55" t="str">
        <f t="shared" si="140"/>
        <v>Paineis Sanduíches</v>
      </c>
      <c r="O108" s="55" t="str">
        <f t="shared" si="141"/>
        <v>Painel Sanduíche Térmico</v>
      </c>
      <c r="P108" s="55" t="s">
        <v>865</v>
      </c>
      <c r="Q108" s="55" t="s">
        <v>927</v>
      </c>
      <c r="R108" s="50" t="s">
        <v>9</v>
      </c>
      <c r="S108" s="50" t="str">
        <f t="shared" si="122"/>
        <v>Estrutura Fechamento</v>
      </c>
      <c r="T108" s="50" t="str">
        <f t="shared" si="123"/>
        <v>Sistemas Sanduíches</v>
      </c>
      <c r="U108" s="50" t="str">
        <f t="shared" si="124"/>
        <v>Paineis Sanduíches</v>
      </c>
      <c r="V108" s="50" t="s">
        <v>672</v>
      </c>
      <c r="W108" s="58" t="str">
        <f t="shared" si="102"/>
        <v>Key-MET-108</v>
      </c>
      <c r="X108" s="50" t="s">
        <v>1057</v>
      </c>
      <c r="Y108" s="50" t="s">
        <v>1058</v>
      </c>
      <c r="Z108" s="50" t="s">
        <v>9</v>
      </c>
      <c r="AA108" s="50" t="str">
        <f t="shared" si="103"/>
        <v>Thermal Panel with EPS core meets thermal insulation demands in environments that require strict temperature control, such as refrigerators and cold rooms.</v>
      </c>
    </row>
    <row r="109" spans="1:27" ht="6.6" customHeight="1" x14ac:dyDescent="0.25">
      <c r="A109" s="63">
        <v>109</v>
      </c>
      <c r="B109" s="45" t="s">
        <v>1076</v>
      </c>
      <c r="C109" s="40" t="s">
        <v>840</v>
      </c>
      <c r="D109" s="40" t="s">
        <v>867</v>
      </c>
      <c r="E109" s="40" t="s">
        <v>869</v>
      </c>
      <c r="F109" s="40" t="s">
        <v>871</v>
      </c>
      <c r="G109" s="64" t="s">
        <v>9</v>
      </c>
      <c r="H109" s="64" t="s">
        <v>9</v>
      </c>
      <c r="I109" s="64" t="s">
        <v>9</v>
      </c>
      <c r="J109" s="64" t="s">
        <v>9</v>
      </c>
      <c r="K109" s="64" t="s">
        <v>9</v>
      </c>
      <c r="L109" s="55" t="str">
        <f t="shared" ref="L109:L111" si="150">_xlfn.CONCAT(SUBSTITUTE(C109,"1.",""))</f>
        <v>Estrutura.Fechamento</v>
      </c>
      <c r="M109" s="55" t="str">
        <f t="shared" ref="M109:M111" si="151">_xlfn.CONCAT(SUBSTITUTE(D109,"."," "))</f>
        <v>Sistemas Sanduíches</v>
      </c>
      <c r="N109" s="55" t="str">
        <f t="shared" ref="N109:N111" si="152">_xlfn.CONCAT(SUBSTITUTE(E109,"."," "))</f>
        <v>Telhas Sanduíches</v>
      </c>
      <c r="O109" s="55" t="str">
        <f t="shared" ref="O109:O111" si="153">_xlfn.CONCAT(SUBSTITUTE(F109,"."," "))</f>
        <v>Telha Sanduíche Zipada</v>
      </c>
      <c r="P109" s="55" t="s">
        <v>872</v>
      </c>
      <c r="Q109" s="55" t="s">
        <v>928</v>
      </c>
      <c r="R109" s="50" t="s">
        <v>9</v>
      </c>
      <c r="S109" s="50" t="str">
        <f t="shared" si="122"/>
        <v>Estrutura Fechamento</v>
      </c>
      <c r="T109" s="50" t="str">
        <f t="shared" si="123"/>
        <v>Sistemas Sanduíches</v>
      </c>
      <c r="U109" s="50" t="str">
        <f t="shared" si="124"/>
        <v>Telhas Sanduíches</v>
      </c>
      <c r="V109" s="50" t="s">
        <v>672</v>
      </c>
      <c r="W109" s="58" t="str">
        <f t="shared" si="102"/>
        <v>Key-MET-109</v>
      </c>
      <c r="X109" s="50" t="s">
        <v>1059</v>
      </c>
      <c r="Y109" s="56" t="s">
        <v>1060</v>
      </c>
      <c r="Z109" s="50" t="s">
        <v>9</v>
      </c>
      <c r="AA109" s="50" t="str">
        <f t="shared" si="103"/>
        <v>Zipped sandwich tile system is applied to roofs with low slope and large areas, offering thermal insulation and watertightness without the need for drilling.</v>
      </c>
    </row>
    <row r="110" spans="1:27" ht="6.6" customHeight="1" x14ac:dyDescent="0.25">
      <c r="A110" s="63">
        <v>110</v>
      </c>
      <c r="B110" s="45" t="s">
        <v>1076</v>
      </c>
      <c r="C110" s="40" t="s">
        <v>840</v>
      </c>
      <c r="D110" s="40" t="s">
        <v>867</v>
      </c>
      <c r="E110" s="40" t="s">
        <v>869</v>
      </c>
      <c r="F110" s="40" t="s">
        <v>877</v>
      </c>
      <c r="G110" s="64" t="s">
        <v>9</v>
      </c>
      <c r="H110" s="64" t="s">
        <v>9</v>
      </c>
      <c r="I110" s="64" t="s">
        <v>9</v>
      </c>
      <c r="J110" s="64" t="s">
        <v>9</v>
      </c>
      <c r="K110" s="64" t="s">
        <v>9</v>
      </c>
      <c r="L110" s="55" t="str">
        <f t="shared" si="150"/>
        <v>Estrutura.Fechamento</v>
      </c>
      <c r="M110" s="55" t="str">
        <f t="shared" si="151"/>
        <v>Sistemas Sanduíches</v>
      </c>
      <c r="N110" s="55" t="str">
        <f t="shared" si="152"/>
        <v>Telhas Sanduíches</v>
      </c>
      <c r="O110" s="55" t="str">
        <f t="shared" si="153"/>
        <v>Telha Sanduíche Ondulada</v>
      </c>
      <c r="P110" s="55" t="s">
        <v>876</v>
      </c>
      <c r="Q110" s="55" t="s">
        <v>929</v>
      </c>
      <c r="R110" s="50" t="s">
        <v>9</v>
      </c>
      <c r="S110" s="50" t="str">
        <f t="shared" si="122"/>
        <v>Estrutura Fechamento</v>
      </c>
      <c r="T110" s="50" t="str">
        <f t="shared" si="123"/>
        <v>Sistemas Sanduíches</v>
      </c>
      <c r="U110" s="50" t="str">
        <f t="shared" si="124"/>
        <v>Telhas Sanduíches</v>
      </c>
      <c r="V110" s="50" t="s">
        <v>672</v>
      </c>
      <c r="W110" s="58" t="str">
        <f t="shared" si="102"/>
        <v>Key-MET-110</v>
      </c>
      <c r="X110" s="50" t="s">
        <v>1059</v>
      </c>
      <c r="Y110" s="56" t="s">
        <v>1060</v>
      </c>
      <c r="Z110" s="50" t="s">
        <v>9</v>
      </c>
      <c r="AA110" s="50" t="str">
        <f t="shared" si="103"/>
        <v>Corrugated Roofing Sheet composed of layers of Galvalume steel and PIR core, with excellent thermal insulation and weather resistance, for residential and commercial projects.</v>
      </c>
    </row>
    <row r="111" spans="1:27" ht="6.6" customHeight="1" x14ac:dyDescent="0.25">
      <c r="A111" s="63">
        <v>111</v>
      </c>
      <c r="B111" s="45" t="s">
        <v>1076</v>
      </c>
      <c r="C111" s="40" t="s">
        <v>840</v>
      </c>
      <c r="D111" s="40" t="s">
        <v>867</v>
      </c>
      <c r="E111" s="40" t="s">
        <v>869</v>
      </c>
      <c r="F111" s="40" t="s">
        <v>874</v>
      </c>
      <c r="G111" s="64" t="s">
        <v>9</v>
      </c>
      <c r="H111" s="64" t="s">
        <v>9</v>
      </c>
      <c r="I111" s="64" t="s">
        <v>9</v>
      </c>
      <c r="J111" s="64" t="s">
        <v>9</v>
      </c>
      <c r="K111" s="64" t="s">
        <v>9</v>
      </c>
      <c r="L111" s="55" t="str">
        <f t="shared" si="150"/>
        <v>Estrutura.Fechamento</v>
      </c>
      <c r="M111" s="55" t="str">
        <f t="shared" si="151"/>
        <v>Sistemas Sanduíches</v>
      </c>
      <c r="N111" s="55" t="str">
        <f t="shared" si="152"/>
        <v>Telhas Sanduíches</v>
      </c>
      <c r="O111" s="55" t="str">
        <f t="shared" si="153"/>
        <v>Telha Sanduíche Trapezoidal</v>
      </c>
      <c r="P111" s="55" t="s">
        <v>875</v>
      </c>
      <c r="Q111" s="55" t="s">
        <v>930</v>
      </c>
      <c r="R111" s="50" t="s">
        <v>9</v>
      </c>
      <c r="S111" s="50" t="str">
        <f t="shared" si="122"/>
        <v>Estrutura Fechamento</v>
      </c>
      <c r="T111" s="50" t="str">
        <f t="shared" si="123"/>
        <v>Sistemas Sanduíches</v>
      </c>
      <c r="U111" s="50" t="str">
        <f t="shared" si="124"/>
        <v>Telhas Sanduíches</v>
      </c>
      <c r="V111" s="50" t="s">
        <v>672</v>
      </c>
      <c r="W111" s="58" t="str">
        <f t="shared" si="102"/>
        <v>Key-MET-111</v>
      </c>
      <c r="X111" s="50" t="s">
        <v>1059</v>
      </c>
      <c r="Y111" s="56" t="s">
        <v>1060</v>
      </c>
      <c r="Z111" s="50" t="s">
        <v>9</v>
      </c>
      <c r="AA111" s="50" t="str">
        <f t="shared" si="103"/>
        <v>Isothermal trapezoidal sandwich tile offers thermal comfort and energy saving. With three trapezoids, it has great mechanical resistance, ideal for roofs that require greater spacing between purlins, helping to reduce the support structure.</v>
      </c>
    </row>
    <row r="112" spans="1:27" ht="6.6" customHeight="1" x14ac:dyDescent="0.25">
      <c r="A112" s="63">
        <v>112</v>
      </c>
      <c r="B112" s="45" t="s">
        <v>1076</v>
      </c>
      <c r="C112" s="40" t="s">
        <v>840</v>
      </c>
      <c r="D112" s="40" t="s">
        <v>867</v>
      </c>
      <c r="E112" s="40" t="s">
        <v>869</v>
      </c>
      <c r="F112" s="40" t="s">
        <v>879</v>
      </c>
      <c r="G112" s="64" t="s">
        <v>9</v>
      </c>
      <c r="H112" s="64" t="s">
        <v>9</v>
      </c>
      <c r="I112" s="64" t="s">
        <v>9</v>
      </c>
      <c r="J112" s="64" t="s">
        <v>9</v>
      </c>
      <c r="K112" s="64" t="s">
        <v>9</v>
      </c>
      <c r="L112" s="55" t="str">
        <f t="shared" si="138"/>
        <v>Estrutura.Fechamento</v>
      </c>
      <c r="M112" s="55" t="str">
        <f t="shared" si="139"/>
        <v>Sistemas Sanduíches</v>
      </c>
      <c r="N112" s="55" t="str">
        <f t="shared" si="140"/>
        <v>Telhas Sanduíches</v>
      </c>
      <c r="O112" s="55" t="str">
        <f t="shared" si="141"/>
        <v>Telha Sanduíche Solar</v>
      </c>
      <c r="P112" s="55" t="s">
        <v>880</v>
      </c>
      <c r="Q112" s="55" t="s">
        <v>931</v>
      </c>
      <c r="R112" s="50" t="s">
        <v>9</v>
      </c>
      <c r="S112" s="50" t="str">
        <f t="shared" si="122"/>
        <v>Estrutura Fechamento</v>
      </c>
      <c r="T112" s="50" t="str">
        <f t="shared" si="123"/>
        <v>Sistemas Sanduíches</v>
      </c>
      <c r="U112" s="50" t="str">
        <f t="shared" si="124"/>
        <v>Telhas Sanduíches</v>
      </c>
      <c r="V112" s="50" t="s">
        <v>672</v>
      </c>
      <c r="W112" s="58" t="str">
        <f t="shared" si="102"/>
        <v>Key-MET-112</v>
      </c>
      <c r="X112" s="50" t="s">
        <v>1059</v>
      </c>
      <c r="Y112" s="56" t="s">
        <v>1060</v>
      </c>
      <c r="Z112" s="50" t="s">
        <v>9</v>
      </c>
      <c r="AA112" s="50" t="str">
        <f t="shared" si="103"/>
        <v>Isothermal trapezoidal sandwich tile offers thermal comfort and energy saving. With trapezoids of adapted shape for the placement of solar panels integrated into the roof.</v>
      </c>
    </row>
    <row r="113" spans="1:27" ht="6.6" customHeight="1" x14ac:dyDescent="0.25">
      <c r="A113" s="63">
        <v>113</v>
      </c>
      <c r="B113" s="45" t="s">
        <v>1076</v>
      </c>
      <c r="C113" s="40" t="s">
        <v>840</v>
      </c>
      <c r="D113" s="40" t="s">
        <v>843</v>
      </c>
      <c r="E113" s="40" t="s">
        <v>841</v>
      </c>
      <c r="F113" s="40" t="s">
        <v>873</v>
      </c>
      <c r="G113" s="64" t="s">
        <v>9</v>
      </c>
      <c r="H113" s="64" t="s">
        <v>9</v>
      </c>
      <c r="I113" s="64" t="s">
        <v>9</v>
      </c>
      <c r="J113" s="64" t="s">
        <v>9</v>
      </c>
      <c r="K113" s="64" t="s">
        <v>9</v>
      </c>
      <c r="L113" s="55" t="str">
        <f t="shared" si="138"/>
        <v>Estrutura.Fechamento</v>
      </c>
      <c r="M113" s="55" t="str">
        <f t="shared" si="139"/>
        <v>Sistemas Perfilados</v>
      </c>
      <c r="N113" s="55" t="str">
        <f t="shared" si="140"/>
        <v>Telhas Perfiladas</v>
      </c>
      <c r="O113" s="55" t="str">
        <f t="shared" si="141"/>
        <v>Telha Trapezoidal</v>
      </c>
      <c r="P113" s="55" t="s">
        <v>878</v>
      </c>
      <c r="Q113" s="55" t="s">
        <v>932</v>
      </c>
      <c r="R113" s="50" t="s">
        <v>9</v>
      </c>
      <c r="S113" s="50" t="str">
        <f t="shared" si="122"/>
        <v>Estrutura Fechamento</v>
      </c>
      <c r="T113" s="50" t="str">
        <f t="shared" si="123"/>
        <v>Sistemas Perfilados</v>
      </c>
      <c r="U113" s="50" t="str">
        <f t="shared" si="124"/>
        <v>Telhas Perfiladas</v>
      </c>
      <c r="V113" s="50" t="s">
        <v>672</v>
      </c>
      <c r="W113" s="58" t="str">
        <f t="shared" si="102"/>
        <v>Key-MET-113</v>
      </c>
      <c r="X113" s="50" t="s">
        <v>1059</v>
      </c>
      <c r="Y113" s="56" t="s">
        <v>1060</v>
      </c>
      <c r="Z113" s="50" t="s">
        <v>9</v>
      </c>
      <c r="AA113" s="50" t="str">
        <f t="shared" si="103"/>
        <v>Trapezoidal Tile</v>
      </c>
    </row>
    <row r="114" spans="1:27" ht="6.6" customHeight="1" x14ac:dyDescent="0.25">
      <c r="A114" s="63">
        <v>114</v>
      </c>
      <c r="B114" s="45" t="s">
        <v>1076</v>
      </c>
      <c r="C114" s="40" t="s">
        <v>840</v>
      </c>
      <c r="D114" s="40" t="s">
        <v>843</v>
      </c>
      <c r="E114" s="40" t="s">
        <v>841</v>
      </c>
      <c r="F114" s="40" t="s">
        <v>842</v>
      </c>
      <c r="G114" s="64" t="s">
        <v>9</v>
      </c>
      <c r="H114" s="64" t="s">
        <v>9</v>
      </c>
      <c r="I114" s="64" t="s">
        <v>9</v>
      </c>
      <c r="J114" s="64" t="s">
        <v>9</v>
      </c>
      <c r="K114" s="64" t="s">
        <v>9</v>
      </c>
      <c r="L114" s="55" t="str">
        <f t="shared" si="138"/>
        <v>Estrutura.Fechamento</v>
      </c>
      <c r="M114" s="55" t="str">
        <f t="shared" si="139"/>
        <v>Sistemas Perfilados</v>
      </c>
      <c r="N114" s="55" t="str">
        <f t="shared" si="140"/>
        <v>Telhas Perfiladas</v>
      </c>
      <c r="O114" s="55" t="str">
        <f t="shared" si="141"/>
        <v>Telha Ondulada</v>
      </c>
      <c r="P114" s="55" t="s">
        <v>876</v>
      </c>
      <c r="Q114" s="55" t="s">
        <v>929</v>
      </c>
      <c r="R114" s="50" t="s">
        <v>9</v>
      </c>
      <c r="S114" s="50" t="str">
        <f t="shared" si="122"/>
        <v>Estrutura Fechamento</v>
      </c>
      <c r="T114" s="50" t="str">
        <f t="shared" si="123"/>
        <v>Sistemas Perfilados</v>
      </c>
      <c r="U114" s="50" t="str">
        <f t="shared" si="124"/>
        <v>Telhas Perfiladas</v>
      </c>
      <c r="V114" s="50" t="s">
        <v>672</v>
      </c>
      <c r="W114" s="58" t="str">
        <f t="shared" si="102"/>
        <v>Key-MET-114</v>
      </c>
      <c r="X114" s="50" t="s">
        <v>1059</v>
      </c>
      <c r="Y114" s="56" t="s">
        <v>1060</v>
      </c>
      <c r="Z114" s="50" t="s">
        <v>9</v>
      </c>
      <c r="AA114" s="50" t="str">
        <f t="shared" si="103"/>
        <v>Corrugated Roofing Sheet composed of layers of Galvalume steel and PIR core, with excellent thermal insulation and weather resistance, for residential and commercial projects.</v>
      </c>
    </row>
    <row r="115" spans="1:27" ht="6.6" customHeight="1" x14ac:dyDescent="0.25">
      <c r="A115" s="63">
        <v>115</v>
      </c>
      <c r="B115" s="45" t="s">
        <v>1076</v>
      </c>
      <c r="C115" s="40" t="s">
        <v>840</v>
      </c>
      <c r="D115" s="40" t="s">
        <v>843</v>
      </c>
      <c r="E115" s="40" t="s">
        <v>841</v>
      </c>
      <c r="F115" s="40" t="s">
        <v>844</v>
      </c>
      <c r="G115" s="64" t="s">
        <v>9</v>
      </c>
      <c r="H115" s="64" t="s">
        <v>9</v>
      </c>
      <c r="I115" s="64" t="s">
        <v>9</v>
      </c>
      <c r="J115" s="64" t="s">
        <v>9</v>
      </c>
      <c r="K115" s="64" t="s">
        <v>9</v>
      </c>
      <c r="L115" s="55" t="str">
        <f t="shared" si="135"/>
        <v>Estrutura.Fechamento</v>
      </c>
      <c r="M115" s="55" t="str">
        <f t="shared" si="136"/>
        <v>Sistemas Perfilados</v>
      </c>
      <c r="N115" s="55" t="str">
        <f t="shared" si="137"/>
        <v>Telhas Perfiladas</v>
      </c>
      <c r="O115" s="55" t="str">
        <f t="shared" si="127"/>
        <v>Telha Zipada</v>
      </c>
      <c r="P115" s="55" t="s">
        <v>866</v>
      </c>
      <c r="Q115" s="55" t="s">
        <v>928</v>
      </c>
      <c r="R115" s="50" t="s">
        <v>9</v>
      </c>
      <c r="S115" s="50" t="str">
        <f t="shared" si="122"/>
        <v>Estrutura Fechamento</v>
      </c>
      <c r="T115" s="50" t="str">
        <f t="shared" si="123"/>
        <v>Sistemas Perfilados</v>
      </c>
      <c r="U115" s="50" t="str">
        <f t="shared" si="124"/>
        <v>Telhas Perfiladas</v>
      </c>
      <c r="V115" s="50" t="s">
        <v>672</v>
      </c>
      <c r="W115" s="58" t="str">
        <f t="shared" si="102"/>
        <v>Key-MET-115</v>
      </c>
      <c r="X115" s="50" t="s">
        <v>1059</v>
      </c>
      <c r="Y115" s="56" t="s">
        <v>1060</v>
      </c>
      <c r="Z115" s="50" t="s">
        <v>9</v>
      </c>
      <c r="AA115" s="50" t="str">
        <f t="shared" si="103"/>
        <v>Sandwich zipped tile system is applied to roofs with low slope and large areas, offering thermal insulation and watertightness without the need for drilling.</v>
      </c>
    </row>
    <row r="116" spans="1:27" ht="6.6" customHeight="1" x14ac:dyDescent="0.25">
      <c r="A116" s="63">
        <v>116</v>
      </c>
      <c r="B116" s="45" t="s">
        <v>1076</v>
      </c>
      <c r="C116" s="40" t="s">
        <v>850</v>
      </c>
      <c r="D116" s="40" t="s">
        <v>617</v>
      </c>
      <c r="E116" s="40" t="s">
        <v>580</v>
      </c>
      <c r="F116" s="40" t="s">
        <v>578</v>
      </c>
      <c r="G116" s="64" t="s">
        <v>9</v>
      </c>
      <c r="H116" s="64" t="s">
        <v>9</v>
      </c>
      <c r="I116" s="64" t="s">
        <v>9</v>
      </c>
      <c r="J116" s="64" t="s">
        <v>9</v>
      </c>
      <c r="K116" s="64" t="s">
        <v>9</v>
      </c>
      <c r="L116" s="55" t="str">
        <f t="shared" ref="L116" si="154">_xlfn.CONCAT(SUBSTITUTE(C116,"1.",""))</f>
        <v>Conexão.Estrutural</v>
      </c>
      <c r="M116" s="55" t="str">
        <f t="shared" ref="M116" si="155">_xlfn.CONCAT(SUBSTITUTE(D116,"."," "))</f>
        <v>Fixações</v>
      </c>
      <c r="N116" s="55" t="str">
        <f t="shared" ref="N116" si="156">_xlfn.CONCAT(SUBSTITUTE(E116,"."," "))</f>
        <v>Chumbadores</v>
      </c>
      <c r="O116" s="55" t="str">
        <f t="shared" ref="O116" si="157">_xlfn.CONCAT(SUBSTITUTE(F116,"."," "))</f>
        <v>Chumbador Interno</v>
      </c>
      <c r="P116" s="55" t="s">
        <v>581</v>
      </c>
      <c r="Q116" s="55" t="s">
        <v>717</v>
      </c>
      <c r="R116" s="50" t="s">
        <v>9</v>
      </c>
      <c r="S116" s="50" t="str">
        <f t="shared" si="122"/>
        <v>Conexão Estrutural</v>
      </c>
      <c r="T116" s="50" t="str">
        <f t="shared" si="123"/>
        <v>Fixações</v>
      </c>
      <c r="U116" s="50" t="str">
        <f t="shared" si="124"/>
        <v>Chumbadores</v>
      </c>
      <c r="V116" s="50" t="s">
        <v>672</v>
      </c>
      <c r="W116" s="58" t="str">
        <f t="shared" si="102"/>
        <v>Key-MET-116</v>
      </c>
      <c r="X116" s="50" t="s">
        <v>1061</v>
      </c>
      <c r="Y116" s="50" t="s">
        <v>1062</v>
      </c>
      <c r="Z116" s="50" t="s">
        <v>9</v>
      </c>
      <c r="AA116" s="50" t="str">
        <f t="shared" si="103"/>
        <v>Anchor bolt located in the inner region of the base plate</v>
      </c>
    </row>
    <row r="117" spans="1:27" ht="6.6" customHeight="1" x14ac:dyDescent="0.25">
      <c r="A117" s="63">
        <v>117</v>
      </c>
      <c r="B117" s="45" t="s">
        <v>1076</v>
      </c>
      <c r="C117" s="40" t="s">
        <v>850</v>
      </c>
      <c r="D117" s="40" t="s">
        <v>617</v>
      </c>
      <c r="E117" s="40" t="s">
        <v>580</v>
      </c>
      <c r="F117" s="40" t="s">
        <v>579</v>
      </c>
      <c r="G117" s="64" t="s">
        <v>9</v>
      </c>
      <c r="H117" s="64" t="s">
        <v>9</v>
      </c>
      <c r="I117" s="64" t="s">
        <v>9</v>
      </c>
      <c r="J117" s="64" t="s">
        <v>9</v>
      </c>
      <c r="K117" s="64" t="s">
        <v>9</v>
      </c>
      <c r="L117" s="55" t="str">
        <f t="shared" si="135"/>
        <v>Conexão.Estrutural</v>
      </c>
      <c r="M117" s="55" t="str">
        <f t="shared" si="136"/>
        <v>Fixações</v>
      </c>
      <c r="N117" s="55" t="str">
        <f t="shared" si="137"/>
        <v>Chumbadores</v>
      </c>
      <c r="O117" s="55" t="str">
        <f t="shared" ref="O117" si="158">_xlfn.CONCAT(SUBSTITUTE(F117,"."," "))</f>
        <v>Chumbador Externo</v>
      </c>
      <c r="P117" s="55" t="s">
        <v>582</v>
      </c>
      <c r="Q117" s="55" t="s">
        <v>718</v>
      </c>
      <c r="R117" s="50" t="s">
        <v>9</v>
      </c>
      <c r="S117" s="50" t="str">
        <f t="shared" si="122"/>
        <v>Conexão Estrutural</v>
      </c>
      <c r="T117" s="50" t="str">
        <f t="shared" si="123"/>
        <v>Fixações</v>
      </c>
      <c r="U117" s="50" t="str">
        <f t="shared" si="124"/>
        <v>Chumbadores</v>
      </c>
      <c r="V117" s="50" t="s">
        <v>672</v>
      </c>
      <c r="W117" s="58" t="str">
        <f t="shared" si="102"/>
        <v>Key-MET-117</v>
      </c>
      <c r="X117" s="50" t="s">
        <v>1061</v>
      </c>
      <c r="Y117" s="50" t="s">
        <v>1062</v>
      </c>
      <c r="Z117" s="50" t="s">
        <v>9</v>
      </c>
      <c r="AA117" s="50" t="str">
        <f t="shared" si="103"/>
        <v>Anchor bolt located in the outer region of the base plate</v>
      </c>
    </row>
    <row r="118" spans="1:27" ht="6.6" customHeight="1" x14ac:dyDescent="0.25">
      <c r="A118" s="63">
        <v>118</v>
      </c>
      <c r="B118" s="45" t="s">
        <v>1076</v>
      </c>
      <c r="C118" s="40" t="s">
        <v>850</v>
      </c>
      <c r="D118" s="40" t="s">
        <v>617</v>
      </c>
      <c r="E118" s="40" t="s">
        <v>615</v>
      </c>
      <c r="F118" s="40" t="s">
        <v>571</v>
      </c>
      <c r="G118" s="64" t="s">
        <v>9</v>
      </c>
      <c r="H118" s="64" t="s">
        <v>9</v>
      </c>
      <c r="I118" s="64" t="s">
        <v>9</v>
      </c>
      <c r="J118" s="64" t="s">
        <v>9</v>
      </c>
      <c r="K118" s="64" t="s">
        <v>9</v>
      </c>
      <c r="L118" s="55" t="str">
        <f t="shared" si="135"/>
        <v>Conexão.Estrutural</v>
      </c>
      <c r="M118" s="55" t="str">
        <f t="shared" si="136"/>
        <v>Fixações</v>
      </c>
      <c r="N118" s="55" t="str">
        <f t="shared" si="137"/>
        <v>Parafusos</v>
      </c>
      <c r="O118" s="55" t="str">
        <f t="shared" ref="O118" si="159">_xlfn.CONCAT(SUBSTITUTE(F118,"."," "))</f>
        <v>Parafuso DIN</v>
      </c>
      <c r="P118" s="55" t="s">
        <v>551</v>
      </c>
      <c r="Q118" s="55" t="s">
        <v>719</v>
      </c>
      <c r="R118" s="50" t="s">
        <v>9</v>
      </c>
      <c r="S118" s="50" t="str">
        <f t="shared" si="122"/>
        <v>Conexão Estrutural</v>
      </c>
      <c r="T118" s="50" t="str">
        <f t="shared" si="123"/>
        <v>Fixações</v>
      </c>
      <c r="U118" s="50" t="str">
        <f t="shared" si="124"/>
        <v>Parafusos</v>
      </c>
      <c r="V118" s="50" t="s">
        <v>672</v>
      </c>
      <c r="W118" s="58" t="str">
        <f t="shared" si="102"/>
        <v>Key-MET-118</v>
      </c>
      <c r="X118" s="50" t="s">
        <v>1061</v>
      </c>
      <c r="Y118" s="50" t="s">
        <v>1038</v>
      </c>
      <c r="Z118" s="50" t="s">
        <v>9</v>
      </c>
      <c r="AA118" s="50" t="str">
        <f t="shared" si="103"/>
        <v>DIN standard structural bolt</v>
      </c>
    </row>
    <row r="119" spans="1:27" ht="6.6" customHeight="1" x14ac:dyDescent="0.25">
      <c r="A119" s="63">
        <v>119</v>
      </c>
      <c r="B119" s="45" t="s">
        <v>1076</v>
      </c>
      <c r="C119" s="40" t="s">
        <v>850</v>
      </c>
      <c r="D119" s="40" t="s">
        <v>617</v>
      </c>
      <c r="E119" s="40" t="s">
        <v>615</v>
      </c>
      <c r="F119" s="40" t="s">
        <v>538</v>
      </c>
      <c r="G119" s="64" t="s">
        <v>9</v>
      </c>
      <c r="H119" s="64" t="s">
        <v>9</v>
      </c>
      <c r="I119" s="64" t="s">
        <v>9</v>
      </c>
      <c r="J119" s="64" t="s">
        <v>9</v>
      </c>
      <c r="K119" s="64" t="s">
        <v>9</v>
      </c>
      <c r="L119" s="55" t="str">
        <f t="shared" si="135"/>
        <v>Conexão.Estrutural</v>
      </c>
      <c r="M119" s="55" t="str">
        <f t="shared" si="136"/>
        <v>Fixações</v>
      </c>
      <c r="N119" s="55" t="str">
        <f t="shared" si="137"/>
        <v>Parafusos</v>
      </c>
      <c r="O119" s="55" t="str">
        <f t="shared" ref="O119:O120" si="160">_xlfn.CONCAT(SUBSTITUTE(F119,"."," "))</f>
        <v>Parafuso ASTM</v>
      </c>
      <c r="P119" s="55" t="s">
        <v>548</v>
      </c>
      <c r="Q119" s="55" t="s">
        <v>720</v>
      </c>
      <c r="R119" s="50" t="s">
        <v>9</v>
      </c>
      <c r="S119" s="50" t="str">
        <f t="shared" si="122"/>
        <v>Conexão Estrutural</v>
      </c>
      <c r="T119" s="50" t="str">
        <f t="shared" si="123"/>
        <v>Fixações</v>
      </c>
      <c r="U119" s="50" t="str">
        <f t="shared" si="124"/>
        <v>Parafusos</v>
      </c>
      <c r="V119" s="50" t="s">
        <v>672</v>
      </c>
      <c r="W119" s="58" t="str">
        <f t="shared" si="102"/>
        <v>Key-MET-119</v>
      </c>
      <c r="X119" s="50" t="s">
        <v>1061</v>
      </c>
      <c r="Y119" s="50" t="s">
        <v>1038</v>
      </c>
      <c r="Z119" s="50" t="s">
        <v>9</v>
      </c>
      <c r="AA119" s="50" t="str">
        <f t="shared" si="103"/>
        <v>ASTM Heavy Duty Thread Structural Bolt</v>
      </c>
    </row>
    <row r="120" spans="1:27" ht="6.6" customHeight="1" x14ac:dyDescent="0.25">
      <c r="A120" s="63">
        <v>120</v>
      </c>
      <c r="B120" s="45" t="s">
        <v>1076</v>
      </c>
      <c r="C120" s="40" t="s">
        <v>850</v>
      </c>
      <c r="D120" s="40" t="s">
        <v>617</v>
      </c>
      <c r="E120" s="40" t="s">
        <v>615</v>
      </c>
      <c r="F120" s="40" t="s">
        <v>534</v>
      </c>
      <c r="G120" s="64" t="s">
        <v>9</v>
      </c>
      <c r="H120" s="64" t="s">
        <v>9</v>
      </c>
      <c r="I120" s="64" t="s">
        <v>9</v>
      </c>
      <c r="J120" s="64" t="s">
        <v>9</v>
      </c>
      <c r="K120" s="64" t="s">
        <v>9</v>
      </c>
      <c r="L120" s="55" t="str">
        <f t="shared" si="135"/>
        <v>Conexão.Estrutural</v>
      </c>
      <c r="M120" s="55" t="str">
        <f t="shared" si="136"/>
        <v>Fixações</v>
      </c>
      <c r="N120" s="55" t="str">
        <f t="shared" si="137"/>
        <v>Parafusos</v>
      </c>
      <c r="O120" s="55" t="str">
        <f t="shared" si="160"/>
        <v>Parafuso Drywall</v>
      </c>
      <c r="P120" s="55" t="s">
        <v>535</v>
      </c>
      <c r="Q120" s="55" t="s">
        <v>721</v>
      </c>
      <c r="R120" s="50" t="s">
        <v>9</v>
      </c>
      <c r="S120" s="50" t="str">
        <f t="shared" si="122"/>
        <v>Conexão Estrutural</v>
      </c>
      <c r="T120" s="50" t="str">
        <f t="shared" si="123"/>
        <v>Fixações</v>
      </c>
      <c r="U120" s="50" t="str">
        <f t="shared" si="124"/>
        <v>Parafusos</v>
      </c>
      <c r="V120" s="50" t="s">
        <v>672</v>
      </c>
      <c r="W120" s="58" t="str">
        <f t="shared" si="102"/>
        <v>Key-MET-120</v>
      </c>
      <c r="X120" s="50" t="s">
        <v>1061</v>
      </c>
      <c r="Y120" s="50" t="s">
        <v>1038</v>
      </c>
      <c r="Z120" s="50" t="s">
        <v>9</v>
      </c>
      <c r="AA120" s="50" t="str">
        <f t="shared" si="103"/>
        <v>Drywall Screw</v>
      </c>
    </row>
    <row r="121" spans="1:27" ht="6.6" customHeight="1" x14ac:dyDescent="0.25">
      <c r="A121" s="63">
        <v>121</v>
      </c>
      <c r="B121" s="45" t="s">
        <v>1076</v>
      </c>
      <c r="C121" s="40" t="s">
        <v>850</v>
      </c>
      <c r="D121" s="40" t="s">
        <v>617</v>
      </c>
      <c r="E121" s="40" t="s">
        <v>615</v>
      </c>
      <c r="F121" s="39" t="s">
        <v>533</v>
      </c>
      <c r="G121" s="64" t="s">
        <v>9</v>
      </c>
      <c r="H121" s="64" t="s">
        <v>9</v>
      </c>
      <c r="I121" s="64" t="s">
        <v>9</v>
      </c>
      <c r="J121" s="64" t="s">
        <v>9</v>
      </c>
      <c r="K121" s="64" t="s">
        <v>9</v>
      </c>
      <c r="L121" s="55" t="str">
        <f t="shared" ref="L121:L122" si="161">_xlfn.CONCAT(SUBSTITUTE(C121,"1.",""))</f>
        <v>Conexão.Estrutural</v>
      </c>
      <c r="M121" s="55" t="str">
        <f t="shared" ref="M121:M122" si="162">_xlfn.CONCAT(SUBSTITUTE(D121,"."," "))</f>
        <v>Fixações</v>
      </c>
      <c r="N121" s="55" t="str">
        <f t="shared" ref="N121:N122" si="163">_xlfn.CONCAT(SUBSTITUTE(E121,"."," "))</f>
        <v>Parafusos</v>
      </c>
      <c r="O121" s="55" t="str">
        <f t="shared" ref="O121:O122" si="164">_xlfn.CONCAT(SUBSTITUTE(F121,"."," "))</f>
        <v>Parafuso Brocante</v>
      </c>
      <c r="P121" s="55" t="s">
        <v>536</v>
      </c>
      <c r="Q121" s="55" t="s">
        <v>722</v>
      </c>
      <c r="R121" s="50" t="s">
        <v>9</v>
      </c>
      <c r="S121" s="50" t="str">
        <f t="shared" si="122"/>
        <v>Conexão Estrutural</v>
      </c>
      <c r="T121" s="50" t="str">
        <f t="shared" si="123"/>
        <v>Fixações</v>
      </c>
      <c r="U121" s="50" t="str">
        <f t="shared" si="124"/>
        <v>Parafusos</v>
      </c>
      <c r="V121" s="50" t="s">
        <v>672</v>
      </c>
      <c r="W121" s="58" t="str">
        <f t="shared" si="102"/>
        <v>Key-MET-121</v>
      </c>
      <c r="X121" s="50" t="s">
        <v>1061</v>
      </c>
      <c r="Y121" s="50" t="s">
        <v>1038</v>
      </c>
      <c r="Z121" s="50" t="s">
        <v>9</v>
      </c>
      <c r="AA121" s="50" t="str">
        <f t="shared" si="103"/>
        <v>Drilling Screw</v>
      </c>
    </row>
    <row r="122" spans="1:27" ht="6.6" customHeight="1" x14ac:dyDescent="0.25">
      <c r="A122" s="63">
        <v>122</v>
      </c>
      <c r="B122" s="45" t="s">
        <v>1076</v>
      </c>
      <c r="C122" s="40" t="s">
        <v>850</v>
      </c>
      <c r="D122" s="40" t="s">
        <v>617</v>
      </c>
      <c r="E122" s="40" t="s">
        <v>615</v>
      </c>
      <c r="F122" s="40" t="s">
        <v>549</v>
      </c>
      <c r="G122" s="64" t="s">
        <v>9</v>
      </c>
      <c r="H122" s="64" t="s">
        <v>9</v>
      </c>
      <c r="I122" s="64" t="s">
        <v>9</v>
      </c>
      <c r="J122" s="64" t="s">
        <v>9</v>
      </c>
      <c r="K122" s="64" t="s">
        <v>9</v>
      </c>
      <c r="L122" s="55" t="str">
        <f t="shared" si="161"/>
        <v>Conexão.Estrutural</v>
      </c>
      <c r="M122" s="55" t="str">
        <f t="shared" si="162"/>
        <v>Fixações</v>
      </c>
      <c r="N122" s="55" t="str">
        <f t="shared" si="163"/>
        <v>Parafusos</v>
      </c>
      <c r="O122" s="55" t="str">
        <f t="shared" si="164"/>
        <v>Parafuso Auto Atarraxante</v>
      </c>
      <c r="P122" s="55" t="s">
        <v>537</v>
      </c>
      <c r="Q122" s="55" t="s">
        <v>723</v>
      </c>
      <c r="R122" s="50" t="s">
        <v>9</v>
      </c>
      <c r="S122" s="50" t="str">
        <f t="shared" si="122"/>
        <v>Conexão Estrutural</v>
      </c>
      <c r="T122" s="50" t="str">
        <f t="shared" si="123"/>
        <v>Fixações</v>
      </c>
      <c r="U122" s="50" t="str">
        <f t="shared" si="124"/>
        <v>Parafusos</v>
      </c>
      <c r="V122" s="50" t="s">
        <v>672</v>
      </c>
      <c r="W122" s="58" t="str">
        <f t="shared" si="102"/>
        <v>Key-MET-122</v>
      </c>
      <c r="X122" s="50" t="s">
        <v>1061</v>
      </c>
      <c r="Y122" s="50" t="s">
        <v>1038</v>
      </c>
      <c r="Z122" s="50" t="s">
        <v>9</v>
      </c>
      <c r="AA122" s="50" t="str">
        <f t="shared" si="103"/>
        <v>Self-tapping screw</v>
      </c>
    </row>
    <row r="123" spans="1:27" ht="6.6" customHeight="1" x14ac:dyDescent="0.25">
      <c r="A123" s="63">
        <v>123</v>
      </c>
      <c r="B123" s="45" t="s">
        <v>1076</v>
      </c>
      <c r="C123" s="40" t="s">
        <v>850</v>
      </c>
      <c r="D123" s="40" t="s">
        <v>617</v>
      </c>
      <c r="E123" s="40" t="s">
        <v>600</v>
      </c>
      <c r="F123" s="40" t="s">
        <v>616</v>
      </c>
      <c r="G123" s="64" t="s">
        <v>9</v>
      </c>
      <c r="H123" s="64" t="s">
        <v>9</v>
      </c>
      <c r="I123" s="64" t="s">
        <v>9</v>
      </c>
      <c r="J123" s="64" t="s">
        <v>9</v>
      </c>
      <c r="K123" s="64" t="s">
        <v>9</v>
      </c>
      <c r="L123" s="55" t="str">
        <f t="shared" ref="L123:L126" si="165">_xlfn.CONCAT(SUBSTITUTE(C123,"1.",""))</f>
        <v>Conexão.Estrutural</v>
      </c>
      <c r="M123" s="55" t="str">
        <f t="shared" ref="M123:M126" si="166">_xlfn.CONCAT(SUBSTITUTE(D123,"."," "))</f>
        <v>Fixações</v>
      </c>
      <c r="N123" s="55" t="str">
        <f t="shared" ref="N123:N126" si="167">_xlfn.CONCAT(SUBSTITUTE(E123,"."," "))</f>
        <v>Pinos</v>
      </c>
      <c r="O123" s="55" t="str">
        <f t="shared" ref="O123:O126" si="168">_xlfn.CONCAT(SUBSTITUTE(F123,"."," "))</f>
        <v>Pino de Cisalhamento</v>
      </c>
      <c r="P123" s="55" t="s">
        <v>979</v>
      </c>
      <c r="Q123" s="55" t="s">
        <v>980</v>
      </c>
      <c r="R123" s="50" t="s">
        <v>9</v>
      </c>
      <c r="S123" s="50" t="str">
        <f t="shared" si="122"/>
        <v>Conexão Estrutural</v>
      </c>
      <c r="T123" s="50" t="str">
        <f t="shared" si="123"/>
        <v>Fixações</v>
      </c>
      <c r="U123" s="50" t="str">
        <f t="shared" si="124"/>
        <v>Pinos</v>
      </c>
      <c r="V123" s="50" t="s">
        <v>672</v>
      </c>
      <c r="W123" s="58" t="str">
        <f t="shared" si="102"/>
        <v>Key-MET-123</v>
      </c>
      <c r="X123" s="50" t="s">
        <v>1063</v>
      </c>
      <c r="Y123" s="50" t="s">
        <v>1038</v>
      </c>
      <c r="Z123" s="50" t="s">
        <v>9</v>
      </c>
      <c r="AA123" s="50" t="str">
        <f t="shared" si="103"/>
        <v>Shear Pin for Steel Deck Slabs</v>
      </c>
    </row>
    <row r="124" spans="1:27" ht="6.6" customHeight="1" x14ac:dyDescent="0.25">
      <c r="A124" s="63">
        <v>124</v>
      </c>
      <c r="B124" s="45" t="s">
        <v>1076</v>
      </c>
      <c r="C124" s="40" t="s">
        <v>995</v>
      </c>
      <c r="D124" s="40" t="s">
        <v>748</v>
      </c>
      <c r="E124" s="40" t="s">
        <v>935</v>
      </c>
      <c r="F124" s="40" t="s">
        <v>936</v>
      </c>
      <c r="G124" s="64" t="s">
        <v>9</v>
      </c>
      <c r="H124" s="64" t="s">
        <v>9</v>
      </c>
      <c r="I124" s="64" t="s">
        <v>9</v>
      </c>
      <c r="J124" s="64" t="s">
        <v>9</v>
      </c>
      <c r="K124" s="64" t="s">
        <v>9</v>
      </c>
      <c r="L124" s="55" t="str">
        <f t="shared" si="165"/>
        <v>Tipos.Estruturais</v>
      </c>
      <c r="M124" s="55" t="str">
        <f t="shared" si="166"/>
        <v>Galpões</v>
      </c>
      <c r="N124" s="55" t="str">
        <f t="shared" si="167"/>
        <v>Pórticos de Galpões</v>
      </c>
      <c r="O124" s="55" t="str">
        <f t="shared" si="168"/>
        <v>Pórtico Galpão</v>
      </c>
      <c r="P124" s="55" t="s">
        <v>891</v>
      </c>
      <c r="Q124" s="55" t="s">
        <v>909</v>
      </c>
      <c r="R124" s="50" t="s">
        <v>9</v>
      </c>
      <c r="S124" s="50" t="str">
        <f t="shared" ref="S124:S126" si="169">SUBSTITUTE(C124, ".", " ")</f>
        <v>Tipos Estruturais</v>
      </c>
      <c r="T124" s="50" t="str">
        <f t="shared" ref="T124:T126" si="170">SUBSTITUTE(D124, ".", " ")</f>
        <v>Galpões</v>
      </c>
      <c r="U124" s="50" t="str">
        <f t="shared" ref="U124:U126" si="171">SUBSTITUTE(E124, ".", " ")</f>
        <v>Pórticos de Galpões</v>
      </c>
      <c r="V124" s="50" t="s">
        <v>672</v>
      </c>
      <c r="W124" s="58" t="str">
        <f t="shared" si="102"/>
        <v>Key-MET-124</v>
      </c>
      <c r="X124" s="50" t="s">
        <v>1016</v>
      </c>
      <c r="Y124" s="50" t="s">
        <v>1017</v>
      </c>
      <c r="Z124" s="50" t="s">
        <v>9</v>
      </c>
      <c r="AA124" s="50" t="str">
        <f t="shared" si="103"/>
        <v>Metal shed</v>
      </c>
    </row>
    <row r="125" spans="1:27" ht="6.6" customHeight="1" x14ac:dyDescent="0.25">
      <c r="A125" s="63">
        <v>125</v>
      </c>
      <c r="B125" s="45" t="s">
        <v>1076</v>
      </c>
      <c r="C125" s="40" t="s">
        <v>995</v>
      </c>
      <c r="D125" s="40" t="s">
        <v>748</v>
      </c>
      <c r="E125" s="40" t="s">
        <v>935</v>
      </c>
      <c r="F125" s="40" t="s">
        <v>937</v>
      </c>
      <c r="G125" s="64" t="s">
        <v>9</v>
      </c>
      <c r="H125" s="64" t="s">
        <v>9</v>
      </c>
      <c r="I125" s="64" t="s">
        <v>9</v>
      </c>
      <c r="J125" s="64" t="s">
        <v>9</v>
      </c>
      <c r="K125" s="64" t="s">
        <v>9</v>
      </c>
      <c r="L125" s="55" t="str">
        <f t="shared" si="165"/>
        <v>Tipos.Estruturais</v>
      </c>
      <c r="M125" s="55" t="str">
        <f t="shared" si="166"/>
        <v>Galpões</v>
      </c>
      <c r="N125" s="55" t="str">
        <f t="shared" si="167"/>
        <v>Pórticos de Galpões</v>
      </c>
      <c r="O125" s="55" t="str">
        <f t="shared" si="168"/>
        <v>Pórtico Galpão e Anexo</v>
      </c>
      <c r="P125" s="55" t="s">
        <v>892</v>
      </c>
      <c r="Q125" s="55" t="s">
        <v>910</v>
      </c>
      <c r="R125" s="50" t="s">
        <v>9</v>
      </c>
      <c r="S125" s="50" t="str">
        <f t="shared" si="169"/>
        <v>Tipos Estruturais</v>
      </c>
      <c r="T125" s="50" t="str">
        <f t="shared" si="170"/>
        <v>Galpões</v>
      </c>
      <c r="U125" s="50" t="str">
        <f t="shared" si="171"/>
        <v>Pórticos de Galpões</v>
      </c>
      <c r="V125" s="50" t="s">
        <v>672</v>
      </c>
      <c r="W125" s="58" t="str">
        <f t="shared" si="102"/>
        <v>Key-MET-125</v>
      </c>
      <c r="X125" s="50" t="s">
        <v>1016</v>
      </c>
      <c r="Y125" s="50" t="s">
        <v>1017</v>
      </c>
      <c r="Z125" s="50" t="s">
        <v>9</v>
      </c>
      <c r="AA125" s="50" t="str">
        <f t="shared" si="103"/>
        <v>Metal shed of multiple modules.</v>
      </c>
    </row>
    <row r="126" spans="1:27" ht="6.6" customHeight="1" x14ac:dyDescent="0.25">
      <c r="A126" s="63">
        <v>126</v>
      </c>
      <c r="B126" s="45" t="s">
        <v>1076</v>
      </c>
      <c r="C126" s="40" t="s">
        <v>995</v>
      </c>
      <c r="D126" s="40" t="s">
        <v>748</v>
      </c>
      <c r="E126" s="40" t="s">
        <v>935</v>
      </c>
      <c r="F126" s="40" t="s">
        <v>938</v>
      </c>
      <c r="G126" s="64" t="s">
        <v>9</v>
      </c>
      <c r="H126" s="64" t="s">
        <v>9</v>
      </c>
      <c r="I126" s="64" t="s">
        <v>9</v>
      </c>
      <c r="J126" s="64" t="s">
        <v>9</v>
      </c>
      <c r="K126" s="64" t="s">
        <v>9</v>
      </c>
      <c r="L126" s="55" t="str">
        <f t="shared" si="165"/>
        <v>Tipos.Estruturais</v>
      </c>
      <c r="M126" s="55" t="str">
        <f t="shared" si="166"/>
        <v>Galpões</v>
      </c>
      <c r="N126" s="55" t="str">
        <f t="shared" si="167"/>
        <v>Pórticos de Galpões</v>
      </c>
      <c r="O126" s="55" t="str">
        <f t="shared" si="168"/>
        <v>Pórtico Galpão Vãos Múltiplos</v>
      </c>
      <c r="P126" s="55" t="s">
        <v>893</v>
      </c>
      <c r="Q126" s="55" t="s">
        <v>911</v>
      </c>
      <c r="R126" s="50" t="s">
        <v>9</v>
      </c>
      <c r="S126" s="50" t="str">
        <f t="shared" si="169"/>
        <v>Tipos Estruturais</v>
      </c>
      <c r="T126" s="50" t="str">
        <f t="shared" si="170"/>
        <v>Galpões</v>
      </c>
      <c r="U126" s="50" t="str">
        <f t="shared" si="171"/>
        <v>Pórticos de Galpões</v>
      </c>
      <c r="V126" s="50" t="s">
        <v>672</v>
      </c>
      <c r="W126" s="58" t="str">
        <f t="shared" si="102"/>
        <v>Key-MET-126</v>
      </c>
      <c r="X126" s="50" t="s">
        <v>1016</v>
      </c>
      <c r="Y126" s="50" t="s">
        <v>1017</v>
      </c>
      <c r="Z126" s="50" t="s">
        <v>9</v>
      </c>
      <c r="AA126" s="50" t="str">
        <f t="shared" si="103"/>
        <v>Metal shed with adjacent annex.</v>
      </c>
    </row>
  </sheetData>
  <phoneticPr fontId="9" type="noConversion"/>
  <conditionalFormatting sqref="A2:B126">
    <cfRule type="cellIs" dxfId="6" priority="6" operator="equal">
      <formula>"null"</formula>
    </cfRule>
  </conditionalFormatting>
  <conditionalFormatting sqref="F1:F1048576">
    <cfRule type="duplicateValues" dxfId="5" priority="20"/>
  </conditionalFormatting>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E4F22-2568-4D5A-A538-DD63A5C43724}">
  <sheetPr codeName="Planilha3"/>
  <dimension ref="A1:U2"/>
  <sheetViews>
    <sheetView zoomScale="235" zoomScaleNormal="235" workbookViewId="0">
      <pane ySplit="1" topLeftCell="A2" activePane="bottomLeft" state="frozen"/>
      <selection activeCell="B2" sqref="B2"/>
      <selection pane="bottomLeft" activeCell="B5" sqref="B5"/>
    </sheetView>
  </sheetViews>
  <sheetFormatPr defaultColWidth="5.7109375" defaultRowHeight="7.9" customHeight="1" x14ac:dyDescent="0.15"/>
  <cols>
    <col min="1" max="1" width="2.7109375" style="11" customWidth="1"/>
    <col min="2" max="10" width="5.7109375" style="12"/>
    <col min="11" max="16384" width="5.7109375" style="22"/>
  </cols>
  <sheetData>
    <row r="1" spans="1:21" ht="16.5" x14ac:dyDescent="0.15">
      <c r="A1" s="20">
        <v>1</v>
      </c>
      <c r="B1" s="21" t="s">
        <v>37</v>
      </c>
      <c r="C1" s="21" t="s">
        <v>38</v>
      </c>
      <c r="D1" s="21" t="s">
        <v>39</v>
      </c>
      <c r="E1" s="21" t="s">
        <v>40</v>
      </c>
      <c r="F1" s="21" t="s">
        <v>41</v>
      </c>
      <c r="G1" s="21" t="s">
        <v>42</v>
      </c>
      <c r="H1" s="21" t="s">
        <v>43</v>
      </c>
      <c r="I1" s="21" t="s">
        <v>44</v>
      </c>
      <c r="J1" s="21" t="s">
        <v>45</v>
      </c>
      <c r="K1" s="21" t="s">
        <v>46</v>
      </c>
      <c r="L1" s="21" t="s">
        <v>47</v>
      </c>
      <c r="M1" s="21" t="s">
        <v>48</v>
      </c>
      <c r="N1" s="21" t="s">
        <v>49</v>
      </c>
      <c r="O1" s="21" t="s">
        <v>50</v>
      </c>
      <c r="P1" s="21" t="s">
        <v>51</v>
      </c>
      <c r="Q1" s="21" t="s">
        <v>52</v>
      </c>
      <c r="R1" s="21" t="s">
        <v>53</v>
      </c>
      <c r="S1" s="21" t="s">
        <v>54</v>
      </c>
      <c r="T1" s="21" t="s">
        <v>55</v>
      </c>
      <c r="U1" s="21" t="s">
        <v>56</v>
      </c>
    </row>
    <row r="2" spans="1:21" ht="8.25" x14ac:dyDescent="0.15">
      <c r="A2" s="20">
        <v>2</v>
      </c>
      <c r="B2" s="23" t="s">
        <v>9</v>
      </c>
      <c r="C2" s="23" t="s">
        <v>9</v>
      </c>
      <c r="D2" s="23" t="s">
        <v>9</v>
      </c>
      <c r="E2" s="23" t="s">
        <v>9</v>
      </c>
      <c r="F2" s="23" t="s">
        <v>9</v>
      </c>
      <c r="G2" s="23" t="s">
        <v>9</v>
      </c>
      <c r="H2" s="23" t="s">
        <v>9</v>
      </c>
      <c r="I2" s="23" t="s">
        <v>9</v>
      </c>
      <c r="J2" s="23" t="s">
        <v>9</v>
      </c>
      <c r="K2" s="23" t="s">
        <v>9</v>
      </c>
      <c r="L2" s="23" t="s">
        <v>9</v>
      </c>
      <c r="M2" s="23" t="s">
        <v>9</v>
      </c>
      <c r="N2" s="23" t="s">
        <v>9</v>
      </c>
      <c r="O2" s="23" t="s">
        <v>9</v>
      </c>
      <c r="P2" s="23" t="s">
        <v>9</v>
      </c>
      <c r="Q2" s="23" t="s">
        <v>9</v>
      </c>
      <c r="R2" s="23" t="s">
        <v>9</v>
      </c>
      <c r="S2" s="23" t="s">
        <v>9</v>
      </c>
      <c r="T2" s="23" t="s">
        <v>9</v>
      </c>
      <c r="U2" s="23" t="s">
        <v>9</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8B84A-AA24-421E-9F4E-92D6A71CA3BE}">
  <sheetPr codeName="Planilha4"/>
  <dimension ref="A1:D3"/>
  <sheetViews>
    <sheetView zoomScale="370" zoomScaleNormal="370" workbookViewId="0">
      <pane ySplit="1" topLeftCell="A2" activePane="bottomLeft" state="frozen"/>
      <selection activeCell="B2" sqref="B2"/>
      <selection pane="bottomLeft" activeCell="B7" sqref="B7"/>
    </sheetView>
  </sheetViews>
  <sheetFormatPr defaultColWidth="9.140625" defaultRowHeight="6.75" customHeight="1" x14ac:dyDescent="0.15"/>
  <cols>
    <col min="1" max="1" width="3" style="13" bestFit="1" customWidth="1"/>
    <col min="2" max="2" width="7.85546875" style="13" customWidth="1"/>
    <col min="3" max="3" width="11.28515625" style="13" customWidth="1"/>
    <col min="4" max="4" width="7.28515625" style="13" customWidth="1"/>
    <col min="5" max="16384" width="9.140625" style="13"/>
  </cols>
  <sheetData>
    <row r="1" spans="1:4" ht="6.75" customHeight="1" x14ac:dyDescent="0.15">
      <c r="A1" s="8">
        <v>1</v>
      </c>
      <c r="B1" s="9" t="s">
        <v>14</v>
      </c>
      <c r="C1" s="9" t="s">
        <v>75</v>
      </c>
      <c r="D1" s="9" t="s">
        <v>75</v>
      </c>
    </row>
    <row r="2" spans="1:4" ht="6.75" customHeight="1" x14ac:dyDescent="0.15">
      <c r="A2" s="7">
        <v>2</v>
      </c>
      <c r="B2" s="26" t="s">
        <v>9</v>
      </c>
      <c r="C2" s="27" t="s">
        <v>9</v>
      </c>
      <c r="D2" s="27" t="s">
        <v>9</v>
      </c>
    </row>
    <row r="3" spans="1:4" ht="6.75" customHeight="1" x14ac:dyDescent="0.15">
      <c r="A3" s="7">
        <v>3</v>
      </c>
      <c r="B3" s="26" t="s">
        <v>9</v>
      </c>
      <c r="C3" s="27" t="s">
        <v>9</v>
      </c>
      <c r="D3" s="27" t="s">
        <v>9</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50BAA-DAEA-47D5-8FAA-A68A87918655}">
  <sheetPr codeName="Planilha5"/>
  <dimension ref="A1:AK156"/>
  <sheetViews>
    <sheetView zoomScale="280" zoomScaleNormal="280" workbookViewId="0">
      <pane ySplit="1" topLeftCell="A2" activePane="bottomLeft" state="frozen"/>
      <selection pane="bottomLeft" activeCell="AI6" sqref="AI6"/>
    </sheetView>
  </sheetViews>
  <sheetFormatPr defaultColWidth="9.140625" defaultRowHeight="6.6" customHeight="1" x14ac:dyDescent="0.25"/>
  <cols>
    <col min="1" max="1" width="3.140625" style="68" bestFit="1" customWidth="1"/>
    <col min="2" max="2" width="11.5703125" style="68" bestFit="1" customWidth="1"/>
    <col min="3" max="3" width="10.85546875" style="68" bestFit="1" customWidth="1"/>
    <col min="4" max="4" width="8.7109375" style="68" bestFit="1" customWidth="1"/>
    <col min="5" max="5" width="10.42578125" style="68" bestFit="1" customWidth="1"/>
    <col min="6" max="6" width="4.85546875" style="69" bestFit="1" customWidth="1"/>
    <col min="7" max="7" width="5.85546875" style="69" bestFit="1" customWidth="1"/>
    <col min="8" max="8" width="4.28515625" style="69" bestFit="1" customWidth="1"/>
    <col min="9" max="9" width="4.85546875" style="69" bestFit="1" customWidth="1"/>
    <col min="10" max="10" width="4.28515625" style="69" bestFit="1" customWidth="1"/>
    <col min="11" max="11" width="10.42578125" style="70" bestFit="1" customWidth="1"/>
    <col min="12" max="12" width="11.7109375" style="69" bestFit="1" customWidth="1"/>
    <col min="13" max="13" width="4.85546875" style="70" bestFit="1" customWidth="1"/>
    <col min="14" max="14" width="11" style="69" bestFit="1" customWidth="1"/>
    <col min="15" max="15" width="4.85546875" style="70" bestFit="1" customWidth="1"/>
    <col min="16" max="16" width="4.28515625" style="69" bestFit="1" customWidth="1"/>
    <col min="17" max="17" width="4.85546875" style="71" bestFit="1" customWidth="1"/>
    <col min="18" max="18" width="4.5703125" style="69" bestFit="1" customWidth="1"/>
    <col min="19" max="19" width="4.85546875" style="71" bestFit="1" customWidth="1"/>
    <col min="20" max="20" width="4.28515625" style="69" bestFit="1" customWidth="1"/>
    <col min="21" max="21" width="4.85546875" style="71" bestFit="1" customWidth="1"/>
    <col min="22" max="22" width="4.28515625" style="69" bestFit="1" customWidth="1"/>
    <col min="23" max="23" width="4.85546875" style="71" bestFit="1" customWidth="1"/>
    <col min="24" max="24" width="3" style="69" bestFit="1" customWidth="1"/>
    <col min="25" max="25" width="4.85546875" style="71" bestFit="1" customWidth="1"/>
    <col min="26" max="26" width="7.140625" style="69" bestFit="1" customWidth="1"/>
    <col min="27" max="27" width="4.85546875" style="71" bestFit="1" customWidth="1"/>
    <col min="28" max="28" width="6" style="68" bestFit="1" customWidth="1"/>
    <col min="29" max="29" width="109.85546875" style="68" bestFit="1" customWidth="1"/>
    <col min="30" max="30" width="8.28515625" style="69" bestFit="1" customWidth="1"/>
    <col min="31" max="31" width="94.140625" style="69" bestFit="1" customWidth="1"/>
    <col min="32" max="32" width="8.42578125" style="69" bestFit="1" customWidth="1"/>
    <col min="33" max="33" width="18.7109375" style="69" bestFit="1" customWidth="1"/>
    <col min="34" max="34" width="8.42578125" style="69" bestFit="1" customWidth="1"/>
    <col min="35" max="35" width="8.42578125" style="69" customWidth="1"/>
    <col min="36" max="36" width="7.28515625" style="69" bestFit="1" customWidth="1"/>
    <col min="37" max="37" width="11.7109375" style="69" bestFit="1" customWidth="1"/>
    <col min="38" max="16384" width="9.140625" style="68"/>
  </cols>
  <sheetData>
    <row r="1" spans="1:37" ht="24.75" customHeight="1" x14ac:dyDescent="0.25">
      <c r="A1" s="14" t="s">
        <v>30</v>
      </c>
      <c r="B1" s="15" t="s">
        <v>13</v>
      </c>
      <c r="C1" s="15" t="s">
        <v>14</v>
      </c>
      <c r="D1" s="28" t="s">
        <v>15</v>
      </c>
      <c r="E1" s="15" t="s">
        <v>2</v>
      </c>
      <c r="F1" s="15" t="s">
        <v>15</v>
      </c>
      <c r="G1" s="15" t="s">
        <v>2</v>
      </c>
      <c r="H1" s="15" t="s">
        <v>15</v>
      </c>
      <c r="I1" s="15" t="s">
        <v>2</v>
      </c>
      <c r="J1" s="15" t="s">
        <v>15</v>
      </c>
      <c r="K1" s="59" t="s">
        <v>2</v>
      </c>
      <c r="L1" s="15" t="s">
        <v>15</v>
      </c>
      <c r="M1" s="59" t="s">
        <v>2</v>
      </c>
      <c r="N1" s="15" t="s">
        <v>15</v>
      </c>
      <c r="O1" s="59" t="s">
        <v>2</v>
      </c>
      <c r="P1" s="15" t="s">
        <v>15</v>
      </c>
      <c r="Q1" s="14" t="s">
        <v>2</v>
      </c>
      <c r="R1" s="15" t="s">
        <v>15</v>
      </c>
      <c r="S1" s="14" t="s">
        <v>2</v>
      </c>
      <c r="T1" s="15" t="s">
        <v>15</v>
      </c>
      <c r="U1" s="14" t="s">
        <v>2</v>
      </c>
      <c r="V1" s="15" t="s">
        <v>15</v>
      </c>
      <c r="W1" s="14" t="s">
        <v>2</v>
      </c>
      <c r="X1" s="44" t="s">
        <v>15</v>
      </c>
      <c r="Y1" s="14" t="s">
        <v>2</v>
      </c>
      <c r="Z1" s="15" t="s">
        <v>15</v>
      </c>
      <c r="AA1" s="14" t="s">
        <v>2</v>
      </c>
      <c r="AB1" s="28" t="s">
        <v>15</v>
      </c>
      <c r="AC1" s="28" t="s">
        <v>2</v>
      </c>
      <c r="AD1" s="15" t="s">
        <v>15</v>
      </c>
      <c r="AE1" s="15" t="s">
        <v>2</v>
      </c>
      <c r="AF1" s="15" t="s">
        <v>15</v>
      </c>
      <c r="AG1" s="44" t="s">
        <v>2</v>
      </c>
      <c r="AH1" s="15" t="s">
        <v>15</v>
      </c>
      <c r="AI1" s="44" t="s">
        <v>2</v>
      </c>
      <c r="AJ1" s="15" t="s">
        <v>15</v>
      </c>
      <c r="AK1" s="44" t="s">
        <v>2</v>
      </c>
    </row>
    <row r="2" spans="1:37" ht="6.6" customHeight="1" x14ac:dyDescent="0.25">
      <c r="A2" s="16">
        <v>2</v>
      </c>
      <c r="B2" s="17" t="s">
        <v>565</v>
      </c>
      <c r="C2" s="18" t="s">
        <v>1077</v>
      </c>
      <c r="D2" s="29" t="s">
        <v>564</v>
      </c>
      <c r="E2" s="30" t="s">
        <v>555</v>
      </c>
      <c r="F2" s="36" t="s">
        <v>9</v>
      </c>
      <c r="G2" s="37" t="s">
        <v>9</v>
      </c>
      <c r="H2" s="36" t="s">
        <v>9</v>
      </c>
      <c r="I2" s="37" t="s">
        <v>9</v>
      </c>
      <c r="J2" s="31" t="s">
        <v>9</v>
      </c>
      <c r="K2" s="60" t="s">
        <v>9</v>
      </c>
      <c r="L2" s="31" t="s">
        <v>9</v>
      </c>
      <c r="M2" s="60" t="s">
        <v>9</v>
      </c>
      <c r="N2" s="31" t="s">
        <v>9</v>
      </c>
      <c r="O2" s="60" t="s">
        <v>9</v>
      </c>
      <c r="P2" s="31" t="s">
        <v>9</v>
      </c>
      <c r="Q2" s="33" t="s">
        <v>9</v>
      </c>
      <c r="R2" s="31" t="s">
        <v>9</v>
      </c>
      <c r="S2" s="33" t="s">
        <v>9</v>
      </c>
      <c r="T2" s="31" t="s">
        <v>9</v>
      </c>
      <c r="U2" s="33" t="s">
        <v>9</v>
      </c>
      <c r="V2" s="31" t="s">
        <v>9</v>
      </c>
      <c r="W2" s="33" t="s">
        <v>9</v>
      </c>
      <c r="X2" s="31" t="s">
        <v>9</v>
      </c>
      <c r="Y2" s="33" t="s">
        <v>9</v>
      </c>
      <c r="Z2" s="31" t="s">
        <v>9</v>
      </c>
      <c r="AA2" s="33" t="s">
        <v>9</v>
      </c>
      <c r="AB2" s="43" t="s">
        <v>16</v>
      </c>
      <c r="AC2" s="42" t="s">
        <v>574</v>
      </c>
      <c r="AD2" s="31" t="s">
        <v>9</v>
      </c>
      <c r="AE2" s="19" t="s">
        <v>9</v>
      </c>
      <c r="AF2" s="41" t="s">
        <v>558</v>
      </c>
      <c r="AG2" s="19" t="s">
        <v>1078</v>
      </c>
      <c r="AH2" s="41" t="s">
        <v>558</v>
      </c>
      <c r="AI2" s="19" t="s">
        <v>1078</v>
      </c>
      <c r="AJ2" s="41" t="s">
        <v>1066</v>
      </c>
      <c r="AK2" s="19" t="s">
        <v>1067</v>
      </c>
    </row>
    <row r="3" spans="1:37" ht="6.6" customHeight="1" x14ac:dyDescent="0.25">
      <c r="A3" s="16">
        <v>3</v>
      </c>
      <c r="B3" s="17" t="s">
        <v>566</v>
      </c>
      <c r="C3" s="18" t="s">
        <v>1077</v>
      </c>
      <c r="D3" s="29" t="s">
        <v>564</v>
      </c>
      <c r="E3" s="30" t="s">
        <v>567</v>
      </c>
      <c r="F3" s="36" t="s">
        <v>9</v>
      </c>
      <c r="G3" s="37" t="s">
        <v>9</v>
      </c>
      <c r="H3" s="36" t="s">
        <v>9</v>
      </c>
      <c r="I3" s="37" t="s">
        <v>9</v>
      </c>
      <c r="J3" s="31" t="s">
        <v>9</v>
      </c>
      <c r="K3" s="60" t="s">
        <v>9</v>
      </c>
      <c r="L3" s="31" t="s">
        <v>9</v>
      </c>
      <c r="M3" s="60" t="s">
        <v>9</v>
      </c>
      <c r="N3" s="31" t="s">
        <v>9</v>
      </c>
      <c r="O3" s="60" t="s">
        <v>9</v>
      </c>
      <c r="P3" s="31" t="s">
        <v>9</v>
      </c>
      <c r="Q3" s="33" t="s">
        <v>9</v>
      </c>
      <c r="R3" s="31" t="s">
        <v>9</v>
      </c>
      <c r="S3" s="33" t="s">
        <v>9</v>
      </c>
      <c r="T3" s="31" t="s">
        <v>9</v>
      </c>
      <c r="U3" s="33" t="s">
        <v>9</v>
      </c>
      <c r="V3" s="31" t="s">
        <v>9</v>
      </c>
      <c r="W3" s="33" t="s">
        <v>9</v>
      </c>
      <c r="X3" s="31" t="s">
        <v>9</v>
      </c>
      <c r="Y3" s="33" t="s">
        <v>9</v>
      </c>
      <c r="Z3" s="31" t="s">
        <v>9</v>
      </c>
      <c r="AA3" s="33" t="s">
        <v>9</v>
      </c>
      <c r="AB3" s="43" t="s">
        <v>16</v>
      </c>
      <c r="AC3" s="42" t="s">
        <v>573</v>
      </c>
      <c r="AD3" s="31" t="s">
        <v>9</v>
      </c>
      <c r="AE3" s="19" t="s">
        <v>9</v>
      </c>
      <c r="AF3" s="41" t="s">
        <v>558</v>
      </c>
      <c r="AG3" s="19" t="s">
        <v>1078</v>
      </c>
      <c r="AH3" s="41" t="s">
        <v>558</v>
      </c>
      <c r="AI3" s="19" t="s">
        <v>1078</v>
      </c>
      <c r="AJ3" s="41" t="s">
        <v>1066</v>
      </c>
      <c r="AK3" s="19" t="s">
        <v>1067</v>
      </c>
    </row>
    <row r="4" spans="1:37" ht="6.6" customHeight="1" x14ac:dyDescent="0.25">
      <c r="A4" s="16">
        <v>4</v>
      </c>
      <c r="B4" s="17" t="s">
        <v>996</v>
      </c>
      <c r="C4" s="18" t="s">
        <v>598</v>
      </c>
      <c r="D4" s="29" t="s">
        <v>997</v>
      </c>
      <c r="E4" s="30" t="s">
        <v>568</v>
      </c>
      <c r="F4" s="36" t="s">
        <v>9</v>
      </c>
      <c r="G4" s="37" t="s">
        <v>9</v>
      </c>
      <c r="H4" s="36" t="s">
        <v>9</v>
      </c>
      <c r="I4" s="37" t="s">
        <v>9</v>
      </c>
      <c r="J4" s="31" t="s">
        <v>9</v>
      </c>
      <c r="K4" s="60" t="s">
        <v>9</v>
      </c>
      <c r="L4" s="31" t="s">
        <v>563</v>
      </c>
      <c r="M4" s="60">
        <v>345</v>
      </c>
      <c r="N4" s="31" t="s">
        <v>1001</v>
      </c>
      <c r="O4" s="33">
        <v>485</v>
      </c>
      <c r="P4" s="31" t="s">
        <v>9</v>
      </c>
      <c r="Q4" s="33" t="s">
        <v>9</v>
      </c>
      <c r="R4" s="31" t="s">
        <v>9</v>
      </c>
      <c r="S4" s="33" t="s">
        <v>9</v>
      </c>
      <c r="T4" s="31" t="s">
        <v>9</v>
      </c>
      <c r="U4" s="33" t="s">
        <v>9</v>
      </c>
      <c r="V4" s="31" t="s">
        <v>9</v>
      </c>
      <c r="W4" s="33" t="s">
        <v>9</v>
      </c>
      <c r="X4" s="31" t="s">
        <v>9</v>
      </c>
      <c r="Y4" s="33" t="s">
        <v>9</v>
      </c>
      <c r="Z4" s="31" t="s">
        <v>9</v>
      </c>
      <c r="AA4" s="33" t="s">
        <v>9</v>
      </c>
      <c r="AB4" s="43" t="s">
        <v>16</v>
      </c>
      <c r="AC4" s="42" t="s">
        <v>998</v>
      </c>
      <c r="AD4" s="31" t="s">
        <v>9</v>
      </c>
      <c r="AE4" s="19" t="s">
        <v>9</v>
      </c>
      <c r="AF4" s="41" t="s">
        <v>558</v>
      </c>
      <c r="AG4" s="19" t="s">
        <v>1079</v>
      </c>
      <c r="AH4" s="41" t="s">
        <v>559</v>
      </c>
      <c r="AI4" s="19" t="s">
        <v>1083</v>
      </c>
      <c r="AJ4" s="41" t="s">
        <v>1066</v>
      </c>
      <c r="AK4" s="62" t="s">
        <v>1068</v>
      </c>
    </row>
    <row r="5" spans="1:37" ht="6.6" customHeight="1" x14ac:dyDescent="0.25">
      <c r="A5" s="16">
        <v>5</v>
      </c>
      <c r="B5" s="17" t="s">
        <v>568</v>
      </c>
      <c r="C5" s="18" t="s">
        <v>598</v>
      </c>
      <c r="D5" s="29" t="s">
        <v>997</v>
      </c>
      <c r="E5" s="30" t="s">
        <v>996</v>
      </c>
      <c r="F5" s="36" t="s">
        <v>9</v>
      </c>
      <c r="G5" s="37" t="s">
        <v>9</v>
      </c>
      <c r="H5" s="36" t="s">
        <v>9</v>
      </c>
      <c r="I5" s="37" t="s">
        <v>9</v>
      </c>
      <c r="J5" s="31" t="s">
        <v>9</v>
      </c>
      <c r="K5" s="60" t="s">
        <v>9</v>
      </c>
      <c r="L5" s="31" t="s">
        <v>563</v>
      </c>
      <c r="M5" s="60">
        <v>345</v>
      </c>
      <c r="N5" s="31" t="s">
        <v>1001</v>
      </c>
      <c r="O5" s="33">
        <v>485</v>
      </c>
      <c r="P5" s="31" t="s">
        <v>9</v>
      </c>
      <c r="Q5" s="33" t="s">
        <v>9</v>
      </c>
      <c r="R5" s="31" t="s">
        <v>9</v>
      </c>
      <c r="S5" s="33" t="s">
        <v>9</v>
      </c>
      <c r="T5" s="31" t="s">
        <v>9</v>
      </c>
      <c r="U5" s="33" t="s">
        <v>9</v>
      </c>
      <c r="V5" s="31" t="s">
        <v>9</v>
      </c>
      <c r="W5" s="33" t="s">
        <v>9</v>
      </c>
      <c r="X5" s="31" t="s">
        <v>9</v>
      </c>
      <c r="Y5" s="33" t="s">
        <v>9</v>
      </c>
      <c r="Z5" s="31" t="s">
        <v>9</v>
      </c>
      <c r="AA5" s="33" t="s">
        <v>9</v>
      </c>
      <c r="AB5" s="43" t="s">
        <v>16</v>
      </c>
      <c r="AC5" s="42" t="s">
        <v>998</v>
      </c>
      <c r="AD5" s="31" t="s">
        <v>9</v>
      </c>
      <c r="AE5" s="19" t="s">
        <v>9</v>
      </c>
      <c r="AF5" s="41" t="s">
        <v>558</v>
      </c>
      <c r="AG5" s="19" t="s">
        <v>1079</v>
      </c>
      <c r="AH5" s="41" t="s">
        <v>559</v>
      </c>
      <c r="AI5" s="19" t="s">
        <v>1083</v>
      </c>
      <c r="AJ5" s="41" t="s">
        <v>1066</v>
      </c>
      <c r="AK5" s="62" t="s">
        <v>1068</v>
      </c>
    </row>
    <row r="6" spans="1:37" ht="6.6" customHeight="1" x14ac:dyDescent="0.25">
      <c r="A6" s="16">
        <v>6</v>
      </c>
      <c r="B6" s="17" t="s">
        <v>567</v>
      </c>
      <c r="C6" s="18" t="s">
        <v>598</v>
      </c>
      <c r="D6" s="29" t="s">
        <v>997</v>
      </c>
      <c r="E6" s="30" t="s">
        <v>996</v>
      </c>
      <c r="F6" s="36" t="s">
        <v>9</v>
      </c>
      <c r="G6" s="37" t="s">
        <v>9</v>
      </c>
      <c r="H6" s="36" t="s">
        <v>9</v>
      </c>
      <c r="I6" s="37" t="s">
        <v>9</v>
      </c>
      <c r="J6" s="31" t="s">
        <v>9</v>
      </c>
      <c r="K6" s="60" t="s">
        <v>9</v>
      </c>
      <c r="L6" s="31" t="s">
        <v>563</v>
      </c>
      <c r="M6" s="60">
        <v>345</v>
      </c>
      <c r="N6" s="31" t="s">
        <v>1001</v>
      </c>
      <c r="O6" s="33">
        <v>480</v>
      </c>
      <c r="P6" s="31" t="s">
        <v>9</v>
      </c>
      <c r="Q6" s="33" t="s">
        <v>9</v>
      </c>
      <c r="R6" s="31" t="s">
        <v>9</v>
      </c>
      <c r="S6" s="33" t="s">
        <v>9</v>
      </c>
      <c r="T6" s="31" t="s">
        <v>9</v>
      </c>
      <c r="U6" s="33" t="s">
        <v>9</v>
      </c>
      <c r="V6" s="31" t="s">
        <v>9</v>
      </c>
      <c r="W6" s="33" t="s">
        <v>9</v>
      </c>
      <c r="X6" s="31" t="s">
        <v>9</v>
      </c>
      <c r="Y6" s="33" t="s">
        <v>9</v>
      </c>
      <c r="Z6" s="31" t="s">
        <v>9</v>
      </c>
      <c r="AA6" s="33" t="s">
        <v>9</v>
      </c>
      <c r="AB6" s="43" t="s">
        <v>16</v>
      </c>
      <c r="AC6" s="42" t="s">
        <v>998</v>
      </c>
      <c r="AD6" s="31" t="s">
        <v>1000</v>
      </c>
      <c r="AE6" s="19" t="s">
        <v>999</v>
      </c>
      <c r="AF6" s="41" t="s">
        <v>558</v>
      </c>
      <c r="AG6" s="19" t="s">
        <v>1079</v>
      </c>
      <c r="AH6" s="41" t="s">
        <v>559</v>
      </c>
      <c r="AI6" s="19" t="s">
        <v>1083</v>
      </c>
      <c r="AJ6" s="41" t="s">
        <v>1066</v>
      </c>
      <c r="AK6" s="62" t="s">
        <v>1068</v>
      </c>
    </row>
    <row r="7" spans="1:37" ht="6.6" customHeight="1" x14ac:dyDescent="0.25">
      <c r="A7" s="16">
        <v>7</v>
      </c>
      <c r="B7" s="17" t="s">
        <v>557</v>
      </c>
      <c r="C7" s="18" t="s">
        <v>598</v>
      </c>
      <c r="D7" s="29" t="s">
        <v>9</v>
      </c>
      <c r="E7" s="30" t="s">
        <v>9</v>
      </c>
      <c r="F7" s="36" t="s">
        <v>9</v>
      </c>
      <c r="G7" s="37" t="s">
        <v>9</v>
      </c>
      <c r="H7" s="36" t="s">
        <v>9</v>
      </c>
      <c r="I7" s="37" t="s">
        <v>9</v>
      </c>
      <c r="J7" s="31" t="s">
        <v>9</v>
      </c>
      <c r="K7" s="60" t="s">
        <v>9</v>
      </c>
      <c r="L7" s="31" t="s">
        <v>563</v>
      </c>
      <c r="M7" s="60">
        <v>250</v>
      </c>
      <c r="N7" s="31" t="s">
        <v>1001</v>
      </c>
      <c r="O7" s="33">
        <v>400</v>
      </c>
      <c r="P7" s="31" t="s">
        <v>9</v>
      </c>
      <c r="Q7" s="33" t="s">
        <v>9</v>
      </c>
      <c r="R7" s="31" t="s">
        <v>9</v>
      </c>
      <c r="S7" s="33" t="s">
        <v>9</v>
      </c>
      <c r="T7" s="31" t="s">
        <v>9</v>
      </c>
      <c r="U7" s="33" t="s">
        <v>9</v>
      </c>
      <c r="V7" s="31" t="s">
        <v>9</v>
      </c>
      <c r="W7" s="33" t="s">
        <v>9</v>
      </c>
      <c r="X7" s="31" t="s">
        <v>9</v>
      </c>
      <c r="Y7" s="33" t="s">
        <v>9</v>
      </c>
      <c r="Z7" s="31" t="s">
        <v>9</v>
      </c>
      <c r="AA7" s="33" t="s">
        <v>9</v>
      </c>
      <c r="AB7" s="43" t="s">
        <v>16</v>
      </c>
      <c r="AC7" s="42" t="s">
        <v>561</v>
      </c>
      <c r="AD7" s="31" t="s">
        <v>9</v>
      </c>
      <c r="AE7" s="19" t="s">
        <v>9</v>
      </c>
      <c r="AF7" s="41" t="s">
        <v>558</v>
      </c>
      <c r="AG7" s="19" t="s">
        <v>1079</v>
      </c>
      <c r="AH7" s="41" t="s">
        <v>559</v>
      </c>
      <c r="AI7" s="19" t="s">
        <v>1083</v>
      </c>
      <c r="AJ7" s="41" t="s">
        <v>1066</v>
      </c>
      <c r="AK7" s="62" t="s">
        <v>1068</v>
      </c>
    </row>
    <row r="8" spans="1:37" ht="6.6" customHeight="1" x14ac:dyDescent="0.25">
      <c r="A8" s="16">
        <v>8</v>
      </c>
      <c r="B8" s="17" t="s">
        <v>555</v>
      </c>
      <c r="C8" s="18" t="s">
        <v>598</v>
      </c>
      <c r="D8" s="29" t="s">
        <v>9</v>
      </c>
      <c r="E8" s="30" t="s">
        <v>9</v>
      </c>
      <c r="F8" s="36" t="s">
        <v>9</v>
      </c>
      <c r="G8" s="37" t="s">
        <v>9</v>
      </c>
      <c r="H8" s="36" t="s">
        <v>9</v>
      </c>
      <c r="I8" s="37" t="s">
        <v>9</v>
      </c>
      <c r="J8" s="31" t="s">
        <v>9</v>
      </c>
      <c r="K8" s="60" t="s">
        <v>9</v>
      </c>
      <c r="L8" s="31" t="s">
        <v>563</v>
      </c>
      <c r="M8" s="60">
        <v>345</v>
      </c>
      <c r="N8" s="31" t="s">
        <v>1001</v>
      </c>
      <c r="O8" s="33">
        <v>450</v>
      </c>
      <c r="P8" s="31" t="s">
        <v>9</v>
      </c>
      <c r="Q8" s="33" t="s">
        <v>9</v>
      </c>
      <c r="R8" s="31" t="s">
        <v>9</v>
      </c>
      <c r="S8" s="33" t="s">
        <v>9</v>
      </c>
      <c r="T8" s="31" t="s">
        <v>9</v>
      </c>
      <c r="U8" s="33" t="s">
        <v>9</v>
      </c>
      <c r="V8" s="31" t="s">
        <v>9</v>
      </c>
      <c r="W8" s="33" t="s">
        <v>9</v>
      </c>
      <c r="X8" s="31" t="s">
        <v>9</v>
      </c>
      <c r="Y8" s="33" t="s">
        <v>9</v>
      </c>
      <c r="Z8" s="31" t="s">
        <v>9</v>
      </c>
      <c r="AA8" s="33" t="s">
        <v>9</v>
      </c>
      <c r="AB8" s="43" t="s">
        <v>16</v>
      </c>
      <c r="AC8" s="42" t="s">
        <v>562</v>
      </c>
      <c r="AD8" s="31" t="s">
        <v>9</v>
      </c>
      <c r="AE8" s="19" t="s">
        <v>9</v>
      </c>
      <c r="AF8" s="41" t="s">
        <v>558</v>
      </c>
      <c r="AG8" s="19" t="s">
        <v>1079</v>
      </c>
      <c r="AH8" s="41" t="s">
        <v>559</v>
      </c>
      <c r="AI8" s="19" t="s">
        <v>1083</v>
      </c>
      <c r="AJ8" s="41" t="s">
        <v>1066</v>
      </c>
      <c r="AK8" s="62" t="s">
        <v>1068</v>
      </c>
    </row>
    <row r="9" spans="1:37" ht="6.6" customHeight="1" x14ac:dyDescent="0.25">
      <c r="A9" s="16">
        <v>9</v>
      </c>
      <c r="B9" s="17" t="s">
        <v>556</v>
      </c>
      <c r="C9" s="18" t="s">
        <v>598</v>
      </c>
      <c r="D9" s="29" t="s">
        <v>9</v>
      </c>
      <c r="E9" s="30" t="s">
        <v>9</v>
      </c>
      <c r="F9" s="36" t="s">
        <v>9</v>
      </c>
      <c r="G9" s="37" t="s">
        <v>9</v>
      </c>
      <c r="H9" s="36" t="s">
        <v>9</v>
      </c>
      <c r="I9" s="37" t="s">
        <v>9</v>
      </c>
      <c r="J9" s="31" t="s">
        <v>9</v>
      </c>
      <c r="K9" s="60" t="s">
        <v>9</v>
      </c>
      <c r="L9" s="31" t="s">
        <v>563</v>
      </c>
      <c r="M9" s="60">
        <v>415</v>
      </c>
      <c r="N9" s="31" t="s">
        <v>1001</v>
      </c>
      <c r="O9" s="33">
        <v>520</v>
      </c>
      <c r="P9" s="31" t="s">
        <v>9</v>
      </c>
      <c r="Q9" s="33" t="s">
        <v>9</v>
      </c>
      <c r="R9" s="31" t="s">
        <v>9</v>
      </c>
      <c r="S9" s="33" t="s">
        <v>9</v>
      </c>
      <c r="T9" s="31" t="s">
        <v>9</v>
      </c>
      <c r="U9" s="33" t="s">
        <v>9</v>
      </c>
      <c r="V9" s="31" t="s">
        <v>9</v>
      </c>
      <c r="W9" s="33" t="s">
        <v>9</v>
      </c>
      <c r="X9" s="31" t="s">
        <v>9</v>
      </c>
      <c r="Y9" s="33" t="s">
        <v>9</v>
      </c>
      <c r="Z9" s="31" t="s">
        <v>9</v>
      </c>
      <c r="AA9" s="33" t="s">
        <v>9</v>
      </c>
      <c r="AB9" s="43" t="s">
        <v>16</v>
      </c>
      <c r="AC9" s="42" t="s">
        <v>562</v>
      </c>
      <c r="AD9" s="31" t="s">
        <v>9</v>
      </c>
      <c r="AE9" s="19" t="s">
        <v>9</v>
      </c>
      <c r="AF9" s="41" t="s">
        <v>558</v>
      </c>
      <c r="AG9" s="19" t="s">
        <v>1079</v>
      </c>
      <c r="AH9" s="41" t="s">
        <v>559</v>
      </c>
      <c r="AI9" s="19" t="s">
        <v>1083</v>
      </c>
      <c r="AJ9" s="41" t="s">
        <v>1066</v>
      </c>
      <c r="AK9" s="62" t="s">
        <v>1068</v>
      </c>
    </row>
    <row r="10" spans="1:37" ht="6.6" customHeight="1" x14ac:dyDescent="0.25">
      <c r="A10" s="16">
        <v>10</v>
      </c>
      <c r="B10" s="17" t="s">
        <v>569</v>
      </c>
      <c r="C10" s="18" t="s">
        <v>598</v>
      </c>
      <c r="D10" s="29" t="s">
        <v>9</v>
      </c>
      <c r="E10" s="30" t="s">
        <v>9</v>
      </c>
      <c r="F10" s="36" t="s">
        <v>9</v>
      </c>
      <c r="G10" s="37" t="s">
        <v>9</v>
      </c>
      <c r="H10" s="36" t="s">
        <v>9</v>
      </c>
      <c r="I10" s="37" t="s">
        <v>9</v>
      </c>
      <c r="J10" s="31" t="s">
        <v>9</v>
      </c>
      <c r="K10" s="60" t="s">
        <v>9</v>
      </c>
      <c r="L10" s="31" t="s">
        <v>563</v>
      </c>
      <c r="M10" s="60">
        <v>350</v>
      </c>
      <c r="N10" s="31" t="s">
        <v>1001</v>
      </c>
      <c r="O10" s="33">
        <v>500</v>
      </c>
      <c r="P10" s="31" t="s">
        <v>9</v>
      </c>
      <c r="Q10" s="33" t="s">
        <v>9</v>
      </c>
      <c r="R10" s="31" t="s">
        <v>9</v>
      </c>
      <c r="S10" s="33" t="s">
        <v>9</v>
      </c>
      <c r="T10" s="31" t="s">
        <v>9</v>
      </c>
      <c r="U10" s="33" t="s">
        <v>9</v>
      </c>
      <c r="V10" s="31" t="s">
        <v>9</v>
      </c>
      <c r="W10" s="33" t="s">
        <v>9</v>
      </c>
      <c r="X10" s="31" t="s">
        <v>9</v>
      </c>
      <c r="Y10" s="33" t="s">
        <v>9</v>
      </c>
      <c r="Z10" s="31" t="s">
        <v>9</v>
      </c>
      <c r="AA10" s="33" t="s">
        <v>9</v>
      </c>
      <c r="AB10" s="43" t="s">
        <v>16</v>
      </c>
      <c r="AC10" s="42" t="s">
        <v>1002</v>
      </c>
      <c r="AD10" s="31" t="s">
        <v>16</v>
      </c>
      <c r="AE10" s="19" t="s">
        <v>1003</v>
      </c>
      <c r="AF10" s="41" t="s">
        <v>558</v>
      </c>
      <c r="AG10" s="19" t="s">
        <v>1079</v>
      </c>
      <c r="AH10" s="41" t="s">
        <v>559</v>
      </c>
      <c r="AI10" s="19" t="s">
        <v>1083</v>
      </c>
      <c r="AJ10" s="41" t="s">
        <v>1066</v>
      </c>
      <c r="AK10" s="62" t="s">
        <v>1068</v>
      </c>
    </row>
    <row r="11" spans="1:37" ht="6.6" customHeight="1" x14ac:dyDescent="0.25">
      <c r="A11" s="16">
        <v>11</v>
      </c>
      <c r="B11" s="47" t="s">
        <v>591</v>
      </c>
      <c r="C11" s="18" t="s">
        <v>599</v>
      </c>
      <c r="D11" s="29" t="s">
        <v>9</v>
      </c>
      <c r="E11" s="30" t="s">
        <v>9</v>
      </c>
      <c r="F11" s="36" t="s">
        <v>9</v>
      </c>
      <c r="G11" s="37" t="s">
        <v>9</v>
      </c>
      <c r="H11" s="36" t="s">
        <v>9</v>
      </c>
      <c r="I11" s="37" t="s">
        <v>9</v>
      </c>
      <c r="J11" s="31" t="s">
        <v>9</v>
      </c>
      <c r="K11" s="60" t="s">
        <v>9</v>
      </c>
      <c r="L11" s="31" t="s">
        <v>9</v>
      </c>
      <c r="M11" s="60" t="s">
        <v>9</v>
      </c>
      <c r="N11" s="31" t="s">
        <v>9</v>
      </c>
      <c r="O11" s="60" t="s">
        <v>9</v>
      </c>
      <c r="P11" s="31" t="s">
        <v>9</v>
      </c>
      <c r="Q11" s="33" t="s">
        <v>9</v>
      </c>
      <c r="R11" s="31" t="s">
        <v>9</v>
      </c>
      <c r="S11" s="33" t="s">
        <v>9</v>
      </c>
      <c r="T11" s="31" t="s">
        <v>9</v>
      </c>
      <c r="U11" s="33" t="s">
        <v>9</v>
      </c>
      <c r="V11" s="31" t="s">
        <v>9</v>
      </c>
      <c r="W11" s="33" t="s">
        <v>9</v>
      </c>
      <c r="X11" s="31" t="s">
        <v>9</v>
      </c>
      <c r="Y11" s="33" t="s">
        <v>9</v>
      </c>
      <c r="Z11" s="31" t="s">
        <v>9</v>
      </c>
      <c r="AA11" s="33" t="s">
        <v>9</v>
      </c>
      <c r="AB11" s="43" t="s">
        <v>16</v>
      </c>
      <c r="AC11" s="42" t="s">
        <v>592</v>
      </c>
      <c r="AD11" s="31" t="s">
        <v>9</v>
      </c>
      <c r="AE11" s="19" t="s">
        <v>9</v>
      </c>
      <c r="AF11" s="41" t="s">
        <v>558</v>
      </c>
      <c r="AG11" s="19" t="s">
        <v>1079</v>
      </c>
      <c r="AH11" s="41" t="s">
        <v>559</v>
      </c>
      <c r="AI11" s="19" t="s">
        <v>1083</v>
      </c>
      <c r="AJ11" s="41" t="s">
        <v>1066</v>
      </c>
      <c r="AK11" s="62" t="s">
        <v>1069</v>
      </c>
    </row>
    <row r="12" spans="1:37" ht="6.6" customHeight="1" x14ac:dyDescent="0.25">
      <c r="A12" s="16">
        <v>12</v>
      </c>
      <c r="B12" s="47" t="s">
        <v>590</v>
      </c>
      <c r="C12" s="18" t="s">
        <v>599</v>
      </c>
      <c r="D12" s="29" t="s">
        <v>9</v>
      </c>
      <c r="E12" s="30" t="s">
        <v>9</v>
      </c>
      <c r="F12" s="36" t="s">
        <v>9</v>
      </c>
      <c r="G12" s="37" t="s">
        <v>9</v>
      </c>
      <c r="H12" s="36" t="s">
        <v>9</v>
      </c>
      <c r="I12" s="37" t="s">
        <v>9</v>
      </c>
      <c r="J12" s="31" t="s">
        <v>9</v>
      </c>
      <c r="K12" s="60" t="s">
        <v>9</v>
      </c>
      <c r="L12" s="31" t="s">
        <v>9</v>
      </c>
      <c r="M12" s="60" t="s">
        <v>9</v>
      </c>
      <c r="N12" s="31" t="s">
        <v>9</v>
      </c>
      <c r="O12" s="60" t="s">
        <v>9</v>
      </c>
      <c r="P12" s="31" t="s">
        <v>9</v>
      </c>
      <c r="Q12" s="33" t="s">
        <v>9</v>
      </c>
      <c r="R12" s="31" t="s">
        <v>9</v>
      </c>
      <c r="S12" s="33" t="s">
        <v>9</v>
      </c>
      <c r="T12" s="31" t="s">
        <v>9</v>
      </c>
      <c r="U12" s="33" t="s">
        <v>9</v>
      </c>
      <c r="V12" s="31" t="s">
        <v>9</v>
      </c>
      <c r="W12" s="33" t="s">
        <v>9</v>
      </c>
      <c r="X12" s="31" t="s">
        <v>9</v>
      </c>
      <c r="Y12" s="33" t="s">
        <v>9</v>
      </c>
      <c r="Z12" s="31" t="s">
        <v>9</v>
      </c>
      <c r="AA12" s="33" t="s">
        <v>9</v>
      </c>
      <c r="AB12" s="43" t="s">
        <v>16</v>
      </c>
      <c r="AC12" s="42" t="s">
        <v>593</v>
      </c>
      <c r="AD12" s="31" t="s">
        <v>9</v>
      </c>
      <c r="AE12" s="19" t="s">
        <v>9</v>
      </c>
      <c r="AF12" s="41" t="s">
        <v>558</v>
      </c>
      <c r="AG12" s="19" t="s">
        <v>1079</v>
      </c>
      <c r="AH12" s="41" t="s">
        <v>559</v>
      </c>
      <c r="AI12" s="19" t="s">
        <v>1083</v>
      </c>
      <c r="AJ12" s="41" t="s">
        <v>1066</v>
      </c>
      <c r="AK12" s="62" t="s">
        <v>1069</v>
      </c>
    </row>
    <row r="13" spans="1:37" ht="6.6" customHeight="1" x14ac:dyDescent="0.25">
      <c r="A13" s="16">
        <v>13</v>
      </c>
      <c r="B13" s="17" t="s">
        <v>387</v>
      </c>
      <c r="C13" s="18" t="s">
        <v>626</v>
      </c>
      <c r="D13" s="29" t="s">
        <v>564</v>
      </c>
      <c r="E13" s="30" t="s">
        <v>555</v>
      </c>
      <c r="F13" s="36" t="s">
        <v>9</v>
      </c>
      <c r="G13" s="37" t="s">
        <v>9</v>
      </c>
      <c r="H13" s="36" t="s">
        <v>9</v>
      </c>
      <c r="I13" s="37" t="s">
        <v>9</v>
      </c>
      <c r="J13" s="31" t="s">
        <v>84</v>
      </c>
      <c r="K13" s="61" t="s">
        <v>162</v>
      </c>
      <c r="L13" s="31" t="s">
        <v>9</v>
      </c>
      <c r="M13" s="60" t="s">
        <v>9</v>
      </c>
      <c r="N13" s="31" t="s">
        <v>9</v>
      </c>
      <c r="O13" s="60" t="s">
        <v>9</v>
      </c>
      <c r="P13" s="31" t="s">
        <v>86</v>
      </c>
      <c r="Q13" s="32">
        <v>152</v>
      </c>
      <c r="R13" s="31" t="s">
        <v>87</v>
      </c>
      <c r="S13" s="32">
        <v>139</v>
      </c>
      <c r="T13" s="31" t="s">
        <v>191</v>
      </c>
      <c r="U13" s="32" t="s">
        <v>90</v>
      </c>
      <c r="V13" s="31" t="s">
        <v>192</v>
      </c>
      <c r="W13" s="32" t="s">
        <v>91</v>
      </c>
      <c r="X13" s="31" t="s">
        <v>194</v>
      </c>
      <c r="Y13" s="32" t="s">
        <v>92</v>
      </c>
      <c r="Z13" s="31" t="s">
        <v>1064</v>
      </c>
      <c r="AA13" s="34" t="s">
        <v>93</v>
      </c>
      <c r="AB13" s="31" t="s">
        <v>16</v>
      </c>
      <c r="AC13" s="19" t="s">
        <v>554</v>
      </c>
      <c r="AD13" s="31" t="s">
        <v>1065</v>
      </c>
      <c r="AE13" s="35" t="s">
        <v>193</v>
      </c>
      <c r="AF13" s="41" t="s">
        <v>558</v>
      </c>
      <c r="AG13" s="19" t="s">
        <v>1080</v>
      </c>
      <c r="AH13" s="41" t="s">
        <v>559</v>
      </c>
      <c r="AI13" s="19" t="s">
        <v>1084</v>
      </c>
      <c r="AJ13" s="41" t="s">
        <v>1066</v>
      </c>
      <c r="AK13" s="19" t="s">
        <v>1067</v>
      </c>
    </row>
    <row r="14" spans="1:37" ht="6.6" customHeight="1" x14ac:dyDescent="0.25">
      <c r="A14" s="16">
        <v>14</v>
      </c>
      <c r="B14" s="17" t="s">
        <v>388</v>
      </c>
      <c r="C14" s="18" t="s">
        <v>626</v>
      </c>
      <c r="D14" s="29" t="s">
        <v>564</v>
      </c>
      <c r="E14" s="30" t="s">
        <v>555</v>
      </c>
      <c r="F14" s="36" t="s">
        <v>9</v>
      </c>
      <c r="G14" s="37" t="s">
        <v>9</v>
      </c>
      <c r="H14" s="36" t="s">
        <v>9</v>
      </c>
      <c r="I14" s="37" t="s">
        <v>9</v>
      </c>
      <c r="J14" s="31" t="s">
        <v>84</v>
      </c>
      <c r="K14" s="61" t="s">
        <v>163</v>
      </c>
      <c r="L14" s="31" t="s">
        <v>9</v>
      </c>
      <c r="M14" s="60" t="s">
        <v>9</v>
      </c>
      <c r="N14" s="31" t="s">
        <v>9</v>
      </c>
      <c r="O14" s="60" t="s">
        <v>9</v>
      </c>
      <c r="P14" s="31" t="s">
        <v>86</v>
      </c>
      <c r="Q14" s="32">
        <v>157</v>
      </c>
      <c r="R14" s="31" t="s">
        <v>87</v>
      </c>
      <c r="S14" s="32">
        <v>138</v>
      </c>
      <c r="T14" s="31" t="s">
        <v>191</v>
      </c>
      <c r="U14" s="32" t="s">
        <v>91</v>
      </c>
      <c r="V14" s="31" t="s">
        <v>192</v>
      </c>
      <c r="W14" s="32" t="s">
        <v>94</v>
      </c>
      <c r="X14" s="31" t="s">
        <v>194</v>
      </c>
      <c r="Y14" s="32" t="s">
        <v>95</v>
      </c>
      <c r="Z14" s="31" t="s">
        <v>1064</v>
      </c>
      <c r="AA14" s="34" t="s">
        <v>96</v>
      </c>
      <c r="AB14" s="31" t="s">
        <v>16</v>
      </c>
      <c r="AC14" s="19" t="s">
        <v>554</v>
      </c>
      <c r="AD14" s="31" t="s">
        <v>1065</v>
      </c>
      <c r="AE14" s="35" t="s">
        <v>193</v>
      </c>
      <c r="AF14" s="41" t="s">
        <v>558</v>
      </c>
      <c r="AG14" s="19" t="s">
        <v>1080</v>
      </c>
      <c r="AH14" s="41" t="s">
        <v>559</v>
      </c>
      <c r="AI14" s="19" t="s">
        <v>1084</v>
      </c>
      <c r="AJ14" s="41" t="s">
        <v>1066</v>
      </c>
      <c r="AK14" s="19" t="s">
        <v>1067</v>
      </c>
    </row>
    <row r="15" spans="1:37" ht="6.6" customHeight="1" x14ac:dyDescent="0.25">
      <c r="A15" s="16">
        <v>15</v>
      </c>
      <c r="B15" s="17" t="s">
        <v>389</v>
      </c>
      <c r="C15" s="18" t="s">
        <v>626</v>
      </c>
      <c r="D15" s="29" t="s">
        <v>564</v>
      </c>
      <c r="E15" s="30" t="s">
        <v>555</v>
      </c>
      <c r="F15" s="36" t="s">
        <v>9</v>
      </c>
      <c r="G15" s="37" t="s">
        <v>9</v>
      </c>
      <c r="H15" s="36" t="s">
        <v>9</v>
      </c>
      <c r="I15" s="37" t="s">
        <v>9</v>
      </c>
      <c r="J15" s="31" t="s">
        <v>84</v>
      </c>
      <c r="K15" s="61" t="s">
        <v>164</v>
      </c>
      <c r="L15" s="31" t="s">
        <v>9</v>
      </c>
      <c r="M15" s="60" t="s">
        <v>9</v>
      </c>
      <c r="N15" s="31" t="s">
        <v>9</v>
      </c>
      <c r="O15" s="60" t="s">
        <v>9</v>
      </c>
      <c r="P15" s="31" t="s">
        <v>86</v>
      </c>
      <c r="Q15" s="32">
        <v>162</v>
      </c>
      <c r="R15" s="31" t="s">
        <v>87</v>
      </c>
      <c r="S15" s="32">
        <v>139</v>
      </c>
      <c r="T15" s="31" t="s">
        <v>191</v>
      </c>
      <c r="U15" s="32" t="s">
        <v>97</v>
      </c>
      <c r="V15" s="31" t="s">
        <v>192</v>
      </c>
      <c r="W15" s="32" t="s">
        <v>98</v>
      </c>
      <c r="X15" s="31" t="s">
        <v>194</v>
      </c>
      <c r="Y15" s="32" t="s">
        <v>99</v>
      </c>
      <c r="Z15" s="31" t="s">
        <v>1064</v>
      </c>
      <c r="AA15" s="34" t="s">
        <v>100</v>
      </c>
      <c r="AB15" s="31" t="s">
        <v>16</v>
      </c>
      <c r="AC15" s="19" t="s">
        <v>554</v>
      </c>
      <c r="AD15" s="31" t="s">
        <v>1065</v>
      </c>
      <c r="AE15" s="35" t="s">
        <v>193</v>
      </c>
      <c r="AF15" s="41" t="s">
        <v>558</v>
      </c>
      <c r="AG15" s="19" t="s">
        <v>1080</v>
      </c>
      <c r="AH15" s="41" t="s">
        <v>559</v>
      </c>
      <c r="AI15" s="19" t="s">
        <v>1084</v>
      </c>
      <c r="AJ15" s="41" t="s">
        <v>1066</v>
      </c>
      <c r="AK15" s="19" t="s">
        <v>1067</v>
      </c>
    </row>
    <row r="16" spans="1:37" ht="6.6" customHeight="1" x14ac:dyDescent="0.25">
      <c r="A16" s="16">
        <v>16</v>
      </c>
      <c r="B16" s="17" t="s">
        <v>390</v>
      </c>
      <c r="C16" s="18" t="s">
        <v>626</v>
      </c>
      <c r="D16" s="29" t="s">
        <v>564</v>
      </c>
      <c r="E16" s="30" t="s">
        <v>555</v>
      </c>
      <c r="F16" s="36" t="s">
        <v>9</v>
      </c>
      <c r="G16" s="37" t="s">
        <v>9</v>
      </c>
      <c r="H16" s="36" t="s">
        <v>9</v>
      </c>
      <c r="I16" s="37" t="s">
        <v>9</v>
      </c>
      <c r="J16" s="31" t="s">
        <v>84</v>
      </c>
      <c r="K16" s="61" t="s">
        <v>165</v>
      </c>
      <c r="L16" s="31" t="s">
        <v>9</v>
      </c>
      <c r="M16" s="60" t="s">
        <v>9</v>
      </c>
      <c r="N16" s="31" t="s">
        <v>9</v>
      </c>
      <c r="O16" s="60" t="s">
        <v>9</v>
      </c>
      <c r="P16" s="31" t="s">
        <v>86</v>
      </c>
      <c r="Q16" s="32">
        <v>201</v>
      </c>
      <c r="R16" s="31" t="s">
        <v>87</v>
      </c>
      <c r="S16" s="32">
        <v>181</v>
      </c>
      <c r="T16" s="31" t="s">
        <v>191</v>
      </c>
      <c r="U16" s="32" t="s">
        <v>101</v>
      </c>
      <c r="V16" s="31" t="s">
        <v>192</v>
      </c>
      <c r="W16" s="32" t="s">
        <v>102</v>
      </c>
      <c r="X16" s="31" t="s">
        <v>194</v>
      </c>
      <c r="Y16" s="32" t="s">
        <v>103</v>
      </c>
      <c r="Z16" s="31" t="s">
        <v>1064</v>
      </c>
      <c r="AA16" s="34" t="s">
        <v>104</v>
      </c>
      <c r="AB16" s="31" t="s">
        <v>16</v>
      </c>
      <c r="AC16" s="19" t="s">
        <v>554</v>
      </c>
      <c r="AD16" s="31" t="s">
        <v>1065</v>
      </c>
      <c r="AE16" s="35" t="s">
        <v>193</v>
      </c>
      <c r="AF16" s="41" t="s">
        <v>558</v>
      </c>
      <c r="AG16" s="19" t="s">
        <v>1080</v>
      </c>
      <c r="AH16" s="41" t="s">
        <v>559</v>
      </c>
      <c r="AI16" s="19" t="s">
        <v>1084</v>
      </c>
      <c r="AJ16" s="41" t="s">
        <v>1066</v>
      </c>
      <c r="AK16" s="19" t="s">
        <v>1067</v>
      </c>
    </row>
    <row r="17" spans="1:37" ht="6.6" customHeight="1" x14ac:dyDescent="0.25">
      <c r="A17" s="16">
        <v>17</v>
      </c>
      <c r="B17" s="17" t="s">
        <v>391</v>
      </c>
      <c r="C17" s="18" t="s">
        <v>626</v>
      </c>
      <c r="D17" s="29" t="s">
        <v>564</v>
      </c>
      <c r="E17" s="30" t="s">
        <v>555</v>
      </c>
      <c r="F17" s="36" t="s">
        <v>9</v>
      </c>
      <c r="G17" s="37" t="s">
        <v>9</v>
      </c>
      <c r="H17" s="36" t="s">
        <v>9</v>
      </c>
      <c r="I17" s="37" t="s">
        <v>9</v>
      </c>
      <c r="J17" s="31" t="s">
        <v>84</v>
      </c>
      <c r="K17" s="61" t="s">
        <v>166</v>
      </c>
      <c r="L17" s="31" t="s">
        <v>9</v>
      </c>
      <c r="M17" s="60" t="s">
        <v>9</v>
      </c>
      <c r="N17" s="31" t="s">
        <v>9</v>
      </c>
      <c r="O17" s="60" t="s">
        <v>9</v>
      </c>
      <c r="P17" s="31" t="s">
        <v>86</v>
      </c>
      <c r="Q17" s="32">
        <v>205</v>
      </c>
      <c r="R17" s="31" t="s">
        <v>87</v>
      </c>
      <c r="S17" s="32">
        <v>181</v>
      </c>
      <c r="T17" s="31" t="s">
        <v>191</v>
      </c>
      <c r="U17" s="32" t="s">
        <v>105</v>
      </c>
      <c r="V17" s="31" t="s">
        <v>192</v>
      </c>
      <c r="W17" s="32" t="s">
        <v>106</v>
      </c>
      <c r="X17" s="31" t="s">
        <v>194</v>
      </c>
      <c r="Y17" s="32" t="s">
        <v>107</v>
      </c>
      <c r="Z17" s="31" t="s">
        <v>1064</v>
      </c>
      <c r="AA17" s="34" t="s">
        <v>108</v>
      </c>
      <c r="AB17" s="31" t="s">
        <v>16</v>
      </c>
      <c r="AC17" s="19" t="s">
        <v>554</v>
      </c>
      <c r="AD17" s="31" t="s">
        <v>1065</v>
      </c>
      <c r="AE17" s="35" t="s">
        <v>193</v>
      </c>
      <c r="AF17" s="41" t="s">
        <v>558</v>
      </c>
      <c r="AG17" s="19" t="s">
        <v>1080</v>
      </c>
      <c r="AH17" s="41" t="s">
        <v>559</v>
      </c>
      <c r="AI17" s="19" t="s">
        <v>1084</v>
      </c>
      <c r="AJ17" s="41" t="s">
        <v>1066</v>
      </c>
      <c r="AK17" s="19" t="s">
        <v>1067</v>
      </c>
    </row>
    <row r="18" spans="1:37" ht="6.6" customHeight="1" x14ac:dyDescent="0.25">
      <c r="A18" s="16">
        <v>18</v>
      </c>
      <c r="B18" s="17" t="s">
        <v>392</v>
      </c>
      <c r="C18" s="18" t="s">
        <v>626</v>
      </c>
      <c r="D18" s="29" t="s">
        <v>564</v>
      </c>
      <c r="E18" s="30" t="s">
        <v>555</v>
      </c>
      <c r="F18" s="36" t="s">
        <v>9</v>
      </c>
      <c r="G18" s="37" t="s">
        <v>9</v>
      </c>
      <c r="H18" s="36" t="s">
        <v>9</v>
      </c>
      <c r="I18" s="37" t="s">
        <v>9</v>
      </c>
      <c r="J18" s="31" t="s">
        <v>84</v>
      </c>
      <c r="K18" s="61" t="s">
        <v>167</v>
      </c>
      <c r="L18" s="31" t="s">
        <v>9</v>
      </c>
      <c r="M18" s="60" t="s">
        <v>9</v>
      </c>
      <c r="N18" s="31" t="s">
        <v>9</v>
      </c>
      <c r="O18" s="60" t="s">
        <v>9</v>
      </c>
      <c r="P18" s="31" t="s">
        <v>86</v>
      </c>
      <c r="Q18" s="32">
        <v>203</v>
      </c>
      <c r="R18" s="31" t="s">
        <v>87</v>
      </c>
      <c r="S18" s="32">
        <v>181</v>
      </c>
      <c r="T18" s="31" t="s">
        <v>191</v>
      </c>
      <c r="U18" s="32" t="s">
        <v>105</v>
      </c>
      <c r="V18" s="31" t="s">
        <v>192</v>
      </c>
      <c r="W18" s="32">
        <v>11</v>
      </c>
      <c r="X18" s="31" t="s">
        <v>194</v>
      </c>
      <c r="Y18" s="32" t="s">
        <v>109</v>
      </c>
      <c r="Z18" s="31" t="s">
        <v>1064</v>
      </c>
      <c r="AA18" s="34" t="s">
        <v>110</v>
      </c>
      <c r="AB18" s="31" t="s">
        <v>16</v>
      </c>
      <c r="AC18" s="19" t="s">
        <v>554</v>
      </c>
      <c r="AD18" s="31" t="s">
        <v>1065</v>
      </c>
      <c r="AE18" s="35" t="s">
        <v>193</v>
      </c>
      <c r="AF18" s="41" t="s">
        <v>558</v>
      </c>
      <c r="AG18" s="19" t="s">
        <v>1080</v>
      </c>
      <c r="AH18" s="41" t="s">
        <v>559</v>
      </c>
      <c r="AI18" s="19" t="s">
        <v>1084</v>
      </c>
      <c r="AJ18" s="41" t="s">
        <v>1066</v>
      </c>
      <c r="AK18" s="19" t="s">
        <v>1067</v>
      </c>
    </row>
    <row r="19" spans="1:37" ht="6.6" customHeight="1" x14ac:dyDescent="0.25">
      <c r="A19" s="16">
        <v>19</v>
      </c>
      <c r="B19" s="17" t="s">
        <v>393</v>
      </c>
      <c r="C19" s="18" t="s">
        <v>626</v>
      </c>
      <c r="D19" s="29" t="s">
        <v>564</v>
      </c>
      <c r="E19" s="30" t="s">
        <v>555</v>
      </c>
      <c r="F19" s="36" t="s">
        <v>9</v>
      </c>
      <c r="G19" s="37" t="s">
        <v>9</v>
      </c>
      <c r="H19" s="36" t="s">
        <v>9</v>
      </c>
      <c r="I19" s="37" t="s">
        <v>9</v>
      </c>
      <c r="J19" s="31" t="s">
        <v>84</v>
      </c>
      <c r="K19" s="61" t="s">
        <v>168</v>
      </c>
      <c r="L19" s="31" t="s">
        <v>9</v>
      </c>
      <c r="M19" s="60" t="s">
        <v>9</v>
      </c>
      <c r="N19" s="31" t="s">
        <v>9</v>
      </c>
      <c r="O19" s="60" t="s">
        <v>9</v>
      </c>
      <c r="P19" s="31" t="s">
        <v>86</v>
      </c>
      <c r="Q19" s="32">
        <v>206</v>
      </c>
      <c r="R19" s="31" t="s">
        <v>87</v>
      </c>
      <c r="S19" s="32">
        <v>181</v>
      </c>
      <c r="T19" s="31" t="s">
        <v>191</v>
      </c>
      <c r="U19" s="32" t="s">
        <v>111</v>
      </c>
      <c r="V19" s="31" t="s">
        <v>192</v>
      </c>
      <c r="W19" s="32" t="s">
        <v>112</v>
      </c>
      <c r="X19" s="31" t="s">
        <v>194</v>
      </c>
      <c r="Y19" s="32" t="s">
        <v>113</v>
      </c>
      <c r="Z19" s="31" t="s">
        <v>1064</v>
      </c>
      <c r="AA19" s="34">
        <v>52</v>
      </c>
      <c r="AB19" s="31" t="s">
        <v>16</v>
      </c>
      <c r="AC19" s="19" t="s">
        <v>554</v>
      </c>
      <c r="AD19" s="31" t="s">
        <v>1065</v>
      </c>
      <c r="AE19" s="35" t="s">
        <v>193</v>
      </c>
      <c r="AF19" s="41" t="s">
        <v>558</v>
      </c>
      <c r="AG19" s="19" t="s">
        <v>1080</v>
      </c>
      <c r="AH19" s="41" t="s">
        <v>559</v>
      </c>
      <c r="AI19" s="19" t="s">
        <v>1084</v>
      </c>
      <c r="AJ19" s="41" t="s">
        <v>1066</v>
      </c>
      <c r="AK19" s="19" t="s">
        <v>1067</v>
      </c>
    </row>
    <row r="20" spans="1:37" ht="6.6" customHeight="1" x14ac:dyDescent="0.25">
      <c r="A20" s="16">
        <v>20</v>
      </c>
      <c r="B20" s="17" t="s">
        <v>394</v>
      </c>
      <c r="C20" s="18" t="s">
        <v>626</v>
      </c>
      <c r="D20" s="29" t="s">
        <v>564</v>
      </c>
      <c r="E20" s="30" t="s">
        <v>555</v>
      </c>
      <c r="F20" s="36" t="s">
        <v>9</v>
      </c>
      <c r="G20" s="37" t="s">
        <v>9</v>
      </c>
      <c r="H20" s="36" t="s">
        <v>9</v>
      </c>
      <c r="I20" s="37" t="s">
        <v>9</v>
      </c>
      <c r="J20" s="31" t="s">
        <v>84</v>
      </c>
      <c r="K20" s="61" t="s">
        <v>169</v>
      </c>
      <c r="L20" s="31" t="s">
        <v>9</v>
      </c>
      <c r="M20" s="60" t="s">
        <v>9</v>
      </c>
      <c r="N20" s="31" t="s">
        <v>9</v>
      </c>
      <c r="O20" s="60" t="s">
        <v>9</v>
      </c>
      <c r="P20" s="31" t="s">
        <v>86</v>
      </c>
      <c r="Q20" s="32">
        <v>204</v>
      </c>
      <c r="R20" s="31" t="s">
        <v>87</v>
      </c>
      <c r="S20" s="32">
        <v>181</v>
      </c>
      <c r="T20" s="31" t="s">
        <v>191</v>
      </c>
      <c r="U20" s="32" t="s">
        <v>114</v>
      </c>
      <c r="V20" s="31" t="s">
        <v>192</v>
      </c>
      <c r="W20" s="32" t="s">
        <v>114</v>
      </c>
      <c r="X20" s="31" t="s">
        <v>194</v>
      </c>
      <c r="Y20" s="32" t="s">
        <v>115</v>
      </c>
      <c r="Z20" s="31" t="s">
        <v>1064</v>
      </c>
      <c r="AA20" s="34">
        <v>53</v>
      </c>
      <c r="AB20" s="31" t="s">
        <v>16</v>
      </c>
      <c r="AC20" s="19" t="s">
        <v>554</v>
      </c>
      <c r="AD20" s="31" t="s">
        <v>1065</v>
      </c>
      <c r="AE20" s="35" t="s">
        <v>193</v>
      </c>
      <c r="AF20" s="41" t="s">
        <v>558</v>
      </c>
      <c r="AG20" s="19" t="s">
        <v>1080</v>
      </c>
      <c r="AH20" s="41" t="s">
        <v>559</v>
      </c>
      <c r="AI20" s="19" t="s">
        <v>1084</v>
      </c>
      <c r="AJ20" s="41" t="s">
        <v>1066</v>
      </c>
      <c r="AK20" s="19" t="s">
        <v>1067</v>
      </c>
    </row>
    <row r="21" spans="1:37" ht="6.6" customHeight="1" x14ac:dyDescent="0.25">
      <c r="A21" s="16">
        <v>21</v>
      </c>
      <c r="B21" s="17" t="s">
        <v>395</v>
      </c>
      <c r="C21" s="18" t="s">
        <v>626</v>
      </c>
      <c r="D21" s="29" t="s">
        <v>564</v>
      </c>
      <c r="E21" s="30" t="s">
        <v>555</v>
      </c>
      <c r="F21" s="36" t="s">
        <v>9</v>
      </c>
      <c r="G21" s="37" t="s">
        <v>9</v>
      </c>
      <c r="H21" s="36" t="s">
        <v>9</v>
      </c>
      <c r="I21" s="37" t="s">
        <v>9</v>
      </c>
      <c r="J21" s="31" t="s">
        <v>84</v>
      </c>
      <c r="K21" s="61" t="s">
        <v>170</v>
      </c>
      <c r="L21" s="31" t="s">
        <v>9</v>
      </c>
      <c r="M21" s="60" t="s">
        <v>9</v>
      </c>
      <c r="N21" s="31" t="s">
        <v>9</v>
      </c>
      <c r="O21" s="60" t="s">
        <v>9</v>
      </c>
      <c r="P21" s="31" t="s">
        <v>86</v>
      </c>
      <c r="Q21" s="32">
        <v>210</v>
      </c>
      <c r="R21" s="31" t="s">
        <v>87</v>
      </c>
      <c r="S21" s="32">
        <v>182</v>
      </c>
      <c r="T21" s="31" t="s">
        <v>191</v>
      </c>
      <c r="U21" s="32" t="s">
        <v>116</v>
      </c>
      <c r="V21" s="31" t="s">
        <v>192</v>
      </c>
      <c r="W21" s="32" t="s">
        <v>117</v>
      </c>
      <c r="X21" s="31" t="s">
        <v>194</v>
      </c>
      <c r="Y21" s="32" t="s">
        <v>118</v>
      </c>
      <c r="Z21" s="31" t="s">
        <v>1064</v>
      </c>
      <c r="AA21" s="34">
        <v>59</v>
      </c>
      <c r="AB21" s="31" t="s">
        <v>16</v>
      </c>
      <c r="AC21" s="19" t="s">
        <v>554</v>
      </c>
      <c r="AD21" s="31" t="s">
        <v>1065</v>
      </c>
      <c r="AE21" s="35" t="s">
        <v>193</v>
      </c>
      <c r="AF21" s="41" t="s">
        <v>558</v>
      </c>
      <c r="AG21" s="19" t="s">
        <v>1080</v>
      </c>
      <c r="AH21" s="41" t="s">
        <v>559</v>
      </c>
      <c r="AI21" s="19" t="s">
        <v>1084</v>
      </c>
      <c r="AJ21" s="41" t="s">
        <v>1066</v>
      </c>
      <c r="AK21" s="19" t="s">
        <v>1067</v>
      </c>
    </row>
    <row r="22" spans="1:37" ht="6.6" customHeight="1" x14ac:dyDescent="0.25">
      <c r="A22" s="16">
        <v>22</v>
      </c>
      <c r="B22" s="17" t="s">
        <v>396</v>
      </c>
      <c r="C22" s="18" t="s">
        <v>626</v>
      </c>
      <c r="D22" s="29" t="s">
        <v>564</v>
      </c>
      <c r="E22" s="30" t="s">
        <v>555</v>
      </c>
      <c r="F22" s="36" t="s">
        <v>9</v>
      </c>
      <c r="G22" s="37" t="s">
        <v>9</v>
      </c>
      <c r="H22" s="36" t="s">
        <v>9</v>
      </c>
      <c r="I22" s="37" t="s">
        <v>9</v>
      </c>
      <c r="J22" s="31" t="s">
        <v>84</v>
      </c>
      <c r="K22" s="61" t="s">
        <v>171</v>
      </c>
      <c r="L22" s="31" t="s">
        <v>9</v>
      </c>
      <c r="M22" s="60" t="s">
        <v>9</v>
      </c>
      <c r="N22" s="31" t="s">
        <v>9</v>
      </c>
      <c r="O22" s="60" t="s">
        <v>9</v>
      </c>
      <c r="P22" s="31" t="s">
        <v>86</v>
      </c>
      <c r="Q22" s="32">
        <v>216</v>
      </c>
      <c r="R22" s="31" t="s">
        <v>87</v>
      </c>
      <c r="S22" s="32">
        <v>181</v>
      </c>
      <c r="T22" s="31" t="s">
        <v>191</v>
      </c>
      <c r="U22" s="32" t="s">
        <v>102</v>
      </c>
      <c r="V22" s="31" t="s">
        <v>192</v>
      </c>
      <c r="W22" s="32" t="s">
        <v>119</v>
      </c>
      <c r="X22" s="31" t="s">
        <v>194</v>
      </c>
      <c r="Y22" s="32" t="s">
        <v>120</v>
      </c>
      <c r="Z22" s="31" t="s">
        <v>1064</v>
      </c>
      <c r="AA22" s="34">
        <v>71</v>
      </c>
      <c r="AB22" s="31" t="s">
        <v>16</v>
      </c>
      <c r="AC22" s="19" t="s">
        <v>554</v>
      </c>
      <c r="AD22" s="31" t="s">
        <v>1065</v>
      </c>
      <c r="AE22" s="35" t="s">
        <v>193</v>
      </c>
      <c r="AF22" s="41" t="s">
        <v>558</v>
      </c>
      <c r="AG22" s="19" t="s">
        <v>1080</v>
      </c>
      <c r="AH22" s="41" t="s">
        <v>559</v>
      </c>
      <c r="AI22" s="19" t="s">
        <v>1084</v>
      </c>
      <c r="AJ22" s="41" t="s">
        <v>1066</v>
      </c>
      <c r="AK22" s="19" t="s">
        <v>1067</v>
      </c>
    </row>
    <row r="23" spans="1:37" ht="6.6" customHeight="1" x14ac:dyDescent="0.25">
      <c r="A23" s="16">
        <v>23</v>
      </c>
      <c r="B23" s="17" t="s">
        <v>397</v>
      </c>
      <c r="C23" s="18" t="s">
        <v>626</v>
      </c>
      <c r="D23" s="29" t="s">
        <v>564</v>
      </c>
      <c r="E23" s="30" t="s">
        <v>555</v>
      </c>
      <c r="F23" s="36" t="s">
        <v>9</v>
      </c>
      <c r="G23" s="37" t="s">
        <v>9</v>
      </c>
      <c r="H23" s="36" t="s">
        <v>9</v>
      </c>
      <c r="I23" s="37" t="s">
        <v>9</v>
      </c>
      <c r="J23" s="31" t="s">
        <v>84</v>
      </c>
      <c r="K23" s="61" t="s">
        <v>172</v>
      </c>
      <c r="L23" s="31" t="s">
        <v>9</v>
      </c>
      <c r="M23" s="60" t="s">
        <v>9</v>
      </c>
      <c r="N23" s="31" t="s">
        <v>9</v>
      </c>
      <c r="O23" s="60" t="s">
        <v>9</v>
      </c>
      <c r="P23" s="31" t="s">
        <v>86</v>
      </c>
      <c r="Q23" s="32">
        <v>222</v>
      </c>
      <c r="R23" s="31" t="s">
        <v>87</v>
      </c>
      <c r="S23" s="32">
        <v>181</v>
      </c>
      <c r="T23" s="31" t="s">
        <v>191</v>
      </c>
      <c r="U23" s="32">
        <v>13</v>
      </c>
      <c r="V23" s="31" t="s">
        <v>192</v>
      </c>
      <c r="W23" s="32" t="s">
        <v>121</v>
      </c>
      <c r="X23" s="31" t="s">
        <v>194</v>
      </c>
      <c r="Y23" s="32" t="s">
        <v>122</v>
      </c>
      <c r="Z23" s="31" t="s">
        <v>1064</v>
      </c>
      <c r="AA23" s="34">
        <v>86</v>
      </c>
      <c r="AB23" s="31" t="s">
        <v>16</v>
      </c>
      <c r="AC23" s="19" t="s">
        <v>554</v>
      </c>
      <c r="AD23" s="31" t="s">
        <v>1065</v>
      </c>
      <c r="AE23" s="35" t="s">
        <v>193</v>
      </c>
      <c r="AF23" s="41" t="s">
        <v>558</v>
      </c>
      <c r="AG23" s="19" t="s">
        <v>1080</v>
      </c>
      <c r="AH23" s="41" t="s">
        <v>559</v>
      </c>
      <c r="AI23" s="19" t="s">
        <v>1084</v>
      </c>
      <c r="AJ23" s="41" t="s">
        <v>1066</v>
      </c>
      <c r="AK23" s="19" t="s">
        <v>1067</v>
      </c>
    </row>
    <row r="24" spans="1:37" ht="6.6" customHeight="1" x14ac:dyDescent="0.25">
      <c r="A24" s="16">
        <v>24</v>
      </c>
      <c r="B24" s="17" t="s">
        <v>398</v>
      </c>
      <c r="C24" s="18" t="s">
        <v>626</v>
      </c>
      <c r="D24" s="29" t="s">
        <v>564</v>
      </c>
      <c r="E24" s="30" t="s">
        <v>555</v>
      </c>
      <c r="F24" s="36" t="s">
        <v>9</v>
      </c>
      <c r="G24" s="37" t="s">
        <v>9</v>
      </c>
      <c r="H24" s="36" t="s">
        <v>9</v>
      </c>
      <c r="I24" s="37" t="s">
        <v>9</v>
      </c>
      <c r="J24" s="31" t="s">
        <v>84</v>
      </c>
      <c r="K24" s="61" t="s">
        <v>173</v>
      </c>
      <c r="L24" s="31" t="s">
        <v>9</v>
      </c>
      <c r="M24" s="60" t="s">
        <v>9</v>
      </c>
      <c r="N24" s="31" t="s">
        <v>9</v>
      </c>
      <c r="O24" s="60" t="s">
        <v>9</v>
      </c>
      <c r="P24" s="31" t="s">
        <v>86</v>
      </c>
      <c r="Q24" s="32">
        <v>246</v>
      </c>
      <c r="R24" s="31" t="s">
        <v>87</v>
      </c>
      <c r="S24" s="32">
        <v>225</v>
      </c>
      <c r="T24" s="31" t="s">
        <v>191</v>
      </c>
      <c r="U24" s="32" t="s">
        <v>123</v>
      </c>
      <c r="V24" s="31" t="s">
        <v>192</v>
      </c>
      <c r="W24" s="32" t="s">
        <v>124</v>
      </c>
      <c r="X24" s="31" t="s">
        <v>194</v>
      </c>
      <c r="Y24" s="32" t="s">
        <v>125</v>
      </c>
      <c r="Z24" s="31" t="s">
        <v>1064</v>
      </c>
      <c r="AA24" s="34">
        <v>62</v>
      </c>
      <c r="AB24" s="31" t="s">
        <v>16</v>
      </c>
      <c r="AC24" s="19" t="s">
        <v>554</v>
      </c>
      <c r="AD24" s="31" t="s">
        <v>1065</v>
      </c>
      <c r="AE24" s="35" t="s">
        <v>193</v>
      </c>
      <c r="AF24" s="41" t="s">
        <v>558</v>
      </c>
      <c r="AG24" s="19" t="s">
        <v>1080</v>
      </c>
      <c r="AH24" s="41" t="s">
        <v>559</v>
      </c>
      <c r="AI24" s="19" t="s">
        <v>1084</v>
      </c>
      <c r="AJ24" s="41" t="s">
        <v>1066</v>
      </c>
      <c r="AK24" s="19" t="s">
        <v>1067</v>
      </c>
    </row>
    <row r="25" spans="1:37" ht="6.6" customHeight="1" x14ac:dyDescent="0.25">
      <c r="A25" s="16">
        <v>25</v>
      </c>
      <c r="B25" s="17" t="s">
        <v>399</v>
      </c>
      <c r="C25" s="18" t="s">
        <v>626</v>
      </c>
      <c r="D25" s="29" t="s">
        <v>564</v>
      </c>
      <c r="E25" s="30" t="s">
        <v>555</v>
      </c>
      <c r="F25" s="36" t="s">
        <v>9</v>
      </c>
      <c r="G25" s="37" t="s">
        <v>9</v>
      </c>
      <c r="H25" s="36" t="s">
        <v>9</v>
      </c>
      <c r="I25" s="37" t="s">
        <v>9</v>
      </c>
      <c r="J25" s="31" t="s">
        <v>84</v>
      </c>
      <c r="K25" s="61" t="s">
        <v>174</v>
      </c>
      <c r="L25" s="31" t="s">
        <v>9</v>
      </c>
      <c r="M25" s="60" t="s">
        <v>9</v>
      </c>
      <c r="N25" s="31" t="s">
        <v>9</v>
      </c>
      <c r="O25" s="60" t="s">
        <v>9</v>
      </c>
      <c r="P25" s="31" t="s">
        <v>86</v>
      </c>
      <c r="Q25" s="32">
        <v>253</v>
      </c>
      <c r="R25" s="31" t="s">
        <v>87</v>
      </c>
      <c r="S25" s="32">
        <v>225</v>
      </c>
      <c r="T25" s="31" t="s">
        <v>191</v>
      </c>
      <c r="U25" s="32" t="s">
        <v>126</v>
      </c>
      <c r="V25" s="31" t="s">
        <v>192</v>
      </c>
      <c r="W25" s="32" t="s">
        <v>117</v>
      </c>
      <c r="X25" s="31" t="s">
        <v>194</v>
      </c>
      <c r="Y25" s="32" t="s">
        <v>127</v>
      </c>
      <c r="Z25" s="31" t="s">
        <v>1064</v>
      </c>
      <c r="AA25" s="34">
        <v>73</v>
      </c>
      <c r="AB25" s="31" t="s">
        <v>16</v>
      </c>
      <c r="AC25" s="19" t="s">
        <v>554</v>
      </c>
      <c r="AD25" s="31" t="s">
        <v>1065</v>
      </c>
      <c r="AE25" s="35" t="s">
        <v>193</v>
      </c>
      <c r="AF25" s="41" t="s">
        <v>558</v>
      </c>
      <c r="AG25" s="19" t="s">
        <v>1080</v>
      </c>
      <c r="AH25" s="41" t="s">
        <v>559</v>
      </c>
      <c r="AI25" s="19" t="s">
        <v>1084</v>
      </c>
      <c r="AJ25" s="41" t="s">
        <v>1066</v>
      </c>
      <c r="AK25" s="19" t="s">
        <v>1067</v>
      </c>
    </row>
    <row r="26" spans="1:37" ht="6.6" customHeight="1" x14ac:dyDescent="0.25">
      <c r="A26" s="16">
        <v>26</v>
      </c>
      <c r="B26" s="17" t="s">
        <v>400</v>
      </c>
      <c r="C26" s="18" t="s">
        <v>626</v>
      </c>
      <c r="D26" s="29" t="s">
        <v>564</v>
      </c>
      <c r="E26" s="30" t="s">
        <v>555</v>
      </c>
      <c r="F26" s="36" t="s">
        <v>9</v>
      </c>
      <c r="G26" s="37" t="s">
        <v>9</v>
      </c>
      <c r="H26" s="36" t="s">
        <v>9</v>
      </c>
      <c r="I26" s="37" t="s">
        <v>9</v>
      </c>
      <c r="J26" s="31" t="s">
        <v>84</v>
      </c>
      <c r="K26" s="61" t="s">
        <v>175</v>
      </c>
      <c r="L26" s="31" t="s">
        <v>9</v>
      </c>
      <c r="M26" s="60" t="s">
        <v>9</v>
      </c>
      <c r="N26" s="31" t="s">
        <v>9</v>
      </c>
      <c r="O26" s="60" t="s">
        <v>9</v>
      </c>
      <c r="P26" s="31" t="s">
        <v>86</v>
      </c>
      <c r="Q26" s="32">
        <v>256</v>
      </c>
      <c r="R26" s="31" t="s">
        <v>87</v>
      </c>
      <c r="S26" s="32">
        <v>225</v>
      </c>
      <c r="T26" s="31" t="s">
        <v>191</v>
      </c>
      <c r="U26" s="32" t="s">
        <v>128</v>
      </c>
      <c r="V26" s="31" t="s">
        <v>192</v>
      </c>
      <c r="W26" s="32" t="s">
        <v>129</v>
      </c>
      <c r="X26" s="31" t="s">
        <v>194</v>
      </c>
      <c r="Y26" s="32" t="s">
        <v>130</v>
      </c>
      <c r="Z26" s="31" t="s">
        <v>1064</v>
      </c>
      <c r="AA26" s="34">
        <v>80</v>
      </c>
      <c r="AB26" s="31" t="s">
        <v>16</v>
      </c>
      <c r="AC26" s="19" t="s">
        <v>554</v>
      </c>
      <c r="AD26" s="31" t="s">
        <v>1065</v>
      </c>
      <c r="AE26" s="35" t="s">
        <v>193</v>
      </c>
      <c r="AF26" s="41" t="s">
        <v>558</v>
      </c>
      <c r="AG26" s="19" t="s">
        <v>1080</v>
      </c>
      <c r="AH26" s="41" t="s">
        <v>559</v>
      </c>
      <c r="AI26" s="19" t="s">
        <v>1084</v>
      </c>
      <c r="AJ26" s="41" t="s">
        <v>1066</v>
      </c>
      <c r="AK26" s="19" t="s">
        <v>1067</v>
      </c>
    </row>
    <row r="27" spans="1:37" ht="6.6" customHeight="1" x14ac:dyDescent="0.25">
      <c r="A27" s="16">
        <v>27</v>
      </c>
      <c r="B27" s="17" t="s">
        <v>401</v>
      </c>
      <c r="C27" s="18" t="s">
        <v>626</v>
      </c>
      <c r="D27" s="29" t="s">
        <v>564</v>
      </c>
      <c r="E27" s="30" t="s">
        <v>555</v>
      </c>
      <c r="F27" s="36" t="s">
        <v>9</v>
      </c>
      <c r="G27" s="37" t="s">
        <v>9</v>
      </c>
      <c r="H27" s="36" t="s">
        <v>9</v>
      </c>
      <c r="I27" s="37" t="s">
        <v>9</v>
      </c>
      <c r="J27" s="31" t="s">
        <v>84</v>
      </c>
      <c r="K27" s="61" t="s">
        <v>176</v>
      </c>
      <c r="L27" s="31" t="s">
        <v>9</v>
      </c>
      <c r="M27" s="60" t="s">
        <v>9</v>
      </c>
      <c r="N27" s="31" t="s">
        <v>9</v>
      </c>
      <c r="O27" s="60" t="s">
        <v>9</v>
      </c>
      <c r="P27" s="31" t="s">
        <v>86</v>
      </c>
      <c r="Q27" s="32">
        <v>254</v>
      </c>
      <c r="R27" s="31" t="s">
        <v>87</v>
      </c>
      <c r="S27" s="32">
        <v>225</v>
      </c>
      <c r="T27" s="31" t="s">
        <v>191</v>
      </c>
      <c r="U27" s="32" t="s">
        <v>131</v>
      </c>
      <c r="V27" s="31" t="s">
        <v>192</v>
      </c>
      <c r="W27" s="32" t="s">
        <v>131</v>
      </c>
      <c r="X27" s="31" t="s">
        <v>194</v>
      </c>
      <c r="Y27" s="32">
        <v>7</v>
      </c>
      <c r="Z27" s="31" t="s">
        <v>1064</v>
      </c>
      <c r="AA27" s="34">
        <v>85</v>
      </c>
      <c r="AB27" s="31" t="s">
        <v>16</v>
      </c>
      <c r="AC27" s="19" t="s">
        <v>554</v>
      </c>
      <c r="AD27" s="31" t="s">
        <v>1065</v>
      </c>
      <c r="AE27" s="35" t="s">
        <v>193</v>
      </c>
      <c r="AF27" s="41" t="s">
        <v>558</v>
      </c>
      <c r="AG27" s="19" t="s">
        <v>1080</v>
      </c>
      <c r="AH27" s="41" t="s">
        <v>559</v>
      </c>
      <c r="AI27" s="19" t="s">
        <v>1084</v>
      </c>
      <c r="AJ27" s="41" t="s">
        <v>1066</v>
      </c>
      <c r="AK27" s="19" t="s">
        <v>1067</v>
      </c>
    </row>
    <row r="28" spans="1:37" ht="6.6" customHeight="1" x14ac:dyDescent="0.25">
      <c r="A28" s="16">
        <v>28</v>
      </c>
      <c r="B28" s="17" t="s">
        <v>402</v>
      </c>
      <c r="C28" s="18" t="s">
        <v>626</v>
      </c>
      <c r="D28" s="29" t="s">
        <v>564</v>
      </c>
      <c r="E28" s="30" t="s">
        <v>555</v>
      </c>
      <c r="F28" s="36" t="s">
        <v>9</v>
      </c>
      <c r="G28" s="37" t="s">
        <v>9</v>
      </c>
      <c r="H28" s="36" t="s">
        <v>9</v>
      </c>
      <c r="I28" s="37" t="s">
        <v>9</v>
      </c>
      <c r="J28" s="31" t="s">
        <v>84</v>
      </c>
      <c r="K28" s="61" t="s">
        <v>177</v>
      </c>
      <c r="L28" s="31" t="s">
        <v>9</v>
      </c>
      <c r="M28" s="60" t="s">
        <v>9</v>
      </c>
      <c r="N28" s="31" t="s">
        <v>9</v>
      </c>
      <c r="O28" s="60" t="s">
        <v>9</v>
      </c>
      <c r="P28" s="31" t="s">
        <v>86</v>
      </c>
      <c r="Q28" s="32">
        <v>260</v>
      </c>
      <c r="R28" s="31" t="s">
        <v>87</v>
      </c>
      <c r="S28" s="32">
        <v>225</v>
      </c>
      <c r="T28" s="31" t="s">
        <v>191</v>
      </c>
      <c r="U28" s="32" t="s">
        <v>124</v>
      </c>
      <c r="V28" s="31" t="s">
        <v>192</v>
      </c>
      <c r="W28" s="32" t="s">
        <v>132</v>
      </c>
      <c r="X28" s="31" t="s">
        <v>194</v>
      </c>
      <c r="Y28" s="32" t="s">
        <v>133</v>
      </c>
      <c r="Z28" s="31" t="s">
        <v>1064</v>
      </c>
      <c r="AA28" s="34">
        <v>89</v>
      </c>
      <c r="AB28" s="31" t="s">
        <v>16</v>
      </c>
      <c r="AC28" s="19" t="s">
        <v>554</v>
      </c>
      <c r="AD28" s="31" t="s">
        <v>1065</v>
      </c>
      <c r="AE28" s="35" t="s">
        <v>193</v>
      </c>
      <c r="AF28" s="41" t="s">
        <v>558</v>
      </c>
      <c r="AG28" s="19" t="s">
        <v>1080</v>
      </c>
      <c r="AH28" s="41" t="s">
        <v>559</v>
      </c>
      <c r="AI28" s="19" t="s">
        <v>1084</v>
      </c>
      <c r="AJ28" s="41" t="s">
        <v>1066</v>
      </c>
      <c r="AK28" s="19" t="s">
        <v>1067</v>
      </c>
    </row>
    <row r="29" spans="1:37" ht="6.6" customHeight="1" x14ac:dyDescent="0.25">
      <c r="A29" s="16">
        <v>29</v>
      </c>
      <c r="B29" s="17" t="s">
        <v>403</v>
      </c>
      <c r="C29" s="18" t="s">
        <v>626</v>
      </c>
      <c r="D29" s="29" t="s">
        <v>564</v>
      </c>
      <c r="E29" s="30" t="s">
        <v>555</v>
      </c>
      <c r="F29" s="36" t="s">
        <v>9</v>
      </c>
      <c r="G29" s="37" t="s">
        <v>9</v>
      </c>
      <c r="H29" s="36" t="s">
        <v>9</v>
      </c>
      <c r="I29" s="37" t="s">
        <v>9</v>
      </c>
      <c r="J29" s="31" t="s">
        <v>84</v>
      </c>
      <c r="K29" s="61" t="s">
        <v>178</v>
      </c>
      <c r="L29" s="31" t="s">
        <v>9</v>
      </c>
      <c r="M29" s="60" t="s">
        <v>9</v>
      </c>
      <c r="N29" s="31" t="s">
        <v>9</v>
      </c>
      <c r="O29" s="60" t="s">
        <v>9</v>
      </c>
      <c r="P29" s="31" t="s">
        <v>86</v>
      </c>
      <c r="Q29" s="32">
        <v>264</v>
      </c>
      <c r="R29" s="31" t="s">
        <v>87</v>
      </c>
      <c r="S29" s="32">
        <v>225</v>
      </c>
      <c r="T29" s="31" t="s">
        <v>191</v>
      </c>
      <c r="U29" s="32" t="s">
        <v>134</v>
      </c>
      <c r="V29" s="31" t="s">
        <v>192</v>
      </c>
      <c r="W29" s="32" t="s">
        <v>135</v>
      </c>
      <c r="X29" s="31" t="s">
        <v>194</v>
      </c>
      <c r="Y29" s="32" t="s">
        <v>136</v>
      </c>
      <c r="Z29" s="31" t="s">
        <v>1064</v>
      </c>
      <c r="AA29" s="34">
        <v>101</v>
      </c>
      <c r="AB29" s="31" t="s">
        <v>16</v>
      </c>
      <c r="AC29" s="19" t="s">
        <v>554</v>
      </c>
      <c r="AD29" s="31" t="s">
        <v>1065</v>
      </c>
      <c r="AE29" s="35" t="s">
        <v>193</v>
      </c>
      <c r="AF29" s="41" t="s">
        <v>558</v>
      </c>
      <c r="AG29" s="19" t="s">
        <v>1080</v>
      </c>
      <c r="AH29" s="41" t="s">
        <v>559</v>
      </c>
      <c r="AI29" s="19" t="s">
        <v>1084</v>
      </c>
      <c r="AJ29" s="41" t="s">
        <v>1066</v>
      </c>
      <c r="AK29" s="19" t="s">
        <v>1067</v>
      </c>
    </row>
    <row r="30" spans="1:37" ht="6.6" customHeight="1" x14ac:dyDescent="0.25">
      <c r="A30" s="16">
        <v>30</v>
      </c>
      <c r="B30" s="17" t="s">
        <v>404</v>
      </c>
      <c r="C30" s="18" t="s">
        <v>626</v>
      </c>
      <c r="D30" s="29" t="s">
        <v>564</v>
      </c>
      <c r="E30" s="30" t="s">
        <v>555</v>
      </c>
      <c r="F30" s="36" t="s">
        <v>9</v>
      </c>
      <c r="G30" s="37" t="s">
        <v>9</v>
      </c>
      <c r="H30" s="36" t="s">
        <v>9</v>
      </c>
      <c r="I30" s="37" t="s">
        <v>9</v>
      </c>
      <c r="J30" s="31" t="s">
        <v>84</v>
      </c>
      <c r="K30" s="61" t="s">
        <v>179</v>
      </c>
      <c r="L30" s="31" t="s">
        <v>9</v>
      </c>
      <c r="M30" s="60" t="s">
        <v>9</v>
      </c>
      <c r="N30" s="31" t="s">
        <v>9</v>
      </c>
      <c r="O30" s="60" t="s">
        <v>9</v>
      </c>
      <c r="P30" s="31" t="s">
        <v>86</v>
      </c>
      <c r="Q30" s="32">
        <v>269</v>
      </c>
      <c r="R30" s="31" t="s">
        <v>87</v>
      </c>
      <c r="S30" s="32">
        <v>225</v>
      </c>
      <c r="T30" s="31" t="s">
        <v>191</v>
      </c>
      <c r="U30" s="32" t="s">
        <v>137</v>
      </c>
      <c r="V30" s="31" t="s">
        <v>192</v>
      </c>
      <c r="W30" s="32" t="s">
        <v>138</v>
      </c>
      <c r="X30" s="31" t="s">
        <v>194</v>
      </c>
      <c r="Y30" s="32" t="s">
        <v>139</v>
      </c>
      <c r="Z30" s="31" t="s">
        <v>1064</v>
      </c>
      <c r="AA30" s="34">
        <v>115</v>
      </c>
      <c r="AB30" s="31" t="s">
        <v>16</v>
      </c>
      <c r="AC30" s="19" t="s">
        <v>554</v>
      </c>
      <c r="AD30" s="31" t="s">
        <v>1065</v>
      </c>
      <c r="AE30" s="35" t="s">
        <v>193</v>
      </c>
      <c r="AF30" s="41" t="s">
        <v>558</v>
      </c>
      <c r="AG30" s="19" t="s">
        <v>1080</v>
      </c>
      <c r="AH30" s="41" t="s">
        <v>559</v>
      </c>
      <c r="AI30" s="19" t="s">
        <v>1084</v>
      </c>
      <c r="AJ30" s="41" t="s">
        <v>1066</v>
      </c>
      <c r="AK30" s="19" t="s">
        <v>1067</v>
      </c>
    </row>
    <row r="31" spans="1:37" ht="6.6" customHeight="1" x14ac:dyDescent="0.25">
      <c r="A31" s="16">
        <v>31</v>
      </c>
      <c r="B31" s="17" t="s">
        <v>405</v>
      </c>
      <c r="C31" s="18" t="s">
        <v>626</v>
      </c>
      <c r="D31" s="29" t="s">
        <v>564</v>
      </c>
      <c r="E31" s="30" t="s">
        <v>555</v>
      </c>
      <c r="F31" s="36" t="s">
        <v>9</v>
      </c>
      <c r="G31" s="37" t="s">
        <v>9</v>
      </c>
      <c r="H31" s="36" t="s">
        <v>9</v>
      </c>
      <c r="I31" s="37" t="s">
        <v>9</v>
      </c>
      <c r="J31" s="31" t="s">
        <v>84</v>
      </c>
      <c r="K31" s="61" t="s">
        <v>180</v>
      </c>
      <c r="L31" s="31" t="s">
        <v>9</v>
      </c>
      <c r="M31" s="60" t="s">
        <v>9</v>
      </c>
      <c r="N31" s="31" t="s">
        <v>9</v>
      </c>
      <c r="O31" s="60" t="s">
        <v>9</v>
      </c>
      <c r="P31" s="31" t="s">
        <v>86</v>
      </c>
      <c r="Q31" s="32">
        <v>299</v>
      </c>
      <c r="R31" s="31" t="s">
        <v>87</v>
      </c>
      <c r="S31" s="32">
        <v>277</v>
      </c>
      <c r="T31" s="31" t="s">
        <v>191</v>
      </c>
      <c r="U31" s="32">
        <v>11</v>
      </c>
      <c r="V31" s="31" t="s">
        <v>192</v>
      </c>
      <c r="W31" s="32">
        <v>11</v>
      </c>
      <c r="X31" s="31" t="s">
        <v>194</v>
      </c>
      <c r="Y31" s="32" t="s">
        <v>140</v>
      </c>
      <c r="Z31" s="31" t="s">
        <v>1064</v>
      </c>
      <c r="AA31" s="34">
        <v>79</v>
      </c>
      <c r="AB31" s="31" t="s">
        <v>16</v>
      </c>
      <c r="AC31" s="19" t="s">
        <v>554</v>
      </c>
      <c r="AD31" s="31" t="s">
        <v>1065</v>
      </c>
      <c r="AE31" s="35" t="s">
        <v>193</v>
      </c>
      <c r="AF31" s="41" t="s">
        <v>558</v>
      </c>
      <c r="AG31" s="19" t="s">
        <v>1080</v>
      </c>
      <c r="AH31" s="41" t="s">
        <v>559</v>
      </c>
      <c r="AI31" s="19" t="s">
        <v>1084</v>
      </c>
      <c r="AJ31" s="41" t="s">
        <v>1066</v>
      </c>
      <c r="AK31" s="19" t="s">
        <v>1067</v>
      </c>
    </row>
    <row r="32" spans="1:37" ht="6.6" customHeight="1" x14ac:dyDescent="0.25">
      <c r="A32" s="16">
        <v>32</v>
      </c>
      <c r="B32" s="17" t="s">
        <v>406</v>
      </c>
      <c r="C32" s="18" t="s">
        <v>626</v>
      </c>
      <c r="D32" s="29" t="s">
        <v>564</v>
      </c>
      <c r="E32" s="30" t="s">
        <v>555</v>
      </c>
      <c r="F32" s="36" t="s">
        <v>9</v>
      </c>
      <c r="G32" s="37" t="s">
        <v>9</v>
      </c>
      <c r="H32" s="36" t="s">
        <v>9</v>
      </c>
      <c r="I32" s="37" t="s">
        <v>9</v>
      </c>
      <c r="J32" s="31" t="s">
        <v>84</v>
      </c>
      <c r="K32" s="61" t="s">
        <v>181</v>
      </c>
      <c r="L32" s="31" t="s">
        <v>9</v>
      </c>
      <c r="M32" s="60" t="s">
        <v>9</v>
      </c>
      <c r="N32" s="31" t="s">
        <v>9</v>
      </c>
      <c r="O32" s="60" t="s">
        <v>9</v>
      </c>
      <c r="P32" s="31" t="s">
        <v>86</v>
      </c>
      <c r="Q32" s="32">
        <v>303</v>
      </c>
      <c r="R32" s="31" t="s">
        <v>87</v>
      </c>
      <c r="S32" s="32">
        <v>277</v>
      </c>
      <c r="T32" s="31" t="s">
        <v>191</v>
      </c>
      <c r="U32" s="32" t="s">
        <v>141</v>
      </c>
      <c r="V32" s="31" t="s">
        <v>192</v>
      </c>
      <c r="W32" s="32" t="s">
        <v>141</v>
      </c>
      <c r="X32" s="31" t="s">
        <v>194</v>
      </c>
      <c r="Y32" s="32" t="s">
        <v>142</v>
      </c>
      <c r="Z32" s="31" t="s">
        <v>1064</v>
      </c>
      <c r="AA32" s="34">
        <v>93</v>
      </c>
      <c r="AB32" s="31" t="s">
        <v>16</v>
      </c>
      <c r="AC32" s="19" t="s">
        <v>554</v>
      </c>
      <c r="AD32" s="31" t="s">
        <v>1065</v>
      </c>
      <c r="AE32" s="35" t="s">
        <v>193</v>
      </c>
      <c r="AF32" s="41" t="s">
        <v>558</v>
      </c>
      <c r="AG32" s="19" t="s">
        <v>1080</v>
      </c>
      <c r="AH32" s="41" t="s">
        <v>559</v>
      </c>
      <c r="AI32" s="19" t="s">
        <v>1084</v>
      </c>
      <c r="AJ32" s="41" t="s">
        <v>1066</v>
      </c>
      <c r="AK32" s="19" t="s">
        <v>1067</v>
      </c>
    </row>
    <row r="33" spans="1:37" ht="6.6" customHeight="1" x14ac:dyDescent="0.25">
      <c r="A33" s="16">
        <v>33</v>
      </c>
      <c r="B33" s="17" t="s">
        <v>407</v>
      </c>
      <c r="C33" s="18" t="s">
        <v>626</v>
      </c>
      <c r="D33" s="29" t="s">
        <v>564</v>
      </c>
      <c r="E33" s="30" t="s">
        <v>555</v>
      </c>
      <c r="F33" s="36" t="s">
        <v>9</v>
      </c>
      <c r="G33" s="37" t="s">
        <v>9</v>
      </c>
      <c r="H33" s="36" t="s">
        <v>9</v>
      </c>
      <c r="I33" s="37" t="s">
        <v>9</v>
      </c>
      <c r="J33" s="31" t="s">
        <v>84</v>
      </c>
      <c r="K33" s="61" t="s">
        <v>182</v>
      </c>
      <c r="L33" s="31" t="s">
        <v>9</v>
      </c>
      <c r="M33" s="60" t="s">
        <v>9</v>
      </c>
      <c r="N33" s="31" t="s">
        <v>9</v>
      </c>
      <c r="O33" s="60" t="s">
        <v>9</v>
      </c>
      <c r="P33" s="31" t="s">
        <v>86</v>
      </c>
      <c r="Q33" s="32">
        <v>308</v>
      </c>
      <c r="R33" s="31" t="s">
        <v>87</v>
      </c>
      <c r="S33" s="32">
        <v>277</v>
      </c>
      <c r="T33" s="31" t="s">
        <v>191</v>
      </c>
      <c r="U33" s="32" t="s">
        <v>143</v>
      </c>
      <c r="V33" s="31" t="s">
        <v>192</v>
      </c>
      <c r="W33" s="32" t="s">
        <v>144</v>
      </c>
      <c r="X33" s="31" t="s">
        <v>194</v>
      </c>
      <c r="Y33" s="32" t="s">
        <v>145</v>
      </c>
      <c r="Z33" s="31" t="s">
        <v>1064</v>
      </c>
      <c r="AA33" s="34">
        <v>97</v>
      </c>
      <c r="AB33" s="31" t="s">
        <v>16</v>
      </c>
      <c r="AC33" s="19" t="s">
        <v>554</v>
      </c>
      <c r="AD33" s="31" t="s">
        <v>1065</v>
      </c>
      <c r="AE33" s="35" t="s">
        <v>193</v>
      </c>
      <c r="AF33" s="41" t="s">
        <v>558</v>
      </c>
      <c r="AG33" s="19" t="s">
        <v>1080</v>
      </c>
      <c r="AH33" s="41" t="s">
        <v>559</v>
      </c>
      <c r="AI33" s="19" t="s">
        <v>1084</v>
      </c>
      <c r="AJ33" s="41" t="s">
        <v>1066</v>
      </c>
      <c r="AK33" s="19" t="s">
        <v>1067</v>
      </c>
    </row>
    <row r="34" spans="1:37" ht="6.6" customHeight="1" x14ac:dyDescent="0.25">
      <c r="A34" s="16">
        <v>34</v>
      </c>
      <c r="B34" s="17" t="s">
        <v>408</v>
      </c>
      <c r="C34" s="18" t="s">
        <v>626</v>
      </c>
      <c r="D34" s="29" t="s">
        <v>564</v>
      </c>
      <c r="E34" s="30" t="s">
        <v>555</v>
      </c>
      <c r="F34" s="36" t="s">
        <v>9</v>
      </c>
      <c r="G34" s="37" t="s">
        <v>9</v>
      </c>
      <c r="H34" s="36" t="s">
        <v>9</v>
      </c>
      <c r="I34" s="37" t="s">
        <v>9</v>
      </c>
      <c r="J34" s="31" t="s">
        <v>84</v>
      </c>
      <c r="K34" s="61" t="s">
        <v>183</v>
      </c>
      <c r="L34" s="31" t="s">
        <v>9</v>
      </c>
      <c r="M34" s="60" t="s">
        <v>9</v>
      </c>
      <c r="N34" s="31" t="s">
        <v>9</v>
      </c>
      <c r="O34" s="60" t="s">
        <v>9</v>
      </c>
      <c r="P34" s="31" t="s">
        <v>86</v>
      </c>
      <c r="Q34" s="32">
        <v>311</v>
      </c>
      <c r="R34" s="31" t="s">
        <v>87</v>
      </c>
      <c r="S34" s="32">
        <v>277</v>
      </c>
      <c r="T34" s="31" t="s">
        <v>191</v>
      </c>
      <c r="U34" s="32" t="s">
        <v>146</v>
      </c>
      <c r="V34" s="31" t="s">
        <v>192</v>
      </c>
      <c r="W34" s="32">
        <v>17</v>
      </c>
      <c r="X34" s="31" t="s">
        <v>194</v>
      </c>
      <c r="Y34" s="32" t="s">
        <v>147</v>
      </c>
      <c r="Z34" s="31" t="s">
        <v>1064</v>
      </c>
      <c r="AA34" s="34">
        <v>107</v>
      </c>
      <c r="AB34" s="31" t="s">
        <v>16</v>
      </c>
      <c r="AC34" s="19" t="s">
        <v>554</v>
      </c>
      <c r="AD34" s="31" t="s">
        <v>1065</v>
      </c>
      <c r="AE34" s="35" t="s">
        <v>193</v>
      </c>
      <c r="AF34" s="41" t="s">
        <v>558</v>
      </c>
      <c r="AG34" s="19" t="s">
        <v>1080</v>
      </c>
      <c r="AH34" s="41" t="s">
        <v>559</v>
      </c>
      <c r="AI34" s="19" t="s">
        <v>1084</v>
      </c>
      <c r="AJ34" s="41" t="s">
        <v>1066</v>
      </c>
      <c r="AK34" s="19" t="s">
        <v>1067</v>
      </c>
    </row>
    <row r="35" spans="1:37" ht="6.6" customHeight="1" x14ac:dyDescent="0.25">
      <c r="A35" s="16">
        <v>35</v>
      </c>
      <c r="B35" s="17" t="s">
        <v>409</v>
      </c>
      <c r="C35" s="18" t="s">
        <v>626</v>
      </c>
      <c r="D35" s="29" t="s">
        <v>564</v>
      </c>
      <c r="E35" s="30" t="s">
        <v>555</v>
      </c>
      <c r="F35" s="36" t="s">
        <v>9</v>
      </c>
      <c r="G35" s="37" t="s">
        <v>9</v>
      </c>
      <c r="H35" s="36" t="s">
        <v>9</v>
      </c>
      <c r="I35" s="37" t="s">
        <v>9</v>
      </c>
      <c r="J35" s="31" t="s">
        <v>84</v>
      </c>
      <c r="K35" s="61" t="s">
        <v>184</v>
      </c>
      <c r="L35" s="31" t="s">
        <v>9</v>
      </c>
      <c r="M35" s="60" t="s">
        <v>9</v>
      </c>
      <c r="N35" s="31" t="s">
        <v>9</v>
      </c>
      <c r="O35" s="60" t="s">
        <v>9</v>
      </c>
      <c r="P35" s="31" t="s">
        <v>86</v>
      </c>
      <c r="Q35" s="32">
        <v>308</v>
      </c>
      <c r="R35" s="31" t="s">
        <v>87</v>
      </c>
      <c r="S35" s="32">
        <v>277</v>
      </c>
      <c r="T35" s="31" t="s">
        <v>191</v>
      </c>
      <c r="U35" s="32" t="s">
        <v>144</v>
      </c>
      <c r="V35" s="31" t="s">
        <v>192</v>
      </c>
      <c r="W35" s="32" t="s">
        <v>148</v>
      </c>
      <c r="X35" s="31" t="s">
        <v>194</v>
      </c>
      <c r="Y35" s="32" t="s">
        <v>149</v>
      </c>
      <c r="Z35" s="31" t="s">
        <v>1064</v>
      </c>
      <c r="AA35" s="34">
        <v>110</v>
      </c>
      <c r="AB35" s="31" t="s">
        <v>16</v>
      </c>
      <c r="AC35" s="19" t="s">
        <v>554</v>
      </c>
      <c r="AD35" s="31" t="s">
        <v>1065</v>
      </c>
      <c r="AE35" s="35" t="s">
        <v>193</v>
      </c>
      <c r="AF35" s="41" t="s">
        <v>558</v>
      </c>
      <c r="AG35" s="19" t="s">
        <v>1080</v>
      </c>
      <c r="AH35" s="41" t="s">
        <v>559</v>
      </c>
      <c r="AI35" s="19" t="s">
        <v>1084</v>
      </c>
      <c r="AJ35" s="41" t="s">
        <v>1066</v>
      </c>
      <c r="AK35" s="19" t="s">
        <v>1067</v>
      </c>
    </row>
    <row r="36" spans="1:37" ht="6.6" customHeight="1" x14ac:dyDescent="0.25">
      <c r="A36" s="16">
        <v>36</v>
      </c>
      <c r="B36" s="17" t="s">
        <v>410</v>
      </c>
      <c r="C36" s="18" t="s">
        <v>626</v>
      </c>
      <c r="D36" s="29" t="s">
        <v>564</v>
      </c>
      <c r="E36" s="30" t="s">
        <v>555</v>
      </c>
      <c r="F36" s="36" t="s">
        <v>9</v>
      </c>
      <c r="G36" s="37" t="s">
        <v>9</v>
      </c>
      <c r="H36" s="36" t="s">
        <v>9</v>
      </c>
      <c r="I36" s="37" t="s">
        <v>9</v>
      </c>
      <c r="J36" s="31" t="s">
        <v>84</v>
      </c>
      <c r="K36" s="61" t="s">
        <v>185</v>
      </c>
      <c r="L36" s="31" t="s">
        <v>9</v>
      </c>
      <c r="M36" s="60" t="s">
        <v>9</v>
      </c>
      <c r="N36" s="31" t="s">
        <v>9</v>
      </c>
      <c r="O36" s="60" t="s">
        <v>9</v>
      </c>
      <c r="P36" s="31" t="s">
        <v>86</v>
      </c>
      <c r="Q36" s="32">
        <v>314</v>
      </c>
      <c r="R36" s="31" t="s">
        <v>87</v>
      </c>
      <c r="S36" s="32">
        <v>277</v>
      </c>
      <c r="T36" s="31" t="s">
        <v>191</v>
      </c>
      <c r="U36" s="32" t="s">
        <v>134</v>
      </c>
      <c r="V36" s="31" t="s">
        <v>192</v>
      </c>
      <c r="W36" s="32" t="s">
        <v>150</v>
      </c>
      <c r="X36" s="31" t="s">
        <v>194</v>
      </c>
      <c r="Y36" s="32" t="s">
        <v>151</v>
      </c>
      <c r="Z36" s="31" t="s">
        <v>1064</v>
      </c>
      <c r="AA36" s="34">
        <v>117</v>
      </c>
      <c r="AB36" s="31" t="s">
        <v>16</v>
      </c>
      <c r="AC36" s="19" t="s">
        <v>554</v>
      </c>
      <c r="AD36" s="31" t="s">
        <v>1065</v>
      </c>
      <c r="AE36" s="35" t="s">
        <v>193</v>
      </c>
      <c r="AF36" s="41" t="s">
        <v>558</v>
      </c>
      <c r="AG36" s="19" t="s">
        <v>1080</v>
      </c>
      <c r="AH36" s="41" t="s">
        <v>559</v>
      </c>
      <c r="AI36" s="19" t="s">
        <v>1084</v>
      </c>
      <c r="AJ36" s="41" t="s">
        <v>1066</v>
      </c>
      <c r="AK36" s="19" t="s">
        <v>1067</v>
      </c>
    </row>
    <row r="37" spans="1:37" ht="6.6" customHeight="1" x14ac:dyDescent="0.25">
      <c r="A37" s="16">
        <v>37</v>
      </c>
      <c r="B37" s="17" t="s">
        <v>411</v>
      </c>
      <c r="C37" s="18" t="s">
        <v>626</v>
      </c>
      <c r="D37" s="29" t="s">
        <v>564</v>
      </c>
      <c r="E37" s="30" t="s">
        <v>555</v>
      </c>
      <c r="F37" s="36" t="s">
        <v>9</v>
      </c>
      <c r="G37" s="37" t="s">
        <v>9</v>
      </c>
      <c r="H37" s="36" t="s">
        <v>9</v>
      </c>
      <c r="I37" s="37" t="s">
        <v>9</v>
      </c>
      <c r="J37" s="31" t="s">
        <v>84</v>
      </c>
      <c r="K37" s="61" t="s">
        <v>186</v>
      </c>
      <c r="L37" s="31" t="s">
        <v>9</v>
      </c>
      <c r="M37" s="60" t="s">
        <v>9</v>
      </c>
      <c r="N37" s="31" t="s">
        <v>9</v>
      </c>
      <c r="O37" s="60" t="s">
        <v>9</v>
      </c>
      <c r="P37" s="31" t="s">
        <v>86</v>
      </c>
      <c r="Q37" s="32">
        <v>312</v>
      </c>
      <c r="R37" s="31" t="s">
        <v>87</v>
      </c>
      <c r="S37" s="32">
        <v>277</v>
      </c>
      <c r="T37" s="31" t="s">
        <v>191</v>
      </c>
      <c r="U37" s="32" t="s">
        <v>119</v>
      </c>
      <c r="V37" s="31" t="s">
        <v>192</v>
      </c>
      <c r="W37" s="32" t="s">
        <v>119</v>
      </c>
      <c r="X37" s="31" t="s">
        <v>194</v>
      </c>
      <c r="Y37" s="32" t="s">
        <v>145</v>
      </c>
      <c r="Z37" s="31" t="s">
        <v>1064</v>
      </c>
      <c r="AA37" s="34">
        <v>125</v>
      </c>
      <c r="AB37" s="31" t="s">
        <v>16</v>
      </c>
      <c r="AC37" s="19" t="s">
        <v>554</v>
      </c>
      <c r="AD37" s="31" t="s">
        <v>1065</v>
      </c>
      <c r="AE37" s="35" t="s">
        <v>193</v>
      </c>
      <c r="AF37" s="41" t="s">
        <v>558</v>
      </c>
      <c r="AG37" s="19" t="s">
        <v>1080</v>
      </c>
      <c r="AH37" s="41" t="s">
        <v>559</v>
      </c>
      <c r="AI37" s="19" t="s">
        <v>1084</v>
      </c>
      <c r="AJ37" s="41" t="s">
        <v>1066</v>
      </c>
      <c r="AK37" s="19" t="s">
        <v>1067</v>
      </c>
    </row>
    <row r="38" spans="1:37" ht="6.6" customHeight="1" x14ac:dyDescent="0.25">
      <c r="A38" s="16">
        <v>38</v>
      </c>
      <c r="B38" s="17" t="s">
        <v>412</v>
      </c>
      <c r="C38" s="18" t="s">
        <v>626</v>
      </c>
      <c r="D38" s="29" t="s">
        <v>564</v>
      </c>
      <c r="E38" s="30" t="s">
        <v>555</v>
      </c>
      <c r="F38" s="36" t="s">
        <v>9</v>
      </c>
      <c r="G38" s="37" t="s">
        <v>9</v>
      </c>
      <c r="H38" s="36" t="s">
        <v>9</v>
      </c>
      <c r="I38" s="37" t="s">
        <v>9</v>
      </c>
      <c r="J38" s="31" t="s">
        <v>84</v>
      </c>
      <c r="K38" s="61" t="s">
        <v>187</v>
      </c>
      <c r="L38" s="31" t="s">
        <v>9</v>
      </c>
      <c r="M38" s="60" t="s">
        <v>9</v>
      </c>
      <c r="N38" s="31" t="s">
        <v>9</v>
      </c>
      <c r="O38" s="60" t="s">
        <v>9</v>
      </c>
      <c r="P38" s="31" t="s">
        <v>86</v>
      </c>
      <c r="Q38" s="32">
        <v>353</v>
      </c>
      <c r="R38" s="31" t="s">
        <v>87</v>
      </c>
      <c r="S38" s="32">
        <v>320</v>
      </c>
      <c r="T38" s="31" t="s">
        <v>191</v>
      </c>
      <c r="U38" s="32" t="s">
        <v>152</v>
      </c>
      <c r="V38" s="31" t="s">
        <v>192</v>
      </c>
      <c r="W38" s="32" t="s">
        <v>153</v>
      </c>
      <c r="X38" s="31" t="s">
        <v>194</v>
      </c>
      <c r="Y38" s="32" t="s">
        <v>154</v>
      </c>
      <c r="Z38" s="31" t="s">
        <v>1064</v>
      </c>
      <c r="AA38" s="34">
        <v>91</v>
      </c>
      <c r="AB38" s="31" t="s">
        <v>16</v>
      </c>
      <c r="AC38" s="19" t="s">
        <v>554</v>
      </c>
      <c r="AD38" s="31" t="s">
        <v>1065</v>
      </c>
      <c r="AE38" s="35" t="s">
        <v>193</v>
      </c>
      <c r="AF38" s="41" t="s">
        <v>558</v>
      </c>
      <c r="AG38" s="19" t="s">
        <v>1080</v>
      </c>
      <c r="AH38" s="41" t="s">
        <v>559</v>
      </c>
      <c r="AI38" s="19" t="s">
        <v>1084</v>
      </c>
      <c r="AJ38" s="41" t="s">
        <v>1066</v>
      </c>
      <c r="AK38" s="19" t="s">
        <v>1067</v>
      </c>
    </row>
    <row r="39" spans="1:37" ht="6.6" customHeight="1" x14ac:dyDescent="0.25">
      <c r="A39" s="16">
        <v>39</v>
      </c>
      <c r="B39" s="17" t="s">
        <v>413</v>
      </c>
      <c r="C39" s="18" t="s">
        <v>626</v>
      </c>
      <c r="D39" s="29" t="s">
        <v>564</v>
      </c>
      <c r="E39" s="30" t="s">
        <v>555</v>
      </c>
      <c r="F39" s="36" t="s">
        <v>9</v>
      </c>
      <c r="G39" s="37" t="s">
        <v>9</v>
      </c>
      <c r="H39" s="36" t="s">
        <v>9</v>
      </c>
      <c r="I39" s="37" t="s">
        <v>9</v>
      </c>
      <c r="J39" s="31" t="s">
        <v>84</v>
      </c>
      <c r="K39" s="61" t="s">
        <v>188</v>
      </c>
      <c r="L39" s="31" t="s">
        <v>9</v>
      </c>
      <c r="M39" s="60" t="s">
        <v>9</v>
      </c>
      <c r="N39" s="31" t="s">
        <v>9</v>
      </c>
      <c r="O39" s="60" t="s">
        <v>9</v>
      </c>
      <c r="P39" s="31" t="s">
        <v>86</v>
      </c>
      <c r="Q39" s="32">
        <v>357</v>
      </c>
      <c r="R39" s="31" t="s">
        <v>87</v>
      </c>
      <c r="S39" s="32">
        <v>320</v>
      </c>
      <c r="T39" s="31" t="s">
        <v>191</v>
      </c>
      <c r="U39" s="32" t="s">
        <v>123</v>
      </c>
      <c r="V39" s="31" t="s">
        <v>192</v>
      </c>
      <c r="W39" s="32" t="s">
        <v>155</v>
      </c>
      <c r="X39" s="31" t="s">
        <v>194</v>
      </c>
      <c r="Y39" s="32" t="s">
        <v>156</v>
      </c>
      <c r="Z39" s="31" t="s">
        <v>1064</v>
      </c>
      <c r="AA39" s="34">
        <v>101</v>
      </c>
      <c r="AB39" s="31" t="s">
        <v>16</v>
      </c>
      <c r="AC39" s="19" t="s">
        <v>554</v>
      </c>
      <c r="AD39" s="31" t="s">
        <v>1065</v>
      </c>
      <c r="AE39" s="35" t="s">
        <v>193</v>
      </c>
      <c r="AF39" s="41" t="s">
        <v>558</v>
      </c>
      <c r="AG39" s="19" t="s">
        <v>1080</v>
      </c>
      <c r="AH39" s="41" t="s">
        <v>559</v>
      </c>
      <c r="AI39" s="19" t="s">
        <v>1084</v>
      </c>
      <c r="AJ39" s="41" t="s">
        <v>1066</v>
      </c>
      <c r="AK39" s="19" t="s">
        <v>1067</v>
      </c>
    </row>
    <row r="40" spans="1:37" ht="6.6" customHeight="1" x14ac:dyDescent="0.25">
      <c r="A40" s="16">
        <v>40</v>
      </c>
      <c r="B40" s="17" t="s">
        <v>414</v>
      </c>
      <c r="C40" s="18" t="s">
        <v>626</v>
      </c>
      <c r="D40" s="29" t="s">
        <v>564</v>
      </c>
      <c r="E40" s="30" t="s">
        <v>555</v>
      </c>
      <c r="F40" s="36" t="s">
        <v>9</v>
      </c>
      <c r="G40" s="37" t="s">
        <v>9</v>
      </c>
      <c r="H40" s="36" t="s">
        <v>9</v>
      </c>
      <c r="I40" s="37" t="s">
        <v>9</v>
      </c>
      <c r="J40" s="31" t="s">
        <v>84</v>
      </c>
      <c r="K40" s="61" t="s">
        <v>189</v>
      </c>
      <c r="L40" s="31" t="s">
        <v>9</v>
      </c>
      <c r="M40" s="60" t="s">
        <v>9</v>
      </c>
      <c r="N40" s="31" t="s">
        <v>9</v>
      </c>
      <c r="O40" s="60" t="s">
        <v>9</v>
      </c>
      <c r="P40" s="31" t="s">
        <v>86</v>
      </c>
      <c r="Q40" s="32">
        <v>360</v>
      </c>
      <c r="R40" s="31" t="s">
        <v>87</v>
      </c>
      <c r="S40" s="32">
        <v>320</v>
      </c>
      <c r="T40" s="31" t="s">
        <v>191</v>
      </c>
      <c r="U40" s="32" t="s">
        <v>157</v>
      </c>
      <c r="V40" s="31" t="s">
        <v>192</v>
      </c>
      <c r="W40" s="32" t="s">
        <v>158</v>
      </c>
      <c r="X40" s="31" t="s">
        <v>194</v>
      </c>
      <c r="Y40" s="32" t="s">
        <v>159</v>
      </c>
      <c r="Z40" s="31" t="s">
        <v>1064</v>
      </c>
      <c r="AA40" s="34">
        <v>110</v>
      </c>
      <c r="AB40" s="31" t="s">
        <v>16</v>
      </c>
      <c r="AC40" s="19" t="s">
        <v>554</v>
      </c>
      <c r="AD40" s="31" t="s">
        <v>1065</v>
      </c>
      <c r="AE40" s="35" t="s">
        <v>193</v>
      </c>
      <c r="AF40" s="41" t="s">
        <v>558</v>
      </c>
      <c r="AG40" s="19" t="s">
        <v>1080</v>
      </c>
      <c r="AH40" s="41" t="s">
        <v>559</v>
      </c>
      <c r="AI40" s="19" t="s">
        <v>1084</v>
      </c>
      <c r="AJ40" s="41" t="s">
        <v>1066</v>
      </c>
      <c r="AK40" s="19" t="s">
        <v>1067</v>
      </c>
    </row>
    <row r="41" spans="1:37" ht="6.6" customHeight="1" x14ac:dyDescent="0.25">
      <c r="A41" s="16">
        <v>41</v>
      </c>
      <c r="B41" s="17" t="s">
        <v>415</v>
      </c>
      <c r="C41" s="18" t="s">
        <v>626</v>
      </c>
      <c r="D41" s="29" t="s">
        <v>564</v>
      </c>
      <c r="E41" s="30" t="s">
        <v>555</v>
      </c>
      <c r="F41" s="36" t="s">
        <v>9</v>
      </c>
      <c r="G41" s="37" t="s">
        <v>9</v>
      </c>
      <c r="H41" s="36" t="s">
        <v>9</v>
      </c>
      <c r="I41" s="37" t="s">
        <v>9</v>
      </c>
      <c r="J41" s="31" t="s">
        <v>84</v>
      </c>
      <c r="K41" s="61" t="s">
        <v>190</v>
      </c>
      <c r="L41" s="31" t="s">
        <v>9</v>
      </c>
      <c r="M41" s="60" t="s">
        <v>9</v>
      </c>
      <c r="N41" s="31" t="s">
        <v>9</v>
      </c>
      <c r="O41" s="60" t="s">
        <v>9</v>
      </c>
      <c r="P41" s="31" t="s">
        <v>86</v>
      </c>
      <c r="Q41" s="32">
        <v>363</v>
      </c>
      <c r="R41" s="31" t="s">
        <v>87</v>
      </c>
      <c r="S41" s="32">
        <v>320</v>
      </c>
      <c r="T41" s="31" t="s">
        <v>191</v>
      </c>
      <c r="U41" s="32">
        <v>13</v>
      </c>
      <c r="V41" s="31" t="s">
        <v>192</v>
      </c>
      <c r="W41" s="32" t="s">
        <v>160</v>
      </c>
      <c r="X41" s="31" t="s">
        <v>194</v>
      </c>
      <c r="Y41" s="32" t="s">
        <v>161</v>
      </c>
      <c r="Z41" s="31" t="s">
        <v>1064</v>
      </c>
      <c r="AA41" s="34">
        <v>122</v>
      </c>
      <c r="AB41" s="31" t="s">
        <v>16</v>
      </c>
      <c r="AC41" s="19" t="s">
        <v>554</v>
      </c>
      <c r="AD41" s="31" t="s">
        <v>1065</v>
      </c>
      <c r="AE41" s="35" t="s">
        <v>193</v>
      </c>
      <c r="AF41" s="41" t="s">
        <v>558</v>
      </c>
      <c r="AG41" s="19" t="s">
        <v>1080</v>
      </c>
      <c r="AH41" s="41" t="s">
        <v>559</v>
      </c>
      <c r="AI41" s="19" t="s">
        <v>1084</v>
      </c>
      <c r="AJ41" s="41" t="s">
        <v>1066</v>
      </c>
      <c r="AK41" s="19" t="s">
        <v>1067</v>
      </c>
    </row>
    <row r="42" spans="1:37" ht="6.6" customHeight="1" x14ac:dyDescent="0.25">
      <c r="A42" s="16">
        <v>42</v>
      </c>
      <c r="B42" s="17" t="s">
        <v>416</v>
      </c>
      <c r="C42" s="18" t="s">
        <v>627</v>
      </c>
      <c r="D42" s="29" t="s">
        <v>564</v>
      </c>
      <c r="E42" s="30" t="s">
        <v>555</v>
      </c>
      <c r="F42" s="36" t="s">
        <v>9</v>
      </c>
      <c r="G42" s="37" t="s">
        <v>9</v>
      </c>
      <c r="H42" s="36" t="s">
        <v>9</v>
      </c>
      <c r="I42" s="37" t="s">
        <v>9</v>
      </c>
      <c r="J42" s="31" t="s">
        <v>84</v>
      </c>
      <c r="K42" s="61" t="s">
        <v>85</v>
      </c>
      <c r="L42" s="31" t="s">
        <v>9</v>
      </c>
      <c r="M42" s="60" t="s">
        <v>9</v>
      </c>
      <c r="N42" s="31" t="s">
        <v>9</v>
      </c>
      <c r="O42" s="60" t="s">
        <v>9</v>
      </c>
      <c r="P42" s="31" t="s">
        <v>86</v>
      </c>
      <c r="Q42" s="32">
        <v>148</v>
      </c>
      <c r="R42" s="31" t="s">
        <v>87</v>
      </c>
      <c r="S42" s="32">
        <v>100</v>
      </c>
      <c r="T42" s="31" t="s">
        <v>191</v>
      </c>
      <c r="U42" s="32" t="s">
        <v>195</v>
      </c>
      <c r="V42" s="31" t="s">
        <v>192</v>
      </c>
      <c r="W42" s="32" t="s">
        <v>196</v>
      </c>
      <c r="X42" s="31" t="s">
        <v>194</v>
      </c>
      <c r="Y42" s="32" t="s">
        <v>197</v>
      </c>
      <c r="Z42" s="31" t="s">
        <v>1064</v>
      </c>
      <c r="AA42" s="32">
        <v>13</v>
      </c>
      <c r="AB42" s="31" t="s">
        <v>16</v>
      </c>
      <c r="AC42" s="19" t="s">
        <v>553</v>
      </c>
      <c r="AD42" s="31" t="s">
        <v>1065</v>
      </c>
      <c r="AE42" s="35" t="s">
        <v>193</v>
      </c>
      <c r="AF42" s="41" t="s">
        <v>558</v>
      </c>
      <c r="AG42" s="19" t="s">
        <v>1081</v>
      </c>
      <c r="AH42" s="41" t="s">
        <v>559</v>
      </c>
      <c r="AI42" s="19" t="s">
        <v>1085</v>
      </c>
      <c r="AJ42" s="41" t="s">
        <v>1066</v>
      </c>
      <c r="AK42" s="19" t="s">
        <v>1067</v>
      </c>
    </row>
    <row r="43" spans="1:37" ht="6.6" customHeight="1" x14ac:dyDescent="0.25">
      <c r="A43" s="16">
        <v>43</v>
      </c>
      <c r="B43" s="17" t="s">
        <v>417</v>
      </c>
      <c r="C43" s="18" t="s">
        <v>627</v>
      </c>
      <c r="D43" s="29" t="s">
        <v>564</v>
      </c>
      <c r="E43" s="30" t="s">
        <v>555</v>
      </c>
      <c r="F43" s="36" t="s">
        <v>9</v>
      </c>
      <c r="G43" s="37" t="s">
        <v>9</v>
      </c>
      <c r="H43" s="36" t="s">
        <v>9</v>
      </c>
      <c r="I43" s="37" t="s">
        <v>9</v>
      </c>
      <c r="J43" s="31" t="s">
        <v>84</v>
      </c>
      <c r="K43" s="61" t="s">
        <v>287</v>
      </c>
      <c r="L43" s="31" t="s">
        <v>9</v>
      </c>
      <c r="M43" s="60" t="s">
        <v>9</v>
      </c>
      <c r="N43" s="31" t="s">
        <v>9</v>
      </c>
      <c r="O43" s="60" t="s">
        <v>9</v>
      </c>
      <c r="P43" s="31" t="s">
        <v>86</v>
      </c>
      <c r="Q43" s="32">
        <v>153</v>
      </c>
      <c r="R43" s="31" t="s">
        <v>87</v>
      </c>
      <c r="S43" s="32">
        <v>102</v>
      </c>
      <c r="T43" s="31" t="s">
        <v>191</v>
      </c>
      <c r="U43" s="32" t="s">
        <v>198</v>
      </c>
      <c r="V43" s="31" t="s">
        <v>192</v>
      </c>
      <c r="W43" s="32" t="s">
        <v>199</v>
      </c>
      <c r="X43" s="31" t="s">
        <v>194</v>
      </c>
      <c r="Y43" s="32" t="s">
        <v>200</v>
      </c>
      <c r="Z43" s="31" t="s">
        <v>1064</v>
      </c>
      <c r="AA43" s="32">
        <v>18</v>
      </c>
      <c r="AB43" s="31" t="s">
        <v>16</v>
      </c>
      <c r="AC43" s="19" t="s">
        <v>553</v>
      </c>
      <c r="AD43" s="31" t="s">
        <v>1065</v>
      </c>
      <c r="AE43" s="35" t="s">
        <v>193</v>
      </c>
      <c r="AF43" s="41" t="s">
        <v>558</v>
      </c>
      <c r="AG43" s="19" t="s">
        <v>1081</v>
      </c>
      <c r="AH43" s="41" t="s">
        <v>559</v>
      </c>
      <c r="AI43" s="19" t="s">
        <v>1085</v>
      </c>
      <c r="AJ43" s="41" t="s">
        <v>1066</v>
      </c>
      <c r="AK43" s="19" t="s">
        <v>1067</v>
      </c>
    </row>
    <row r="44" spans="1:37" ht="6.6" customHeight="1" x14ac:dyDescent="0.25">
      <c r="A44" s="16">
        <v>44</v>
      </c>
      <c r="B44" s="17" t="s">
        <v>418</v>
      </c>
      <c r="C44" s="18" t="s">
        <v>627</v>
      </c>
      <c r="D44" s="29" t="s">
        <v>564</v>
      </c>
      <c r="E44" s="30" t="s">
        <v>555</v>
      </c>
      <c r="F44" s="36" t="s">
        <v>9</v>
      </c>
      <c r="G44" s="37" t="s">
        <v>9</v>
      </c>
      <c r="H44" s="36" t="s">
        <v>9</v>
      </c>
      <c r="I44" s="37" t="s">
        <v>9</v>
      </c>
      <c r="J44" s="31" t="s">
        <v>84</v>
      </c>
      <c r="K44" s="61" t="s">
        <v>288</v>
      </c>
      <c r="L44" s="31" t="s">
        <v>9</v>
      </c>
      <c r="M44" s="60" t="s">
        <v>9</v>
      </c>
      <c r="N44" s="31" t="s">
        <v>9</v>
      </c>
      <c r="O44" s="60" t="s">
        <v>9</v>
      </c>
      <c r="P44" s="31" t="s">
        <v>86</v>
      </c>
      <c r="Q44" s="32">
        <v>152</v>
      </c>
      <c r="R44" s="31" t="s">
        <v>87</v>
      </c>
      <c r="S44" s="32">
        <v>152</v>
      </c>
      <c r="T44" s="31" t="s">
        <v>191</v>
      </c>
      <c r="U44" s="32" t="s">
        <v>198</v>
      </c>
      <c r="V44" s="31" t="s">
        <v>192</v>
      </c>
      <c r="W44" s="32" t="s">
        <v>91</v>
      </c>
      <c r="X44" s="31" t="s">
        <v>194</v>
      </c>
      <c r="Y44" s="32" t="s">
        <v>201</v>
      </c>
      <c r="Z44" s="31" t="s">
        <v>1064</v>
      </c>
      <c r="AA44" s="32">
        <v>22</v>
      </c>
      <c r="AB44" s="31" t="s">
        <v>16</v>
      </c>
      <c r="AC44" s="19" t="s">
        <v>553</v>
      </c>
      <c r="AD44" s="31" t="s">
        <v>1065</v>
      </c>
      <c r="AE44" s="35" t="s">
        <v>193</v>
      </c>
      <c r="AF44" s="41" t="s">
        <v>558</v>
      </c>
      <c r="AG44" s="19" t="s">
        <v>1081</v>
      </c>
      <c r="AH44" s="41" t="s">
        <v>559</v>
      </c>
      <c r="AI44" s="19" t="s">
        <v>1085</v>
      </c>
      <c r="AJ44" s="41" t="s">
        <v>1066</v>
      </c>
      <c r="AK44" s="19" t="s">
        <v>1067</v>
      </c>
    </row>
    <row r="45" spans="1:37" ht="6.6" customHeight="1" x14ac:dyDescent="0.25">
      <c r="A45" s="16">
        <v>45</v>
      </c>
      <c r="B45" s="17" t="s">
        <v>419</v>
      </c>
      <c r="C45" s="18" t="s">
        <v>627</v>
      </c>
      <c r="D45" s="29" t="s">
        <v>564</v>
      </c>
      <c r="E45" s="30" t="s">
        <v>555</v>
      </c>
      <c r="F45" s="36" t="s">
        <v>9</v>
      </c>
      <c r="G45" s="37" t="s">
        <v>9</v>
      </c>
      <c r="H45" s="36" t="s">
        <v>9</v>
      </c>
      <c r="I45" s="37" t="s">
        <v>9</v>
      </c>
      <c r="J45" s="31" t="s">
        <v>84</v>
      </c>
      <c r="K45" s="61" t="s">
        <v>289</v>
      </c>
      <c r="L45" s="31" t="s">
        <v>9</v>
      </c>
      <c r="M45" s="60" t="s">
        <v>9</v>
      </c>
      <c r="N45" s="31" t="s">
        <v>9</v>
      </c>
      <c r="O45" s="60" t="s">
        <v>9</v>
      </c>
      <c r="P45" s="31" t="s">
        <v>86</v>
      </c>
      <c r="Q45" s="32">
        <v>160</v>
      </c>
      <c r="R45" s="31" t="s">
        <v>87</v>
      </c>
      <c r="S45" s="32">
        <v>102</v>
      </c>
      <c r="T45" s="31" t="s">
        <v>191</v>
      </c>
      <c r="U45" s="32" t="s">
        <v>91</v>
      </c>
      <c r="V45" s="31" t="s">
        <v>192</v>
      </c>
      <c r="W45" s="32" t="s">
        <v>202</v>
      </c>
      <c r="X45" s="31" t="s">
        <v>194</v>
      </c>
      <c r="Y45" s="32" t="s">
        <v>203</v>
      </c>
      <c r="Z45" s="31" t="s">
        <v>1064</v>
      </c>
      <c r="AA45" s="32">
        <v>24</v>
      </c>
      <c r="AB45" s="31" t="s">
        <v>16</v>
      </c>
      <c r="AC45" s="19" t="s">
        <v>553</v>
      </c>
      <c r="AD45" s="31" t="s">
        <v>1065</v>
      </c>
      <c r="AE45" s="35" t="s">
        <v>193</v>
      </c>
      <c r="AF45" s="41" t="s">
        <v>558</v>
      </c>
      <c r="AG45" s="19" t="s">
        <v>1081</v>
      </c>
      <c r="AH45" s="41" t="s">
        <v>559</v>
      </c>
      <c r="AI45" s="19" t="s">
        <v>1085</v>
      </c>
      <c r="AJ45" s="41" t="s">
        <v>1066</v>
      </c>
      <c r="AK45" s="19" t="s">
        <v>1067</v>
      </c>
    </row>
    <row r="46" spans="1:37" ht="6.6" customHeight="1" x14ac:dyDescent="0.25">
      <c r="A46" s="16">
        <v>46</v>
      </c>
      <c r="B46" s="17" t="s">
        <v>420</v>
      </c>
      <c r="C46" s="18" t="s">
        <v>627</v>
      </c>
      <c r="D46" s="29" t="s">
        <v>564</v>
      </c>
      <c r="E46" s="30" t="s">
        <v>555</v>
      </c>
      <c r="F46" s="36" t="s">
        <v>9</v>
      </c>
      <c r="G46" s="37" t="s">
        <v>9</v>
      </c>
      <c r="H46" s="36" t="s">
        <v>9</v>
      </c>
      <c r="I46" s="37" t="s">
        <v>9</v>
      </c>
      <c r="J46" s="31" t="s">
        <v>84</v>
      </c>
      <c r="K46" s="61" t="s">
        <v>290</v>
      </c>
      <c r="L46" s="31" t="s">
        <v>9</v>
      </c>
      <c r="M46" s="60" t="s">
        <v>9</v>
      </c>
      <c r="N46" s="31" t="s">
        <v>9</v>
      </c>
      <c r="O46" s="60" t="s">
        <v>9</v>
      </c>
      <c r="P46" s="31" t="s">
        <v>86</v>
      </c>
      <c r="Q46" s="32">
        <v>157</v>
      </c>
      <c r="R46" s="31" t="s">
        <v>87</v>
      </c>
      <c r="S46" s="32">
        <v>153</v>
      </c>
      <c r="T46" s="31" t="s">
        <v>191</v>
      </c>
      <c r="U46" s="32" t="s">
        <v>91</v>
      </c>
      <c r="V46" s="31" t="s">
        <v>192</v>
      </c>
      <c r="W46" s="32" t="s">
        <v>204</v>
      </c>
      <c r="X46" s="31" t="s">
        <v>194</v>
      </c>
      <c r="Y46" s="32" t="s">
        <v>205</v>
      </c>
      <c r="Z46" s="31" t="s">
        <v>1064</v>
      </c>
      <c r="AA46" s="32">
        <v>29</v>
      </c>
      <c r="AB46" s="31" t="s">
        <v>16</v>
      </c>
      <c r="AC46" s="19" t="s">
        <v>553</v>
      </c>
      <c r="AD46" s="31" t="s">
        <v>1065</v>
      </c>
      <c r="AE46" s="35" t="s">
        <v>193</v>
      </c>
      <c r="AF46" s="41" t="s">
        <v>558</v>
      </c>
      <c r="AG46" s="19" t="s">
        <v>1081</v>
      </c>
      <c r="AH46" s="41" t="s">
        <v>559</v>
      </c>
      <c r="AI46" s="19" t="s">
        <v>1085</v>
      </c>
      <c r="AJ46" s="41" t="s">
        <v>1066</v>
      </c>
      <c r="AK46" s="19" t="s">
        <v>1067</v>
      </c>
    </row>
    <row r="47" spans="1:37" ht="6.6" customHeight="1" x14ac:dyDescent="0.25">
      <c r="A47" s="16">
        <v>47</v>
      </c>
      <c r="B47" s="17" t="s">
        <v>421</v>
      </c>
      <c r="C47" s="18" t="s">
        <v>627</v>
      </c>
      <c r="D47" s="29" t="s">
        <v>564</v>
      </c>
      <c r="E47" s="30" t="s">
        <v>555</v>
      </c>
      <c r="F47" s="36" t="s">
        <v>9</v>
      </c>
      <c r="G47" s="37" t="s">
        <v>9</v>
      </c>
      <c r="H47" s="36" t="s">
        <v>9</v>
      </c>
      <c r="I47" s="37" t="s">
        <v>9</v>
      </c>
      <c r="J47" s="31" t="s">
        <v>84</v>
      </c>
      <c r="K47" s="61" t="s">
        <v>291</v>
      </c>
      <c r="L47" s="31" t="s">
        <v>9</v>
      </c>
      <c r="M47" s="60" t="s">
        <v>9</v>
      </c>
      <c r="N47" s="31" t="s">
        <v>9</v>
      </c>
      <c r="O47" s="60" t="s">
        <v>9</v>
      </c>
      <c r="P47" s="31" t="s">
        <v>86</v>
      </c>
      <c r="Q47" s="32">
        <v>162</v>
      </c>
      <c r="R47" s="31" t="s">
        <v>87</v>
      </c>
      <c r="S47" s="32">
        <v>154</v>
      </c>
      <c r="T47" s="31" t="s">
        <v>191</v>
      </c>
      <c r="U47" s="32" t="s">
        <v>206</v>
      </c>
      <c r="V47" s="31" t="s">
        <v>192</v>
      </c>
      <c r="W47" s="32" t="s">
        <v>98</v>
      </c>
      <c r="X47" s="31" t="s">
        <v>194</v>
      </c>
      <c r="Y47" s="32" t="s">
        <v>203</v>
      </c>
      <c r="Z47" s="31" t="s">
        <v>1064</v>
      </c>
      <c r="AA47" s="32">
        <v>37</v>
      </c>
      <c r="AB47" s="31" t="s">
        <v>16</v>
      </c>
      <c r="AC47" s="19" t="s">
        <v>553</v>
      </c>
      <c r="AD47" s="31" t="s">
        <v>1065</v>
      </c>
      <c r="AE47" s="35" t="s">
        <v>193</v>
      </c>
      <c r="AF47" s="41" t="s">
        <v>558</v>
      </c>
      <c r="AG47" s="19" t="s">
        <v>1081</v>
      </c>
      <c r="AH47" s="41" t="s">
        <v>559</v>
      </c>
      <c r="AI47" s="19" t="s">
        <v>1085</v>
      </c>
      <c r="AJ47" s="41" t="s">
        <v>1066</v>
      </c>
      <c r="AK47" s="19" t="s">
        <v>1067</v>
      </c>
    </row>
    <row r="48" spans="1:37" ht="6.6" customHeight="1" x14ac:dyDescent="0.25">
      <c r="A48" s="16">
        <v>48</v>
      </c>
      <c r="B48" s="17" t="s">
        <v>422</v>
      </c>
      <c r="C48" s="18" t="s">
        <v>627</v>
      </c>
      <c r="D48" s="29" t="s">
        <v>564</v>
      </c>
      <c r="E48" s="30" t="s">
        <v>555</v>
      </c>
      <c r="F48" s="36" t="s">
        <v>9</v>
      </c>
      <c r="G48" s="37" t="s">
        <v>9</v>
      </c>
      <c r="H48" s="36" t="s">
        <v>9</v>
      </c>
      <c r="I48" s="37" t="s">
        <v>9</v>
      </c>
      <c r="J48" s="31" t="s">
        <v>84</v>
      </c>
      <c r="K48" s="61" t="s">
        <v>292</v>
      </c>
      <c r="L48" s="31" t="s">
        <v>9</v>
      </c>
      <c r="M48" s="60" t="s">
        <v>9</v>
      </c>
      <c r="N48" s="31" t="s">
        <v>9</v>
      </c>
      <c r="O48" s="60" t="s">
        <v>9</v>
      </c>
      <c r="P48" s="31" t="s">
        <v>86</v>
      </c>
      <c r="Q48" s="32">
        <v>229</v>
      </c>
      <c r="R48" s="31" t="s">
        <v>87</v>
      </c>
      <c r="S48" s="32">
        <v>210</v>
      </c>
      <c r="T48" s="31" t="s">
        <v>191</v>
      </c>
      <c r="U48" s="32" t="s">
        <v>207</v>
      </c>
      <c r="V48" s="31" t="s">
        <v>192</v>
      </c>
      <c r="W48" s="32" t="s">
        <v>208</v>
      </c>
      <c r="X48" s="31" t="s">
        <v>194</v>
      </c>
      <c r="Y48" s="32" t="s">
        <v>209</v>
      </c>
      <c r="Z48" s="31" t="s">
        <v>1064</v>
      </c>
      <c r="AA48" s="32">
        <v>100</v>
      </c>
      <c r="AB48" s="31" t="s">
        <v>16</v>
      </c>
      <c r="AC48" s="19" t="s">
        <v>553</v>
      </c>
      <c r="AD48" s="31" t="s">
        <v>1065</v>
      </c>
      <c r="AE48" s="35" t="s">
        <v>193</v>
      </c>
      <c r="AF48" s="41" t="s">
        <v>558</v>
      </c>
      <c r="AG48" s="19" t="s">
        <v>1081</v>
      </c>
      <c r="AH48" s="41" t="s">
        <v>559</v>
      </c>
      <c r="AI48" s="19" t="s">
        <v>1085</v>
      </c>
      <c r="AJ48" s="41" t="s">
        <v>1066</v>
      </c>
      <c r="AK48" s="19" t="s">
        <v>1067</v>
      </c>
    </row>
    <row r="49" spans="1:37" ht="6.6" customHeight="1" x14ac:dyDescent="0.25">
      <c r="A49" s="16">
        <v>49</v>
      </c>
      <c r="B49" s="17" t="s">
        <v>423</v>
      </c>
      <c r="C49" s="18" t="s">
        <v>627</v>
      </c>
      <c r="D49" s="29" t="s">
        <v>564</v>
      </c>
      <c r="E49" s="30" t="s">
        <v>555</v>
      </c>
      <c r="F49" s="36" t="s">
        <v>9</v>
      </c>
      <c r="G49" s="37" t="s">
        <v>9</v>
      </c>
      <c r="H49" s="36" t="s">
        <v>9</v>
      </c>
      <c r="I49" s="37" t="s">
        <v>9</v>
      </c>
      <c r="J49" s="31" t="s">
        <v>84</v>
      </c>
      <c r="K49" s="61" t="s">
        <v>293</v>
      </c>
      <c r="L49" s="31" t="s">
        <v>9</v>
      </c>
      <c r="M49" s="60" t="s">
        <v>9</v>
      </c>
      <c r="N49" s="31" t="s">
        <v>9</v>
      </c>
      <c r="O49" s="60" t="s">
        <v>9</v>
      </c>
      <c r="P49" s="31" t="s">
        <v>86</v>
      </c>
      <c r="Q49" s="32">
        <v>200</v>
      </c>
      <c r="R49" s="31" t="s">
        <v>87</v>
      </c>
      <c r="S49" s="32">
        <v>100</v>
      </c>
      <c r="T49" s="31" t="s">
        <v>191</v>
      </c>
      <c r="U49" s="32" t="s">
        <v>195</v>
      </c>
      <c r="V49" s="31" t="s">
        <v>192</v>
      </c>
      <c r="W49" s="32" t="s">
        <v>210</v>
      </c>
      <c r="X49" s="31" t="s">
        <v>194</v>
      </c>
      <c r="Y49" s="32" t="s">
        <v>211</v>
      </c>
      <c r="Z49" s="31" t="s">
        <v>1064</v>
      </c>
      <c r="AA49" s="32">
        <v>15</v>
      </c>
      <c r="AB49" s="31" t="s">
        <v>16</v>
      </c>
      <c r="AC49" s="19" t="s">
        <v>553</v>
      </c>
      <c r="AD49" s="31" t="s">
        <v>1065</v>
      </c>
      <c r="AE49" s="35" t="s">
        <v>193</v>
      </c>
      <c r="AF49" s="41" t="s">
        <v>558</v>
      </c>
      <c r="AG49" s="19" t="s">
        <v>1081</v>
      </c>
      <c r="AH49" s="41" t="s">
        <v>559</v>
      </c>
      <c r="AI49" s="19" t="s">
        <v>1085</v>
      </c>
      <c r="AJ49" s="41" t="s">
        <v>1066</v>
      </c>
      <c r="AK49" s="19" t="s">
        <v>1067</v>
      </c>
    </row>
    <row r="50" spans="1:37" ht="6.6" customHeight="1" x14ac:dyDescent="0.25">
      <c r="A50" s="16">
        <v>50</v>
      </c>
      <c r="B50" s="17" t="s">
        <v>424</v>
      </c>
      <c r="C50" s="18" t="s">
        <v>627</v>
      </c>
      <c r="D50" s="29" t="s">
        <v>564</v>
      </c>
      <c r="E50" s="30" t="s">
        <v>555</v>
      </c>
      <c r="F50" s="36" t="s">
        <v>9</v>
      </c>
      <c r="G50" s="37" t="s">
        <v>9</v>
      </c>
      <c r="H50" s="36" t="s">
        <v>9</v>
      </c>
      <c r="I50" s="37" t="s">
        <v>9</v>
      </c>
      <c r="J50" s="31" t="s">
        <v>84</v>
      </c>
      <c r="K50" s="61" t="s">
        <v>294</v>
      </c>
      <c r="L50" s="31" t="s">
        <v>9</v>
      </c>
      <c r="M50" s="60" t="s">
        <v>9</v>
      </c>
      <c r="N50" s="31" t="s">
        <v>9</v>
      </c>
      <c r="O50" s="60" t="s">
        <v>9</v>
      </c>
      <c r="P50" s="31" t="s">
        <v>86</v>
      </c>
      <c r="Q50" s="32">
        <v>203</v>
      </c>
      <c r="R50" s="31" t="s">
        <v>87</v>
      </c>
      <c r="S50" s="32">
        <v>102</v>
      </c>
      <c r="T50" s="31" t="s">
        <v>191</v>
      </c>
      <c r="U50" s="32" t="s">
        <v>198</v>
      </c>
      <c r="V50" s="31" t="s">
        <v>192</v>
      </c>
      <c r="W50" s="32" t="s">
        <v>212</v>
      </c>
      <c r="X50" s="31" t="s">
        <v>194</v>
      </c>
      <c r="Y50" s="32" t="s">
        <v>213</v>
      </c>
      <c r="Z50" s="31" t="s">
        <v>1064</v>
      </c>
      <c r="AA50" s="32">
        <v>19</v>
      </c>
      <c r="AB50" s="31" t="s">
        <v>16</v>
      </c>
      <c r="AC50" s="19" t="s">
        <v>553</v>
      </c>
      <c r="AD50" s="31" t="s">
        <v>1065</v>
      </c>
      <c r="AE50" s="35" t="s">
        <v>193</v>
      </c>
      <c r="AF50" s="41" t="s">
        <v>558</v>
      </c>
      <c r="AG50" s="19" t="s">
        <v>1081</v>
      </c>
      <c r="AH50" s="41" t="s">
        <v>559</v>
      </c>
      <c r="AI50" s="19" t="s">
        <v>1085</v>
      </c>
      <c r="AJ50" s="41" t="s">
        <v>1066</v>
      </c>
      <c r="AK50" s="19" t="s">
        <v>1067</v>
      </c>
    </row>
    <row r="51" spans="1:37" ht="6.6" customHeight="1" x14ac:dyDescent="0.25">
      <c r="A51" s="16">
        <v>51</v>
      </c>
      <c r="B51" s="17" t="s">
        <v>425</v>
      </c>
      <c r="C51" s="18" t="s">
        <v>627</v>
      </c>
      <c r="D51" s="29" t="s">
        <v>564</v>
      </c>
      <c r="E51" s="30" t="s">
        <v>555</v>
      </c>
      <c r="F51" s="36" t="s">
        <v>9</v>
      </c>
      <c r="G51" s="37" t="s">
        <v>9</v>
      </c>
      <c r="H51" s="36" t="s">
        <v>9</v>
      </c>
      <c r="I51" s="37" t="s">
        <v>9</v>
      </c>
      <c r="J51" s="31" t="s">
        <v>84</v>
      </c>
      <c r="K51" s="61" t="s">
        <v>295</v>
      </c>
      <c r="L51" s="31" t="s">
        <v>9</v>
      </c>
      <c r="M51" s="60" t="s">
        <v>9</v>
      </c>
      <c r="N51" s="31" t="s">
        <v>9</v>
      </c>
      <c r="O51" s="60" t="s">
        <v>9</v>
      </c>
      <c r="P51" s="31" t="s">
        <v>86</v>
      </c>
      <c r="Q51" s="32">
        <v>206</v>
      </c>
      <c r="R51" s="31" t="s">
        <v>87</v>
      </c>
      <c r="S51" s="32">
        <v>102</v>
      </c>
      <c r="T51" s="31" t="s">
        <v>191</v>
      </c>
      <c r="U51" s="32" t="s">
        <v>214</v>
      </c>
      <c r="V51" s="31" t="s">
        <v>192</v>
      </c>
      <c r="W51" s="32">
        <v>8</v>
      </c>
      <c r="X51" s="31" t="s">
        <v>194</v>
      </c>
      <c r="Y51" s="32" t="s">
        <v>215</v>
      </c>
      <c r="Z51" s="31" t="s">
        <v>1064</v>
      </c>
      <c r="AA51" s="32">
        <v>22</v>
      </c>
      <c r="AB51" s="31" t="s">
        <v>16</v>
      </c>
      <c r="AC51" s="19" t="s">
        <v>553</v>
      </c>
      <c r="AD51" s="31" t="s">
        <v>1065</v>
      </c>
      <c r="AE51" s="35" t="s">
        <v>193</v>
      </c>
      <c r="AF51" s="41" t="s">
        <v>558</v>
      </c>
      <c r="AG51" s="19" t="s">
        <v>1081</v>
      </c>
      <c r="AH51" s="41" t="s">
        <v>559</v>
      </c>
      <c r="AI51" s="19" t="s">
        <v>1085</v>
      </c>
      <c r="AJ51" s="41" t="s">
        <v>1066</v>
      </c>
      <c r="AK51" s="19" t="s">
        <v>1067</v>
      </c>
    </row>
    <row r="52" spans="1:37" ht="6.6" customHeight="1" x14ac:dyDescent="0.25">
      <c r="A52" s="16">
        <v>52</v>
      </c>
      <c r="B52" s="17" t="s">
        <v>426</v>
      </c>
      <c r="C52" s="18" t="s">
        <v>627</v>
      </c>
      <c r="D52" s="29" t="s">
        <v>564</v>
      </c>
      <c r="E52" s="30" t="s">
        <v>555</v>
      </c>
      <c r="F52" s="36" t="s">
        <v>9</v>
      </c>
      <c r="G52" s="37" t="s">
        <v>9</v>
      </c>
      <c r="H52" s="36" t="s">
        <v>9</v>
      </c>
      <c r="I52" s="37" t="s">
        <v>9</v>
      </c>
      <c r="J52" s="31" t="s">
        <v>84</v>
      </c>
      <c r="K52" s="61" t="s">
        <v>296</v>
      </c>
      <c r="L52" s="31" t="s">
        <v>9</v>
      </c>
      <c r="M52" s="60" t="s">
        <v>9</v>
      </c>
      <c r="N52" s="31" t="s">
        <v>9</v>
      </c>
      <c r="O52" s="60" t="s">
        <v>9</v>
      </c>
      <c r="P52" s="31" t="s">
        <v>86</v>
      </c>
      <c r="Q52" s="32">
        <v>207</v>
      </c>
      <c r="R52" s="31" t="s">
        <v>87</v>
      </c>
      <c r="S52" s="32">
        <v>133</v>
      </c>
      <c r="T52" s="31" t="s">
        <v>191</v>
      </c>
      <c r="U52" s="32" t="s">
        <v>198</v>
      </c>
      <c r="V52" s="31" t="s">
        <v>192</v>
      </c>
      <c r="W52" s="32" t="s">
        <v>145</v>
      </c>
      <c r="X52" s="31" t="s">
        <v>194</v>
      </c>
      <c r="Y52" s="32" t="s">
        <v>213</v>
      </c>
      <c r="Z52" s="31" t="s">
        <v>1064</v>
      </c>
      <c r="AA52" s="32">
        <v>26</v>
      </c>
      <c r="AB52" s="31" t="s">
        <v>16</v>
      </c>
      <c r="AC52" s="19" t="s">
        <v>553</v>
      </c>
      <c r="AD52" s="31" t="s">
        <v>1065</v>
      </c>
      <c r="AE52" s="35" t="s">
        <v>193</v>
      </c>
      <c r="AF52" s="41" t="s">
        <v>558</v>
      </c>
      <c r="AG52" s="19" t="s">
        <v>1081</v>
      </c>
      <c r="AH52" s="41" t="s">
        <v>559</v>
      </c>
      <c r="AI52" s="19" t="s">
        <v>1085</v>
      </c>
      <c r="AJ52" s="41" t="s">
        <v>1066</v>
      </c>
      <c r="AK52" s="19" t="s">
        <v>1067</v>
      </c>
    </row>
    <row r="53" spans="1:37" ht="6.6" customHeight="1" x14ac:dyDescent="0.25">
      <c r="A53" s="16">
        <v>53</v>
      </c>
      <c r="B53" s="17" t="s">
        <v>427</v>
      </c>
      <c r="C53" s="18" t="s">
        <v>627</v>
      </c>
      <c r="D53" s="29" t="s">
        <v>564</v>
      </c>
      <c r="E53" s="30" t="s">
        <v>555</v>
      </c>
      <c r="F53" s="36" t="s">
        <v>9</v>
      </c>
      <c r="G53" s="37" t="s">
        <v>9</v>
      </c>
      <c r="H53" s="36" t="s">
        <v>9</v>
      </c>
      <c r="I53" s="37" t="s">
        <v>9</v>
      </c>
      <c r="J53" s="31" t="s">
        <v>84</v>
      </c>
      <c r="K53" s="61" t="s">
        <v>297</v>
      </c>
      <c r="L53" s="31" t="s">
        <v>9</v>
      </c>
      <c r="M53" s="60" t="s">
        <v>9</v>
      </c>
      <c r="N53" s="31" t="s">
        <v>9</v>
      </c>
      <c r="O53" s="60" t="s">
        <v>9</v>
      </c>
      <c r="P53" s="31" t="s">
        <v>86</v>
      </c>
      <c r="Q53" s="32">
        <v>210</v>
      </c>
      <c r="R53" s="31" t="s">
        <v>87</v>
      </c>
      <c r="S53" s="32">
        <v>134</v>
      </c>
      <c r="T53" s="31" t="s">
        <v>191</v>
      </c>
      <c r="U53" s="32" t="s">
        <v>197</v>
      </c>
      <c r="V53" s="31" t="s">
        <v>192</v>
      </c>
      <c r="W53" s="32" t="s">
        <v>102</v>
      </c>
      <c r="X53" s="31" t="s">
        <v>194</v>
      </c>
      <c r="Y53" s="32" t="s">
        <v>215</v>
      </c>
      <c r="Z53" s="31" t="s">
        <v>1064</v>
      </c>
      <c r="AA53" s="32">
        <v>31</v>
      </c>
      <c r="AB53" s="31" t="s">
        <v>16</v>
      </c>
      <c r="AC53" s="19" t="s">
        <v>553</v>
      </c>
      <c r="AD53" s="31" t="s">
        <v>1065</v>
      </c>
      <c r="AE53" s="35" t="s">
        <v>193</v>
      </c>
      <c r="AF53" s="41" t="s">
        <v>558</v>
      </c>
      <c r="AG53" s="19" t="s">
        <v>1081</v>
      </c>
      <c r="AH53" s="41" t="s">
        <v>559</v>
      </c>
      <c r="AI53" s="19" t="s">
        <v>1085</v>
      </c>
      <c r="AJ53" s="41" t="s">
        <v>1066</v>
      </c>
      <c r="AK53" s="19" t="s">
        <v>1067</v>
      </c>
    </row>
    <row r="54" spans="1:37" ht="6.6" customHeight="1" x14ac:dyDescent="0.25">
      <c r="A54" s="16">
        <v>54</v>
      </c>
      <c r="B54" s="17" t="s">
        <v>428</v>
      </c>
      <c r="C54" s="18" t="s">
        <v>627</v>
      </c>
      <c r="D54" s="29" t="s">
        <v>564</v>
      </c>
      <c r="E54" s="30" t="s">
        <v>555</v>
      </c>
      <c r="F54" s="36" t="s">
        <v>9</v>
      </c>
      <c r="G54" s="37" t="s">
        <v>9</v>
      </c>
      <c r="H54" s="36" t="s">
        <v>9</v>
      </c>
      <c r="I54" s="37" t="s">
        <v>9</v>
      </c>
      <c r="J54" s="31" t="s">
        <v>84</v>
      </c>
      <c r="K54" s="61" t="s">
        <v>298</v>
      </c>
      <c r="L54" s="31" t="s">
        <v>9</v>
      </c>
      <c r="M54" s="60" t="s">
        <v>9</v>
      </c>
      <c r="N54" s="31" t="s">
        <v>9</v>
      </c>
      <c r="O54" s="60" t="s">
        <v>9</v>
      </c>
      <c r="P54" s="31" t="s">
        <v>86</v>
      </c>
      <c r="Q54" s="32">
        <v>201</v>
      </c>
      <c r="R54" s="31" t="s">
        <v>87</v>
      </c>
      <c r="S54" s="32">
        <v>165</v>
      </c>
      <c r="T54" s="31" t="s">
        <v>191</v>
      </c>
      <c r="U54" s="32" t="s">
        <v>214</v>
      </c>
      <c r="V54" s="31" t="s">
        <v>192</v>
      </c>
      <c r="W54" s="32" t="s">
        <v>102</v>
      </c>
      <c r="X54" s="31" t="s">
        <v>194</v>
      </c>
      <c r="Y54" s="32">
        <v>10</v>
      </c>
      <c r="Z54" s="31" t="s">
        <v>1064</v>
      </c>
      <c r="AA54" s="32">
        <v>35</v>
      </c>
      <c r="AB54" s="31" t="s">
        <v>16</v>
      </c>
      <c r="AC54" s="19" t="s">
        <v>553</v>
      </c>
      <c r="AD54" s="31" t="s">
        <v>1065</v>
      </c>
      <c r="AE54" s="35" t="s">
        <v>193</v>
      </c>
      <c r="AF54" s="41" t="s">
        <v>558</v>
      </c>
      <c r="AG54" s="19" t="s">
        <v>1081</v>
      </c>
      <c r="AH54" s="41" t="s">
        <v>559</v>
      </c>
      <c r="AI54" s="19" t="s">
        <v>1085</v>
      </c>
      <c r="AJ54" s="41" t="s">
        <v>1066</v>
      </c>
      <c r="AK54" s="19" t="s">
        <v>1067</v>
      </c>
    </row>
    <row r="55" spans="1:37" ht="6.6" customHeight="1" x14ac:dyDescent="0.25">
      <c r="A55" s="16">
        <v>55</v>
      </c>
      <c r="B55" s="17" t="s">
        <v>429</v>
      </c>
      <c r="C55" s="18" t="s">
        <v>627</v>
      </c>
      <c r="D55" s="29" t="s">
        <v>564</v>
      </c>
      <c r="E55" s="30" t="s">
        <v>555</v>
      </c>
      <c r="F55" s="36" t="s">
        <v>9</v>
      </c>
      <c r="G55" s="37" t="s">
        <v>9</v>
      </c>
      <c r="H55" s="36" t="s">
        <v>9</v>
      </c>
      <c r="I55" s="37" t="s">
        <v>9</v>
      </c>
      <c r="J55" s="31" t="s">
        <v>84</v>
      </c>
      <c r="K55" s="61" t="s">
        <v>299</v>
      </c>
      <c r="L55" s="31" t="s">
        <v>9</v>
      </c>
      <c r="M55" s="60" t="s">
        <v>9</v>
      </c>
      <c r="N55" s="31" t="s">
        <v>9</v>
      </c>
      <c r="O55" s="60" t="s">
        <v>9</v>
      </c>
      <c r="P55" s="31" t="s">
        <v>86</v>
      </c>
      <c r="Q55" s="32">
        <v>205</v>
      </c>
      <c r="R55" s="31" t="s">
        <v>87</v>
      </c>
      <c r="S55" s="32">
        <v>166</v>
      </c>
      <c r="T55" s="31" t="s">
        <v>191</v>
      </c>
      <c r="U55" s="32" t="s">
        <v>216</v>
      </c>
      <c r="V55" s="31" t="s">
        <v>192</v>
      </c>
      <c r="W55" s="32" t="s">
        <v>106</v>
      </c>
      <c r="X55" s="31" t="s">
        <v>194</v>
      </c>
      <c r="Y55" s="32">
        <v>10</v>
      </c>
      <c r="Z55" s="31" t="s">
        <v>1064</v>
      </c>
      <c r="AA55" s="32">
        <v>41</v>
      </c>
      <c r="AB55" s="31" t="s">
        <v>16</v>
      </c>
      <c r="AC55" s="19" t="s">
        <v>553</v>
      </c>
      <c r="AD55" s="31" t="s">
        <v>1065</v>
      </c>
      <c r="AE55" s="35" t="s">
        <v>193</v>
      </c>
      <c r="AF55" s="41" t="s">
        <v>558</v>
      </c>
      <c r="AG55" s="19" t="s">
        <v>1081</v>
      </c>
      <c r="AH55" s="41" t="s">
        <v>559</v>
      </c>
      <c r="AI55" s="19" t="s">
        <v>1085</v>
      </c>
      <c r="AJ55" s="41" t="s">
        <v>1066</v>
      </c>
      <c r="AK55" s="19" t="s">
        <v>1067</v>
      </c>
    </row>
    <row r="56" spans="1:37" ht="6.6" customHeight="1" x14ac:dyDescent="0.25">
      <c r="A56" s="16">
        <v>56</v>
      </c>
      <c r="B56" s="17" t="s">
        <v>430</v>
      </c>
      <c r="C56" s="18" t="s">
        <v>627</v>
      </c>
      <c r="D56" s="29" t="s">
        <v>564</v>
      </c>
      <c r="E56" s="30" t="s">
        <v>555</v>
      </c>
      <c r="F56" s="36" t="s">
        <v>9</v>
      </c>
      <c r="G56" s="37" t="s">
        <v>9</v>
      </c>
      <c r="H56" s="36" t="s">
        <v>9</v>
      </c>
      <c r="I56" s="37" t="s">
        <v>9</v>
      </c>
      <c r="J56" s="31" t="s">
        <v>84</v>
      </c>
      <c r="K56" s="61" t="s">
        <v>300</v>
      </c>
      <c r="L56" s="31" t="s">
        <v>9</v>
      </c>
      <c r="M56" s="60" t="s">
        <v>9</v>
      </c>
      <c r="N56" s="31" t="s">
        <v>9</v>
      </c>
      <c r="O56" s="60" t="s">
        <v>9</v>
      </c>
      <c r="P56" s="31" t="s">
        <v>86</v>
      </c>
      <c r="Q56" s="32">
        <v>203</v>
      </c>
      <c r="R56" s="31" t="s">
        <v>87</v>
      </c>
      <c r="S56" s="32">
        <v>203</v>
      </c>
      <c r="T56" s="31" t="s">
        <v>191</v>
      </c>
      <c r="U56" s="32" t="s">
        <v>216</v>
      </c>
      <c r="V56" s="31" t="s">
        <v>192</v>
      </c>
      <c r="W56" s="32">
        <v>11</v>
      </c>
      <c r="X56" s="31" t="s">
        <v>194</v>
      </c>
      <c r="Y56" s="32" t="s">
        <v>209</v>
      </c>
      <c r="Z56" s="31" t="s">
        <v>1064</v>
      </c>
      <c r="AA56" s="32">
        <v>46</v>
      </c>
      <c r="AB56" s="31" t="s">
        <v>16</v>
      </c>
      <c r="AC56" s="19" t="s">
        <v>553</v>
      </c>
      <c r="AD56" s="31" t="s">
        <v>1065</v>
      </c>
      <c r="AE56" s="35" t="s">
        <v>193</v>
      </c>
      <c r="AF56" s="41" t="s">
        <v>558</v>
      </c>
      <c r="AG56" s="19" t="s">
        <v>1081</v>
      </c>
      <c r="AH56" s="41" t="s">
        <v>559</v>
      </c>
      <c r="AI56" s="19" t="s">
        <v>1085</v>
      </c>
      <c r="AJ56" s="41" t="s">
        <v>1066</v>
      </c>
      <c r="AK56" s="19" t="s">
        <v>1067</v>
      </c>
    </row>
    <row r="57" spans="1:37" ht="6.6" customHeight="1" x14ac:dyDescent="0.25">
      <c r="A57" s="16">
        <v>57</v>
      </c>
      <c r="B57" s="17" t="s">
        <v>431</v>
      </c>
      <c r="C57" s="18" t="s">
        <v>627</v>
      </c>
      <c r="D57" s="29" t="s">
        <v>564</v>
      </c>
      <c r="E57" s="30" t="s">
        <v>555</v>
      </c>
      <c r="F57" s="36" t="s">
        <v>9</v>
      </c>
      <c r="G57" s="37" t="s">
        <v>9</v>
      </c>
      <c r="H57" s="36" t="s">
        <v>9</v>
      </c>
      <c r="I57" s="37" t="s">
        <v>9</v>
      </c>
      <c r="J57" s="31" t="s">
        <v>84</v>
      </c>
      <c r="K57" s="61" t="s">
        <v>301</v>
      </c>
      <c r="L57" s="31" t="s">
        <v>9</v>
      </c>
      <c r="M57" s="60" t="s">
        <v>9</v>
      </c>
      <c r="N57" s="31" t="s">
        <v>9</v>
      </c>
      <c r="O57" s="60" t="s">
        <v>9</v>
      </c>
      <c r="P57" s="31" t="s">
        <v>86</v>
      </c>
      <c r="Q57" s="32">
        <v>206</v>
      </c>
      <c r="R57" s="31" t="s">
        <v>87</v>
      </c>
      <c r="S57" s="32">
        <v>204</v>
      </c>
      <c r="T57" s="31" t="s">
        <v>191</v>
      </c>
      <c r="U57" s="32" t="s">
        <v>217</v>
      </c>
      <c r="V57" s="31" t="s">
        <v>192</v>
      </c>
      <c r="W57" s="32" t="s">
        <v>112</v>
      </c>
      <c r="X57" s="31" t="s">
        <v>194</v>
      </c>
      <c r="Y57" s="32">
        <v>10</v>
      </c>
      <c r="Z57" s="31" t="s">
        <v>1064</v>
      </c>
      <c r="AA57" s="32">
        <v>52</v>
      </c>
      <c r="AB57" s="31" t="s">
        <v>16</v>
      </c>
      <c r="AC57" s="19" t="s">
        <v>553</v>
      </c>
      <c r="AD57" s="31" t="s">
        <v>1065</v>
      </c>
      <c r="AE57" s="35" t="s">
        <v>193</v>
      </c>
      <c r="AF57" s="41" t="s">
        <v>558</v>
      </c>
      <c r="AG57" s="19" t="s">
        <v>1081</v>
      </c>
      <c r="AH57" s="41" t="s">
        <v>559</v>
      </c>
      <c r="AI57" s="19" t="s">
        <v>1085</v>
      </c>
      <c r="AJ57" s="41" t="s">
        <v>1066</v>
      </c>
      <c r="AK57" s="19" t="s">
        <v>1067</v>
      </c>
    </row>
    <row r="58" spans="1:37" ht="6.6" customHeight="1" x14ac:dyDescent="0.25">
      <c r="A58" s="16">
        <v>58</v>
      </c>
      <c r="B58" s="17" t="s">
        <v>432</v>
      </c>
      <c r="C58" s="18" t="s">
        <v>627</v>
      </c>
      <c r="D58" s="29" t="s">
        <v>564</v>
      </c>
      <c r="E58" s="30" t="s">
        <v>555</v>
      </c>
      <c r="F58" s="36" t="s">
        <v>9</v>
      </c>
      <c r="G58" s="37" t="s">
        <v>9</v>
      </c>
      <c r="H58" s="36" t="s">
        <v>9</v>
      </c>
      <c r="I58" s="37" t="s">
        <v>9</v>
      </c>
      <c r="J58" s="31" t="s">
        <v>84</v>
      </c>
      <c r="K58" s="61" t="s">
        <v>302</v>
      </c>
      <c r="L58" s="31" t="s">
        <v>9</v>
      </c>
      <c r="M58" s="60" t="s">
        <v>9</v>
      </c>
      <c r="N58" s="31" t="s">
        <v>9</v>
      </c>
      <c r="O58" s="60" t="s">
        <v>9</v>
      </c>
      <c r="P58" s="31" t="s">
        <v>86</v>
      </c>
      <c r="Q58" s="32">
        <v>210</v>
      </c>
      <c r="R58" s="31" t="s">
        <v>87</v>
      </c>
      <c r="S58" s="32">
        <v>205</v>
      </c>
      <c r="T58" s="31" t="s">
        <v>191</v>
      </c>
      <c r="U58" s="32" t="s">
        <v>218</v>
      </c>
      <c r="V58" s="31" t="s">
        <v>192</v>
      </c>
      <c r="W58" s="32" t="s">
        <v>117</v>
      </c>
      <c r="X58" s="31" t="s">
        <v>194</v>
      </c>
      <c r="Y58" s="32">
        <v>10</v>
      </c>
      <c r="Z58" s="31" t="s">
        <v>1064</v>
      </c>
      <c r="AA58" s="32">
        <v>59</v>
      </c>
      <c r="AB58" s="31" t="s">
        <v>16</v>
      </c>
      <c r="AC58" s="19" t="s">
        <v>553</v>
      </c>
      <c r="AD58" s="31" t="s">
        <v>1065</v>
      </c>
      <c r="AE58" s="35" t="s">
        <v>193</v>
      </c>
      <c r="AF58" s="41" t="s">
        <v>558</v>
      </c>
      <c r="AG58" s="19" t="s">
        <v>1081</v>
      </c>
      <c r="AH58" s="41" t="s">
        <v>559</v>
      </c>
      <c r="AI58" s="19" t="s">
        <v>1085</v>
      </c>
      <c r="AJ58" s="41" t="s">
        <v>1066</v>
      </c>
      <c r="AK58" s="19" t="s">
        <v>1067</v>
      </c>
    </row>
    <row r="59" spans="1:37" ht="6.6" customHeight="1" x14ac:dyDescent="0.25">
      <c r="A59" s="16">
        <v>59</v>
      </c>
      <c r="B59" s="17" t="s">
        <v>433</v>
      </c>
      <c r="C59" s="18" t="s">
        <v>627</v>
      </c>
      <c r="D59" s="29" t="s">
        <v>564</v>
      </c>
      <c r="E59" s="30" t="s">
        <v>555</v>
      </c>
      <c r="F59" s="36" t="s">
        <v>9</v>
      </c>
      <c r="G59" s="37" t="s">
        <v>9</v>
      </c>
      <c r="H59" s="36" t="s">
        <v>9</v>
      </c>
      <c r="I59" s="37" t="s">
        <v>9</v>
      </c>
      <c r="J59" s="31" t="s">
        <v>84</v>
      </c>
      <c r="K59" s="61" t="s">
        <v>303</v>
      </c>
      <c r="L59" s="31" t="s">
        <v>9</v>
      </c>
      <c r="M59" s="60" t="s">
        <v>9</v>
      </c>
      <c r="N59" s="31" t="s">
        <v>9</v>
      </c>
      <c r="O59" s="60" t="s">
        <v>9</v>
      </c>
      <c r="P59" s="31" t="s">
        <v>86</v>
      </c>
      <c r="Q59" s="32">
        <v>216</v>
      </c>
      <c r="R59" s="31" t="s">
        <v>87</v>
      </c>
      <c r="S59" s="32">
        <v>206</v>
      </c>
      <c r="T59" s="31" t="s">
        <v>191</v>
      </c>
      <c r="U59" s="32" t="s">
        <v>102</v>
      </c>
      <c r="V59" s="31" t="s">
        <v>192</v>
      </c>
      <c r="W59" s="32" t="s">
        <v>119</v>
      </c>
      <c r="X59" s="31" t="s">
        <v>194</v>
      </c>
      <c r="Y59" s="32">
        <v>10</v>
      </c>
      <c r="Z59" s="31" t="s">
        <v>1064</v>
      </c>
      <c r="AA59" s="32">
        <v>71</v>
      </c>
      <c r="AB59" s="31" t="s">
        <v>16</v>
      </c>
      <c r="AC59" s="19" t="s">
        <v>553</v>
      </c>
      <c r="AD59" s="31" t="s">
        <v>1065</v>
      </c>
      <c r="AE59" s="35" t="s">
        <v>193</v>
      </c>
      <c r="AF59" s="41" t="s">
        <v>558</v>
      </c>
      <c r="AG59" s="19" t="s">
        <v>1081</v>
      </c>
      <c r="AH59" s="41" t="s">
        <v>559</v>
      </c>
      <c r="AI59" s="19" t="s">
        <v>1085</v>
      </c>
      <c r="AJ59" s="41" t="s">
        <v>1066</v>
      </c>
      <c r="AK59" s="19" t="s">
        <v>1067</v>
      </c>
    </row>
    <row r="60" spans="1:37" ht="6.6" customHeight="1" x14ac:dyDescent="0.25">
      <c r="A60" s="16">
        <v>60</v>
      </c>
      <c r="B60" s="17" t="s">
        <v>434</v>
      </c>
      <c r="C60" s="18" t="s">
        <v>627</v>
      </c>
      <c r="D60" s="29" t="s">
        <v>564</v>
      </c>
      <c r="E60" s="30" t="s">
        <v>555</v>
      </c>
      <c r="F60" s="36" t="s">
        <v>9</v>
      </c>
      <c r="G60" s="37" t="s">
        <v>9</v>
      </c>
      <c r="H60" s="36" t="s">
        <v>9</v>
      </c>
      <c r="I60" s="37" t="s">
        <v>9</v>
      </c>
      <c r="J60" s="31" t="s">
        <v>84</v>
      </c>
      <c r="K60" s="61" t="s">
        <v>304</v>
      </c>
      <c r="L60" s="31" t="s">
        <v>9</v>
      </c>
      <c r="M60" s="60" t="s">
        <v>9</v>
      </c>
      <c r="N60" s="31" t="s">
        <v>9</v>
      </c>
      <c r="O60" s="60" t="s">
        <v>9</v>
      </c>
      <c r="P60" s="31" t="s">
        <v>86</v>
      </c>
      <c r="Q60" s="32">
        <v>222</v>
      </c>
      <c r="R60" s="31" t="s">
        <v>87</v>
      </c>
      <c r="S60" s="32">
        <v>209</v>
      </c>
      <c r="T60" s="31" t="s">
        <v>191</v>
      </c>
      <c r="U60" s="32">
        <v>13</v>
      </c>
      <c r="V60" s="31" t="s">
        <v>192</v>
      </c>
      <c r="W60" s="32" t="s">
        <v>121</v>
      </c>
      <c r="X60" s="31" t="s">
        <v>194</v>
      </c>
      <c r="Y60" s="32" t="s">
        <v>143</v>
      </c>
      <c r="Z60" s="31" t="s">
        <v>1064</v>
      </c>
      <c r="AA60" s="32">
        <v>86</v>
      </c>
      <c r="AB60" s="31" t="s">
        <v>16</v>
      </c>
      <c r="AC60" s="19" t="s">
        <v>553</v>
      </c>
      <c r="AD60" s="31" t="s">
        <v>1065</v>
      </c>
      <c r="AE60" s="35" t="s">
        <v>193</v>
      </c>
      <c r="AF60" s="41" t="s">
        <v>558</v>
      </c>
      <c r="AG60" s="19" t="s">
        <v>1081</v>
      </c>
      <c r="AH60" s="41" t="s">
        <v>559</v>
      </c>
      <c r="AI60" s="19" t="s">
        <v>1085</v>
      </c>
      <c r="AJ60" s="41" t="s">
        <v>1066</v>
      </c>
      <c r="AK60" s="19" t="s">
        <v>1067</v>
      </c>
    </row>
    <row r="61" spans="1:37" ht="6.6" customHeight="1" x14ac:dyDescent="0.25">
      <c r="A61" s="16">
        <v>61</v>
      </c>
      <c r="B61" s="17" t="s">
        <v>435</v>
      </c>
      <c r="C61" s="18" t="s">
        <v>627</v>
      </c>
      <c r="D61" s="29" t="s">
        <v>564</v>
      </c>
      <c r="E61" s="30" t="s">
        <v>555</v>
      </c>
      <c r="F61" s="36" t="s">
        <v>9</v>
      </c>
      <c r="G61" s="37" t="s">
        <v>9</v>
      </c>
      <c r="H61" s="36" t="s">
        <v>9</v>
      </c>
      <c r="I61" s="37" t="s">
        <v>9</v>
      </c>
      <c r="J61" s="31" t="s">
        <v>84</v>
      </c>
      <c r="K61" s="61" t="s">
        <v>305</v>
      </c>
      <c r="L61" s="31" t="s">
        <v>9</v>
      </c>
      <c r="M61" s="60" t="s">
        <v>9</v>
      </c>
      <c r="N61" s="31" t="s">
        <v>9</v>
      </c>
      <c r="O61" s="60" t="s">
        <v>9</v>
      </c>
      <c r="P61" s="31" t="s">
        <v>86</v>
      </c>
      <c r="Q61" s="32">
        <v>264</v>
      </c>
      <c r="R61" s="31" t="s">
        <v>87</v>
      </c>
      <c r="S61" s="32">
        <v>257</v>
      </c>
      <c r="T61" s="31" t="s">
        <v>191</v>
      </c>
      <c r="U61" s="32" t="s">
        <v>134</v>
      </c>
      <c r="V61" s="31" t="s">
        <v>192</v>
      </c>
      <c r="W61" s="32" t="s">
        <v>135</v>
      </c>
      <c r="X61" s="31" t="s">
        <v>194</v>
      </c>
      <c r="Y61" s="32" t="s">
        <v>219</v>
      </c>
      <c r="Z61" s="31" t="s">
        <v>1064</v>
      </c>
      <c r="AA61" s="32">
        <v>101</v>
      </c>
      <c r="AB61" s="31" t="s">
        <v>16</v>
      </c>
      <c r="AC61" s="19" t="s">
        <v>553</v>
      </c>
      <c r="AD61" s="31" t="s">
        <v>1065</v>
      </c>
      <c r="AE61" s="35" t="s">
        <v>193</v>
      </c>
      <c r="AF61" s="41" t="s">
        <v>558</v>
      </c>
      <c r="AG61" s="19" t="s">
        <v>1081</v>
      </c>
      <c r="AH61" s="41" t="s">
        <v>559</v>
      </c>
      <c r="AI61" s="19" t="s">
        <v>1085</v>
      </c>
      <c r="AJ61" s="41" t="s">
        <v>1066</v>
      </c>
      <c r="AK61" s="19" t="s">
        <v>1067</v>
      </c>
    </row>
    <row r="62" spans="1:37" ht="6.6" customHeight="1" x14ac:dyDescent="0.25">
      <c r="A62" s="16">
        <v>62</v>
      </c>
      <c r="B62" s="17" t="s">
        <v>436</v>
      </c>
      <c r="C62" s="18" t="s">
        <v>627</v>
      </c>
      <c r="D62" s="29" t="s">
        <v>564</v>
      </c>
      <c r="E62" s="30" t="s">
        <v>555</v>
      </c>
      <c r="F62" s="36" t="s">
        <v>9</v>
      </c>
      <c r="G62" s="37" t="s">
        <v>9</v>
      </c>
      <c r="H62" s="36" t="s">
        <v>9</v>
      </c>
      <c r="I62" s="37" t="s">
        <v>9</v>
      </c>
      <c r="J62" s="31" t="s">
        <v>84</v>
      </c>
      <c r="K62" s="61" t="s">
        <v>306</v>
      </c>
      <c r="L62" s="31" t="s">
        <v>9</v>
      </c>
      <c r="M62" s="60" t="s">
        <v>9</v>
      </c>
      <c r="N62" s="31" t="s">
        <v>9</v>
      </c>
      <c r="O62" s="60" t="s">
        <v>9</v>
      </c>
      <c r="P62" s="31" t="s">
        <v>86</v>
      </c>
      <c r="Q62" s="32">
        <v>269</v>
      </c>
      <c r="R62" s="31" t="s">
        <v>87</v>
      </c>
      <c r="S62" s="32">
        <v>259</v>
      </c>
      <c r="T62" s="31" t="s">
        <v>191</v>
      </c>
      <c r="U62" s="32" t="s">
        <v>137</v>
      </c>
      <c r="V62" s="31" t="s">
        <v>192</v>
      </c>
      <c r="W62" s="32" t="s">
        <v>138</v>
      </c>
      <c r="X62" s="31" t="s">
        <v>194</v>
      </c>
      <c r="Y62" s="32" t="s">
        <v>219</v>
      </c>
      <c r="Z62" s="31" t="s">
        <v>1064</v>
      </c>
      <c r="AA62" s="32">
        <v>115</v>
      </c>
      <c r="AB62" s="31" t="s">
        <v>16</v>
      </c>
      <c r="AC62" s="19" t="s">
        <v>553</v>
      </c>
      <c r="AD62" s="31" t="s">
        <v>1065</v>
      </c>
      <c r="AE62" s="35" t="s">
        <v>193</v>
      </c>
      <c r="AF62" s="41" t="s">
        <v>558</v>
      </c>
      <c r="AG62" s="19" t="s">
        <v>1081</v>
      </c>
      <c r="AH62" s="41" t="s">
        <v>559</v>
      </c>
      <c r="AI62" s="19" t="s">
        <v>1085</v>
      </c>
      <c r="AJ62" s="41" t="s">
        <v>1066</v>
      </c>
      <c r="AK62" s="19" t="s">
        <v>1067</v>
      </c>
    </row>
    <row r="63" spans="1:37" ht="6.6" customHeight="1" x14ac:dyDescent="0.25">
      <c r="A63" s="16">
        <v>63</v>
      </c>
      <c r="B63" s="17" t="s">
        <v>437</v>
      </c>
      <c r="C63" s="18" t="s">
        <v>627</v>
      </c>
      <c r="D63" s="29" t="s">
        <v>564</v>
      </c>
      <c r="E63" s="30" t="s">
        <v>555</v>
      </c>
      <c r="F63" s="36" t="s">
        <v>9</v>
      </c>
      <c r="G63" s="37" t="s">
        <v>9</v>
      </c>
      <c r="H63" s="36" t="s">
        <v>9</v>
      </c>
      <c r="I63" s="37" t="s">
        <v>9</v>
      </c>
      <c r="J63" s="31" t="s">
        <v>84</v>
      </c>
      <c r="K63" s="61" t="s">
        <v>307</v>
      </c>
      <c r="L63" s="31" t="s">
        <v>9</v>
      </c>
      <c r="M63" s="60" t="s">
        <v>9</v>
      </c>
      <c r="N63" s="31" t="s">
        <v>9</v>
      </c>
      <c r="O63" s="60" t="s">
        <v>9</v>
      </c>
      <c r="P63" s="31" t="s">
        <v>86</v>
      </c>
      <c r="Q63" s="32">
        <v>275</v>
      </c>
      <c r="R63" s="31" t="s">
        <v>87</v>
      </c>
      <c r="S63" s="32">
        <v>261</v>
      </c>
      <c r="T63" s="31" t="s">
        <v>191</v>
      </c>
      <c r="U63" s="32" t="s">
        <v>144</v>
      </c>
      <c r="V63" s="31" t="s">
        <v>192</v>
      </c>
      <c r="W63" s="32" t="s">
        <v>220</v>
      </c>
      <c r="X63" s="31" t="s">
        <v>194</v>
      </c>
      <c r="Y63" s="32" t="s">
        <v>219</v>
      </c>
      <c r="Z63" s="31" t="s">
        <v>1064</v>
      </c>
      <c r="AA63" s="32">
        <v>131</v>
      </c>
      <c r="AB63" s="31" t="s">
        <v>16</v>
      </c>
      <c r="AC63" s="19" t="s">
        <v>553</v>
      </c>
      <c r="AD63" s="31" t="s">
        <v>1065</v>
      </c>
      <c r="AE63" s="35" t="s">
        <v>193</v>
      </c>
      <c r="AF63" s="41" t="s">
        <v>558</v>
      </c>
      <c r="AG63" s="19" t="s">
        <v>1081</v>
      </c>
      <c r="AH63" s="41" t="s">
        <v>559</v>
      </c>
      <c r="AI63" s="19" t="s">
        <v>1085</v>
      </c>
      <c r="AJ63" s="41" t="s">
        <v>1066</v>
      </c>
      <c r="AK63" s="19" t="s">
        <v>1067</v>
      </c>
    </row>
    <row r="64" spans="1:37" ht="6.6" customHeight="1" x14ac:dyDescent="0.25">
      <c r="A64" s="16">
        <v>64</v>
      </c>
      <c r="B64" s="17" t="s">
        <v>438</v>
      </c>
      <c r="C64" s="18" t="s">
        <v>627</v>
      </c>
      <c r="D64" s="29" t="s">
        <v>564</v>
      </c>
      <c r="E64" s="30" t="s">
        <v>555</v>
      </c>
      <c r="F64" s="36" t="s">
        <v>9</v>
      </c>
      <c r="G64" s="37" t="s">
        <v>9</v>
      </c>
      <c r="H64" s="36" t="s">
        <v>9</v>
      </c>
      <c r="I64" s="37" t="s">
        <v>9</v>
      </c>
      <c r="J64" s="31" t="s">
        <v>84</v>
      </c>
      <c r="K64" s="61" t="s">
        <v>308</v>
      </c>
      <c r="L64" s="31" t="s">
        <v>9</v>
      </c>
      <c r="M64" s="60" t="s">
        <v>9</v>
      </c>
      <c r="N64" s="31" t="s">
        <v>9</v>
      </c>
      <c r="O64" s="60" t="s">
        <v>9</v>
      </c>
      <c r="P64" s="31" t="s">
        <v>86</v>
      </c>
      <c r="Q64" s="32">
        <v>282</v>
      </c>
      <c r="R64" s="31" t="s">
        <v>87</v>
      </c>
      <c r="S64" s="32">
        <v>263</v>
      </c>
      <c r="T64" s="31" t="s">
        <v>191</v>
      </c>
      <c r="U64" s="32" t="s">
        <v>132</v>
      </c>
      <c r="V64" s="31" t="s">
        <v>192</v>
      </c>
      <c r="W64" s="32" t="s">
        <v>221</v>
      </c>
      <c r="X64" s="31" t="s">
        <v>194</v>
      </c>
      <c r="Y64" s="32" t="s">
        <v>219</v>
      </c>
      <c r="Z64" s="31" t="s">
        <v>1064</v>
      </c>
      <c r="AA64" s="32">
        <v>149</v>
      </c>
      <c r="AB64" s="31" t="s">
        <v>16</v>
      </c>
      <c r="AC64" s="19" t="s">
        <v>553</v>
      </c>
      <c r="AD64" s="31" t="s">
        <v>1065</v>
      </c>
      <c r="AE64" s="35" t="s">
        <v>193</v>
      </c>
      <c r="AF64" s="41" t="s">
        <v>558</v>
      </c>
      <c r="AG64" s="19" t="s">
        <v>1081</v>
      </c>
      <c r="AH64" s="41" t="s">
        <v>559</v>
      </c>
      <c r="AI64" s="19" t="s">
        <v>1085</v>
      </c>
      <c r="AJ64" s="41" t="s">
        <v>1066</v>
      </c>
      <c r="AK64" s="19" t="s">
        <v>1067</v>
      </c>
    </row>
    <row r="65" spans="1:37" ht="6.6" customHeight="1" x14ac:dyDescent="0.25">
      <c r="A65" s="16">
        <v>65</v>
      </c>
      <c r="B65" s="17" t="s">
        <v>439</v>
      </c>
      <c r="C65" s="18" t="s">
        <v>627</v>
      </c>
      <c r="D65" s="29" t="s">
        <v>564</v>
      </c>
      <c r="E65" s="30" t="s">
        <v>555</v>
      </c>
      <c r="F65" s="36" t="s">
        <v>9</v>
      </c>
      <c r="G65" s="37" t="s">
        <v>9</v>
      </c>
      <c r="H65" s="36" t="s">
        <v>9</v>
      </c>
      <c r="I65" s="37" t="s">
        <v>9</v>
      </c>
      <c r="J65" s="31" t="s">
        <v>84</v>
      </c>
      <c r="K65" s="61" t="s">
        <v>309</v>
      </c>
      <c r="L65" s="31" t="s">
        <v>9</v>
      </c>
      <c r="M65" s="60" t="s">
        <v>9</v>
      </c>
      <c r="N65" s="31" t="s">
        <v>9</v>
      </c>
      <c r="O65" s="60" t="s">
        <v>9</v>
      </c>
      <c r="P65" s="31" t="s">
        <v>86</v>
      </c>
      <c r="Q65" s="32">
        <v>289</v>
      </c>
      <c r="R65" s="31" t="s">
        <v>87</v>
      </c>
      <c r="S65" s="32">
        <v>265</v>
      </c>
      <c r="T65" s="31" t="s">
        <v>191</v>
      </c>
      <c r="U65" s="32" t="s">
        <v>222</v>
      </c>
      <c r="V65" s="31" t="s">
        <v>192</v>
      </c>
      <c r="W65" s="32" t="s">
        <v>223</v>
      </c>
      <c r="X65" s="31" t="s">
        <v>194</v>
      </c>
      <c r="Y65" s="32" t="s">
        <v>219</v>
      </c>
      <c r="Z65" s="31" t="s">
        <v>1064</v>
      </c>
      <c r="AA65" s="32">
        <v>167</v>
      </c>
      <c r="AB65" s="31" t="s">
        <v>16</v>
      </c>
      <c r="AC65" s="19" t="s">
        <v>553</v>
      </c>
      <c r="AD65" s="31" t="s">
        <v>1065</v>
      </c>
      <c r="AE65" s="35" t="s">
        <v>193</v>
      </c>
      <c r="AF65" s="41" t="s">
        <v>558</v>
      </c>
      <c r="AG65" s="19" t="s">
        <v>1081</v>
      </c>
      <c r="AH65" s="41" t="s">
        <v>559</v>
      </c>
      <c r="AI65" s="19" t="s">
        <v>1085</v>
      </c>
      <c r="AJ65" s="41" t="s">
        <v>1066</v>
      </c>
      <c r="AK65" s="19" t="s">
        <v>1067</v>
      </c>
    </row>
    <row r="66" spans="1:37" ht="6.6" customHeight="1" x14ac:dyDescent="0.25">
      <c r="A66" s="16">
        <v>66</v>
      </c>
      <c r="B66" s="17" t="s">
        <v>440</v>
      </c>
      <c r="C66" s="18" t="s">
        <v>627</v>
      </c>
      <c r="D66" s="29" t="s">
        <v>564</v>
      </c>
      <c r="E66" s="30" t="s">
        <v>555</v>
      </c>
      <c r="F66" s="36" t="s">
        <v>9</v>
      </c>
      <c r="G66" s="37" t="s">
        <v>9</v>
      </c>
      <c r="H66" s="36" t="s">
        <v>9</v>
      </c>
      <c r="I66" s="37" t="s">
        <v>9</v>
      </c>
      <c r="J66" s="31" t="s">
        <v>84</v>
      </c>
      <c r="K66" s="61" t="s">
        <v>310</v>
      </c>
      <c r="L66" s="31" t="s">
        <v>9</v>
      </c>
      <c r="M66" s="60" t="s">
        <v>9</v>
      </c>
      <c r="N66" s="31" t="s">
        <v>9</v>
      </c>
      <c r="O66" s="60" t="s">
        <v>9</v>
      </c>
      <c r="P66" s="31" t="s">
        <v>86</v>
      </c>
      <c r="Q66" s="32">
        <v>251</v>
      </c>
      <c r="R66" s="31" t="s">
        <v>87</v>
      </c>
      <c r="S66" s="32">
        <v>101</v>
      </c>
      <c r="T66" s="31" t="s">
        <v>191</v>
      </c>
      <c r="U66" s="32" t="s">
        <v>224</v>
      </c>
      <c r="V66" s="31" t="s">
        <v>192</v>
      </c>
      <c r="W66" s="32" t="s">
        <v>225</v>
      </c>
      <c r="X66" s="31" t="s">
        <v>194</v>
      </c>
      <c r="Y66" s="32" t="s">
        <v>226</v>
      </c>
      <c r="Z66" s="31" t="s">
        <v>1064</v>
      </c>
      <c r="AA66" s="32">
        <v>17</v>
      </c>
      <c r="AB66" s="31" t="s">
        <v>16</v>
      </c>
      <c r="AC66" s="19" t="s">
        <v>553</v>
      </c>
      <c r="AD66" s="31" t="s">
        <v>1065</v>
      </c>
      <c r="AE66" s="35" t="s">
        <v>193</v>
      </c>
      <c r="AF66" s="41" t="s">
        <v>558</v>
      </c>
      <c r="AG66" s="19" t="s">
        <v>1081</v>
      </c>
      <c r="AH66" s="41" t="s">
        <v>559</v>
      </c>
      <c r="AI66" s="19" t="s">
        <v>1085</v>
      </c>
      <c r="AJ66" s="41" t="s">
        <v>1066</v>
      </c>
      <c r="AK66" s="19" t="s">
        <v>1067</v>
      </c>
    </row>
    <row r="67" spans="1:37" ht="6.6" customHeight="1" x14ac:dyDescent="0.25">
      <c r="A67" s="16">
        <v>67</v>
      </c>
      <c r="B67" s="17" t="s">
        <v>441</v>
      </c>
      <c r="C67" s="18" t="s">
        <v>627</v>
      </c>
      <c r="D67" s="29" t="s">
        <v>564</v>
      </c>
      <c r="E67" s="30" t="s">
        <v>555</v>
      </c>
      <c r="F67" s="36" t="s">
        <v>9</v>
      </c>
      <c r="G67" s="37" t="s">
        <v>9</v>
      </c>
      <c r="H67" s="36" t="s">
        <v>9</v>
      </c>
      <c r="I67" s="37" t="s">
        <v>9</v>
      </c>
      <c r="J67" s="31" t="s">
        <v>84</v>
      </c>
      <c r="K67" s="61" t="s">
        <v>311</v>
      </c>
      <c r="L67" s="31" t="s">
        <v>9</v>
      </c>
      <c r="M67" s="60" t="s">
        <v>9</v>
      </c>
      <c r="N67" s="31" t="s">
        <v>9</v>
      </c>
      <c r="O67" s="60" t="s">
        <v>9</v>
      </c>
      <c r="P67" s="31" t="s">
        <v>86</v>
      </c>
      <c r="Q67" s="32">
        <v>254</v>
      </c>
      <c r="R67" s="31" t="s">
        <v>87</v>
      </c>
      <c r="S67" s="32">
        <v>102</v>
      </c>
      <c r="T67" s="31" t="s">
        <v>191</v>
      </c>
      <c r="U67" s="32" t="s">
        <v>198</v>
      </c>
      <c r="V67" s="31" t="s">
        <v>192</v>
      </c>
      <c r="W67" s="32" t="s">
        <v>227</v>
      </c>
      <c r="X67" s="31" t="s">
        <v>194</v>
      </c>
      <c r="Y67" s="32" t="s">
        <v>228</v>
      </c>
      <c r="Z67" s="31" t="s">
        <v>1064</v>
      </c>
      <c r="AA67" s="32">
        <v>22</v>
      </c>
      <c r="AB67" s="31" t="s">
        <v>16</v>
      </c>
      <c r="AC67" s="19" t="s">
        <v>553</v>
      </c>
      <c r="AD67" s="31" t="s">
        <v>1065</v>
      </c>
      <c r="AE67" s="35" t="s">
        <v>193</v>
      </c>
      <c r="AF67" s="41" t="s">
        <v>558</v>
      </c>
      <c r="AG67" s="19" t="s">
        <v>1081</v>
      </c>
      <c r="AH67" s="41" t="s">
        <v>559</v>
      </c>
      <c r="AI67" s="19" t="s">
        <v>1085</v>
      </c>
      <c r="AJ67" s="41" t="s">
        <v>1066</v>
      </c>
      <c r="AK67" s="19" t="s">
        <v>1067</v>
      </c>
    </row>
    <row r="68" spans="1:37" ht="6.6" customHeight="1" x14ac:dyDescent="0.25">
      <c r="A68" s="16">
        <v>68</v>
      </c>
      <c r="B68" s="17" t="s">
        <v>442</v>
      </c>
      <c r="C68" s="18" t="s">
        <v>627</v>
      </c>
      <c r="D68" s="29" t="s">
        <v>564</v>
      </c>
      <c r="E68" s="30" t="s">
        <v>555</v>
      </c>
      <c r="F68" s="36" t="s">
        <v>9</v>
      </c>
      <c r="G68" s="37" t="s">
        <v>9</v>
      </c>
      <c r="H68" s="36" t="s">
        <v>9</v>
      </c>
      <c r="I68" s="37" t="s">
        <v>9</v>
      </c>
      <c r="J68" s="31" t="s">
        <v>84</v>
      </c>
      <c r="K68" s="61" t="s">
        <v>312</v>
      </c>
      <c r="L68" s="31" t="s">
        <v>9</v>
      </c>
      <c r="M68" s="60" t="s">
        <v>9</v>
      </c>
      <c r="N68" s="31" t="s">
        <v>9</v>
      </c>
      <c r="O68" s="60" t="s">
        <v>9</v>
      </c>
      <c r="P68" s="31" t="s">
        <v>86</v>
      </c>
      <c r="Q68" s="32">
        <v>257</v>
      </c>
      <c r="R68" s="31" t="s">
        <v>87</v>
      </c>
      <c r="S68" s="32">
        <v>102</v>
      </c>
      <c r="T68" s="31" t="s">
        <v>191</v>
      </c>
      <c r="U68" s="32" t="s">
        <v>229</v>
      </c>
      <c r="V68" s="31" t="s">
        <v>192</v>
      </c>
      <c r="W68" s="32" t="s">
        <v>145</v>
      </c>
      <c r="X68" s="31" t="s">
        <v>194</v>
      </c>
      <c r="Y68" s="32" t="s">
        <v>213</v>
      </c>
      <c r="Z68" s="31" t="s">
        <v>1064</v>
      </c>
      <c r="AA68" s="32">
        <v>25</v>
      </c>
      <c r="AB68" s="31" t="s">
        <v>16</v>
      </c>
      <c r="AC68" s="19" t="s">
        <v>553</v>
      </c>
      <c r="AD68" s="31" t="s">
        <v>1065</v>
      </c>
      <c r="AE68" s="35" t="s">
        <v>193</v>
      </c>
      <c r="AF68" s="41" t="s">
        <v>558</v>
      </c>
      <c r="AG68" s="19" t="s">
        <v>1081</v>
      </c>
      <c r="AH68" s="41" t="s">
        <v>559</v>
      </c>
      <c r="AI68" s="19" t="s">
        <v>1085</v>
      </c>
      <c r="AJ68" s="41" t="s">
        <v>1066</v>
      </c>
      <c r="AK68" s="19" t="s">
        <v>1067</v>
      </c>
    </row>
    <row r="69" spans="1:37" ht="6.6" customHeight="1" x14ac:dyDescent="0.25">
      <c r="A69" s="16">
        <v>69</v>
      </c>
      <c r="B69" s="17" t="s">
        <v>443</v>
      </c>
      <c r="C69" s="18" t="s">
        <v>627</v>
      </c>
      <c r="D69" s="29" t="s">
        <v>564</v>
      </c>
      <c r="E69" s="30" t="s">
        <v>555</v>
      </c>
      <c r="F69" s="36" t="s">
        <v>9</v>
      </c>
      <c r="G69" s="37" t="s">
        <v>9</v>
      </c>
      <c r="H69" s="36" t="s">
        <v>9</v>
      </c>
      <c r="I69" s="37" t="s">
        <v>9</v>
      </c>
      <c r="J69" s="31" t="s">
        <v>84</v>
      </c>
      <c r="K69" s="61" t="s">
        <v>313</v>
      </c>
      <c r="L69" s="31" t="s">
        <v>9</v>
      </c>
      <c r="M69" s="60" t="s">
        <v>9</v>
      </c>
      <c r="N69" s="31" t="s">
        <v>9</v>
      </c>
      <c r="O69" s="60" t="s">
        <v>9</v>
      </c>
      <c r="P69" s="31" t="s">
        <v>86</v>
      </c>
      <c r="Q69" s="32">
        <v>260</v>
      </c>
      <c r="R69" s="31" t="s">
        <v>87</v>
      </c>
      <c r="S69" s="32">
        <v>102</v>
      </c>
      <c r="T69" s="31" t="s">
        <v>191</v>
      </c>
      <c r="U69" s="32" t="s">
        <v>197</v>
      </c>
      <c r="V69" s="31" t="s">
        <v>192</v>
      </c>
      <c r="W69" s="32">
        <v>10</v>
      </c>
      <c r="X69" s="31" t="s">
        <v>194</v>
      </c>
      <c r="Y69" s="32" t="s">
        <v>230</v>
      </c>
      <c r="Z69" s="31" t="s">
        <v>1064</v>
      </c>
      <c r="AA69" s="32">
        <v>28</v>
      </c>
      <c r="AB69" s="31" t="s">
        <v>16</v>
      </c>
      <c r="AC69" s="19" t="s">
        <v>553</v>
      </c>
      <c r="AD69" s="31" t="s">
        <v>1065</v>
      </c>
      <c r="AE69" s="35" t="s">
        <v>193</v>
      </c>
      <c r="AF69" s="41" t="s">
        <v>558</v>
      </c>
      <c r="AG69" s="19" t="s">
        <v>1081</v>
      </c>
      <c r="AH69" s="41" t="s">
        <v>559</v>
      </c>
      <c r="AI69" s="19" t="s">
        <v>1085</v>
      </c>
      <c r="AJ69" s="41" t="s">
        <v>1066</v>
      </c>
      <c r="AK69" s="19" t="s">
        <v>1067</v>
      </c>
    </row>
    <row r="70" spans="1:37" ht="6.6" customHeight="1" x14ac:dyDescent="0.25">
      <c r="A70" s="16">
        <v>70</v>
      </c>
      <c r="B70" s="17" t="s">
        <v>444</v>
      </c>
      <c r="C70" s="18" t="s">
        <v>627</v>
      </c>
      <c r="D70" s="29" t="s">
        <v>564</v>
      </c>
      <c r="E70" s="30" t="s">
        <v>555</v>
      </c>
      <c r="F70" s="36" t="s">
        <v>9</v>
      </c>
      <c r="G70" s="37" t="s">
        <v>9</v>
      </c>
      <c r="H70" s="36" t="s">
        <v>9</v>
      </c>
      <c r="I70" s="37" t="s">
        <v>9</v>
      </c>
      <c r="J70" s="31" t="s">
        <v>84</v>
      </c>
      <c r="K70" s="61" t="s">
        <v>314</v>
      </c>
      <c r="L70" s="31" t="s">
        <v>9</v>
      </c>
      <c r="M70" s="60" t="s">
        <v>9</v>
      </c>
      <c r="N70" s="31" t="s">
        <v>9</v>
      </c>
      <c r="O70" s="60" t="s">
        <v>9</v>
      </c>
      <c r="P70" s="31" t="s">
        <v>86</v>
      </c>
      <c r="Q70" s="32">
        <v>258</v>
      </c>
      <c r="R70" s="31" t="s">
        <v>87</v>
      </c>
      <c r="S70" s="32">
        <v>146</v>
      </c>
      <c r="T70" s="31" t="s">
        <v>191</v>
      </c>
      <c r="U70" s="32" t="s">
        <v>229</v>
      </c>
      <c r="V70" s="31" t="s">
        <v>192</v>
      </c>
      <c r="W70" s="32" t="s">
        <v>218</v>
      </c>
      <c r="X70" s="31" t="s">
        <v>194</v>
      </c>
      <c r="Y70" s="32" t="s">
        <v>231</v>
      </c>
      <c r="Z70" s="31" t="s">
        <v>1064</v>
      </c>
      <c r="AA70" s="32">
        <v>32</v>
      </c>
      <c r="AB70" s="31" t="s">
        <v>16</v>
      </c>
      <c r="AC70" s="19" t="s">
        <v>553</v>
      </c>
      <c r="AD70" s="31" t="s">
        <v>1065</v>
      </c>
      <c r="AE70" s="35" t="s">
        <v>193</v>
      </c>
      <c r="AF70" s="41" t="s">
        <v>558</v>
      </c>
      <c r="AG70" s="19" t="s">
        <v>1081</v>
      </c>
      <c r="AH70" s="41" t="s">
        <v>559</v>
      </c>
      <c r="AI70" s="19" t="s">
        <v>1085</v>
      </c>
      <c r="AJ70" s="41" t="s">
        <v>1066</v>
      </c>
      <c r="AK70" s="19" t="s">
        <v>1067</v>
      </c>
    </row>
    <row r="71" spans="1:37" ht="6.6" customHeight="1" x14ac:dyDescent="0.25">
      <c r="A71" s="16">
        <v>71</v>
      </c>
      <c r="B71" s="17" t="s">
        <v>445</v>
      </c>
      <c r="C71" s="18" t="s">
        <v>627</v>
      </c>
      <c r="D71" s="29" t="s">
        <v>564</v>
      </c>
      <c r="E71" s="30" t="s">
        <v>555</v>
      </c>
      <c r="F71" s="36" t="s">
        <v>9</v>
      </c>
      <c r="G71" s="37" t="s">
        <v>9</v>
      </c>
      <c r="H71" s="36" t="s">
        <v>9</v>
      </c>
      <c r="I71" s="37" t="s">
        <v>9</v>
      </c>
      <c r="J71" s="31" t="s">
        <v>84</v>
      </c>
      <c r="K71" s="61" t="s">
        <v>315</v>
      </c>
      <c r="L71" s="31" t="s">
        <v>9</v>
      </c>
      <c r="M71" s="60" t="s">
        <v>9</v>
      </c>
      <c r="N71" s="31" t="s">
        <v>9</v>
      </c>
      <c r="O71" s="60" t="s">
        <v>9</v>
      </c>
      <c r="P71" s="31" t="s">
        <v>86</v>
      </c>
      <c r="Q71" s="32">
        <v>262</v>
      </c>
      <c r="R71" s="31" t="s">
        <v>87</v>
      </c>
      <c r="S71" s="32">
        <v>147</v>
      </c>
      <c r="T71" s="31" t="s">
        <v>191</v>
      </c>
      <c r="U71" s="32" t="s">
        <v>91</v>
      </c>
      <c r="V71" s="31" t="s">
        <v>192</v>
      </c>
      <c r="W71" s="32" t="s">
        <v>232</v>
      </c>
      <c r="X71" s="31" t="s">
        <v>194</v>
      </c>
      <c r="Y71" s="32" t="s">
        <v>215</v>
      </c>
      <c r="Z71" s="31" t="s">
        <v>1064</v>
      </c>
      <c r="AA71" s="32">
        <v>38</v>
      </c>
      <c r="AB71" s="31" t="s">
        <v>16</v>
      </c>
      <c r="AC71" s="19" t="s">
        <v>553</v>
      </c>
      <c r="AD71" s="31" t="s">
        <v>1065</v>
      </c>
      <c r="AE71" s="35" t="s">
        <v>193</v>
      </c>
      <c r="AF71" s="41" t="s">
        <v>558</v>
      </c>
      <c r="AG71" s="19" t="s">
        <v>1081</v>
      </c>
      <c r="AH71" s="41" t="s">
        <v>559</v>
      </c>
      <c r="AI71" s="19" t="s">
        <v>1085</v>
      </c>
      <c r="AJ71" s="41" t="s">
        <v>1066</v>
      </c>
      <c r="AK71" s="19" t="s">
        <v>1067</v>
      </c>
    </row>
    <row r="72" spans="1:37" ht="6.6" customHeight="1" x14ac:dyDescent="0.25">
      <c r="A72" s="16">
        <v>72</v>
      </c>
      <c r="B72" s="17" t="s">
        <v>446</v>
      </c>
      <c r="C72" s="18" t="s">
        <v>627</v>
      </c>
      <c r="D72" s="29" t="s">
        <v>564</v>
      </c>
      <c r="E72" s="30" t="s">
        <v>555</v>
      </c>
      <c r="F72" s="36" t="s">
        <v>9</v>
      </c>
      <c r="G72" s="37" t="s">
        <v>9</v>
      </c>
      <c r="H72" s="36" t="s">
        <v>9</v>
      </c>
      <c r="I72" s="37" t="s">
        <v>9</v>
      </c>
      <c r="J72" s="31" t="s">
        <v>84</v>
      </c>
      <c r="K72" s="61" t="s">
        <v>316</v>
      </c>
      <c r="L72" s="31" t="s">
        <v>9</v>
      </c>
      <c r="M72" s="60" t="s">
        <v>9</v>
      </c>
      <c r="N72" s="31" t="s">
        <v>9</v>
      </c>
      <c r="O72" s="60" t="s">
        <v>9</v>
      </c>
      <c r="P72" s="31" t="s">
        <v>86</v>
      </c>
      <c r="Q72" s="32">
        <v>266</v>
      </c>
      <c r="R72" s="31" t="s">
        <v>87</v>
      </c>
      <c r="S72" s="32">
        <v>148</v>
      </c>
      <c r="T72" s="31" t="s">
        <v>191</v>
      </c>
      <c r="U72" s="32" t="s">
        <v>213</v>
      </c>
      <c r="V72" s="31" t="s">
        <v>192</v>
      </c>
      <c r="W72" s="32">
        <v>13</v>
      </c>
      <c r="X72" s="31" t="s">
        <v>194</v>
      </c>
      <c r="Y72" s="32" t="s">
        <v>215</v>
      </c>
      <c r="Z72" s="31" t="s">
        <v>1064</v>
      </c>
      <c r="AA72" s="32">
        <v>44</v>
      </c>
      <c r="AB72" s="31" t="s">
        <v>16</v>
      </c>
      <c r="AC72" s="19" t="s">
        <v>553</v>
      </c>
      <c r="AD72" s="31" t="s">
        <v>1065</v>
      </c>
      <c r="AE72" s="35" t="s">
        <v>193</v>
      </c>
      <c r="AF72" s="41" t="s">
        <v>558</v>
      </c>
      <c r="AG72" s="19" t="s">
        <v>1081</v>
      </c>
      <c r="AH72" s="41" t="s">
        <v>559</v>
      </c>
      <c r="AI72" s="19" t="s">
        <v>1085</v>
      </c>
      <c r="AJ72" s="41" t="s">
        <v>1066</v>
      </c>
      <c r="AK72" s="19" t="s">
        <v>1067</v>
      </c>
    </row>
    <row r="73" spans="1:37" ht="6.6" customHeight="1" x14ac:dyDescent="0.25">
      <c r="A73" s="16">
        <v>73</v>
      </c>
      <c r="B73" s="17" t="s">
        <v>447</v>
      </c>
      <c r="C73" s="18" t="s">
        <v>627</v>
      </c>
      <c r="D73" s="29" t="s">
        <v>564</v>
      </c>
      <c r="E73" s="30" t="s">
        <v>555</v>
      </c>
      <c r="F73" s="36" t="s">
        <v>9</v>
      </c>
      <c r="G73" s="37" t="s">
        <v>9</v>
      </c>
      <c r="H73" s="36" t="s">
        <v>9</v>
      </c>
      <c r="I73" s="37" t="s">
        <v>9</v>
      </c>
      <c r="J73" s="31" t="s">
        <v>84</v>
      </c>
      <c r="K73" s="61" t="s">
        <v>317</v>
      </c>
      <c r="L73" s="31" t="s">
        <v>9</v>
      </c>
      <c r="M73" s="60" t="s">
        <v>9</v>
      </c>
      <c r="N73" s="31" t="s">
        <v>9</v>
      </c>
      <c r="O73" s="60" t="s">
        <v>9</v>
      </c>
      <c r="P73" s="31" t="s">
        <v>86</v>
      </c>
      <c r="Q73" s="32">
        <v>253</v>
      </c>
      <c r="R73" s="31" t="s">
        <v>87</v>
      </c>
      <c r="S73" s="32">
        <v>254</v>
      </c>
      <c r="T73" s="31" t="s">
        <v>191</v>
      </c>
      <c r="U73" s="32" t="s">
        <v>233</v>
      </c>
      <c r="V73" s="31" t="s">
        <v>192</v>
      </c>
      <c r="W73" s="32" t="s">
        <v>117</v>
      </c>
      <c r="X73" s="31" t="s">
        <v>194</v>
      </c>
      <c r="Y73" s="32" t="s">
        <v>219</v>
      </c>
      <c r="Z73" s="31" t="s">
        <v>1064</v>
      </c>
      <c r="AA73" s="32">
        <v>73</v>
      </c>
      <c r="AB73" s="31" t="s">
        <v>16</v>
      </c>
      <c r="AC73" s="19" t="s">
        <v>553</v>
      </c>
      <c r="AD73" s="31" t="s">
        <v>1065</v>
      </c>
      <c r="AE73" s="35" t="s">
        <v>193</v>
      </c>
      <c r="AF73" s="41" t="s">
        <v>558</v>
      </c>
      <c r="AG73" s="19" t="s">
        <v>1081</v>
      </c>
      <c r="AH73" s="41" t="s">
        <v>559</v>
      </c>
      <c r="AI73" s="19" t="s">
        <v>1085</v>
      </c>
      <c r="AJ73" s="41" t="s">
        <v>1066</v>
      </c>
      <c r="AK73" s="19" t="s">
        <v>1067</v>
      </c>
    </row>
    <row r="74" spans="1:37" ht="6.6" customHeight="1" x14ac:dyDescent="0.25">
      <c r="A74" s="16">
        <v>74</v>
      </c>
      <c r="B74" s="17" t="s">
        <v>448</v>
      </c>
      <c r="C74" s="18" t="s">
        <v>627</v>
      </c>
      <c r="D74" s="29" t="s">
        <v>564</v>
      </c>
      <c r="E74" s="30" t="s">
        <v>555</v>
      </c>
      <c r="F74" s="36" t="s">
        <v>9</v>
      </c>
      <c r="G74" s="37" t="s">
        <v>9</v>
      </c>
      <c r="H74" s="36" t="s">
        <v>9</v>
      </c>
      <c r="I74" s="37" t="s">
        <v>9</v>
      </c>
      <c r="J74" s="31" t="s">
        <v>84</v>
      </c>
      <c r="K74" s="61" t="s">
        <v>318</v>
      </c>
      <c r="L74" s="31" t="s">
        <v>9</v>
      </c>
      <c r="M74" s="60" t="s">
        <v>9</v>
      </c>
      <c r="N74" s="31" t="s">
        <v>9</v>
      </c>
      <c r="O74" s="60" t="s">
        <v>9</v>
      </c>
      <c r="P74" s="31" t="s">
        <v>86</v>
      </c>
      <c r="Q74" s="32">
        <v>256</v>
      </c>
      <c r="R74" s="31" t="s">
        <v>87</v>
      </c>
      <c r="S74" s="32">
        <v>255</v>
      </c>
      <c r="T74" s="31" t="s">
        <v>191</v>
      </c>
      <c r="U74" s="32" t="s">
        <v>128</v>
      </c>
      <c r="V74" s="31" t="s">
        <v>192</v>
      </c>
      <c r="W74" s="32" t="s">
        <v>129</v>
      </c>
      <c r="X74" s="31" t="s">
        <v>194</v>
      </c>
      <c r="Y74" s="32" t="s">
        <v>234</v>
      </c>
      <c r="Z74" s="31" t="s">
        <v>1064</v>
      </c>
      <c r="AA74" s="32">
        <v>80</v>
      </c>
      <c r="AB74" s="31" t="s">
        <v>16</v>
      </c>
      <c r="AC74" s="19" t="s">
        <v>553</v>
      </c>
      <c r="AD74" s="31" t="s">
        <v>1065</v>
      </c>
      <c r="AE74" s="35" t="s">
        <v>193</v>
      </c>
      <c r="AF74" s="41" t="s">
        <v>558</v>
      </c>
      <c r="AG74" s="19" t="s">
        <v>1081</v>
      </c>
      <c r="AH74" s="41" t="s">
        <v>559</v>
      </c>
      <c r="AI74" s="19" t="s">
        <v>1085</v>
      </c>
      <c r="AJ74" s="41" t="s">
        <v>1066</v>
      </c>
      <c r="AK74" s="19" t="s">
        <v>1067</v>
      </c>
    </row>
    <row r="75" spans="1:37" ht="6.6" customHeight="1" x14ac:dyDescent="0.25">
      <c r="A75" s="16">
        <v>75</v>
      </c>
      <c r="B75" s="17" t="s">
        <v>449</v>
      </c>
      <c r="C75" s="18" t="s">
        <v>627</v>
      </c>
      <c r="D75" s="29" t="s">
        <v>564</v>
      </c>
      <c r="E75" s="30" t="s">
        <v>555</v>
      </c>
      <c r="F75" s="36" t="s">
        <v>9</v>
      </c>
      <c r="G75" s="37" t="s">
        <v>9</v>
      </c>
      <c r="H75" s="36" t="s">
        <v>9</v>
      </c>
      <c r="I75" s="37" t="s">
        <v>9</v>
      </c>
      <c r="J75" s="31" t="s">
        <v>84</v>
      </c>
      <c r="K75" s="61" t="s">
        <v>319</v>
      </c>
      <c r="L75" s="31" t="s">
        <v>9</v>
      </c>
      <c r="M75" s="60" t="s">
        <v>9</v>
      </c>
      <c r="N75" s="31" t="s">
        <v>9</v>
      </c>
      <c r="O75" s="60" t="s">
        <v>9</v>
      </c>
      <c r="P75" s="31" t="s">
        <v>86</v>
      </c>
      <c r="Q75" s="32">
        <v>260</v>
      </c>
      <c r="R75" s="31" t="s">
        <v>87</v>
      </c>
      <c r="S75" s="32">
        <v>256</v>
      </c>
      <c r="T75" s="31" t="s">
        <v>191</v>
      </c>
      <c r="U75" s="32" t="s">
        <v>124</v>
      </c>
      <c r="V75" s="31" t="s">
        <v>192</v>
      </c>
      <c r="W75" s="32" t="s">
        <v>132</v>
      </c>
      <c r="X75" s="31" t="s">
        <v>194</v>
      </c>
      <c r="Y75" s="32" t="s">
        <v>219</v>
      </c>
      <c r="Z75" s="31" t="s">
        <v>1064</v>
      </c>
      <c r="AA75" s="32">
        <v>89</v>
      </c>
      <c r="AB75" s="31" t="s">
        <v>16</v>
      </c>
      <c r="AC75" s="19" t="s">
        <v>553</v>
      </c>
      <c r="AD75" s="31" t="s">
        <v>1065</v>
      </c>
      <c r="AE75" s="35" t="s">
        <v>193</v>
      </c>
      <c r="AF75" s="41" t="s">
        <v>558</v>
      </c>
      <c r="AG75" s="19" t="s">
        <v>1081</v>
      </c>
      <c r="AH75" s="41" t="s">
        <v>559</v>
      </c>
      <c r="AI75" s="19" t="s">
        <v>1085</v>
      </c>
      <c r="AJ75" s="41" t="s">
        <v>1066</v>
      </c>
      <c r="AK75" s="19" t="s">
        <v>1067</v>
      </c>
    </row>
    <row r="76" spans="1:37" ht="6.6" customHeight="1" x14ac:dyDescent="0.25">
      <c r="A76" s="16">
        <v>76</v>
      </c>
      <c r="B76" s="17" t="s">
        <v>450</v>
      </c>
      <c r="C76" s="18" t="s">
        <v>627</v>
      </c>
      <c r="D76" s="29" t="s">
        <v>564</v>
      </c>
      <c r="E76" s="30" t="s">
        <v>555</v>
      </c>
      <c r="F76" s="36" t="s">
        <v>9</v>
      </c>
      <c r="G76" s="37" t="s">
        <v>9</v>
      </c>
      <c r="H76" s="36" t="s">
        <v>9</v>
      </c>
      <c r="I76" s="37" t="s">
        <v>9</v>
      </c>
      <c r="J76" s="31" t="s">
        <v>84</v>
      </c>
      <c r="K76" s="61" t="s">
        <v>320</v>
      </c>
      <c r="L76" s="31" t="s">
        <v>9</v>
      </c>
      <c r="M76" s="60" t="s">
        <v>9</v>
      </c>
      <c r="N76" s="31" t="s">
        <v>9</v>
      </c>
      <c r="O76" s="60" t="s">
        <v>9</v>
      </c>
      <c r="P76" s="31" t="s">
        <v>86</v>
      </c>
      <c r="Q76" s="32">
        <v>311</v>
      </c>
      <c r="R76" s="31" t="s">
        <v>87</v>
      </c>
      <c r="S76" s="32">
        <v>306</v>
      </c>
      <c r="T76" s="31" t="s">
        <v>191</v>
      </c>
      <c r="U76" s="32" t="s">
        <v>146</v>
      </c>
      <c r="V76" s="31" t="s">
        <v>192</v>
      </c>
      <c r="W76" s="32">
        <v>17</v>
      </c>
      <c r="X76" s="31" t="s">
        <v>194</v>
      </c>
      <c r="Y76" s="32" t="s">
        <v>235</v>
      </c>
      <c r="Z76" s="31" t="s">
        <v>1064</v>
      </c>
      <c r="AA76" s="32">
        <v>107</v>
      </c>
      <c r="AB76" s="31" t="s">
        <v>16</v>
      </c>
      <c r="AC76" s="19" t="s">
        <v>553</v>
      </c>
      <c r="AD76" s="31" t="s">
        <v>1065</v>
      </c>
      <c r="AE76" s="35" t="s">
        <v>193</v>
      </c>
      <c r="AF76" s="41" t="s">
        <v>558</v>
      </c>
      <c r="AG76" s="19" t="s">
        <v>1081</v>
      </c>
      <c r="AH76" s="41" t="s">
        <v>559</v>
      </c>
      <c r="AI76" s="19" t="s">
        <v>1085</v>
      </c>
      <c r="AJ76" s="41" t="s">
        <v>1066</v>
      </c>
      <c r="AK76" s="19" t="s">
        <v>1067</v>
      </c>
    </row>
    <row r="77" spans="1:37" ht="6.6" customHeight="1" x14ac:dyDescent="0.25">
      <c r="A77" s="16">
        <v>77</v>
      </c>
      <c r="B77" s="17" t="s">
        <v>451</v>
      </c>
      <c r="C77" s="18" t="s">
        <v>627</v>
      </c>
      <c r="D77" s="29" t="s">
        <v>564</v>
      </c>
      <c r="E77" s="30" t="s">
        <v>555</v>
      </c>
      <c r="F77" s="36" t="s">
        <v>9</v>
      </c>
      <c r="G77" s="37" t="s">
        <v>9</v>
      </c>
      <c r="H77" s="36" t="s">
        <v>9</v>
      </c>
      <c r="I77" s="37" t="s">
        <v>9</v>
      </c>
      <c r="J77" s="31" t="s">
        <v>84</v>
      </c>
      <c r="K77" s="61" t="s">
        <v>321</v>
      </c>
      <c r="L77" s="31" t="s">
        <v>9</v>
      </c>
      <c r="M77" s="60" t="s">
        <v>9</v>
      </c>
      <c r="N77" s="31" t="s">
        <v>9</v>
      </c>
      <c r="O77" s="60" t="s">
        <v>9</v>
      </c>
      <c r="P77" s="31" t="s">
        <v>86</v>
      </c>
      <c r="Q77" s="32">
        <v>314</v>
      </c>
      <c r="R77" s="31" t="s">
        <v>87</v>
      </c>
      <c r="S77" s="32">
        <v>307</v>
      </c>
      <c r="T77" s="31" t="s">
        <v>191</v>
      </c>
      <c r="U77" s="32" t="s">
        <v>134</v>
      </c>
      <c r="V77" s="31" t="s">
        <v>192</v>
      </c>
      <c r="W77" s="32" t="s">
        <v>150</v>
      </c>
      <c r="X77" s="31" t="s">
        <v>194</v>
      </c>
      <c r="Y77" s="32" t="s">
        <v>236</v>
      </c>
      <c r="Z77" s="31" t="s">
        <v>1064</v>
      </c>
      <c r="AA77" s="32">
        <v>117</v>
      </c>
      <c r="AB77" s="31" t="s">
        <v>16</v>
      </c>
      <c r="AC77" s="19" t="s">
        <v>553</v>
      </c>
      <c r="AD77" s="31" t="s">
        <v>1065</v>
      </c>
      <c r="AE77" s="35" t="s">
        <v>193</v>
      </c>
      <c r="AF77" s="41" t="s">
        <v>558</v>
      </c>
      <c r="AG77" s="19" t="s">
        <v>1081</v>
      </c>
      <c r="AH77" s="41" t="s">
        <v>559</v>
      </c>
      <c r="AI77" s="19" t="s">
        <v>1085</v>
      </c>
      <c r="AJ77" s="41" t="s">
        <v>1066</v>
      </c>
      <c r="AK77" s="19" t="s">
        <v>1067</v>
      </c>
    </row>
    <row r="78" spans="1:37" ht="6.6" customHeight="1" x14ac:dyDescent="0.25">
      <c r="A78" s="16">
        <v>78</v>
      </c>
      <c r="B78" s="17" t="s">
        <v>452</v>
      </c>
      <c r="C78" s="18" t="s">
        <v>627</v>
      </c>
      <c r="D78" s="29" t="s">
        <v>564</v>
      </c>
      <c r="E78" s="30" t="s">
        <v>555</v>
      </c>
      <c r="F78" s="36" t="s">
        <v>9</v>
      </c>
      <c r="G78" s="37" t="s">
        <v>9</v>
      </c>
      <c r="H78" s="36" t="s">
        <v>9</v>
      </c>
      <c r="I78" s="37" t="s">
        <v>9</v>
      </c>
      <c r="J78" s="31" t="s">
        <v>84</v>
      </c>
      <c r="K78" s="61" t="s">
        <v>322</v>
      </c>
      <c r="L78" s="31" t="s">
        <v>9</v>
      </c>
      <c r="M78" s="60" t="s">
        <v>9</v>
      </c>
      <c r="N78" s="31" t="s">
        <v>9</v>
      </c>
      <c r="O78" s="60" t="s">
        <v>9</v>
      </c>
      <c r="P78" s="31" t="s">
        <v>86</v>
      </c>
      <c r="Q78" s="32">
        <v>318</v>
      </c>
      <c r="R78" s="31" t="s">
        <v>87</v>
      </c>
      <c r="S78" s="32">
        <v>308</v>
      </c>
      <c r="T78" s="31" t="s">
        <v>191</v>
      </c>
      <c r="U78" s="32" t="s">
        <v>141</v>
      </c>
      <c r="V78" s="31" t="s">
        <v>192</v>
      </c>
      <c r="W78" s="32" t="s">
        <v>121</v>
      </c>
      <c r="X78" s="31" t="s">
        <v>194</v>
      </c>
      <c r="Y78" s="32" t="s">
        <v>237</v>
      </c>
      <c r="Z78" s="31" t="s">
        <v>1064</v>
      </c>
      <c r="AA78" s="32">
        <v>129</v>
      </c>
      <c r="AB78" s="31" t="s">
        <v>16</v>
      </c>
      <c r="AC78" s="19" t="s">
        <v>553</v>
      </c>
      <c r="AD78" s="31" t="s">
        <v>1065</v>
      </c>
      <c r="AE78" s="35" t="s">
        <v>193</v>
      </c>
      <c r="AF78" s="41" t="s">
        <v>558</v>
      </c>
      <c r="AG78" s="19" t="s">
        <v>1081</v>
      </c>
      <c r="AH78" s="41" t="s">
        <v>559</v>
      </c>
      <c r="AI78" s="19" t="s">
        <v>1085</v>
      </c>
      <c r="AJ78" s="41" t="s">
        <v>1066</v>
      </c>
      <c r="AK78" s="19" t="s">
        <v>1067</v>
      </c>
    </row>
    <row r="79" spans="1:37" ht="6.6" customHeight="1" x14ac:dyDescent="0.25">
      <c r="A79" s="16">
        <v>79</v>
      </c>
      <c r="B79" s="17" t="s">
        <v>453</v>
      </c>
      <c r="C79" s="18" t="s">
        <v>627</v>
      </c>
      <c r="D79" s="29" t="s">
        <v>564</v>
      </c>
      <c r="E79" s="30" t="s">
        <v>555</v>
      </c>
      <c r="F79" s="36" t="s">
        <v>9</v>
      </c>
      <c r="G79" s="37" t="s">
        <v>9</v>
      </c>
      <c r="H79" s="36" t="s">
        <v>9</v>
      </c>
      <c r="I79" s="37" t="s">
        <v>9</v>
      </c>
      <c r="J79" s="31" t="s">
        <v>84</v>
      </c>
      <c r="K79" s="61" t="s">
        <v>323</v>
      </c>
      <c r="L79" s="31" t="s">
        <v>9</v>
      </c>
      <c r="M79" s="60" t="s">
        <v>9</v>
      </c>
      <c r="N79" s="31" t="s">
        <v>9</v>
      </c>
      <c r="O79" s="60" t="s">
        <v>9</v>
      </c>
      <c r="P79" s="31" t="s">
        <v>86</v>
      </c>
      <c r="Q79" s="32">
        <v>323</v>
      </c>
      <c r="R79" s="31" t="s">
        <v>87</v>
      </c>
      <c r="S79" s="32">
        <v>309</v>
      </c>
      <c r="T79" s="31" t="s">
        <v>191</v>
      </c>
      <c r="U79" s="32">
        <v>14</v>
      </c>
      <c r="V79" s="31" t="s">
        <v>192</v>
      </c>
      <c r="W79" s="32" t="s">
        <v>238</v>
      </c>
      <c r="X79" s="31" t="s">
        <v>194</v>
      </c>
      <c r="Y79" s="32" t="s">
        <v>237</v>
      </c>
      <c r="Z79" s="31" t="s">
        <v>1064</v>
      </c>
      <c r="AA79" s="32">
        <v>143</v>
      </c>
      <c r="AB79" s="31" t="s">
        <v>16</v>
      </c>
      <c r="AC79" s="19" t="s">
        <v>553</v>
      </c>
      <c r="AD79" s="31" t="s">
        <v>1065</v>
      </c>
      <c r="AE79" s="35" t="s">
        <v>193</v>
      </c>
      <c r="AF79" s="41" t="s">
        <v>558</v>
      </c>
      <c r="AG79" s="19" t="s">
        <v>1081</v>
      </c>
      <c r="AH79" s="41" t="s">
        <v>559</v>
      </c>
      <c r="AI79" s="19" t="s">
        <v>1085</v>
      </c>
      <c r="AJ79" s="41" t="s">
        <v>1066</v>
      </c>
      <c r="AK79" s="19" t="s">
        <v>1067</v>
      </c>
    </row>
    <row r="80" spans="1:37" ht="6.6" customHeight="1" x14ac:dyDescent="0.25">
      <c r="A80" s="16">
        <v>80</v>
      </c>
      <c r="B80" s="17" t="s">
        <v>454</v>
      </c>
      <c r="C80" s="18" t="s">
        <v>627</v>
      </c>
      <c r="D80" s="29" t="s">
        <v>564</v>
      </c>
      <c r="E80" s="30" t="s">
        <v>555</v>
      </c>
      <c r="F80" s="36" t="s">
        <v>9</v>
      </c>
      <c r="G80" s="37" t="s">
        <v>9</v>
      </c>
      <c r="H80" s="36" t="s">
        <v>9</v>
      </c>
      <c r="I80" s="37" t="s">
        <v>9</v>
      </c>
      <c r="J80" s="31" t="s">
        <v>84</v>
      </c>
      <c r="K80" s="61" t="s">
        <v>324</v>
      </c>
      <c r="L80" s="31" t="s">
        <v>9</v>
      </c>
      <c r="M80" s="60" t="s">
        <v>9</v>
      </c>
      <c r="N80" s="31" t="s">
        <v>9</v>
      </c>
      <c r="O80" s="60" t="s">
        <v>9</v>
      </c>
      <c r="P80" s="31" t="s">
        <v>86</v>
      </c>
      <c r="Q80" s="32">
        <v>327</v>
      </c>
      <c r="R80" s="31" t="s">
        <v>87</v>
      </c>
      <c r="S80" s="32">
        <v>310</v>
      </c>
      <c r="T80" s="31" t="s">
        <v>191</v>
      </c>
      <c r="U80" s="32" t="s">
        <v>148</v>
      </c>
      <c r="V80" s="31" t="s">
        <v>192</v>
      </c>
      <c r="W80" s="32" t="s">
        <v>220</v>
      </c>
      <c r="X80" s="31" t="s">
        <v>194</v>
      </c>
      <c r="Y80" s="32" t="s">
        <v>235</v>
      </c>
      <c r="Z80" s="31" t="s">
        <v>1064</v>
      </c>
      <c r="AA80" s="32">
        <v>158</v>
      </c>
      <c r="AB80" s="31" t="s">
        <v>16</v>
      </c>
      <c r="AC80" s="19" t="s">
        <v>553</v>
      </c>
      <c r="AD80" s="31" t="s">
        <v>1065</v>
      </c>
      <c r="AE80" s="35" t="s">
        <v>193</v>
      </c>
      <c r="AF80" s="41" t="s">
        <v>558</v>
      </c>
      <c r="AG80" s="19" t="s">
        <v>1081</v>
      </c>
      <c r="AH80" s="41" t="s">
        <v>559</v>
      </c>
      <c r="AI80" s="19" t="s">
        <v>1085</v>
      </c>
      <c r="AJ80" s="41" t="s">
        <v>1066</v>
      </c>
      <c r="AK80" s="19" t="s">
        <v>1067</v>
      </c>
    </row>
    <row r="81" spans="1:37" ht="6.6" customHeight="1" x14ac:dyDescent="0.25">
      <c r="A81" s="16">
        <v>81</v>
      </c>
      <c r="B81" s="17" t="s">
        <v>455</v>
      </c>
      <c r="C81" s="18" t="s">
        <v>627</v>
      </c>
      <c r="D81" s="29" t="s">
        <v>564</v>
      </c>
      <c r="E81" s="30" t="s">
        <v>555</v>
      </c>
      <c r="F81" s="36" t="s">
        <v>9</v>
      </c>
      <c r="G81" s="37" t="s">
        <v>9</v>
      </c>
      <c r="H81" s="36" t="s">
        <v>9</v>
      </c>
      <c r="I81" s="37" t="s">
        <v>9</v>
      </c>
      <c r="J81" s="31" t="s">
        <v>84</v>
      </c>
      <c r="K81" s="61" t="s">
        <v>325</v>
      </c>
      <c r="L81" s="31" t="s">
        <v>9</v>
      </c>
      <c r="M81" s="60" t="s">
        <v>9</v>
      </c>
      <c r="N81" s="31" t="s">
        <v>9</v>
      </c>
      <c r="O81" s="60" t="s">
        <v>9</v>
      </c>
      <c r="P81" s="31" t="s">
        <v>86</v>
      </c>
      <c r="Q81" s="32">
        <v>333</v>
      </c>
      <c r="R81" s="31" t="s">
        <v>87</v>
      </c>
      <c r="S81" s="32">
        <v>313</v>
      </c>
      <c r="T81" s="31" t="s">
        <v>191</v>
      </c>
      <c r="U81" s="32">
        <v>18</v>
      </c>
      <c r="V81" s="31" t="s">
        <v>192</v>
      </c>
      <c r="W81" s="32" t="s">
        <v>239</v>
      </c>
      <c r="X81" s="31" t="s">
        <v>194</v>
      </c>
      <c r="Y81" s="32">
        <v>15</v>
      </c>
      <c r="Z81" s="31" t="s">
        <v>1064</v>
      </c>
      <c r="AA81" s="32">
        <v>179</v>
      </c>
      <c r="AB81" s="31" t="s">
        <v>16</v>
      </c>
      <c r="AC81" s="19" t="s">
        <v>553</v>
      </c>
      <c r="AD81" s="31" t="s">
        <v>1065</v>
      </c>
      <c r="AE81" s="35" t="s">
        <v>193</v>
      </c>
      <c r="AF81" s="41" t="s">
        <v>558</v>
      </c>
      <c r="AG81" s="19" t="s">
        <v>1081</v>
      </c>
      <c r="AH81" s="41" t="s">
        <v>559</v>
      </c>
      <c r="AI81" s="19" t="s">
        <v>1085</v>
      </c>
      <c r="AJ81" s="41" t="s">
        <v>1066</v>
      </c>
      <c r="AK81" s="19" t="s">
        <v>1067</v>
      </c>
    </row>
    <row r="82" spans="1:37" ht="6.6" customHeight="1" x14ac:dyDescent="0.25">
      <c r="A82" s="16">
        <v>82</v>
      </c>
      <c r="B82" s="17" t="s">
        <v>456</v>
      </c>
      <c r="C82" s="18" t="s">
        <v>627</v>
      </c>
      <c r="D82" s="29" t="s">
        <v>564</v>
      </c>
      <c r="E82" s="30" t="s">
        <v>555</v>
      </c>
      <c r="F82" s="36" t="s">
        <v>9</v>
      </c>
      <c r="G82" s="37" t="s">
        <v>9</v>
      </c>
      <c r="H82" s="36" t="s">
        <v>9</v>
      </c>
      <c r="I82" s="37" t="s">
        <v>9</v>
      </c>
      <c r="J82" s="31" t="s">
        <v>84</v>
      </c>
      <c r="K82" s="61" t="s">
        <v>326</v>
      </c>
      <c r="L82" s="31" t="s">
        <v>9</v>
      </c>
      <c r="M82" s="60" t="s">
        <v>9</v>
      </c>
      <c r="N82" s="31" t="s">
        <v>9</v>
      </c>
      <c r="O82" s="60" t="s">
        <v>9</v>
      </c>
      <c r="P82" s="31" t="s">
        <v>86</v>
      </c>
      <c r="Q82" s="32">
        <v>341</v>
      </c>
      <c r="R82" s="31" t="s">
        <v>87</v>
      </c>
      <c r="S82" s="32">
        <v>315</v>
      </c>
      <c r="T82" s="31" t="s">
        <v>191</v>
      </c>
      <c r="U82" s="32" t="s">
        <v>240</v>
      </c>
      <c r="V82" s="31" t="s">
        <v>192</v>
      </c>
      <c r="W82" s="32" t="s">
        <v>223</v>
      </c>
      <c r="X82" s="31" t="s">
        <v>194</v>
      </c>
      <c r="Y82" s="32" t="s">
        <v>237</v>
      </c>
      <c r="Z82" s="31" t="s">
        <v>1064</v>
      </c>
      <c r="AA82" s="32">
        <v>202</v>
      </c>
      <c r="AB82" s="31" t="s">
        <v>16</v>
      </c>
      <c r="AC82" s="19" t="s">
        <v>553</v>
      </c>
      <c r="AD82" s="31" t="s">
        <v>1065</v>
      </c>
      <c r="AE82" s="35" t="s">
        <v>193</v>
      </c>
      <c r="AF82" s="41" t="s">
        <v>558</v>
      </c>
      <c r="AG82" s="19" t="s">
        <v>1081</v>
      </c>
      <c r="AH82" s="41" t="s">
        <v>559</v>
      </c>
      <c r="AI82" s="19" t="s">
        <v>1085</v>
      </c>
      <c r="AJ82" s="41" t="s">
        <v>1066</v>
      </c>
      <c r="AK82" s="19" t="s">
        <v>1067</v>
      </c>
    </row>
    <row r="83" spans="1:37" ht="6.6" customHeight="1" x14ac:dyDescent="0.25">
      <c r="A83" s="16">
        <v>83</v>
      </c>
      <c r="B83" s="17" t="s">
        <v>457</v>
      </c>
      <c r="C83" s="18" t="s">
        <v>627</v>
      </c>
      <c r="D83" s="29" t="s">
        <v>564</v>
      </c>
      <c r="E83" s="30" t="s">
        <v>555</v>
      </c>
      <c r="F83" s="36" t="s">
        <v>9</v>
      </c>
      <c r="G83" s="37" t="s">
        <v>9</v>
      </c>
      <c r="H83" s="36" t="s">
        <v>9</v>
      </c>
      <c r="I83" s="37" t="s">
        <v>9</v>
      </c>
      <c r="J83" s="31" t="s">
        <v>84</v>
      </c>
      <c r="K83" s="61" t="s">
        <v>327</v>
      </c>
      <c r="L83" s="31" t="s">
        <v>9</v>
      </c>
      <c r="M83" s="60" t="s">
        <v>9</v>
      </c>
      <c r="N83" s="31" t="s">
        <v>9</v>
      </c>
      <c r="O83" s="60" t="s">
        <v>9</v>
      </c>
      <c r="P83" s="31" t="s">
        <v>86</v>
      </c>
      <c r="Q83" s="32">
        <v>303</v>
      </c>
      <c r="R83" s="31" t="s">
        <v>87</v>
      </c>
      <c r="S83" s="32">
        <v>101</v>
      </c>
      <c r="T83" s="31" t="s">
        <v>191</v>
      </c>
      <c r="U83" s="32" t="s">
        <v>241</v>
      </c>
      <c r="V83" s="31" t="s">
        <v>192</v>
      </c>
      <c r="W83" s="32" t="s">
        <v>242</v>
      </c>
      <c r="X83" s="31" t="s">
        <v>194</v>
      </c>
      <c r="Y83" s="32" t="s">
        <v>243</v>
      </c>
      <c r="Z83" s="31" t="s">
        <v>1064</v>
      </c>
      <c r="AA83" s="32">
        <v>21</v>
      </c>
      <c r="AB83" s="31" t="s">
        <v>16</v>
      </c>
      <c r="AC83" s="19" t="s">
        <v>553</v>
      </c>
      <c r="AD83" s="31" t="s">
        <v>1065</v>
      </c>
      <c r="AE83" s="35" t="s">
        <v>193</v>
      </c>
      <c r="AF83" s="41" t="s">
        <v>558</v>
      </c>
      <c r="AG83" s="19" t="s">
        <v>1081</v>
      </c>
      <c r="AH83" s="41" t="s">
        <v>559</v>
      </c>
      <c r="AI83" s="19" t="s">
        <v>1085</v>
      </c>
      <c r="AJ83" s="41" t="s">
        <v>1066</v>
      </c>
      <c r="AK83" s="19" t="s">
        <v>1067</v>
      </c>
    </row>
    <row r="84" spans="1:37" ht="6.6" customHeight="1" x14ac:dyDescent="0.25">
      <c r="A84" s="16">
        <v>84</v>
      </c>
      <c r="B84" s="17" t="s">
        <v>458</v>
      </c>
      <c r="C84" s="18" t="s">
        <v>627</v>
      </c>
      <c r="D84" s="29" t="s">
        <v>564</v>
      </c>
      <c r="E84" s="30" t="s">
        <v>555</v>
      </c>
      <c r="F84" s="36" t="s">
        <v>9</v>
      </c>
      <c r="G84" s="37" t="s">
        <v>9</v>
      </c>
      <c r="H84" s="36" t="s">
        <v>9</v>
      </c>
      <c r="I84" s="37" t="s">
        <v>9</v>
      </c>
      <c r="J84" s="31" t="s">
        <v>84</v>
      </c>
      <c r="K84" s="61" t="s">
        <v>328</v>
      </c>
      <c r="L84" s="31" t="s">
        <v>9</v>
      </c>
      <c r="M84" s="60" t="s">
        <v>9</v>
      </c>
      <c r="N84" s="31" t="s">
        <v>9</v>
      </c>
      <c r="O84" s="60" t="s">
        <v>9</v>
      </c>
      <c r="P84" s="31" t="s">
        <v>86</v>
      </c>
      <c r="Q84" s="32">
        <v>305</v>
      </c>
      <c r="R84" s="31" t="s">
        <v>87</v>
      </c>
      <c r="S84" s="32">
        <v>101</v>
      </c>
      <c r="T84" s="31" t="s">
        <v>191</v>
      </c>
      <c r="U84" s="32" t="s">
        <v>244</v>
      </c>
      <c r="V84" s="31" t="s">
        <v>192</v>
      </c>
      <c r="W84" s="32" t="s">
        <v>245</v>
      </c>
      <c r="X84" s="31" t="s">
        <v>194</v>
      </c>
      <c r="Y84" s="32" t="s">
        <v>226</v>
      </c>
      <c r="Z84" s="31" t="s">
        <v>1064</v>
      </c>
      <c r="AA84" s="32">
        <v>23</v>
      </c>
      <c r="AB84" s="31" t="s">
        <v>16</v>
      </c>
      <c r="AC84" s="19" t="s">
        <v>553</v>
      </c>
      <c r="AD84" s="31" t="s">
        <v>1065</v>
      </c>
      <c r="AE84" s="35" t="s">
        <v>193</v>
      </c>
      <c r="AF84" s="41" t="s">
        <v>558</v>
      </c>
      <c r="AG84" s="19" t="s">
        <v>1081</v>
      </c>
      <c r="AH84" s="41" t="s">
        <v>559</v>
      </c>
      <c r="AI84" s="19" t="s">
        <v>1085</v>
      </c>
      <c r="AJ84" s="41" t="s">
        <v>1066</v>
      </c>
      <c r="AK84" s="19" t="s">
        <v>1067</v>
      </c>
    </row>
    <row r="85" spans="1:37" ht="6.6" customHeight="1" x14ac:dyDescent="0.25">
      <c r="A85" s="16">
        <v>85</v>
      </c>
      <c r="B85" s="17" t="s">
        <v>459</v>
      </c>
      <c r="C85" s="18" t="s">
        <v>627</v>
      </c>
      <c r="D85" s="29" t="s">
        <v>564</v>
      </c>
      <c r="E85" s="30" t="s">
        <v>555</v>
      </c>
      <c r="F85" s="36" t="s">
        <v>9</v>
      </c>
      <c r="G85" s="37" t="s">
        <v>9</v>
      </c>
      <c r="H85" s="36" t="s">
        <v>9</v>
      </c>
      <c r="I85" s="37" t="s">
        <v>9</v>
      </c>
      <c r="J85" s="31" t="s">
        <v>84</v>
      </c>
      <c r="K85" s="61" t="s">
        <v>329</v>
      </c>
      <c r="L85" s="31" t="s">
        <v>9</v>
      </c>
      <c r="M85" s="60" t="s">
        <v>9</v>
      </c>
      <c r="N85" s="31" t="s">
        <v>9</v>
      </c>
      <c r="O85" s="60" t="s">
        <v>9</v>
      </c>
      <c r="P85" s="31" t="s">
        <v>86</v>
      </c>
      <c r="Q85" s="32">
        <v>309</v>
      </c>
      <c r="R85" s="31" t="s">
        <v>87</v>
      </c>
      <c r="S85" s="32">
        <v>102</v>
      </c>
      <c r="T85" s="31" t="s">
        <v>191</v>
      </c>
      <c r="U85" s="32" t="s">
        <v>246</v>
      </c>
      <c r="V85" s="31" t="s">
        <v>192</v>
      </c>
      <c r="W85" s="32" t="s">
        <v>247</v>
      </c>
      <c r="X85" s="31" t="s">
        <v>194</v>
      </c>
      <c r="Y85" s="32" t="s">
        <v>248</v>
      </c>
      <c r="Z85" s="31" t="s">
        <v>1064</v>
      </c>
      <c r="AA85" s="32">
        <v>28</v>
      </c>
      <c r="AB85" s="31" t="s">
        <v>16</v>
      </c>
      <c r="AC85" s="19" t="s">
        <v>553</v>
      </c>
      <c r="AD85" s="31" t="s">
        <v>1065</v>
      </c>
      <c r="AE85" s="35" t="s">
        <v>193</v>
      </c>
      <c r="AF85" s="41" t="s">
        <v>558</v>
      </c>
      <c r="AG85" s="19" t="s">
        <v>1081</v>
      </c>
      <c r="AH85" s="41" t="s">
        <v>559</v>
      </c>
      <c r="AI85" s="19" t="s">
        <v>1085</v>
      </c>
      <c r="AJ85" s="41" t="s">
        <v>1066</v>
      </c>
      <c r="AK85" s="19" t="s">
        <v>1067</v>
      </c>
    </row>
    <row r="86" spans="1:37" ht="6.6" customHeight="1" x14ac:dyDescent="0.25">
      <c r="A86" s="16">
        <v>86</v>
      </c>
      <c r="B86" s="17" t="s">
        <v>460</v>
      </c>
      <c r="C86" s="18" t="s">
        <v>627</v>
      </c>
      <c r="D86" s="29" t="s">
        <v>564</v>
      </c>
      <c r="E86" s="30" t="s">
        <v>555</v>
      </c>
      <c r="F86" s="36" t="s">
        <v>9</v>
      </c>
      <c r="G86" s="37" t="s">
        <v>9</v>
      </c>
      <c r="H86" s="36" t="s">
        <v>9</v>
      </c>
      <c r="I86" s="37" t="s">
        <v>9</v>
      </c>
      <c r="J86" s="31" t="s">
        <v>84</v>
      </c>
      <c r="K86" s="61" t="s">
        <v>330</v>
      </c>
      <c r="L86" s="31" t="s">
        <v>9</v>
      </c>
      <c r="M86" s="60" t="s">
        <v>9</v>
      </c>
      <c r="N86" s="31" t="s">
        <v>9</v>
      </c>
      <c r="O86" s="60" t="s">
        <v>9</v>
      </c>
      <c r="P86" s="31" t="s">
        <v>86</v>
      </c>
      <c r="Q86" s="32">
        <v>313</v>
      </c>
      <c r="R86" s="31" t="s">
        <v>87</v>
      </c>
      <c r="S86" s="32">
        <v>102</v>
      </c>
      <c r="T86" s="31" t="s">
        <v>191</v>
      </c>
      <c r="U86" s="32" t="s">
        <v>91</v>
      </c>
      <c r="V86" s="31" t="s">
        <v>192</v>
      </c>
      <c r="W86" s="32" t="s">
        <v>249</v>
      </c>
      <c r="X86" s="31" t="s">
        <v>194</v>
      </c>
      <c r="Y86" s="32" t="s">
        <v>215</v>
      </c>
      <c r="Z86" s="31" t="s">
        <v>1064</v>
      </c>
      <c r="AA86" s="32">
        <v>32</v>
      </c>
      <c r="AB86" s="31" t="s">
        <v>16</v>
      </c>
      <c r="AC86" s="19" t="s">
        <v>553</v>
      </c>
      <c r="AD86" s="31" t="s">
        <v>1065</v>
      </c>
      <c r="AE86" s="35" t="s">
        <v>193</v>
      </c>
      <c r="AF86" s="41" t="s">
        <v>558</v>
      </c>
      <c r="AG86" s="19" t="s">
        <v>1081</v>
      </c>
      <c r="AH86" s="41" t="s">
        <v>559</v>
      </c>
      <c r="AI86" s="19" t="s">
        <v>1085</v>
      </c>
      <c r="AJ86" s="41" t="s">
        <v>1066</v>
      </c>
      <c r="AK86" s="19" t="s">
        <v>1067</v>
      </c>
    </row>
    <row r="87" spans="1:37" ht="6.6" customHeight="1" x14ac:dyDescent="0.25">
      <c r="A87" s="16">
        <v>87</v>
      </c>
      <c r="B87" s="17" t="s">
        <v>461</v>
      </c>
      <c r="C87" s="18" t="s">
        <v>627</v>
      </c>
      <c r="D87" s="29" t="s">
        <v>564</v>
      </c>
      <c r="E87" s="30" t="s">
        <v>555</v>
      </c>
      <c r="F87" s="36" t="s">
        <v>9</v>
      </c>
      <c r="G87" s="37" t="s">
        <v>9</v>
      </c>
      <c r="H87" s="36" t="s">
        <v>9</v>
      </c>
      <c r="I87" s="37" t="s">
        <v>9</v>
      </c>
      <c r="J87" s="31" t="s">
        <v>84</v>
      </c>
      <c r="K87" s="61" t="s">
        <v>331</v>
      </c>
      <c r="L87" s="31" t="s">
        <v>9</v>
      </c>
      <c r="M87" s="60" t="s">
        <v>9</v>
      </c>
      <c r="N87" s="31" t="s">
        <v>9</v>
      </c>
      <c r="O87" s="60" t="s">
        <v>9</v>
      </c>
      <c r="P87" s="31" t="s">
        <v>86</v>
      </c>
      <c r="Q87" s="32">
        <v>310</v>
      </c>
      <c r="R87" s="31" t="s">
        <v>87</v>
      </c>
      <c r="S87" s="32">
        <v>165</v>
      </c>
      <c r="T87" s="31" t="s">
        <v>191</v>
      </c>
      <c r="U87" s="32" t="s">
        <v>198</v>
      </c>
      <c r="V87" s="31" t="s">
        <v>192</v>
      </c>
      <c r="W87" s="32" t="s">
        <v>250</v>
      </c>
      <c r="X87" s="31" t="s">
        <v>194</v>
      </c>
      <c r="Y87" s="32" t="s">
        <v>251</v>
      </c>
      <c r="Z87" s="31" t="s">
        <v>1064</v>
      </c>
      <c r="AA87" s="32">
        <v>38</v>
      </c>
      <c r="AB87" s="31" t="s">
        <v>16</v>
      </c>
      <c r="AC87" s="19" t="s">
        <v>553</v>
      </c>
      <c r="AD87" s="31" t="s">
        <v>1065</v>
      </c>
      <c r="AE87" s="35" t="s">
        <v>193</v>
      </c>
      <c r="AF87" s="41" t="s">
        <v>558</v>
      </c>
      <c r="AG87" s="19" t="s">
        <v>1081</v>
      </c>
      <c r="AH87" s="41" t="s">
        <v>559</v>
      </c>
      <c r="AI87" s="19" t="s">
        <v>1085</v>
      </c>
      <c r="AJ87" s="41" t="s">
        <v>1066</v>
      </c>
      <c r="AK87" s="19" t="s">
        <v>1067</v>
      </c>
    </row>
    <row r="88" spans="1:37" ht="6.6" customHeight="1" x14ac:dyDescent="0.25">
      <c r="A88" s="16">
        <v>88</v>
      </c>
      <c r="B88" s="17" t="s">
        <v>462</v>
      </c>
      <c r="C88" s="18" t="s">
        <v>627</v>
      </c>
      <c r="D88" s="29" t="s">
        <v>564</v>
      </c>
      <c r="E88" s="30" t="s">
        <v>555</v>
      </c>
      <c r="F88" s="36" t="s">
        <v>9</v>
      </c>
      <c r="G88" s="37" t="s">
        <v>9</v>
      </c>
      <c r="H88" s="36" t="s">
        <v>9</v>
      </c>
      <c r="I88" s="37" t="s">
        <v>9</v>
      </c>
      <c r="J88" s="31" t="s">
        <v>84</v>
      </c>
      <c r="K88" s="61" t="s">
        <v>332</v>
      </c>
      <c r="L88" s="31" t="s">
        <v>9</v>
      </c>
      <c r="M88" s="60" t="s">
        <v>9</v>
      </c>
      <c r="N88" s="31" t="s">
        <v>9</v>
      </c>
      <c r="O88" s="60" t="s">
        <v>9</v>
      </c>
      <c r="P88" s="31" t="s">
        <v>86</v>
      </c>
      <c r="Q88" s="32">
        <v>313</v>
      </c>
      <c r="R88" s="31" t="s">
        <v>87</v>
      </c>
      <c r="S88" s="32">
        <v>166</v>
      </c>
      <c r="T88" s="31" t="s">
        <v>191</v>
      </c>
      <c r="U88" s="32" t="s">
        <v>91</v>
      </c>
      <c r="V88" s="31" t="s">
        <v>192</v>
      </c>
      <c r="W88" s="32" t="s">
        <v>232</v>
      </c>
      <c r="X88" s="31" t="s">
        <v>194</v>
      </c>
      <c r="Y88" s="32" t="s">
        <v>215</v>
      </c>
      <c r="Z88" s="31" t="s">
        <v>1064</v>
      </c>
      <c r="AA88" s="32">
        <v>44</v>
      </c>
      <c r="AB88" s="31" t="s">
        <v>16</v>
      </c>
      <c r="AC88" s="19" t="s">
        <v>553</v>
      </c>
      <c r="AD88" s="31" t="s">
        <v>1065</v>
      </c>
      <c r="AE88" s="35" t="s">
        <v>193</v>
      </c>
      <c r="AF88" s="41" t="s">
        <v>558</v>
      </c>
      <c r="AG88" s="19" t="s">
        <v>1081</v>
      </c>
      <c r="AH88" s="41" t="s">
        <v>559</v>
      </c>
      <c r="AI88" s="19" t="s">
        <v>1085</v>
      </c>
      <c r="AJ88" s="41" t="s">
        <v>1066</v>
      </c>
      <c r="AK88" s="19" t="s">
        <v>1067</v>
      </c>
    </row>
    <row r="89" spans="1:37" ht="6.6" customHeight="1" x14ac:dyDescent="0.25">
      <c r="A89" s="16">
        <v>89</v>
      </c>
      <c r="B89" s="17" t="s">
        <v>463</v>
      </c>
      <c r="C89" s="18" t="s">
        <v>627</v>
      </c>
      <c r="D89" s="29" t="s">
        <v>564</v>
      </c>
      <c r="E89" s="30" t="s">
        <v>555</v>
      </c>
      <c r="F89" s="36" t="s">
        <v>9</v>
      </c>
      <c r="G89" s="37" t="s">
        <v>9</v>
      </c>
      <c r="H89" s="36" t="s">
        <v>9</v>
      </c>
      <c r="I89" s="37" t="s">
        <v>9</v>
      </c>
      <c r="J89" s="31" t="s">
        <v>84</v>
      </c>
      <c r="K89" s="61" t="s">
        <v>333</v>
      </c>
      <c r="L89" s="31" t="s">
        <v>9</v>
      </c>
      <c r="M89" s="60" t="s">
        <v>9</v>
      </c>
      <c r="N89" s="31" t="s">
        <v>9</v>
      </c>
      <c r="O89" s="60" t="s">
        <v>9</v>
      </c>
      <c r="P89" s="31" t="s">
        <v>86</v>
      </c>
      <c r="Q89" s="32">
        <v>317</v>
      </c>
      <c r="R89" s="31" t="s">
        <v>87</v>
      </c>
      <c r="S89" s="32">
        <v>167</v>
      </c>
      <c r="T89" s="31" t="s">
        <v>191</v>
      </c>
      <c r="U89" s="32" t="s">
        <v>213</v>
      </c>
      <c r="V89" s="31" t="s">
        <v>192</v>
      </c>
      <c r="W89" s="32" t="s">
        <v>252</v>
      </c>
      <c r="X89" s="31" t="s">
        <v>194</v>
      </c>
      <c r="Y89" s="32" t="s">
        <v>215</v>
      </c>
      <c r="Z89" s="31" t="s">
        <v>1064</v>
      </c>
      <c r="AA89" s="32">
        <v>52</v>
      </c>
      <c r="AB89" s="31" t="s">
        <v>16</v>
      </c>
      <c r="AC89" s="19" t="s">
        <v>553</v>
      </c>
      <c r="AD89" s="31" t="s">
        <v>1065</v>
      </c>
      <c r="AE89" s="35" t="s">
        <v>193</v>
      </c>
      <c r="AF89" s="41" t="s">
        <v>558</v>
      </c>
      <c r="AG89" s="19" t="s">
        <v>1081</v>
      </c>
      <c r="AH89" s="41" t="s">
        <v>559</v>
      </c>
      <c r="AI89" s="19" t="s">
        <v>1085</v>
      </c>
      <c r="AJ89" s="41" t="s">
        <v>1066</v>
      </c>
      <c r="AK89" s="19" t="s">
        <v>1067</v>
      </c>
    </row>
    <row r="90" spans="1:37" ht="6.6" customHeight="1" x14ac:dyDescent="0.25">
      <c r="A90" s="16">
        <v>90</v>
      </c>
      <c r="B90" s="17" t="s">
        <v>513</v>
      </c>
      <c r="C90" s="18" t="s">
        <v>627</v>
      </c>
      <c r="D90" s="29" t="s">
        <v>564</v>
      </c>
      <c r="E90" s="30" t="s">
        <v>555</v>
      </c>
      <c r="F90" s="36" t="s">
        <v>9</v>
      </c>
      <c r="G90" s="37" t="s">
        <v>9</v>
      </c>
      <c r="H90" s="36" t="s">
        <v>9</v>
      </c>
      <c r="I90" s="37" t="s">
        <v>9</v>
      </c>
      <c r="J90" s="31" t="s">
        <v>84</v>
      </c>
      <c r="K90" s="61" t="s">
        <v>334</v>
      </c>
      <c r="L90" s="31" t="s">
        <v>9</v>
      </c>
      <c r="M90" s="60" t="s">
        <v>9</v>
      </c>
      <c r="N90" s="31" t="s">
        <v>9</v>
      </c>
      <c r="O90" s="60" t="s">
        <v>9</v>
      </c>
      <c r="P90" s="31" t="s">
        <v>86</v>
      </c>
      <c r="Q90" s="32">
        <v>303</v>
      </c>
      <c r="R90" s="31" t="s">
        <v>87</v>
      </c>
      <c r="S90" s="32">
        <v>203</v>
      </c>
      <c r="T90" s="31" t="s">
        <v>191</v>
      </c>
      <c r="U90" s="32" t="s">
        <v>253</v>
      </c>
      <c r="V90" s="31" t="s">
        <v>192</v>
      </c>
      <c r="W90" s="32" t="s">
        <v>141</v>
      </c>
      <c r="X90" s="31" t="s">
        <v>194</v>
      </c>
      <c r="Y90" s="32" t="s">
        <v>197</v>
      </c>
      <c r="Z90" s="31" t="s">
        <v>1064</v>
      </c>
      <c r="AA90" s="32">
        <v>60</v>
      </c>
      <c r="AB90" s="31" t="s">
        <v>16</v>
      </c>
      <c r="AC90" s="19" t="s">
        <v>553</v>
      </c>
      <c r="AD90" s="31" t="s">
        <v>1065</v>
      </c>
      <c r="AE90" s="35" t="s">
        <v>193</v>
      </c>
      <c r="AF90" s="41" t="s">
        <v>558</v>
      </c>
      <c r="AG90" s="19" t="s">
        <v>1081</v>
      </c>
      <c r="AH90" s="41" t="s">
        <v>559</v>
      </c>
      <c r="AI90" s="19" t="s">
        <v>1085</v>
      </c>
      <c r="AJ90" s="41" t="s">
        <v>1066</v>
      </c>
      <c r="AK90" s="19" t="s">
        <v>1067</v>
      </c>
    </row>
    <row r="91" spans="1:37" ht="6.6" customHeight="1" x14ac:dyDescent="0.25">
      <c r="A91" s="16">
        <v>91</v>
      </c>
      <c r="B91" s="17" t="s">
        <v>514</v>
      </c>
      <c r="C91" s="18" t="s">
        <v>627</v>
      </c>
      <c r="D91" s="29" t="s">
        <v>564</v>
      </c>
      <c r="E91" s="30" t="s">
        <v>555</v>
      </c>
      <c r="F91" s="36" t="s">
        <v>9</v>
      </c>
      <c r="G91" s="37" t="s">
        <v>9</v>
      </c>
      <c r="H91" s="36" t="s">
        <v>9</v>
      </c>
      <c r="I91" s="37" t="s">
        <v>9</v>
      </c>
      <c r="J91" s="31" t="s">
        <v>84</v>
      </c>
      <c r="K91" s="61" t="s">
        <v>335</v>
      </c>
      <c r="L91" s="31" t="s">
        <v>9</v>
      </c>
      <c r="M91" s="60" t="s">
        <v>9</v>
      </c>
      <c r="N91" s="31" t="s">
        <v>9</v>
      </c>
      <c r="O91" s="60" t="s">
        <v>9</v>
      </c>
      <c r="P91" s="31" t="s">
        <v>86</v>
      </c>
      <c r="Q91" s="32">
        <v>306</v>
      </c>
      <c r="R91" s="31" t="s">
        <v>87</v>
      </c>
      <c r="S91" s="32">
        <v>204</v>
      </c>
      <c r="T91" s="31" t="s">
        <v>191</v>
      </c>
      <c r="U91" s="32" t="s">
        <v>254</v>
      </c>
      <c r="V91" s="31" t="s">
        <v>192</v>
      </c>
      <c r="W91" s="32" t="s">
        <v>255</v>
      </c>
      <c r="X91" s="31" t="s">
        <v>194</v>
      </c>
      <c r="Y91" s="32" t="s">
        <v>197</v>
      </c>
      <c r="Z91" s="31" t="s">
        <v>1064</v>
      </c>
      <c r="AA91" s="32">
        <v>67</v>
      </c>
      <c r="AB91" s="31" t="s">
        <v>16</v>
      </c>
      <c r="AC91" s="19" t="s">
        <v>553</v>
      </c>
      <c r="AD91" s="31" t="s">
        <v>1065</v>
      </c>
      <c r="AE91" s="35" t="s">
        <v>193</v>
      </c>
      <c r="AF91" s="41" t="s">
        <v>558</v>
      </c>
      <c r="AG91" s="19" t="s">
        <v>1081</v>
      </c>
      <c r="AH91" s="41" t="s">
        <v>559</v>
      </c>
      <c r="AI91" s="19" t="s">
        <v>1085</v>
      </c>
      <c r="AJ91" s="41" t="s">
        <v>1066</v>
      </c>
      <c r="AK91" s="19" t="s">
        <v>1067</v>
      </c>
    </row>
    <row r="92" spans="1:37" ht="6.6" customHeight="1" x14ac:dyDescent="0.25">
      <c r="A92" s="16">
        <v>92</v>
      </c>
      <c r="B92" s="17" t="s">
        <v>515</v>
      </c>
      <c r="C92" s="18" t="s">
        <v>627</v>
      </c>
      <c r="D92" s="29" t="s">
        <v>564</v>
      </c>
      <c r="E92" s="30" t="s">
        <v>555</v>
      </c>
      <c r="F92" s="36" t="s">
        <v>9</v>
      </c>
      <c r="G92" s="37" t="s">
        <v>9</v>
      </c>
      <c r="H92" s="36" t="s">
        <v>9</v>
      </c>
      <c r="I92" s="37" t="s">
        <v>9</v>
      </c>
      <c r="J92" s="31" t="s">
        <v>84</v>
      </c>
      <c r="K92" s="61" t="s">
        <v>336</v>
      </c>
      <c r="L92" s="31" t="s">
        <v>9</v>
      </c>
      <c r="M92" s="60" t="s">
        <v>9</v>
      </c>
      <c r="N92" s="31" t="s">
        <v>9</v>
      </c>
      <c r="O92" s="60" t="s">
        <v>9</v>
      </c>
      <c r="P92" s="31" t="s">
        <v>86</v>
      </c>
      <c r="Q92" s="32">
        <v>310</v>
      </c>
      <c r="R92" s="31" t="s">
        <v>87</v>
      </c>
      <c r="S92" s="32">
        <v>205</v>
      </c>
      <c r="T92" s="31" t="s">
        <v>191</v>
      </c>
      <c r="U92" s="32" t="s">
        <v>128</v>
      </c>
      <c r="V92" s="31" t="s">
        <v>192</v>
      </c>
      <c r="W92" s="32" t="s">
        <v>256</v>
      </c>
      <c r="X92" s="31" t="s">
        <v>194</v>
      </c>
      <c r="Y92" s="32" t="s">
        <v>197</v>
      </c>
      <c r="Z92" s="31" t="s">
        <v>1064</v>
      </c>
      <c r="AA92" s="32">
        <v>74</v>
      </c>
      <c r="AB92" s="31" t="s">
        <v>16</v>
      </c>
      <c r="AC92" s="19" t="s">
        <v>553</v>
      </c>
      <c r="AD92" s="31" t="s">
        <v>1065</v>
      </c>
      <c r="AE92" s="35" t="s">
        <v>193</v>
      </c>
      <c r="AF92" s="41" t="s">
        <v>558</v>
      </c>
      <c r="AG92" s="19" t="s">
        <v>1081</v>
      </c>
      <c r="AH92" s="41" t="s">
        <v>559</v>
      </c>
      <c r="AI92" s="19" t="s">
        <v>1085</v>
      </c>
      <c r="AJ92" s="41" t="s">
        <v>1066</v>
      </c>
      <c r="AK92" s="19" t="s">
        <v>1067</v>
      </c>
    </row>
    <row r="93" spans="1:37" ht="6.6" customHeight="1" x14ac:dyDescent="0.25">
      <c r="A93" s="16">
        <v>93</v>
      </c>
      <c r="B93" s="17" t="s">
        <v>464</v>
      </c>
      <c r="C93" s="18" t="s">
        <v>627</v>
      </c>
      <c r="D93" s="29" t="s">
        <v>564</v>
      </c>
      <c r="E93" s="30" t="s">
        <v>555</v>
      </c>
      <c r="F93" s="36" t="s">
        <v>9</v>
      </c>
      <c r="G93" s="37" t="s">
        <v>9</v>
      </c>
      <c r="H93" s="36" t="s">
        <v>9</v>
      </c>
      <c r="I93" s="37" t="s">
        <v>9</v>
      </c>
      <c r="J93" s="31" t="s">
        <v>84</v>
      </c>
      <c r="K93" s="61" t="s">
        <v>337</v>
      </c>
      <c r="L93" s="31" t="s">
        <v>9</v>
      </c>
      <c r="M93" s="60" t="s">
        <v>9</v>
      </c>
      <c r="N93" s="31" t="s">
        <v>9</v>
      </c>
      <c r="O93" s="60" t="s">
        <v>9</v>
      </c>
      <c r="P93" s="31" t="s">
        <v>86</v>
      </c>
      <c r="Q93" s="32">
        <v>308</v>
      </c>
      <c r="R93" s="31" t="s">
        <v>87</v>
      </c>
      <c r="S93" s="32">
        <v>305</v>
      </c>
      <c r="T93" s="31" t="s">
        <v>191</v>
      </c>
      <c r="U93" s="32" t="s">
        <v>257</v>
      </c>
      <c r="V93" s="31" t="s">
        <v>192</v>
      </c>
      <c r="W93" s="32" t="s">
        <v>144</v>
      </c>
      <c r="X93" s="31" t="s">
        <v>194</v>
      </c>
      <c r="Y93" s="32" t="s">
        <v>236</v>
      </c>
      <c r="Z93" s="31" t="s">
        <v>1064</v>
      </c>
      <c r="AA93" s="32">
        <v>97</v>
      </c>
      <c r="AB93" s="31" t="s">
        <v>16</v>
      </c>
      <c r="AC93" s="19" t="s">
        <v>553</v>
      </c>
      <c r="AD93" s="31" t="s">
        <v>1065</v>
      </c>
      <c r="AE93" s="35" t="s">
        <v>193</v>
      </c>
      <c r="AF93" s="41" t="s">
        <v>558</v>
      </c>
      <c r="AG93" s="19" t="s">
        <v>1081</v>
      </c>
      <c r="AH93" s="41" t="s">
        <v>559</v>
      </c>
      <c r="AI93" s="19" t="s">
        <v>1085</v>
      </c>
      <c r="AJ93" s="41" t="s">
        <v>1066</v>
      </c>
      <c r="AK93" s="19" t="s">
        <v>1067</v>
      </c>
    </row>
    <row r="94" spans="1:37" ht="6.6" customHeight="1" x14ac:dyDescent="0.25">
      <c r="A94" s="16">
        <v>94</v>
      </c>
      <c r="B94" s="17" t="s">
        <v>465</v>
      </c>
      <c r="C94" s="18" t="s">
        <v>627</v>
      </c>
      <c r="D94" s="29" t="s">
        <v>564</v>
      </c>
      <c r="E94" s="30" t="s">
        <v>555</v>
      </c>
      <c r="F94" s="36" t="s">
        <v>9</v>
      </c>
      <c r="G94" s="37" t="s">
        <v>9</v>
      </c>
      <c r="H94" s="36" t="s">
        <v>9</v>
      </c>
      <c r="I94" s="37" t="s">
        <v>9</v>
      </c>
      <c r="J94" s="31" t="s">
        <v>84</v>
      </c>
      <c r="K94" s="61" t="s">
        <v>338</v>
      </c>
      <c r="L94" s="31" t="s">
        <v>9</v>
      </c>
      <c r="M94" s="60" t="s">
        <v>9</v>
      </c>
      <c r="N94" s="31" t="s">
        <v>9</v>
      </c>
      <c r="O94" s="60" t="s">
        <v>9</v>
      </c>
      <c r="P94" s="31" t="s">
        <v>86</v>
      </c>
      <c r="Q94" s="32">
        <v>357</v>
      </c>
      <c r="R94" s="31" t="s">
        <v>87</v>
      </c>
      <c r="S94" s="32">
        <v>255</v>
      </c>
      <c r="T94" s="31" t="s">
        <v>191</v>
      </c>
      <c r="U94" s="32" t="s">
        <v>123</v>
      </c>
      <c r="V94" s="31" t="s">
        <v>192</v>
      </c>
      <c r="W94" s="32" t="s">
        <v>155</v>
      </c>
      <c r="X94" s="31" t="s">
        <v>194</v>
      </c>
      <c r="Y94" s="32">
        <v>15</v>
      </c>
      <c r="Z94" s="31" t="s">
        <v>1064</v>
      </c>
      <c r="AA94" s="32">
        <v>101</v>
      </c>
      <c r="AB94" s="31" t="s">
        <v>16</v>
      </c>
      <c r="AC94" s="19" t="s">
        <v>553</v>
      </c>
      <c r="AD94" s="31" t="s">
        <v>1065</v>
      </c>
      <c r="AE94" s="35" t="s">
        <v>193</v>
      </c>
      <c r="AF94" s="41" t="s">
        <v>558</v>
      </c>
      <c r="AG94" s="19" t="s">
        <v>1081</v>
      </c>
      <c r="AH94" s="41" t="s">
        <v>559</v>
      </c>
      <c r="AI94" s="19" t="s">
        <v>1085</v>
      </c>
      <c r="AJ94" s="41" t="s">
        <v>1066</v>
      </c>
      <c r="AK94" s="19" t="s">
        <v>1067</v>
      </c>
    </row>
    <row r="95" spans="1:37" ht="6.6" customHeight="1" x14ac:dyDescent="0.25">
      <c r="A95" s="16">
        <v>95</v>
      </c>
      <c r="B95" s="17" t="s">
        <v>466</v>
      </c>
      <c r="C95" s="18" t="s">
        <v>627</v>
      </c>
      <c r="D95" s="29" t="s">
        <v>564</v>
      </c>
      <c r="E95" s="30" t="s">
        <v>555</v>
      </c>
      <c r="F95" s="36" t="s">
        <v>9</v>
      </c>
      <c r="G95" s="37" t="s">
        <v>9</v>
      </c>
      <c r="H95" s="36" t="s">
        <v>9</v>
      </c>
      <c r="I95" s="37" t="s">
        <v>9</v>
      </c>
      <c r="J95" s="31" t="s">
        <v>84</v>
      </c>
      <c r="K95" s="61" t="s">
        <v>339</v>
      </c>
      <c r="L95" s="31" t="s">
        <v>9</v>
      </c>
      <c r="M95" s="60" t="s">
        <v>9</v>
      </c>
      <c r="N95" s="31" t="s">
        <v>9</v>
      </c>
      <c r="O95" s="60" t="s">
        <v>9</v>
      </c>
      <c r="P95" s="31" t="s">
        <v>86</v>
      </c>
      <c r="Q95" s="32">
        <v>360</v>
      </c>
      <c r="R95" s="31" t="s">
        <v>87</v>
      </c>
      <c r="S95" s="32">
        <v>256</v>
      </c>
      <c r="T95" s="31" t="s">
        <v>191</v>
      </c>
      <c r="U95" s="32" t="s">
        <v>157</v>
      </c>
      <c r="V95" s="31" t="s">
        <v>192</v>
      </c>
      <c r="W95" s="32" t="s">
        <v>158</v>
      </c>
      <c r="X95" s="31" t="s">
        <v>194</v>
      </c>
      <c r="Y95" s="32" t="s">
        <v>237</v>
      </c>
      <c r="Z95" s="31" t="s">
        <v>1064</v>
      </c>
      <c r="AA95" s="32">
        <v>110</v>
      </c>
      <c r="AB95" s="31" t="s">
        <v>16</v>
      </c>
      <c r="AC95" s="19" t="s">
        <v>553</v>
      </c>
      <c r="AD95" s="31" t="s">
        <v>1065</v>
      </c>
      <c r="AE95" s="35" t="s">
        <v>193</v>
      </c>
      <c r="AF95" s="41" t="s">
        <v>558</v>
      </c>
      <c r="AG95" s="19" t="s">
        <v>1081</v>
      </c>
      <c r="AH95" s="41" t="s">
        <v>559</v>
      </c>
      <c r="AI95" s="19" t="s">
        <v>1085</v>
      </c>
      <c r="AJ95" s="41" t="s">
        <v>1066</v>
      </c>
      <c r="AK95" s="19" t="s">
        <v>1067</v>
      </c>
    </row>
    <row r="96" spans="1:37" ht="6.6" customHeight="1" x14ac:dyDescent="0.25">
      <c r="A96" s="16">
        <v>96</v>
      </c>
      <c r="B96" s="17" t="s">
        <v>467</v>
      </c>
      <c r="C96" s="18" t="s">
        <v>627</v>
      </c>
      <c r="D96" s="29" t="s">
        <v>564</v>
      </c>
      <c r="E96" s="30" t="s">
        <v>555</v>
      </c>
      <c r="F96" s="36" t="s">
        <v>9</v>
      </c>
      <c r="G96" s="37" t="s">
        <v>9</v>
      </c>
      <c r="H96" s="36" t="s">
        <v>9</v>
      </c>
      <c r="I96" s="37" t="s">
        <v>9</v>
      </c>
      <c r="J96" s="31" t="s">
        <v>84</v>
      </c>
      <c r="K96" s="61" t="s">
        <v>340</v>
      </c>
      <c r="L96" s="31" t="s">
        <v>9</v>
      </c>
      <c r="M96" s="60" t="s">
        <v>9</v>
      </c>
      <c r="N96" s="31" t="s">
        <v>9</v>
      </c>
      <c r="O96" s="60" t="s">
        <v>9</v>
      </c>
      <c r="P96" s="31" t="s">
        <v>86</v>
      </c>
      <c r="Q96" s="32">
        <v>363</v>
      </c>
      <c r="R96" s="31" t="s">
        <v>87</v>
      </c>
      <c r="S96" s="32">
        <v>257</v>
      </c>
      <c r="T96" s="31" t="s">
        <v>191</v>
      </c>
      <c r="U96" s="32">
        <v>13</v>
      </c>
      <c r="V96" s="31" t="s">
        <v>192</v>
      </c>
      <c r="W96" s="32" t="s">
        <v>160</v>
      </c>
      <c r="X96" s="31" t="s">
        <v>194</v>
      </c>
      <c r="Y96" s="32" t="s">
        <v>236</v>
      </c>
      <c r="Z96" s="31" t="s">
        <v>1064</v>
      </c>
      <c r="AA96" s="32">
        <v>122</v>
      </c>
      <c r="AB96" s="31" t="s">
        <v>16</v>
      </c>
      <c r="AC96" s="19" t="s">
        <v>553</v>
      </c>
      <c r="AD96" s="31" t="s">
        <v>1065</v>
      </c>
      <c r="AE96" s="35" t="s">
        <v>193</v>
      </c>
      <c r="AF96" s="41" t="s">
        <v>558</v>
      </c>
      <c r="AG96" s="19" t="s">
        <v>1081</v>
      </c>
      <c r="AH96" s="41" t="s">
        <v>559</v>
      </c>
      <c r="AI96" s="19" t="s">
        <v>1085</v>
      </c>
      <c r="AJ96" s="41" t="s">
        <v>1066</v>
      </c>
      <c r="AK96" s="19" t="s">
        <v>1067</v>
      </c>
    </row>
    <row r="97" spans="1:37" ht="6.6" customHeight="1" x14ac:dyDescent="0.25">
      <c r="A97" s="16">
        <v>97</v>
      </c>
      <c r="B97" s="17" t="s">
        <v>468</v>
      </c>
      <c r="C97" s="18" t="s">
        <v>627</v>
      </c>
      <c r="D97" s="29" t="s">
        <v>564</v>
      </c>
      <c r="E97" s="30" t="s">
        <v>555</v>
      </c>
      <c r="F97" s="36" t="s">
        <v>9</v>
      </c>
      <c r="G97" s="37" t="s">
        <v>9</v>
      </c>
      <c r="H97" s="36" t="s">
        <v>9</v>
      </c>
      <c r="I97" s="37" t="s">
        <v>9</v>
      </c>
      <c r="J97" s="31" t="s">
        <v>84</v>
      </c>
      <c r="K97" s="61" t="s">
        <v>341</v>
      </c>
      <c r="L97" s="31" t="s">
        <v>9</v>
      </c>
      <c r="M97" s="60" t="s">
        <v>9</v>
      </c>
      <c r="N97" s="31" t="s">
        <v>9</v>
      </c>
      <c r="O97" s="60" t="s">
        <v>9</v>
      </c>
      <c r="P97" s="31" t="s">
        <v>86</v>
      </c>
      <c r="Q97" s="32">
        <v>349</v>
      </c>
      <c r="R97" s="31" t="s">
        <v>87</v>
      </c>
      <c r="S97" s="32">
        <v>127</v>
      </c>
      <c r="T97" s="31" t="s">
        <v>191</v>
      </c>
      <c r="U97" s="32" t="s">
        <v>198</v>
      </c>
      <c r="V97" s="31" t="s">
        <v>192</v>
      </c>
      <c r="W97" s="32" t="s">
        <v>258</v>
      </c>
      <c r="X97" s="31" t="s">
        <v>194</v>
      </c>
      <c r="Y97" s="32" t="s">
        <v>259</v>
      </c>
      <c r="Z97" s="31" t="s">
        <v>1064</v>
      </c>
      <c r="AA97" s="32">
        <v>32</v>
      </c>
      <c r="AB97" s="31" t="s">
        <v>16</v>
      </c>
      <c r="AC97" s="19" t="s">
        <v>553</v>
      </c>
      <c r="AD97" s="31" t="s">
        <v>1065</v>
      </c>
      <c r="AE97" s="35" t="s">
        <v>193</v>
      </c>
      <c r="AF97" s="41" t="s">
        <v>558</v>
      </c>
      <c r="AG97" s="19" t="s">
        <v>1081</v>
      </c>
      <c r="AH97" s="41" t="s">
        <v>559</v>
      </c>
      <c r="AI97" s="19" t="s">
        <v>1085</v>
      </c>
      <c r="AJ97" s="41" t="s">
        <v>1066</v>
      </c>
      <c r="AK97" s="19" t="s">
        <v>1067</v>
      </c>
    </row>
    <row r="98" spans="1:37" ht="6.6" customHeight="1" x14ac:dyDescent="0.25">
      <c r="A98" s="16">
        <v>98</v>
      </c>
      <c r="B98" s="17" t="s">
        <v>469</v>
      </c>
      <c r="C98" s="18" t="s">
        <v>627</v>
      </c>
      <c r="D98" s="29" t="s">
        <v>564</v>
      </c>
      <c r="E98" s="30" t="s">
        <v>555</v>
      </c>
      <c r="F98" s="36" t="s">
        <v>9</v>
      </c>
      <c r="G98" s="37" t="s">
        <v>9</v>
      </c>
      <c r="H98" s="36" t="s">
        <v>9</v>
      </c>
      <c r="I98" s="37" t="s">
        <v>9</v>
      </c>
      <c r="J98" s="31" t="s">
        <v>84</v>
      </c>
      <c r="K98" s="61" t="s">
        <v>342</v>
      </c>
      <c r="L98" s="31" t="s">
        <v>9</v>
      </c>
      <c r="M98" s="60" t="s">
        <v>9</v>
      </c>
      <c r="N98" s="31" t="s">
        <v>9</v>
      </c>
      <c r="O98" s="60" t="s">
        <v>9</v>
      </c>
      <c r="P98" s="31" t="s">
        <v>86</v>
      </c>
      <c r="Q98" s="32">
        <v>353</v>
      </c>
      <c r="R98" s="31" t="s">
        <v>87</v>
      </c>
      <c r="S98" s="32">
        <v>128</v>
      </c>
      <c r="T98" s="31" t="s">
        <v>191</v>
      </c>
      <c r="U98" s="32" t="s">
        <v>212</v>
      </c>
      <c r="V98" s="31" t="s">
        <v>192</v>
      </c>
      <c r="W98" s="32" t="s">
        <v>124</v>
      </c>
      <c r="X98" s="31" t="s">
        <v>194</v>
      </c>
      <c r="Y98" s="32" t="s">
        <v>209</v>
      </c>
      <c r="Z98" s="31" t="s">
        <v>1064</v>
      </c>
      <c r="AA98" s="32">
        <v>39</v>
      </c>
      <c r="AB98" s="31" t="s">
        <v>16</v>
      </c>
      <c r="AC98" s="19" t="s">
        <v>553</v>
      </c>
      <c r="AD98" s="31" t="s">
        <v>1065</v>
      </c>
      <c r="AE98" s="35" t="s">
        <v>193</v>
      </c>
      <c r="AF98" s="41" t="s">
        <v>558</v>
      </c>
      <c r="AG98" s="19" t="s">
        <v>1081</v>
      </c>
      <c r="AH98" s="41" t="s">
        <v>559</v>
      </c>
      <c r="AI98" s="19" t="s">
        <v>1085</v>
      </c>
      <c r="AJ98" s="41" t="s">
        <v>1066</v>
      </c>
      <c r="AK98" s="19" t="s">
        <v>1067</v>
      </c>
    </row>
    <row r="99" spans="1:37" ht="6.6" customHeight="1" x14ac:dyDescent="0.25">
      <c r="A99" s="16">
        <v>99</v>
      </c>
      <c r="B99" s="17" t="s">
        <v>470</v>
      </c>
      <c r="C99" s="18" t="s">
        <v>627</v>
      </c>
      <c r="D99" s="29" t="s">
        <v>564</v>
      </c>
      <c r="E99" s="30" t="s">
        <v>555</v>
      </c>
      <c r="F99" s="36" t="s">
        <v>9</v>
      </c>
      <c r="G99" s="37" t="s">
        <v>9</v>
      </c>
      <c r="H99" s="36" t="s">
        <v>9</v>
      </c>
      <c r="I99" s="37" t="s">
        <v>9</v>
      </c>
      <c r="J99" s="31" t="s">
        <v>84</v>
      </c>
      <c r="K99" s="61" t="s">
        <v>343</v>
      </c>
      <c r="L99" s="31" t="s">
        <v>9</v>
      </c>
      <c r="M99" s="60" t="s">
        <v>9</v>
      </c>
      <c r="N99" s="31" t="s">
        <v>9</v>
      </c>
      <c r="O99" s="60" t="s">
        <v>9</v>
      </c>
      <c r="P99" s="31" t="s">
        <v>86</v>
      </c>
      <c r="Q99" s="32">
        <v>352</v>
      </c>
      <c r="R99" s="31" t="s">
        <v>87</v>
      </c>
      <c r="S99" s="32">
        <v>171</v>
      </c>
      <c r="T99" s="31" t="s">
        <v>191</v>
      </c>
      <c r="U99" s="32" t="s">
        <v>227</v>
      </c>
      <c r="V99" s="31" t="s">
        <v>192</v>
      </c>
      <c r="W99" s="32" t="s">
        <v>260</v>
      </c>
      <c r="X99" s="31" t="s">
        <v>194</v>
      </c>
      <c r="Y99" s="32" t="s">
        <v>261</v>
      </c>
      <c r="Z99" s="31" t="s">
        <v>1064</v>
      </c>
      <c r="AA99" s="32">
        <v>44</v>
      </c>
      <c r="AB99" s="31" t="s">
        <v>16</v>
      </c>
      <c r="AC99" s="19" t="s">
        <v>553</v>
      </c>
      <c r="AD99" s="31" t="s">
        <v>1065</v>
      </c>
      <c r="AE99" s="35" t="s">
        <v>193</v>
      </c>
      <c r="AF99" s="41" t="s">
        <v>558</v>
      </c>
      <c r="AG99" s="19" t="s">
        <v>1081</v>
      </c>
      <c r="AH99" s="41" t="s">
        <v>559</v>
      </c>
      <c r="AI99" s="19" t="s">
        <v>1085</v>
      </c>
      <c r="AJ99" s="41" t="s">
        <v>1066</v>
      </c>
      <c r="AK99" s="19" t="s">
        <v>1067</v>
      </c>
    </row>
    <row r="100" spans="1:37" ht="6.6" customHeight="1" x14ac:dyDescent="0.25">
      <c r="A100" s="16">
        <v>100</v>
      </c>
      <c r="B100" s="17" t="s">
        <v>471</v>
      </c>
      <c r="C100" s="18" t="s">
        <v>627</v>
      </c>
      <c r="D100" s="29" t="s">
        <v>564</v>
      </c>
      <c r="E100" s="30" t="s">
        <v>555</v>
      </c>
      <c r="F100" s="36" t="s">
        <v>9</v>
      </c>
      <c r="G100" s="37" t="s">
        <v>9</v>
      </c>
      <c r="H100" s="36" t="s">
        <v>9</v>
      </c>
      <c r="I100" s="37" t="s">
        <v>9</v>
      </c>
      <c r="J100" s="31" t="s">
        <v>84</v>
      </c>
      <c r="K100" s="61" t="s">
        <v>344</v>
      </c>
      <c r="L100" s="31" t="s">
        <v>9</v>
      </c>
      <c r="M100" s="60" t="s">
        <v>9</v>
      </c>
      <c r="N100" s="31" t="s">
        <v>9</v>
      </c>
      <c r="O100" s="60" t="s">
        <v>9</v>
      </c>
      <c r="P100" s="31" t="s">
        <v>86</v>
      </c>
      <c r="Q100" s="32">
        <v>355</v>
      </c>
      <c r="R100" s="31" t="s">
        <v>87</v>
      </c>
      <c r="S100" s="32">
        <v>171</v>
      </c>
      <c r="T100" s="31" t="s">
        <v>191</v>
      </c>
      <c r="U100" s="32" t="s">
        <v>216</v>
      </c>
      <c r="V100" s="31" t="s">
        <v>192</v>
      </c>
      <c r="W100" s="32" t="s">
        <v>98</v>
      </c>
      <c r="X100" s="31" t="s">
        <v>194</v>
      </c>
      <c r="Y100" s="32" t="s">
        <v>209</v>
      </c>
      <c r="Z100" s="31" t="s">
        <v>1064</v>
      </c>
      <c r="AA100" s="32">
        <v>51</v>
      </c>
      <c r="AB100" s="31" t="s">
        <v>16</v>
      </c>
      <c r="AC100" s="19" t="s">
        <v>553</v>
      </c>
      <c r="AD100" s="31" t="s">
        <v>1065</v>
      </c>
      <c r="AE100" s="35" t="s">
        <v>193</v>
      </c>
      <c r="AF100" s="41" t="s">
        <v>558</v>
      </c>
      <c r="AG100" s="19" t="s">
        <v>1081</v>
      </c>
      <c r="AH100" s="41" t="s">
        <v>559</v>
      </c>
      <c r="AI100" s="19" t="s">
        <v>1085</v>
      </c>
      <c r="AJ100" s="41" t="s">
        <v>1066</v>
      </c>
      <c r="AK100" s="19" t="s">
        <v>1067</v>
      </c>
    </row>
    <row r="101" spans="1:37" ht="6.6" customHeight="1" x14ac:dyDescent="0.25">
      <c r="A101" s="16">
        <v>101</v>
      </c>
      <c r="B101" s="17" t="s">
        <v>472</v>
      </c>
      <c r="C101" s="18" t="s">
        <v>627</v>
      </c>
      <c r="D101" s="29" t="s">
        <v>564</v>
      </c>
      <c r="E101" s="30" t="s">
        <v>555</v>
      </c>
      <c r="F101" s="36" t="s">
        <v>9</v>
      </c>
      <c r="G101" s="37" t="s">
        <v>9</v>
      </c>
      <c r="H101" s="36" t="s">
        <v>9</v>
      </c>
      <c r="I101" s="37" t="s">
        <v>9</v>
      </c>
      <c r="J101" s="31" t="s">
        <v>84</v>
      </c>
      <c r="K101" s="61" t="s">
        <v>345</v>
      </c>
      <c r="L101" s="31" t="s">
        <v>9</v>
      </c>
      <c r="M101" s="60" t="s">
        <v>9</v>
      </c>
      <c r="N101" s="31" t="s">
        <v>9</v>
      </c>
      <c r="O101" s="60" t="s">
        <v>9</v>
      </c>
      <c r="P101" s="31" t="s">
        <v>86</v>
      </c>
      <c r="Q101" s="32">
        <v>358</v>
      </c>
      <c r="R101" s="31" t="s">
        <v>87</v>
      </c>
      <c r="S101" s="32">
        <v>172</v>
      </c>
      <c r="T101" s="31" t="s">
        <v>191</v>
      </c>
      <c r="U101" s="32" t="s">
        <v>217</v>
      </c>
      <c r="V101" s="31" t="s">
        <v>192</v>
      </c>
      <c r="W101" s="32" t="s">
        <v>141</v>
      </c>
      <c r="X101" s="31" t="s">
        <v>194</v>
      </c>
      <c r="Y101" s="32" t="s">
        <v>209</v>
      </c>
      <c r="Z101" s="31" t="s">
        <v>1064</v>
      </c>
      <c r="AA101" s="32">
        <v>57</v>
      </c>
      <c r="AB101" s="31" t="s">
        <v>16</v>
      </c>
      <c r="AC101" s="19" t="s">
        <v>553</v>
      </c>
      <c r="AD101" s="31" t="s">
        <v>1065</v>
      </c>
      <c r="AE101" s="35" t="s">
        <v>193</v>
      </c>
      <c r="AF101" s="41" t="s">
        <v>558</v>
      </c>
      <c r="AG101" s="19" t="s">
        <v>1081</v>
      </c>
      <c r="AH101" s="41" t="s">
        <v>559</v>
      </c>
      <c r="AI101" s="19" t="s">
        <v>1085</v>
      </c>
      <c r="AJ101" s="41" t="s">
        <v>1066</v>
      </c>
      <c r="AK101" s="19" t="s">
        <v>1067</v>
      </c>
    </row>
    <row r="102" spans="1:37" ht="6.6" customHeight="1" x14ac:dyDescent="0.25">
      <c r="A102" s="16">
        <v>102</v>
      </c>
      <c r="B102" s="17" t="s">
        <v>473</v>
      </c>
      <c r="C102" s="18" t="s">
        <v>627</v>
      </c>
      <c r="D102" s="29" t="s">
        <v>564</v>
      </c>
      <c r="E102" s="30" t="s">
        <v>555</v>
      </c>
      <c r="F102" s="36" t="s">
        <v>9</v>
      </c>
      <c r="G102" s="37" t="s">
        <v>9</v>
      </c>
      <c r="H102" s="36" t="s">
        <v>9</v>
      </c>
      <c r="I102" s="37" t="s">
        <v>9</v>
      </c>
      <c r="J102" s="31" t="s">
        <v>84</v>
      </c>
      <c r="K102" s="61" t="s">
        <v>346</v>
      </c>
      <c r="L102" s="31" t="s">
        <v>9</v>
      </c>
      <c r="M102" s="60" t="s">
        <v>9</v>
      </c>
      <c r="N102" s="31" t="s">
        <v>9</v>
      </c>
      <c r="O102" s="60" t="s">
        <v>9</v>
      </c>
      <c r="P102" s="31" t="s">
        <v>86</v>
      </c>
      <c r="Q102" s="32">
        <v>347</v>
      </c>
      <c r="R102" s="31" t="s">
        <v>87</v>
      </c>
      <c r="S102" s="32">
        <v>203</v>
      </c>
      <c r="T102" s="31" t="s">
        <v>191</v>
      </c>
      <c r="U102" s="32" t="s">
        <v>262</v>
      </c>
      <c r="V102" s="31" t="s">
        <v>192</v>
      </c>
      <c r="W102" s="32" t="s">
        <v>137</v>
      </c>
      <c r="X102" s="31" t="s">
        <v>194</v>
      </c>
      <c r="Y102" s="32" t="s">
        <v>263</v>
      </c>
      <c r="Z102" s="31" t="s">
        <v>1064</v>
      </c>
      <c r="AA102" s="32">
        <v>64</v>
      </c>
      <c r="AB102" s="31" t="s">
        <v>16</v>
      </c>
      <c r="AC102" s="19" t="s">
        <v>553</v>
      </c>
      <c r="AD102" s="31" t="s">
        <v>1065</v>
      </c>
      <c r="AE102" s="35" t="s">
        <v>193</v>
      </c>
      <c r="AF102" s="41" t="s">
        <v>558</v>
      </c>
      <c r="AG102" s="19" t="s">
        <v>1081</v>
      </c>
      <c r="AH102" s="41" t="s">
        <v>559</v>
      </c>
      <c r="AI102" s="19" t="s">
        <v>1085</v>
      </c>
      <c r="AJ102" s="41" t="s">
        <v>1066</v>
      </c>
      <c r="AK102" s="19" t="s">
        <v>1067</v>
      </c>
    </row>
    <row r="103" spans="1:37" ht="6.6" customHeight="1" x14ac:dyDescent="0.25">
      <c r="A103" s="16">
        <v>103</v>
      </c>
      <c r="B103" s="17" t="s">
        <v>474</v>
      </c>
      <c r="C103" s="18" t="s">
        <v>627</v>
      </c>
      <c r="D103" s="29" t="s">
        <v>564</v>
      </c>
      <c r="E103" s="30" t="s">
        <v>555</v>
      </c>
      <c r="F103" s="36" t="s">
        <v>9</v>
      </c>
      <c r="G103" s="37" t="s">
        <v>9</v>
      </c>
      <c r="H103" s="36" t="s">
        <v>9</v>
      </c>
      <c r="I103" s="37" t="s">
        <v>9</v>
      </c>
      <c r="J103" s="31" t="s">
        <v>84</v>
      </c>
      <c r="K103" s="61" t="s">
        <v>347</v>
      </c>
      <c r="L103" s="31" t="s">
        <v>9</v>
      </c>
      <c r="M103" s="60" t="s">
        <v>9</v>
      </c>
      <c r="N103" s="31" t="s">
        <v>9</v>
      </c>
      <c r="O103" s="60" t="s">
        <v>9</v>
      </c>
      <c r="P103" s="31" t="s">
        <v>86</v>
      </c>
      <c r="Q103" s="32">
        <v>350</v>
      </c>
      <c r="R103" s="31" t="s">
        <v>87</v>
      </c>
      <c r="S103" s="32">
        <v>204</v>
      </c>
      <c r="T103" s="31" t="s">
        <v>191</v>
      </c>
      <c r="U103" s="32" t="s">
        <v>233</v>
      </c>
      <c r="V103" s="31" t="s">
        <v>192</v>
      </c>
      <c r="W103" s="32" t="s">
        <v>236</v>
      </c>
      <c r="X103" s="31" t="s">
        <v>194</v>
      </c>
      <c r="Y103" s="32" t="s">
        <v>236</v>
      </c>
      <c r="Z103" s="31" t="s">
        <v>1064</v>
      </c>
      <c r="AA103" s="32">
        <v>72</v>
      </c>
      <c r="AB103" s="31" t="s">
        <v>16</v>
      </c>
      <c r="AC103" s="19" t="s">
        <v>553</v>
      </c>
      <c r="AD103" s="31" t="s">
        <v>1065</v>
      </c>
      <c r="AE103" s="35" t="s">
        <v>193</v>
      </c>
      <c r="AF103" s="41" t="s">
        <v>558</v>
      </c>
      <c r="AG103" s="19" t="s">
        <v>1081</v>
      </c>
      <c r="AH103" s="41" t="s">
        <v>559</v>
      </c>
      <c r="AI103" s="19" t="s">
        <v>1085</v>
      </c>
      <c r="AJ103" s="41" t="s">
        <v>1066</v>
      </c>
      <c r="AK103" s="19" t="s">
        <v>1067</v>
      </c>
    </row>
    <row r="104" spans="1:37" ht="6.6" customHeight="1" x14ac:dyDescent="0.25">
      <c r="A104" s="16">
        <v>104</v>
      </c>
      <c r="B104" s="17" t="s">
        <v>475</v>
      </c>
      <c r="C104" s="18" t="s">
        <v>627</v>
      </c>
      <c r="D104" s="29" t="s">
        <v>564</v>
      </c>
      <c r="E104" s="30" t="s">
        <v>555</v>
      </c>
      <c r="F104" s="36" t="s">
        <v>9</v>
      </c>
      <c r="G104" s="37" t="s">
        <v>9</v>
      </c>
      <c r="H104" s="36" t="s">
        <v>9</v>
      </c>
      <c r="I104" s="37" t="s">
        <v>9</v>
      </c>
      <c r="J104" s="31" t="s">
        <v>84</v>
      </c>
      <c r="K104" s="61" t="s">
        <v>348</v>
      </c>
      <c r="L104" s="31" t="s">
        <v>9</v>
      </c>
      <c r="M104" s="60" t="s">
        <v>9</v>
      </c>
      <c r="N104" s="31" t="s">
        <v>9</v>
      </c>
      <c r="O104" s="60" t="s">
        <v>9</v>
      </c>
      <c r="P104" s="31" t="s">
        <v>86</v>
      </c>
      <c r="Q104" s="32">
        <v>354</v>
      </c>
      <c r="R104" s="31" t="s">
        <v>87</v>
      </c>
      <c r="S104" s="32">
        <v>205</v>
      </c>
      <c r="T104" s="31" t="s">
        <v>191</v>
      </c>
      <c r="U104" s="32" t="s">
        <v>128</v>
      </c>
      <c r="V104" s="31" t="s">
        <v>192</v>
      </c>
      <c r="W104" s="32" t="s">
        <v>264</v>
      </c>
      <c r="X104" s="31" t="s">
        <v>194</v>
      </c>
      <c r="Y104" s="32">
        <v>15</v>
      </c>
      <c r="Z104" s="31" t="s">
        <v>1064</v>
      </c>
      <c r="AA104" s="32">
        <v>79</v>
      </c>
      <c r="AB104" s="31" t="s">
        <v>16</v>
      </c>
      <c r="AC104" s="19" t="s">
        <v>553</v>
      </c>
      <c r="AD104" s="31" t="s">
        <v>1065</v>
      </c>
      <c r="AE104" s="35" t="s">
        <v>193</v>
      </c>
      <c r="AF104" s="41" t="s">
        <v>558</v>
      </c>
      <c r="AG104" s="19" t="s">
        <v>1081</v>
      </c>
      <c r="AH104" s="41" t="s">
        <v>559</v>
      </c>
      <c r="AI104" s="19" t="s">
        <v>1085</v>
      </c>
      <c r="AJ104" s="41" t="s">
        <v>1066</v>
      </c>
      <c r="AK104" s="19" t="s">
        <v>1067</v>
      </c>
    </row>
    <row r="105" spans="1:37" ht="6.6" customHeight="1" x14ac:dyDescent="0.25">
      <c r="A105" s="16">
        <v>105</v>
      </c>
      <c r="B105" s="17" t="s">
        <v>476</v>
      </c>
      <c r="C105" s="18" t="s">
        <v>627</v>
      </c>
      <c r="D105" s="29" t="s">
        <v>564</v>
      </c>
      <c r="E105" s="30" t="s">
        <v>555</v>
      </c>
      <c r="F105" s="36" t="s">
        <v>9</v>
      </c>
      <c r="G105" s="37" t="s">
        <v>9</v>
      </c>
      <c r="H105" s="36" t="s">
        <v>9</v>
      </c>
      <c r="I105" s="37" t="s">
        <v>9</v>
      </c>
      <c r="J105" s="31" t="s">
        <v>84</v>
      </c>
      <c r="K105" s="61" t="s">
        <v>349</v>
      </c>
      <c r="L105" s="31" t="s">
        <v>9</v>
      </c>
      <c r="M105" s="60" t="s">
        <v>9</v>
      </c>
      <c r="N105" s="31" t="s">
        <v>9</v>
      </c>
      <c r="O105" s="60" t="s">
        <v>9</v>
      </c>
      <c r="P105" s="31" t="s">
        <v>86</v>
      </c>
      <c r="Q105" s="32">
        <v>353</v>
      </c>
      <c r="R105" s="31" t="s">
        <v>87</v>
      </c>
      <c r="S105" s="32">
        <v>254</v>
      </c>
      <c r="T105" s="31" t="s">
        <v>191</v>
      </c>
      <c r="U105" s="32" t="s">
        <v>265</v>
      </c>
      <c r="V105" s="31" t="s">
        <v>192</v>
      </c>
      <c r="W105" s="32" t="s">
        <v>153</v>
      </c>
      <c r="X105" s="31" t="s">
        <v>194</v>
      </c>
      <c r="Y105" s="32" t="s">
        <v>236</v>
      </c>
      <c r="Z105" s="31" t="s">
        <v>1064</v>
      </c>
      <c r="AA105" s="32">
        <v>91</v>
      </c>
      <c r="AB105" s="31" t="s">
        <v>16</v>
      </c>
      <c r="AC105" s="19" t="s">
        <v>553</v>
      </c>
      <c r="AD105" s="31" t="s">
        <v>1065</v>
      </c>
      <c r="AE105" s="35" t="s">
        <v>193</v>
      </c>
      <c r="AF105" s="41" t="s">
        <v>558</v>
      </c>
      <c r="AG105" s="19" t="s">
        <v>1081</v>
      </c>
      <c r="AH105" s="41" t="s">
        <v>559</v>
      </c>
      <c r="AI105" s="19" t="s">
        <v>1085</v>
      </c>
      <c r="AJ105" s="41" t="s">
        <v>1066</v>
      </c>
      <c r="AK105" s="19" t="s">
        <v>1067</v>
      </c>
    </row>
    <row r="106" spans="1:37" ht="6.6" customHeight="1" x14ac:dyDescent="0.25">
      <c r="A106" s="16">
        <v>106</v>
      </c>
      <c r="B106" s="17" t="s">
        <v>477</v>
      </c>
      <c r="C106" s="18" t="s">
        <v>627</v>
      </c>
      <c r="D106" s="29" t="s">
        <v>564</v>
      </c>
      <c r="E106" s="30" t="s">
        <v>555</v>
      </c>
      <c r="F106" s="36" t="s">
        <v>9</v>
      </c>
      <c r="G106" s="37" t="s">
        <v>9</v>
      </c>
      <c r="H106" s="36" t="s">
        <v>9</v>
      </c>
      <c r="I106" s="37" t="s">
        <v>9</v>
      </c>
      <c r="J106" s="31" t="s">
        <v>84</v>
      </c>
      <c r="K106" s="61" t="s">
        <v>350</v>
      </c>
      <c r="L106" s="31" t="s">
        <v>9</v>
      </c>
      <c r="M106" s="60" t="s">
        <v>9</v>
      </c>
      <c r="N106" s="31" t="s">
        <v>9</v>
      </c>
      <c r="O106" s="60" t="s">
        <v>9</v>
      </c>
      <c r="P106" s="31" t="s">
        <v>86</v>
      </c>
      <c r="Q106" s="32">
        <v>399</v>
      </c>
      <c r="R106" s="31" t="s">
        <v>87</v>
      </c>
      <c r="S106" s="32">
        <v>140</v>
      </c>
      <c r="T106" s="31" t="s">
        <v>191</v>
      </c>
      <c r="U106" s="32" t="s">
        <v>197</v>
      </c>
      <c r="V106" s="31" t="s">
        <v>192</v>
      </c>
      <c r="W106" s="32" t="s">
        <v>266</v>
      </c>
      <c r="X106" s="31" t="s">
        <v>194</v>
      </c>
      <c r="Y106" s="32" t="s">
        <v>267</v>
      </c>
      <c r="Z106" s="31" t="s">
        <v>1064</v>
      </c>
      <c r="AA106" s="32">
        <v>38</v>
      </c>
      <c r="AB106" s="31" t="s">
        <v>16</v>
      </c>
      <c r="AC106" s="19" t="s">
        <v>553</v>
      </c>
      <c r="AD106" s="31" t="s">
        <v>1065</v>
      </c>
      <c r="AE106" s="35" t="s">
        <v>193</v>
      </c>
      <c r="AF106" s="41" t="s">
        <v>558</v>
      </c>
      <c r="AG106" s="19" t="s">
        <v>1081</v>
      </c>
      <c r="AH106" s="41" t="s">
        <v>559</v>
      </c>
      <c r="AI106" s="19" t="s">
        <v>1085</v>
      </c>
      <c r="AJ106" s="41" t="s">
        <v>1066</v>
      </c>
      <c r="AK106" s="19" t="s">
        <v>1067</v>
      </c>
    </row>
    <row r="107" spans="1:37" ht="6.6" customHeight="1" x14ac:dyDescent="0.25">
      <c r="A107" s="16">
        <v>107</v>
      </c>
      <c r="B107" s="17" t="s">
        <v>478</v>
      </c>
      <c r="C107" s="18" t="s">
        <v>627</v>
      </c>
      <c r="D107" s="29" t="s">
        <v>564</v>
      </c>
      <c r="E107" s="30" t="s">
        <v>555</v>
      </c>
      <c r="F107" s="36" t="s">
        <v>9</v>
      </c>
      <c r="G107" s="37" t="s">
        <v>9</v>
      </c>
      <c r="H107" s="36" t="s">
        <v>9</v>
      </c>
      <c r="I107" s="37" t="s">
        <v>9</v>
      </c>
      <c r="J107" s="31" t="s">
        <v>84</v>
      </c>
      <c r="K107" s="61" t="s">
        <v>351</v>
      </c>
      <c r="L107" s="31" t="s">
        <v>9</v>
      </c>
      <c r="M107" s="60" t="s">
        <v>9</v>
      </c>
      <c r="N107" s="31" t="s">
        <v>9</v>
      </c>
      <c r="O107" s="60" t="s">
        <v>9</v>
      </c>
      <c r="P107" s="31" t="s">
        <v>86</v>
      </c>
      <c r="Q107" s="32">
        <v>403</v>
      </c>
      <c r="R107" s="31" t="s">
        <v>87</v>
      </c>
      <c r="S107" s="32">
        <v>140</v>
      </c>
      <c r="T107" s="31" t="s">
        <v>191</v>
      </c>
      <c r="U107" s="32" t="s">
        <v>268</v>
      </c>
      <c r="V107" s="31" t="s">
        <v>192</v>
      </c>
      <c r="W107" s="32" t="s">
        <v>232</v>
      </c>
      <c r="X107" s="31" t="s">
        <v>194</v>
      </c>
      <c r="Y107" s="32" t="s">
        <v>102</v>
      </c>
      <c r="Z107" s="31" t="s">
        <v>1064</v>
      </c>
      <c r="AA107" s="32">
        <v>46</v>
      </c>
      <c r="AB107" s="31" t="s">
        <v>16</v>
      </c>
      <c r="AC107" s="19" t="s">
        <v>553</v>
      </c>
      <c r="AD107" s="31" t="s">
        <v>1065</v>
      </c>
      <c r="AE107" s="35" t="s">
        <v>193</v>
      </c>
      <c r="AF107" s="41" t="s">
        <v>558</v>
      </c>
      <c r="AG107" s="19" t="s">
        <v>1081</v>
      </c>
      <c r="AH107" s="41" t="s">
        <v>559</v>
      </c>
      <c r="AI107" s="19" t="s">
        <v>1085</v>
      </c>
      <c r="AJ107" s="41" t="s">
        <v>1066</v>
      </c>
      <c r="AK107" s="19" t="s">
        <v>1067</v>
      </c>
    </row>
    <row r="108" spans="1:37" ht="6.6" customHeight="1" x14ac:dyDescent="0.25">
      <c r="A108" s="16">
        <v>108</v>
      </c>
      <c r="B108" s="17" t="s">
        <v>479</v>
      </c>
      <c r="C108" s="18" t="s">
        <v>627</v>
      </c>
      <c r="D108" s="29" t="s">
        <v>564</v>
      </c>
      <c r="E108" s="30" t="s">
        <v>555</v>
      </c>
      <c r="F108" s="36" t="s">
        <v>9</v>
      </c>
      <c r="G108" s="37" t="s">
        <v>9</v>
      </c>
      <c r="H108" s="36" t="s">
        <v>9</v>
      </c>
      <c r="I108" s="37" t="s">
        <v>9</v>
      </c>
      <c r="J108" s="31" t="s">
        <v>84</v>
      </c>
      <c r="K108" s="61" t="s">
        <v>352</v>
      </c>
      <c r="L108" s="31" t="s">
        <v>9</v>
      </c>
      <c r="M108" s="60" t="s">
        <v>9</v>
      </c>
      <c r="N108" s="31" t="s">
        <v>9</v>
      </c>
      <c r="O108" s="60" t="s">
        <v>9</v>
      </c>
      <c r="P108" s="31" t="s">
        <v>86</v>
      </c>
      <c r="Q108" s="32">
        <v>403</v>
      </c>
      <c r="R108" s="31" t="s">
        <v>87</v>
      </c>
      <c r="S108" s="32">
        <v>177</v>
      </c>
      <c r="T108" s="31" t="s">
        <v>191</v>
      </c>
      <c r="U108" s="32" t="s">
        <v>269</v>
      </c>
      <c r="V108" s="31" t="s">
        <v>192</v>
      </c>
      <c r="W108" s="32" t="s">
        <v>146</v>
      </c>
      <c r="X108" s="31" t="s">
        <v>194</v>
      </c>
      <c r="Y108" s="32" t="s">
        <v>102</v>
      </c>
      <c r="Z108" s="31" t="s">
        <v>1064</v>
      </c>
      <c r="AA108" s="32">
        <v>53</v>
      </c>
      <c r="AB108" s="31" t="s">
        <v>16</v>
      </c>
      <c r="AC108" s="19" t="s">
        <v>553</v>
      </c>
      <c r="AD108" s="31" t="s">
        <v>1065</v>
      </c>
      <c r="AE108" s="35" t="s">
        <v>193</v>
      </c>
      <c r="AF108" s="41" t="s">
        <v>558</v>
      </c>
      <c r="AG108" s="19" t="s">
        <v>1081</v>
      </c>
      <c r="AH108" s="41" t="s">
        <v>559</v>
      </c>
      <c r="AI108" s="19" t="s">
        <v>1085</v>
      </c>
      <c r="AJ108" s="41" t="s">
        <v>1066</v>
      </c>
      <c r="AK108" s="19" t="s">
        <v>1067</v>
      </c>
    </row>
    <row r="109" spans="1:37" ht="6.6" customHeight="1" x14ac:dyDescent="0.25">
      <c r="A109" s="16">
        <v>109</v>
      </c>
      <c r="B109" s="17" t="s">
        <v>480</v>
      </c>
      <c r="C109" s="18" t="s">
        <v>627</v>
      </c>
      <c r="D109" s="29" t="s">
        <v>564</v>
      </c>
      <c r="E109" s="30" t="s">
        <v>555</v>
      </c>
      <c r="F109" s="36" t="s">
        <v>9</v>
      </c>
      <c r="G109" s="37" t="s">
        <v>9</v>
      </c>
      <c r="H109" s="36" t="s">
        <v>9</v>
      </c>
      <c r="I109" s="37" t="s">
        <v>9</v>
      </c>
      <c r="J109" s="31" t="s">
        <v>84</v>
      </c>
      <c r="K109" s="61" t="s">
        <v>353</v>
      </c>
      <c r="L109" s="31" t="s">
        <v>9</v>
      </c>
      <c r="M109" s="60" t="s">
        <v>9</v>
      </c>
      <c r="N109" s="31" t="s">
        <v>9</v>
      </c>
      <c r="O109" s="60" t="s">
        <v>9</v>
      </c>
      <c r="P109" s="31" t="s">
        <v>86</v>
      </c>
      <c r="Q109" s="32">
        <v>407</v>
      </c>
      <c r="R109" s="31" t="s">
        <v>87</v>
      </c>
      <c r="S109" s="32">
        <v>178</v>
      </c>
      <c r="T109" s="31" t="s">
        <v>191</v>
      </c>
      <c r="U109" s="32" t="s">
        <v>262</v>
      </c>
      <c r="V109" s="31" t="s">
        <v>192</v>
      </c>
      <c r="W109" s="32" t="s">
        <v>234</v>
      </c>
      <c r="X109" s="31" t="s">
        <v>194</v>
      </c>
      <c r="Y109" s="32" t="s">
        <v>102</v>
      </c>
      <c r="Z109" s="31" t="s">
        <v>1064</v>
      </c>
      <c r="AA109" s="32">
        <v>60</v>
      </c>
      <c r="AB109" s="31" t="s">
        <v>16</v>
      </c>
      <c r="AC109" s="19" t="s">
        <v>553</v>
      </c>
      <c r="AD109" s="31" t="s">
        <v>1065</v>
      </c>
      <c r="AE109" s="35" t="s">
        <v>193</v>
      </c>
      <c r="AF109" s="41" t="s">
        <v>558</v>
      </c>
      <c r="AG109" s="19" t="s">
        <v>1081</v>
      </c>
      <c r="AH109" s="41" t="s">
        <v>559</v>
      </c>
      <c r="AI109" s="19" t="s">
        <v>1085</v>
      </c>
      <c r="AJ109" s="41" t="s">
        <v>1066</v>
      </c>
      <c r="AK109" s="19" t="s">
        <v>1067</v>
      </c>
    </row>
    <row r="110" spans="1:37" ht="6.6" customHeight="1" x14ac:dyDescent="0.25">
      <c r="A110" s="16">
        <v>110</v>
      </c>
      <c r="B110" s="17" t="s">
        <v>481</v>
      </c>
      <c r="C110" s="18" t="s">
        <v>627</v>
      </c>
      <c r="D110" s="29" t="s">
        <v>564</v>
      </c>
      <c r="E110" s="30" t="s">
        <v>555</v>
      </c>
      <c r="F110" s="36" t="s">
        <v>9</v>
      </c>
      <c r="G110" s="37" t="s">
        <v>9</v>
      </c>
      <c r="H110" s="36" t="s">
        <v>9</v>
      </c>
      <c r="I110" s="37" t="s">
        <v>9</v>
      </c>
      <c r="J110" s="31" t="s">
        <v>84</v>
      </c>
      <c r="K110" s="61" t="s">
        <v>354</v>
      </c>
      <c r="L110" s="31" t="s">
        <v>9</v>
      </c>
      <c r="M110" s="60" t="s">
        <v>9</v>
      </c>
      <c r="N110" s="31" t="s">
        <v>9</v>
      </c>
      <c r="O110" s="60" t="s">
        <v>9</v>
      </c>
      <c r="P110" s="31" t="s">
        <v>86</v>
      </c>
      <c r="Q110" s="32">
        <v>410</v>
      </c>
      <c r="R110" s="31" t="s">
        <v>87</v>
      </c>
      <c r="S110" s="32">
        <v>179</v>
      </c>
      <c r="T110" s="31" t="s">
        <v>191</v>
      </c>
      <c r="U110" s="32" t="s">
        <v>266</v>
      </c>
      <c r="V110" s="31" t="s">
        <v>192</v>
      </c>
      <c r="W110" s="32" t="s">
        <v>131</v>
      </c>
      <c r="X110" s="31" t="s">
        <v>194</v>
      </c>
      <c r="Y110" s="32" t="s">
        <v>102</v>
      </c>
      <c r="Z110" s="31" t="s">
        <v>1064</v>
      </c>
      <c r="AA110" s="32">
        <v>67</v>
      </c>
      <c r="AB110" s="31" t="s">
        <v>16</v>
      </c>
      <c r="AC110" s="19" t="s">
        <v>553</v>
      </c>
      <c r="AD110" s="31" t="s">
        <v>1065</v>
      </c>
      <c r="AE110" s="35" t="s">
        <v>193</v>
      </c>
      <c r="AF110" s="41" t="s">
        <v>558</v>
      </c>
      <c r="AG110" s="19" t="s">
        <v>1081</v>
      </c>
      <c r="AH110" s="41" t="s">
        <v>559</v>
      </c>
      <c r="AI110" s="19" t="s">
        <v>1085</v>
      </c>
      <c r="AJ110" s="41" t="s">
        <v>1066</v>
      </c>
      <c r="AK110" s="19" t="s">
        <v>1067</v>
      </c>
    </row>
    <row r="111" spans="1:37" ht="6.6" customHeight="1" x14ac:dyDescent="0.25">
      <c r="A111" s="16">
        <v>111</v>
      </c>
      <c r="B111" s="17" t="s">
        <v>482</v>
      </c>
      <c r="C111" s="18" t="s">
        <v>627</v>
      </c>
      <c r="D111" s="29" t="s">
        <v>564</v>
      </c>
      <c r="E111" s="30" t="s">
        <v>555</v>
      </c>
      <c r="F111" s="36" t="s">
        <v>9</v>
      </c>
      <c r="G111" s="37" t="s">
        <v>9</v>
      </c>
      <c r="H111" s="36" t="s">
        <v>9</v>
      </c>
      <c r="I111" s="37" t="s">
        <v>9</v>
      </c>
      <c r="J111" s="31" t="s">
        <v>84</v>
      </c>
      <c r="K111" s="61" t="s">
        <v>355</v>
      </c>
      <c r="L111" s="31" t="s">
        <v>9</v>
      </c>
      <c r="M111" s="60" t="s">
        <v>9</v>
      </c>
      <c r="N111" s="31" t="s">
        <v>9</v>
      </c>
      <c r="O111" s="60" t="s">
        <v>9</v>
      </c>
      <c r="P111" s="31" t="s">
        <v>86</v>
      </c>
      <c r="Q111" s="32">
        <v>413</v>
      </c>
      <c r="R111" s="31" t="s">
        <v>87</v>
      </c>
      <c r="S111" s="32">
        <v>180</v>
      </c>
      <c r="T111" s="31" t="s">
        <v>191</v>
      </c>
      <c r="U111" s="32" t="s">
        <v>250</v>
      </c>
      <c r="V111" s="31" t="s">
        <v>192</v>
      </c>
      <c r="W111" s="32">
        <v>16</v>
      </c>
      <c r="X111" s="31" t="s">
        <v>194</v>
      </c>
      <c r="Y111" s="32" t="s">
        <v>102</v>
      </c>
      <c r="Z111" s="31" t="s">
        <v>1064</v>
      </c>
      <c r="AA111" s="32">
        <v>75</v>
      </c>
      <c r="AB111" s="31" t="s">
        <v>16</v>
      </c>
      <c r="AC111" s="19" t="s">
        <v>553</v>
      </c>
      <c r="AD111" s="31" t="s">
        <v>1065</v>
      </c>
      <c r="AE111" s="35" t="s">
        <v>193</v>
      </c>
      <c r="AF111" s="41" t="s">
        <v>558</v>
      </c>
      <c r="AG111" s="19" t="s">
        <v>1081</v>
      </c>
      <c r="AH111" s="41" t="s">
        <v>559</v>
      </c>
      <c r="AI111" s="19" t="s">
        <v>1085</v>
      </c>
      <c r="AJ111" s="41" t="s">
        <v>1066</v>
      </c>
      <c r="AK111" s="19" t="s">
        <v>1067</v>
      </c>
    </row>
    <row r="112" spans="1:37" ht="6.6" customHeight="1" x14ac:dyDescent="0.25">
      <c r="A112" s="16">
        <v>112</v>
      </c>
      <c r="B112" s="17" t="s">
        <v>483</v>
      </c>
      <c r="C112" s="18" t="s">
        <v>627</v>
      </c>
      <c r="D112" s="29" t="s">
        <v>564</v>
      </c>
      <c r="E112" s="30" t="s">
        <v>555</v>
      </c>
      <c r="F112" s="36" t="s">
        <v>9</v>
      </c>
      <c r="G112" s="37" t="s">
        <v>9</v>
      </c>
      <c r="H112" s="36" t="s">
        <v>9</v>
      </c>
      <c r="I112" s="37" t="s">
        <v>9</v>
      </c>
      <c r="J112" s="31" t="s">
        <v>84</v>
      </c>
      <c r="K112" s="61" t="s">
        <v>356</v>
      </c>
      <c r="L112" s="31" t="s">
        <v>9</v>
      </c>
      <c r="M112" s="60" t="s">
        <v>9</v>
      </c>
      <c r="N112" s="31" t="s">
        <v>9</v>
      </c>
      <c r="O112" s="60" t="s">
        <v>9</v>
      </c>
      <c r="P112" s="31" t="s">
        <v>86</v>
      </c>
      <c r="Q112" s="32">
        <v>417</v>
      </c>
      <c r="R112" s="31" t="s">
        <v>87</v>
      </c>
      <c r="S112" s="32">
        <v>181</v>
      </c>
      <c r="T112" s="31" t="s">
        <v>191</v>
      </c>
      <c r="U112" s="32" t="s">
        <v>146</v>
      </c>
      <c r="V112" s="31" t="s">
        <v>192</v>
      </c>
      <c r="W112" s="32" t="s">
        <v>270</v>
      </c>
      <c r="X112" s="31" t="s">
        <v>194</v>
      </c>
      <c r="Y112" s="32" t="s">
        <v>102</v>
      </c>
      <c r="Z112" s="31" t="s">
        <v>1064</v>
      </c>
      <c r="AA112" s="32">
        <v>85</v>
      </c>
      <c r="AB112" s="31" t="s">
        <v>16</v>
      </c>
      <c r="AC112" s="19" t="s">
        <v>553</v>
      </c>
      <c r="AD112" s="31" t="s">
        <v>1065</v>
      </c>
      <c r="AE112" s="35" t="s">
        <v>193</v>
      </c>
      <c r="AF112" s="41" t="s">
        <v>558</v>
      </c>
      <c r="AG112" s="19" t="s">
        <v>1081</v>
      </c>
      <c r="AH112" s="41" t="s">
        <v>559</v>
      </c>
      <c r="AI112" s="19" t="s">
        <v>1085</v>
      </c>
      <c r="AJ112" s="41" t="s">
        <v>1066</v>
      </c>
      <c r="AK112" s="19" t="s">
        <v>1067</v>
      </c>
    </row>
    <row r="113" spans="1:37" ht="6.6" customHeight="1" x14ac:dyDescent="0.25">
      <c r="A113" s="16">
        <v>113</v>
      </c>
      <c r="B113" s="17" t="s">
        <v>484</v>
      </c>
      <c r="C113" s="18" t="s">
        <v>627</v>
      </c>
      <c r="D113" s="29" t="s">
        <v>564</v>
      </c>
      <c r="E113" s="30" t="s">
        <v>555</v>
      </c>
      <c r="F113" s="36" t="s">
        <v>9</v>
      </c>
      <c r="G113" s="37" t="s">
        <v>9</v>
      </c>
      <c r="H113" s="36" t="s">
        <v>9</v>
      </c>
      <c r="I113" s="37" t="s">
        <v>9</v>
      </c>
      <c r="J113" s="31" t="s">
        <v>84</v>
      </c>
      <c r="K113" s="61" t="s">
        <v>357</v>
      </c>
      <c r="L113" s="31" t="s">
        <v>9</v>
      </c>
      <c r="M113" s="60" t="s">
        <v>9</v>
      </c>
      <c r="N113" s="31" t="s">
        <v>9</v>
      </c>
      <c r="O113" s="60" t="s">
        <v>9</v>
      </c>
      <c r="P113" s="31" t="s">
        <v>86</v>
      </c>
      <c r="Q113" s="32">
        <v>469</v>
      </c>
      <c r="R113" s="31" t="s">
        <v>87</v>
      </c>
      <c r="S113" s="32">
        <v>194</v>
      </c>
      <c r="T113" s="31" t="s">
        <v>191</v>
      </c>
      <c r="U113" s="32" t="s">
        <v>112</v>
      </c>
      <c r="V113" s="31" t="s">
        <v>192</v>
      </c>
      <c r="W113" s="32" t="s">
        <v>121</v>
      </c>
      <c r="X113" s="31" t="s">
        <v>194</v>
      </c>
      <c r="Y113" s="32" t="s">
        <v>209</v>
      </c>
      <c r="Z113" s="31" t="s">
        <v>1064</v>
      </c>
      <c r="AA113" s="32">
        <v>106</v>
      </c>
      <c r="AB113" s="31" t="s">
        <v>16</v>
      </c>
      <c r="AC113" s="19" t="s">
        <v>553</v>
      </c>
      <c r="AD113" s="31" t="s">
        <v>1065</v>
      </c>
      <c r="AE113" s="35" t="s">
        <v>193</v>
      </c>
      <c r="AF113" s="41" t="s">
        <v>558</v>
      </c>
      <c r="AG113" s="19" t="s">
        <v>1081</v>
      </c>
      <c r="AH113" s="41" t="s">
        <v>559</v>
      </c>
      <c r="AI113" s="19" t="s">
        <v>1085</v>
      </c>
      <c r="AJ113" s="41" t="s">
        <v>1066</v>
      </c>
      <c r="AK113" s="19" t="s">
        <v>1067</v>
      </c>
    </row>
    <row r="114" spans="1:37" ht="6.6" customHeight="1" x14ac:dyDescent="0.25">
      <c r="A114" s="16">
        <v>114</v>
      </c>
      <c r="B114" s="17" t="s">
        <v>485</v>
      </c>
      <c r="C114" s="18" t="s">
        <v>627</v>
      </c>
      <c r="D114" s="29" t="s">
        <v>564</v>
      </c>
      <c r="E114" s="30" t="s">
        <v>555</v>
      </c>
      <c r="F114" s="36" t="s">
        <v>9</v>
      </c>
      <c r="G114" s="37" t="s">
        <v>9</v>
      </c>
      <c r="H114" s="36" t="s">
        <v>9</v>
      </c>
      <c r="I114" s="37" t="s">
        <v>9</v>
      </c>
      <c r="J114" s="31" t="s">
        <v>84</v>
      </c>
      <c r="K114" s="61" t="s">
        <v>358</v>
      </c>
      <c r="L114" s="31" t="s">
        <v>9</v>
      </c>
      <c r="M114" s="60" t="s">
        <v>9</v>
      </c>
      <c r="N114" s="31" t="s">
        <v>9</v>
      </c>
      <c r="O114" s="60" t="s">
        <v>9</v>
      </c>
      <c r="P114" s="31" t="s">
        <v>86</v>
      </c>
      <c r="Q114" s="32">
        <v>450</v>
      </c>
      <c r="R114" s="31" t="s">
        <v>87</v>
      </c>
      <c r="S114" s="32">
        <v>152</v>
      </c>
      <c r="T114" s="31" t="s">
        <v>191</v>
      </c>
      <c r="U114" s="32" t="s">
        <v>213</v>
      </c>
      <c r="V114" s="31" t="s">
        <v>192</v>
      </c>
      <c r="W114" s="32" t="s">
        <v>249</v>
      </c>
      <c r="X114" s="31" t="s">
        <v>194</v>
      </c>
      <c r="Y114" s="32" t="s">
        <v>102</v>
      </c>
      <c r="Z114" s="31" t="s">
        <v>1064</v>
      </c>
      <c r="AA114" s="32">
        <v>52</v>
      </c>
      <c r="AB114" s="31" t="s">
        <v>16</v>
      </c>
      <c r="AC114" s="19" t="s">
        <v>553</v>
      </c>
      <c r="AD114" s="31" t="s">
        <v>1065</v>
      </c>
      <c r="AE114" s="35" t="s">
        <v>193</v>
      </c>
      <c r="AF114" s="41" t="s">
        <v>558</v>
      </c>
      <c r="AG114" s="19" t="s">
        <v>1081</v>
      </c>
      <c r="AH114" s="41" t="s">
        <v>559</v>
      </c>
      <c r="AI114" s="19" t="s">
        <v>1085</v>
      </c>
      <c r="AJ114" s="41" t="s">
        <v>1066</v>
      </c>
      <c r="AK114" s="19" t="s">
        <v>1067</v>
      </c>
    </row>
    <row r="115" spans="1:37" ht="6.6" customHeight="1" x14ac:dyDescent="0.25">
      <c r="A115" s="16">
        <v>115</v>
      </c>
      <c r="B115" s="17" t="s">
        <v>486</v>
      </c>
      <c r="C115" s="18" t="s">
        <v>627</v>
      </c>
      <c r="D115" s="29" t="s">
        <v>564</v>
      </c>
      <c r="E115" s="30" t="s">
        <v>555</v>
      </c>
      <c r="F115" s="36" t="s">
        <v>9</v>
      </c>
      <c r="G115" s="37" t="s">
        <v>9</v>
      </c>
      <c r="H115" s="36" t="s">
        <v>9</v>
      </c>
      <c r="I115" s="37" t="s">
        <v>9</v>
      </c>
      <c r="J115" s="31" t="s">
        <v>84</v>
      </c>
      <c r="K115" s="61" t="s">
        <v>359</v>
      </c>
      <c r="L115" s="31" t="s">
        <v>9</v>
      </c>
      <c r="M115" s="60" t="s">
        <v>9</v>
      </c>
      <c r="N115" s="31" t="s">
        <v>9</v>
      </c>
      <c r="O115" s="60" t="s">
        <v>9</v>
      </c>
      <c r="P115" s="31" t="s">
        <v>86</v>
      </c>
      <c r="Q115" s="32">
        <v>455</v>
      </c>
      <c r="R115" s="31" t="s">
        <v>87</v>
      </c>
      <c r="S115" s="32">
        <v>153</v>
      </c>
      <c r="T115" s="31" t="s">
        <v>191</v>
      </c>
      <c r="U115" s="32">
        <v>8</v>
      </c>
      <c r="V115" s="31" t="s">
        <v>192</v>
      </c>
      <c r="W115" s="32" t="s">
        <v>271</v>
      </c>
      <c r="X115" s="31" t="s">
        <v>194</v>
      </c>
      <c r="Y115" s="32" t="s">
        <v>102</v>
      </c>
      <c r="Z115" s="31" t="s">
        <v>1064</v>
      </c>
      <c r="AA115" s="32">
        <v>60</v>
      </c>
      <c r="AB115" s="31" t="s">
        <v>16</v>
      </c>
      <c r="AC115" s="19" t="s">
        <v>553</v>
      </c>
      <c r="AD115" s="31" t="s">
        <v>1065</v>
      </c>
      <c r="AE115" s="35" t="s">
        <v>193</v>
      </c>
      <c r="AF115" s="41" t="s">
        <v>558</v>
      </c>
      <c r="AG115" s="19" t="s">
        <v>1081</v>
      </c>
      <c r="AH115" s="41" t="s">
        <v>559</v>
      </c>
      <c r="AI115" s="19" t="s">
        <v>1085</v>
      </c>
      <c r="AJ115" s="41" t="s">
        <v>1066</v>
      </c>
      <c r="AK115" s="19" t="s">
        <v>1067</v>
      </c>
    </row>
    <row r="116" spans="1:37" ht="6.6" customHeight="1" x14ac:dyDescent="0.25">
      <c r="A116" s="16">
        <v>116</v>
      </c>
      <c r="B116" s="17" t="s">
        <v>487</v>
      </c>
      <c r="C116" s="18" t="s">
        <v>627</v>
      </c>
      <c r="D116" s="29" t="s">
        <v>564</v>
      </c>
      <c r="E116" s="30" t="s">
        <v>555</v>
      </c>
      <c r="F116" s="36" t="s">
        <v>9</v>
      </c>
      <c r="G116" s="37" t="s">
        <v>9</v>
      </c>
      <c r="H116" s="36" t="s">
        <v>9</v>
      </c>
      <c r="I116" s="37" t="s">
        <v>9</v>
      </c>
      <c r="J116" s="31" t="s">
        <v>84</v>
      </c>
      <c r="K116" s="61" t="s">
        <v>360</v>
      </c>
      <c r="L116" s="31" t="s">
        <v>9</v>
      </c>
      <c r="M116" s="60" t="s">
        <v>9</v>
      </c>
      <c r="N116" s="31" t="s">
        <v>9</v>
      </c>
      <c r="O116" s="60" t="s">
        <v>9</v>
      </c>
      <c r="P116" s="31" t="s">
        <v>86</v>
      </c>
      <c r="Q116" s="32">
        <v>459</v>
      </c>
      <c r="R116" s="31" t="s">
        <v>87</v>
      </c>
      <c r="S116" s="32">
        <v>154</v>
      </c>
      <c r="T116" s="31" t="s">
        <v>191</v>
      </c>
      <c r="U116" s="32" t="s">
        <v>218</v>
      </c>
      <c r="V116" s="31" t="s">
        <v>192</v>
      </c>
      <c r="W116" s="32" t="s">
        <v>144</v>
      </c>
      <c r="X116" s="31" t="s">
        <v>194</v>
      </c>
      <c r="Y116" s="32" t="s">
        <v>202</v>
      </c>
      <c r="Z116" s="31" t="s">
        <v>1064</v>
      </c>
      <c r="AA116" s="32">
        <v>68</v>
      </c>
      <c r="AB116" s="31" t="s">
        <v>16</v>
      </c>
      <c r="AC116" s="19" t="s">
        <v>553</v>
      </c>
      <c r="AD116" s="31" t="s">
        <v>1065</v>
      </c>
      <c r="AE116" s="35" t="s">
        <v>193</v>
      </c>
      <c r="AF116" s="41" t="s">
        <v>558</v>
      </c>
      <c r="AG116" s="19" t="s">
        <v>1081</v>
      </c>
      <c r="AH116" s="41" t="s">
        <v>559</v>
      </c>
      <c r="AI116" s="19" t="s">
        <v>1085</v>
      </c>
      <c r="AJ116" s="41" t="s">
        <v>1066</v>
      </c>
      <c r="AK116" s="19" t="s">
        <v>1067</v>
      </c>
    </row>
    <row r="117" spans="1:37" ht="6.6" customHeight="1" x14ac:dyDescent="0.25">
      <c r="A117" s="16">
        <v>117</v>
      </c>
      <c r="B117" s="17" t="s">
        <v>488</v>
      </c>
      <c r="C117" s="18" t="s">
        <v>627</v>
      </c>
      <c r="D117" s="29" t="s">
        <v>564</v>
      </c>
      <c r="E117" s="30" t="s">
        <v>555</v>
      </c>
      <c r="F117" s="36" t="s">
        <v>9</v>
      </c>
      <c r="G117" s="37" t="s">
        <v>9</v>
      </c>
      <c r="H117" s="36" t="s">
        <v>9</v>
      </c>
      <c r="I117" s="37" t="s">
        <v>9</v>
      </c>
      <c r="J117" s="31" t="s">
        <v>84</v>
      </c>
      <c r="K117" s="61" t="s">
        <v>361</v>
      </c>
      <c r="L117" s="31" t="s">
        <v>9</v>
      </c>
      <c r="M117" s="60" t="s">
        <v>9</v>
      </c>
      <c r="N117" s="31" t="s">
        <v>9</v>
      </c>
      <c r="O117" s="60" t="s">
        <v>9</v>
      </c>
      <c r="P117" s="31" t="s">
        <v>86</v>
      </c>
      <c r="Q117" s="32">
        <v>457</v>
      </c>
      <c r="R117" s="31" t="s">
        <v>87</v>
      </c>
      <c r="S117" s="32">
        <v>190</v>
      </c>
      <c r="T117" s="31" t="s">
        <v>191</v>
      </c>
      <c r="U117" s="32" t="s">
        <v>272</v>
      </c>
      <c r="V117" s="31" t="s">
        <v>192</v>
      </c>
      <c r="W117" s="32" t="s">
        <v>207</v>
      </c>
      <c r="X117" s="31" t="s">
        <v>194</v>
      </c>
      <c r="Y117" s="32" t="s">
        <v>102</v>
      </c>
      <c r="Z117" s="31" t="s">
        <v>1064</v>
      </c>
      <c r="AA117" s="32">
        <v>74</v>
      </c>
      <c r="AB117" s="31" t="s">
        <v>16</v>
      </c>
      <c r="AC117" s="19" t="s">
        <v>553</v>
      </c>
      <c r="AD117" s="31" t="s">
        <v>1065</v>
      </c>
      <c r="AE117" s="35" t="s">
        <v>193</v>
      </c>
      <c r="AF117" s="41" t="s">
        <v>558</v>
      </c>
      <c r="AG117" s="19" t="s">
        <v>1081</v>
      </c>
      <c r="AH117" s="41" t="s">
        <v>559</v>
      </c>
      <c r="AI117" s="19" t="s">
        <v>1085</v>
      </c>
      <c r="AJ117" s="41" t="s">
        <v>1066</v>
      </c>
      <c r="AK117" s="19" t="s">
        <v>1067</v>
      </c>
    </row>
    <row r="118" spans="1:37" ht="6.6" customHeight="1" x14ac:dyDescent="0.25">
      <c r="A118" s="16">
        <v>118</v>
      </c>
      <c r="B118" s="17" t="s">
        <v>489</v>
      </c>
      <c r="C118" s="18" t="s">
        <v>627</v>
      </c>
      <c r="D118" s="29" t="s">
        <v>564</v>
      </c>
      <c r="E118" s="30" t="s">
        <v>555</v>
      </c>
      <c r="F118" s="36" t="s">
        <v>9</v>
      </c>
      <c r="G118" s="37" t="s">
        <v>9</v>
      </c>
      <c r="H118" s="36" t="s">
        <v>9</v>
      </c>
      <c r="I118" s="37" t="s">
        <v>9</v>
      </c>
      <c r="J118" s="31" t="s">
        <v>84</v>
      </c>
      <c r="K118" s="61" t="s">
        <v>362</v>
      </c>
      <c r="L118" s="31" t="s">
        <v>9</v>
      </c>
      <c r="M118" s="60" t="s">
        <v>9</v>
      </c>
      <c r="N118" s="31" t="s">
        <v>9</v>
      </c>
      <c r="O118" s="60" t="s">
        <v>9</v>
      </c>
      <c r="P118" s="31" t="s">
        <v>86</v>
      </c>
      <c r="Q118" s="32">
        <v>460</v>
      </c>
      <c r="R118" s="31" t="s">
        <v>87</v>
      </c>
      <c r="S118" s="32">
        <v>191</v>
      </c>
      <c r="T118" s="31" t="s">
        <v>191</v>
      </c>
      <c r="U118" s="32" t="s">
        <v>257</v>
      </c>
      <c r="V118" s="31" t="s">
        <v>192</v>
      </c>
      <c r="W118" s="32">
        <v>16</v>
      </c>
      <c r="X118" s="31" t="s">
        <v>194</v>
      </c>
      <c r="Y118" s="32" t="s">
        <v>102</v>
      </c>
      <c r="Z118" s="31" t="s">
        <v>1064</v>
      </c>
      <c r="AA118" s="32">
        <v>82</v>
      </c>
      <c r="AB118" s="31" t="s">
        <v>16</v>
      </c>
      <c r="AC118" s="19" t="s">
        <v>553</v>
      </c>
      <c r="AD118" s="31" t="s">
        <v>1065</v>
      </c>
      <c r="AE118" s="35" t="s">
        <v>193</v>
      </c>
      <c r="AF118" s="41" t="s">
        <v>558</v>
      </c>
      <c r="AG118" s="19" t="s">
        <v>1081</v>
      </c>
      <c r="AH118" s="41" t="s">
        <v>559</v>
      </c>
      <c r="AI118" s="19" t="s">
        <v>1085</v>
      </c>
      <c r="AJ118" s="41" t="s">
        <v>1066</v>
      </c>
      <c r="AK118" s="19" t="s">
        <v>1067</v>
      </c>
    </row>
    <row r="119" spans="1:37" ht="6.6" customHeight="1" x14ac:dyDescent="0.25">
      <c r="A119" s="16">
        <v>119</v>
      </c>
      <c r="B119" s="17" t="s">
        <v>490</v>
      </c>
      <c r="C119" s="18" t="s">
        <v>627</v>
      </c>
      <c r="D119" s="29" t="s">
        <v>564</v>
      </c>
      <c r="E119" s="30" t="s">
        <v>555</v>
      </c>
      <c r="F119" s="36" t="s">
        <v>9</v>
      </c>
      <c r="G119" s="37" t="s">
        <v>9</v>
      </c>
      <c r="H119" s="36" t="s">
        <v>9</v>
      </c>
      <c r="I119" s="37" t="s">
        <v>9</v>
      </c>
      <c r="J119" s="31" t="s">
        <v>84</v>
      </c>
      <c r="K119" s="61" t="s">
        <v>363</v>
      </c>
      <c r="L119" s="31" t="s">
        <v>9</v>
      </c>
      <c r="M119" s="60" t="s">
        <v>9</v>
      </c>
      <c r="N119" s="31" t="s">
        <v>9</v>
      </c>
      <c r="O119" s="60" t="s">
        <v>9</v>
      </c>
      <c r="P119" s="31" t="s">
        <v>86</v>
      </c>
      <c r="Q119" s="32">
        <v>463</v>
      </c>
      <c r="R119" s="31" t="s">
        <v>87</v>
      </c>
      <c r="S119" s="32">
        <v>192</v>
      </c>
      <c r="T119" s="31" t="s">
        <v>191</v>
      </c>
      <c r="U119" s="32" t="s">
        <v>123</v>
      </c>
      <c r="V119" s="31" t="s">
        <v>192</v>
      </c>
      <c r="W119" s="32" t="s">
        <v>273</v>
      </c>
      <c r="X119" s="31" t="s">
        <v>194</v>
      </c>
      <c r="Y119" s="32" t="s">
        <v>102</v>
      </c>
      <c r="Z119" s="31" t="s">
        <v>1064</v>
      </c>
      <c r="AA119" s="32">
        <v>89</v>
      </c>
      <c r="AB119" s="31" t="s">
        <v>16</v>
      </c>
      <c r="AC119" s="19" t="s">
        <v>553</v>
      </c>
      <c r="AD119" s="31" t="s">
        <v>1065</v>
      </c>
      <c r="AE119" s="35" t="s">
        <v>193</v>
      </c>
      <c r="AF119" s="41" t="s">
        <v>558</v>
      </c>
      <c r="AG119" s="19" t="s">
        <v>1081</v>
      </c>
      <c r="AH119" s="41" t="s">
        <v>559</v>
      </c>
      <c r="AI119" s="19" t="s">
        <v>1085</v>
      </c>
      <c r="AJ119" s="41" t="s">
        <v>1066</v>
      </c>
      <c r="AK119" s="19" t="s">
        <v>1067</v>
      </c>
    </row>
    <row r="120" spans="1:37" ht="6.6" customHeight="1" x14ac:dyDescent="0.25">
      <c r="A120" s="16">
        <v>120</v>
      </c>
      <c r="B120" s="17" t="s">
        <v>491</v>
      </c>
      <c r="C120" s="18" t="s">
        <v>627</v>
      </c>
      <c r="D120" s="29" t="s">
        <v>564</v>
      </c>
      <c r="E120" s="30" t="s">
        <v>555</v>
      </c>
      <c r="F120" s="36" t="s">
        <v>9</v>
      </c>
      <c r="G120" s="37" t="s">
        <v>9</v>
      </c>
      <c r="H120" s="36" t="s">
        <v>9</v>
      </c>
      <c r="I120" s="37" t="s">
        <v>9</v>
      </c>
      <c r="J120" s="31" t="s">
        <v>84</v>
      </c>
      <c r="K120" s="61" t="s">
        <v>364</v>
      </c>
      <c r="L120" s="31" t="s">
        <v>9</v>
      </c>
      <c r="M120" s="60" t="s">
        <v>9</v>
      </c>
      <c r="N120" s="31" t="s">
        <v>9</v>
      </c>
      <c r="O120" s="60" t="s">
        <v>9</v>
      </c>
      <c r="P120" s="31" t="s">
        <v>86</v>
      </c>
      <c r="Q120" s="32">
        <v>466</v>
      </c>
      <c r="R120" s="31" t="s">
        <v>87</v>
      </c>
      <c r="S120" s="32">
        <v>193</v>
      </c>
      <c r="T120" s="31" t="s">
        <v>191</v>
      </c>
      <c r="U120" s="32" t="s">
        <v>157</v>
      </c>
      <c r="V120" s="31" t="s">
        <v>192</v>
      </c>
      <c r="W120" s="32" t="s">
        <v>274</v>
      </c>
      <c r="X120" s="31" t="s">
        <v>194</v>
      </c>
      <c r="Y120" s="32" t="s">
        <v>209</v>
      </c>
      <c r="Z120" s="31" t="s">
        <v>1064</v>
      </c>
      <c r="AA120" s="32">
        <v>97</v>
      </c>
      <c r="AB120" s="31" t="s">
        <v>16</v>
      </c>
      <c r="AC120" s="19" t="s">
        <v>553</v>
      </c>
      <c r="AD120" s="31" t="s">
        <v>1065</v>
      </c>
      <c r="AE120" s="35" t="s">
        <v>193</v>
      </c>
      <c r="AF120" s="41" t="s">
        <v>558</v>
      </c>
      <c r="AG120" s="19" t="s">
        <v>1081</v>
      </c>
      <c r="AH120" s="41" t="s">
        <v>559</v>
      </c>
      <c r="AI120" s="19" t="s">
        <v>1085</v>
      </c>
      <c r="AJ120" s="41" t="s">
        <v>1066</v>
      </c>
      <c r="AK120" s="19" t="s">
        <v>1067</v>
      </c>
    </row>
    <row r="121" spans="1:37" ht="6.6" customHeight="1" x14ac:dyDescent="0.25">
      <c r="A121" s="16">
        <v>121</v>
      </c>
      <c r="B121" s="17" t="s">
        <v>492</v>
      </c>
      <c r="C121" s="18" t="s">
        <v>627</v>
      </c>
      <c r="D121" s="29" t="s">
        <v>564</v>
      </c>
      <c r="E121" s="30" t="s">
        <v>555</v>
      </c>
      <c r="F121" s="36" t="s">
        <v>9</v>
      </c>
      <c r="G121" s="37" t="s">
        <v>9</v>
      </c>
      <c r="H121" s="36" t="s">
        <v>9</v>
      </c>
      <c r="I121" s="37" t="s">
        <v>9</v>
      </c>
      <c r="J121" s="31" t="s">
        <v>84</v>
      </c>
      <c r="K121" s="61" t="s">
        <v>365</v>
      </c>
      <c r="L121" s="31" t="s">
        <v>9</v>
      </c>
      <c r="M121" s="60" t="s">
        <v>9</v>
      </c>
      <c r="N121" s="31" t="s">
        <v>9</v>
      </c>
      <c r="O121" s="60" t="s">
        <v>9</v>
      </c>
      <c r="P121" s="31" t="s">
        <v>86</v>
      </c>
      <c r="Q121" s="32">
        <v>537</v>
      </c>
      <c r="R121" s="31" t="s">
        <v>87</v>
      </c>
      <c r="S121" s="32">
        <v>210</v>
      </c>
      <c r="T121" s="31" t="s">
        <v>191</v>
      </c>
      <c r="U121" s="32" t="s">
        <v>146</v>
      </c>
      <c r="V121" s="31" t="s">
        <v>192</v>
      </c>
      <c r="W121" s="32" t="s">
        <v>119</v>
      </c>
      <c r="X121" s="31" t="s">
        <v>194</v>
      </c>
      <c r="Y121" s="32" t="s">
        <v>234</v>
      </c>
      <c r="Z121" s="31" t="s">
        <v>1064</v>
      </c>
      <c r="AA121" s="32">
        <v>101</v>
      </c>
      <c r="AB121" s="31" t="s">
        <v>16</v>
      </c>
      <c r="AC121" s="19" t="s">
        <v>553</v>
      </c>
      <c r="AD121" s="31" t="s">
        <v>1065</v>
      </c>
      <c r="AE121" s="35" t="s">
        <v>193</v>
      </c>
      <c r="AF121" s="41" t="s">
        <v>558</v>
      </c>
      <c r="AG121" s="19" t="s">
        <v>1081</v>
      </c>
      <c r="AH121" s="41" t="s">
        <v>559</v>
      </c>
      <c r="AI121" s="19" t="s">
        <v>1085</v>
      </c>
      <c r="AJ121" s="41" t="s">
        <v>1066</v>
      </c>
      <c r="AK121" s="19" t="s">
        <v>1067</v>
      </c>
    </row>
    <row r="122" spans="1:37" ht="6.6" customHeight="1" x14ac:dyDescent="0.25">
      <c r="A122" s="16">
        <v>122</v>
      </c>
      <c r="B122" s="17" t="s">
        <v>493</v>
      </c>
      <c r="C122" s="18" t="s">
        <v>627</v>
      </c>
      <c r="D122" s="29" t="s">
        <v>564</v>
      </c>
      <c r="E122" s="30" t="s">
        <v>555</v>
      </c>
      <c r="F122" s="36" t="s">
        <v>9</v>
      </c>
      <c r="G122" s="37" t="s">
        <v>9</v>
      </c>
      <c r="H122" s="36" t="s">
        <v>9</v>
      </c>
      <c r="I122" s="37" t="s">
        <v>9</v>
      </c>
      <c r="J122" s="31" t="s">
        <v>84</v>
      </c>
      <c r="K122" s="61" t="s">
        <v>366</v>
      </c>
      <c r="L122" s="31" t="s">
        <v>9</v>
      </c>
      <c r="M122" s="60" t="s">
        <v>9</v>
      </c>
      <c r="N122" s="31" t="s">
        <v>9</v>
      </c>
      <c r="O122" s="60" t="s">
        <v>9</v>
      </c>
      <c r="P122" s="31" t="s">
        <v>86</v>
      </c>
      <c r="Q122" s="32">
        <v>539</v>
      </c>
      <c r="R122" s="31" t="s">
        <v>87</v>
      </c>
      <c r="S122" s="32">
        <v>211</v>
      </c>
      <c r="T122" s="31" t="s">
        <v>191</v>
      </c>
      <c r="U122" s="32" t="s">
        <v>98</v>
      </c>
      <c r="V122" s="31" t="s">
        <v>192</v>
      </c>
      <c r="W122" s="32" t="s">
        <v>275</v>
      </c>
      <c r="X122" s="31" t="s">
        <v>194</v>
      </c>
      <c r="Y122" s="32" t="s">
        <v>219</v>
      </c>
      <c r="Z122" s="31" t="s">
        <v>1064</v>
      </c>
      <c r="AA122" s="32">
        <v>109</v>
      </c>
      <c r="AB122" s="31" t="s">
        <v>16</v>
      </c>
      <c r="AC122" s="19" t="s">
        <v>553</v>
      </c>
      <c r="AD122" s="31" t="s">
        <v>1065</v>
      </c>
      <c r="AE122" s="35" t="s">
        <v>193</v>
      </c>
      <c r="AF122" s="41" t="s">
        <v>558</v>
      </c>
      <c r="AG122" s="19" t="s">
        <v>1081</v>
      </c>
      <c r="AH122" s="41" t="s">
        <v>559</v>
      </c>
      <c r="AI122" s="19" t="s">
        <v>1085</v>
      </c>
      <c r="AJ122" s="41" t="s">
        <v>1066</v>
      </c>
      <c r="AK122" s="19" t="s">
        <v>1067</v>
      </c>
    </row>
    <row r="123" spans="1:37" ht="6.6" customHeight="1" x14ac:dyDescent="0.25">
      <c r="A123" s="16">
        <v>123</v>
      </c>
      <c r="B123" s="17" t="s">
        <v>494</v>
      </c>
      <c r="C123" s="18" t="s">
        <v>627</v>
      </c>
      <c r="D123" s="29" t="s">
        <v>564</v>
      </c>
      <c r="E123" s="30" t="s">
        <v>555</v>
      </c>
      <c r="F123" s="36" t="s">
        <v>9</v>
      </c>
      <c r="G123" s="37" t="s">
        <v>9</v>
      </c>
      <c r="H123" s="36" t="s">
        <v>9</v>
      </c>
      <c r="I123" s="37" t="s">
        <v>9</v>
      </c>
      <c r="J123" s="31" t="s">
        <v>84</v>
      </c>
      <c r="K123" s="61" t="s">
        <v>367</v>
      </c>
      <c r="L123" s="31" t="s">
        <v>9</v>
      </c>
      <c r="M123" s="60" t="s">
        <v>9</v>
      </c>
      <c r="N123" s="31" t="s">
        <v>9</v>
      </c>
      <c r="O123" s="60" t="s">
        <v>9</v>
      </c>
      <c r="P123" s="31" t="s">
        <v>86</v>
      </c>
      <c r="Q123" s="32">
        <v>544</v>
      </c>
      <c r="R123" s="31" t="s">
        <v>87</v>
      </c>
      <c r="S123" s="32">
        <v>212</v>
      </c>
      <c r="T123" s="31" t="s">
        <v>191</v>
      </c>
      <c r="U123" s="32" t="s">
        <v>141</v>
      </c>
      <c r="V123" s="31" t="s">
        <v>192</v>
      </c>
      <c r="W123" s="32" t="s">
        <v>276</v>
      </c>
      <c r="X123" s="31" t="s">
        <v>194</v>
      </c>
      <c r="Y123" s="32" t="s">
        <v>234</v>
      </c>
      <c r="Z123" s="31" t="s">
        <v>1064</v>
      </c>
      <c r="AA123" s="32">
        <v>123</v>
      </c>
      <c r="AB123" s="31" t="s">
        <v>16</v>
      </c>
      <c r="AC123" s="19" t="s">
        <v>553</v>
      </c>
      <c r="AD123" s="31" t="s">
        <v>1065</v>
      </c>
      <c r="AE123" s="35" t="s">
        <v>193</v>
      </c>
      <c r="AF123" s="41" t="s">
        <v>558</v>
      </c>
      <c r="AG123" s="19" t="s">
        <v>1081</v>
      </c>
      <c r="AH123" s="41" t="s">
        <v>559</v>
      </c>
      <c r="AI123" s="19" t="s">
        <v>1085</v>
      </c>
      <c r="AJ123" s="41" t="s">
        <v>1066</v>
      </c>
      <c r="AK123" s="19" t="s">
        <v>1067</v>
      </c>
    </row>
    <row r="124" spans="1:37" ht="6.6" customHeight="1" x14ac:dyDescent="0.25">
      <c r="A124" s="16">
        <v>124</v>
      </c>
      <c r="B124" s="17" t="s">
        <v>495</v>
      </c>
      <c r="C124" s="18" t="s">
        <v>627</v>
      </c>
      <c r="D124" s="29" t="s">
        <v>564</v>
      </c>
      <c r="E124" s="30" t="s">
        <v>555</v>
      </c>
      <c r="F124" s="36" t="s">
        <v>9</v>
      </c>
      <c r="G124" s="37" t="s">
        <v>9</v>
      </c>
      <c r="H124" s="36" t="s">
        <v>9</v>
      </c>
      <c r="I124" s="37" t="s">
        <v>9</v>
      </c>
      <c r="J124" s="31" t="s">
        <v>84</v>
      </c>
      <c r="K124" s="61" t="s">
        <v>368</v>
      </c>
      <c r="L124" s="31" t="s">
        <v>9</v>
      </c>
      <c r="M124" s="60" t="s">
        <v>9</v>
      </c>
      <c r="N124" s="31" t="s">
        <v>9</v>
      </c>
      <c r="O124" s="60" t="s">
        <v>9</v>
      </c>
      <c r="P124" s="31" t="s">
        <v>86</v>
      </c>
      <c r="Q124" s="32">
        <v>549</v>
      </c>
      <c r="R124" s="31" t="s">
        <v>87</v>
      </c>
      <c r="S124" s="32">
        <v>214</v>
      </c>
      <c r="T124" s="31" t="s">
        <v>191</v>
      </c>
      <c r="U124" s="32" t="s">
        <v>277</v>
      </c>
      <c r="V124" s="31" t="s">
        <v>192</v>
      </c>
      <c r="W124" s="32" t="s">
        <v>278</v>
      </c>
      <c r="X124" s="31" t="s">
        <v>194</v>
      </c>
      <c r="Y124" s="32" t="s">
        <v>219</v>
      </c>
      <c r="Z124" s="31" t="s">
        <v>1064</v>
      </c>
      <c r="AA124" s="32">
        <v>138</v>
      </c>
      <c r="AB124" s="31" t="s">
        <v>16</v>
      </c>
      <c r="AC124" s="19" t="s">
        <v>553</v>
      </c>
      <c r="AD124" s="31" t="s">
        <v>1065</v>
      </c>
      <c r="AE124" s="35" t="s">
        <v>193</v>
      </c>
      <c r="AF124" s="41" t="s">
        <v>558</v>
      </c>
      <c r="AG124" s="19" t="s">
        <v>1081</v>
      </c>
      <c r="AH124" s="41" t="s">
        <v>559</v>
      </c>
      <c r="AI124" s="19" t="s">
        <v>1085</v>
      </c>
      <c r="AJ124" s="41" t="s">
        <v>1066</v>
      </c>
      <c r="AK124" s="19" t="s">
        <v>1067</v>
      </c>
    </row>
    <row r="125" spans="1:37" ht="6.6" customHeight="1" x14ac:dyDescent="0.25">
      <c r="A125" s="16">
        <v>125</v>
      </c>
      <c r="B125" s="17" t="s">
        <v>496</v>
      </c>
      <c r="C125" s="18" t="s">
        <v>627</v>
      </c>
      <c r="D125" s="29" t="s">
        <v>564</v>
      </c>
      <c r="E125" s="30" t="s">
        <v>555</v>
      </c>
      <c r="F125" s="36" t="s">
        <v>9</v>
      </c>
      <c r="G125" s="37" t="s">
        <v>9</v>
      </c>
      <c r="H125" s="36" t="s">
        <v>9</v>
      </c>
      <c r="I125" s="37" t="s">
        <v>9</v>
      </c>
      <c r="J125" s="31" t="s">
        <v>84</v>
      </c>
      <c r="K125" s="61" t="s">
        <v>369</v>
      </c>
      <c r="L125" s="31" t="s">
        <v>9</v>
      </c>
      <c r="M125" s="60" t="s">
        <v>9</v>
      </c>
      <c r="N125" s="31" t="s">
        <v>9</v>
      </c>
      <c r="O125" s="60" t="s">
        <v>9</v>
      </c>
      <c r="P125" s="31" t="s">
        <v>86</v>
      </c>
      <c r="Q125" s="32">
        <v>525</v>
      </c>
      <c r="R125" s="31" t="s">
        <v>87</v>
      </c>
      <c r="S125" s="32">
        <v>165</v>
      </c>
      <c r="T125" s="31" t="s">
        <v>191</v>
      </c>
      <c r="U125" s="32" t="s">
        <v>247</v>
      </c>
      <c r="V125" s="31" t="s">
        <v>192</v>
      </c>
      <c r="W125" s="32" t="s">
        <v>157</v>
      </c>
      <c r="X125" s="31" t="s">
        <v>194</v>
      </c>
      <c r="Y125" s="32" t="s">
        <v>219</v>
      </c>
      <c r="Z125" s="31" t="s">
        <v>1064</v>
      </c>
      <c r="AA125" s="32">
        <v>66</v>
      </c>
      <c r="AB125" s="31" t="s">
        <v>16</v>
      </c>
      <c r="AC125" s="19" t="s">
        <v>553</v>
      </c>
      <c r="AD125" s="31" t="s">
        <v>1065</v>
      </c>
      <c r="AE125" s="35" t="s">
        <v>193</v>
      </c>
      <c r="AF125" s="41" t="s">
        <v>558</v>
      </c>
      <c r="AG125" s="19" t="s">
        <v>1081</v>
      </c>
      <c r="AH125" s="41" t="s">
        <v>559</v>
      </c>
      <c r="AI125" s="19" t="s">
        <v>1085</v>
      </c>
      <c r="AJ125" s="41" t="s">
        <v>1066</v>
      </c>
      <c r="AK125" s="19" t="s">
        <v>1067</v>
      </c>
    </row>
    <row r="126" spans="1:37" ht="6.6" customHeight="1" x14ac:dyDescent="0.25">
      <c r="A126" s="16">
        <v>126</v>
      </c>
      <c r="B126" s="17" t="s">
        <v>497</v>
      </c>
      <c r="C126" s="18" t="s">
        <v>627</v>
      </c>
      <c r="D126" s="29" t="s">
        <v>564</v>
      </c>
      <c r="E126" s="30" t="s">
        <v>555</v>
      </c>
      <c r="F126" s="36" t="s">
        <v>9</v>
      </c>
      <c r="G126" s="37" t="s">
        <v>9</v>
      </c>
      <c r="H126" s="36" t="s">
        <v>9</v>
      </c>
      <c r="I126" s="37" t="s">
        <v>9</v>
      </c>
      <c r="J126" s="31" t="s">
        <v>84</v>
      </c>
      <c r="K126" s="61" t="s">
        <v>370</v>
      </c>
      <c r="L126" s="31" t="s">
        <v>9</v>
      </c>
      <c r="M126" s="60" t="s">
        <v>9</v>
      </c>
      <c r="N126" s="31" t="s">
        <v>9</v>
      </c>
      <c r="O126" s="60" t="s">
        <v>9</v>
      </c>
      <c r="P126" s="31" t="s">
        <v>86</v>
      </c>
      <c r="Q126" s="32">
        <v>524</v>
      </c>
      <c r="R126" s="31" t="s">
        <v>87</v>
      </c>
      <c r="S126" s="32">
        <v>207</v>
      </c>
      <c r="T126" s="31" t="s">
        <v>191</v>
      </c>
      <c r="U126" s="32" t="s">
        <v>247</v>
      </c>
      <c r="V126" s="31" t="s">
        <v>192</v>
      </c>
      <c r="W126" s="32" t="s">
        <v>146</v>
      </c>
      <c r="X126" s="31" t="s">
        <v>194</v>
      </c>
      <c r="Y126" s="32" t="s">
        <v>219</v>
      </c>
      <c r="Z126" s="31" t="s">
        <v>1064</v>
      </c>
      <c r="AA126" s="32">
        <v>72</v>
      </c>
      <c r="AB126" s="31" t="s">
        <v>16</v>
      </c>
      <c r="AC126" s="19" t="s">
        <v>553</v>
      </c>
      <c r="AD126" s="31" t="s">
        <v>1065</v>
      </c>
      <c r="AE126" s="35" t="s">
        <v>193</v>
      </c>
      <c r="AF126" s="41" t="s">
        <v>558</v>
      </c>
      <c r="AG126" s="19" t="s">
        <v>1081</v>
      </c>
      <c r="AH126" s="41" t="s">
        <v>559</v>
      </c>
      <c r="AI126" s="19" t="s">
        <v>1085</v>
      </c>
      <c r="AJ126" s="41" t="s">
        <v>1066</v>
      </c>
      <c r="AK126" s="19" t="s">
        <v>1067</v>
      </c>
    </row>
    <row r="127" spans="1:37" ht="6.6" customHeight="1" x14ac:dyDescent="0.25">
      <c r="A127" s="16">
        <v>127</v>
      </c>
      <c r="B127" s="17" t="s">
        <v>498</v>
      </c>
      <c r="C127" s="18" t="s">
        <v>627</v>
      </c>
      <c r="D127" s="29" t="s">
        <v>564</v>
      </c>
      <c r="E127" s="30" t="s">
        <v>555</v>
      </c>
      <c r="F127" s="36" t="s">
        <v>9</v>
      </c>
      <c r="G127" s="37" t="s">
        <v>9</v>
      </c>
      <c r="H127" s="36" t="s">
        <v>9</v>
      </c>
      <c r="I127" s="37" t="s">
        <v>9</v>
      </c>
      <c r="J127" s="31" t="s">
        <v>84</v>
      </c>
      <c r="K127" s="61" t="s">
        <v>371</v>
      </c>
      <c r="L127" s="31" t="s">
        <v>9</v>
      </c>
      <c r="M127" s="60" t="s">
        <v>9</v>
      </c>
      <c r="N127" s="31" t="s">
        <v>9</v>
      </c>
      <c r="O127" s="60" t="s">
        <v>9</v>
      </c>
      <c r="P127" s="31" t="s">
        <v>86</v>
      </c>
      <c r="Q127" s="32">
        <v>529</v>
      </c>
      <c r="R127" s="31" t="s">
        <v>87</v>
      </c>
      <c r="S127" s="32">
        <v>166</v>
      </c>
      <c r="T127" s="31" t="s">
        <v>191</v>
      </c>
      <c r="U127" s="32" t="s">
        <v>250</v>
      </c>
      <c r="V127" s="31" t="s">
        <v>192</v>
      </c>
      <c r="W127" s="32" t="s">
        <v>279</v>
      </c>
      <c r="X127" s="31" t="s">
        <v>194</v>
      </c>
      <c r="Y127" s="32" t="s">
        <v>234</v>
      </c>
      <c r="Z127" s="31" t="s">
        <v>1064</v>
      </c>
      <c r="AA127" s="32">
        <v>74</v>
      </c>
      <c r="AB127" s="31" t="s">
        <v>16</v>
      </c>
      <c r="AC127" s="19" t="s">
        <v>553</v>
      </c>
      <c r="AD127" s="31" t="s">
        <v>1065</v>
      </c>
      <c r="AE127" s="35" t="s">
        <v>193</v>
      </c>
      <c r="AF127" s="41" t="s">
        <v>558</v>
      </c>
      <c r="AG127" s="19" t="s">
        <v>1081</v>
      </c>
      <c r="AH127" s="41" t="s">
        <v>559</v>
      </c>
      <c r="AI127" s="19" t="s">
        <v>1085</v>
      </c>
      <c r="AJ127" s="41" t="s">
        <v>1066</v>
      </c>
      <c r="AK127" s="19" t="s">
        <v>1067</v>
      </c>
    </row>
    <row r="128" spans="1:37" ht="6.6" customHeight="1" x14ac:dyDescent="0.25">
      <c r="A128" s="16">
        <v>128</v>
      </c>
      <c r="B128" s="17" t="s">
        <v>499</v>
      </c>
      <c r="C128" s="18" t="s">
        <v>627</v>
      </c>
      <c r="D128" s="29" t="s">
        <v>564</v>
      </c>
      <c r="E128" s="30" t="s">
        <v>555</v>
      </c>
      <c r="F128" s="36" t="s">
        <v>9</v>
      </c>
      <c r="G128" s="37" t="s">
        <v>9</v>
      </c>
      <c r="H128" s="36" t="s">
        <v>9</v>
      </c>
      <c r="I128" s="37" t="s">
        <v>9</v>
      </c>
      <c r="J128" s="31" t="s">
        <v>84</v>
      </c>
      <c r="K128" s="61" t="s">
        <v>372</v>
      </c>
      <c r="L128" s="31" t="s">
        <v>9</v>
      </c>
      <c r="M128" s="60" t="s">
        <v>9</v>
      </c>
      <c r="N128" s="31" t="s">
        <v>9</v>
      </c>
      <c r="O128" s="60" t="s">
        <v>9</v>
      </c>
      <c r="P128" s="31" t="s">
        <v>86</v>
      </c>
      <c r="Q128" s="32">
        <v>528</v>
      </c>
      <c r="R128" s="31" t="s">
        <v>87</v>
      </c>
      <c r="S128" s="32">
        <v>209</v>
      </c>
      <c r="T128" s="31" t="s">
        <v>191</v>
      </c>
      <c r="U128" s="32" t="s">
        <v>265</v>
      </c>
      <c r="V128" s="31" t="s">
        <v>192</v>
      </c>
      <c r="W128" s="32" t="s">
        <v>271</v>
      </c>
      <c r="X128" s="31" t="s">
        <v>194</v>
      </c>
      <c r="Y128" s="32" t="s">
        <v>112</v>
      </c>
      <c r="Z128" s="31" t="s">
        <v>1064</v>
      </c>
      <c r="AA128" s="32">
        <v>82</v>
      </c>
      <c r="AB128" s="31" t="s">
        <v>16</v>
      </c>
      <c r="AC128" s="19" t="s">
        <v>553</v>
      </c>
      <c r="AD128" s="31" t="s">
        <v>1065</v>
      </c>
      <c r="AE128" s="35" t="s">
        <v>193</v>
      </c>
      <c r="AF128" s="41" t="s">
        <v>558</v>
      </c>
      <c r="AG128" s="19" t="s">
        <v>1081</v>
      </c>
      <c r="AH128" s="41" t="s">
        <v>559</v>
      </c>
      <c r="AI128" s="19" t="s">
        <v>1085</v>
      </c>
      <c r="AJ128" s="41" t="s">
        <v>1066</v>
      </c>
      <c r="AK128" s="19" t="s">
        <v>1067</v>
      </c>
    </row>
    <row r="129" spans="1:37" ht="6.6" customHeight="1" x14ac:dyDescent="0.25">
      <c r="A129" s="16">
        <v>129</v>
      </c>
      <c r="B129" s="17" t="s">
        <v>500</v>
      </c>
      <c r="C129" s="18" t="s">
        <v>627</v>
      </c>
      <c r="D129" s="29" t="s">
        <v>564</v>
      </c>
      <c r="E129" s="30" t="s">
        <v>555</v>
      </c>
      <c r="F129" s="36" t="s">
        <v>9</v>
      </c>
      <c r="G129" s="37" t="s">
        <v>9</v>
      </c>
      <c r="H129" s="36" t="s">
        <v>9</v>
      </c>
      <c r="I129" s="37" t="s">
        <v>9</v>
      </c>
      <c r="J129" s="31" t="s">
        <v>84</v>
      </c>
      <c r="K129" s="61" t="s">
        <v>373</v>
      </c>
      <c r="L129" s="31" t="s">
        <v>9</v>
      </c>
      <c r="M129" s="60" t="s">
        <v>9</v>
      </c>
      <c r="N129" s="31" t="s">
        <v>9</v>
      </c>
      <c r="O129" s="60" t="s">
        <v>9</v>
      </c>
      <c r="P129" s="31" t="s">
        <v>86</v>
      </c>
      <c r="Q129" s="32">
        <v>535</v>
      </c>
      <c r="R129" s="31" t="s">
        <v>87</v>
      </c>
      <c r="S129" s="32">
        <v>166</v>
      </c>
      <c r="T129" s="31" t="s">
        <v>191</v>
      </c>
      <c r="U129" s="32" t="s">
        <v>202</v>
      </c>
      <c r="V129" s="31" t="s">
        <v>192</v>
      </c>
      <c r="W129" s="32" t="s">
        <v>280</v>
      </c>
      <c r="X129" s="31" t="s">
        <v>194</v>
      </c>
      <c r="Y129" s="32" t="s">
        <v>219</v>
      </c>
      <c r="Z129" s="31" t="s">
        <v>1064</v>
      </c>
      <c r="AA129" s="32">
        <v>85</v>
      </c>
      <c r="AB129" s="31" t="s">
        <v>16</v>
      </c>
      <c r="AC129" s="19" t="s">
        <v>553</v>
      </c>
      <c r="AD129" s="31" t="s">
        <v>1065</v>
      </c>
      <c r="AE129" s="35" t="s">
        <v>193</v>
      </c>
      <c r="AF129" s="41" t="s">
        <v>558</v>
      </c>
      <c r="AG129" s="19" t="s">
        <v>1081</v>
      </c>
      <c r="AH129" s="41" t="s">
        <v>559</v>
      </c>
      <c r="AI129" s="19" t="s">
        <v>1085</v>
      </c>
      <c r="AJ129" s="41" t="s">
        <v>1066</v>
      </c>
      <c r="AK129" s="19" t="s">
        <v>1067</v>
      </c>
    </row>
    <row r="130" spans="1:37" ht="6.6" customHeight="1" x14ac:dyDescent="0.25">
      <c r="A130" s="16">
        <v>130</v>
      </c>
      <c r="B130" s="17" t="s">
        <v>501</v>
      </c>
      <c r="C130" s="18" t="s">
        <v>627</v>
      </c>
      <c r="D130" s="29" t="s">
        <v>564</v>
      </c>
      <c r="E130" s="30" t="s">
        <v>555</v>
      </c>
      <c r="F130" s="36" t="s">
        <v>9</v>
      </c>
      <c r="G130" s="37" t="s">
        <v>9</v>
      </c>
      <c r="H130" s="36" t="s">
        <v>9</v>
      </c>
      <c r="I130" s="37" t="s">
        <v>9</v>
      </c>
      <c r="J130" s="31" t="s">
        <v>84</v>
      </c>
      <c r="K130" s="61" t="s">
        <v>374</v>
      </c>
      <c r="L130" s="31" t="s">
        <v>9</v>
      </c>
      <c r="M130" s="60" t="s">
        <v>9</v>
      </c>
      <c r="N130" s="31" t="s">
        <v>9</v>
      </c>
      <c r="O130" s="60" t="s">
        <v>9</v>
      </c>
      <c r="P130" s="31" t="s">
        <v>86</v>
      </c>
      <c r="Q130" s="32">
        <v>533</v>
      </c>
      <c r="R130" s="31" t="s">
        <v>87</v>
      </c>
      <c r="S130" s="32">
        <v>209</v>
      </c>
      <c r="T130" s="31" t="s">
        <v>191</v>
      </c>
      <c r="U130" s="32" t="s">
        <v>102</v>
      </c>
      <c r="V130" s="31" t="s">
        <v>192</v>
      </c>
      <c r="W130" s="32" t="s">
        <v>129</v>
      </c>
      <c r="X130" s="31" t="s">
        <v>194</v>
      </c>
      <c r="Y130" s="32" t="s">
        <v>234</v>
      </c>
      <c r="Z130" s="31" t="s">
        <v>1064</v>
      </c>
      <c r="AA130" s="32">
        <v>92</v>
      </c>
      <c r="AB130" s="31" t="s">
        <v>16</v>
      </c>
      <c r="AC130" s="19" t="s">
        <v>553</v>
      </c>
      <c r="AD130" s="31" t="s">
        <v>1065</v>
      </c>
      <c r="AE130" s="35" t="s">
        <v>193</v>
      </c>
      <c r="AF130" s="41" t="s">
        <v>558</v>
      </c>
      <c r="AG130" s="19" t="s">
        <v>1081</v>
      </c>
      <c r="AH130" s="41" t="s">
        <v>559</v>
      </c>
      <c r="AI130" s="19" t="s">
        <v>1085</v>
      </c>
      <c r="AJ130" s="41" t="s">
        <v>1066</v>
      </c>
      <c r="AK130" s="19" t="s">
        <v>1067</v>
      </c>
    </row>
    <row r="131" spans="1:37" ht="6.6" customHeight="1" x14ac:dyDescent="0.25">
      <c r="A131" s="16">
        <v>131</v>
      </c>
      <c r="B131" s="17" t="s">
        <v>502</v>
      </c>
      <c r="C131" s="18" t="s">
        <v>627</v>
      </c>
      <c r="D131" s="29" t="s">
        <v>564</v>
      </c>
      <c r="E131" s="30" t="s">
        <v>555</v>
      </c>
      <c r="F131" s="36" t="s">
        <v>9</v>
      </c>
      <c r="G131" s="37" t="s">
        <v>9</v>
      </c>
      <c r="H131" s="36" t="s">
        <v>9</v>
      </c>
      <c r="I131" s="37" t="s">
        <v>9</v>
      </c>
      <c r="J131" s="31" t="s">
        <v>84</v>
      </c>
      <c r="K131" s="61" t="s">
        <v>375</v>
      </c>
      <c r="L131" s="31" t="s">
        <v>9</v>
      </c>
      <c r="M131" s="60" t="s">
        <v>9</v>
      </c>
      <c r="N131" s="31" t="s">
        <v>9</v>
      </c>
      <c r="O131" s="60" t="s">
        <v>9</v>
      </c>
      <c r="P131" s="31" t="s">
        <v>86</v>
      </c>
      <c r="Q131" s="32">
        <v>603</v>
      </c>
      <c r="R131" s="31" t="s">
        <v>87</v>
      </c>
      <c r="S131" s="32">
        <v>228</v>
      </c>
      <c r="T131" s="31" t="s">
        <v>191</v>
      </c>
      <c r="U131" s="32" t="s">
        <v>123</v>
      </c>
      <c r="V131" s="31" t="s">
        <v>192</v>
      </c>
      <c r="W131" s="32" t="s">
        <v>263</v>
      </c>
      <c r="X131" s="31" t="s">
        <v>194</v>
      </c>
      <c r="Y131" s="32" t="s">
        <v>234</v>
      </c>
      <c r="Z131" s="31" t="s">
        <v>1064</v>
      </c>
      <c r="AA131" s="32">
        <v>101</v>
      </c>
      <c r="AB131" s="31" t="s">
        <v>16</v>
      </c>
      <c r="AC131" s="19" t="s">
        <v>553</v>
      </c>
      <c r="AD131" s="31" t="s">
        <v>1065</v>
      </c>
      <c r="AE131" s="35" t="s">
        <v>193</v>
      </c>
      <c r="AF131" s="41" t="s">
        <v>558</v>
      </c>
      <c r="AG131" s="19" t="s">
        <v>1081</v>
      </c>
      <c r="AH131" s="41" t="s">
        <v>559</v>
      </c>
      <c r="AI131" s="19" t="s">
        <v>1085</v>
      </c>
      <c r="AJ131" s="41" t="s">
        <v>1066</v>
      </c>
      <c r="AK131" s="19" t="s">
        <v>1067</v>
      </c>
    </row>
    <row r="132" spans="1:37" ht="6.6" customHeight="1" x14ac:dyDescent="0.25">
      <c r="A132" s="16">
        <v>132</v>
      </c>
      <c r="B132" s="17" t="s">
        <v>503</v>
      </c>
      <c r="C132" s="18" t="s">
        <v>627</v>
      </c>
      <c r="D132" s="29" t="s">
        <v>564</v>
      </c>
      <c r="E132" s="30" t="s">
        <v>555</v>
      </c>
      <c r="F132" s="36" t="s">
        <v>9</v>
      </c>
      <c r="G132" s="37" t="s">
        <v>9</v>
      </c>
      <c r="H132" s="36" t="s">
        <v>9</v>
      </c>
      <c r="I132" s="37" t="s">
        <v>9</v>
      </c>
      <c r="J132" s="31" t="s">
        <v>84</v>
      </c>
      <c r="K132" s="61" t="s">
        <v>376</v>
      </c>
      <c r="L132" s="31" t="s">
        <v>9</v>
      </c>
      <c r="M132" s="60" t="s">
        <v>9</v>
      </c>
      <c r="N132" s="31" t="s">
        <v>9</v>
      </c>
      <c r="O132" s="60" t="s">
        <v>9</v>
      </c>
      <c r="P132" s="31" t="s">
        <v>86</v>
      </c>
      <c r="Q132" s="32">
        <v>608</v>
      </c>
      <c r="R132" s="31" t="s">
        <v>87</v>
      </c>
      <c r="S132" s="32">
        <v>228</v>
      </c>
      <c r="T132" s="31" t="s">
        <v>191</v>
      </c>
      <c r="U132" s="32" t="s">
        <v>232</v>
      </c>
      <c r="V132" s="31" t="s">
        <v>192</v>
      </c>
      <c r="W132" s="32" t="s">
        <v>132</v>
      </c>
      <c r="X132" s="31" t="s">
        <v>194</v>
      </c>
      <c r="Y132" s="32" t="s">
        <v>219</v>
      </c>
      <c r="Z132" s="31" t="s">
        <v>1064</v>
      </c>
      <c r="AA132" s="32">
        <v>113</v>
      </c>
      <c r="AB132" s="31" t="s">
        <v>16</v>
      </c>
      <c r="AC132" s="19" t="s">
        <v>553</v>
      </c>
      <c r="AD132" s="31" t="s">
        <v>1065</v>
      </c>
      <c r="AE132" s="35" t="s">
        <v>193</v>
      </c>
      <c r="AF132" s="41" t="s">
        <v>558</v>
      </c>
      <c r="AG132" s="19" t="s">
        <v>1081</v>
      </c>
      <c r="AH132" s="41" t="s">
        <v>559</v>
      </c>
      <c r="AI132" s="19" t="s">
        <v>1085</v>
      </c>
      <c r="AJ132" s="41" t="s">
        <v>1066</v>
      </c>
      <c r="AK132" s="19" t="s">
        <v>1067</v>
      </c>
    </row>
    <row r="133" spans="1:37" ht="6.6" customHeight="1" x14ac:dyDescent="0.25">
      <c r="A133" s="16">
        <v>133</v>
      </c>
      <c r="B133" s="17" t="s">
        <v>504</v>
      </c>
      <c r="C133" s="18" t="s">
        <v>627</v>
      </c>
      <c r="D133" s="29" t="s">
        <v>564</v>
      </c>
      <c r="E133" s="30" t="s">
        <v>555</v>
      </c>
      <c r="F133" s="36" t="s">
        <v>9</v>
      </c>
      <c r="G133" s="37" t="s">
        <v>9</v>
      </c>
      <c r="H133" s="36" t="s">
        <v>9</v>
      </c>
      <c r="I133" s="37" t="s">
        <v>9</v>
      </c>
      <c r="J133" s="31" t="s">
        <v>84</v>
      </c>
      <c r="K133" s="61" t="s">
        <v>377</v>
      </c>
      <c r="L133" s="31" t="s">
        <v>9</v>
      </c>
      <c r="M133" s="60" t="s">
        <v>9</v>
      </c>
      <c r="N133" s="31" t="s">
        <v>9</v>
      </c>
      <c r="O133" s="60" t="s">
        <v>9</v>
      </c>
      <c r="P133" s="31" t="s">
        <v>86</v>
      </c>
      <c r="Q133" s="32">
        <v>612</v>
      </c>
      <c r="R133" s="31" t="s">
        <v>87</v>
      </c>
      <c r="S133" s="32">
        <v>229</v>
      </c>
      <c r="T133" s="31" t="s">
        <v>191</v>
      </c>
      <c r="U133" s="32" t="s">
        <v>134</v>
      </c>
      <c r="V133" s="31" t="s">
        <v>192</v>
      </c>
      <c r="W133" s="32" t="s">
        <v>135</v>
      </c>
      <c r="X133" s="31" t="s">
        <v>194</v>
      </c>
      <c r="Y133" s="32" t="s">
        <v>219</v>
      </c>
      <c r="Z133" s="31" t="s">
        <v>1064</v>
      </c>
      <c r="AA133" s="32">
        <v>125</v>
      </c>
      <c r="AB133" s="31" t="s">
        <v>16</v>
      </c>
      <c r="AC133" s="19" t="s">
        <v>553</v>
      </c>
      <c r="AD133" s="31" t="s">
        <v>1065</v>
      </c>
      <c r="AE133" s="35" t="s">
        <v>193</v>
      </c>
      <c r="AF133" s="41" t="s">
        <v>558</v>
      </c>
      <c r="AG133" s="19" t="s">
        <v>1081</v>
      </c>
      <c r="AH133" s="41" t="s">
        <v>559</v>
      </c>
      <c r="AI133" s="19" t="s">
        <v>1085</v>
      </c>
      <c r="AJ133" s="41" t="s">
        <v>1066</v>
      </c>
      <c r="AK133" s="19" t="s">
        <v>1067</v>
      </c>
    </row>
    <row r="134" spans="1:37" ht="6.6" customHeight="1" x14ac:dyDescent="0.25">
      <c r="A134" s="16">
        <v>134</v>
      </c>
      <c r="B134" s="17" t="s">
        <v>505</v>
      </c>
      <c r="C134" s="18" t="s">
        <v>627</v>
      </c>
      <c r="D134" s="29" t="s">
        <v>564</v>
      </c>
      <c r="E134" s="30" t="s">
        <v>555</v>
      </c>
      <c r="F134" s="36" t="s">
        <v>9</v>
      </c>
      <c r="G134" s="37" t="s">
        <v>9</v>
      </c>
      <c r="H134" s="36" t="s">
        <v>9</v>
      </c>
      <c r="I134" s="37" t="s">
        <v>9</v>
      </c>
      <c r="J134" s="31" t="s">
        <v>84</v>
      </c>
      <c r="K134" s="61" t="s">
        <v>378</v>
      </c>
      <c r="L134" s="31" t="s">
        <v>9</v>
      </c>
      <c r="M134" s="60" t="s">
        <v>9</v>
      </c>
      <c r="N134" s="31" t="s">
        <v>9</v>
      </c>
      <c r="O134" s="60" t="s">
        <v>9</v>
      </c>
      <c r="P134" s="31" t="s">
        <v>86</v>
      </c>
      <c r="Q134" s="32">
        <v>617</v>
      </c>
      <c r="R134" s="31" t="s">
        <v>87</v>
      </c>
      <c r="S134" s="32">
        <v>230</v>
      </c>
      <c r="T134" s="31" t="s">
        <v>191</v>
      </c>
      <c r="U134" s="32" t="s">
        <v>141</v>
      </c>
      <c r="V134" s="31" t="s">
        <v>192</v>
      </c>
      <c r="W134" s="32" t="s">
        <v>281</v>
      </c>
      <c r="X134" s="31" t="s">
        <v>194</v>
      </c>
      <c r="Y134" s="32" t="s">
        <v>282</v>
      </c>
      <c r="Z134" s="31" t="s">
        <v>1064</v>
      </c>
      <c r="AA134" s="32">
        <v>140</v>
      </c>
      <c r="AB134" s="31" t="s">
        <v>16</v>
      </c>
      <c r="AC134" s="19" t="s">
        <v>553</v>
      </c>
      <c r="AD134" s="31" t="s">
        <v>1065</v>
      </c>
      <c r="AE134" s="35" t="s">
        <v>193</v>
      </c>
      <c r="AF134" s="41" t="s">
        <v>558</v>
      </c>
      <c r="AG134" s="19" t="s">
        <v>1081</v>
      </c>
      <c r="AH134" s="41" t="s">
        <v>559</v>
      </c>
      <c r="AI134" s="19" t="s">
        <v>1085</v>
      </c>
      <c r="AJ134" s="41" t="s">
        <v>1066</v>
      </c>
      <c r="AK134" s="19" t="s">
        <v>1067</v>
      </c>
    </row>
    <row r="135" spans="1:37" ht="6.6" customHeight="1" x14ac:dyDescent="0.25">
      <c r="A135" s="16">
        <v>135</v>
      </c>
      <c r="B135" s="17" t="s">
        <v>506</v>
      </c>
      <c r="C135" s="18" t="s">
        <v>627</v>
      </c>
      <c r="D135" s="29" t="s">
        <v>564</v>
      </c>
      <c r="E135" s="30" t="s">
        <v>555</v>
      </c>
      <c r="F135" s="36" t="s">
        <v>9</v>
      </c>
      <c r="G135" s="37" t="s">
        <v>9</v>
      </c>
      <c r="H135" s="36" t="s">
        <v>9</v>
      </c>
      <c r="I135" s="37" t="s">
        <v>9</v>
      </c>
      <c r="J135" s="31" t="s">
        <v>84</v>
      </c>
      <c r="K135" s="61" t="s">
        <v>379</v>
      </c>
      <c r="L135" s="31" t="s">
        <v>9</v>
      </c>
      <c r="M135" s="60" t="s">
        <v>9</v>
      </c>
      <c r="N135" s="31" t="s">
        <v>9</v>
      </c>
      <c r="O135" s="60" t="s">
        <v>9</v>
      </c>
      <c r="P135" s="31" t="s">
        <v>86</v>
      </c>
      <c r="Q135" s="32">
        <v>623</v>
      </c>
      <c r="R135" s="31" t="s">
        <v>87</v>
      </c>
      <c r="S135" s="32">
        <v>229</v>
      </c>
      <c r="T135" s="31" t="s">
        <v>191</v>
      </c>
      <c r="U135" s="32">
        <v>14</v>
      </c>
      <c r="V135" s="31" t="s">
        <v>192</v>
      </c>
      <c r="W135" s="32" t="s">
        <v>283</v>
      </c>
      <c r="X135" s="31" t="s">
        <v>194</v>
      </c>
      <c r="Y135" s="32" t="s">
        <v>219</v>
      </c>
      <c r="Z135" s="31" t="s">
        <v>1064</v>
      </c>
      <c r="AA135" s="32">
        <v>153</v>
      </c>
      <c r="AB135" s="31" t="s">
        <v>16</v>
      </c>
      <c r="AC135" s="19" t="s">
        <v>553</v>
      </c>
      <c r="AD135" s="31" t="s">
        <v>1065</v>
      </c>
      <c r="AE135" s="35" t="s">
        <v>193</v>
      </c>
      <c r="AF135" s="41" t="s">
        <v>558</v>
      </c>
      <c r="AG135" s="19" t="s">
        <v>1081</v>
      </c>
      <c r="AH135" s="41" t="s">
        <v>559</v>
      </c>
      <c r="AI135" s="19" t="s">
        <v>1085</v>
      </c>
      <c r="AJ135" s="41" t="s">
        <v>1066</v>
      </c>
      <c r="AK135" s="19" t="s">
        <v>1067</v>
      </c>
    </row>
    <row r="136" spans="1:37" ht="6.6" customHeight="1" x14ac:dyDescent="0.25">
      <c r="A136" s="16">
        <v>136</v>
      </c>
      <c r="B136" s="17" t="s">
        <v>507</v>
      </c>
      <c r="C136" s="18" t="s">
        <v>627</v>
      </c>
      <c r="D136" s="29" t="s">
        <v>564</v>
      </c>
      <c r="E136" s="30" t="s">
        <v>555</v>
      </c>
      <c r="F136" s="36" t="s">
        <v>9</v>
      </c>
      <c r="G136" s="37" t="s">
        <v>9</v>
      </c>
      <c r="H136" s="36" t="s">
        <v>9</v>
      </c>
      <c r="I136" s="37" t="s">
        <v>9</v>
      </c>
      <c r="J136" s="31" t="s">
        <v>84</v>
      </c>
      <c r="K136" s="61" t="s">
        <v>380</v>
      </c>
      <c r="L136" s="31" t="s">
        <v>9</v>
      </c>
      <c r="M136" s="60" t="s">
        <v>9</v>
      </c>
      <c r="N136" s="31" t="s">
        <v>9</v>
      </c>
      <c r="O136" s="60" t="s">
        <v>9</v>
      </c>
      <c r="P136" s="31" t="s">
        <v>86</v>
      </c>
      <c r="Q136" s="32">
        <v>611</v>
      </c>
      <c r="R136" s="31" t="s">
        <v>87</v>
      </c>
      <c r="S136" s="32">
        <v>324</v>
      </c>
      <c r="T136" s="31" t="s">
        <v>191</v>
      </c>
      <c r="U136" s="32" t="s">
        <v>219</v>
      </c>
      <c r="V136" s="31" t="s">
        <v>192</v>
      </c>
      <c r="W136" s="32" t="s">
        <v>274</v>
      </c>
      <c r="X136" s="31" t="s">
        <v>194</v>
      </c>
      <c r="Y136" s="32" t="s">
        <v>219</v>
      </c>
      <c r="Z136" s="31" t="s">
        <v>1064</v>
      </c>
      <c r="AA136" s="32">
        <v>155</v>
      </c>
      <c r="AB136" s="31" t="s">
        <v>16</v>
      </c>
      <c r="AC136" s="19" t="s">
        <v>553</v>
      </c>
      <c r="AD136" s="31" t="s">
        <v>1065</v>
      </c>
      <c r="AE136" s="35" t="s">
        <v>193</v>
      </c>
      <c r="AF136" s="41" t="s">
        <v>558</v>
      </c>
      <c r="AG136" s="19" t="s">
        <v>1081</v>
      </c>
      <c r="AH136" s="41" t="s">
        <v>559</v>
      </c>
      <c r="AI136" s="19" t="s">
        <v>1085</v>
      </c>
      <c r="AJ136" s="41" t="s">
        <v>1066</v>
      </c>
      <c r="AK136" s="19" t="s">
        <v>1067</v>
      </c>
    </row>
    <row r="137" spans="1:37" ht="6.6" customHeight="1" x14ac:dyDescent="0.25">
      <c r="A137" s="16">
        <v>137</v>
      </c>
      <c r="B137" s="17" t="s">
        <v>508</v>
      </c>
      <c r="C137" s="18" t="s">
        <v>627</v>
      </c>
      <c r="D137" s="29" t="s">
        <v>564</v>
      </c>
      <c r="E137" s="30" t="s">
        <v>555</v>
      </c>
      <c r="F137" s="36" t="s">
        <v>9</v>
      </c>
      <c r="G137" s="37" t="s">
        <v>9</v>
      </c>
      <c r="H137" s="36" t="s">
        <v>9</v>
      </c>
      <c r="I137" s="37" t="s">
        <v>9</v>
      </c>
      <c r="J137" s="31" t="s">
        <v>84</v>
      </c>
      <c r="K137" s="61" t="s">
        <v>381</v>
      </c>
      <c r="L137" s="31" t="s">
        <v>9</v>
      </c>
      <c r="M137" s="60" t="s">
        <v>9</v>
      </c>
      <c r="N137" s="31" t="s">
        <v>9</v>
      </c>
      <c r="O137" s="60" t="s">
        <v>9</v>
      </c>
      <c r="P137" s="31" t="s">
        <v>86</v>
      </c>
      <c r="Q137" s="32">
        <v>616</v>
      </c>
      <c r="R137" s="31" t="s">
        <v>87</v>
      </c>
      <c r="S137" s="32">
        <v>325</v>
      </c>
      <c r="T137" s="31" t="s">
        <v>191</v>
      </c>
      <c r="U137" s="32">
        <v>14</v>
      </c>
      <c r="V137" s="31" t="s">
        <v>192</v>
      </c>
      <c r="W137" s="32" t="s">
        <v>284</v>
      </c>
      <c r="X137" s="31" t="s">
        <v>194</v>
      </c>
      <c r="Y137" s="32" t="s">
        <v>219</v>
      </c>
      <c r="Z137" s="31" t="s">
        <v>1064</v>
      </c>
      <c r="AA137" s="32">
        <v>174</v>
      </c>
      <c r="AB137" s="31" t="s">
        <v>16</v>
      </c>
      <c r="AC137" s="19" t="s">
        <v>553</v>
      </c>
      <c r="AD137" s="31" t="s">
        <v>1065</v>
      </c>
      <c r="AE137" s="35" t="s">
        <v>193</v>
      </c>
      <c r="AF137" s="41" t="s">
        <v>558</v>
      </c>
      <c r="AG137" s="19" t="s">
        <v>1081</v>
      </c>
      <c r="AH137" s="41" t="s">
        <v>559</v>
      </c>
      <c r="AI137" s="19" t="s">
        <v>1085</v>
      </c>
      <c r="AJ137" s="41" t="s">
        <v>1066</v>
      </c>
      <c r="AK137" s="19" t="s">
        <v>1067</v>
      </c>
    </row>
    <row r="138" spans="1:37" ht="6.6" customHeight="1" x14ac:dyDescent="0.25">
      <c r="A138" s="16">
        <v>138</v>
      </c>
      <c r="B138" s="17" t="s">
        <v>509</v>
      </c>
      <c r="C138" s="18" t="s">
        <v>627</v>
      </c>
      <c r="D138" s="29" t="s">
        <v>564</v>
      </c>
      <c r="E138" s="30" t="s">
        <v>555</v>
      </c>
      <c r="F138" s="36" t="s">
        <v>9</v>
      </c>
      <c r="G138" s="37" t="s">
        <v>9</v>
      </c>
      <c r="H138" s="36" t="s">
        <v>9</v>
      </c>
      <c r="I138" s="37" t="s">
        <v>9</v>
      </c>
      <c r="J138" s="31" t="s">
        <v>84</v>
      </c>
      <c r="K138" s="61" t="s">
        <v>382</v>
      </c>
      <c r="L138" s="31" t="s">
        <v>9</v>
      </c>
      <c r="M138" s="60" t="s">
        <v>9</v>
      </c>
      <c r="N138" s="31" t="s">
        <v>9</v>
      </c>
      <c r="O138" s="60" t="s">
        <v>9</v>
      </c>
      <c r="P138" s="31" t="s">
        <v>86</v>
      </c>
      <c r="Q138" s="32">
        <v>622</v>
      </c>
      <c r="R138" s="31" t="s">
        <v>87</v>
      </c>
      <c r="S138" s="32">
        <v>328</v>
      </c>
      <c r="T138" s="31" t="s">
        <v>191</v>
      </c>
      <c r="U138" s="32" t="s">
        <v>144</v>
      </c>
      <c r="V138" s="31" t="s">
        <v>192</v>
      </c>
      <c r="W138" s="32" t="s">
        <v>285</v>
      </c>
      <c r="X138" s="31" t="s">
        <v>194</v>
      </c>
      <c r="Y138" s="32" t="s">
        <v>219</v>
      </c>
      <c r="Z138" s="31" t="s">
        <v>1064</v>
      </c>
      <c r="AA138" s="32">
        <v>195</v>
      </c>
      <c r="AB138" s="31" t="s">
        <v>16</v>
      </c>
      <c r="AC138" s="19" t="s">
        <v>553</v>
      </c>
      <c r="AD138" s="31" t="s">
        <v>1065</v>
      </c>
      <c r="AE138" s="35" t="s">
        <v>193</v>
      </c>
      <c r="AF138" s="41" t="s">
        <v>558</v>
      </c>
      <c r="AG138" s="19" t="s">
        <v>1081</v>
      </c>
      <c r="AH138" s="41" t="s">
        <v>559</v>
      </c>
      <c r="AI138" s="19" t="s">
        <v>1085</v>
      </c>
      <c r="AJ138" s="41" t="s">
        <v>1066</v>
      </c>
      <c r="AK138" s="19" t="s">
        <v>1067</v>
      </c>
    </row>
    <row r="139" spans="1:37" ht="6.6" customHeight="1" x14ac:dyDescent="0.25">
      <c r="A139" s="16">
        <v>139</v>
      </c>
      <c r="B139" s="17" t="s">
        <v>510</v>
      </c>
      <c r="C139" s="18" t="s">
        <v>627</v>
      </c>
      <c r="D139" s="29" t="s">
        <v>564</v>
      </c>
      <c r="E139" s="30" t="s">
        <v>555</v>
      </c>
      <c r="F139" s="36" t="s">
        <v>9</v>
      </c>
      <c r="G139" s="37" t="s">
        <v>9</v>
      </c>
      <c r="H139" s="36" t="s">
        <v>9</v>
      </c>
      <c r="I139" s="37" t="s">
        <v>9</v>
      </c>
      <c r="J139" s="31" t="s">
        <v>84</v>
      </c>
      <c r="K139" s="61" t="s">
        <v>383</v>
      </c>
      <c r="L139" s="31" t="s">
        <v>9</v>
      </c>
      <c r="M139" s="60" t="s">
        <v>9</v>
      </c>
      <c r="N139" s="31" t="s">
        <v>9</v>
      </c>
      <c r="O139" s="60" t="s">
        <v>9</v>
      </c>
      <c r="P139" s="31" t="s">
        <v>86</v>
      </c>
      <c r="Q139" s="32">
        <v>599</v>
      </c>
      <c r="R139" s="31" t="s">
        <v>87</v>
      </c>
      <c r="S139" s="32">
        <v>178</v>
      </c>
      <c r="T139" s="31" t="s">
        <v>191</v>
      </c>
      <c r="U139" s="32">
        <v>10</v>
      </c>
      <c r="V139" s="31" t="s">
        <v>192</v>
      </c>
      <c r="W139" s="32" t="s">
        <v>234</v>
      </c>
      <c r="X139" s="31" t="s">
        <v>194</v>
      </c>
      <c r="Y139" s="32" t="s">
        <v>282</v>
      </c>
      <c r="Z139" s="31" t="s">
        <v>1064</v>
      </c>
      <c r="AA139" s="32">
        <v>82</v>
      </c>
      <c r="AB139" s="31" t="s">
        <v>16</v>
      </c>
      <c r="AC139" s="19" t="s">
        <v>553</v>
      </c>
      <c r="AD139" s="31" t="s">
        <v>1065</v>
      </c>
      <c r="AE139" s="35" t="s">
        <v>193</v>
      </c>
      <c r="AF139" s="41" t="s">
        <v>558</v>
      </c>
      <c r="AG139" s="19" t="s">
        <v>1081</v>
      </c>
      <c r="AH139" s="41" t="s">
        <v>559</v>
      </c>
      <c r="AI139" s="19" t="s">
        <v>1085</v>
      </c>
      <c r="AJ139" s="41" t="s">
        <v>1066</v>
      </c>
      <c r="AK139" s="19" t="s">
        <v>1067</v>
      </c>
    </row>
    <row r="140" spans="1:37" ht="6.6" customHeight="1" x14ac:dyDescent="0.25">
      <c r="A140" s="16">
        <v>140</v>
      </c>
      <c r="B140" s="17" t="s">
        <v>511</v>
      </c>
      <c r="C140" s="18" t="s">
        <v>627</v>
      </c>
      <c r="D140" s="29" t="s">
        <v>564</v>
      </c>
      <c r="E140" s="30" t="s">
        <v>555</v>
      </c>
      <c r="F140" s="36" t="s">
        <v>9</v>
      </c>
      <c r="G140" s="37" t="s">
        <v>9</v>
      </c>
      <c r="H140" s="36" t="s">
        <v>9</v>
      </c>
      <c r="I140" s="37" t="s">
        <v>9</v>
      </c>
      <c r="J140" s="31" t="s">
        <v>84</v>
      </c>
      <c r="K140" s="61" t="s">
        <v>384</v>
      </c>
      <c r="L140" s="31" t="s">
        <v>9</v>
      </c>
      <c r="M140" s="60" t="s">
        <v>9</v>
      </c>
      <c r="N140" s="31" t="s">
        <v>9</v>
      </c>
      <c r="O140" s="60" t="s">
        <v>9</v>
      </c>
      <c r="P140" s="31" t="s">
        <v>86</v>
      </c>
      <c r="Q140" s="32">
        <v>603</v>
      </c>
      <c r="R140" s="31" t="s">
        <v>87</v>
      </c>
      <c r="S140" s="32">
        <v>179</v>
      </c>
      <c r="T140" s="31" t="s">
        <v>191</v>
      </c>
      <c r="U140" s="32" t="s">
        <v>146</v>
      </c>
      <c r="V140" s="31" t="s">
        <v>192</v>
      </c>
      <c r="W140" s="32">
        <v>15</v>
      </c>
      <c r="X140" s="31" t="s">
        <v>194</v>
      </c>
      <c r="Y140" s="32" t="s">
        <v>219</v>
      </c>
      <c r="Z140" s="31" t="s">
        <v>1064</v>
      </c>
      <c r="AA140" s="32">
        <v>92</v>
      </c>
      <c r="AB140" s="31" t="s">
        <v>16</v>
      </c>
      <c r="AC140" s="19" t="s">
        <v>553</v>
      </c>
      <c r="AD140" s="31" t="s">
        <v>1065</v>
      </c>
      <c r="AE140" s="35" t="s">
        <v>193</v>
      </c>
      <c r="AF140" s="41" t="s">
        <v>558</v>
      </c>
      <c r="AG140" s="19" t="s">
        <v>1081</v>
      </c>
      <c r="AH140" s="41" t="s">
        <v>559</v>
      </c>
      <c r="AI140" s="19" t="s">
        <v>1085</v>
      </c>
      <c r="AJ140" s="41" t="s">
        <v>1066</v>
      </c>
      <c r="AK140" s="19" t="s">
        <v>1067</v>
      </c>
    </row>
    <row r="141" spans="1:37" ht="6.6" customHeight="1" x14ac:dyDescent="0.25">
      <c r="A141" s="16">
        <v>141</v>
      </c>
      <c r="B141" s="17" t="s">
        <v>512</v>
      </c>
      <c r="C141" s="18" t="s">
        <v>627</v>
      </c>
      <c r="D141" s="29" t="s">
        <v>564</v>
      </c>
      <c r="E141" s="30" t="s">
        <v>555</v>
      </c>
      <c r="F141" s="36" t="s">
        <v>9</v>
      </c>
      <c r="G141" s="37" t="s">
        <v>9</v>
      </c>
      <c r="H141" s="36" t="s">
        <v>9</v>
      </c>
      <c r="I141" s="37" t="s">
        <v>9</v>
      </c>
      <c r="J141" s="31" t="s">
        <v>84</v>
      </c>
      <c r="K141" s="61" t="s">
        <v>385</v>
      </c>
      <c r="L141" s="31" t="s">
        <v>9</v>
      </c>
      <c r="M141" s="60" t="s">
        <v>9</v>
      </c>
      <c r="N141" s="31" t="s">
        <v>9</v>
      </c>
      <c r="O141" s="60" t="s">
        <v>9</v>
      </c>
      <c r="P141" s="31" t="s">
        <v>86</v>
      </c>
      <c r="Q141" s="32">
        <v>627</v>
      </c>
      <c r="R141" s="31" t="s">
        <v>87</v>
      </c>
      <c r="S141" s="32">
        <v>328</v>
      </c>
      <c r="T141" s="31" t="s">
        <v>191</v>
      </c>
      <c r="U141" s="32" t="s">
        <v>280</v>
      </c>
      <c r="V141" s="31" t="s">
        <v>192</v>
      </c>
      <c r="W141" s="32" t="s">
        <v>286</v>
      </c>
      <c r="X141" s="31" t="s">
        <v>194</v>
      </c>
      <c r="Y141" s="32" t="s">
        <v>219</v>
      </c>
      <c r="Z141" s="31" t="s">
        <v>1064</v>
      </c>
      <c r="AA141" s="32">
        <v>217</v>
      </c>
      <c r="AB141" s="31" t="s">
        <v>16</v>
      </c>
      <c r="AC141" s="19" t="s">
        <v>553</v>
      </c>
      <c r="AD141" s="31" t="s">
        <v>1065</v>
      </c>
      <c r="AE141" s="35" t="s">
        <v>193</v>
      </c>
      <c r="AF141" s="41" t="s">
        <v>558</v>
      </c>
      <c r="AG141" s="19" t="s">
        <v>1081</v>
      </c>
      <c r="AH141" s="41" t="s">
        <v>559</v>
      </c>
      <c r="AI141" s="19" t="s">
        <v>1085</v>
      </c>
      <c r="AJ141" s="41" t="s">
        <v>1066</v>
      </c>
      <c r="AK141" s="19" t="s">
        <v>1067</v>
      </c>
    </row>
    <row r="142" spans="1:37" ht="6.6" customHeight="1" x14ac:dyDescent="0.25">
      <c r="A142" s="16">
        <v>142</v>
      </c>
      <c r="B142" s="17" t="s">
        <v>529</v>
      </c>
      <c r="C142" s="39" t="s">
        <v>538</v>
      </c>
      <c r="D142" s="36" t="s">
        <v>9</v>
      </c>
      <c r="E142" s="37" t="s">
        <v>9</v>
      </c>
      <c r="F142" s="36" t="s">
        <v>9</v>
      </c>
      <c r="G142" s="37" t="s">
        <v>9</v>
      </c>
      <c r="H142" s="36" t="s">
        <v>9</v>
      </c>
      <c r="I142" s="37" t="s">
        <v>9</v>
      </c>
      <c r="J142" s="31" t="s">
        <v>539</v>
      </c>
      <c r="K142" s="61" t="s">
        <v>540</v>
      </c>
      <c r="L142" s="31" t="s">
        <v>9</v>
      </c>
      <c r="M142" s="60" t="s">
        <v>9</v>
      </c>
      <c r="N142" s="31" t="s">
        <v>9</v>
      </c>
      <c r="O142" s="60" t="s">
        <v>9</v>
      </c>
      <c r="P142" s="31" t="s">
        <v>9</v>
      </c>
      <c r="Q142" s="33" t="s">
        <v>9</v>
      </c>
      <c r="R142" s="31" t="s">
        <v>9</v>
      </c>
      <c r="S142" s="33" t="s">
        <v>9</v>
      </c>
      <c r="T142" s="31" t="s">
        <v>9</v>
      </c>
      <c r="U142" s="33" t="s">
        <v>9</v>
      </c>
      <c r="V142" s="31" t="s">
        <v>9</v>
      </c>
      <c r="W142" s="33" t="s">
        <v>9</v>
      </c>
      <c r="X142" s="31" t="s">
        <v>9</v>
      </c>
      <c r="Y142" s="33" t="s">
        <v>9</v>
      </c>
      <c r="Z142" s="31" t="s">
        <v>9</v>
      </c>
      <c r="AA142" s="33" t="s">
        <v>9</v>
      </c>
      <c r="AB142" s="31" t="s">
        <v>16</v>
      </c>
      <c r="AC142" s="35" t="s">
        <v>544</v>
      </c>
      <c r="AD142" s="31" t="s">
        <v>9</v>
      </c>
      <c r="AE142" s="19" t="s">
        <v>9</v>
      </c>
      <c r="AF142" s="41" t="s">
        <v>558</v>
      </c>
      <c r="AG142" s="19" t="s">
        <v>1082</v>
      </c>
      <c r="AH142" s="41" t="s">
        <v>559</v>
      </c>
      <c r="AI142" s="19" t="s">
        <v>1086</v>
      </c>
      <c r="AJ142" s="41" t="s">
        <v>1066</v>
      </c>
      <c r="AK142" s="19" t="s">
        <v>1067</v>
      </c>
    </row>
    <row r="143" spans="1:37" ht="6.6" customHeight="1" x14ac:dyDescent="0.25">
      <c r="A143" s="16">
        <v>143</v>
      </c>
      <c r="B143" s="17" t="s">
        <v>530</v>
      </c>
      <c r="C143" s="39" t="s">
        <v>538</v>
      </c>
      <c r="D143" s="36" t="s">
        <v>9</v>
      </c>
      <c r="E143" s="37" t="s">
        <v>9</v>
      </c>
      <c r="F143" s="36" t="s">
        <v>9</v>
      </c>
      <c r="G143" s="37" t="s">
        <v>9</v>
      </c>
      <c r="H143" s="36" t="s">
        <v>9</v>
      </c>
      <c r="I143" s="37" t="s">
        <v>9</v>
      </c>
      <c r="J143" s="31" t="s">
        <v>539</v>
      </c>
      <c r="K143" s="61" t="s">
        <v>542</v>
      </c>
      <c r="L143" s="31" t="s">
        <v>9</v>
      </c>
      <c r="M143" s="60" t="s">
        <v>9</v>
      </c>
      <c r="N143" s="31" t="s">
        <v>9</v>
      </c>
      <c r="O143" s="60" t="s">
        <v>9</v>
      </c>
      <c r="P143" s="31" t="s">
        <v>9</v>
      </c>
      <c r="Q143" s="33" t="s">
        <v>9</v>
      </c>
      <c r="R143" s="31" t="s">
        <v>9</v>
      </c>
      <c r="S143" s="33" t="s">
        <v>9</v>
      </c>
      <c r="T143" s="31" t="s">
        <v>9</v>
      </c>
      <c r="U143" s="33" t="s">
        <v>9</v>
      </c>
      <c r="V143" s="31" t="s">
        <v>9</v>
      </c>
      <c r="W143" s="33" t="s">
        <v>9</v>
      </c>
      <c r="X143" s="31" t="s">
        <v>9</v>
      </c>
      <c r="Y143" s="33" t="s">
        <v>9</v>
      </c>
      <c r="Z143" s="31" t="s">
        <v>9</v>
      </c>
      <c r="AA143" s="33" t="s">
        <v>9</v>
      </c>
      <c r="AB143" s="31" t="s">
        <v>16</v>
      </c>
      <c r="AC143" s="35" t="s">
        <v>545</v>
      </c>
      <c r="AD143" s="31" t="s">
        <v>9</v>
      </c>
      <c r="AE143" s="19" t="s">
        <v>9</v>
      </c>
      <c r="AF143" s="41" t="s">
        <v>558</v>
      </c>
      <c r="AG143" s="19" t="s">
        <v>1082</v>
      </c>
      <c r="AH143" s="41" t="s">
        <v>559</v>
      </c>
      <c r="AI143" s="19" t="s">
        <v>1086</v>
      </c>
      <c r="AJ143" s="41" t="s">
        <v>1066</v>
      </c>
      <c r="AK143" s="19" t="s">
        <v>1067</v>
      </c>
    </row>
    <row r="144" spans="1:37" ht="6.6" customHeight="1" x14ac:dyDescent="0.25">
      <c r="A144" s="16">
        <v>144</v>
      </c>
      <c r="B144" s="17" t="s">
        <v>531</v>
      </c>
      <c r="C144" s="39" t="s">
        <v>538</v>
      </c>
      <c r="D144" s="36" t="s">
        <v>9</v>
      </c>
      <c r="E144" s="37" t="s">
        <v>9</v>
      </c>
      <c r="F144" s="36" t="s">
        <v>9</v>
      </c>
      <c r="G144" s="37" t="s">
        <v>9</v>
      </c>
      <c r="H144" s="36" t="s">
        <v>9</v>
      </c>
      <c r="I144" s="37" t="s">
        <v>9</v>
      </c>
      <c r="J144" s="31" t="s">
        <v>539</v>
      </c>
      <c r="K144" s="61" t="s">
        <v>543</v>
      </c>
      <c r="L144" s="31" t="s">
        <v>9</v>
      </c>
      <c r="M144" s="60" t="s">
        <v>9</v>
      </c>
      <c r="N144" s="31" t="s">
        <v>9</v>
      </c>
      <c r="O144" s="60" t="s">
        <v>9</v>
      </c>
      <c r="P144" s="31" t="s">
        <v>9</v>
      </c>
      <c r="Q144" s="33" t="s">
        <v>9</v>
      </c>
      <c r="R144" s="31" t="s">
        <v>9</v>
      </c>
      <c r="S144" s="33" t="s">
        <v>9</v>
      </c>
      <c r="T144" s="31" t="s">
        <v>9</v>
      </c>
      <c r="U144" s="33" t="s">
        <v>9</v>
      </c>
      <c r="V144" s="31" t="s">
        <v>9</v>
      </c>
      <c r="W144" s="33" t="s">
        <v>9</v>
      </c>
      <c r="X144" s="31" t="s">
        <v>9</v>
      </c>
      <c r="Y144" s="33" t="s">
        <v>9</v>
      </c>
      <c r="Z144" s="31" t="s">
        <v>9</v>
      </c>
      <c r="AA144" s="33" t="s">
        <v>9</v>
      </c>
      <c r="AB144" s="31" t="s">
        <v>16</v>
      </c>
      <c r="AC144" s="35" t="s">
        <v>546</v>
      </c>
      <c r="AD144" s="31" t="s">
        <v>9</v>
      </c>
      <c r="AE144" s="19" t="s">
        <v>9</v>
      </c>
      <c r="AF144" s="41" t="s">
        <v>558</v>
      </c>
      <c r="AG144" s="19" t="s">
        <v>1082</v>
      </c>
      <c r="AH144" s="41" t="s">
        <v>559</v>
      </c>
      <c r="AI144" s="19" t="s">
        <v>1086</v>
      </c>
      <c r="AJ144" s="41" t="s">
        <v>1066</v>
      </c>
      <c r="AK144" s="19" t="s">
        <v>1067</v>
      </c>
    </row>
    <row r="145" spans="1:37" ht="6.6" customHeight="1" x14ac:dyDescent="0.25">
      <c r="A145" s="16">
        <v>145</v>
      </c>
      <c r="B145" s="17" t="s">
        <v>532</v>
      </c>
      <c r="C145" s="39" t="s">
        <v>538</v>
      </c>
      <c r="D145" s="36" t="s">
        <v>9</v>
      </c>
      <c r="E145" s="37" t="s">
        <v>9</v>
      </c>
      <c r="F145" s="36" t="s">
        <v>9</v>
      </c>
      <c r="G145" s="37" t="s">
        <v>9</v>
      </c>
      <c r="H145" s="36" t="s">
        <v>9</v>
      </c>
      <c r="I145" s="37" t="s">
        <v>9</v>
      </c>
      <c r="J145" s="31" t="s">
        <v>539</v>
      </c>
      <c r="K145" s="61" t="s">
        <v>541</v>
      </c>
      <c r="L145" s="31" t="s">
        <v>9</v>
      </c>
      <c r="M145" s="60" t="s">
        <v>9</v>
      </c>
      <c r="N145" s="31" t="s">
        <v>9</v>
      </c>
      <c r="O145" s="60" t="s">
        <v>9</v>
      </c>
      <c r="P145" s="31" t="s">
        <v>9</v>
      </c>
      <c r="Q145" s="33" t="s">
        <v>9</v>
      </c>
      <c r="R145" s="31" t="s">
        <v>9</v>
      </c>
      <c r="S145" s="33" t="s">
        <v>9</v>
      </c>
      <c r="T145" s="31" t="s">
        <v>9</v>
      </c>
      <c r="U145" s="33" t="s">
        <v>9</v>
      </c>
      <c r="V145" s="31" t="s">
        <v>9</v>
      </c>
      <c r="W145" s="33" t="s">
        <v>9</v>
      </c>
      <c r="X145" s="31" t="s">
        <v>9</v>
      </c>
      <c r="Y145" s="33" t="s">
        <v>9</v>
      </c>
      <c r="Z145" s="31" t="s">
        <v>9</v>
      </c>
      <c r="AA145" s="33" t="s">
        <v>9</v>
      </c>
      <c r="AB145" s="31" t="s">
        <v>16</v>
      </c>
      <c r="AC145" s="35" t="s">
        <v>547</v>
      </c>
      <c r="AD145" s="31" t="s">
        <v>9</v>
      </c>
      <c r="AE145" s="19" t="s">
        <v>9</v>
      </c>
      <c r="AF145" s="41" t="s">
        <v>558</v>
      </c>
      <c r="AG145" s="19" t="s">
        <v>1082</v>
      </c>
      <c r="AH145" s="41" t="s">
        <v>559</v>
      </c>
      <c r="AI145" s="19" t="s">
        <v>1086</v>
      </c>
      <c r="AJ145" s="41" t="s">
        <v>1066</v>
      </c>
      <c r="AK145" s="19" t="s">
        <v>1067</v>
      </c>
    </row>
    <row r="146" spans="1:37" ht="6.6" customHeight="1" x14ac:dyDescent="0.25">
      <c r="A146" s="16">
        <v>148</v>
      </c>
      <c r="B146" s="17" t="s">
        <v>88</v>
      </c>
      <c r="C146" s="18" t="s">
        <v>516</v>
      </c>
      <c r="D146" s="29" t="s">
        <v>9</v>
      </c>
      <c r="E146" s="30" t="s">
        <v>9</v>
      </c>
      <c r="F146" s="36" t="s">
        <v>9</v>
      </c>
      <c r="G146" s="37" t="s">
        <v>9</v>
      </c>
      <c r="H146" s="36" t="s">
        <v>9</v>
      </c>
      <c r="I146" s="37" t="s">
        <v>9</v>
      </c>
      <c r="J146" s="31" t="s">
        <v>9</v>
      </c>
      <c r="K146" s="60" t="s">
        <v>9</v>
      </c>
      <c r="L146" s="31" t="s">
        <v>9</v>
      </c>
      <c r="M146" s="60" t="s">
        <v>9</v>
      </c>
      <c r="N146" s="31" t="s">
        <v>9</v>
      </c>
      <c r="O146" s="60" t="s">
        <v>9</v>
      </c>
      <c r="P146" s="31" t="s">
        <v>9</v>
      </c>
      <c r="Q146" s="33" t="s">
        <v>9</v>
      </c>
      <c r="R146" s="31" t="s">
        <v>9</v>
      </c>
      <c r="S146" s="33" t="s">
        <v>9</v>
      </c>
      <c r="T146" s="31" t="s">
        <v>9</v>
      </c>
      <c r="U146" s="33" t="s">
        <v>9</v>
      </c>
      <c r="V146" s="31" t="s">
        <v>9</v>
      </c>
      <c r="W146" s="33" t="s">
        <v>9</v>
      </c>
      <c r="X146" s="31" t="s">
        <v>9</v>
      </c>
      <c r="Y146" s="33" t="s">
        <v>9</v>
      </c>
      <c r="Z146" s="31" t="s">
        <v>9</v>
      </c>
      <c r="AA146" s="33" t="s">
        <v>9</v>
      </c>
      <c r="AB146" s="43" t="s">
        <v>16</v>
      </c>
      <c r="AC146" s="42" t="s">
        <v>575</v>
      </c>
      <c r="AD146" s="31" t="s">
        <v>9</v>
      </c>
      <c r="AE146" s="19" t="s">
        <v>9</v>
      </c>
      <c r="AF146" s="41" t="s">
        <v>558</v>
      </c>
      <c r="AG146" s="19" t="s">
        <v>1078</v>
      </c>
      <c r="AH146" s="41" t="s">
        <v>558</v>
      </c>
      <c r="AI146" s="19" t="s">
        <v>1078</v>
      </c>
      <c r="AJ146" s="41" t="s">
        <v>1066</v>
      </c>
      <c r="AK146" s="19" t="s">
        <v>1067</v>
      </c>
    </row>
    <row r="147" spans="1:37" ht="6.6" customHeight="1" x14ac:dyDescent="0.25">
      <c r="A147" s="16">
        <v>149</v>
      </c>
      <c r="B147" s="17" t="s">
        <v>89</v>
      </c>
      <c r="C147" s="18" t="s">
        <v>516</v>
      </c>
      <c r="D147" s="29" t="s">
        <v>9</v>
      </c>
      <c r="E147" s="30" t="s">
        <v>9</v>
      </c>
      <c r="F147" s="36" t="s">
        <v>9</v>
      </c>
      <c r="G147" s="37" t="s">
        <v>9</v>
      </c>
      <c r="H147" s="36" t="s">
        <v>9</v>
      </c>
      <c r="I147" s="37" t="s">
        <v>9</v>
      </c>
      <c r="J147" s="31" t="s">
        <v>9</v>
      </c>
      <c r="K147" s="60" t="s">
        <v>9</v>
      </c>
      <c r="L147" s="31" t="s">
        <v>9</v>
      </c>
      <c r="M147" s="60" t="s">
        <v>9</v>
      </c>
      <c r="N147" s="31" t="s">
        <v>9</v>
      </c>
      <c r="O147" s="60" t="s">
        <v>9</v>
      </c>
      <c r="P147" s="31" t="s">
        <v>9</v>
      </c>
      <c r="Q147" s="33" t="s">
        <v>9</v>
      </c>
      <c r="R147" s="31" t="s">
        <v>9</v>
      </c>
      <c r="S147" s="33" t="s">
        <v>9</v>
      </c>
      <c r="T147" s="31" t="s">
        <v>9</v>
      </c>
      <c r="U147" s="33" t="s">
        <v>9</v>
      </c>
      <c r="V147" s="31" t="s">
        <v>9</v>
      </c>
      <c r="W147" s="33" t="s">
        <v>9</v>
      </c>
      <c r="X147" s="31" t="s">
        <v>9</v>
      </c>
      <c r="Y147" s="33" t="s">
        <v>9</v>
      </c>
      <c r="Z147" s="31" t="s">
        <v>9</v>
      </c>
      <c r="AA147" s="33" t="s">
        <v>9</v>
      </c>
      <c r="AB147" s="43" t="s">
        <v>16</v>
      </c>
      <c r="AC147" s="42" t="s">
        <v>576</v>
      </c>
      <c r="AD147" s="31" t="s">
        <v>9</v>
      </c>
      <c r="AE147" s="19" t="s">
        <v>9</v>
      </c>
      <c r="AF147" s="41" t="s">
        <v>558</v>
      </c>
      <c r="AG147" s="19" t="s">
        <v>1078</v>
      </c>
      <c r="AH147" s="41" t="s">
        <v>558</v>
      </c>
      <c r="AI147" s="19" t="s">
        <v>1078</v>
      </c>
      <c r="AJ147" s="41" t="s">
        <v>1066</v>
      </c>
      <c r="AK147" s="19" t="s">
        <v>1067</v>
      </c>
    </row>
    <row r="148" spans="1:37" ht="6.6" customHeight="1" x14ac:dyDescent="0.25">
      <c r="A148" s="16">
        <v>150</v>
      </c>
      <c r="B148" s="17" t="s">
        <v>386</v>
      </c>
      <c r="C148" s="18" t="s">
        <v>516</v>
      </c>
      <c r="D148" s="29" t="s">
        <v>9</v>
      </c>
      <c r="E148" s="30" t="s">
        <v>9</v>
      </c>
      <c r="F148" s="36" t="s">
        <v>9</v>
      </c>
      <c r="G148" s="37" t="s">
        <v>9</v>
      </c>
      <c r="H148" s="36" t="s">
        <v>9</v>
      </c>
      <c r="I148" s="37" t="s">
        <v>9</v>
      </c>
      <c r="J148" s="31" t="s">
        <v>9</v>
      </c>
      <c r="K148" s="60" t="s">
        <v>9</v>
      </c>
      <c r="L148" s="31" t="s">
        <v>9</v>
      </c>
      <c r="M148" s="60" t="s">
        <v>9</v>
      </c>
      <c r="N148" s="31" t="s">
        <v>9</v>
      </c>
      <c r="O148" s="60" t="s">
        <v>9</v>
      </c>
      <c r="P148" s="31" t="s">
        <v>9</v>
      </c>
      <c r="Q148" s="33" t="s">
        <v>9</v>
      </c>
      <c r="R148" s="31" t="s">
        <v>9</v>
      </c>
      <c r="S148" s="33" t="s">
        <v>9</v>
      </c>
      <c r="T148" s="31" t="s">
        <v>9</v>
      </c>
      <c r="U148" s="33" t="s">
        <v>9</v>
      </c>
      <c r="V148" s="31" t="s">
        <v>9</v>
      </c>
      <c r="W148" s="33" t="s">
        <v>9</v>
      </c>
      <c r="X148" s="31" t="s">
        <v>9</v>
      </c>
      <c r="Y148" s="33" t="s">
        <v>9</v>
      </c>
      <c r="Z148" s="31" t="s">
        <v>9</v>
      </c>
      <c r="AA148" s="33" t="s">
        <v>9</v>
      </c>
      <c r="AB148" s="43" t="s">
        <v>16</v>
      </c>
      <c r="AC148" s="42" t="s">
        <v>577</v>
      </c>
      <c r="AD148" s="31" t="s">
        <v>9</v>
      </c>
      <c r="AE148" s="19" t="s">
        <v>9</v>
      </c>
      <c r="AF148" s="41" t="s">
        <v>558</v>
      </c>
      <c r="AG148" s="19" t="s">
        <v>1078</v>
      </c>
      <c r="AH148" s="41" t="s">
        <v>558</v>
      </c>
      <c r="AI148" s="19" t="s">
        <v>1078</v>
      </c>
      <c r="AJ148" s="41" t="s">
        <v>1066</v>
      </c>
      <c r="AK148" s="19" t="s">
        <v>1067</v>
      </c>
    </row>
    <row r="149" spans="1:37" ht="6.6" customHeight="1" x14ac:dyDescent="0.25">
      <c r="A149" s="16">
        <v>151</v>
      </c>
      <c r="B149" s="17" t="s">
        <v>517</v>
      </c>
      <c r="C149" s="18" t="s">
        <v>516</v>
      </c>
      <c r="D149" s="36" t="s">
        <v>528</v>
      </c>
      <c r="E149" s="37" t="s">
        <v>88</v>
      </c>
      <c r="F149" s="29" t="s">
        <v>526</v>
      </c>
      <c r="G149" s="30" t="s">
        <v>416</v>
      </c>
      <c r="H149" s="36" t="s">
        <v>9</v>
      </c>
      <c r="I149" s="37" t="s">
        <v>9</v>
      </c>
      <c r="J149" s="31" t="s">
        <v>9</v>
      </c>
      <c r="K149" s="60" t="s">
        <v>9</v>
      </c>
      <c r="L149" s="31" t="s">
        <v>9</v>
      </c>
      <c r="M149" s="60" t="s">
        <v>9</v>
      </c>
      <c r="N149" s="31" t="s">
        <v>9</v>
      </c>
      <c r="O149" s="60" t="s">
        <v>9</v>
      </c>
      <c r="P149" s="31" t="s">
        <v>9</v>
      </c>
      <c r="Q149" s="33" t="s">
        <v>9</v>
      </c>
      <c r="R149" s="31" t="s">
        <v>9</v>
      </c>
      <c r="S149" s="33" t="s">
        <v>9</v>
      </c>
      <c r="T149" s="31" t="s">
        <v>9</v>
      </c>
      <c r="U149" s="33" t="s">
        <v>9</v>
      </c>
      <c r="V149" s="31" t="s">
        <v>9</v>
      </c>
      <c r="W149" s="33" t="s">
        <v>9</v>
      </c>
      <c r="X149" s="31" t="s">
        <v>9</v>
      </c>
      <c r="Y149" s="33" t="s">
        <v>9</v>
      </c>
      <c r="Z149" s="31" t="s">
        <v>9</v>
      </c>
      <c r="AA149" s="33" t="s">
        <v>9</v>
      </c>
      <c r="AB149" s="43" t="s">
        <v>16</v>
      </c>
      <c r="AC149" s="42" t="s">
        <v>521</v>
      </c>
      <c r="AD149" s="31" t="s">
        <v>9</v>
      </c>
      <c r="AE149" s="19" t="s">
        <v>9</v>
      </c>
      <c r="AF149" s="41" t="s">
        <v>558</v>
      </c>
      <c r="AG149" s="19" t="s">
        <v>1081</v>
      </c>
      <c r="AH149" s="41" t="s">
        <v>559</v>
      </c>
      <c r="AI149" s="19" t="s">
        <v>1085</v>
      </c>
      <c r="AJ149" s="41" t="s">
        <v>1066</v>
      </c>
      <c r="AK149" s="19" t="s">
        <v>1067</v>
      </c>
    </row>
    <row r="150" spans="1:37" ht="6.6" customHeight="1" x14ac:dyDescent="0.25">
      <c r="A150" s="16">
        <v>152</v>
      </c>
      <c r="B150" s="17" t="s">
        <v>518</v>
      </c>
      <c r="C150" s="18" t="s">
        <v>516</v>
      </c>
      <c r="D150" s="36" t="s">
        <v>528</v>
      </c>
      <c r="E150" s="37" t="s">
        <v>88</v>
      </c>
      <c r="F150" s="29" t="s">
        <v>526</v>
      </c>
      <c r="G150" s="30" t="s">
        <v>416</v>
      </c>
      <c r="H150" s="36" t="s">
        <v>9</v>
      </c>
      <c r="I150" s="37" t="s">
        <v>9</v>
      </c>
      <c r="J150" s="31" t="s">
        <v>9</v>
      </c>
      <c r="K150" s="60" t="s">
        <v>9</v>
      </c>
      <c r="L150" s="31" t="s">
        <v>9</v>
      </c>
      <c r="M150" s="60" t="s">
        <v>9</v>
      </c>
      <c r="N150" s="31" t="s">
        <v>9</v>
      </c>
      <c r="O150" s="60" t="s">
        <v>9</v>
      </c>
      <c r="P150" s="31" t="s">
        <v>9</v>
      </c>
      <c r="Q150" s="33" t="s">
        <v>9</v>
      </c>
      <c r="R150" s="31" t="s">
        <v>9</v>
      </c>
      <c r="S150" s="33" t="s">
        <v>9</v>
      </c>
      <c r="T150" s="31" t="s">
        <v>9</v>
      </c>
      <c r="U150" s="33" t="s">
        <v>9</v>
      </c>
      <c r="V150" s="31" t="s">
        <v>9</v>
      </c>
      <c r="W150" s="33" t="s">
        <v>9</v>
      </c>
      <c r="X150" s="31" t="s">
        <v>9</v>
      </c>
      <c r="Y150" s="33" t="s">
        <v>9</v>
      </c>
      <c r="Z150" s="31" t="s">
        <v>9</v>
      </c>
      <c r="AA150" s="33" t="s">
        <v>9</v>
      </c>
      <c r="AB150" s="43" t="s">
        <v>16</v>
      </c>
      <c r="AC150" s="42" t="s">
        <v>521</v>
      </c>
      <c r="AD150" s="31" t="s">
        <v>9</v>
      </c>
      <c r="AE150" s="19" t="s">
        <v>9</v>
      </c>
      <c r="AF150" s="41" t="s">
        <v>558</v>
      </c>
      <c r="AG150" s="19" t="s">
        <v>1081</v>
      </c>
      <c r="AH150" s="41" t="s">
        <v>559</v>
      </c>
      <c r="AI150" s="19" t="s">
        <v>1085</v>
      </c>
      <c r="AJ150" s="41" t="s">
        <v>1066</v>
      </c>
      <c r="AK150" s="19" t="s">
        <v>1067</v>
      </c>
    </row>
    <row r="151" spans="1:37" ht="6.6" customHeight="1" x14ac:dyDescent="0.25">
      <c r="A151" s="16">
        <v>153</v>
      </c>
      <c r="B151" s="17" t="s">
        <v>519</v>
      </c>
      <c r="C151" s="18" t="s">
        <v>516</v>
      </c>
      <c r="D151" s="36" t="s">
        <v>528</v>
      </c>
      <c r="E151" s="37" t="s">
        <v>88</v>
      </c>
      <c r="F151" s="29" t="s">
        <v>526</v>
      </c>
      <c r="G151" s="30" t="s">
        <v>417</v>
      </c>
      <c r="H151" s="36" t="s">
        <v>9</v>
      </c>
      <c r="I151" s="37" t="s">
        <v>9</v>
      </c>
      <c r="J151" s="31" t="s">
        <v>9</v>
      </c>
      <c r="K151" s="60" t="s">
        <v>9</v>
      </c>
      <c r="L151" s="31" t="s">
        <v>9</v>
      </c>
      <c r="M151" s="60" t="s">
        <v>9</v>
      </c>
      <c r="N151" s="31" t="s">
        <v>9</v>
      </c>
      <c r="O151" s="60" t="s">
        <v>9</v>
      </c>
      <c r="P151" s="31" t="s">
        <v>9</v>
      </c>
      <c r="Q151" s="33" t="s">
        <v>9</v>
      </c>
      <c r="R151" s="31" t="s">
        <v>9</v>
      </c>
      <c r="S151" s="33" t="s">
        <v>9</v>
      </c>
      <c r="T151" s="31" t="s">
        <v>9</v>
      </c>
      <c r="U151" s="33" t="s">
        <v>9</v>
      </c>
      <c r="V151" s="31" t="s">
        <v>9</v>
      </c>
      <c r="W151" s="33" t="s">
        <v>9</v>
      </c>
      <c r="X151" s="31" t="s">
        <v>9</v>
      </c>
      <c r="Y151" s="33" t="s">
        <v>9</v>
      </c>
      <c r="Z151" s="31" t="s">
        <v>9</v>
      </c>
      <c r="AA151" s="33" t="s">
        <v>9</v>
      </c>
      <c r="AB151" s="43" t="s">
        <v>16</v>
      </c>
      <c r="AC151" s="42" t="s">
        <v>521</v>
      </c>
      <c r="AD151" s="31" t="s">
        <v>9</v>
      </c>
      <c r="AE151" s="19" t="s">
        <v>9</v>
      </c>
      <c r="AF151" s="41" t="s">
        <v>558</v>
      </c>
      <c r="AG151" s="19" t="s">
        <v>1081</v>
      </c>
      <c r="AH151" s="41" t="s">
        <v>559</v>
      </c>
      <c r="AI151" s="19" t="s">
        <v>1085</v>
      </c>
      <c r="AJ151" s="41" t="s">
        <v>1066</v>
      </c>
      <c r="AK151" s="19" t="s">
        <v>1067</v>
      </c>
    </row>
    <row r="152" spans="1:37" ht="6.6" customHeight="1" x14ac:dyDescent="0.25">
      <c r="A152" s="16">
        <v>154</v>
      </c>
      <c r="B152" s="17" t="s">
        <v>520</v>
      </c>
      <c r="C152" s="18" t="s">
        <v>516</v>
      </c>
      <c r="D152" s="36" t="s">
        <v>528</v>
      </c>
      <c r="E152" s="37" t="s">
        <v>88</v>
      </c>
      <c r="F152" s="29" t="s">
        <v>526</v>
      </c>
      <c r="G152" s="30" t="s">
        <v>417</v>
      </c>
      <c r="H152" s="36" t="s">
        <v>9</v>
      </c>
      <c r="I152" s="37" t="s">
        <v>9</v>
      </c>
      <c r="J152" s="31" t="s">
        <v>9</v>
      </c>
      <c r="K152" s="60" t="s">
        <v>9</v>
      </c>
      <c r="L152" s="31" t="s">
        <v>9</v>
      </c>
      <c r="M152" s="60" t="s">
        <v>9</v>
      </c>
      <c r="N152" s="31" t="s">
        <v>9</v>
      </c>
      <c r="O152" s="60" t="s">
        <v>9</v>
      </c>
      <c r="P152" s="31" t="s">
        <v>9</v>
      </c>
      <c r="Q152" s="33" t="s">
        <v>9</v>
      </c>
      <c r="R152" s="31" t="s">
        <v>9</v>
      </c>
      <c r="S152" s="33" t="s">
        <v>9</v>
      </c>
      <c r="T152" s="31" t="s">
        <v>9</v>
      </c>
      <c r="U152" s="33" t="s">
        <v>9</v>
      </c>
      <c r="V152" s="31" t="s">
        <v>9</v>
      </c>
      <c r="W152" s="33" t="s">
        <v>9</v>
      </c>
      <c r="X152" s="31" t="s">
        <v>9</v>
      </c>
      <c r="Y152" s="33" t="s">
        <v>9</v>
      </c>
      <c r="Z152" s="31" t="s">
        <v>9</v>
      </c>
      <c r="AA152" s="33" t="s">
        <v>9</v>
      </c>
      <c r="AB152" s="43" t="s">
        <v>16</v>
      </c>
      <c r="AC152" s="42" t="s">
        <v>521</v>
      </c>
      <c r="AD152" s="31" t="s">
        <v>9</v>
      </c>
      <c r="AE152" s="19" t="s">
        <v>9</v>
      </c>
      <c r="AF152" s="41" t="s">
        <v>558</v>
      </c>
      <c r="AG152" s="19" t="s">
        <v>1081</v>
      </c>
      <c r="AH152" s="41" t="s">
        <v>559</v>
      </c>
      <c r="AI152" s="19" t="s">
        <v>1085</v>
      </c>
      <c r="AJ152" s="41" t="s">
        <v>1066</v>
      </c>
      <c r="AK152" s="19" t="s">
        <v>1067</v>
      </c>
    </row>
    <row r="153" spans="1:37" ht="6.6" customHeight="1" x14ac:dyDescent="0.25">
      <c r="A153" s="16">
        <v>155</v>
      </c>
      <c r="B153" s="17" t="s">
        <v>522</v>
      </c>
      <c r="C153" s="18" t="s">
        <v>516</v>
      </c>
      <c r="D153" s="36" t="s">
        <v>528</v>
      </c>
      <c r="E153" s="37" t="s">
        <v>88</v>
      </c>
      <c r="F153" s="29" t="s">
        <v>526</v>
      </c>
      <c r="G153" s="30" t="s">
        <v>417</v>
      </c>
      <c r="H153" s="36" t="s">
        <v>9</v>
      </c>
      <c r="I153" s="37" t="s">
        <v>9</v>
      </c>
      <c r="J153" s="31" t="s">
        <v>9</v>
      </c>
      <c r="K153" s="60" t="s">
        <v>9</v>
      </c>
      <c r="L153" s="31" t="s">
        <v>9</v>
      </c>
      <c r="M153" s="60" t="s">
        <v>9</v>
      </c>
      <c r="N153" s="31" t="s">
        <v>9</v>
      </c>
      <c r="O153" s="60" t="s">
        <v>9</v>
      </c>
      <c r="P153" s="31" t="s">
        <v>9</v>
      </c>
      <c r="Q153" s="33" t="s">
        <v>9</v>
      </c>
      <c r="R153" s="31" t="s">
        <v>9</v>
      </c>
      <c r="S153" s="33" t="s">
        <v>9</v>
      </c>
      <c r="T153" s="31" t="s">
        <v>9</v>
      </c>
      <c r="U153" s="33" t="s">
        <v>9</v>
      </c>
      <c r="V153" s="31" t="s">
        <v>9</v>
      </c>
      <c r="W153" s="33" t="s">
        <v>9</v>
      </c>
      <c r="X153" s="31" t="s">
        <v>9</v>
      </c>
      <c r="Y153" s="33" t="s">
        <v>9</v>
      </c>
      <c r="Z153" s="31" t="s">
        <v>9</v>
      </c>
      <c r="AA153" s="33" t="s">
        <v>9</v>
      </c>
      <c r="AB153" s="43" t="s">
        <v>16</v>
      </c>
      <c r="AC153" s="42" t="s">
        <v>527</v>
      </c>
      <c r="AD153" s="31" t="s">
        <v>9</v>
      </c>
      <c r="AE153" s="19" t="s">
        <v>9</v>
      </c>
      <c r="AF153" s="41" t="s">
        <v>558</v>
      </c>
      <c r="AG153" s="19" t="s">
        <v>1081</v>
      </c>
      <c r="AH153" s="41" t="s">
        <v>559</v>
      </c>
      <c r="AI153" s="19" t="s">
        <v>1085</v>
      </c>
      <c r="AJ153" s="41" t="s">
        <v>1066</v>
      </c>
      <c r="AK153" s="19" t="s">
        <v>1067</v>
      </c>
    </row>
    <row r="154" spans="1:37" ht="6.6" customHeight="1" x14ac:dyDescent="0.25">
      <c r="A154" s="16">
        <v>156</v>
      </c>
      <c r="B154" s="17" t="s">
        <v>523</v>
      </c>
      <c r="C154" s="18" t="s">
        <v>516</v>
      </c>
      <c r="D154" s="36" t="s">
        <v>528</v>
      </c>
      <c r="E154" s="37" t="s">
        <v>88</v>
      </c>
      <c r="F154" s="29" t="s">
        <v>526</v>
      </c>
      <c r="G154" s="30" t="s">
        <v>417</v>
      </c>
      <c r="H154" s="36" t="s">
        <v>9</v>
      </c>
      <c r="I154" s="37" t="s">
        <v>9</v>
      </c>
      <c r="J154" s="31" t="s">
        <v>9</v>
      </c>
      <c r="K154" s="60" t="s">
        <v>9</v>
      </c>
      <c r="L154" s="31" t="s">
        <v>9</v>
      </c>
      <c r="M154" s="60" t="s">
        <v>9</v>
      </c>
      <c r="N154" s="31" t="s">
        <v>9</v>
      </c>
      <c r="O154" s="60" t="s">
        <v>9</v>
      </c>
      <c r="P154" s="31" t="s">
        <v>9</v>
      </c>
      <c r="Q154" s="33" t="s">
        <v>9</v>
      </c>
      <c r="R154" s="31" t="s">
        <v>9</v>
      </c>
      <c r="S154" s="33" t="s">
        <v>9</v>
      </c>
      <c r="T154" s="31" t="s">
        <v>9</v>
      </c>
      <c r="U154" s="33" t="s">
        <v>9</v>
      </c>
      <c r="V154" s="31" t="s">
        <v>9</v>
      </c>
      <c r="W154" s="33" t="s">
        <v>9</v>
      </c>
      <c r="X154" s="31" t="s">
        <v>9</v>
      </c>
      <c r="Y154" s="33" t="s">
        <v>9</v>
      </c>
      <c r="Z154" s="31" t="s">
        <v>9</v>
      </c>
      <c r="AA154" s="33" t="s">
        <v>9</v>
      </c>
      <c r="AB154" s="43" t="s">
        <v>16</v>
      </c>
      <c r="AC154" s="42" t="s">
        <v>527</v>
      </c>
      <c r="AD154" s="31" t="s">
        <v>9</v>
      </c>
      <c r="AE154" s="19" t="s">
        <v>9</v>
      </c>
      <c r="AF154" s="41" t="s">
        <v>558</v>
      </c>
      <c r="AG154" s="19" t="s">
        <v>1081</v>
      </c>
      <c r="AH154" s="41" t="s">
        <v>559</v>
      </c>
      <c r="AI154" s="19" t="s">
        <v>1085</v>
      </c>
      <c r="AJ154" s="41" t="s">
        <v>1066</v>
      </c>
      <c r="AK154" s="19" t="s">
        <v>1067</v>
      </c>
    </row>
    <row r="155" spans="1:37" ht="6.6" customHeight="1" x14ac:dyDescent="0.25">
      <c r="A155" s="16">
        <v>157</v>
      </c>
      <c r="B155" s="17" t="s">
        <v>524</v>
      </c>
      <c r="C155" s="18" t="s">
        <v>516</v>
      </c>
      <c r="D155" s="36" t="s">
        <v>528</v>
      </c>
      <c r="E155" s="37" t="s">
        <v>88</v>
      </c>
      <c r="F155" s="29" t="s">
        <v>526</v>
      </c>
      <c r="G155" s="30" t="s">
        <v>418</v>
      </c>
      <c r="H155" s="36" t="s">
        <v>9</v>
      </c>
      <c r="I155" s="37" t="s">
        <v>9</v>
      </c>
      <c r="J155" s="31" t="s">
        <v>9</v>
      </c>
      <c r="K155" s="60" t="s">
        <v>9</v>
      </c>
      <c r="L155" s="31" t="s">
        <v>9</v>
      </c>
      <c r="M155" s="60" t="s">
        <v>9</v>
      </c>
      <c r="N155" s="31" t="s">
        <v>9</v>
      </c>
      <c r="O155" s="60" t="s">
        <v>9</v>
      </c>
      <c r="P155" s="31" t="s">
        <v>9</v>
      </c>
      <c r="Q155" s="33" t="s">
        <v>9</v>
      </c>
      <c r="R155" s="31" t="s">
        <v>9</v>
      </c>
      <c r="S155" s="33" t="s">
        <v>9</v>
      </c>
      <c r="T155" s="31" t="s">
        <v>9</v>
      </c>
      <c r="U155" s="33" t="s">
        <v>9</v>
      </c>
      <c r="V155" s="31" t="s">
        <v>9</v>
      </c>
      <c r="W155" s="33" t="s">
        <v>9</v>
      </c>
      <c r="X155" s="31" t="s">
        <v>9</v>
      </c>
      <c r="Y155" s="33" t="s">
        <v>9</v>
      </c>
      <c r="Z155" s="31" t="s">
        <v>9</v>
      </c>
      <c r="AA155" s="33" t="s">
        <v>9</v>
      </c>
      <c r="AB155" s="43" t="s">
        <v>16</v>
      </c>
      <c r="AC155" s="42" t="s">
        <v>527</v>
      </c>
      <c r="AD155" s="31" t="s">
        <v>9</v>
      </c>
      <c r="AE155" s="19" t="s">
        <v>9</v>
      </c>
      <c r="AF155" s="41" t="s">
        <v>558</v>
      </c>
      <c r="AG155" s="19" t="s">
        <v>1081</v>
      </c>
      <c r="AH155" s="41" t="s">
        <v>559</v>
      </c>
      <c r="AI155" s="19" t="s">
        <v>1085</v>
      </c>
      <c r="AJ155" s="41" t="s">
        <v>1066</v>
      </c>
      <c r="AK155" s="19" t="s">
        <v>1067</v>
      </c>
    </row>
    <row r="156" spans="1:37" ht="6.6" customHeight="1" x14ac:dyDescent="0.25">
      <c r="A156" s="16">
        <v>158</v>
      </c>
      <c r="B156" s="17" t="s">
        <v>525</v>
      </c>
      <c r="C156" s="18" t="s">
        <v>516</v>
      </c>
      <c r="D156" s="36" t="s">
        <v>528</v>
      </c>
      <c r="E156" s="37" t="s">
        <v>88</v>
      </c>
      <c r="F156" s="29" t="s">
        <v>526</v>
      </c>
      <c r="G156" s="30" t="s">
        <v>418</v>
      </c>
      <c r="H156" s="36" t="s">
        <v>9</v>
      </c>
      <c r="I156" s="37" t="s">
        <v>9</v>
      </c>
      <c r="J156" s="31" t="s">
        <v>9</v>
      </c>
      <c r="K156" s="60" t="s">
        <v>9</v>
      </c>
      <c r="L156" s="31" t="s">
        <v>9</v>
      </c>
      <c r="M156" s="60" t="s">
        <v>9</v>
      </c>
      <c r="N156" s="31" t="s">
        <v>9</v>
      </c>
      <c r="O156" s="60" t="s">
        <v>9</v>
      </c>
      <c r="P156" s="31" t="s">
        <v>9</v>
      </c>
      <c r="Q156" s="33" t="s">
        <v>9</v>
      </c>
      <c r="R156" s="31" t="s">
        <v>9</v>
      </c>
      <c r="S156" s="33" t="s">
        <v>9</v>
      </c>
      <c r="T156" s="31" t="s">
        <v>9</v>
      </c>
      <c r="U156" s="33" t="s">
        <v>9</v>
      </c>
      <c r="V156" s="31" t="s">
        <v>9</v>
      </c>
      <c r="W156" s="33" t="s">
        <v>9</v>
      </c>
      <c r="X156" s="31" t="s">
        <v>9</v>
      </c>
      <c r="Y156" s="33" t="s">
        <v>9</v>
      </c>
      <c r="Z156" s="31" t="s">
        <v>9</v>
      </c>
      <c r="AA156" s="33" t="s">
        <v>9</v>
      </c>
      <c r="AB156" s="43" t="s">
        <v>16</v>
      </c>
      <c r="AC156" s="42" t="s">
        <v>527</v>
      </c>
      <c r="AD156" s="31" t="s">
        <v>9</v>
      </c>
      <c r="AE156" s="19" t="s">
        <v>9</v>
      </c>
      <c r="AF156" s="41" t="s">
        <v>558</v>
      </c>
      <c r="AG156" s="19" t="s">
        <v>1081</v>
      </c>
      <c r="AH156" s="41" t="s">
        <v>559</v>
      </c>
      <c r="AI156" s="19" t="s">
        <v>1085</v>
      </c>
      <c r="AJ156" s="41" t="s">
        <v>1066</v>
      </c>
      <c r="AK156" s="19" t="s">
        <v>1067</v>
      </c>
    </row>
  </sheetData>
  <phoneticPr fontId="9" type="noConversion"/>
  <conditionalFormatting sqref="B1:B1048576">
    <cfRule type="duplicateValues" dxfId="4" priority="2"/>
    <cfRule type="duplicateValues" dxfId="3" priority="152"/>
  </conditionalFormatting>
  <conditionalFormatting sqref="AF4:AF12 AH4:AH12 AJ4:AK12">
    <cfRule type="cellIs" dxfId="2" priority="1" operator="equal">
      <formula>"null"</formula>
    </cfRule>
  </conditionalFormatting>
  <conditionalFormatting sqref="B1:B156">
    <cfRule type="duplicateValues" dxfId="1" priority="475"/>
    <cfRule type="duplicateValues" dxfId="0" priority="476"/>
  </conditionalFormatting>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1DA16A-FA7F-4C2B-A774-AE96AE54DD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Projeto</vt:lpstr>
      <vt:lpstr>Classes</vt:lpstr>
      <vt:lpstr>Disjunt</vt:lpstr>
      <vt:lpstr>Interop</vt:lpstr>
      <vt:lpstr>FatosIn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Luis Menegotto</dc:creator>
  <cp:lastModifiedBy>José Luis Menegotto</cp:lastModifiedBy>
  <dcterms:created xsi:type="dcterms:W3CDTF">2023-10-05T15:04:02Z</dcterms:created>
  <dcterms:modified xsi:type="dcterms:W3CDTF">2026-08-10T18:18:03Z</dcterms:modified>
</cp:coreProperties>
</file>