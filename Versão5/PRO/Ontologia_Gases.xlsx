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EstaPastaDeTrabalho" defaultThemeVersion="202300"/>
  <mc:AlternateContent xmlns:mc="http://schemas.openxmlformats.org/markup-compatibility/2006">
    <mc:Choice Requires="x15">
      <x15ac:absPath xmlns:x15ac="http://schemas.microsoft.com/office/spreadsheetml/2010/11/ac" url="C:\Construtor_Onto\GASE\"/>
    </mc:Choice>
  </mc:AlternateContent>
  <xr:revisionPtr revIDLastSave="0" documentId="13_ncr:1_{96289D11-A3B2-4B09-834C-C5DEF7AEB88D}" xr6:coauthVersionLast="47" xr6:coauthVersionMax="47" xr10:uidLastSave="{00000000-0000-0000-0000-000000000000}"/>
  <bookViews>
    <workbookView xWindow="-120" yWindow="-120" windowWidth="24240" windowHeight="13290" tabRatio="520" activeTab="3" xr2:uid="{00000000-000D-0000-FFFF-FFFF00000000}"/>
  </bookViews>
  <sheets>
    <sheet name="Projeto" sheetId="13" r:id="rId1"/>
    <sheet name="Classes" sheetId="17" r:id="rId2"/>
    <sheet name="Disjunt" sheetId="3" r:id="rId3"/>
    <sheet name="FatosIn" sheetId="25" r:id="rId4"/>
    <sheet name="Interop" sheetId="16" r:id="rId5"/>
  </sheets>
  <definedNames>
    <definedName name="_xlnm._FilterDatabase" localSheetId="1" hidden="1">Classes!#REF!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2" i="17" l="1"/>
  <c r="W3" i="17"/>
  <c r="W4" i="17"/>
  <c r="W5" i="17"/>
  <c r="W6" i="17"/>
  <c r="W7" i="17"/>
  <c r="W8" i="17"/>
  <c r="W9" i="17"/>
  <c r="W10" i="17"/>
  <c r="W11" i="17"/>
  <c r="W12" i="17"/>
  <c r="W13" i="17"/>
  <c r="W14" i="17"/>
  <c r="W15" i="17"/>
  <c r="W16" i="17"/>
  <c r="W17" i="17"/>
  <c r="W18" i="17"/>
  <c r="W19" i="17"/>
  <c r="W20" i="17"/>
  <c r="W21" i="17"/>
  <c r="W22" i="17"/>
  <c r="W23" i="17"/>
  <c r="W24" i="17"/>
  <c r="W25" i="17"/>
  <c r="U25" i="17"/>
  <c r="O25" i="17"/>
  <c r="N25" i="17"/>
  <c r="M25" i="17"/>
  <c r="L25" i="17"/>
  <c r="U21" i="17"/>
  <c r="O21" i="17"/>
  <c r="N21" i="17"/>
  <c r="M21" i="17"/>
  <c r="L21" i="17"/>
  <c r="O2" i="17"/>
  <c r="O3" i="17"/>
  <c r="O4" i="17"/>
  <c r="O5" i="17"/>
  <c r="O6" i="17"/>
  <c r="O7" i="17"/>
  <c r="O8" i="17"/>
  <c r="O9" i="17"/>
  <c r="O11" i="17"/>
  <c r="O12" i="17"/>
  <c r="O13" i="17"/>
  <c r="O14" i="17"/>
  <c r="O15" i="17"/>
  <c r="O16" i="17"/>
  <c r="O17" i="17"/>
  <c r="O18" i="17"/>
  <c r="O19" i="17"/>
  <c r="O20" i="17"/>
  <c r="O22" i="17"/>
  <c r="O23" i="17"/>
  <c r="O24" i="17"/>
  <c r="O10" i="17"/>
  <c r="U24" i="17"/>
  <c r="N24" i="17"/>
  <c r="M24" i="17"/>
  <c r="L24" i="17"/>
  <c r="U23" i="17"/>
  <c r="N23" i="17"/>
  <c r="M23" i="17"/>
  <c r="L23" i="17"/>
  <c r="U22" i="17"/>
  <c r="N22" i="17"/>
  <c r="M22" i="17"/>
  <c r="L22" i="17"/>
  <c r="U8" i="17"/>
  <c r="N8" i="17"/>
  <c r="M8" i="17"/>
  <c r="L8" i="17"/>
  <c r="U9" i="17"/>
  <c r="N9" i="17"/>
  <c r="M9" i="17"/>
  <c r="L9" i="17"/>
  <c r="U7" i="17"/>
  <c r="N7" i="17"/>
  <c r="M7" i="17"/>
  <c r="L7" i="17"/>
  <c r="U6" i="17"/>
  <c r="N6" i="17"/>
  <c r="M6" i="17"/>
  <c r="L6" i="17"/>
  <c r="U5" i="17"/>
  <c r="N5" i="17"/>
  <c r="M5" i="17"/>
  <c r="L5" i="17"/>
  <c r="U4" i="17"/>
  <c r="N4" i="17"/>
  <c r="M4" i="17"/>
  <c r="L4" i="17"/>
  <c r="U3" i="17"/>
  <c r="N3" i="17"/>
  <c r="M3" i="17"/>
  <c r="L3" i="17"/>
  <c r="U13" i="17" l="1"/>
  <c r="N13" i="17"/>
  <c r="M13" i="17"/>
  <c r="L13" i="17"/>
  <c r="U14" i="17"/>
  <c r="N14" i="17"/>
  <c r="M14" i="17"/>
  <c r="L14" i="17"/>
  <c r="U12" i="17"/>
  <c r="N12" i="17"/>
  <c r="M12" i="17"/>
  <c r="L12" i="17"/>
  <c r="U11" i="17"/>
  <c r="N11" i="17"/>
  <c r="M11" i="17"/>
  <c r="L11" i="17"/>
  <c r="U10" i="17"/>
  <c r="N10" i="17"/>
  <c r="M10" i="17"/>
  <c r="L10" i="17"/>
  <c r="U2" i="17"/>
  <c r="N2" i="17"/>
  <c r="M2" i="17"/>
  <c r="L2" i="17"/>
  <c r="U20" i="17"/>
  <c r="N20" i="17"/>
  <c r="M20" i="17"/>
  <c r="L20" i="17"/>
  <c r="U19" i="17"/>
  <c r="N19" i="17"/>
  <c r="M19" i="17"/>
  <c r="L19" i="17"/>
  <c r="U18" i="17"/>
  <c r="N18" i="17"/>
  <c r="M18" i="17"/>
  <c r="L18" i="17"/>
  <c r="U17" i="17"/>
  <c r="N17" i="17"/>
  <c r="M17" i="17"/>
  <c r="L17" i="17"/>
  <c r="U16" i="17"/>
  <c r="N16" i="17"/>
  <c r="M16" i="17"/>
  <c r="L16" i="17"/>
  <c r="U15" i="17"/>
  <c r="N15" i="17"/>
  <c r="M15" i="17"/>
  <c r="L15" i="17"/>
  <c r="B24" i="13" l="1"/>
  <c r="B18" i="13" l="1"/>
  <c r="B6" i="13"/>
  <c r="B5" i="13"/>
</calcChain>
</file>

<file path=xl/sharedStrings.xml><?xml version="1.0" encoding="utf-8"?>
<sst xmlns="http://schemas.openxmlformats.org/spreadsheetml/2006/main" count="739" uniqueCount="244">
  <si>
    <t>EquivalentTo: 
Raiz
Condições 
necessárias</t>
  </si>
  <si>
    <t>EquivalentTo: 
Classe2
Condições 
necessárias</t>
  </si>
  <si>
    <t>EquivalentTo: 
Classe3
Condições 
necessárias</t>
  </si>
  <si>
    <t>EquivalentTo: 
Classe4 
Condições 
necessárias</t>
  </si>
  <si>
    <t>EquivalentTo: 
Classe5
Condições 
necessárias</t>
  </si>
  <si>
    <t>Anotações 
de ajuda
Classe 2</t>
  </si>
  <si>
    <t>Anotações 
de ajuda
Classe 3</t>
  </si>
  <si>
    <t>Anotações 
de ajuda
Classe 5</t>
  </si>
  <si>
    <t>Key</t>
  </si>
  <si>
    <t>null</t>
  </si>
  <si>
    <t>N°</t>
  </si>
  <si>
    <t>1</t>
  </si>
  <si>
    <t>Disjunta 1</t>
  </si>
  <si>
    <t>Disjunta 2</t>
  </si>
  <si>
    <t>Disjunta 3</t>
  </si>
  <si>
    <t>Disjunta 4</t>
  </si>
  <si>
    <t>Disjunta 5</t>
  </si>
  <si>
    <t>Disjunta 6</t>
  </si>
  <si>
    <t>Disjunta 7</t>
  </si>
  <si>
    <t>Disjunta 8</t>
  </si>
  <si>
    <t>Disjunta 9</t>
  </si>
  <si>
    <t>Disjunta 10</t>
  </si>
  <si>
    <t>Disjunta 11</t>
  </si>
  <si>
    <t>Disjunta 12</t>
  </si>
  <si>
    <t>Disjunta 13</t>
  </si>
  <si>
    <t>Disjunta 14</t>
  </si>
  <si>
    <t>Disjunta 15</t>
  </si>
  <si>
    <t>Disjunta 16</t>
  </si>
  <si>
    <t>Disjunta 17</t>
  </si>
  <si>
    <t>Disjunta 18</t>
  </si>
  <si>
    <t>Disjunta 19</t>
  </si>
  <si>
    <t>Disjunta 20</t>
  </si>
  <si>
    <t>BIM</t>
  </si>
  <si>
    <t>Natureza</t>
  </si>
  <si>
    <t>Disciplina</t>
  </si>
  <si>
    <t>Tema</t>
  </si>
  <si>
    <t>00 Super
Class
5</t>
  </si>
  <si>
    <t>000 Tradução Classe 5</t>
  </si>
  <si>
    <t>Especie</t>
  </si>
  <si>
    <t>00Super
Class
4</t>
  </si>
  <si>
    <t>00Super
Class
2</t>
  </si>
  <si>
    <t>00Super
Class
3</t>
  </si>
  <si>
    <t>00Raiz</t>
  </si>
  <si>
    <t>000 Traducción Classe 5</t>
  </si>
  <si>
    <t>Chave</t>
  </si>
  <si>
    <t>Valor</t>
  </si>
  <si>
    <t>OntologiaPrefixo</t>
  </si>
  <si>
    <t>bim:</t>
  </si>
  <si>
    <t>OntologiaTema</t>
  </si>
  <si>
    <t>RaizClass</t>
  </si>
  <si>
    <t>RaizProp</t>
  </si>
  <si>
    <t>RaizData</t>
  </si>
  <si>
    <t>URI</t>
  </si>
  <si>
    <t>https://github.com/JLMenegotto/RepoOnto#</t>
  </si>
  <si>
    <t>Autor</t>
  </si>
  <si>
    <t>Organização</t>
  </si>
  <si>
    <t>Escola Politécnica da UFRJ</t>
  </si>
  <si>
    <t>NormaNúmero</t>
  </si>
  <si>
    <t>-</t>
  </si>
  <si>
    <t>Edição</t>
  </si>
  <si>
    <t>ISBN</t>
  </si>
  <si>
    <t>NormaEscopo</t>
  </si>
  <si>
    <t>NormaReferência1</t>
  </si>
  <si>
    <t>NormaReferência2</t>
  </si>
  <si>
    <t>NormaReferência3</t>
  </si>
  <si>
    <t>Observações</t>
  </si>
  <si>
    <t>DataHora</t>
  </si>
  <si>
    <t>Advertência1</t>
  </si>
  <si>
    <t>Algumas traduções podem precisar de revisão - Traducción al español incorporada</t>
  </si>
  <si>
    <t>Prédio</t>
  </si>
  <si>
    <t>Cidade</t>
  </si>
  <si>
    <t>Explicação</t>
  </si>
  <si>
    <t>Explicación</t>
  </si>
  <si>
    <t>Indivíduo</t>
  </si>
  <si>
    <t>Classe</t>
  </si>
  <si>
    <t>Fato</t>
  </si>
  <si>
    <t>Fato
(14)</t>
  </si>
  <si>
    <t>descrição</t>
  </si>
  <si>
    <t>Val</t>
  </si>
  <si>
    <t>0-Classe Ifc</t>
  </si>
  <si>
    <t>0-Categoria Equivalente</t>
  </si>
  <si>
    <t>0-CategoriaEquivalente</t>
  </si>
  <si>
    <t>é.dentro.de</t>
  </si>
  <si>
    <t>CategoriaRvt</t>
  </si>
  <si>
    <t>ClasseIfc</t>
  </si>
  <si>
    <t>ABNT</t>
  </si>
  <si>
    <t>000 Translate Classe 5</t>
  </si>
  <si>
    <t>Prof. José Luis Menegotto DEG/POLI/UFRJ</t>
  </si>
  <si>
    <t>Explanation</t>
  </si>
  <si>
    <t>Idioma</t>
  </si>
  <si>
    <t>pt</t>
  </si>
  <si>
    <t>es</t>
  </si>
  <si>
    <t>en</t>
  </si>
  <si>
    <t>0</t>
  </si>
  <si>
    <t>Anotações 
de ajuda
Classe 1</t>
  </si>
  <si>
    <t>Interop</t>
  </si>
  <si>
    <t>CTI_Projeto_01</t>
  </si>
  <si>
    <t>código.abnt</t>
  </si>
  <si>
    <t>"Nome da empresa vendedora do produto."</t>
  </si>
  <si>
    <t>classe.ifc</t>
  </si>
  <si>
    <t>categoria.revit</t>
  </si>
  <si>
    <t>"Tigre"</t>
  </si>
  <si>
    <t>é.pertencente.a</t>
  </si>
  <si>
    <t>Tubulações</t>
  </si>
  <si>
    <t>Instalações</t>
  </si>
  <si>
    <t>[ IfcValve ]</t>
  </si>
  <si>
    <t>[ IfcTank ]</t>
  </si>
  <si>
    <t>[ IfcBoiler ]</t>
  </si>
  <si>
    <t>[ IfcEnergyConversionDevice ]</t>
  </si>
  <si>
    <t>"[ IfcPipeSegment , IfcPipeFitting ]"</t>
  </si>
  <si>
    <t>[ OST_PipingSystem ]</t>
  </si>
  <si>
    <t>"[ OST_PipingSystem ]"</t>
  </si>
  <si>
    <t>"[ OST_PipeSegments , OST_PipeFitting ]"</t>
  </si>
  <si>
    <t>Objetos_de_Gases</t>
  </si>
  <si>
    <t>Objetos de Sistemas de Gás Doméstico e Hospitalares</t>
  </si>
  <si>
    <t>Formalizar elementos do projeto BIM. Objetos específicos de Gás Doméstico e Hospitalares</t>
  </si>
  <si>
    <t>Formalizar elementos de proyecto BIM. Objetos específicos de Gas Doméstico e Hospitalares</t>
  </si>
  <si>
    <t>Sistema.Gases</t>
  </si>
  <si>
    <t>Sistema.de.Gás</t>
  </si>
  <si>
    <t>Peças.Gás</t>
  </si>
  <si>
    <t>Buchão.de.Gás</t>
  </si>
  <si>
    <t>Cilindro.de.Gás</t>
  </si>
  <si>
    <t>Tanque.de.Gás</t>
  </si>
  <si>
    <t>Tubulação.Gás</t>
  </si>
  <si>
    <t>Aquecedor.a.Gás</t>
  </si>
  <si>
    <t>Boiler.a.Gás</t>
  </si>
  <si>
    <t>Caldeira.a.Gás</t>
  </si>
  <si>
    <t>Queimador</t>
  </si>
  <si>
    <t>Aquecedor a Gás</t>
  </si>
  <si>
    <t>Boiler a Gás</t>
  </si>
  <si>
    <t>Caldeira a Gás</t>
  </si>
  <si>
    <t>Tubulação de Gás</t>
  </si>
  <si>
    <t>Tanque de Gás</t>
  </si>
  <si>
    <t>Buchão de Gás</t>
  </si>
  <si>
    <t>Cilindro de Gás</t>
  </si>
  <si>
    <t>Acessório do sistema de gás como suportes, ganchos, pedestais, etc.</t>
  </si>
  <si>
    <t>Medidores de Gás</t>
  </si>
  <si>
    <t>Válvula de Gás</t>
  </si>
  <si>
    <t>Registro de Gás</t>
  </si>
  <si>
    <t>Queimador de Gás</t>
  </si>
  <si>
    <t>Sistema de Gás Doméstico</t>
  </si>
  <si>
    <t>Sistema de gas doméstico</t>
  </si>
  <si>
    <t>Registro de gases</t>
  </si>
  <si>
    <t>Válvula de gas</t>
  </si>
  <si>
    <t>Accesorios del sistema de gas como soportes, ganchos, pedestales, etc.</t>
  </si>
  <si>
    <t>Gas Crack</t>
  </si>
  <si>
    <t>Cilindro de gas</t>
  </si>
  <si>
    <t>Tubería de gas</t>
  </si>
  <si>
    <t>Caldera de gas</t>
  </si>
  <si>
    <t>Quemador de gas</t>
  </si>
  <si>
    <t>Medidores de gas</t>
  </si>
  <si>
    <t>Garrafa de gas</t>
  </si>
  <si>
    <t>Calefón de gas</t>
  </si>
  <si>
    <t>Termotanque de gas</t>
  </si>
  <si>
    <t>Gases</t>
  </si>
  <si>
    <t>[ IfcBurner ]</t>
  </si>
  <si>
    <t>[ OST_MechanicalEquipment ]</t>
  </si>
  <si>
    <t>Medidor.de.Gás</t>
  </si>
  <si>
    <t>Válvula.de.Gás</t>
  </si>
  <si>
    <t>Registro.de.Gás</t>
  </si>
  <si>
    <t>Sistema.GAS</t>
  </si>
  <si>
    <t>Sistema.Oxigênio</t>
  </si>
  <si>
    <t>Sistema.Ar.Medicinal</t>
  </si>
  <si>
    <t>Sistema.Ar.Comprimido</t>
  </si>
  <si>
    <t>Sistema.Óxido.Nitroso</t>
  </si>
  <si>
    <t>Sistema.Nitrogênio</t>
  </si>
  <si>
    <t>Sistema.Hélio</t>
  </si>
  <si>
    <t>Sistema.de.Gás.Hospitalar</t>
  </si>
  <si>
    <t>Sistema de Oxigênio para Terapia respiratória, emergências, ventilação</t>
  </si>
  <si>
    <t>Sistema de Ar Medicinal para Anestesia, nebulização, suporte a pacientes sensíveis</t>
  </si>
  <si>
    <t>Sistema de Ar Comprimido para Ferramentas cirúrgicas, sistemas pneumáticos</t>
  </si>
  <si>
    <t>Sistema de Óxido Nitroso para Anestesia e analgesia</t>
  </si>
  <si>
    <t>Sistema de Nitrogênio para Criogenia, calibração, acionamento de instrumentos</t>
  </si>
  <si>
    <t>Sistema de Hélio para Misturas respiratórias e diagnósticos</t>
  </si>
  <si>
    <t>Sistema de Oxígeno para Terapias respiratorias, emergencias, ventilación</t>
  </si>
  <si>
    <t>Sistema de Ar Medicinal para anestesias, nebulizaciones, soporte a pacientes sensibles</t>
  </si>
  <si>
    <t>Sistema de Ar Comprimido para Herramientas cirúrgicas, sistemas pneumáticos</t>
  </si>
  <si>
    <t>Sistema de Óxido Nitroso para anestesia y analgesia</t>
  </si>
  <si>
    <t>Sistema de Nitrogênio para criogenia, calibración, accionamento de instrumentos</t>
  </si>
  <si>
    <t>Sistema de Hélio para mezclas respiratorias y diagnósticos</t>
  </si>
  <si>
    <t>[ IfcDistributionSystemCOMPRESSEDAIR  ]</t>
  </si>
  <si>
    <t>[ IfcDistributionSystemGAS  ]</t>
  </si>
  <si>
    <t>Sistema.Vacuo</t>
  </si>
  <si>
    <t>Sistema de Vacuo hospitalar</t>
  </si>
  <si>
    <t>[ IfcDistributionSystemVACUUM ]</t>
  </si>
  <si>
    <t>[ IfcFlowMeter ]</t>
  </si>
  <si>
    <t>[ IfcDiscreteAccessory ]</t>
  </si>
  <si>
    <t>Sis_GAS_01</t>
  </si>
  <si>
    <t>Tugas_ID_434250</t>
  </si>
  <si>
    <t>Tugas_ID_434251</t>
  </si>
  <si>
    <t>"Instância de Tubulação que pertence ao sistema de Gás doméstico GAS_01 pode ser individualizado pelo ID de Revit ou pelo indentificador IfcGlobalId de IFC"</t>
  </si>
  <si>
    <t>"Sistema de Gás da coluna 1 do Predio"</t>
  </si>
  <si>
    <t>Tubulação.Gás.Hospitalar</t>
  </si>
  <si>
    <t>Aquecedor.a.Gás.Hospitalar</t>
  </si>
  <si>
    <t>Boiler.a.Gás.Hospitalar</t>
  </si>
  <si>
    <t>Caldeira.a.Gás.Hospitalar</t>
  </si>
  <si>
    <t>Tubulação de Gás hospitalar</t>
  </si>
  <si>
    <t>Aquecedor a Gás hospitalar</t>
  </si>
  <si>
    <t>Boiler a Gás hospitalar</t>
  </si>
  <si>
    <t>Caldeira a Gás hospitalar</t>
  </si>
  <si>
    <t>Tubería de gas hospitalar</t>
  </si>
  <si>
    <t>Calefón de gas hospitalar</t>
  </si>
  <si>
    <t>Termotanque de gas hospitalar</t>
  </si>
  <si>
    <t>Caldera de gas hospitalar</t>
  </si>
  <si>
    <t>Home Gas System</t>
  </si>
  <si>
    <t>Oxygen System for Respiratory Therapy, Emergencies, Ventilation</t>
  </si>
  <si>
    <t>Medical Air System for Anesthesia, Nebulization, Sensitive Patient Support</t>
  </si>
  <si>
    <t>Compressed Air System for Surgical Tools, Pneumatic Systems</t>
  </si>
  <si>
    <t>Nitrous Oxide System for Anesthesia and Analgesia</t>
  </si>
  <si>
    <t>Nitrogen System for Cryogenics, Calibration, Instrument Actuation</t>
  </si>
  <si>
    <t>Helium System for Respiratory Mixtures and Diagnostics</t>
  </si>
  <si>
    <t>Hospital Vacuum System</t>
  </si>
  <si>
    <t>Gas Burner</t>
  </si>
  <si>
    <t>Gas Log</t>
  </si>
  <si>
    <t>Gas Valve</t>
  </si>
  <si>
    <t>Gas Meters</t>
  </si>
  <si>
    <t>Gas system accessory like brackets, hooks, pedestals, etc.</t>
  </si>
  <si>
    <t>Gas Cylinder</t>
  </si>
  <si>
    <t>Gas Tank</t>
  </si>
  <si>
    <t>Gas Pipe</t>
  </si>
  <si>
    <t>Gas Heater</t>
  </si>
  <si>
    <t>Gas Boiler</t>
  </si>
  <si>
    <t>Hospital Gas Pipe</t>
  </si>
  <si>
    <t>Hospital Gas Heater</t>
  </si>
  <si>
    <t>Hospital Gas Boiler</t>
  </si>
  <si>
    <t>Acessório.de.Gás</t>
  </si>
  <si>
    <t>Tanque de gas</t>
  </si>
  <si>
    <t>Gás.Doméstico</t>
  </si>
  <si>
    <t>Gás.Hospitalar</t>
  </si>
  <si>
    <t>Elementos.Gases</t>
  </si>
  <si>
    <t>Hospital Gas Industrial Boiler</t>
  </si>
  <si>
    <t>Gas Industrial Boiler</t>
  </si>
  <si>
    <t>[ 3E.54 ]</t>
  </si>
  <si>
    <t>"[ 3E.54 ]"</t>
  </si>
  <si>
    <t>[ 3E.54.04 ]</t>
  </si>
  <si>
    <t>[ OST_PipeAccessory ]</t>
  </si>
  <si>
    <t>quem.fabricou</t>
  </si>
  <si>
    <t>quem.forneceu</t>
  </si>
  <si>
    <t>Conceitos</t>
  </si>
  <si>
    <t>Sistemas.Prediais</t>
  </si>
  <si>
    <t>[ OST_PipingSystem : OST_PipeSegments : OST_PipeFitting : OST_PipeCurves : OST_PipeConnections : OST_PipeFittingInsulation ]</t>
  </si>
  <si>
    <t>[ IfcPipeSegment : IfcPipeFitting ]</t>
  </si>
  <si>
    <t>"Sistemas Prediais de Gases do Projeto Específico 01"</t>
  </si>
  <si>
    <t>"Indivíduo que representa um sistema de Gás doméstico"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</si>
</sst>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rgb="FF000000"/>
      <name val="Aptos Narrow"/>
      <family val="2"/>
      <charset val="1"/>
    </font>
    <font>
      <sz val="8"/>
      <name val="Aptos Narrow"/>
      <family val="2"/>
      <charset val="1"/>
    </font>
    <font>
      <sz val="6"/>
      <color rgb="FF000000"/>
      <name val="Arial Nova Cond Light"/>
      <family val="2"/>
    </font>
    <font>
      <b/>
      <sz val="6"/>
      <color rgb="FF000000"/>
      <name val="Arial Nova Cond Light"/>
      <family val="2"/>
    </font>
    <font>
      <sz val="6"/>
      <name val="Arial Nova Cond Light"/>
      <family val="2"/>
    </font>
    <font>
      <b/>
      <sz val="6"/>
      <name val="Arial Nova Cond Light"/>
      <family val="2"/>
    </font>
    <font>
      <sz val="6"/>
      <color theme="1"/>
      <name val="Arial Nova Cond Light"/>
      <family val="2"/>
    </font>
    <font>
      <i/>
      <sz val="6"/>
      <name val="Arial Nova Cond Light"/>
      <family val="2"/>
    </font>
    <font>
      <b/>
      <sz val="6"/>
      <color theme="1"/>
      <name val="Arial Nova Cond Light"/>
      <family val="2"/>
    </font>
    <font>
      <b/>
      <sz val="5"/>
      <color rgb="FF000000"/>
      <name val="Arial Nova Cond Light"/>
      <family val="2"/>
    </font>
    <font>
      <sz val="8"/>
      <color theme="1"/>
      <name val="Arial Nova Cond"/>
      <family val="2"/>
    </font>
    <font>
      <sz val="8"/>
      <color theme="1"/>
      <name val="Arial Nova Cond Light"/>
      <family val="2"/>
    </font>
    <font>
      <sz val="6"/>
      <color rgb="FF000000"/>
      <name val="Aptos Narrow"/>
      <family val="2"/>
      <charset val="1"/>
    </font>
  </fonts>
  <fills count="24">
    <fill>
      <patternFill patternType="none"/>
    </fill>
    <fill>
      <patternFill patternType="gray125"/>
    </fill>
    <fill>
      <patternFill patternType="solid">
        <fgColor rgb="FFFFC000"/>
        <bgColor rgb="FFFF9900"/>
      </patternFill>
    </fill>
    <fill>
      <patternFill patternType="solid">
        <fgColor rgb="FFF2AA84"/>
        <bgColor rgb="FFF6C6AD"/>
      </patternFill>
    </fill>
    <fill>
      <patternFill patternType="solid">
        <fgColor rgb="FFD9D9D9"/>
        <bgColor rgb="FFD1D1D1"/>
      </patternFill>
    </fill>
    <fill>
      <patternFill patternType="solid">
        <fgColor rgb="FFFBE79D"/>
        <bgColor indexed="64"/>
      </patternFill>
    </fill>
    <fill>
      <patternFill patternType="solid">
        <fgColor rgb="FFAEAAAA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14999847407452621"/>
        <bgColor rgb="FFFEF2CB"/>
      </patternFill>
    </fill>
    <fill>
      <patternFill patternType="solid">
        <fgColor rgb="FFFF99FF"/>
        <bgColor rgb="FFFFFFCC"/>
      </patternFill>
    </fill>
    <fill>
      <patternFill patternType="solid">
        <fgColor theme="9" tint="0.59999389629810485"/>
        <bgColor rgb="FFFEF2CB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rgb="FFFF9900"/>
      </patternFill>
    </fill>
    <fill>
      <patternFill patternType="solid">
        <fgColor theme="5" tint="0.59999389629810485"/>
        <bgColor rgb="FFC0C0C0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rgb="FFFFC7CE"/>
      </patternFill>
    </fill>
    <fill>
      <patternFill patternType="solid">
        <fgColor theme="8" tint="0.79998168889431442"/>
        <bgColor rgb="FFFFFFCC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5" tint="0.79998168889431442"/>
        <bgColor rgb="FFD9F2D0"/>
      </patternFill>
    </fill>
  </fills>
  <borders count="9">
    <border>
      <left/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2">
    <xf numFmtId="0" fontId="0" fillId="0" borderId="0" xfId="0"/>
    <xf numFmtId="0" fontId="2" fillId="5" borderId="4" xfId="0" applyFont="1" applyFill="1" applyBorder="1" applyAlignment="1">
      <alignment horizontal="left" vertical="center"/>
    </xf>
    <xf numFmtId="0" fontId="7" fillId="4" borderId="6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left" vertical="center" wrapText="1"/>
    </xf>
    <xf numFmtId="0" fontId="4" fillId="0" borderId="0" xfId="0" applyFont="1" applyAlignment="1">
      <alignment horizontal="left"/>
    </xf>
    <xf numFmtId="0" fontId="5" fillId="4" borderId="3" xfId="0" applyFont="1" applyFill="1" applyBorder="1" applyAlignment="1">
      <alignment horizontal="left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vertical="center"/>
    </xf>
    <xf numFmtId="0" fontId="4" fillId="2" borderId="5" xfId="0" applyFont="1" applyFill="1" applyBorder="1" applyAlignment="1">
      <alignment vertical="center"/>
    </xf>
    <xf numFmtId="0" fontId="4" fillId="0" borderId="0" xfId="0" applyFont="1"/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3" fillId="6" borderId="4" xfId="0" applyFont="1" applyFill="1" applyBorder="1" applyAlignment="1">
      <alignment vertical="center"/>
    </xf>
    <xf numFmtId="0" fontId="2" fillId="7" borderId="4" xfId="0" applyFont="1" applyFill="1" applyBorder="1" applyAlignment="1">
      <alignment vertical="center"/>
    </xf>
    <xf numFmtId="0" fontId="6" fillId="0" borderId="4" xfId="0" applyFont="1" applyBorder="1" applyAlignment="1">
      <alignment vertical="center"/>
    </xf>
    <xf numFmtId="22" fontId="6" fillId="0" borderId="4" xfId="0" applyNumberFormat="1" applyFont="1" applyBorder="1" applyAlignment="1">
      <alignment horizontal="left" vertical="center"/>
    </xf>
    <xf numFmtId="0" fontId="6" fillId="0" borderId="4" xfId="0" applyFont="1" applyBorder="1" applyAlignment="1">
      <alignment vertical="center" wrapText="1"/>
    </xf>
    <xf numFmtId="0" fontId="8" fillId="8" borderId="4" xfId="0" applyFont="1" applyFill="1" applyBorder="1" applyAlignment="1">
      <alignment horizontal="center" vertical="center"/>
    </xf>
    <xf numFmtId="0" fontId="8" fillId="8" borderId="4" xfId="0" applyFont="1" applyFill="1" applyBorder="1" applyAlignment="1">
      <alignment horizontal="left" vertical="center"/>
    </xf>
    <xf numFmtId="0" fontId="8" fillId="8" borderId="4" xfId="0" applyFont="1" applyFill="1" applyBorder="1" applyAlignment="1">
      <alignment vertical="center"/>
    </xf>
    <xf numFmtId="0" fontId="4" fillId="9" borderId="4" xfId="0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vertical="center"/>
    </xf>
    <xf numFmtId="0" fontId="4" fillId="11" borderId="4" xfId="0" applyFont="1" applyFill="1" applyBorder="1" applyAlignment="1">
      <alignment vertical="center"/>
    </xf>
    <xf numFmtId="0" fontId="6" fillId="12" borderId="4" xfId="0" applyFont="1" applyFill="1" applyBorder="1" applyAlignment="1">
      <alignment horizontal="left" vertical="center"/>
    </xf>
    <xf numFmtId="0" fontId="4" fillId="12" borderId="4" xfId="0" applyFont="1" applyFill="1" applyBorder="1" applyAlignment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14" borderId="4" xfId="0" applyFont="1" applyFill="1" applyBorder="1" applyAlignment="1">
      <alignment horizontal="left" vertical="center" wrapText="1"/>
    </xf>
    <xf numFmtId="0" fontId="3" fillId="15" borderId="4" xfId="0" applyFont="1" applyFill="1" applyBorder="1" applyAlignment="1">
      <alignment horizontal="left" vertical="center" wrapText="1"/>
    </xf>
    <xf numFmtId="0" fontId="2" fillId="16" borderId="4" xfId="0" applyFont="1" applyFill="1" applyBorder="1" applyAlignment="1">
      <alignment horizontal="left" vertical="center" wrapText="1"/>
    </xf>
    <xf numFmtId="0" fontId="2" fillId="16" borderId="4" xfId="0" applyFont="1" applyFill="1" applyBorder="1" applyAlignment="1">
      <alignment horizontal="left" vertical="center"/>
    </xf>
    <xf numFmtId="0" fontId="3" fillId="14" borderId="4" xfId="0" applyFont="1" applyFill="1" applyBorder="1" applyAlignment="1">
      <alignment horizontal="center" vertical="center" wrapText="1"/>
    </xf>
    <xf numFmtId="0" fontId="2" fillId="17" borderId="4" xfId="0" applyFont="1" applyFill="1" applyBorder="1" applyAlignment="1">
      <alignment horizontal="center" vertical="center"/>
    </xf>
    <xf numFmtId="0" fontId="2" fillId="18" borderId="4" xfId="0" applyFont="1" applyFill="1" applyBorder="1" applyAlignment="1">
      <alignment horizontal="left" vertical="center"/>
    </xf>
    <xf numFmtId="0" fontId="2" fillId="19" borderId="4" xfId="0" applyFont="1" applyFill="1" applyBorder="1" applyAlignment="1">
      <alignment vertical="center"/>
    </xf>
    <xf numFmtId="0" fontId="3" fillId="3" borderId="7" xfId="0" applyFont="1" applyFill="1" applyBorder="1" applyAlignment="1">
      <alignment horizontal="left" vertical="center" wrapText="1"/>
    </xf>
    <xf numFmtId="0" fontId="9" fillId="3" borderId="4" xfId="0" applyFont="1" applyFill="1" applyBorder="1" applyAlignment="1">
      <alignment horizontal="left" vertical="center" wrapText="1"/>
    </xf>
    <xf numFmtId="0" fontId="6" fillId="0" borderId="4" xfId="0" applyFont="1" applyBorder="1" applyAlignment="1">
      <alignment horizontal="left" vertical="center"/>
    </xf>
    <xf numFmtId="0" fontId="10" fillId="0" borderId="0" xfId="0" applyFont="1" applyAlignment="1">
      <alignment vertical="center"/>
    </xf>
    <xf numFmtId="0" fontId="8" fillId="22" borderId="4" xfId="0" applyFont="1" applyFill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11" fillId="0" borderId="0" xfId="0" applyFont="1" applyAlignment="1">
      <alignment vertical="center"/>
    </xf>
    <xf numFmtId="0" fontId="2" fillId="5" borderId="5" xfId="0" applyFont="1" applyFill="1" applyBorder="1" applyAlignment="1">
      <alignment horizontal="left" vertical="center"/>
    </xf>
    <xf numFmtId="0" fontId="3" fillId="2" borderId="7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left" vertical="center" wrapText="1"/>
    </xf>
    <xf numFmtId="0" fontId="5" fillId="2" borderId="7" xfId="0" applyFont="1" applyFill="1" applyBorder="1" applyAlignment="1">
      <alignment horizontal="left" vertical="center" wrapText="1"/>
    </xf>
    <xf numFmtId="0" fontId="3" fillId="3" borderId="8" xfId="0" applyFont="1" applyFill="1" applyBorder="1" applyAlignment="1">
      <alignment horizontal="left" vertical="center" wrapText="1"/>
    </xf>
    <xf numFmtId="0" fontId="2" fillId="10" borderId="4" xfId="0" applyFont="1" applyFill="1" applyBorder="1" applyAlignment="1">
      <alignment vertical="center" wrapText="1"/>
    </xf>
    <xf numFmtId="0" fontId="8" fillId="8" borderId="4" xfId="0" applyFont="1" applyFill="1" applyBorder="1" applyAlignment="1">
      <alignment vertical="center" wrapText="1"/>
    </xf>
    <xf numFmtId="0" fontId="6" fillId="13" borderId="4" xfId="0" applyFont="1" applyFill="1" applyBorder="1" applyAlignment="1">
      <alignment vertical="center"/>
    </xf>
    <xf numFmtId="0" fontId="4" fillId="21" borderId="4" xfId="0" applyFont="1" applyFill="1" applyBorder="1" applyAlignment="1">
      <alignment vertical="center"/>
    </xf>
    <xf numFmtId="0" fontId="4" fillId="20" borderId="4" xfId="0" applyFont="1" applyFill="1" applyBorder="1" applyAlignment="1">
      <alignment vertical="center"/>
    </xf>
    <xf numFmtId="0" fontId="2" fillId="16" borderId="5" xfId="0" applyFont="1" applyFill="1" applyBorder="1" applyAlignment="1">
      <alignment horizontal="left" vertical="center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0" fillId="0" borderId="0" xfId="0" applyAlignment="1">
      <alignment vertical="center"/>
    </xf>
    <xf numFmtId="0" fontId="2" fillId="5" borderId="4" xfId="0" applyFont="1" applyFill="1" applyBorder="1" applyAlignment="1">
      <alignment horizontal="left" vertical="center" wrapText="1"/>
    </xf>
    <xf numFmtId="0" fontId="2" fillId="17" borderId="4" xfId="0" applyFont="1" applyFill="1" applyBorder="1" applyAlignment="1">
      <alignment horizontal="right" vertical="center"/>
    </xf>
    <xf numFmtId="0" fontId="2" fillId="23" borderId="4" xfId="0" applyFont="1" applyFill="1" applyBorder="1" applyAlignment="1">
      <alignment horizontal="left" vertical="center"/>
    </xf>
    <xf numFmtId="0" fontId="3" fillId="2" borderId="8" xfId="0" applyFont="1" applyFill="1" applyBorder="1" applyAlignment="1">
      <alignment horizontal="left" vertical="center" wrapText="1"/>
    </xf>
    <xf numFmtId="0" fontId="4" fillId="2" borderId="4" xfId="0" applyFont="1" applyFill="1" applyBorder="1" applyAlignment="1">
      <alignment horizontal="left" vertical="center"/>
    </xf>
    <xf numFmtId="0" fontId="12" fillId="0" borderId="0" xfId="0" applyFont="1" applyAlignment="1">
      <alignment horizontal="left" vertical="center"/>
    </xf>
  </cellXfs>
  <cellStyles count="1">
    <cellStyle name="Normal" xfId="0" builtinId="0"/>
  </cellStyles>
  <dxfs count="16">
    <dxf>
      <font>
        <b val="0"/>
        <i/>
        <strike val="0"/>
        <color theme="0" tint="-0.499984740745262"/>
      </font>
    </dxf>
    <dxf>
      <font>
        <b val="0"/>
        <i/>
        <strike val="0"/>
        <color theme="0" tint="-0.499984740745262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/>
        <strike val="0"/>
        <color theme="0" tint="-0.499984740745262"/>
      </font>
    </dxf>
    <dxf>
      <font>
        <color rgb="FF9C0006"/>
      </font>
      <fill>
        <patternFill>
          <bgColor rgb="FFFFC7CE"/>
        </patternFill>
      </fill>
    </dxf>
    <dxf>
      <font>
        <b val="0"/>
        <i/>
        <strike val="0"/>
        <color rgb="FFFFFFFF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/>
        <strike val="0"/>
        <color theme="0" tint="-0.499984740745262"/>
      </font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D9D9D9"/>
      <rgbColor rgb="FF747474"/>
      <rgbColor rgb="FF9999FF"/>
      <rgbColor rgb="FF993366"/>
      <rgbColor rgb="FFFFCCCC"/>
      <rgbColor rgb="FFDCEAF7"/>
      <rgbColor rgb="FF660066"/>
      <rgbColor rgb="FFF2AA84"/>
      <rgbColor rgb="FF0066CC"/>
      <rgbColor rgb="FFD1D1D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B4E5A2"/>
      <rgbColor rgb="FFD9F2D0"/>
      <rgbColor rgb="FFF6E896"/>
      <rgbColor rgb="FFA6CAEC"/>
      <rgbColor rgb="FFE59EDD"/>
      <rgbColor rgb="FFFFC7CE"/>
      <rgbColor rgb="FFF6C6AD"/>
      <rgbColor rgb="FF3366FF"/>
      <rgbColor rgb="FF46B1E1"/>
      <rgbColor rgb="FF8ED973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BE79D"/>
      <color rgb="FFFDF2C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4" displayName="Tabla4" ref="A1:U3" totalsRowShown="0">
  <tableColumns count="21">
    <tableColumn id="1" xr3:uid="{00000000-0010-0000-0000-000001000000}" name="1"/>
    <tableColumn id="2" xr3:uid="{00000000-0010-0000-0000-000002000000}" name="Disjunta 1"/>
    <tableColumn id="3" xr3:uid="{00000000-0010-0000-0000-000003000000}" name="Disjunta 2"/>
    <tableColumn id="4" xr3:uid="{00000000-0010-0000-0000-000004000000}" name="Disjunta 3"/>
    <tableColumn id="5" xr3:uid="{00000000-0010-0000-0000-000005000000}" name="Disjunta 4"/>
    <tableColumn id="6" xr3:uid="{00000000-0010-0000-0000-000006000000}" name="Disjunta 5"/>
    <tableColumn id="7" xr3:uid="{00000000-0010-0000-0000-000007000000}" name="Disjunta 6"/>
    <tableColumn id="8" xr3:uid="{00000000-0010-0000-0000-000008000000}" name="Disjunta 7"/>
    <tableColumn id="9" xr3:uid="{00000000-0010-0000-0000-000009000000}" name="Disjunta 8"/>
    <tableColumn id="10" xr3:uid="{00000000-0010-0000-0000-00000A000000}" name="Disjunta 9"/>
    <tableColumn id="11" xr3:uid="{00000000-0010-0000-0000-00000B000000}" name="Disjunta 10"/>
    <tableColumn id="12" xr3:uid="{00000000-0010-0000-0000-00000C000000}" name="Disjunta 11"/>
    <tableColumn id="13" xr3:uid="{00000000-0010-0000-0000-00000D000000}" name="Disjunta 12"/>
    <tableColumn id="14" xr3:uid="{00000000-0010-0000-0000-00000E000000}" name="Disjunta 13"/>
    <tableColumn id="15" xr3:uid="{00000000-0010-0000-0000-00000F000000}" name="Disjunta 14"/>
    <tableColumn id="16" xr3:uid="{00000000-0010-0000-0000-000010000000}" name="Disjunta 15"/>
    <tableColumn id="17" xr3:uid="{00000000-0010-0000-0000-000011000000}" name="Disjunta 16"/>
    <tableColumn id="18" xr3:uid="{00000000-0010-0000-0000-000012000000}" name="Disjunta 17"/>
    <tableColumn id="19" xr3:uid="{00000000-0010-0000-0000-000013000000}" name="Disjunta 18"/>
    <tableColumn id="20" xr3:uid="{00000000-0010-0000-0000-000014000000}" name="Disjunta 19"/>
    <tableColumn id="21" xr3:uid="{00000000-0010-0000-0000-000015000000}" name="Disjunta 2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D84A63-55AB-497E-9EBD-4681BB9AFAFF}">
  <sheetPr codeName="Planilha1"/>
  <dimension ref="A1:C24"/>
  <sheetViews>
    <sheetView zoomScale="175" zoomScaleNormal="175" workbookViewId="0">
      <pane ySplit="1" topLeftCell="A2" activePane="bottomLeft" state="frozen"/>
      <selection pane="bottomLeft" activeCell="B24" sqref="B24"/>
    </sheetView>
  </sheetViews>
  <sheetFormatPr defaultColWidth="9.140625" defaultRowHeight="9.75" customHeight="1" x14ac:dyDescent="0.25"/>
  <cols>
    <col min="1" max="1" width="8.7109375" style="55" customWidth="1"/>
    <col min="2" max="2" width="40.140625" style="55" customWidth="1"/>
    <col min="3" max="3" width="3.42578125" style="41" bestFit="1" customWidth="1"/>
    <col min="4" max="16384" width="9.140625" style="55"/>
  </cols>
  <sheetData>
    <row r="1" spans="1:3" ht="20.25" customHeight="1" x14ac:dyDescent="0.25">
      <c r="A1" s="12" t="s">
        <v>44</v>
      </c>
      <c r="B1" s="12" t="s">
        <v>45</v>
      </c>
      <c r="C1" s="39" t="s">
        <v>89</v>
      </c>
    </row>
    <row r="2" spans="1:3" ht="9" customHeight="1" x14ac:dyDescent="0.25">
      <c r="A2" s="13" t="s">
        <v>46</v>
      </c>
      <c r="B2" s="13" t="s">
        <v>47</v>
      </c>
      <c r="C2" s="40" t="s">
        <v>90</v>
      </c>
    </row>
    <row r="3" spans="1:3" ht="9" customHeight="1" x14ac:dyDescent="0.25">
      <c r="A3" s="13" t="s">
        <v>48</v>
      </c>
      <c r="B3" s="13" t="s">
        <v>113</v>
      </c>
      <c r="C3" s="40" t="s">
        <v>90</v>
      </c>
    </row>
    <row r="4" spans="1:3" ht="9" customHeight="1" x14ac:dyDescent="0.25">
      <c r="A4" s="14" t="s">
        <v>49</v>
      </c>
      <c r="B4" s="14" t="s">
        <v>32</v>
      </c>
      <c r="C4" s="40" t="s">
        <v>90</v>
      </c>
    </row>
    <row r="5" spans="1:3" ht="9" customHeight="1" x14ac:dyDescent="0.25">
      <c r="A5" s="14" t="s">
        <v>50</v>
      </c>
      <c r="B5" s="14" t="str">
        <f>_xlfn.CONCAT(B4,"Prop")</f>
        <v>BIMProp</v>
      </c>
      <c r="C5" s="40" t="s">
        <v>90</v>
      </c>
    </row>
    <row r="6" spans="1:3" ht="9" customHeight="1" x14ac:dyDescent="0.25">
      <c r="A6" s="14" t="s">
        <v>51</v>
      </c>
      <c r="B6" s="14" t="str">
        <f>_xlfn.CONCAT(B4,"Data")</f>
        <v>BIMData</v>
      </c>
      <c r="C6" s="40" t="s">
        <v>90</v>
      </c>
    </row>
    <row r="7" spans="1:3" ht="9" customHeight="1" x14ac:dyDescent="0.25">
      <c r="A7" s="14" t="s">
        <v>52</v>
      </c>
      <c r="B7" s="14" t="s">
        <v>53</v>
      </c>
      <c r="C7" s="40" t="s">
        <v>90</v>
      </c>
    </row>
    <row r="8" spans="1:3" s="38" customFormat="1" ht="9" customHeight="1" x14ac:dyDescent="0.25">
      <c r="A8" s="37" t="s">
        <v>54</v>
      </c>
      <c r="B8" s="37" t="s">
        <v>87</v>
      </c>
      <c r="C8" s="40" t="s">
        <v>90</v>
      </c>
    </row>
    <row r="9" spans="1:3" ht="9" customHeight="1" x14ac:dyDescent="0.25">
      <c r="A9" s="14" t="s">
        <v>55</v>
      </c>
      <c r="B9" s="14" t="s">
        <v>56</v>
      </c>
      <c r="C9" s="40" t="s">
        <v>90</v>
      </c>
    </row>
    <row r="10" spans="1:3" ht="9" customHeight="1" x14ac:dyDescent="0.25">
      <c r="A10" s="14" t="s">
        <v>57</v>
      </c>
      <c r="B10" s="14" t="s">
        <v>58</v>
      </c>
      <c r="C10" s="40" t="s">
        <v>90</v>
      </c>
    </row>
    <row r="11" spans="1:3" ht="9" customHeight="1" x14ac:dyDescent="0.25">
      <c r="A11" s="14" t="s">
        <v>59</v>
      </c>
      <c r="B11" s="14" t="s">
        <v>58</v>
      </c>
      <c r="C11" s="40" t="s">
        <v>90</v>
      </c>
    </row>
    <row r="12" spans="1:3" ht="9" customHeight="1" x14ac:dyDescent="0.25">
      <c r="A12" s="14" t="s">
        <v>60</v>
      </c>
      <c r="B12" s="14" t="s">
        <v>58</v>
      </c>
      <c r="C12" s="40" t="s">
        <v>90</v>
      </c>
    </row>
    <row r="13" spans="1:3" ht="9" customHeight="1" x14ac:dyDescent="0.25">
      <c r="A13" s="14" t="s">
        <v>61</v>
      </c>
      <c r="B13" s="14" t="s">
        <v>58</v>
      </c>
      <c r="C13" s="40" t="s">
        <v>90</v>
      </c>
    </row>
    <row r="14" spans="1:3" ht="9" customHeight="1" x14ac:dyDescent="0.25">
      <c r="A14" s="14" t="s">
        <v>62</v>
      </c>
      <c r="B14" s="14" t="s">
        <v>58</v>
      </c>
      <c r="C14" s="40" t="s">
        <v>90</v>
      </c>
    </row>
    <row r="15" spans="1:3" ht="9" customHeight="1" x14ac:dyDescent="0.25">
      <c r="A15" s="14" t="s">
        <v>63</v>
      </c>
      <c r="B15" s="14" t="s">
        <v>58</v>
      </c>
      <c r="C15" s="40" t="s">
        <v>90</v>
      </c>
    </row>
    <row r="16" spans="1:3" ht="9" customHeight="1" x14ac:dyDescent="0.25">
      <c r="A16" s="14" t="s">
        <v>64</v>
      </c>
      <c r="B16" s="14" t="s">
        <v>58</v>
      </c>
      <c r="C16" s="40" t="s">
        <v>90</v>
      </c>
    </row>
    <row r="17" spans="1:3" ht="9" customHeight="1" x14ac:dyDescent="0.25">
      <c r="A17" s="14" t="s">
        <v>65</v>
      </c>
      <c r="B17" s="14" t="s">
        <v>114</v>
      </c>
      <c r="C17" s="40" t="s">
        <v>90</v>
      </c>
    </row>
    <row r="18" spans="1:3" ht="9" customHeight="1" x14ac:dyDescent="0.25">
      <c r="A18" s="14" t="s">
        <v>66</v>
      </c>
      <c r="B18" s="15">
        <f ca="1">NOW()</f>
        <v>46244.675170254632</v>
      </c>
      <c r="C18" s="40" t="s">
        <v>90</v>
      </c>
    </row>
    <row r="19" spans="1:3" ht="9" customHeight="1" x14ac:dyDescent="0.25">
      <c r="A19" s="14" t="s">
        <v>67</v>
      </c>
      <c r="B19" s="15" t="s">
        <v>68</v>
      </c>
      <c r="C19" s="40" t="s">
        <v>90</v>
      </c>
    </row>
    <row r="20" spans="1:3" ht="9" customHeight="1" x14ac:dyDescent="0.25">
      <c r="A20" s="14" t="s">
        <v>69</v>
      </c>
      <c r="B20" s="14" t="s">
        <v>58</v>
      </c>
      <c r="C20" s="40" t="s">
        <v>90</v>
      </c>
    </row>
    <row r="21" spans="1:3" ht="9" customHeight="1" x14ac:dyDescent="0.25">
      <c r="A21" s="14" t="s">
        <v>70</v>
      </c>
      <c r="B21" s="14" t="s">
        <v>58</v>
      </c>
      <c r="C21" s="40" t="s">
        <v>90</v>
      </c>
    </row>
    <row r="22" spans="1:3" ht="9" customHeight="1" x14ac:dyDescent="0.25">
      <c r="A22" s="14" t="s">
        <v>71</v>
      </c>
      <c r="B22" s="16" t="s">
        <v>115</v>
      </c>
      <c r="C22" s="40" t="s">
        <v>90</v>
      </c>
    </row>
    <row r="23" spans="1:3" ht="9" customHeight="1" x14ac:dyDescent="0.25">
      <c r="A23" s="14" t="s">
        <v>72</v>
      </c>
      <c r="B23" s="16" t="s">
        <v>116</v>
      </c>
      <c r="C23" s="40" t="s">
        <v>91</v>
      </c>
    </row>
    <row r="24" spans="1:3" s="38" customFormat="1" ht="9" customHeight="1" x14ac:dyDescent="0.25">
      <c r="A24" s="14" t="s">
        <v>88</v>
      </c>
      <c r="B24" s="16" t="str">
        <f>_xlfn.TRANSLATE(B22,"pt","en")</f>
        <v>Formalize elements of the BIM project. Specific Household and Hospital Gas Objects</v>
      </c>
      <c r="C24" s="40" t="s">
        <v>92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052D63-9637-42D9-866B-0BB924A50D8C}">
  <sheetPr codeName="Planilha2"/>
  <dimension ref="A1:AA25"/>
  <sheetViews>
    <sheetView zoomScale="220" zoomScaleNormal="220" workbookViewId="0">
      <pane ySplit="1" topLeftCell="A2" activePane="bottomLeft" state="frozen"/>
      <selection activeCell="A179" sqref="A179:XFD190"/>
      <selection pane="bottomLeft" activeCell="C2" sqref="C2"/>
    </sheetView>
  </sheetViews>
  <sheetFormatPr defaultColWidth="9.140625" defaultRowHeight="6.6" customHeight="1" x14ac:dyDescent="0.25"/>
  <cols>
    <col min="1" max="1" width="2.42578125" bestFit="1" customWidth="1"/>
    <col min="2" max="2" width="5.7109375" style="53" bestFit="1" customWidth="1"/>
    <col min="3" max="3" width="8.85546875" style="53" bestFit="1" customWidth="1"/>
    <col min="4" max="4" width="9.7109375" style="53" bestFit="1" customWidth="1"/>
    <col min="5" max="5" width="13.28515625" style="53" customWidth="1"/>
    <col min="6" max="6" width="15.5703125" style="61" bestFit="1" customWidth="1"/>
    <col min="7" max="11" width="8" style="53" bestFit="1" customWidth="1"/>
    <col min="12" max="12" width="8.85546875" style="53" bestFit="1" customWidth="1"/>
    <col min="13" max="13" width="9.7109375" style="53" bestFit="1" customWidth="1"/>
    <col min="14" max="14" width="14.5703125" style="53" bestFit="1" customWidth="1"/>
    <col min="15" max="15" width="15.5703125" style="53" bestFit="1" customWidth="1"/>
    <col min="16" max="16" width="64.5703125" style="53" bestFit="1" customWidth="1"/>
    <col min="17" max="17" width="46.5703125" style="53" bestFit="1" customWidth="1"/>
    <col min="18" max="18" width="3.7109375" style="53" bestFit="1" customWidth="1"/>
    <col min="19" max="19" width="7" style="53" bestFit="1" customWidth="1"/>
    <col min="20" max="20" width="6.85546875" style="53" bestFit="1" customWidth="1"/>
    <col min="21" max="21" width="14.5703125" style="53" bestFit="1" customWidth="1"/>
    <col min="22" max="22" width="8.5703125" style="53" bestFit="1" customWidth="1"/>
    <col min="23" max="23" width="8.7109375" style="53" bestFit="1" customWidth="1"/>
    <col min="24" max="24" width="45.140625" style="53" bestFit="1" customWidth="1"/>
    <col min="25" max="25" width="20" style="54" customWidth="1"/>
    <col min="26" max="26" width="7.140625" style="53" bestFit="1" customWidth="1"/>
    <col min="27" max="27" width="25.42578125" style="53" customWidth="1"/>
    <col min="28" max="16384" width="9.140625" style="53"/>
  </cols>
  <sheetData>
    <row r="1" spans="1:27" ht="55.5" customHeight="1" x14ac:dyDescent="0.25">
      <c r="A1" s="43" t="s">
        <v>93</v>
      </c>
      <c r="B1" s="44" t="s">
        <v>42</v>
      </c>
      <c r="C1" s="44" t="s">
        <v>40</v>
      </c>
      <c r="D1" s="44" t="s">
        <v>41</v>
      </c>
      <c r="E1" s="44" t="s">
        <v>39</v>
      </c>
      <c r="F1" s="44" t="s">
        <v>36</v>
      </c>
      <c r="G1" s="45" t="s">
        <v>0</v>
      </c>
      <c r="H1" s="45" t="s">
        <v>1</v>
      </c>
      <c r="I1" s="45" t="s">
        <v>2</v>
      </c>
      <c r="J1" s="45" t="s">
        <v>3</v>
      </c>
      <c r="K1" s="45" t="s">
        <v>4</v>
      </c>
      <c r="L1" s="35" t="s">
        <v>94</v>
      </c>
      <c r="M1" s="35" t="s">
        <v>5</v>
      </c>
      <c r="N1" s="35" t="s">
        <v>6</v>
      </c>
      <c r="O1" s="35" t="s">
        <v>7</v>
      </c>
      <c r="P1" s="35" t="s">
        <v>37</v>
      </c>
      <c r="Q1" s="35" t="s">
        <v>43</v>
      </c>
      <c r="R1" s="35" t="s">
        <v>95</v>
      </c>
      <c r="S1" s="35" t="s">
        <v>33</v>
      </c>
      <c r="T1" s="35" t="s">
        <v>38</v>
      </c>
      <c r="U1" s="46" t="s">
        <v>35</v>
      </c>
      <c r="V1" s="35" t="s">
        <v>34</v>
      </c>
      <c r="W1" s="59" t="s">
        <v>8</v>
      </c>
      <c r="X1" s="35" t="s">
        <v>83</v>
      </c>
      <c r="Y1" s="35" t="s">
        <v>84</v>
      </c>
      <c r="Z1" s="35" t="s">
        <v>85</v>
      </c>
      <c r="AA1" s="36" t="s">
        <v>86</v>
      </c>
    </row>
    <row r="2" spans="1:27" ht="6.6" customHeight="1" x14ac:dyDescent="0.25">
      <c r="A2" s="57">
        <v>2</v>
      </c>
      <c r="B2" s="1" t="s">
        <v>238</v>
      </c>
      <c r="C2" s="42" t="s">
        <v>239</v>
      </c>
      <c r="D2" s="42" t="s">
        <v>117</v>
      </c>
      <c r="E2" s="42" t="s">
        <v>118</v>
      </c>
      <c r="F2" s="42" t="s">
        <v>160</v>
      </c>
      <c r="G2" s="60" t="s">
        <v>9</v>
      </c>
      <c r="H2" s="60" t="s">
        <v>9</v>
      </c>
      <c r="I2" s="60" t="s">
        <v>9</v>
      </c>
      <c r="J2" s="60" t="s">
        <v>9</v>
      </c>
      <c r="K2" s="60" t="s">
        <v>9</v>
      </c>
      <c r="L2" s="33" t="str">
        <f t="shared" ref="L2:L20" si="0">CONCATENATE("", C2)</f>
        <v>Sistemas.Prediais</v>
      </c>
      <c r="M2" s="33" t="str">
        <f t="shared" ref="M2:M20" si="1">CONCATENATE("", D2)</f>
        <v>Sistema.Gases</v>
      </c>
      <c r="N2" s="33" t="str">
        <f t="shared" ref="N2:N20" si="2">(SUBSTITUTE(SUBSTITUTE(CONCATENATE("",E2),"."," ")," De "," de "))</f>
        <v>Sistema de Gás</v>
      </c>
      <c r="O2" s="30" t="str">
        <f t="shared" ref="O2:O9" si="3">IF(ISNUMBER(FIND("Ifc",F2)),CONCATENATE("Classe IFC:   ",F2),CONCATENATE("",F2))</f>
        <v>Sistema.GAS</v>
      </c>
      <c r="P2" s="52" t="s">
        <v>140</v>
      </c>
      <c r="Q2" s="52" t="s">
        <v>141</v>
      </c>
      <c r="R2" s="30" t="s">
        <v>9</v>
      </c>
      <c r="S2" s="30" t="s">
        <v>154</v>
      </c>
      <c r="T2" s="30" t="s">
        <v>103</v>
      </c>
      <c r="U2" s="30" t="str">
        <f t="shared" ref="U2:U20" si="4">SUBSTITUTE(E2, "_", " ")</f>
        <v>Sistema.de.Gás</v>
      </c>
      <c r="V2" s="30" t="s">
        <v>104</v>
      </c>
      <c r="W2" s="58" t="str">
        <f t="shared" ref="W2:W25" si="5">CONCATENATE("Key-GAS-",A2)</f>
        <v>Key-GAS-2</v>
      </c>
      <c r="X2" s="29" t="s">
        <v>110</v>
      </c>
      <c r="Y2" s="29" t="s">
        <v>181</v>
      </c>
      <c r="Z2" s="30" t="s">
        <v>232</v>
      </c>
      <c r="AA2" s="30" t="s">
        <v>204</v>
      </c>
    </row>
    <row r="3" spans="1:27" ht="6.6" customHeight="1" x14ac:dyDescent="0.25">
      <c r="A3" s="57">
        <v>3</v>
      </c>
      <c r="B3" s="1" t="s">
        <v>238</v>
      </c>
      <c r="C3" s="42" t="s">
        <v>239</v>
      </c>
      <c r="D3" s="42" t="s">
        <v>117</v>
      </c>
      <c r="E3" s="42" t="s">
        <v>167</v>
      </c>
      <c r="F3" s="56" t="s">
        <v>161</v>
      </c>
      <c r="G3" s="60" t="s">
        <v>9</v>
      </c>
      <c r="H3" s="60" t="s">
        <v>9</v>
      </c>
      <c r="I3" s="60" t="s">
        <v>9</v>
      </c>
      <c r="J3" s="60" t="s">
        <v>9</v>
      </c>
      <c r="K3" s="60" t="s">
        <v>9</v>
      </c>
      <c r="L3" s="33" t="str">
        <f t="shared" ref="L3:L14" si="6">CONCATENATE("", C3)</f>
        <v>Sistemas.Prediais</v>
      </c>
      <c r="M3" s="33" t="str">
        <f t="shared" ref="M3:M14" si="7">CONCATENATE("", D3)</f>
        <v>Sistema.Gases</v>
      </c>
      <c r="N3" s="33" t="str">
        <f t="shared" ref="N3:N14" si="8">(SUBSTITUTE(SUBSTITUTE(CONCATENATE("",E3),"."," ")," De "," de "))</f>
        <v>Sistema de Gás Hospitalar</v>
      </c>
      <c r="O3" s="30" t="str">
        <f t="shared" si="3"/>
        <v>Sistema.Oxigênio</v>
      </c>
      <c r="P3" s="52" t="s">
        <v>168</v>
      </c>
      <c r="Q3" s="52" t="s">
        <v>174</v>
      </c>
      <c r="R3" s="30" t="s">
        <v>9</v>
      </c>
      <c r="S3" s="30" t="s">
        <v>154</v>
      </c>
      <c r="T3" s="30" t="s">
        <v>103</v>
      </c>
      <c r="U3" s="30" t="str">
        <f t="shared" ref="U3:U14" si="9">SUBSTITUTE(E3, "_", " ")</f>
        <v>Sistema.de.Gás.Hospitalar</v>
      </c>
      <c r="V3" s="30" t="s">
        <v>104</v>
      </c>
      <c r="W3" s="58" t="str">
        <f t="shared" si="5"/>
        <v>Key-GAS-3</v>
      </c>
      <c r="X3" s="29" t="s">
        <v>110</v>
      </c>
      <c r="Y3" s="29" t="s">
        <v>181</v>
      </c>
      <c r="Z3" s="30" t="s">
        <v>234</v>
      </c>
      <c r="AA3" s="30" t="s">
        <v>205</v>
      </c>
    </row>
    <row r="4" spans="1:27" ht="6.6" customHeight="1" x14ac:dyDescent="0.25">
      <c r="A4" s="57">
        <v>4</v>
      </c>
      <c r="B4" s="1" t="s">
        <v>238</v>
      </c>
      <c r="C4" s="42" t="s">
        <v>239</v>
      </c>
      <c r="D4" s="42" t="s">
        <v>117</v>
      </c>
      <c r="E4" s="42" t="s">
        <v>167</v>
      </c>
      <c r="F4" s="56" t="s">
        <v>162</v>
      </c>
      <c r="G4" s="60" t="s">
        <v>9</v>
      </c>
      <c r="H4" s="60" t="s">
        <v>9</v>
      </c>
      <c r="I4" s="60" t="s">
        <v>9</v>
      </c>
      <c r="J4" s="60" t="s">
        <v>9</v>
      </c>
      <c r="K4" s="60" t="s">
        <v>9</v>
      </c>
      <c r="L4" s="33" t="str">
        <f t="shared" si="6"/>
        <v>Sistemas.Prediais</v>
      </c>
      <c r="M4" s="33" t="str">
        <f t="shared" si="7"/>
        <v>Sistema.Gases</v>
      </c>
      <c r="N4" s="33" t="str">
        <f t="shared" si="8"/>
        <v>Sistema de Gás Hospitalar</v>
      </c>
      <c r="O4" s="30" t="str">
        <f t="shared" si="3"/>
        <v>Sistema.Ar.Medicinal</v>
      </c>
      <c r="P4" s="52" t="s">
        <v>169</v>
      </c>
      <c r="Q4" s="52" t="s">
        <v>175</v>
      </c>
      <c r="R4" s="30" t="s">
        <v>9</v>
      </c>
      <c r="S4" s="30" t="s">
        <v>154</v>
      </c>
      <c r="T4" s="30" t="s">
        <v>103</v>
      </c>
      <c r="U4" s="30" t="str">
        <f t="shared" si="9"/>
        <v>Sistema.de.Gás.Hospitalar</v>
      </c>
      <c r="V4" s="30" t="s">
        <v>104</v>
      </c>
      <c r="W4" s="58" t="str">
        <f t="shared" si="5"/>
        <v>Key-GAS-4</v>
      </c>
      <c r="X4" s="29" t="s">
        <v>110</v>
      </c>
      <c r="Y4" s="29" t="s">
        <v>181</v>
      </c>
      <c r="Z4" s="30" t="s">
        <v>234</v>
      </c>
      <c r="AA4" s="30" t="s">
        <v>206</v>
      </c>
    </row>
    <row r="5" spans="1:27" ht="6.6" customHeight="1" x14ac:dyDescent="0.25">
      <c r="A5" s="57">
        <v>5</v>
      </c>
      <c r="B5" s="1" t="s">
        <v>238</v>
      </c>
      <c r="C5" s="42" t="s">
        <v>239</v>
      </c>
      <c r="D5" s="42" t="s">
        <v>117</v>
      </c>
      <c r="E5" s="42" t="s">
        <v>167</v>
      </c>
      <c r="F5" s="56" t="s">
        <v>163</v>
      </c>
      <c r="G5" s="60" t="s">
        <v>9</v>
      </c>
      <c r="H5" s="60" t="s">
        <v>9</v>
      </c>
      <c r="I5" s="60" t="s">
        <v>9</v>
      </c>
      <c r="J5" s="60" t="s">
        <v>9</v>
      </c>
      <c r="K5" s="60" t="s">
        <v>9</v>
      </c>
      <c r="L5" s="33" t="str">
        <f t="shared" si="6"/>
        <v>Sistemas.Prediais</v>
      </c>
      <c r="M5" s="33" t="str">
        <f t="shared" si="7"/>
        <v>Sistema.Gases</v>
      </c>
      <c r="N5" s="33" t="str">
        <f t="shared" si="8"/>
        <v>Sistema de Gás Hospitalar</v>
      </c>
      <c r="O5" s="30" t="str">
        <f t="shared" si="3"/>
        <v>Sistema.Ar.Comprimido</v>
      </c>
      <c r="P5" s="52" t="s">
        <v>170</v>
      </c>
      <c r="Q5" s="52" t="s">
        <v>176</v>
      </c>
      <c r="R5" s="30" t="s">
        <v>9</v>
      </c>
      <c r="S5" s="30" t="s">
        <v>154</v>
      </c>
      <c r="T5" s="30" t="s">
        <v>103</v>
      </c>
      <c r="U5" s="30" t="str">
        <f t="shared" si="9"/>
        <v>Sistema.de.Gás.Hospitalar</v>
      </c>
      <c r="V5" s="30" t="s">
        <v>104</v>
      </c>
      <c r="W5" s="58" t="str">
        <f t="shared" si="5"/>
        <v>Key-GAS-5</v>
      </c>
      <c r="X5" s="29" t="s">
        <v>110</v>
      </c>
      <c r="Y5" s="29" t="s">
        <v>180</v>
      </c>
      <c r="Z5" s="30" t="s">
        <v>234</v>
      </c>
      <c r="AA5" s="30" t="s">
        <v>207</v>
      </c>
    </row>
    <row r="6" spans="1:27" ht="6.6" customHeight="1" x14ac:dyDescent="0.25">
      <c r="A6" s="57">
        <v>6</v>
      </c>
      <c r="B6" s="1" t="s">
        <v>238</v>
      </c>
      <c r="C6" s="42" t="s">
        <v>239</v>
      </c>
      <c r="D6" s="42" t="s">
        <v>117</v>
      </c>
      <c r="E6" s="42" t="s">
        <v>167</v>
      </c>
      <c r="F6" s="56" t="s">
        <v>164</v>
      </c>
      <c r="G6" s="60" t="s">
        <v>9</v>
      </c>
      <c r="H6" s="60" t="s">
        <v>9</v>
      </c>
      <c r="I6" s="60" t="s">
        <v>9</v>
      </c>
      <c r="J6" s="60" t="s">
        <v>9</v>
      </c>
      <c r="K6" s="60" t="s">
        <v>9</v>
      </c>
      <c r="L6" s="33" t="str">
        <f t="shared" si="6"/>
        <v>Sistemas.Prediais</v>
      </c>
      <c r="M6" s="33" t="str">
        <f t="shared" si="7"/>
        <v>Sistema.Gases</v>
      </c>
      <c r="N6" s="33" t="str">
        <f t="shared" si="8"/>
        <v>Sistema de Gás Hospitalar</v>
      </c>
      <c r="O6" s="30" t="str">
        <f t="shared" si="3"/>
        <v>Sistema.Óxido.Nitroso</v>
      </c>
      <c r="P6" s="52" t="s">
        <v>171</v>
      </c>
      <c r="Q6" s="52" t="s">
        <v>177</v>
      </c>
      <c r="R6" s="30" t="s">
        <v>9</v>
      </c>
      <c r="S6" s="30" t="s">
        <v>154</v>
      </c>
      <c r="T6" s="30" t="s">
        <v>103</v>
      </c>
      <c r="U6" s="30" t="str">
        <f t="shared" si="9"/>
        <v>Sistema.de.Gás.Hospitalar</v>
      </c>
      <c r="V6" s="30" t="s">
        <v>104</v>
      </c>
      <c r="W6" s="58" t="str">
        <f t="shared" si="5"/>
        <v>Key-GAS-6</v>
      </c>
      <c r="X6" s="29" t="s">
        <v>110</v>
      </c>
      <c r="Y6" s="29" t="s">
        <v>181</v>
      </c>
      <c r="Z6" s="30" t="s">
        <v>234</v>
      </c>
      <c r="AA6" s="30" t="s">
        <v>208</v>
      </c>
    </row>
    <row r="7" spans="1:27" ht="6.6" customHeight="1" x14ac:dyDescent="0.25">
      <c r="A7" s="57">
        <v>7</v>
      </c>
      <c r="B7" s="1" t="s">
        <v>238</v>
      </c>
      <c r="C7" s="42" t="s">
        <v>239</v>
      </c>
      <c r="D7" s="42" t="s">
        <v>117</v>
      </c>
      <c r="E7" s="42" t="s">
        <v>167</v>
      </c>
      <c r="F7" s="56" t="s">
        <v>165</v>
      </c>
      <c r="G7" s="60" t="s">
        <v>9</v>
      </c>
      <c r="H7" s="60" t="s">
        <v>9</v>
      </c>
      <c r="I7" s="60" t="s">
        <v>9</v>
      </c>
      <c r="J7" s="60" t="s">
        <v>9</v>
      </c>
      <c r="K7" s="60" t="s">
        <v>9</v>
      </c>
      <c r="L7" s="33" t="str">
        <f t="shared" si="6"/>
        <v>Sistemas.Prediais</v>
      </c>
      <c r="M7" s="33" t="str">
        <f t="shared" si="7"/>
        <v>Sistema.Gases</v>
      </c>
      <c r="N7" s="33" t="str">
        <f t="shared" si="8"/>
        <v>Sistema de Gás Hospitalar</v>
      </c>
      <c r="O7" s="30" t="str">
        <f t="shared" si="3"/>
        <v>Sistema.Nitrogênio</v>
      </c>
      <c r="P7" s="52" t="s">
        <v>172</v>
      </c>
      <c r="Q7" s="52" t="s">
        <v>178</v>
      </c>
      <c r="R7" s="30" t="s">
        <v>9</v>
      </c>
      <c r="S7" s="30" t="s">
        <v>154</v>
      </c>
      <c r="T7" s="30" t="s">
        <v>103</v>
      </c>
      <c r="U7" s="30" t="str">
        <f t="shared" si="9"/>
        <v>Sistema.de.Gás.Hospitalar</v>
      </c>
      <c r="V7" s="30" t="s">
        <v>104</v>
      </c>
      <c r="W7" s="58" t="str">
        <f t="shared" si="5"/>
        <v>Key-GAS-7</v>
      </c>
      <c r="X7" s="29" t="s">
        <v>110</v>
      </c>
      <c r="Y7" s="29" t="s">
        <v>181</v>
      </c>
      <c r="Z7" s="30" t="s">
        <v>234</v>
      </c>
      <c r="AA7" s="30" t="s">
        <v>209</v>
      </c>
    </row>
    <row r="8" spans="1:27" ht="6.6" customHeight="1" x14ac:dyDescent="0.25">
      <c r="A8" s="57">
        <v>8</v>
      </c>
      <c r="B8" s="1" t="s">
        <v>238</v>
      </c>
      <c r="C8" s="42" t="s">
        <v>239</v>
      </c>
      <c r="D8" s="42" t="s">
        <v>117</v>
      </c>
      <c r="E8" s="42" t="s">
        <v>167</v>
      </c>
      <c r="F8" s="56" t="s">
        <v>166</v>
      </c>
      <c r="G8" s="60" t="s">
        <v>9</v>
      </c>
      <c r="H8" s="60" t="s">
        <v>9</v>
      </c>
      <c r="I8" s="60" t="s">
        <v>9</v>
      </c>
      <c r="J8" s="60" t="s">
        <v>9</v>
      </c>
      <c r="K8" s="60" t="s">
        <v>9</v>
      </c>
      <c r="L8" s="33" t="str">
        <f t="shared" ref="L8" si="10">CONCATENATE("", C8)</f>
        <v>Sistemas.Prediais</v>
      </c>
      <c r="M8" s="33" t="str">
        <f t="shared" ref="M8" si="11">CONCATENATE("", D8)</f>
        <v>Sistema.Gases</v>
      </c>
      <c r="N8" s="33" t="str">
        <f t="shared" ref="N8" si="12">(SUBSTITUTE(SUBSTITUTE(CONCATENATE("",E8),"."," ")," De "," de "))</f>
        <v>Sistema de Gás Hospitalar</v>
      </c>
      <c r="O8" s="30" t="str">
        <f t="shared" si="3"/>
        <v>Sistema.Hélio</v>
      </c>
      <c r="P8" s="52" t="s">
        <v>173</v>
      </c>
      <c r="Q8" s="52" t="s">
        <v>179</v>
      </c>
      <c r="R8" s="30" t="s">
        <v>9</v>
      </c>
      <c r="S8" s="30" t="s">
        <v>154</v>
      </c>
      <c r="T8" s="30" t="s">
        <v>103</v>
      </c>
      <c r="U8" s="30" t="str">
        <f t="shared" ref="U8" si="13">SUBSTITUTE(E8, "_", " ")</f>
        <v>Sistema.de.Gás.Hospitalar</v>
      </c>
      <c r="V8" s="30" t="s">
        <v>104</v>
      </c>
      <c r="W8" s="58" t="str">
        <f t="shared" si="5"/>
        <v>Key-GAS-8</v>
      </c>
      <c r="X8" s="29" t="s">
        <v>110</v>
      </c>
      <c r="Y8" s="29" t="s">
        <v>181</v>
      </c>
      <c r="Z8" s="30" t="s">
        <v>234</v>
      </c>
      <c r="AA8" s="30" t="s">
        <v>210</v>
      </c>
    </row>
    <row r="9" spans="1:27" ht="6.6" customHeight="1" x14ac:dyDescent="0.25">
      <c r="A9" s="57">
        <v>9</v>
      </c>
      <c r="B9" s="1" t="s">
        <v>238</v>
      </c>
      <c r="C9" s="42" t="s">
        <v>239</v>
      </c>
      <c r="D9" s="42" t="s">
        <v>117</v>
      </c>
      <c r="E9" s="42" t="s">
        <v>167</v>
      </c>
      <c r="F9" s="56" t="s">
        <v>182</v>
      </c>
      <c r="G9" s="60" t="s">
        <v>9</v>
      </c>
      <c r="H9" s="60" t="s">
        <v>9</v>
      </c>
      <c r="I9" s="60" t="s">
        <v>9</v>
      </c>
      <c r="J9" s="60" t="s">
        <v>9</v>
      </c>
      <c r="K9" s="60" t="s">
        <v>9</v>
      </c>
      <c r="L9" s="33" t="str">
        <f t="shared" si="6"/>
        <v>Sistemas.Prediais</v>
      </c>
      <c r="M9" s="33" t="str">
        <f t="shared" si="7"/>
        <v>Sistema.Gases</v>
      </c>
      <c r="N9" s="33" t="str">
        <f t="shared" si="8"/>
        <v>Sistema de Gás Hospitalar</v>
      </c>
      <c r="O9" s="30" t="str">
        <f t="shared" si="3"/>
        <v>Sistema.Vacuo</v>
      </c>
      <c r="P9" s="52" t="s">
        <v>183</v>
      </c>
      <c r="Q9" s="52" t="s">
        <v>183</v>
      </c>
      <c r="R9" s="30" t="s">
        <v>9</v>
      </c>
      <c r="S9" s="30" t="s">
        <v>154</v>
      </c>
      <c r="T9" s="30" t="s">
        <v>103</v>
      </c>
      <c r="U9" s="30" t="str">
        <f t="shared" si="9"/>
        <v>Sistema.de.Gás.Hospitalar</v>
      </c>
      <c r="V9" s="30" t="s">
        <v>104</v>
      </c>
      <c r="W9" s="58" t="str">
        <f t="shared" si="5"/>
        <v>Key-GAS-9</v>
      </c>
      <c r="X9" s="29" t="s">
        <v>110</v>
      </c>
      <c r="Y9" s="29" t="s">
        <v>184</v>
      </c>
      <c r="Z9" s="30" t="s">
        <v>234</v>
      </c>
      <c r="AA9" s="30" t="s">
        <v>211</v>
      </c>
    </row>
    <row r="10" spans="1:27" ht="6.6" customHeight="1" x14ac:dyDescent="0.25">
      <c r="A10" s="57">
        <v>10</v>
      </c>
      <c r="B10" s="1" t="s">
        <v>238</v>
      </c>
      <c r="C10" s="42" t="s">
        <v>239</v>
      </c>
      <c r="D10" s="1" t="s">
        <v>229</v>
      </c>
      <c r="E10" s="42" t="s">
        <v>119</v>
      </c>
      <c r="F10" s="42" t="s">
        <v>127</v>
      </c>
      <c r="G10" s="60" t="s">
        <v>9</v>
      </c>
      <c r="H10" s="60" t="s">
        <v>9</v>
      </c>
      <c r="I10" s="60" t="s">
        <v>9</v>
      </c>
      <c r="J10" s="60" t="s">
        <v>9</v>
      </c>
      <c r="K10" s="60" t="s">
        <v>9</v>
      </c>
      <c r="L10" s="33" t="str">
        <f t="shared" si="6"/>
        <v>Sistemas.Prediais</v>
      </c>
      <c r="M10" s="33" t="str">
        <f t="shared" si="7"/>
        <v>Elementos.Gases</v>
      </c>
      <c r="N10" s="33" t="str">
        <f t="shared" si="8"/>
        <v>Peças Gás</v>
      </c>
      <c r="O10" s="30" t="str">
        <f>IF(ISNUMBER(FIND("Ifc",F10)),CONCATENATE("Classe IFC:   ",F10),CONCATENATE("",F10))</f>
        <v>Queimador</v>
      </c>
      <c r="P10" s="52" t="s">
        <v>139</v>
      </c>
      <c r="Q10" s="52" t="s">
        <v>149</v>
      </c>
      <c r="R10" s="30" t="s">
        <v>9</v>
      </c>
      <c r="S10" s="30" t="s">
        <v>154</v>
      </c>
      <c r="T10" s="30" t="s">
        <v>103</v>
      </c>
      <c r="U10" s="30" t="str">
        <f t="shared" si="9"/>
        <v>Peças.Gás</v>
      </c>
      <c r="V10" s="30" t="s">
        <v>104</v>
      </c>
      <c r="W10" s="58" t="str">
        <f t="shared" si="5"/>
        <v>Key-GAS-10</v>
      </c>
      <c r="X10" s="29" t="s">
        <v>156</v>
      </c>
      <c r="Y10" s="29" t="s">
        <v>155</v>
      </c>
      <c r="Z10" s="30" t="s">
        <v>232</v>
      </c>
      <c r="AA10" s="30" t="s">
        <v>212</v>
      </c>
    </row>
    <row r="11" spans="1:27" ht="6.6" customHeight="1" x14ac:dyDescent="0.25">
      <c r="A11" s="57">
        <v>11</v>
      </c>
      <c r="B11" s="1" t="s">
        <v>238</v>
      </c>
      <c r="C11" s="42" t="s">
        <v>239</v>
      </c>
      <c r="D11" s="1" t="s">
        <v>229</v>
      </c>
      <c r="E11" s="42" t="s">
        <v>119</v>
      </c>
      <c r="F11" s="42" t="s">
        <v>159</v>
      </c>
      <c r="G11" s="60" t="s">
        <v>9</v>
      </c>
      <c r="H11" s="60" t="s">
        <v>9</v>
      </c>
      <c r="I11" s="60" t="s">
        <v>9</v>
      </c>
      <c r="J11" s="60" t="s">
        <v>9</v>
      </c>
      <c r="K11" s="60" t="s">
        <v>9</v>
      </c>
      <c r="L11" s="33" t="str">
        <f t="shared" si="6"/>
        <v>Sistemas.Prediais</v>
      </c>
      <c r="M11" s="33" t="str">
        <f t="shared" si="7"/>
        <v>Elementos.Gases</v>
      </c>
      <c r="N11" s="33" t="str">
        <f t="shared" si="8"/>
        <v>Peças Gás</v>
      </c>
      <c r="O11" s="30" t="str">
        <f t="shared" ref="O11:O24" si="14">IF(ISNUMBER(FIND("Ifc",F11)),CONCATENATE("Classe IFC:   ",F11),CONCATENATE("",F11))</f>
        <v>Registro.de.Gás</v>
      </c>
      <c r="P11" s="52" t="s">
        <v>138</v>
      </c>
      <c r="Q11" s="52" t="s">
        <v>142</v>
      </c>
      <c r="R11" s="30" t="s">
        <v>9</v>
      </c>
      <c r="S11" s="30" t="s">
        <v>154</v>
      </c>
      <c r="T11" s="30" t="s">
        <v>103</v>
      </c>
      <c r="U11" s="30" t="str">
        <f t="shared" si="9"/>
        <v>Peças.Gás</v>
      </c>
      <c r="V11" s="30" t="s">
        <v>104</v>
      </c>
      <c r="W11" s="58" t="str">
        <f t="shared" si="5"/>
        <v>Key-GAS-11</v>
      </c>
      <c r="X11" s="29" t="s">
        <v>156</v>
      </c>
      <c r="Y11" s="29" t="s">
        <v>105</v>
      </c>
      <c r="Z11" s="30" t="s">
        <v>232</v>
      </c>
      <c r="AA11" s="30" t="s">
        <v>213</v>
      </c>
    </row>
    <row r="12" spans="1:27" ht="6.6" customHeight="1" x14ac:dyDescent="0.25">
      <c r="A12" s="57">
        <v>12</v>
      </c>
      <c r="B12" s="1" t="s">
        <v>238</v>
      </c>
      <c r="C12" s="42" t="s">
        <v>239</v>
      </c>
      <c r="D12" s="1" t="s">
        <v>229</v>
      </c>
      <c r="E12" s="42" t="s">
        <v>119</v>
      </c>
      <c r="F12" s="42" t="s">
        <v>158</v>
      </c>
      <c r="G12" s="60" t="s">
        <v>9</v>
      </c>
      <c r="H12" s="60" t="s">
        <v>9</v>
      </c>
      <c r="I12" s="60" t="s">
        <v>9</v>
      </c>
      <c r="J12" s="60" t="s">
        <v>9</v>
      </c>
      <c r="K12" s="60" t="s">
        <v>9</v>
      </c>
      <c r="L12" s="33" t="str">
        <f t="shared" si="6"/>
        <v>Sistemas.Prediais</v>
      </c>
      <c r="M12" s="33" t="str">
        <f t="shared" si="7"/>
        <v>Elementos.Gases</v>
      </c>
      <c r="N12" s="33" t="str">
        <f t="shared" si="8"/>
        <v>Peças Gás</v>
      </c>
      <c r="O12" s="30" t="str">
        <f t="shared" si="14"/>
        <v>Válvula.de.Gás</v>
      </c>
      <c r="P12" s="52" t="s">
        <v>137</v>
      </c>
      <c r="Q12" s="52" t="s">
        <v>143</v>
      </c>
      <c r="R12" s="30" t="s">
        <v>9</v>
      </c>
      <c r="S12" s="30" t="s">
        <v>154</v>
      </c>
      <c r="T12" s="30" t="s">
        <v>103</v>
      </c>
      <c r="U12" s="30" t="str">
        <f t="shared" si="9"/>
        <v>Peças.Gás</v>
      </c>
      <c r="V12" s="30" t="s">
        <v>104</v>
      </c>
      <c r="W12" s="58" t="str">
        <f t="shared" si="5"/>
        <v>Key-GAS-12</v>
      </c>
      <c r="X12" s="29" t="s">
        <v>156</v>
      </c>
      <c r="Y12" s="29" t="s">
        <v>105</v>
      </c>
      <c r="Z12" s="30" t="s">
        <v>232</v>
      </c>
      <c r="AA12" s="30" t="s">
        <v>214</v>
      </c>
    </row>
    <row r="13" spans="1:27" ht="6.6" customHeight="1" x14ac:dyDescent="0.25">
      <c r="A13" s="57">
        <v>13</v>
      </c>
      <c r="B13" s="1" t="s">
        <v>238</v>
      </c>
      <c r="C13" s="42" t="s">
        <v>239</v>
      </c>
      <c r="D13" s="1" t="s">
        <v>229</v>
      </c>
      <c r="E13" s="42" t="s">
        <v>119</v>
      </c>
      <c r="F13" s="42" t="s">
        <v>157</v>
      </c>
      <c r="G13" s="60" t="s">
        <v>9</v>
      </c>
      <c r="H13" s="60" t="s">
        <v>9</v>
      </c>
      <c r="I13" s="60" t="s">
        <v>9</v>
      </c>
      <c r="J13" s="60" t="s">
        <v>9</v>
      </c>
      <c r="K13" s="60" t="s">
        <v>9</v>
      </c>
      <c r="L13" s="33" t="str">
        <f t="shared" ref="L13" si="15">CONCATENATE("", C13)</f>
        <v>Sistemas.Prediais</v>
      </c>
      <c r="M13" s="33" t="str">
        <f t="shared" ref="M13" si="16">CONCATENATE("", D13)</f>
        <v>Elementos.Gases</v>
      </c>
      <c r="N13" s="33" t="str">
        <f t="shared" ref="N13" si="17">(SUBSTITUTE(SUBSTITUTE(CONCATENATE("",E13),"."," ")," De "," de "))</f>
        <v>Peças Gás</v>
      </c>
      <c r="O13" s="30" t="str">
        <f t="shared" si="14"/>
        <v>Medidor.de.Gás</v>
      </c>
      <c r="P13" s="52" t="s">
        <v>136</v>
      </c>
      <c r="Q13" s="52" t="s">
        <v>150</v>
      </c>
      <c r="R13" s="30" t="s">
        <v>9</v>
      </c>
      <c r="S13" s="30" t="s">
        <v>154</v>
      </c>
      <c r="T13" s="30" t="s">
        <v>103</v>
      </c>
      <c r="U13" s="30" t="str">
        <f t="shared" ref="U13" si="18">SUBSTITUTE(E13, "_", " ")</f>
        <v>Peças.Gás</v>
      </c>
      <c r="V13" s="30" t="s">
        <v>104</v>
      </c>
      <c r="W13" s="58" t="str">
        <f t="shared" si="5"/>
        <v>Key-GAS-13</v>
      </c>
      <c r="X13" s="29" t="s">
        <v>156</v>
      </c>
      <c r="Y13" s="29" t="s">
        <v>185</v>
      </c>
      <c r="Z13" s="30" t="s">
        <v>232</v>
      </c>
      <c r="AA13" s="30" t="s">
        <v>215</v>
      </c>
    </row>
    <row r="14" spans="1:27" ht="6.6" customHeight="1" x14ac:dyDescent="0.25">
      <c r="A14" s="57">
        <v>14</v>
      </c>
      <c r="B14" s="1" t="s">
        <v>238</v>
      </c>
      <c r="C14" s="42" t="s">
        <v>239</v>
      </c>
      <c r="D14" s="1" t="s">
        <v>229</v>
      </c>
      <c r="E14" s="42" t="s">
        <v>119</v>
      </c>
      <c r="F14" s="42" t="s">
        <v>225</v>
      </c>
      <c r="G14" s="60" t="s">
        <v>9</v>
      </c>
      <c r="H14" s="60" t="s">
        <v>9</v>
      </c>
      <c r="I14" s="60" t="s">
        <v>9</v>
      </c>
      <c r="J14" s="60" t="s">
        <v>9</v>
      </c>
      <c r="K14" s="60" t="s">
        <v>9</v>
      </c>
      <c r="L14" s="33" t="str">
        <f t="shared" si="6"/>
        <v>Sistemas.Prediais</v>
      </c>
      <c r="M14" s="33" t="str">
        <f t="shared" si="7"/>
        <v>Elementos.Gases</v>
      </c>
      <c r="N14" s="33" t="str">
        <f t="shared" si="8"/>
        <v>Peças Gás</v>
      </c>
      <c r="O14" s="30" t="str">
        <f t="shared" si="14"/>
        <v>Acessório.de.Gás</v>
      </c>
      <c r="P14" s="52" t="s">
        <v>135</v>
      </c>
      <c r="Q14" s="52" t="s">
        <v>144</v>
      </c>
      <c r="R14" s="30" t="s">
        <v>9</v>
      </c>
      <c r="S14" s="30" t="s">
        <v>154</v>
      </c>
      <c r="T14" s="30" t="s">
        <v>103</v>
      </c>
      <c r="U14" s="30" t="str">
        <f t="shared" si="9"/>
        <v>Peças.Gás</v>
      </c>
      <c r="V14" s="30" t="s">
        <v>104</v>
      </c>
      <c r="W14" s="58" t="str">
        <f t="shared" si="5"/>
        <v>Key-GAS-14</v>
      </c>
      <c r="X14" s="29" t="s">
        <v>235</v>
      </c>
      <c r="Y14" s="29" t="s">
        <v>186</v>
      </c>
      <c r="Z14" s="30" t="s">
        <v>232</v>
      </c>
      <c r="AA14" s="30" t="s">
        <v>216</v>
      </c>
    </row>
    <row r="15" spans="1:27" ht="6.6" customHeight="1" x14ac:dyDescent="0.25">
      <c r="A15" s="57">
        <v>15</v>
      </c>
      <c r="B15" s="1" t="s">
        <v>238</v>
      </c>
      <c r="C15" s="42" t="s">
        <v>239</v>
      </c>
      <c r="D15" s="1" t="s">
        <v>229</v>
      </c>
      <c r="E15" s="42" t="s">
        <v>119</v>
      </c>
      <c r="F15" s="42" t="s">
        <v>120</v>
      </c>
      <c r="G15" s="60" t="s">
        <v>9</v>
      </c>
      <c r="H15" s="60" t="s">
        <v>9</v>
      </c>
      <c r="I15" s="60" t="s">
        <v>9</v>
      </c>
      <c r="J15" s="60" t="s">
        <v>9</v>
      </c>
      <c r="K15" s="60" t="s">
        <v>9</v>
      </c>
      <c r="L15" s="33" t="str">
        <f t="shared" si="0"/>
        <v>Sistemas.Prediais</v>
      </c>
      <c r="M15" s="33" t="str">
        <f t="shared" si="1"/>
        <v>Elementos.Gases</v>
      </c>
      <c r="N15" s="33" t="str">
        <f t="shared" si="2"/>
        <v>Peças Gás</v>
      </c>
      <c r="O15" s="30" t="str">
        <f t="shared" si="14"/>
        <v>Buchão.de.Gás</v>
      </c>
      <c r="P15" s="52" t="s">
        <v>133</v>
      </c>
      <c r="Q15" s="52" t="s">
        <v>151</v>
      </c>
      <c r="R15" s="30" t="s">
        <v>9</v>
      </c>
      <c r="S15" s="30" t="s">
        <v>154</v>
      </c>
      <c r="T15" s="30" t="s">
        <v>103</v>
      </c>
      <c r="U15" s="30" t="str">
        <f t="shared" si="4"/>
        <v>Peças.Gás</v>
      </c>
      <c r="V15" s="30" t="s">
        <v>104</v>
      </c>
      <c r="W15" s="58" t="str">
        <f t="shared" si="5"/>
        <v>Key-GAS-15</v>
      </c>
      <c r="X15" s="29" t="s">
        <v>240</v>
      </c>
      <c r="Y15" s="29" t="s">
        <v>106</v>
      </c>
      <c r="Z15" s="30" t="s">
        <v>232</v>
      </c>
      <c r="AA15" s="30" t="s">
        <v>145</v>
      </c>
    </row>
    <row r="16" spans="1:27" ht="6.6" customHeight="1" x14ac:dyDescent="0.25">
      <c r="A16" s="57">
        <v>16</v>
      </c>
      <c r="B16" s="1" t="s">
        <v>238</v>
      </c>
      <c r="C16" s="42" t="s">
        <v>239</v>
      </c>
      <c r="D16" s="1" t="s">
        <v>229</v>
      </c>
      <c r="E16" s="42" t="s">
        <v>119</v>
      </c>
      <c r="F16" s="42" t="s">
        <v>121</v>
      </c>
      <c r="G16" s="60" t="s">
        <v>9</v>
      </c>
      <c r="H16" s="60" t="s">
        <v>9</v>
      </c>
      <c r="I16" s="60" t="s">
        <v>9</v>
      </c>
      <c r="J16" s="60" t="s">
        <v>9</v>
      </c>
      <c r="K16" s="60" t="s">
        <v>9</v>
      </c>
      <c r="L16" s="33" t="str">
        <f t="shared" si="0"/>
        <v>Sistemas.Prediais</v>
      </c>
      <c r="M16" s="33" t="str">
        <f t="shared" si="1"/>
        <v>Elementos.Gases</v>
      </c>
      <c r="N16" s="33" t="str">
        <f t="shared" si="2"/>
        <v>Peças Gás</v>
      </c>
      <c r="O16" s="30" t="str">
        <f t="shared" si="14"/>
        <v>Cilindro.de.Gás</v>
      </c>
      <c r="P16" s="52" t="s">
        <v>134</v>
      </c>
      <c r="Q16" s="52" t="s">
        <v>146</v>
      </c>
      <c r="R16" s="30" t="s">
        <v>9</v>
      </c>
      <c r="S16" s="30" t="s">
        <v>154</v>
      </c>
      <c r="T16" s="30" t="s">
        <v>103</v>
      </c>
      <c r="U16" s="30" t="str">
        <f t="shared" si="4"/>
        <v>Peças.Gás</v>
      </c>
      <c r="V16" s="30" t="s">
        <v>104</v>
      </c>
      <c r="W16" s="58" t="str">
        <f t="shared" si="5"/>
        <v>Key-GAS-16</v>
      </c>
      <c r="X16" s="29" t="s">
        <v>240</v>
      </c>
      <c r="Y16" s="29" t="s">
        <v>106</v>
      </c>
      <c r="Z16" s="30" t="s">
        <v>232</v>
      </c>
      <c r="AA16" s="30" t="s">
        <v>217</v>
      </c>
    </row>
    <row r="17" spans="1:27" ht="6.6" customHeight="1" x14ac:dyDescent="0.25">
      <c r="A17" s="57">
        <v>17</v>
      </c>
      <c r="B17" s="1" t="s">
        <v>238</v>
      </c>
      <c r="C17" s="42" t="s">
        <v>239</v>
      </c>
      <c r="D17" s="1" t="s">
        <v>229</v>
      </c>
      <c r="E17" s="42" t="s">
        <v>119</v>
      </c>
      <c r="F17" s="42" t="s">
        <v>122</v>
      </c>
      <c r="G17" s="60" t="s">
        <v>9</v>
      </c>
      <c r="H17" s="60" t="s">
        <v>9</v>
      </c>
      <c r="I17" s="60" t="s">
        <v>9</v>
      </c>
      <c r="J17" s="60" t="s">
        <v>9</v>
      </c>
      <c r="K17" s="60" t="s">
        <v>9</v>
      </c>
      <c r="L17" s="33" t="str">
        <f t="shared" si="0"/>
        <v>Sistemas.Prediais</v>
      </c>
      <c r="M17" s="33" t="str">
        <f t="shared" si="1"/>
        <v>Elementos.Gases</v>
      </c>
      <c r="N17" s="33" t="str">
        <f t="shared" si="2"/>
        <v>Peças Gás</v>
      </c>
      <c r="O17" s="30" t="str">
        <f t="shared" si="14"/>
        <v>Tanque.de.Gás</v>
      </c>
      <c r="P17" s="52" t="s">
        <v>132</v>
      </c>
      <c r="Q17" s="52" t="s">
        <v>226</v>
      </c>
      <c r="R17" s="30" t="s">
        <v>9</v>
      </c>
      <c r="S17" s="30" t="s">
        <v>154</v>
      </c>
      <c r="T17" s="30" t="s">
        <v>103</v>
      </c>
      <c r="U17" s="30" t="str">
        <f t="shared" si="4"/>
        <v>Peças.Gás</v>
      </c>
      <c r="V17" s="30" t="s">
        <v>104</v>
      </c>
      <c r="W17" s="58" t="str">
        <f t="shared" si="5"/>
        <v>Key-GAS-17</v>
      </c>
      <c r="X17" s="29" t="s">
        <v>240</v>
      </c>
      <c r="Y17" s="29" t="s">
        <v>106</v>
      </c>
      <c r="Z17" s="30" t="s">
        <v>232</v>
      </c>
      <c r="AA17" s="30" t="s">
        <v>218</v>
      </c>
    </row>
    <row r="18" spans="1:27" ht="6.6" customHeight="1" x14ac:dyDescent="0.25">
      <c r="A18" s="57">
        <v>18</v>
      </c>
      <c r="B18" s="1" t="s">
        <v>238</v>
      </c>
      <c r="C18" s="42" t="s">
        <v>239</v>
      </c>
      <c r="D18" s="1" t="s">
        <v>229</v>
      </c>
      <c r="E18" s="42" t="s">
        <v>227</v>
      </c>
      <c r="F18" s="42" t="s">
        <v>124</v>
      </c>
      <c r="G18" s="60" t="s">
        <v>9</v>
      </c>
      <c r="H18" s="60" t="s">
        <v>9</v>
      </c>
      <c r="I18" s="60" t="s">
        <v>9</v>
      </c>
      <c r="J18" s="60" t="s">
        <v>9</v>
      </c>
      <c r="K18" s="60" t="s">
        <v>9</v>
      </c>
      <c r="L18" s="33" t="str">
        <f t="shared" si="0"/>
        <v>Sistemas.Prediais</v>
      </c>
      <c r="M18" s="33" t="str">
        <f t="shared" si="1"/>
        <v>Elementos.Gases</v>
      </c>
      <c r="N18" s="33" t="str">
        <f t="shared" si="2"/>
        <v>Gás Doméstico</v>
      </c>
      <c r="O18" s="30" t="str">
        <f t="shared" si="14"/>
        <v>Aquecedor.a.Gás</v>
      </c>
      <c r="P18" s="52" t="s">
        <v>128</v>
      </c>
      <c r="Q18" s="52" t="s">
        <v>152</v>
      </c>
      <c r="R18" s="30" t="s">
        <v>9</v>
      </c>
      <c r="S18" s="30" t="s">
        <v>154</v>
      </c>
      <c r="T18" s="30" t="s">
        <v>103</v>
      </c>
      <c r="U18" s="30" t="str">
        <f t="shared" si="4"/>
        <v>Gás.Doméstico</v>
      </c>
      <c r="V18" s="30" t="s">
        <v>104</v>
      </c>
      <c r="W18" s="58" t="str">
        <f t="shared" si="5"/>
        <v>Key-GAS-18</v>
      </c>
      <c r="X18" s="29" t="s">
        <v>156</v>
      </c>
      <c r="Y18" s="29" t="s">
        <v>107</v>
      </c>
      <c r="Z18" s="30" t="s">
        <v>232</v>
      </c>
      <c r="AA18" s="30" t="s">
        <v>220</v>
      </c>
    </row>
    <row r="19" spans="1:27" ht="6.6" customHeight="1" x14ac:dyDescent="0.25">
      <c r="A19" s="57">
        <v>19</v>
      </c>
      <c r="B19" s="1" t="s">
        <v>238</v>
      </c>
      <c r="C19" s="42" t="s">
        <v>239</v>
      </c>
      <c r="D19" s="1" t="s">
        <v>229</v>
      </c>
      <c r="E19" s="42" t="s">
        <v>227</v>
      </c>
      <c r="F19" s="42" t="s">
        <v>125</v>
      </c>
      <c r="G19" s="60" t="s">
        <v>9</v>
      </c>
      <c r="H19" s="60" t="s">
        <v>9</v>
      </c>
      <c r="I19" s="60" t="s">
        <v>9</v>
      </c>
      <c r="J19" s="60" t="s">
        <v>9</v>
      </c>
      <c r="K19" s="60" t="s">
        <v>9</v>
      </c>
      <c r="L19" s="33" t="str">
        <f t="shared" si="0"/>
        <v>Sistemas.Prediais</v>
      </c>
      <c r="M19" s="33" t="str">
        <f t="shared" si="1"/>
        <v>Elementos.Gases</v>
      </c>
      <c r="N19" s="33" t="str">
        <f t="shared" si="2"/>
        <v>Gás Doméstico</v>
      </c>
      <c r="O19" s="30" t="str">
        <f t="shared" si="14"/>
        <v>Boiler.a.Gás</v>
      </c>
      <c r="P19" s="52" t="s">
        <v>129</v>
      </c>
      <c r="Q19" s="52" t="s">
        <v>153</v>
      </c>
      <c r="R19" s="30" t="s">
        <v>9</v>
      </c>
      <c r="S19" s="30" t="s">
        <v>154</v>
      </c>
      <c r="T19" s="30" t="s">
        <v>103</v>
      </c>
      <c r="U19" s="30" t="str">
        <f t="shared" si="4"/>
        <v>Gás.Doméstico</v>
      </c>
      <c r="V19" s="30" t="s">
        <v>104</v>
      </c>
      <c r="W19" s="58" t="str">
        <f t="shared" si="5"/>
        <v>Key-GAS-19</v>
      </c>
      <c r="X19" s="29" t="s">
        <v>156</v>
      </c>
      <c r="Y19" s="29" t="s">
        <v>107</v>
      </c>
      <c r="Z19" s="30" t="s">
        <v>232</v>
      </c>
      <c r="AA19" s="30" t="s">
        <v>221</v>
      </c>
    </row>
    <row r="20" spans="1:27" ht="6.6" customHeight="1" x14ac:dyDescent="0.25">
      <c r="A20" s="57">
        <v>20</v>
      </c>
      <c r="B20" s="1" t="s">
        <v>238</v>
      </c>
      <c r="C20" s="42" t="s">
        <v>239</v>
      </c>
      <c r="D20" s="1" t="s">
        <v>229</v>
      </c>
      <c r="E20" s="42" t="s">
        <v>227</v>
      </c>
      <c r="F20" s="42" t="s">
        <v>126</v>
      </c>
      <c r="G20" s="60" t="s">
        <v>9</v>
      </c>
      <c r="H20" s="60" t="s">
        <v>9</v>
      </c>
      <c r="I20" s="60" t="s">
        <v>9</v>
      </c>
      <c r="J20" s="60" t="s">
        <v>9</v>
      </c>
      <c r="K20" s="60" t="s">
        <v>9</v>
      </c>
      <c r="L20" s="33" t="str">
        <f t="shared" si="0"/>
        <v>Sistemas.Prediais</v>
      </c>
      <c r="M20" s="33" t="str">
        <f t="shared" si="1"/>
        <v>Elementos.Gases</v>
      </c>
      <c r="N20" s="33" t="str">
        <f t="shared" si="2"/>
        <v>Gás Doméstico</v>
      </c>
      <c r="O20" s="30" t="str">
        <f t="shared" si="14"/>
        <v>Caldeira.a.Gás</v>
      </c>
      <c r="P20" s="52" t="s">
        <v>130</v>
      </c>
      <c r="Q20" s="52" t="s">
        <v>148</v>
      </c>
      <c r="R20" s="30" t="s">
        <v>9</v>
      </c>
      <c r="S20" s="30" t="s">
        <v>154</v>
      </c>
      <c r="T20" s="30" t="s">
        <v>103</v>
      </c>
      <c r="U20" s="30" t="str">
        <f t="shared" si="4"/>
        <v>Gás.Doméstico</v>
      </c>
      <c r="V20" s="30" t="s">
        <v>104</v>
      </c>
      <c r="W20" s="58" t="str">
        <f t="shared" si="5"/>
        <v>Key-GAS-20</v>
      </c>
      <c r="X20" s="29" t="s">
        <v>156</v>
      </c>
      <c r="Y20" s="29" t="s">
        <v>108</v>
      </c>
      <c r="Z20" s="30" t="s">
        <v>232</v>
      </c>
      <c r="AA20" s="30" t="s">
        <v>231</v>
      </c>
    </row>
    <row r="21" spans="1:27" ht="6.6" customHeight="1" x14ac:dyDescent="0.25">
      <c r="A21" s="57">
        <v>21</v>
      </c>
      <c r="B21" s="1" t="s">
        <v>238</v>
      </c>
      <c r="C21" s="42" t="s">
        <v>239</v>
      </c>
      <c r="D21" s="1" t="s">
        <v>229</v>
      </c>
      <c r="E21" s="42" t="s">
        <v>227</v>
      </c>
      <c r="F21" s="42" t="s">
        <v>123</v>
      </c>
      <c r="G21" s="60" t="s">
        <v>9</v>
      </c>
      <c r="H21" s="60" t="s">
        <v>9</v>
      </c>
      <c r="I21" s="60" t="s">
        <v>9</v>
      </c>
      <c r="J21" s="60" t="s">
        <v>9</v>
      </c>
      <c r="K21" s="60" t="s">
        <v>9</v>
      </c>
      <c r="L21" s="33" t="str">
        <f t="shared" ref="L21" si="19">CONCATENATE("", C21)</f>
        <v>Sistemas.Prediais</v>
      </c>
      <c r="M21" s="33" t="str">
        <f t="shared" ref="M21" si="20">CONCATENATE("", D21)</f>
        <v>Elementos.Gases</v>
      </c>
      <c r="N21" s="33" t="str">
        <f t="shared" ref="N21" si="21">(SUBSTITUTE(SUBSTITUTE(CONCATENATE("",E21),"."," ")," De "," de "))</f>
        <v>Gás Doméstico</v>
      </c>
      <c r="O21" s="30" t="str">
        <f t="shared" ref="O21" si="22">IF(ISNUMBER(FIND("Ifc",F21)),CONCATENATE("Classe IFC:   ",F21),CONCATENATE("",F21))</f>
        <v>Tubulação.Gás</v>
      </c>
      <c r="P21" s="52" t="s">
        <v>131</v>
      </c>
      <c r="Q21" s="52" t="s">
        <v>147</v>
      </c>
      <c r="R21" s="30" t="s">
        <v>9</v>
      </c>
      <c r="S21" s="30" t="s">
        <v>154</v>
      </c>
      <c r="T21" s="30" t="s">
        <v>103</v>
      </c>
      <c r="U21" s="30" t="str">
        <f t="shared" ref="U21" si="23">SUBSTITUTE(E21, "_", " ")</f>
        <v>Gás.Doméstico</v>
      </c>
      <c r="V21" s="30" t="s">
        <v>104</v>
      </c>
      <c r="W21" s="58" t="str">
        <f t="shared" si="5"/>
        <v>Key-GAS-21</v>
      </c>
      <c r="X21" s="29" t="s">
        <v>240</v>
      </c>
      <c r="Y21" s="29" t="s">
        <v>241</v>
      </c>
      <c r="Z21" s="30" t="s">
        <v>232</v>
      </c>
      <c r="AA21" s="30" t="s">
        <v>219</v>
      </c>
    </row>
    <row r="22" spans="1:27" ht="6.6" customHeight="1" x14ac:dyDescent="0.25">
      <c r="A22" s="57">
        <v>22</v>
      </c>
      <c r="B22" s="1" t="s">
        <v>238</v>
      </c>
      <c r="C22" s="42" t="s">
        <v>239</v>
      </c>
      <c r="D22" s="1" t="s">
        <v>229</v>
      </c>
      <c r="E22" s="42" t="s">
        <v>228</v>
      </c>
      <c r="F22" s="42" t="s">
        <v>193</v>
      </c>
      <c r="G22" s="60" t="s">
        <v>9</v>
      </c>
      <c r="H22" s="60" t="s">
        <v>9</v>
      </c>
      <c r="I22" s="60" t="s">
        <v>9</v>
      </c>
      <c r="J22" s="60" t="s">
        <v>9</v>
      </c>
      <c r="K22" s="60" t="s">
        <v>9</v>
      </c>
      <c r="L22" s="33" t="str">
        <f t="shared" ref="L22:L24" si="24">CONCATENATE("", C22)</f>
        <v>Sistemas.Prediais</v>
      </c>
      <c r="M22" s="33" t="str">
        <f t="shared" ref="M22:M24" si="25">CONCATENATE("", D22)</f>
        <v>Elementos.Gases</v>
      </c>
      <c r="N22" s="33" t="str">
        <f t="shared" ref="N22:N24" si="26">(SUBSTITUTE(SUBSTITUTE(CONCATENATE("",E22),"."," ")," De "," de "))</f>
        <v>Gás Hospitalar</v>
      </c>
      <c r="O22" s="30" t="str">
        <f t="shared" si="14"/>
        <v>Aquecedor.a.Gás.Hospitalar</v>
      </c>
      <c r="P22" s="52" t="s">
        <v>197</v>
      </c>
      <c r="Q22" s="52" t="s">
        <v>201</v>
      </c>
      <c r="R22" s="30" t="s">
        <v>9</v>
      </c>
      <c r="S22" s="30" t="s">
        <v>154</v>
      </c>
      <c r="T22" s="30" t="s">
        <v>103</v>
      </c>
      <c r="U22" s="30" t="str">
        <f t="shared" ref="U22:U24" si="27">SUBSTITUTE(E22, "_", " ")</f>
        <v>Gás.Hospitalar</v>
      </c>
      <c r="V22" s="30" t="s">
        <v>104</v>
      </c>
      <c r="W22" s="58" t="str">
        <f t="shared" si="5"/>
        <v>Key-GAS-22</v>
      </c>
      <c r="X22" s="29" t="s">
        <v>156</v>
      </c>
      <c r="Y22" s="29" t="s">
        <v>107</v>
      </c>
      <c r="Z22" s="30" t="s">
        <v>234</v>
      </c>
      <c r="AA22" s="30" t="s">
        <v>223</v>
      </c>
    </row>
    <row r="23" spans="1:27" ht="6.6" customHeight="1" x14ac:dyDescent="0.25">
      <c r="A23" s="57">
        <v>23</v>
      </c>
      <c r="B23" s="1" t="s">
        <v>238</v>
      </c>
      <c r="C23" s="42" t="s">
        <v>239</v>
      </c>
      <c r="D23" s="1" t="s">
        <v>229</v>
      </c>
      <c r="E23" s="42" t="s">
        <v>228</v>
      </c>
      <c r="F23" s="42" t="s">
        <v>194</v>
      </c>
      <c r="G23" s="60" t="s">
        <v>9</v>
      </c>
      <c r="H23" s="60" t="s">
        <v>9</v>
      </c>
      <c r="I23" s="60" t="s">
        <v>9</v>
      </c>
      <c r="J23" s="60" t="s">
        <v>9</v>
      </c>
      <c r="K23" s="60" t="s">
        <v>9</v>
      </c>
      <c r="L23" s="33" t="str">
        <f t="shared" si="24"/>
        <v>Sistemas.Prediais</v>
      </c>
      <c r="M23" s="33" t="str">
        <f t="shared" si="25"/>
        <v>Elementos.Gases</v>
      </c>
      <c r="N23" s="33" t="str">
        <f t="shared" si="26"/>
        <v>Gás Hospitalar</v>
      </c>
      <c r="O23" s="30" t="str">
        <f t="shared" si="14"/>
        <v>Boiler.a.Gás.Hospitalar</v>
      </c>
      <c r="P23" s="52" t="s">
        <v>198</v>
      </c>
      <c r="Q23" s="52" t="s">
        <v>202</v>
      </c>
      <c r="R23" s="30" t="s">
        <v>9</v>
      </c>
      <c r="S23" s="30" t="s">
        <v>154</v>
      </c>
      <c r="T23" s="30" t="s">
        <v>103</v>
      </c>
      <c r="U23" s="30" t="str">
        <f t="shared" si="27"/>
        <v>Gás.Hospitalar</v>
      </c>
      <c r="V23" s="30" t="s">
        <v>104</v>
      </c>
      <c r="W23" s="58" t="str">
        <f t="shared" si="5"/>
        <v>Key-GAS-23</v>
      </c>
      <c r="X23" s="29" t="s">
        <v>156</v>
      </c>
      <c r="Y23" s="29" t="s">
        <v>107</v>
      </c>
      <c r="Z23" s="30" t="s">
        <v>234</v>
      </c>
      <c r="AA23" s="30" t="s">
        <v>224</v>
      </c>
    </row>
    <row r="24" spans="1:27" ht="6.6" customHeight="1" x14ac:dyDescent="0.25">
      <c r="A24" s="57">
        <v>24</v>
      </c>
      <c r="B24" s="1" t="s">
        <v>238</v>
      </c>
      <c r="C24" s="42" t="s">
        <v>239</v>
      </c>
      <c r="D24" s="1" t="s">
        <v>229</v>
      </c>
      <c r="E24" s="42" t="s">
        <v>228</v>
      </c>
      <c r="F24" s="42" t="s">
        <v>195</v>
      </c>
      <c r="G24" s="60" t="s">
        <v>9</v>
      </c>
      <c r="H24" s="60" t="s">
        <v>9</v>
      </c>
      <c r="I24" s="60" t="s">
        <v>9</v>
      </c>
      <c r="J24" s="60" t="s">
        <v>9</v>
      </c>
      <c r="K24" s="60" t="s">
        <v>9</v>
      </c>
      <c r="L24" s="33" t="str">
        <f t="shared" si="24"/>
        <v>Sistemas.Prediais</v>
      </c>
      <c r="M24" s="33" t="str">
        <f t="shared" si="25"/>
        <v>Elementos.Gases</v>
      </c>
      <c r="N24" s="33" t="str">
        <f t="shared" si="26"/>
        <v>Gás Hospitalar</v>
      </c>
      <c r="O24" s="30" t="str">
        <f t="shared" si="14"/>
        <v>Caldeira.a.Gás.Hospitalar</v>
      </c>
      <c r="P24" s="52" t="s">
        <v>199</v>
      </c>
      <c r="Q24" s="52" t="s">
        <v>203</v>
      </c>
      <c r="R24" s="30" t="s">
        <v>9</v>
      </c>
      <c r="S24" s="30" t="s">
        <v>154</v>
      </c>
      <c r="T24" s="30" t="s">
        <v>103</v>
      </c>
      <c r="U24" s="30" t="str">
        <f t="shared" si="27"/>
        <v>Gás.Hospitalar</v>
      </c>
      <c r="V24" s="30" t="s">
        <v>104</v>
      </c>
      <c r="W24" s="58" t="str">
        <f t="shared" si="5"/>
        <v>Key-GAS-24</v>
      </c>
      <c r="X24" s="29" t="s">
        <v>156</v>
      </c>
      <c r="Y24" s="29" t="s">
        <v>108</v>
      </c>
      <c r="Z24" s="30" t="s">
        <v>234</v>
      </c>
      <c r="AA24" s="30" t="s">
        <v>230</v>
      </c>
    </row>
    <row r="25" spans="1:27" ht="6.6" customHeight="1" x14ac:dyDescent="0.25">
      <c r="A25" s="57">
        <v>25</v>
      </c>
      <c r="B25" s="1" t="s">
        <v>238</v>
      </c>
      <c r="C25" s="42" t="s">
        <v>239</v>
      </c>
      <c r="D25" s="1" t="s">
        <v>229</v>
      </c>
      <c r="E25" s="42" t="s">
        <v>228</v>
      </c>
      <c r="F25" s="42" t="s">
        <v>192</v>
      </c>
      <c r="G25" s="60" t="s">
        <v>9</v>
      </c>
      <c r="H25" s="60" t="s">
        <v>9</v>
      </c>
      <c r="I25" s="60" t="s">
        <v>9</v>
      </c>
      <c r="J25" s="60" t="s">
        <v>9</v>
      </c>
      <c r="K25" s="60" t="s">
        <v>9</v>
      </c>
      <c r="L25" s="33" t="str">
        <f t="shared" ref="L25" si="28">CONCATENATE("", C25)</f>
        <v>Sistemas.Prediais</v>
      </c>
      <c r="M25" s="33" t="str">
        <f t="shared" ref="M25" si="29">CONCATENATE("", D25)</f>
        <v>Elementos.Gases</v>
      </c>
      <c r="N25" s="33" t="str">
        <f t="shared" ref="N25" si="30">(SUBSTITUTE(SUBSTITUTE(CONCATENATE("",E25),"."," ")," De "," de "))</f>
        <v>Gás Hospitalar</v>
      </c>
      <c r="O25" s="30" t="str">
        <f t="shared" ref="O25" si="31">IF(ISNUMBER(FIND("Ifc",F25)),CONCATENATE("Classe IFC:   ",F25),CONCATENATE("",F25))</f>
        <v>Tubulação.Gás.Hospitalar</v>
      </c>
      <c r="P25" s="52" t="s">
        <v>196</v>
      </c>
      <c r="Q25" s="52" t="s">
        <v>200</v>
      </c>
      <c r="R25" s="30" t="s">
        <v>9</v>
      </c>
      <c r="S25" s="30" t="s">
        <v>154</v>
      </c>
      <c r="T25" s="30" t="s">
        <v>103</v>
      </c>
      <c r="U25" s="30" t="str">
        <f t="shared" ref="U25" si="32">SUBSTITUTE(E25, "_", " ")</f>
        <v>Gás.Hospitalar</v>
      </c>
      <c r="V25" s="30" t="s">
        <v>104</v>
      </c>
      <c r="W25" s="58" t="str">
        <f t="shared" si="5"/>
        <v>Key-GAS-25</v>
      </c>
      <c r="X25" s="29" t="s">
        <v>240</v>
      </c>
      <c r="Y25" s="29" t="s">
        <v>241</v>
      </c>
      <c r="Z25" s="30" t="s">
        <v>234</v>
      </c>
      <c r="AA25" s="30" t="s">
        <v>222</v>
      </c>
    </row>
  </sheetData>
  <sortState xmlns:xlrd2="http://schemas.microsoft.com/office/spreadsheetml/2017/richdata2" ref="A2:AA886">
    <sortCondition ref="F2:F886"/>
  </sortState>
  <phoneticPr fontId="1" type="noConversion"/>
  <conditionalFormatting sqref="AA2:AA25 A2:B25">
    <cfRule type="cellIs" dxfId="0" priority="6" operator="equal">
      <formula>"null"</formula>
    </cfRule>
  </conditionalFormatting>
  <conditionalFormatting sqref="A1:D1 F1:O1 R1:X1 Z1:AA1">
    <cfRule type="cellIs" dxfId="15" priority="55" operator="equal">
      <formula>"null"</formula>
    </cfRule>
  </conditionalFormatting>
  <conditionalFormatting sqref="F1">
    <cfRule type="duplicateValues" dxfId="14" priority="1491"/>
  </conditionalFormatting>
  <conditionalFormatting sqref="F10:F1048576 F1:F2">
    <cfRule type="duplicateValues" dxfId="13" priority="1513"/>
  </conditionalFormatting>
  <conditionalFormatting sqref="F26:F1048576">
    <cfRule type="duplicateValues" dxfId="12" priority="248"/>
    <cfRule type="duplicateValues" dxfId="11" priority="250"/>
    <cfRule type="duplicateValues" dxfId="10" priority="1463"/>
    <cfRule type="duplicateValues" dxfId="9" priority="1484"/>
  </conditionalFormatting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Planilha3"/>
  <dimension ref="A1:U3"/>
  <sheetViews>
    <sheetView zoomScale="180" zoomScaleNormal="180" workbookViewId="0">
      <selection activeCell="B6" sqref="B6"/>
    </sheetView>
  </sheetViews>
  <sheetFormatPr defaultColWidth="11.140625" defaultRowHeight="8.25" x14ac:dyDescent="0.15"/>
  <cols>
    <col min="1" max="1" width="2.85546875" style="10" customWidth="1"/>
    <col min="2" max="10" width="6.5703125" style="11" customWidth="1"/>
    <col min="11" max="21" width="6.5703125" style="9" customWidth="1"/>
    <col min="22" max="16384" width="11.140625" style="9"/>
  </cols>
  <sheetData>
    <row r="1" spans="1:21" s="4" customFormat="1" ht="16.5" x14ac:dyDescent="0.15">
      <c r="A1" s="2" t="s">
        <v>11</v>
      </c>
      <c r="B1" s="3" t="s">
        <v>12</v>
      </c>
      <c r="C1" s="3" t="s">
        <v>13</v>
      </c>
      <c r="D1" s="3" t="s">
        <v>14</v>
      </c>
      <c r="E1" s="3" t="s">
        <v>15</v>
      </c>
      <c r="F1" s="3" t="s">
        <v>16</v>
      </c>
      <c r="G1" s="3" t="s">
        <v>17</v>
      </c>
      <c r="H1" s="3" t="s">
        <v>18</v>
      </c>
      <c r="I1" s="3" t="s">
        <v>19</v>
      </c>
      <c r="J1" s="3" t="s">
        <v>20</v>
      </c>
      <c r="K1" s="3" t="s">
        <v>21</v>
      </c>
      <c r="L1" s="3" t="s">
        <v>22</v>
      </c>
      <c r="M1" s="3" t="s">
        <v>23</v>
      </c>
      <c r="N1" s="3" t="s">
        <v>24</v>
      </c>
      <c r="O1" s="3" t="s">
        <v>25</v>
      </c>
      <c r="P1" s="3" t="s">
        <v>26</v>
      </c>
      <c r="Q1" s="3" t="s">
        <v>27</v>
      </c>
      <c r="R1" s="3" t="s">
        <v>28</v>
      </c>
      <c r="S1" s="3" t="s">
        <v>29</v>
      </c>
      <c r="T1" s="3" t="s">
        <v>30</v>
      </c>
      <c r="U1" s="5" t="s">
        <v>31</v>
      </c>
    </row>
    <row r="2" spans="1:21" s="4" customFormat="1" ht="10.5" customHeight="1" x14ac:dyDescent="0.15">
      <c r="A2" s="6">
        <v>2</v>
      </c>
      <c r="B2" s="7" t="s">
        <v>9</v>
      </c>
      <c r="C2" s="7" t="s">
        <v>9</v>
      </c>
      <c r="D2" s="7" t="s">
        <v>9</v>
      </c>
      <c r="E2" s="7" t="s">
        <v>9</v>
      </c>
      <c r="F2" s="7" t="s">
        <v>9</v>
      </c>
      <c r="G2" s="7" t="s">
        <v>9</v>
      </c>
      <c r="H2" s="7" t="s">
        <v>9</v>
      </c>
      <c r="I2" s="7" t="s">
        <v>9</v>
      </c>
      <c r="J2" s="7" t="s">
        <v>9</v>
      </c>
      <c r="K2" s="7" t="s">
        <v>9</v>
      </c>
      <c r="L2" s="7" t="s">
        <v>9</v>
      </c>
      <c r="M2" s="7" t="s">
        <v>9</v>
      </c>
      <c r="N2" s="7" t="s">
        <v>9</v>
      </c>
      <c r="O2" s="7" t="s">
        <v>9</v>
      </c>
      <c r="P2" s="7" t="s">
        <v>9</v>
      </c>
      <c r="Q2" s="7" t="s">
        <v>9</v>
      </c>
      <c r="R2" s="7" t="s">
        <v>9</v>
      </c>
      <c r="S2" s="7" t="s">
        <v>9</v>
      </c>
      <c r="T2" s="7" t="s">
        <v>9</v>
      </c>
      <c r="U2" s="7" t="s">
        <v>9</v>
      </c>
    </row>
    <row r="3" spans="1:21" ht="10.5" customHeight="1" x14ac:dyDescent="0.15">
      <c r="A3" s="6">
        <v>3</v>
      </c>
      <c r="B3" s="7" t="s">
        <v>9</v>
      </c>
      <c r="C3" s="7" t="s">
        <v>9</v>
      </c>
      <c r="D3" s="7" t="s">
        <v>9</v>
      </c>
      <c r="E3" s="7" t="s">
        <v>9</v>
      </c>
      <c r="F3" s="7" t="s">
        <v>9</v>
      </c>
      <c r="G3" s="7" t="s">
        <v>9</v>
      </c>
      <c r="H3" s="7" t="s">
        <v>9</v>
      </c>
      <c r="I3" s="7" t="s">
        <v>9</v>
      </c>
      <c r="J3" s="7" t="s">
        <v>9</v>
      </c>
      <c r="K3" s="7" t="s">
        <v>9</v>
      </c>
      <c r="L3" s="7" t="s">
        <v>9</v>
      </c>
      <c r="M3" s="7" t="s">
        <v>9</v>
      </c>
      <c r="N3" s="7" t="s">
        <v>9</v>
      </c>
      <c r="O3" s="7" t="s">
        <v>9</v>
      </c>
      <c r="P3" s="7" t="s">
        <v>9</v>
      </c>
      <c r="Q3" s="7" t="s">
        <v>9</v>
      </c>
      <c r="R3" s="7" t="s">
        <v>9</v>
      </c>
      <c r="S3" s="7" t="s">
        <v>9</v>
      </c>
      <c r="T3" s="7" t="s">
        <v>9</v>
      </c>
      <c r="U3" s="8" t="s">
        <v>9</v>
      </c>
    </row>
  </sheetData>
  <conditionalFormatting sqref="A1:XFD1048576">
    <cfRule type="cellIs" dxfId="8" priority="2" operator="equal">
      <formula>"null"</formula>
    </cfRule>
  </conditionalFormatting>
  <pageMargins left="0.51180555555555596" right="0.51180555555555596" top="0.78749999999999998" bottom="0.78749999999999998" header="0.511811023622047" footer="0.511811023622047"/>
  <pageSetup paperSize="9" orientation="portrait" horizontalDpi="300" verticalDpi="300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CB0525-EDFB-44CB-9009-6752AEDD7340}">
  <sheetPr codeName="Planilha4"/>
  <dimension ref="A1:S5"/>
  <sheetViews>
    <sheetView tabSelected="1" zoomScale="190" zoomScaleNormal="190" workbookViewId="0">
      <pane ySplit="1" topLeftCell="A2" activePane="bottomLeft" state="frozen"/>
      <selection pane="bottomLeft" activeCell="G4" sqref="G4"/>
    </sheetView>
  </sheetViews>
  <sheetFormatPr defaultColWidth="11.5703125" defaultRowHeight="7.9" customHeight="1" x14ac:dyDescent="0.25"/>
  <cols>
    <col min="1" max="1" width="2.5703125" bestFit="1" customWidth="1"/>
    <col min="2" max="2" width="8.28515625" customWidth="1"/>
    <col min="3" max="3" width="7.7109375" customWidth="1"/>
    <col min="4" max="5" width="7.140625" customWidth="1"/>
    <col min="6" max="6" width="4.5703125" customWidth="1"/>
    <col min="7" max="7" width="67.85546875" customWidth="1"/>
    <col min="8" max="8" width="5.28515625" customWidth="1"/>
    <col min="9" max="9" width="18.28515625" customWidth="1"/>
    <col min="10" max="10" width="7.42578125" customWidth="1"/>
    <col min="11" max="11" width="4.7109375" customWidth="1"/>
    <col min="12" max="12" width="6.140625" bestFit="1" customWidth="1"/>
    <col min="13" max="13" width="18.42578125" customWidth="1"/>
    <col min="14" max="14" width="4.85546875" bestFit="1" customWidth="1"/>
    <col min="15" max="15" width="6.42578125" customWidth="1"/>
    <col min="16" max="16" width="3.85546875" bestFit="1" customWidth="1"/>
    <col min="17" max="17" width="14.5703125" bestFit="1" customWidth="1"/>
    <col min="18" max="18" width="5.7109375" bestFit="1" customWidth="1"/>
    <col min="19" max="19" width="18.28515625" customWidth="1"/>
  </cols>
  <sheetData>
    <row r="1" spans="1:19" ht="14.65" customHeight="1" x14ac:dyDescent="0.25">
      <c r="A1" s="17" t="s">
        <v>10</v>
      </c>
      <c r="B1" s="18" t="s">
        <v>73</v>
      </c>
      <c r="C1" s="18" t="s">
        <v>74</v>
      </c>
      <c r="D1" s="19" t="s">
        <v>75</v>
      </c>
      <c r="E1" s="19" t="s">
        <v>78</v>
      </c>
      <c r="F1" s="19" t="s">
        <v>75</v>
      </c>
      <c r="G1" s="19" t="s">
        <v>78</v>
      </c>
      <c r="H1" s="48" t="s">
        <v>76</v>
      </c>
      <c r="I1" s="19" t="s">
        <v>78</v>
      </c>
      <c r="J1" s="19" t="s">
        <v>75</v>
      </c>
      <c r="K1" s="19" t="s">
        <v>78</v>
      </c>
      <c r="L1" s="19" t="s">
        <v>75</v>
      </c>
      <c r="M1" s="19" t="s">
        <v>78</v>
      </c>
      <c r="N1" s="19" t="s">
        <v>75</v>
      </c>
      <c r="O1" s="19" t="s">
        <v>78</v>
      </c>
      <c r="P1" s="19" t="s">
        <v>75</v>
      </c>
      <c r="Q1" s="19" t="s">
        <v>78</v>
      </c>
      <c r="R1" s="19" t="s">
        <v>75</v>
      </c>
      <c r="S1" s="19" t="s">
        <v>78</v>
      </c>
    </row>
    <row r="2" spans="1:19" ht="7.9" customHeight="1" x14ac:dyDescent="0.25">
      <c r="A2" s="20">
        <v>1</v>
      </c>
      <c r="B2" s="21" t="s">
        <v>96</v>
      </c>
      <c r="C2" s="42" t="s">
        <v>239</v>
      </c>
      <c r="D2" s="50" t="s">
        <v>9</v>
      </c>
      <c r="E2" s="51" t="s">
        <v>9</v>
      </c>
      <c r="F2" s="22" t="s">
        <v>77</v>
      </c>
      <c r="G2" s="23" t="s">
        <v>242</v>
      </c>
      <c r="H2" s="49" t="s">
        <v>9</v>
      </c>
      <c r="I2" s="24" t="s">
        <v>9</v>
      </c>
      <c r="J2" s="49" t="s">
        <v>9</v>
      </c>
      <c r="K2" s="24" t="s">
        <v>9</v>
      </c>
      <c r="L2" s="49" t="s">
        <v>9</v>
      </c>
      <c r="M2" s="24" t="s">
        <v>9</v>
      </c>
      <c r="N2" s="49" t="s">
        <v>9</v>
      </c>
      <c r="O2" s="24" t="s">
        <v>9</v>
      </c>
      <c r="P2" s="49" t="s">
        <v>9</v>
      </c>
      <c r="Q2" s="24" t="s">
        <v>9</v>
      </c>
      <c r="R2" s="49" t="s">
        <v>9</v>
      </c>
      <c r="S2" s="24" t="s">
        <v>9</v>
      </c>
    </row>
    <row r="3" spans="1:19" ht="7.9" customHeight="1" x14ac:dyDescent="0.25">
      <c r="A3" s="20">
        <v>2</v>
      </c>
      <c r="B3" s="21" t="s">
        <v>187</v>
      </c>
      <c r="C3" s="42" t="s">
        <v>160</v>
      </c>
      <c r="D3" s="50" t="s">
        <v>82</v>
      </c>
      <c r="E3" s="34" t="s">
        <v>96</v>
      </c>
      <c r="F3" s="22" t="s">
        <v>77</v>
      </c>
      <c r="G3" s="23" t="s">
        <v>243</v>
      </c>
      <c r="H3" s="49" t="s">
        <v>77</v>
      </c>
      <c r="I3" s="24" t="s">
        <v>191</v>
      </c>
      <c r="J3" s="49" t="s">
        <v>9</v>
      </c>
      <c r="K3" s="24" t="s">
        <v>9</v>
      </c>
      <c r="L3" s="49" t="s">
        <v>9</v>
      </c>
      <c r="M3" s="24" t="s">
        <v>9</v>
      </c>
      <c r="N3" s="49" t="s">
        <v>9</v>
      </c>
      <c r="O3" s="24" t="s">
        <v>9</v>
      </c>
      <c r="P3" s="49" t="s">
        <v>9</v>
      </c>
      <c r="Q3" s="24" t="s">
        <v>9</v>
      </c>
      <c r="R3" s="49" t="s">
        <v>9</v>
      </c>
      <c r="S3" s="24" t="s">
        <v>111</v>
      </c>
    </row>
    <row r="4" spans="1:19" ht="7.9" customHeight="1" x14ac:dyDescent="0.25">
      <c r="A4" s="20">
        <v>3</v>
      </c>
      <c r="B4" s="47" t="s">
        <v>188</v>
      </c>
      <c r="C4" s="42" t="s">
        <v>123</v>
      </c>
      <c r="D4" s="50" t="s">
        <v>102</v>
      </c>
      <c r="E4" s="34" t="s">
        <v>187</v>
      </c>
      <c r="F4" s="22" t="s">
        <v>77</v>
      </c>
      <c r="G4" s="23" t="s">
        <v>190</v>
      </c>
      <c r="H4" s="49" t="s">
        <v>9</v>
      </c>
      <c r="I4" s="24" t="s">
        <v>9</v>
      </c>
      <c r="J4" s="49" t="s">
        <v>236</v>
      </c>
      <c r="K4" s="24" t="s">
        <v>101</v>
      </c>
      <c r="L4" s="49" t="s">
        <v>237</v>
      </c>
      <c r="M4" s="24" t="s">
        <v>98</v>
      </c>
      <c r="N4" s="49" t="s">
        <v>97</v>
      </c>
      <c r="O4" s="24" t="s">
        <v>233</v>
      </c>
      <c r="P4" s="49" t="s">
        <v>99</v>
      </c>
      <c r="Q4" s="24" t="s">
        <v>109</v>
      </c>
      <c r="R4" s="49" t="s">
        <v>100</v>
      </c>
      <c r="S4" s="24" t="s">
        <v>112</v>
      </c>
    </row>
    <row r="5" spans="1:19" ht="7.9" customHeight="1" x14ac:dyDescent="0.25">
      <c r="A5" s="20">
        <v>4</v>
      </c>
      <c r="B5" s="47" t="s">
        <v>189</v>
      </c>
      <c r="C5" s="42" t="s">
        <v>123</v>
      </c>
      <c r="D5" s="50" t="s">
        <v>102</v>
      </c>
      <c r="E5" s="34" t="s">
        <v>187</v>
      </c>
      <c r="F5" s="22" t="s">
        <v>77</v>
      </c>
      <c r="G5" s="23" t="s">
        <v>190</v>
      </c>
      <c r="H5" s="49" t="s">
        <v>9</v>
      </c>
      <c r="I5" s="24" t="s">
        <v>9</v>
      </c>
      <c r="J5" s="49" t="s">
        <v>236</v>
      </c>
      <c r="K5" s="24" t="s">
        <v>101</v>
      </c>
      <c r="L5" s="49" t="s">
        <v>237</v>
      </c>
      <c r="M5" s="24" t="s">
        <v>98</v>
      </c>
      <c r="N5" s="49" t="s">
        <v>97</v>
      </c>
      <c r="O5" s="24" t="s">
        <v>233</v>
      </c>
      <c r="P5" s="49" t="s">
        <v>99</v>
      </c>
      <c r="Q5" s="24" t="s">
        <v>109</v>
      </c>
      <c r="R5" s="49" t="s">
        <v>100</v>
      </c>
      <c r="S5" s="24" t="s">
        <v>112</v>
      </c>
    </row>
  </sheetData>
  <phoneticPr fontId="1" type="noConversion"/>
  <conditionalFormatting sqref="C3">
    <cfRule type="duplicateValues" dxfId="7" priority="1495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FE5EC8-1387-4A67-960C-C64BD1326958}">
  <sheetPr codeName="Planilha5"/>
  <dimension ref="A1:G2"/>
  <sheetViews>
    <sheetView zoomScale="280" zoomScaleNormal="280" workbookViewId="0">
      <pane ySplit="1" topLeftCell="A2" activePane="bottomLeft" state="frozen"/>
      <selection activeCell="B1" sqref="B1"/>
      <selection pane="bottomLeft" activeCell="E7" sqref="E7"/>
    </sheetView>
  </sheetViews>
  <sheetFormatPr defaultColWidth="9.140625" defaultRowHeight="8.25" customHeight="1" x14ac:dyDescent="0.25"/>
  <cols>
    <col min="1" max="1" width="2.140625" style="26" customWidth="1"/>
    <col min="2" max="2" width="5.85546875" style="25" bestFit="1" customWidth="1"/>
    <col min="3" max="3" width="11.28515625" style="25" bestFit="1" customWidth="1"/>
    <col min="4" max="7" width="10.85546875" style="25" bestFit="1" customWidth="1"/>
  </cols>
  <sheetData>
    <row r="1" spans="1:7" ht="33" customHeight="1" x14ac:dyDescent="0.25">
      <c r="A1" s="31">
        <v>0</v>
      </c>
      <c r="B1" s="27" t="s">
        <v>79</v>
      </c>
      <c r="C1" s="28" t="s">
        <v>80</v>
      </c>
      <c r="D1" s="28" t="s">
        <v>81</v>
      </c>
      <c r="E1" s="28" t="s">
        <v>81</v>
      </c>
      <c r="F1" s="28" t="s">
        <v>81</v>
      </c>
      <c r="G1" s="28" t="s">
        <v>81</v>
      </c>
    </row>
    <row r="2" spans="1:7" ht="8.25" customHeight="1" x14ac:dyDescent="0.25">
      <c r="A2" s="32">
        <v>2</v>
      </c>
      <c r="B2" s="30" t="s">
        <v>9</v>
      </c>
      <c r="C2" s="30" t="s">
        <v>9</v>
      </c>
      <c r="D2" s="30" t="s">
        <v>9</v>
      </c>
      <c r="E2" s="30" t="s">
        <v>9</v>
      </c>
      <c r="F2" s="30" t="s">
        <v>9</v>
      </c>
      <c r="G2" s="30" t="s">
        <v>9</v>
      </c>
    </row>
  </sheetData>
  <sortState xmlns:xlrd2="http://schemas.microsoft.com/office/spreadsheetml/2017/richdata2" ref="A2:G2">
    <sortCondition ref="A1:A2"/>
  </sortState>
  <phoneticPr fontId="1" type="noConversion"/>
  <conditionalFormatting sqref="A1:G1 B3:G1048576">
    <cfRule type="containsText" dxfId="6" priority="5" operator="containsText" text="null">
      <formula>NOT(ISERROR(SEARCH("null",A1)))</formula>
    </cfRule>
  </conditionalFormatting>
  <conditionalFormatting sqref="B2">
    <cfRule type="duplicateValues" dxfId="5" priority="1449"/>
    <cfRule type="duplicateValues" dxfId="4" priority="1450"/>
  </conditionalFormatting>
  <conditionalFormatting sqref="B3:B1048576 A1:B1">
    <cfRule type="duplicateValues" dxfId="3" priority="6"/>
  </conditionalFormatting>
  <conditionalFormatting sqref="B3:B1048576 B1">
    <cfRule type="duplicateValues" dxfId="2" priority="4"/>
  </conditionalFormatting>
  <conditionalFormatting sqref="B2:G2">
    <cfRule type="containsText" dxfId="1" priority="2" operator="containsText" text="null">
      <formula>NOT(ISERROR(SEARCH("null",B2)))</formula>
    </cfRule>
  </conditionalFormatting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411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Projeto</vt:lpstr>
      <vt:lpstr>Classes</vt:lpstr>
      <vt:lpstr>Disjunt</vt:lpstr>
      <vt:lpstr>FatosIn</vt:lpstr>
      <vt:lpstr>Interop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José Luis Menegotto</dc:creator>
  <dc:description/>
  <cp:lastModifiedBy>José Luis Menegotto</cp:lastModifiedBy>
  <cp:revision>26</cp:revision>
  <dcterms:created xsi:type="dcterms:W3CDTF">2024-12-02T13:09:25Z</dcterms:created>
  <dcterms:modified xsi:type="dcterms:W3CDTF">2026-08-10T19:12:37Z</dcterms:modified>
  <dc:language>pt-BR</dc:language>
</cp:coreProperties>
</file>