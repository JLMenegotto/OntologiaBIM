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DOCU\"/>
    </mc:Choice>
  </mc:AlternateContent>
  <xr:revisionPtr revIDLastSave="0" documentId="13_ncr:1_{49304A43-9D55-4256-A664-B40E395CDB73}" xr6:coauthVersionLast="47" xr6:coauthVersionMax="47" xr10:uidLastSave="{00000000-0000-0000-0000-000000000000}"/>
  <bookViews>
    <workbookView xWindow="-120" yWindow="-120" windowWidth="24240" windowHeight="13290" tabRatio="527" activeTab="4" xr2:uid="{6AA21774-678E-47D1-B8DD-6444A2CEB00E}"/>
  </bookViews>
  <sheets>
    <sheet name="Projeto" sheetId="31" r:id="rId1"/>
    <sheet name="Classes" sheetId="40" r:id="rId2"/>
    <sheet name="Disjunt" sheetId="36" r:id="rId3"/>
    <sheet name="Interop" sheetId="37" r:id="rId4"/>
    <sheet name="FatosIn" sheetId="3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0" l="1"/>
  <c r="W3" i="40"/>
  <c r="W4" i="40"/>
  <c r="W5" i="40"/>
  <c r="W6" i="40"/>
  <c r="W7" i="40"/>
  <c r="W8" i="40"/>
  <c r="W9" i="40"/>
  <c r="W10" i="40"/>
  <c r="W11" i="40"/>
  <c r="W12" i="40"/>
  <c r="W13" i="40"/>
  <c r="W14" i="40"/>
  <c r="W15" i="40"/>
  <c r="W16" i="40"/>
  <c r="W17" i="40"/>
  <c r="W18" i="40"/>
  <c r="W19" i="40"/>
  <c r="W20" i="40"/>
  <c r="W21" i="40"/>
  <c r="W22" i="40"/>
  <c r="W23" i="40"/>
  <c r="W24" i="40"/>
  <c r="W25" i="40"/>
  <c r="W26" i="40"/>
  <c r="W27" i="40"/>
  <c r="W28" i="40"/>
  <c r="W29" i="40"/>
  <c r="W30" i="40"/>
  <c r="W31" i="40"/>
  <c r="W32" i="40"/>
  <c r="W33" i="40"/>
  <c r="W34" i="40"/>
  <c r="W35" i="40"/>
  <c r="W36" i="40"/>
  <c r="W37" i="40"/>
  <c r="W38" i="40"/>
  <c r="W39" i="40"/>
  <c r="W40" i="40"/>
  <c r="W41" i="40"/>
  <c r="W42" i="40"/>
  <c r="W43" i="40"/>
  <c r="W44" i="40"/>
  <c r="W45" i="40"/>
  <c r="W46" i="40"/>
  <c r="W47" i="40"/>
  <c r="W48" i="40"/>
  <c r="W49" i="40"/>
  <c r="W50" i="40"/>
  <c r="W51" i="40"/>
  <c r="W52" i="40"/>
  <c r="W53" i="40"/>
  <c r="W54" i="40"/>
  <c r="W55" i="40"/>
  <c r="W56" i="40"/>
  <c r="W57" i="40"/>
  <c r="W58" i="40"/>
  <c r="W59" i="40"/>
  <c r="W60" i="40"/>
  <c r="W61" i="40"/>
  <c r="W62" i="40"/>
  <c r="W63" i="40"/>
  <c r="W64" i="40"/>
  <c r="W65" i="40"/>
  <c r="W66" i="40"/>
  <c r="W67" i="40"/>
  <c r="W68" i="40"/>
  <c r="W69" i="40"/>
  <c r="W70" i="40"/>
  <c r="W71" i="40"/>
  <c r="W72" i="40"/>
  <c r="W73" i="40"/>
  <c r="W74" i="40"/>
  <c r="W75" i="40"/>
  <c r="W76" i="40"/>
  <c r="W77" i="40"/>
  <c r="W78" i="40"/>
  <c r="W79" i="40"/>
  <c r="W80" i="40"/>
  <c r="W81" i="40"/>
  <c r="W82" i="40"/>
  <c r="W83" i="40"/>
  <c r="W84" i="40"/>
  <c r="W85" i="40"/>
  <c r="W86" i="40"/>
  <c r="W87" i="40"/>
  <c r="W88" i="40"/>
  <c r="W89" i="40"/>
  <c r="W90" i="40"/>
  <c r="W91" i="40"/>
  <c r="W92" i="40"/>
  <c r="W93" i="40"/>
  <c r="W94" i="40"/>
  <c r="W95" i="40"/>
  <c r="W96" i="40"/>
  <c r="W97" i="40"/>
  <c r="W98" i="40"/>
  <c r="W99" i="40"/>
  <c r="W100" i="40"/>
  <c r="W101" i="40"/>
  <c r="W102" i="40"/>
  <c r="W103" i="40"/>
  <c r="W104" i="40"/>
  <c r="W105" i="40"/>
  <c r="W106" i="40"/>
  <c r="W107" i="40"/>
  <c r="W108" i="40"/>
  <c r="W109" i="40"/>
  <c r="W110" i="40"/>
  <c r="W111" i="40"/>
  <c r="W112" i="40"/>
  <c r="W113" i="40"/>
  <c r="W114" i="40"/>
  <c r="W115" i="40"/>
  <c r="W116" i="40"/>
  <c r="W117" i="40"/>
  <c r="W118" i="40"/>
  <c r="W119" i="40"/>
  <c r="W120" i="40"/>
  <c r="W121" i="40"/>
  <c r="W122" i="40"/>
  <c r="W123" i="40"/>
  <c r="W124" i="40"/>
  <c r="W125" i="40"/>
  <c r="W126" i="40"/>
  <c r="W127" i="40"/>
  <c r="W128" i="40"/>
  <c r="W129" i="40"/>
  <c r="W130" i="40"/>
  <c r="W131" i="40"/>
  <c r="W132" i="40"/>
  <c r="W133" i="40"/>
  <c r="W134" i="40"/>
  <c r="W135" i="40"/>
  <c r="W136" i="40"/>
  <c r="W137" i="40"/>
  <c r="W138" i="40"/>
  <c r="W139" i="40"/>
  <c r="W140" i="40"/>
  <c r="U6" i="40"/>
  <c r="T6" i="40"/>
  <c r="S6" i="40"/>
  <c r="O6" i="40"/>
  <c r="N6" i="40"/>
  <c r="M6" i="40"/>
  <c r="L6" i="40"/>
  <c r="U5" i="40"/>
  <c r="T5" i="40"/>
  <c r="S5" i="40"/>
  <c r="O5" i="40"/>
  <c r="N5" i="40"/>
  <c r="M5" i="40"/>
  <c r="L5" i="40"/>
  <c r="U4" i="40"/>
  <c r="T4" i="40"/>
  <c r="S4" i="40"/>
  <c r="O4" i="40"/>
  <c r="N4" i="40"/>
  <c r="M4" i="40"/>
  <c r="L4" i="40"/>
  <c r="U3" i="40"/>
  <c r="T3" i="40"/>
  <c r="S3" i="40"/>
  <c r="O3" i="40"/>
  <c r="N3" i="40"/>
  <c r="M3" i="40"/>
  <c r="L3" i="40"/>
  <c r="U2" i="40"/>
  <c r="T2" i="40"/>
  <c r="S2" i="40"/>
  <c r="O2" i="40"/>
  <c r="N2" i="40"/>
  <c r="M2" i="40"/>
  <c r="L2" i="40"/>
  <c r="U7" i="40"/>
  <c r="T7" i="40"/>
  <c r="S7" i="40"/>
  <c r="O7" i="40"/>
  <c r="N7" i="40"/>
  <c r="M7" i="40"/>
  <c r="L7" i="40"/>
  <c r="U124" i="40"/>
  <c r="T124" i="40"/>
  <c r="S124" i="40"/>
  <c r="O124" i="40"/>
  <c r="N124" i="40"/>
  <c r="M124" i="40"/>
  <c r="L124" i="40"/>
  <c r="U123" i="40"/>
  <c r="T123" i="40"/>
  <c r="S123" i="40"/>
  <c r="O123" i="40"/>
  <c r="N123" i="40"/>
  <c r="M123" i="40"/>
  <c r="L123" i="40"/>
  <c r="U122" i="40"/>
  <c r="T122" i="40"/>
  <c r="S122" i="40"/>
  <c r="O122" i="40"/>
  <c r="N122" i="40"/>
  <c r="M122" i="40"/>
  <c r="L122" i="40"/>
  <c r="U113" i="40"/>
  <c r="T113" i="40"/>
  <c r="S113" i="40"/>
  <c r="O113" i="40"/>
  <c r="N113" i="40"/>
  <c r="M113" i="40"/>
  <c r="L113" i="40"/>
  <c r="U86" i="40"/>
  <c r="T86" i="40"/>
  <c r="S86" i="40"/>
  <c r="O86" i="40"/>
  <c r="N86" i="40"/>
  <c r="M86" i="40"/>
  <c r="L86" i="40"/>
  <c r="U85" i="40"/>
  <c r="T85" i="40"/>
  <c r="S85" i="40"/>
  <c r="O85" i="40"/>
  <c r="N85" i="40"/>
  <c r="M85" i="40"/>
  <c r="L85" i="40"/>
  <c r="U126" i="40"/>
  <c r="T126" i="40"/>
  <c r="S126" i="40"/>
  <c r="O126" i="40"/>
  <c r="N126" i="40"/>
  <c r="M126" i="40"/>
  <c r="L126" i="40"/>
  <c r="U105" i="40"/>
  <c r="T105" i="40"/>
  <c r="S105" i="40"/>
  <c r="O105" i="40"/>
  <c r="N105" i="40"/>
  <c r="M105" i="40"/>
  <c r="L105" i="40"/>
  <c r="Q73" i="40"/>
  <c r="Q111" i="40"/>
  <c r="Q72" i="40"/>
  <c r="Q129" i="40"/>
  <c r="Q20" i="40"/>
  <c r="Q78" i="40"/>
  <c r="Q122" i="40"/>
  <c r="Q44" i="40"/>
  <c r="Q64" i="40"/>
  <c r="Q137" i="40"/>
  <c r="Q130" i="40"/>
  <c r="Q53" i="40"/>
  <c r="Q60" i="40"/>
  <c r="Q110" i="40"/>
  <c r="Q6" i="40"/>
  <c r="Q42" i="40"/>
  <c r="Q133" i="40"/>
  <c r="Q101" i="40"/>
  <c r="AA124" i="40"/>
  <c r="Q116" i="40"/>
  <c r="Q54" i="40"/>
  <c r="Q123" i="40"/>
  <c r="Q4" i="40"/>
  <c r="Q94" i="40"/>
  <c r="Q55" i="40"/>
  <c r="Q36" i="40"/>
  <c r="AA7" i="40"/>
  <c r="Q12" i="40"/>
  <c r="Q58" i="40"/>
  <c r="Q134" i="40"/>
  <c r="Q63" i="40"/>
  <c r="Q62" i="40"/>
  <c r="Q17" i="40"/>
  <c r="Q57" i="40"/>
  <c r="Q131" i="40"/>
  <c r="Q26" i="40"/>
  <c r="AA2" i="40"/>
  <c r="Q67" i="40"/>
  <c r="Q43" i="40"/>
  <c r="Q108" i="40"/>
  <c r="Q2" i="40"/>
  <c r="Q23" i="40"/>
  <c r="Q25" i="40"/>
  <c r="Q52" i="40"/>
  <c r="Q97" i="40"/>
  <c r="AA126" i="40"/>
  <c r="AA5" i="40"/>
  <c r="Q65" i="40"/>
  <c r="Q31" i="40"/>
  <c r="Q128" i="40"/>
  <c r="Q119" i="40"/>
  <c r="Q3" i="40"/>
  <c r="Q81" i="40"/>
  <c r="Q105" i="40"/>
  <c r="Q59" i="40"/>
  <c r="Q99" i="40"/>
  <c r="Q106" i="40"/>
  <c r="Q77" i="40"/>
  <c r="Q51" i="40"/>
  <c r="Q86" i="40"/>
  <c r="Q88" i="40"/>
  <c r="Q82" i="40"/>
  <c r="Q84" i="40"/>
  <c r="Q32" i="40"/>
  <c r="Q135" i="40"/>
  <c r="Q126" i="40"/>
  <c r="Q76" i="40"/>
  <c r="Q83" i="40"/>
  <c r="Q74" i="40"/>
  <c r="Q21" i="40"/>
  <c r="Q68" i="40"/>
  <c r="Q136" i="40"/>
  <c r="Q75" i="40"/>
  <c r="Q46" i="40"/>
  <c r="Q24" i="40"/>
  <c r="Q80" i="40"/>
  <c r="Q107" i="40"/>
  <c r="Q90" i="40"/>
  <c r="Q39" i="40"/>
  <c r="Q56" i="40"/>
  <c r="Q132" i="40"/>
  <c r="Q13" i="40"/>
  <c r="Q19" i="40"/>
  <c r="Q102" i="40"/>
  <c r="Q121" i="40"/>
  <c r="Q109" i="40"/>
  <c r="Q125" i="40"/>
  <c r="Q66" i="40"/>
  <c r="Q61" i="40"/>
  <c r="Q15" i="40"/>
  <c r="Q47" i="40"/>
  <c r="Q113" i="40"/>
  <c r="Q89" i="40"/>
  <c r="Q14" i="40"/>
  <c r="Q5" i="40"/>
  <c r="AA3" i="40"/>
  <c r="Q41" i="40"/>
  <c r="Q18" i="40"/>
  <c r="Q22" i="40"/>
  <c r="Q87" i="40"/>
  <c r="AA86" i="40"/>
  <c r="AA113" i="40"/>
  <c r="Q40" i="40"/>
  <c r="Q71" i="40"/>
  <c r="Q69" i="40"/>
  <c r="AA122" i="40"/>
  <c r="Q117" i="40"/>
  <c r="AA6" i="40"/>
  <c r="Q29" i="40"/>
  <c r="Q37" i="40"/>
  <c r="AA4" i="40"/>
  <c r="Q70" i="40"/>
  <c r="Q35" i="40"/>
  <c r="Q34" i="40"/>
  <c r="Q10" i="40"/>
  <c r="AA123" i="40"/>
  <c r="AA105" i="40"/>
  <c r="Q139" i="40"/>
  <c r="Q120" i="40"/>
  <c r="Q11" i="40"/>
  <c r="Q27" i="40"/>
  <c r="Q38" i="40"/>
  <c r="Q115" i="40"/>
  <c r="Q96" i="40"/>
  <c r="Q49" i="40"/>
  <c r="Q118" i="40"/>
  <c r="Q28" i="40"/>
  <c r="Q138" i="40"/>
  <c r="Q127" i="40"/>
  <c r="Q104" i="40"/>
  <c r="AA85" i="40"/>
  <c r="Q50" i="40"/>
  <c r="Q93" i="40"/>
  <c r="Q114" i="40"/>
  <c r="Q30" i="40"/>
  <c r="Q48" i="40"/>
  <c r="Q8" i="40"/>
  <c r="Q79" i="40"/>
  <c r="Q112" i="40"/>
  <c r="Q9" i="40"/>
  <c r="Q85" i="40"/>
  <c r="Q100" i="40"/>
  <c r="Q124" i="40"/>
  <c r="Q16" i="40"/>
  <c r="Q33" i="40"/>
  <c r="Q91" i="40"/>
  <c r="Q98" i="40"/>
  <c r="Q92" i="40"/>
  <c r="Q95" i="40"/>
  <c r="Q45" i="40"/>
  <c r="Q103" i="40"/>
  <c r="Q140" i="40"/>
  <c r="T9" i="40" l="1"/>
  <c r="T10" i="40"/>
  <c r="T11" i="40"/>
  <c r="T12" i="40"/>
  <c r="T13" i="40"/>
  <c r="T14" i="40"/>
  <c r="T15" i="40"/>
  <c r="T16" i="40"/>
  <c r="T17" i="40"/>
  <c r="T18" i="40"/>
  <c r="T19" i="40"/>
  <c r="T20" i="40"/>
  <c r="T21" i="40"/>
  <c r="T22" i="40"/>
  <c r="T23" i="40"/>
  <c r="T24" i="40"/>
  <c r="T25" i="40"/>
  <c r="T26" i="40"/>
  <c r="T27" i="40"/>
  <c r="T28" i="40"/>
  <c r="T29" i="40"/>
  <c r="T30" i="40"/>
  <c r="T31" i="40"/>
  <c r="T32" i="40"/>
  <c r="T33" i="40"/>
  <c r="T34" i="40"/>
  <c r="T35" i="40"/>
  <c r="T36" i="40"/>
  <c r="T37" i="40"/>
  <c r="T38" i="40"/>
  <c r="T39" i="40"/>
  <c r="T40" i="40"/>
  <c r="T41" i="40"/>
  <c r="T42" i="40"/>
  <c r="T43" i="40"/>
  <c r="T44" i="40"/>
  <c r="T45" i="40"/>
  <c r="T46" i="40"/>
  <c r="T47" i="40"/>
  <c r="T48" i="40"/>
  <c r="T49" i="40"/>
  <c r="T50" i="40"/>
  <c r="T51" i="40"/>
  <c r="T52" i="40"/>
  <c r="T53" i="40"/>
  <c r="T54" i="40"/>
  <c r="T55" i="40"/>
  <c r="T56" i="40"/>
  <c r="T57" i="40"/>
  <c r="T58" i="40"/>
  <c r="T59" i="40"/>
  <c r="T60" i="40"/>
  <c r="T61" i="40"/>
  <c r="T62" i="40"/>
  <c r="T63" i="40"/>
  <c r="T64" i="40"/>
  <c r="T65" i="40"/>
  <c r="T66" i="40"/>
  <c r="T67" i="40"/>
  <c r="T68" i="40"/>
  <c r="T69" i="40"/>
  <c r="T70" i="40"/>
  <c r="T71" i="40"/>
  <c r="T72" i="40"/>
  <c r="T73" i="40"/>
  <c r="T74" i="40"/>
  <c r="T75" i="40"/>
  <c r="T76" i="40"/>
  <c r="T77" i="40"/>
  <c r="T78" i="40"/>
  <c r="T79" i="40"/>
  <c r="T80" i="40"/>
  <c r="T81" i="40"/>
  <c r="T82" i="40"/>
  <c r="T83" i="40"/>
  <c r="T84" i="40"/>
  <c r="T87" i="40"/>
  <c r="T88" i="40"/>
  <c r="T89" i="40"/>
  <c r="T90" i="40"/>
  <c r="T91" i="40"/>
  <c r="T92" i="40"/>
  <c r="T93" i="40"/>
  <c r="T94" i="40"/>
  <c r="T95" i="40"/>
  <c r="T96" i="40"/>
  <c r="T97" i="40"/>
  <c r="T98" i="40"/>
  <c r="T99" i="40"/>
  <c r="T100" i="40"/>
  <c r="T101" i="40"/>
  <c r="T102" i="40"/>
  <c r="T103" i="40"/>
  <c r="T104" i="40"/>
  <c r="T106" i="40"/>
  <c r="T107" i="40"/>
  <c r="T108" i="40"/>
  <c r="T109" i="40"/>
  <c r="T110" i="40"/>
  <c r="T111" i="40"/>
  <c r="T112" i="40"/>
  <c r="T114" i="40"/>
  <c r="T115" i="40"/>
  <c r="T116" i="40"/>
  <c r="T117" i="40"/>
  <c r="T118" i="40"/>
  <c r="T119" i="40"/>
  <c r="T120" i="40"/>
  <c r="T121" i="40"/>
  <c r="T125" i="40"/>
  <c r="T127" i="40"/>
  <c r="T128" i="40"/>
  <c r="T129" i="40"/>
  <c r="T130" i="40"/>
  <c r="T131" i="40"/>
  <c r="T132" i="40"/>
  <c r="T133" i="40"/>
  <c r="T134" i="40"/>
  <c r="T135" i="40"/>
  <c r="T136" i="40"/>
  <c r="T137" i="40"/>
  <c r="T138" i="40"/>
  <c r="T139" i="40"/>
  <c r="T140" i="40"/>
  <c r="T8" i="40"/>
  <c r="L8" i="40"/>
  <c r="M8" i="40"/>
  <c r="N8" i="40"/>
  <c r="O8" i="40"/>
  <c r="L9" i="40"/>
  <c r="M9" i="40"/>
  <c r="N9" i="40"/>
  <c r="O9" i="40"/>
  <c r="L10" i="40"/>
  <c r="M10" i="40"/>
  <c r="N10" i="40"/>
  <c r="O10" i="40"/>
  <c r="L11" i="40"/>
  <c r="M11" i="40"/>
  <c r="N11" i="40"/>
  <c r="O11" i="40"/>
  <c r="L12" i="40"/>
  <c r="M12" i="40"/>
  <c r="N12" i="40"/>
  <c r="O12" i="40"/>
  <c r="L13" i="40"/>
  <c r="M13" i="40"/>
  <c r="N13" i="40"/>
  <c r="O13" i="40"/>
  <c r="L14" i="40"/>
  <c r="M14" i="40"/>
  <c r="N14" i="40"/>
  <c r="O14" i="40"/>
  <c r="L15" i="40"/>
  <c r="M15" i="40"/>
  <c r="N15" i="40"/>
  <c r="O15" i="40"/>
  <c r="L16" i="40"/>
  <c r="M16" i="40"/>
  <c r="N16" i="40"/>
  <c r="O16" i="40"/>
  <c r="L17" i="40"/>
  <c r="M17" i="40"/>
  <c r="N17" i="40"/>
  <c r="O17" i="40"/>
  <c r="L18" i="40"/>
  <c r="M18" i="40"/>
  <c r="N18" i="40"/>
  <c r="O18" i="40"/>
  <c r="L19" i="40"/>
  <c r="M19" i="40"/>
  <c r="N19" i="40"/>
  <c r="O19" i="40"/>
  <c r="L20" i="40"/>
  <c r="M20" i="40"/>
  <c r="N20" i="40"/>
  <c r="O20" i="40"/>
  <c r="L21" i="40"/>
  <c r="M21" i="40"/>
  <c r="N21" i="40"/>
  <c r="O21" i="40"/>
  <c r="L22" i="40"/>
  <c r="M22" i="40"/>
  <c r="N22" i="40"/>
  <c r="O22" i="40"/>
  <c r="L23" i="40"/>
  <c r="M23" i="40"/>
  <c r="N23" i="40"/>
  <c r="O23" i="40"/>
  <c r="L24" i="40"/>
  <c r="M24" i="40"/>
  <c r="N24" i="40"/>
  <c r="O24" i="40"/>
  <c r="L25" i="40"/>
  <c r="M25" i="40"/>
  <c r="N25" i="40"/>
  <c r="O25" i="40"/>
  <c r="L26" i="40"/>
  <c r="M26" i="40"/>
  <c r="N26" i="40"/>
  <c r="O26" i="40"/>
  <c r="L27" i="40"/>
  <c r="M27" i="40"/>
  <c r="N27" i="40"/>
  <c r="O27" i="40"/>
  <c r="L28" i="40"/>
  <c r="M28" i="40"/>
  <c r="N28" i="40"/>
  <c r="O28" i="40"/>
  <c r="L29" i="40"/>
  <c r="M29" i="40"/>
  <c r="N29" i="40"/>
  <c r="O29" i="40"/>
  <c r="L30" i="40"/>
  <c r="M30" i="40"/>
  <c r="N30" i="40"/>
  <c r="O30" i="40"/>
  <c r="L31" i="40"/>
  <c r="M31" i="40"/>
  <c r="N31" i="40"/>
  <c r="O31" i="40"/>
  <c r="L32" i="40"/>
  <c r="M32" i="40"/>
  <c r="N32" i="40"/>
  <c r="O32" i="40"/>
  <c r="L33" i="40"/>
  <c r="M33" i="40"/>
  <c r="N33" i="40"/>
  <c r="O33" i="40"/>
  <c r="L34" i="40"/>
  <c r="M34" i="40"/>
  <c r="N34" i="40"/>
  <c r="O34" i="40"/>
  <c r="L35" i="40"/>
  <c r="M35" i="40"/>
  <c r="N35" i="40"/>
  <c r="O35" i="40"/>
  <c r="L36" i="40"/>
  <c r="M36" i="40"/>
  <c r="N36" i="40"/>
  <c r="O36" i="40"/>
  <c r="L37" i="40"/>
  <c r="M37" i="40"/>
  <c r="N37" i="40"/>
  <c r="O37" i="40"/>
  <c r="L38" i="40"/>
  <c r="M38" i="40"/>
  <c r="N38" i="40"/>
  <c r="O38" i="40"/>
  <c r="L39" i="40"/>
  <c r="M39" i="40"/>
  <c r="N39" i="40"/>
  <c r="O39" i="40"/>
  <c r="L40" i="40"/>
  <c r="M40" i="40"/>
  <c r="N40" i="40"/>
  <c r="O40" i="40"/>
  <c r="L41" i="40"/>
  <c r="M41" i="40"/>
  <c r="N41" i="40"/>
  <c r="O41" i="40"/>
  <c r="L42" i="40"/>
  <c r="M42" i="40"/>
  <c r="N42" i="40"/>
  <c r="O42" i="40"/>
  <c r="L43" i="40"/>
  <c r="M43" i="40"/>
  <c r="N43" i="40"/>
  <c r="O43" i="40"/>
  <c r="L44" i="40"/>
  <c r="M44" i="40"/>
  <c r="N44" i="40"/>
  <c r="O44" i="40"/>
  <c r="L45" i="40"/>
  <c r="M45" i="40"/>
  <c r="N45" i="40"/>
  <c r="O45" i="40"/>
  <c r="L46" i="40"/>
  <c r="M46" i="40"/>
  <c r="N46" i="40"/>
  <c r="O46" i="40"/>
  <c r="L47" i="40"/>
  <c r="M47" i="40"/>
  <c r="N47" i="40"/>
  <c r="O47" i="40"/>
  <c r="L48" i="40"/>
  <c r="M48" i="40"/>
  <c r="N48" i="40"/>
  <c r="O48" i="40"/>
  <c r="L49" i="40"/>
  <c r="M49" i="40"/>
  <c r="N49" i="40"/>
  <c r="O49" i="40"/>
  <c r="L50" i="40"/>
  <c r="M50" i="40"/>
  <c r="N50" i="40"/>
  <c r="O50" i="40"/>
  <c r="L51" i="40"/>
  <c r="M51" i="40"/>
  <c r="N51" i="40"/>
  <c r="O51" i="40"/>
  <c r="L52" i="40"/>
  <c r="M52" i="40"/>
  <c r="N52" i="40"/>
  <c r="O52" i="40"/>
  <c r="L53" i="40"/>
  <c r="M53" i="40"/>
  <c r="N53" i="40"/>
  <c r="O53" i="40"/>
  <c r="L54" i="40"/>
  <c r="M54" i="40"/>
  <c r="N54" i="40"/>
  <c r="O54" i="40"/>
  <c r="L55" i="40"/>
  <c r="M55" i="40"/>
  <c r="N55" i="40"/>
  <c r="O55" i="40"/>
  <c r="L56" i="40"/>
  <c r="M56" i="40"/>
  <c r="N56" i="40"/>
  <c r="O56" i="40"/>
  <c r="L57" i="40"/>
  <c r="M57" i="40"/>
  <c r="N57" i="40"/>
  <c r="O57" i="40"/>
  <c r="L58" i="40"/>
  <c r="M58" i="40"/>
  <c r="N58" i="40"/>
  <c r="O58" i="40"/>
  <c r="L59" i="40"/>
  <c r="M59" i="40"/>
  <c r="N59" i="40"/>
  <c r="O59" i="40"/>
  <c r="L60" i="40"/>
  <c r="M60" i="40"/>
  <c r="N60" i="40"/>
  <c r="O60" i="40"/>
  <c r="L61" i="40"/>
  <c r="M61" i="40"/>
  <c r="N61" i="40"/>
  <c r="O61" i="40"/>
  <c r="L62" i="40"/>
  <c r="M62" i="40"/>
  <c r="N62" i="40"/>
  <c r="O62" i="40"/>
  <c r="L63" i="40"/>
  <c r="M63" i="40"/>
  <c r="N63" i="40"/>
  <c r="O63" i="40"/>
  <c r="L64" i="40"/>
  <c r="M64" i="40"/>
  <c r="N64" i="40"/>
  <c r="O64" i="40"/>
  <c r="L65" i="40"/>
  <c r="M65" i="40"/>
  <c r="N65" i="40"/>
  <c r="O65" i="40"/>
  <c r="L66" i="40"/>
  <c r="M66" i="40"/>
  <c r="N66" i="40"/>
  <c r="O66" i="40"/>
  <c r="L67" i="40"/>
  <c r="M67" i="40"/>
  <c r="N67" i="40"/>
  <c r="O67" i="40"/>
  <c r="L68" i="40"/>
  <c r="M68" i="40"/>
  <c r="N68" i="40"/>
  <c r="O68" i="40"/>
  <c r="L69" i="40"/>
  <c r="M69" i="40"/>
  <c r="N69" i="40"/>
  <c r="O69" i="40"/>
  <c r="L70" i="40"/>
  <c r="M70" i="40"/>
  <c r="N70" i="40"/>
  <c r="O70" i="40"/>
  <c r="L71" i="40"/>
  <c r="M71" i="40"/>
  <c r="N71" i="40"/>
  <c r="O71" i="40"/>
  <c r="L72" i="40"/>
  <c r="M72" i="40"/>
  <c r="N72" i="40"/>
  <c r="O72" i="40"/>
  <c r="L73" i="40"/>
  <c r="M73" i="40"/>
  <c r="N73" i="40"/>
  <c r="O73" i="40"/>
  <c r="L74" i="40"/>
  <c r="M74" i="40"/>
  <c r="N74" i="40"/>
  <c r="O74" i="40"/>
  <c r="L75" i="40"/>
  <c r="M75" i="40"/>
  <c r="N75" i="40"/>
  <c r="O75" i="40"/>
  <c r="L76" i="40"/>
  <c r="M76" i="40"/>
  <c r="N76" i="40"/>
  <c r="O76" i="40"/>
  <c r="L77" i="40"/>
  <c r="M77" i="40"/>
  <c r="N77" i="40"/>
  <c r="O77" i="40"/>
  <c r="L78" i="40"/>
  <c r="M78" i="40"/>
  <c r="N78" i="40"/>
  <c r="O78" i="40"/>
  <c r="L79" i="40"/>
  <c r="M79" i="40"/>
  <c r="N79" i="40"/>
  <c r="O79" i="40"/>
  <c r="L80" i="40"/>
  <c r="M80" i="40"/>
  <c r="N80" i="40"/>
  <c r="O80" i="40"/>
  <c r="L81" i="40"/>
  <c r="M81" i="40"/>
  <c r="N81" i="40"/>
  <c r="O81" i="40"/>
  <c r="L82" i="40"/>
  <c r="M82" i="40"/>
  <c r="N82" i="40"/>
  <c r="O82" i="40"/>
  <c r="L83" i="40"/>
  <c r="M83" i="40"/>
  <c r="N83" i="40"/>
  <c r="O83" i="40"/>
  <c r="L84" i="40"/>
  <c r="M84" i="40"/>
  <c r="N84" i="40"/>
  <c r="O84" i="40"/>
  <c r="L87" i="40"/>
  <c r="M87" i="40"/>
  <c r="N87" i="40"/>
  <c r="O87" i="40"/>
  <c r="L88" i="40"/>
  <c r="M88" i="40"/>
  <c r="N88" i="40"/>
  <c r="O88" i="40"/>
  <c r="L89" i="40"/>
  <c r="M89" i="40"/>
  <c r="N89" i="40"/>
  <c r="O89" i="40"/>
  <c r="L90" i="40"/>
  <c r="M90" i="40"/>
  <c r="N90" i="40"/>
  <c r="O90" i="40"/>
  <c r="L91" i="40"/>
  <c r="M91" i="40"/>
  <c r="N91" i="40"/>
  <c r="O91" i="40"/>
  <c r="L92" i="40"/>
  <c r="M92" i="40"/>
  <c r="N92" i="40"/>
  <c r="O92" i="40"/>
  <c r="L93" i="40"/>
  <c r="M93" i="40"/>
  <c r="N93" i="40"/>
  <c r="O93" i="40"/>
  <c r="L94" i="40"/>
  <c r="M94" i="40"/>
  <c r="N94" i="40"/>
  <c r="O94" i="40"/>
  <c r="L95" i="40"/>
  <c r="M95" i="40"/>
  <c r="N95" i="40"/>
  <c r="O95" i="40"/>
  <c r="L96" i="40"/>
  <c r="M96" i="40"/>
  <c r="N96" i="40"/>
  <c r="O96" i="40"/>
  <c r="L97" i="40"/>
  <c r="M97" i="40"/>
  <c r="N97" i="40"/>
  <c r="O97" i="40"/>
  <c r="L98" i="40"/>
  <c r="M98" i="40"/>
  <c r="N98" i="40"/>
  <c r="O98" i="40"/>
  <c r="L99" i="40"/>
  <c r="M99" i="40"/>
  <c r="N99" i="40"/>
  <c r="O99" i="40"/>
  <c r="L100" i="40"/>
  <c r="M100" i="40"/>
  <c r="N100" i="40"/>
  <c r="O100" i="40"/>
  <c r="L101" i="40"/>
  <c r="M101" i="40"/>
  <c r="N101" i="40"/>
  <c r="O101" i="40"/>
  <c r="L102" i="40"/>
  <c r="M102" i="40"/>
  <c r="N102" i="40"/>
  <c r="O102" i="40"/>
  <c r="L103" i="40"/>
  <c r="M103" i="40"/>
  <c r="N103" i="40"/>
  <c r="O103" i="40"/>
  <c r="L104" i="40"/>
  <c r="M104" i="40"/>
  <c r="N104" i="40"/>
  <c r="O104" i="40"/>
  <c r="L106" i="40"/>
  <c r="M106" i="40"/>
  <c r="N106" i="40"/>
  <c r="O106" i="40"/>
  <c r="L107" i="40"/>
  <c r="M107" i="40"/>
  <c r="N107" i="40"/>
  <c r="O107" i="40"/>
  <c r="L108" i="40"/>
  <c r="M108" i="40"/>
  <c r="N108" i="40"/>
  <c r="O108" i="40"/>
  <c r="L109" i="40"/>
  <c r="M109" i="40"/>
  <c r="N109" i="40"/>
  <c r="O109" i="40"/>
  <c r="L110" i="40"/>
  <c r="M110" i="40"/>
  <c r="N110" i="40"/>
  <c r="O110" i="40"/>
  <c r="L111" i="40"/>
  <c r="M111" i="40"/>
  <c r="N111" i="40"/>
  <c r="O111" i="40"/>
  <c r="L112" i="40"/>
  <c r="M112" i="40"/>
  <c r="N112" i="40"/>
  <c r="O112" i="40"/>
  <c r="L114" i="40"/>
  <c r="M114" i="40"/>
  <c r="N114" i="40"/>
  <c r="O114" i="40"/>
  <c r="L115" i="40"/>
  <c r="M115" i="40"/>
  <c r="N115" i="40"/>
  <c r="O115" i="40"/>
  <c r="L116" i="40"/>
  <c r="M116" i="40"/>
  <c r="N116" i="40"/>
  <c r="O116" i="40"/>
  <c r="L117" i="40"/>
  <c r="M117" i="40"/>
  <c r="N117" i="40"/>
  <c r="O117" i="40"/>
  <c r="L118" i="40"/>
  <c r="M118" i="40"/>
  <c r="N118" i="40"/>
  <c r="O118" i="40"/>
  <c r="L119" i="40"/>
  <c r="M119" i="40"/>
  <c r="N119" i="40"/>
  <c r="O119" i="40"/>
  <c r="L120" i="40"/>
  <c r="M120" i="40"/>
  <c r="N120" i="40"/>
  <c r="O120" i="40"/>
  <c r="L121" i="40"/>
  <c r="M121" i="40"/>
  <c r="N121" i="40"/>
  <c r="O121" i="40"/>
  <c r="L125" i="40"/>
  <c r="M125" i="40"/>
  <c r="N125" i="40"/>
  <c r="O125" i="40"/>
  <c r="L127" i="40"/>
  <c r="M127" i="40"/>
  <c r="N127" i="40"/>
  <c r="O127" i="40"/>
  <c r="L128" i="40"/>
  <c r="M128" i="40"/>
  <c r="N128" i="40"/>
  <c r="O128" i="40"/>
  <c r="L129" i="40"/>
  <c r="M129" i="40"/>
  <c r="N129" i="40"/>
  <c r="O129" i="40"/>
  <c r="L130" i="40"/>
  <c r="M130" i="40"/>
  <c r="N130" i="40"/>
  <c r="O130" i="40"/>
  <c r="L131" i="40"/>
  <c r="M131" i="40"/>
  <c r="N131" i="40"/>
  <c r="O131" i="40"/>
  <c r="L132" i="40"/>
  <c r="M132" i="40"/>
  <c r="N132" i="40"/>
  <c r="O132" i="40"/>
  <c r="L133" i="40"/>
  <c r="M133" i="40"/>
  <c r="N133" i="40"/>
  <c r="O133" i="40"/>
  <c r="L134" i="40"/>
  <c r="M134" i="40"/>
  <c r="N134" i="40"/>
  <c r="O134" i="40"/>
  <c r="L135" i="40"/>
  <c r="M135" i="40"/>
  <c r="N135" i="40"/>
  <c r="O135" i="40"/>
  <c r="L136" i="40"/>
  <c r="M136" i="40"/>
  <c r="N136" i="40"/>
  <c r="O136" i="40"/>
  <c r="L137" i="40"/>
  <c r="M137" i="40"/>
  <c r="N137" i="40"/>
  <c r="O137" i="40"/>
  <c r="L138" i="40"/>
  <c r="M138" i="40"/>
  <c r="N138" i="40"/>
  <c r="O138" i="40"/>
  <c r="L139" i="40"/>
  <c r="M139" i="40"/>
  <c r="N139" i="40"/>
  <c r="O139" i="40"/>
  <c r="L140" i="40"/>
  <c r="M140" i="40"/>
  <c r="N140" i="40"/>
  <c r="O140" i="40"/>
  <c r="U111" i="40"/>
  <c r="S111" i="40"/>
  <c r="U110" i="40"/>
  <c r="S110" i="40"/>
  <c r="U92" i="40"/>
  <c r="S92" i="40"/>
  <c r="U87" i="40"/>
  <c r="S87" i="40"/>
  <c r="U93" i="40"/>
  <c r="S93" i="40"/>
  <c r="U112" i="40"/>
  <c r="S112" i="40"/>
  <c r="U75" i="40"/>
  <c r="S75" i="40"/>
  <c r="U17" i="40"/>
  <c r="S17" i="40"/>
  <c r="U89" i="40"/>
  <c r="S89" i="40"/>
  <c r="U88" i="40"/>
  <c r="S88" i="40"/>
  <c r="U19" i="40"/>
  <c r="S19" i="40"/>
  <c r="U18" i="40"/>
  <c r="S18" i="40"/>
  <c r="B24" i="31"/>
  <c r="AA18" i="40"/>
  <c r="AA93" i="40"/>
  <c r="AA111" i="40"/>
  <c r="AA92" i="40"/>
  <c r="AA88" i="40"/>
  <c r="AA87" i="40"/>
  <c r="AA110" i="40"/>
  <c r="AA112" i="40"/>
  <c r="AA17" i="40"/>
  <c r="AA89" i="40"/>
  <c r="AA75" i="40"/>
  <c r="AA19" i="40"/>
  <c r="U140" i="40" l="1"/>
  <c r="S140" i="40"/>
  <c r="U139" i="40"/>
  <c r="S139" i="40"/>
  <c r="U138" i="40"/>
  <c r="S138" i="40"/>
  <c r="U137" i="40"/>
  <c r="S137" i="40"/>
  <c r="U136" i="40"/>
  <c r="S136" i="40"/>
  <c r="U135" i="40"/>
  <c r="S135" i="40"/>
  <c r="U134" i="40"/>
  <c r="S134" i="40"/>
  <c r="U133" i="40"/>
  <c r="S133" i="40"/>
  <c r="U132" i="40"/>
  <c r="S132" i="40"/>
  <c r="U131" i="40"/>
  <c r="S131" i="40"/>
  <c r="U130" i="40"/>
  <c r="S130" i="40"/>
  <c r="U129" i="40"/>
  <c r="S129" i="40"/>
  <c r="U128" i="40"/>
  <c r="S128" i="40"/>
  <c r="U127" i="40"/>
  <c r="S127" i="40"/>
  <c r="U125" i="40"/>
  <c r="S125" i="40"/>
  <c r="U121" i="40"/>
  <c r="S121" i="40"/>
  <c r="U120" i="40"/>
  <c r="S120" i="40"/>
  <c r="U119" i="40"/>
  <c r="S119" i="40"/>
  <c r="U118" i="40"/>
  <c r="S118" i="40"/>
  <c r="U117" i="40"/>
  <c r="S117" i="40"/>
  <c r="U116" i="40"/>
  <c r="S116" i="40"/>
  <c r="U115" i="40"/>
  <c r="S115" i="40"/>
  <c r="U114" i="40"/>
  <c r="S114" i="40"/>
  <c r="U109" i="40"/>
  <c r="S109" i="40"/>
  <c r="U108" i="40"/>
  <c r="S108" i="40"/>
  <c r="U107" i="40"/>
  <c r="S107" i="40"/>
  <c r="U106" i="40"/>
  <c r="S106" i="40"/>
  <c r="U104" i="40"/>
  <c r="S104" i="40"/>
  <c r="U103" i="40"/>
  <c r="S103" i="40"/>
  <c r="U102" i="40"/>
  <c r="S102" i="40"/>
  <c r="U101" i="40"/>
  <c r="S101" i="40"/>
  <c r="U100" i="40"/>
  <c r="S100" i="40"/>
  <c r="U99" i="40"/>
  <c r="S99" i="40"/>
  <c r="U98" i="40"/>
  <c r="S98" i="40"/>
  <c r="U97" i="40"/>
  <c r="S97" i="40"/>
  <c r="U96" i="40"/>
  <c r="S96" i="40"/>
  <c r="U95" i="40"/>
  <c r="S95" i="40"/>
  <c r="U94" i="40"/>
  <c r="S94" i="40"/>
  <c r="U91" i="40"/>
  <c r="S91" i="40"/>
  <c r="U90" i="40"/>
  <c r="S90" i="40"/>
  <c r="U84" i="40"/>
  <c r="S84" i="40"/>
  <c r="U83" i="40"/>
  <c r="S83" i="40"/>
  <c r="U82" i="40"/>
  <c r="S82" i="40"/>
  <c r="U81" i="40"/>
  <c r="S81" i="40"/>
  <c r="U80" i="40"/>
  <c r="S80" i="40"/>
  <c r="U79" i="40"/>
  <c r="S79" i="40"/>
  <c r="U78" i="40"/>
  <c r="S78" i="40"/>
  <c r="U77" i="40"/>
  <c r="S77" i="40"/>
  <c r="U76" i="40"/>
  <c r="S76" i="40"/>
  <c r="U74" i="40"/>
  <c r="S74" i="40"/>
  <c r="U73" i="40"/>
  <c r="S73" i="40"/>
  <c r="U72" i="40"/>
  <c r="S72" i="40"/>
  <c r="U71" i="40"/>
  <c r="S71" i="40"/>
  <c r="U70" i="40"/>
  <c r="S70" i="40"/>
  <c r="U69" i="40"/>
  <c r="S69" i="40"/>
  <c r="U68" i="40"/>
  <c r="S68" i="40"/>
  <c r="U67" i="40"/>
  <c r="S67" i="40"/>
  <c r="U66" i="40"/>
  <c r="S66" i="40"/>
  <c r="U65" i="40"/>
  <c r="S65" i="40"/>
  <c r="U64" i="40"/>
  <c r="S64" i="40"/>
  <c r="U63" i="40"/>
  <c r="S63" i="40"/>
  <c r="U62" i="40"/>
  <c r="S62" i="40"/>
  <c r="U61" i="40"/>
  <c r="S61" i="40"/>
  <c r="U60" i="40"/>
  <c r="S60" i="40"/>
  <c r="U59" i="40"/>
  <c r="S59" i="40"/>
  <c r="U58" i="40"/>
  <c r="S58" i="40"/>
  <c r="U57" i="40"/>
  <c r="S57" i="40"/>
  <c r="U56" i="40"/>
  <c r="S56" i="40"/>
  <c r="U55" i="40"/>
  <c r="S55" i="40"/>
  <c r="U54" i="40"/>
  <c r="S54" i="40"/>
  <c r="U53" i="40"/>
  <c r="S53" i="40"/>
  <c r="U52" i="40"/>
  <c r="S52" i="40"/>
  <c r="U51" i="40"/>
  <c r="S51" i="40"/>
  <c r="U50" i="40"/>
  <c r="S50" i="40"/>
  <c r="U49" i="40"/>
  <c r="S49" i="40"/>
  <c r="U48" i="40"/>
  <c r="S48" i="40"/>
  <c r="U47" i="40"/>
  <c r="S47" i="40"/>
  <c r="U46" i="40"/>
  <c r="S46" i="40"/>
  <c r="U45" i="40"/>
  <c r="S45" i="40"/>
  <c r="U44" i="40"/>
  <c r="S44" i="40"/>
  <c r="U43" i="40"/>
  <c r="S43" i="40"/>
  <c r="U42" i="40"/>
  <c r="S42" i="40"/>
  <c r="U41" i="40"/>
  <c r="S41" i="40"/>
  <c r="U40" i="40"/>
  <c r="S40" i="40"/>
  <c r="U39" i="40"/>
  <c r="S39" i="40"/>
  <c r="U38" i="40"/>
  <c r="S38" i="40"/>
  <c r="U37" i="40"/>
  <c r="S37" i="40"/>
  <c r="U36" i="40"/>
  <c r="S36" i="40"/>
  <c r="U35" i="40"/>
  <c r="S35" i="40"/>
  <c r="U34" i="40"/>
  <c r="S34" i="40"/>
  <c r="U33" i="40"/>
  <c r="S33" i="40"/>
  <c r="U32" i="40"/>
  <c r="S32" i="40"/>
  <c r="U31" i="40"/>
  <c r="S31" i="40"/>
  <c r="U30" i="40"/>
  <c r="S30" i="40"/>
  <c r="U29" i="40"/>
  <c r="S29" i="40"/>
  <c r="U28" i="40"/>
  <c r="S28" i="40"/>
  <c r="U27" i="40"/>
  <c r="S27" i="40"/>
  <c r="U26" i="40"/>
  <c r="S26" i="40"/>
  <c r="U25" i="40"/>
  <c r="S25" i="40"/>
  <c r="U24" i="40"/>
  <c r="S24" i="40"/>
  <c r="U23" i="40"/>
  <c r="S23" i="40"/>
  <c r="U22" i="40"/>
  <c r="S22" i="40"/>
  <c r="U21" i="40"/>
  <c r="S21" i="40"/>
  <c r="U20" i="40"/>
  <c r="S20" i="40"/>
  <c r="U16" i="40"/>
  <c r="S16" i="40"/>
  <c r="U15" i="40"/>
  <c r="S15" i="40"/>
  <c r="U14" i="40"/>
  <c r="S14" i="40"/>
  <c r="U13" i="40"/>
  <c r="S13" i="40"/>
  <c r="U12" i="40"/>
  <c r="S12" i="40"/>
  <c r="U11" i="40"/>
  <c r="S11" i="40"/>
  <c r="U10" i="40"/>
  <c r="S10" i="40"/>
  <c r="U9" i="40"/>
  <c r="S9" i="40"/>
  <c r="U8" i="40"/>
  <c r="S8" i="40"/>
  <c r="B18" i="31"/>
  <c r="AA82" i="40"/>
  <c r="AA77" i="40"/>
  <c r="AA8" i="40"/>
  <c r="AA72" i="40"/>
  <c r="AA79" i="40"/>
  <c r="AA120" i="40"/>
  <c r="AA52" i="40"/>
  <c r="AA96" i="40"/>
  <c r="AA91" i="40"/>
  <c r="AA83" i="40"/>
  <c r="AA90" i="40"/>
  <c r="AA70" i="40"/>
  <c r="AA12" i="40"/>
  <c r="AA94" i="40"/>
  <c r="AA76" i="40"/>
  <c r="AA31" i="40"/>
  <c r="AA44" i="40"/>
  <c r="AA137" i="40"/>
  <c r="AA43" i="40"/>
  <c r="AA125" i="40"/>
  <c r="AA23" i="40"/>
  <c r="AA54" i="40"/>
  <c r="AA51" i="40"/>
  <c r="AA50" i="40"/>
  <c r="AA24" i="40"/>
  <c r="AA73" i="40"/>
  <c r="AA132" i="40"/>
  <c r="AA138" i="40"/>
  <c r="AA127" i="40"/>
  <c r="AA36" i="40"/>
  <c r="AA69" i="40"/>
  <c r="AA80" i="40"/>
  <c r="AA32" i="40"/>
  <c r="AA59" i="40"/>
  <c r="AA71" i="40"/>
  <c r="AA81" i="40"/>
  <c r="AA109" i="40"/>
  <c r="AA21" i="40"/>
  <c r="AA33" i="40"/>
  <c r="AA60" i="40"/>
  <c r="AA114" i="40"/>
  <c r="AA55" i="40"/>
  <c r="AA64" i="40"/>
  <c r="AA56" i="40"/>
  <c r="AA28" i="40"/>
  <c r="AA128" i="40"/>
  <c r="AA30" i="40"/>
  <c r="AA34" i="40"/>
  <c r="AA27" i="40"/>
  <c r="AA115" i="40"/>
  <c r="AA68" i="40"/>
  <c r="AA121" i="40"/>
  <c r="AA104" i="40"/>
  <c r="AA61" i="40"/>
  <c r="AA58" i="40"/>
  <c r="AA133" i="40"/>
  <c r="AA103" i="40"/>
  <c r="AA129" i="40"/>
  <c r="AA48" i="40"/>
  <c r="AA131" i="40"/>
  <c r="AA45" i="40"/>
  <c r="AA39" i="40"/>
  <c r="AA100" i="40"/>
  <c r="AA15" i="40"/>
  <c r="AA14" i="40"/>
  <c r="AA37" i="40"/>
  <c r="AA134" i="40"/>
  <c r="AA139" i="40"/>
  <c r="AA10" i="40"/>
  <c r="AA62" i="40"/>
  <c r="AA97" i="40"/>
  <c r="AA57" i="40"/>
  <c r="AA35" i="40"/>
  <c r="AA119" i="40"/>
  <c r="AA42" i="40"/>
  <c r="AA101" i="40"/>
  <c r="AA116" i="40"/>
  <c r="AA11" i="40"/>
  <c r="AA95" i="40"/>
  <c r="AA26" i="40"/>
  <c r="AA108" i="40"/>
  <c r="AA98" i="40"/>
  <c r="AA78" i="40"/>
  <c r="AA136" i="40"/>
  <c r="AA16" i="40"/>
  <c r="AA53" i="40"/>
  <c r="AA29" i="40"/>
  <c r="AA66" i="40"/>
  <c r="AA47" i="40"/>
  <c r="AA67" i="40"/>
  <c r="AA118" i="40"/>
  <c r="AA140" i="40"/>
  <c r="AA46" i="40"/>
  <c r="AA20" i="40"/>
  <c r="AA22" i="40"/>
  <c r="AA40" i="40"/>
  <c r="AA74" i="40"/>
  <c r="AA117" i="40"/>
  <c r="AA63" i="40"/>
  <c r="AA25" i="40"/>
  <c r="AA38" i="40"/>
  <c r="AA106" i="40"/>
  <c r="AA135" i="40"/>
  <c r="AA99" i="40"/>
  <c r="AA41" i="40"/>
  <c r="AA84" i="40"/>
  <c r="AA130" i="40"/>
  <c r="AA102" i="40"/>
  <c r="AA107" i="40"/>
  <c r="AA13" i="40"/>
  <c r="AA65" i="40"/>
  <c r="AA9" i="40"/>
  <c r="AA49" i="40"/>
  <c r="B6" i="31" l="1"/>
  <c r="B5" i="31"/>
</calcChain>
</file>

<file path=xl/sharedStrings.xml><?xml version="1.0" encoding="utf-8"?>
<sst xmlns="http://schemas.openxmlformats.org/spreadsheetml/2006/main" count="3107" uniqueCount="646">
  <si>
    <t>Edição</t>
  </si>
  <si>
    <t>ISBN</t>
  </si>
  <si>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</si>
  <si>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</si>
  <si>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</si>
  <si>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</si>
  <si>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</si>
  <si>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</si>
  <si>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</si>
  <si>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</si>
  <si>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</si>
  <si>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</si>
  <si>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</si>
  <si>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Indivíduo</t>
  </si>
  <si>
    <t>Classe</t>
  </si>
  <si>
    <t>Fato</t>
  </si>
  <si>
    <t>descrição</t>
  </si>
  <si>
    <t>OntologiaPrefixo</t>
  </si>
  <si>
    <t>OntologiaTema</t>
  </si>
  <si>
    <t>BIM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</si>
  <si>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</si>
  <si>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</si>
  <si>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</si>
  <si>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</si>
  <si>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</si>
  <si>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</si>
  <si>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</si>
  <si>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</si>
  <si>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Advertência1</t>
  </si>
  <si>
    <t>Prédio</t>
  </si>
  <si>
    <t>N°</t>
  </si>
  <si>
    <t>Fato
(14)</t>
  </si>
  <si>
    <t>Rio de Janeiro</t>
  </si>
  <si>
    <t>https://github.com/JLMenegotto/RepoOnto#</t>
  </si>
  <si>
    <t>Explicação</t>
  </si>
  <si>
    <t>Explicación</t>
  </si>
  <si>
    <t>0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</si>
  <si>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</si>
  <si>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</si>
  <si>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</si>
  <si>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</si>
  <si>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</si>
  <si>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</si>
  <si>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</si>
  <si>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</si>
  <si>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</si>
  <si>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</si>
  <si>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</si>
  <si>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</si>
  <si>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</si>
  <si>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</si>
  <si>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</si>
  <si>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</si>
  <si>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</si>
  <si>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</si>
  <si>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</si>
  <si>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</si>
  <si>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</si>
  <si>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</si>
  <si>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</si>
  <si>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</si>
  <si>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</si>
  <si>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</si>
  <si>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</si>
  <si>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</si>
  <si>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</si>
  <si>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</si>
  <si>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</si>
  <si>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</si>
  <si>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</si>
  <si>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</si>
  <si>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</si>
  <si>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</si>
  <si>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</si>
  <si>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</si>
  <si>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</si>
  <si>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</si>
  <si>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</si>
  <si>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</si>
  <si>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</si>
  <si>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Documental</t>
  </si>
  <si>
    <t>Anotação - espaço de corte textual</t>
  </si>
  <si>
    <t>Anotação - espaço de corte textual especial</t>
  </si>
  <si>
    <t>Layout - Nodos</t>
  </si>
  <si>
    <t>Layout - Bases do caminho</t>
  </si>
  <si>
    <t>Layout - Bases do trazado de tubulações</t>
  </si>
  <si>
    <t>Símbolo de Chamada de detalhe</t>
  </si>
  <si>
    <t>Delimitação de Detalhe de Chamada</t>
  </si>
  <si>
    <t>Símbolo de Chamada de detalhe - cabeça</t>
  </si>
  <si>
    <t>Símbolo de Chamada de detalhe - linha de chamada</t>
  </si>
  <si>
    <t>Nuvem simbólica de revisão de detalhes</t>
  </si>
  <si>
    <t>Nuvem simbólica de revisão de detalhes - Etiqueta textual ou Tag</t>
  </si>
  <si>
    <t>Símbolo de corte - Linhas médias da cabeça</t>
  </si>
  <si>
    <t>Símbolo de corte - Cabeça</t>
  </si>
  <si>
    <t>Símbolo de corte - Linhas finas da cabeça</t>
  </si>
  <si>
    <t>Símbolo de corte - Linhas grossas da cabeça</t>
  </si>
  <si>
    <t>Símbolo de corte - Linha de corte</t>
  </si>
  <si>
    <t>Vista de corte</t>
  </si>
  <si>
    <t>Componente de detalhamento em 2D</t>
  </si>
  <si>
    <t>Componente de detalhamento em 2D - Linhas ocultas</t>
  </si>
  <si>
    <t>Símbolos de vistas</t>
  </si>
  <si>
    <t>Símbolos de vistas - Marcas</t>
  </si>
  <si>
    <t>Símbolo de ponto de coordenadas</t>
  </si>
  <si>
    <t>Símbolos de ponto de coordenadas</t>
  </si>
  <si>
    <t xml:space="preserve">Símbolos de declividade </t>
  </si>
  <si>
    <t>Linha de controle da cota</t>
  </si>
  <si>
    <t>Dimensões de referências fracas</t>
  </si>
  <si>
    <t>Estilo de elemento final da cota - Identificador único ID do estilo</t>
  </si>
  <si>
    <t>Padrão das linhas de centro</t>
  </si>
  <si>
    <t>Linhas de isolamentos</t>
  </si>
  <si>
    <t>Linhas de centro CL</t>
  </si>
  <si>
    <t>Linhas de demolição</t>
  </si>
  <si>
    <t>Linhas ocultas</t>
  </si>
  <si>
    <t>Estilo de linhas de instâncias</t>
  </si>
  <si>
    <t>Estilo de marcas Ticks das linhas de centro</t>
  </si>
  <si>
    <t>Marca Tick da cota - Identificador único ID do estilo</t>
  </si>
  <si>
    <t>Marca Tick interior - Identificador único ID do estilo</t>
  </si>
  <si>
    <t>Marca Tick da linha de chamada - Identificador único ID do estilo</t>
  </si>
  <si>
    <t>Cabeça de setas simbólicas</t>
  </si>
  <si>
    <t>Texto e linha de chamada - Fonte do texto</t>
  </si>
  <si>
    <t>Texto e linha de chamada - Identificador único ID</t>
  </si>
  <si>
    <t>Importação</t>
  </si>
  <si>
    <t>Estilo de objetos importados</t>
  </si>
  <si>
    <t>Legenda de dutos</t>
  </si>
  <si>
    <t>Preenchimento de cor de dutos</t>
  </si>
  <si>
    <t>Tubulações - Legendas de cores</t>
  </si>
  <si>
    <t>Tubulações - Cores</t>
  </si>
  <si>
    <t>Ambiente - preenchimento em color</t>
  </si>
  <si>
    <t>Areas de ocupação da edificação - preenchimento de cores</t>
  </si>
  <si>
    <t>MEP - Espaços AVAC - preenchimento de cores</t>
  </si>
  <si>
    <t>Zonas de AVAC - preenchimento de cor</t>
  </si>
  <si>
    <t>Legendas - Esquema de cores</t>
  </si>
  <si>
    <t>Legenda de componentes</t>
  </si>
  <si>
    <t>Linhas - Linhas de nuvem de chamada</t>
  </si>
  <si>
    <t>Linha de direção das bordas</t>
  </si>
  <si>
    <t>Linhas genéricas</t>
  </si>
  <si>
    <t>Linhas</t>
  </si>
  <si>
    <t>Textos 3D do modelo</t>
  </si>
  <si>
    <t xml:space="preserve">Valor de deslocamento </t>
  </si>
  <si>
    <t xml:space="preserve">Caminho do deslocamento </t>
  </si>
  <si>
    <t>Advertência gráfica - Aberta</t>
  </si>
  <si>
    <t>Imagem raster ou bitmap inserida no modelo</t>
  </si>
  <si>
    <t>Símbolo de subida ou descida em tubos - Yin e Yang</t>
  </si>
  <si>
    <t>Guias de eixos estruturais</t>
  </si>
  <si>
    <t>Prancha</t>
  </si>
  <si>
    <t>Carimbo</t>
  </si>
  <si>
    <t>Revisões de projeto</t>
  </si>
  <si>
    <t xml:space="preserve">Revisões de projeto - Numeração </t>
  </si>
  <si>
    <t>Linhas médias de carimbos e pranchas</t>
  </si>
  <si>
    <t>Carimbos e pranchas</t>
  </si>
  <si>
    <t>Linhas finas de carimbos e pranchas</t>
  </si>
  <si>
    <t>Linhas grossas de carimbos e pranchas</t>
  </si>
  <si>
    <t>Margem</t>
  </si>
  <si>
    <t>Folhas ou pranchas</t>
  </si>
  <si>
    <t>Região com preenchimento de padrão lineal</t>
  </si>
  <si>
    <t xml:space="preserve">Padrões de hachura </t>
  </si>
  <si>
    <t>Região com preenchimento de cor</t>
  </si>
  <si>
    <t>Região de máscara gráfica</t>
  </si>
  <si>
    <t>Coincidências</t>
  </si>
  <si>
    <t>Coincidências textuais</t>
  </si>
  <si>
    <t>Coincidências de detalhes</t>
  </si>
  <si>
    <t>Coincidências - Linhas de coincidências</t>
  </si>
  <si>
    <t>Coincidências de modelos</t>
  </si>
  <si>
    <t>Coincidências de perfis</t>
  </si>
  <si>
    <t>Coincidências de componentes de situação</t>
  </si>
  <si>
    <t>Tabela</t>
  </si>
  <si>
    <t>Esquemas de tabelas gráficas</t>
  </si>
  <si>
    <t>Tabela gráfica</t>
  </si>
  <si>
    <t>Tabela textual</t>
  </si>
  <si>
    <t>Grupo de parãmetros de uma tabela</t>
  </si>
  <si>
    <t xml:space="preserve">Template de Tabelas de circuitos </t>
  </si>
  <si>
    <t>Anotações genéricas</t>
  </si>
  <si>
    <t>Referências múltiplas textuais</t>
  </si>
  <si>
    <t>Anotações estruturais</t>
  </si>
  <si>
    <t>Notas textuais</t>
  </si>
  <si>
    <t>Etiqueta</t>
  </si>
  <si>
    <t>Componente de detalhamento em 2D - Etiqueta textual ou Tag</t>
  </si>
  <si>
    <t>Anotações chave - Etiqueta textual ou Tag</t>
  </si>
  <si>
    <t>Grupos do modelo - Etiqueta textual ou Tag</t>
  </si>
  <si>
    <t>Etiqueta textual ou Tag milticategoria</t>
  </si>
  <si>
    <t>Linhas de chamada múltiple - Etiqueta textual ou Tag</t>
  </si>
  <si>
    <t>Etiqueta textual ou Tag</t>
  </si>
  <si>
    <t>Area.Textual</t>
  </si>
  <si>
    <t>Símbolo.Chamada</t>
  </si>
  <si>
    <t>Símbolo.Corte</t>
  </si>
  <si>
    <t>Símbolo.Detalhe</t>
  </si>
  <si>
    <t>Símbolo.Elevação</t>
  </si>
  <si>
    <t>Símbolo.Nível</t>
  </si>
  <si>
    <t>Símbolo.Cota</t>
  </si>
  <si>
    <t>de.Cotas</t>
  </si>
  <si>
    <t>de.Marca</t>
  </si>
  <si>
    <t>de.Setas</t>
  </si>
  <si>
    <t>de.Texto</t>
  </si>
  <si>
    <t>Legenda.Cromática.Duto</t>
  </si>
  <si>
    <t>Legenda.Cromática.Tubulação</t>
  </si>
  <si>
    <t>Legenda.Cromática.Ocupação</t>
  </si>
  <si>
    <t>Legenda.Cromática.Térmica</t>
  </si>
  <si>
    <t>Legenda.Cromática</t>
  </si>
  <si>
    <t>Tabela.Gráfica</t>
  </si>
  <si>
    <t>Elementos_Documentação</t>
  </si>
  <si>
    <t>Elementos de documentação</t>
  </si>
  <si>
    <t>Formalizar dados de documentação</t>
  </si>
  <si>
    <t>Formalizar datos de documentación</t>
  </si>
  <si>
    <t>Folha.A4</t>
  </si>
  <si>
    <t>Folha.A5</t>
  </si>
  <si>
    <t>categoria.revit</t>
  </si>
  <si>
    <t>Carimbo.Exe</t>
  </si>
  <si>
    <t>Carimbo.Ofi</t>
  </si>
  <si>
    <t>Carimbo.Cli</t>
  </si>
  <si>
    <t>"Carimbo de projeto para prefeitura"</t>
  </si>
  <si>
    <t>"Carimbo de projeto para Executivo"</t>
  </si>
  <si>
    <t>"Carimbo de projeto de um Cliente"</t>
  </si>
  <si>
    <t>Carimbo.Bom</t>
  </si>
  <si>
    <t>"Carimbo de projeto para corpo de Bombeiros"</t>
  </si>
  <si>
    <t>"Carimbo.01"</t>
  </si>
  <si>
    <t>"Carimbo.02"</t>
  </si>
  <si>
    <t>"Carimbo.03"</t>
  </si>
  <si>
    <t>"Carimbo.04"</t>
  </si>
  <si>
    <t>"Etiquetas para identificar portas."</t>
  </si>
  <si>
    <t>"Etiquetas para identificar janelas."</t>
  </si>
  <si>
    <t>"Tag.01"</t>
  </si>
  <si>
    <t>"Tag.02"</t>
  </si>
  <si>
    <t>"Folha.01"</t>
  </si>
  <si>
    <t>"Folha.02"</t>
  </si>
  <si>
    <t>"Folha.03"</t>
  </si>
  <si>
    <t>"Folha.04"</t>
  </si>
  <si>
    <t>"Folha.05"</t>
  </si>
  <si>
    <t>"Folha.06"</t>
  </si>
  <si>
    <t>Folha.A0</t>
  </si>
  <si>
    <t>Folha.A1</t>
  </si>
  <si>
    <t>Folha.A2</t>
  </si>
  <si>
    <t>Folha.A3</t>
  </si>
  <si>
    <t>"Etiquetas para identificar paredes."</t>
  </si>
  <si>
    <t>"Etiquetas para identificar colunas."</t>
  </si>
  <si>
    <t>"Etiquetas para identificar vigas."</t>
  </si>
  <si>
    <t>"Etiquetas para identificar lajes."</t>
  </si>
  <si>
    <t>"Tag.03"</t>
  </si>
  <si>
    <t>"Tag.04"</t>
  </si>
  <si>
    <t>"Tag.05"</t>
  </si>
  <si>
    <t>"Tag.06"</t>
  </si>
  <si>
    <t>Aberta</t>
  </si>
  <si>
    <t>"Exige atribuição de autoria e compartilhamento igual das bases pela mesma licença do Open Data Commons."</t>
  </si>
  <si>
    <t>Direito.Industrial</t>
  </si>
  <si>
    <t>"Exige atribuição ao autor original (Creative Commons Atribuição)."</t>
  </si>
  <si>
    <t>"Nenhuma exigência de atribuição (Creative Commons Zero)."</t>
  </si>
  <si>
    <t>Tag.Paredes</t>
  </si>
  <si>
    <t>Tag.Portas</t>
  </si>
  <si>
    <t>Tag.Janelas</t>
  </si>
  <si>
    <t>Tag.Colunas</t>
  </si>
  <si>
    <t>Tag.Vigas</t>
  </si>
  <si>
    <t>Tag.Lajes</t>
  </si>
  <si>
    <t>CCA</t>
  </si>
  <si>
    <t>CCZ</t>
  </si>
  <si>
    <t>Licença de direito autoral</t>
  </si>
  <si>
    <t>Licença de direito industrial</t>
  </si>
  <si>
    <t>Licença de Creative Commons</t>
  </si>
  <si>
    <t>Direito.Autoral</t>
  </si>
  <si>
    <t>Domínio.Público</t>
  </si>
  <si>
    <t>Patente.01</t>
  </si>
  <si>
    <t>Registro.INPI.01</t>
  </si>
  <si>
    <t>Marca.01</t>
  </si>
  <si>
    <t>"A Patente nº 01 é protegida por direito Industrial."</t>
  </si>
  <si>
    <t>"A Marca 01 é protegida por Legislação de Direito Industrial."</t>
  </si>
  <si>
    <t>"O Registro do INPI nº 01 é protegido por Legislação de Direito Industrial."</t>
  </si>
  <si>
    <t>"O Livro 01 é protegido Legislação de Direito Autoral."</t>
  </si>
  <si>
    <t>Lei</t>
  </si>
  <si>
    <t>Decreto</t>
  </si>
  <si>
    <t>"Estabelece a Estratégia Nacional de Disseminação do BIM - Estratégia BIM BR."</t>
  </si>
  <si>
    <t>"Estabelece o uso de BIM na execução direta ou indireta de obras e serviços de engenharia pelos órgãos e entidades da administração pública federal"</t>
  </si>
  <si>
    <t>"Altera, atualiza e consolida a legislação sobre direitos autorais e dá outras providências."</t>
  </si>
  <si>
    <t>"Regula direitos e obrigações relativos à propriedade industrial."</t>
  </si>
  <si>
    <t>Decreto.10306.2020</t>
  </si>
  <si>
    <t>Lei.09279.1996</t>
  </si>
  <si>
    <t>Lei.09610.1998</t>
  </si>
  <si>
    <t>Decreto.09983.2019</t>
  </si>
  <si>
    <t>Governança</t>
  </si>
  <si>
    <t>Lei publicada no Brasil</t>
  </si>
  <si>
    <t>Decreto publicado no Brasil</t>
  </si>
  <si>
    <t>Projeto.de.Lei</t>
  </si>
  <si>
    <t>Projeto de lei no Brasil</t>
  </si>
  <si>
    <t>Registro.ISBN.01</t>
  </si>
  <si>
    <t>Decreto.11888.2024</t>
  </si>
  <si>
    <t>"Dispõe sobre a Estratégia Nacional de Disseminação do BIM no Brasil - Estratégia BIM BR e institui o Comitê Gestor da Estratégia do BIM BR."</t>
  </si>
  <si>
    <t>é.revogante.de</t>
  </si>
  <si>
    <t>Manual</t>
  </si>
  <si>
    <t>Guia</t>
  </si>
  <si>
    <t>Normativa</t>
  </si>
  <si>
    <t>Livro</t>
  </si>
  <si>
    <t>Guia interna de procedimentos técnicos</t>
  </si>
  <si>
    <t>Manual interno de procedimentos técnicos</t>
  </si>
  <si>
    <t>Livro técnico</t>
  </si>
  <si>
    <t>Treinamento</t>
  </si>
  <si>
    <t>Apresentação</t>
  </si>
  <si>
    <t>Apresentações PowerPoint ou similares</t>
  </si>
  <si>
    <t>Empresarial</t>
  </si>
  <si>
    <t>Fichário</t>
  </si>
  <si>
    <t>Formulário</t>
  </si>
  <si>
    <t>Fichários internos</t>
  </si>
  <si>
    <t>Formulários internos</t>
  </si>
  <si>
    <t>Lei.10257.2001</t>
  </si>
  <si>
    <t>"Lei Federal conhecida como Estatuto da Cidade. Regulamenta arts. 182 e 183 da Constituição Federal. Estabelece Diretrizes gerais de política urbana."</t>
  </si>
  <si>
    <t>"Prancha de tamanho A0"</t>
  </si>
  <si>
    <t>"Prancha de tamanho A1"</t>
  </si>
  <si>
    <t>"Prancha de tamanho A2"</t>
  </si>
  <si>
    <t>"Prancha de tamanho A3"</t>
  </si>
  <si>
    <t>"Prancha de tamanho A4"</t>
  </si>
  <si>
    <t>"Prancha de tamanho A5"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</si>
  <si>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</si>
  <si>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</si>
  <si>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</si>
  <si>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</si>
  <si>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</si>
  <si>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</si>
  <si>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</si>
  <si>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</si>
  <si>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</si>
  <si>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</si>
  <si>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[ IfcAnnotation ]</t>
  </si>
  <si>
    <t>[ OST_AnnotationCrop ]</t>
  </si>
  <si>
    <t>[ OST_AnnotationCropSpecial ]</t>
  </si>
  <si>
    <t>[ OST_LayoutNodes ]</t>
  </si>
  <si>
    <t>[ OST_LayoutPath_Bases ]</t>
  </si>
  <si>
    <t>[ OST_LayoutPathBase_Pipings ]</t>
  </si>
  <si>
    <t>[ OST_Callouts ]</t>
  </si>
  <si>
    <t>[ OST_CalloutBoundary ]</t>
  </si>
  <si>
    <t>[ OST_CalloutHeads ]</t>
  </si>
  <si>
    <t>[ OST_CalloutLeaderLine ]</t>
  </si>
  <si>
    <t>[ OST_RevisionClouds ]</t>
  </si>
  <si>
    <t>[ OST_RevisionCloudTags ]</t>
  </si>
  <si>
    <t>[ OST_SectionHeadMediumLines ]</t>
  </si>
  <si>
    <t>[ OST_SectionHeads ]</t>
  </si>
  <si>
    <t>[ OST_SectionHeadThinLines ]</t>
  </si>
  <si>
    <t>[ OST_SectionHeadWideLines ]</t>
  </si>
  <si>
    <t>[ OST_SectionLine ]</t>
  </si>
  <si>
    <t>[ OST_BrokenSectionLine ]</t>
  </si>
  <si>
    <t>[ OST_Sections ]</t>
  </si>
  <si>
    <t>[ OST_DecalElement ]</t>
  </si>
  <si>
    <t>[ OST_DetailComponents ]</t>
  </si>
  <si>
    <t>[ OST_DetailComponentsHiddenLines ]</t>
  </si>
  <si>
    <t>[ OST_RepeatingDetailLines ]</t>
  </si>
  <si>
    <t>[ OST_Elev ]</t>
  </si>
  <si>
    <t>[ OST_ElevationMarks ]</t>
  </si>
  <si>
    <t>[ OST_SpotCoordinates ]</t>
  </si>
  <si>
    <t>[ OST_SpotCoordinateSymbols ]</t>
  </si>
  <si>
    <t>[ OST_SpotElevations ]</t>
  </si>
  <si>
    <t>[ OST_SpotElevSymbols ]</t>
  </si>
  <si>
    <t>[ OST_SpotSlopes ]</t>
  </si>
  <si>
    <t>[ OST_SpotSlopesSymbols ]</t>
  </si>
  <si>
    <t>[ OST_Dimensions ]</t>
  </si>
  <si>
    <t>[ OST_DimLockControlLeader ]</t>
  </si>
  <si>
    <t>[ OST_WeakDims ]</t>
  </si>
  <si>
    <t>[ OST_DSR_DimStyleHeavyEndCategoryId ]</t>
  </si>
  <si>
    <t>[ OST_DSR_DimStyleHeavyEndCatId ]</t>
  </si>
  <si>
    <t>[ OST_DSR_CenterlinePatternCatId ]</t>
  </si>
  <si>
    <t>[ OST_InvisibleLines ]</t>
  </si>
  <si>
    <t>[ OST_LinesBeyond ]</t>
  </si>
  <si>
    <t>[ OST_InsulationLines ]</t>
  </si>
  <si>
    <t>[ OST_CenterLines ]</t>
  </si>
  <si>
    <t>[ OST_CLines ]</t>
  </si>
  <si>
    <t>[ OST_DemolishedLines ]</t>
  </si>
  <si>
    <t>[ OST_OverheadLines ]</t>
  </si>
  <si>
    <t>[ OST_LinesHiddenLines ]</t>
  </si>
  <si>
    <t>[ OST_HiddenFloorLines ]</t>
  </si>
  <si>
    <t>[ OST_HiddenLines ]</t>
  </si>
  <si>
    <t>[ OST_HiddenStructuralColumnLines ]</t>
  </si>
  <si>
    <t>[ OST_HiddenStructuralFoundationLines ]</t>
  </si>
  <si>
    <t>[ OST_HiddenStructuralFramingLines ]</t>
  </si>
  <si>
    <t>[ OST_HiddenWallLines ]</t>
  </si>
  <si>
    <t>[ OST_InstanceDrivenLineStyle ]</t>
  </si>
  <si>
    <t>[ OST_DSR_CenterlineTickMarkStyleId ]</t>
  </si>
  <si>
    <t>[ OST_DSR_DimStyleTickCategoryId ]</t>
  </si>
  <si>
    <t>[ OST_DSR_InteriorTickMarkStyleId ]</t>
  </si>
  <si>
    <t>[ OST_DSR_LeaderTickMarkStyleId ]</t>
  </si>
  <si>
    <t>[ OST_DSR_ArrowHeadStyleId ]</t>
  </si>
  <si>
    <t>[ OST_DSR_LineAndTextAttrFontId ]</t>
  </si>
  <si>
    <t>[ OST_DSR_LineAndTextAttrCategoryId ]</t>
  </si>
  <si>
    <t>[ OST_ImportObjectStyles ]</t>
  </si>
  <si>
    <t>[ OST_DuctColorFillLegends ]</t>
  </si>
  <si>
    <t>[ OST_DuctColorFills ]</t>
  </si>
  <si>
    <t>[ OST_PipeColorFillLegends ]</t>
  </si>
  <si>
    <t>[ OST_PipeColorFills ]</t>
  </si>
  <si>
    <t>[ OST_RoomColorFill ]</t>
  </si>
  <si>
    <t>[ OST_AreaColorFill ]</t>
  </si>
  <si>
    <t>[ OST_MEPSpaceColorFill ]</t>
  </si>
  <si>
    <t>[ OST_HVAC_Zones_ColorFill ]</t>
  </si>
  <si>
    <t>[ OST_ColorFillSchema ]</t>
  </si>
  <si>
    <t>[ OST_LegendComponents ]</t>
  </si>
  <si>
    <t>[ OST_CloudLines ]</t>
  </si>
  <si>
    <t>[ OST_DirectionEdgeLines ]</t>
  </si>
  <si>
    <t>[ OST_GenericLines ]</t>
  </si>
  <si>
    <t>[ OST_Lines ]</t>
  </si>
  <si>
    <t>[ OST_ModelText ]</t>
  </si>
  <si>
    <t>[ OST_GraphicalWarning_OpenConnector ]</t>
  </si>
  <si>
    <t>[ OST_RasterImages ]</t>
  </si>
  <si>
    <t>[ OST_RiseDropSymbols ]</t>
  </si>
  <si>
    <t>[ OST_GuideGrid ]</t>
  </si>
  <si>
    <t>[ OST_Revisions ]</t>
  </si>
  <si>
    <t>[ OST_RevisionNumberingSequences ]</t>
  </si>
  <si>
    <t>[ OST_Sheets ]</t>
  </si>
  <si>
    <t>[ OST_FillPatterns ]</t>
  </si>
  <si>
    <t>[ OST_TilePatterns ]</t>
  </si>
  <si>
    <t>[ OST_FilledRegion ]</t>
  </si>
  <si>
    <t>[ OST_MaskingRegion ]</t>
  </si>
  <si>
    <t>[ OST_MatchAll ]</t>
  </si>
  <si>
    <t>[ OST_MatchAnnotation ]</t>
  </si>
  <si>
    <t>[ OST_MatchDetail ]</t>
  </si>
  <si>
    <t>[ OST_Matchline ]</t>
  </si>
  <si>
    <t>[ OST_MatchModel ]</t>
  </si>
  <si>
    <t>[ OST_MatchProfile ]</t>
  </si>
  <si>
    <t>[ OST_MatchSiteComponent ]</t>
  </si>
  <si>
    <t>[ OST_PanelScheduleGraphics ]</t>
  </si>
  <si>
    <t>[ OST_ScheduleGraphics ]</t>
  </si>
  <si>
    <t>[ OST_Schedules ]</t>
  </si>
  <si>
    <t>[ OST_ScheduleViewParamGroup ]</t>
  </si>
  <si>
    <t>[ OST_BranchPanelScheduleTemplates ]</t>
  </si>
  <si>
    <t>[ OST_GenericAnnotation ]</t>
  </si>
  <si>
    <t>[ OST_MultiReferenceAnnotations ]</t>
  </si>
  <si>
    <t>[ OST_StructuralAnnotations ]</t>
  </si>
  <si>
    <t>[ OST_TextNotes ]</t>
  </si>
  <si>
    <t>[ OST_DetailComponentTags ]</t>
  </si>
  <si>
    <t>[ OST_KeynoteTags ]</t>
  </si>
  <si>
    <t>[ OST_ModelGroupTags ]</t>
  </si>
  <si>
    <t>[ OST_MultiCategoryTags ]</t>
  </si>
  <si>
    <t>[ OST_MultiLeaderTag ]</t>
  </si>
  <si>
    <t>[ OST_Tags ]</t>
  </si>
  <si>
    <t>[ ]</t>
  </si>
  <si>
    <t>[ IfcAnnotationTEXT ]</t>
  </si>
  <si>
    <t>[ IfcAnnotationSYMBOL ]</t>
  </si>
  <si>
    <t>[ IfcAnnotationDIMENSION ]</t>
  </si>
  <si>
    <t>[ IfcAnnotationCONTOURLINE ]</t>
  </si>
  <si>
    <t>[ IfcAnnotationLEADER ]</t>
  </si>
  <si>
    <t>[ IfcAnnotationSURVEY ]</t>
  </si>
  <si>
    <t>[ OST_TitleBlock  MediumLines ]</t>
  </si>
  <si>
    <t>[ OST_TitleBlock  s ]</t>
  </si>
  <si>
    <t>[ OST_TitleBlock  ThinLines ]</t>
  </si>
  <si>
    <t>[ OST_TitleBlock  WideLines ]</t>
  </si>
  <si>
    <t>[ OST_Displacement Elements ]</t>
  </si>
  <si>
    <t>[ OST_Displacement Path ]</t>
  </si>
  <si>
    <t>Revisões</t>
  </si>
  <si>
    <t>Caminho.Tubulação</t>
  </si>
  <si>
    <t>Chamada</t>
  </si>
  <si>
    <t>Chamada.Limite</t>
  </si>
  <si>
    <t>Chamada.Símbolo</t>
  </si>
  <si>
    <t>Chamada.Linha</t>
  </si>
  <si>
    <t>Nuvem.Revisão</t>
  </si>
  <si>
    <t>Nuvem.Revisão.Etiqueta</t>
  </si>
  <si>
    <t>Simbolo.Corte.Linha.Média</t>
  </si>
  <si>
    <t>Simbolo.Corte</t>
  </si>
  <si>
    <t>Simbolo.Corte.Linha.Grossa</t>
  </si>
  <si>
    <t>Simbolo.Corte.Linha.Fina</t>
  </si>
  <si>
    <t>Simbolo.Corte.Linha</t>
  </si>
  <si>
    <t>Simbolo.Corte.Linha.Quebrada</t>
  </si>
  <si>
    <t>Símbolo.Elevação.Marca</t>
  </si>
  <si>
    <t>Marcador.Coodenada</t>
  </si>
  <si>
    <t>Marcador.Coodenada.Símbolo</t>
  </si>
  <si>
    <t>Marcador.Cota.Símbolo</t>
  </si>
  <si>
    <t>Marcador.Cota</t>
  </si>
  <si>
    <t>Marcador.Caimento.Símbolo</t>
  </si>
  <si>
    <t>Marcador.Caimento</t>
  </si>
  <si>
    <t>Dimensão.Fraca</t>
  </si>
  <si>
    <t>Dimensão.Estilo.Finalização.ID</t>
  </si>
  <si>
    <t>Dimensão.Estilo.Finalização.Cat.ID</t>
  </si>
  <si>
    <t>Padrão.Linha.Central</t>
  </si>
  <si>
    <t>Linhas.Ocultas</t>
  </si>
  <si>
    <t>Linhas.Projetadas</t>
  </si>
  <si>
    <t>Linhas.Isolamento</t>
  </si>
  <si>
    <t>Linhas.Centrais</t>
  </si>
  <si>
    <t>Linhas.C</t>
  </si>
  <si>
    <t>Linhas.Demolidas</t>
  </si>
  <si>
    <t>Linhas.Acima</t>
  </si>
  <si>
    <t>Linhas.Invisíveis</t>
  </si>
  <si>
    <t>Linhas.Ocultas.Piso</t>
  </si>
  <si>
    <t>Linhas.Ocultas.Linhas</t>
  </si>
  <si>
    <t>Colunas.Linhas.Ocultas</t>
  </si>
  <si>
    <t>Fundação.Linhas.Ocultas</t>
  </si>
  <si>
    <t>Vigas.Linhas.Ocultas</t>
  </si>
  <si>
    <t>Paredes.Linhas.Ocultas</t>
  </si>
  <si>
    <t>Estilo.Seta</t>
  </si>
  <si>
    <t>Estilo.Marca.Chamada</t>
  </si>
  <si>
    <t>Estilo.Marca.Interna</t>
  </si>
  <si>
    <t>Estilo.Marca.Cota</t>
  </si>
  <si>
    <t>Estilo.Marca.Centro</t>
  </si>
  <si>
    <t>Fonte.ID</t>
  </si>
  <si>
    <t>Fonte.Categoria.ID</t>
  </si>
  <si>
    <t>Estilo.Importação</t>
  </si>
  <si>
    <t>Dutos.Cores.Preenchidas</t>
  </si>
  <si>
    <t>Dutos.Cores.Preenchidas.Legenda</t>
  </si>
  <si>
    <t>Tubos.Cores.Preenchidas.Legenda</t>
  </si>
  <si>
    <t>Tubos.Cores.Preenchidas</t>
  </si>
  <si>
    <t>Ambiente.Cores.Preenchidas</t>
  </si>
  <si>
    <t>Áreas.Cores.Preenchidas</t>
  </si>
  <si>
    <t>MEP.Ambiente.Cores.Preenchidas</t>
  </si>
  <si>
    <t>AVAC.Zonas.Cores.Preenchidas</t>
  </si>
  <si>
    <t>Esquema.de.Cores</t>
  </si>
  <si>
    <t>Componente.Legenda</t>
  </si>
  <si>
    <t>Deslocamentos.Elementos</t>
  </si>
  <si>
    <t>Deslocamentos.Caminho</t>
  </si>
  <si>
    <t>Conector.Aberto.Warning</t>
  </si>
  <si>
    <t>Imagem.Raster</t>
  </si>
  <si>
    <t>Símbolo.Drop.Rise</t>
  </si>
  <si>
    <t>Guia.de.Paginação</t>
  </si>
  <si>
    <t>Carimbo.Corte.Linha.Fina</t>
  </si>
  <si>
    <t>Carimbo.Corte.Linha.Média</t>
  </si>
  <si>
    <t>Carimbo.Corte.Linha.Grossa</t>
  </si>
  <si>
    <t>Padrão.Preenchimento</t>
  </si>
  <si>
    <t>Padrão.Hachura</t>
  </si>
  <si>
    <t>Região.Preenchida</t>
  </si>
  <si>
    <t>Combina.Todo</t>
  </si>
  <si>
    <t>Combina.Anotação</t>
  </si>
  <si>
    <t>Combina.Detalhe</t>
  </si>
  <si>
    <t>Combina.Linha</t>
  </si>
  <si>
    <t>Combina.Modelo</t>
  </si>
  <si>
    <t>Combina.Perfil</t>
  </si>
  <si>
    <t>Combina.Sítio</t>
  </si>
  <si>
    <t>Tabela.Painéis</t>
  </si>
  <si>
    <t>Tabelas</t>
  </si>
  <si>
    <t>Tabela.Vistas</t>
  </si>
  <si>
    <t>Tabela.Ramais</t>
  </si>
  <si>
    <t>Anotação.Genérica</t>
  </si>
  <si>
    <t>Anotação.Múltiple</t>
  </si>
  <si>
    <t>Anotação.Estrutural</t>
  </si>
  <si>
    <t>Anotação.Textual</t>
  </si>
  <si>
    <t>Etiquetas</t>
  </si>
  <si>
    <t>Etiqueta.Múltiple</t>
  </si>
  <si>
    <t>Etiqueta.Categoria</t>
  </si>
  <si>
    <t>Etiqueta.Grupos</t>
  </si>
  <si>
    <t>Etiqueta.KeyNote</t>
  </si>
  <si>
    <t>Etiqueta.Detalhe</t>
  </si>
  <si>
    <t>Simbolo.Corte.Cabeça</t>
  </si>
  <si>
    <t>Linhas.Nuvem</t>
  </si>
  <si>
    <t>Linhas.Direção</t>
  </si>
  <si>
    <t>Linhas.Genéricas</t>
  </si>
  <si>
    <t>Contornos</t>
  </si>
  <si>
    <t>Anotações</t>
  </si>
  <si>
    <t>Revisões.Revisão</t>
  </si>
  <si>
    <t>Dimensão.Controle</t>
  </si>
  <si>
    <t>de.Linhas</t>
  </si>
  <si>
    <t>Estilo.Linha.Trajeto</t>
  </si>
  <si>
    <t>Trajeto</t>
  </si>
  <si>
    <t>Caminho.Trajeto</t>
  </si>
  <si>
    <t>Caminho.Nós</t>
  </si>
  <si>
    <t>Detalhe.Decalque</t>
  </si>
  <si>
    <t>Elemento.de.Trajetos</t>
  </si>
  <si>
    <t>Elemento.de.Detalhamento</t>
  </si>
  <si>
    <t>Elemento.de.Dimensionamento</t>
  </si>
  <si>
    <t>Elemento.de.Estilização</t>
  </si>
  <si>
    <t>Elemento.de.Legenda</t>
  </si>
  <si>
    <t>Elemento.de.Modelado</t>
  </si>
  <si>
    <t>Elemento.de.Pranchas</t>
  </si>
  <si>
    <t>Elemento.de.Preenchimentos</t>
  </si>
  <si>
    <t>Elemento.de.Relacionamento</t>
  </si>
  <si>
    <t>Elemento.de.Planilhamento</t>
  </si>
  <si>
    <t>Elemento.de.Anotação</t>
  </si>
  <si>
    <t>Elemento.de.Publicação</t>
  </si>
  <si>
    <t>Região.Máscara</t>
  </si>
  <si>
    <t>00Super
Class
5</t>
  </si>
  <si>
    <t>RecortedeAnotação</t>
  </si>
  <si>
    <t>EspecialdeRecortedeAnotação</t>
  </si>
  <si>
    <t>Detalhe</t>
  </si>
  <si>
    <t>Detalhe.Linha.Oculta</t>
  </si>
  <si>
    <t>Detalhe.Linha.Repetida</t>
  </si>
  <si>
    <t>Folha</t>
  </si>
  <si>
    <t>tipo.revit</t>
  </si>
  <si>
    <t>Elemento.de.Legallização</t>
  </si>
  <si>
    <t>Licenças</t>
  </si>
  <si>
    <t>CCommons</t>
  </si>
  <si>
    <t>Dom.Público</t>
  </si>
  <si>
    <t>Texto.Modelado</t>
  </si>
  <si>
    <t>Matches</t>
  </si>
  <si>
    <t>Máscaras</t>
  </si>
  <si>
    <t>Hachuras</t>
  </si>
  <si>
    <t>Carimbos</t>
  </si>
  <si>
    <t>Margens</t>
  </si>
  <si>
    <t>Indefinidos</t>
  </si>
  <si>
    <t>Dimensão</t>
  </si>
  <si>
    <t>Licenciamento não é necessári. O documento é Domínio Público</t>
  </si>
  <si>
    <t>Linhas invisíveis</t>
  </si>
  <si>
    <t>Linhas de centro</t>
  </si>
  <si>
    <t>Linha de corte interrompido</t>
  </si>
  <si>
    <t>Decalque de imagem inserido</t>
  </si>
  <si>
    <t>Linha de detalhe repetido</t>
  </si>
  <si>
    <t>Marca da cotagem</t>
  </si>
  <si>
    <t>Símbolos de marca da cotagem</t>
  </si>
  <si>
    <t xml:space="preserve">Declividade </t>
  </si>
  <si>
    <t>Dimensão cotada</t>
  </si>
  <si>
    <t>Linhas de arestas projetadas</t>
  </si>
  <si>
    <t>Linhas de projeção de arestas superiores</t>
  </si>
  <si>
    <t>Linhas ocultas de pisos</t>
  </si>
  <si>
    <t>Linhas ocultas de colunas estruturais</t>
  </si>
  <si>
    <t>Linhas ocultas de fundações estruturais</t>
  </si>
  <si>
    <t>Linhas ocultas de vigas estruturais</t>
  </si>
  <si>
    <t>Linhas ocultas de paredes</t>
  </si>
  <si>
    <t>Etiqueta.Parede</t>
  </si>
  <si>
    <t>Etiqueta.Porta</t>
  </si>
  <si>
    <t>Etiqueta.Janela</t>
  </si>
  <si>
    <t>[ OST_DoorTags ]</t>
  </si>
  <si>
    <t>[ OST_WindowTags ]</t>
  </si>
  <si>
    <t>[ OST_WallTags ]</t>
  </si>
  <si>
    <t>Etiqueta textual ou Tag de Paredes</t>
  </si>
  <si>
    <t>Etiqueta textual ou Tag de Portas</t>
  </si>
  <si>
    <t>Etiqueta textual ou Tag de Janelas</t>
  </si>
  <si>
    <t>"Nenhuma exigência de licenciamento. Documento em Domínio Público."</t>
  </si>
  <si>
    <t>Arquivo</t>
  </si>
  <si>
    <t>Elemento.Digital</t>
  </si>
  <si>
    <t>Digitalizados</t>
  </si>
  <si>
    <t>Template</t>
  </si>
  <si>
    <t>Aplicação</t>
  </si>
  <si>
    <t>Define um arquivo utilizado receptor de dados estruturados, podem ser txt, xml, etc...</t>
  </si>
  <si>
    <t>Dados.Estruturados</t>
  </si>
  <si>
    <t>Dados.Não.Estruturados</t>
  </si>
  <si>
    <t>Define um arquivo utilizado receptor de dados não estruturados, podem ser pdf, doc, videos, etc...</t>
  </si>
  <si>
    <t>Define um arquivo de projeto ou arquivo padrão de um aplicativo, podem ser rvt, dwg, dgn, ifc, etc...</t>
  </si>
  <si>
    <t>Define um arquivo utilizado como template, protótipo, modelo, podem ser rte, dwt, etc...</t>
  </si>
  <si>
    <t>Define um arquivo de uma aplicação. Pode ser Autolisp, Python, C#, etc..</t>
  </si>
  <si>
    <t>Template.Arq</t>
  </si>
  <si>
    <t>Template.Est</t>
  </si>
  <si>
    <t>é.pertencente.a</t>
  </si>
  <si>
    <t>Fam.Revit</t>
  </si>
  <si>
    <t>Proj.Revit</t>
  </si>
  <si>
    <t>"Documento com um projeto feito em Revit"</t>
  </si>
  <si>
    <t>"Documento com uma família feita em Revit"</t>
  </si>
  <si>
    <t>"Documento template de Arquitetura"</t>
  </si>
  <si>
    <t>"Documento template de Estrutura"</t>
  </si>
  <si>
    <t>versão</t>
  </si>
  <si>
    <t>"2025"</t>
  </si>
  <si>
    <t>Biblio_A</t>
  </si>
  <si>
    <t>Biblioteca</t>
  </si>
  <si>
    <t>Define uma biblioteca digital de elementos para o projeto.</t>
  </si>
  <si>
    <t>Define una biblioteca digital de elementos para el proyecto.</t>
  </si>
  <si>
    <t>"Repositório da bliblioteca de símbolos"</t>
  </si>
  <si>
    <t>url</t>
  </si>
  <si>
    <t>"c://Pasta_da_Biblioteca"</t>
  </si>
  <si>
    <t>Projeto_01</t>
  </si>
  <si>
    <t>é.usado.por</t>
  </si>
  <si>
    <t>é.quem.revogou</t>
  </si>
  <si>
    <t>Conceitos</t>
  </si>
  <si>
    <t>Documentais</t>
  </si>
  <si>
    <t>"Representa indivíduo de documentos do Projeto 01"</t>
  </si>
  <si>
    <t>"[ OST_Sheets ]"</t>
  </si>
  <si>
    <t>"[ OST_TitleBlocks ]"</t>
  </si>
  <si>
    <t>"[ OST_WallTags ]"</t>
  </si>
  <si>
    <t>"[ OST_DoorTags ]"</t>
  </si>
  <si>
    <t>"[ OST_WindowTags ]"</t>
  </si>
  <si>
    <t>"[ OST_StructuralColumnTags ]"</t>
  </si>
  <si>
    <t>"[ OST_StructuralFramingTags ]"</t>
  </si>
  <si>
    <t>"[ OST_FloorTags 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</si>
</sst>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sz val="8"/>
      <name val="Calibri"/>
      <family val="2"/>
      <scheme val="minor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rgb="FFFBE79D"/>
        <bgColor indexed="64"/>
      </patternFill>
    </fill>
    <fill>
      <patternFill patternType="solid">
        <fgColor rgb="FFFF99FF"/>
        <bgColor rgb="FFD9F2D0"/>
      </patternFill>
    </fill>
    <fill>
      <patternFill patternType="solid">
        <fgColor theme="7" tint="0.59999389629810485"/>
        <bgColor rgb="FFD9F2D0"/>
      </patternFill>
    </fill>
    <fill>
      <patternFill patternType="solid">
        <fgColor theme="7" tint="0.59999389629810485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 wrapText="1"/>
    </xf>
    <xf numFmtId="0" fontId="7" fillId="0" borderId="0" xfId="0" applyFont="1"/>
    <xf numFmtId="0" fontId="7" fillId="15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2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14" borderId="1" xfId="0" applyFont="1" applyFill="1" applyBorder="1" applyAlignment="1">
      <alignment horizontal="right" vertical="center"/>
    </xf>
    <xf numFmtId="0" fontId="7" fillId="16" borderId="1" xfId="0" applyFont="1" applyFill="1" applyBorder="1" applyAlignment="1">
      <alignment vertical="center"/>
    </xf>
    <xf numFmtId="0" fontId="8" fillId="16" borderId="3" xfId="0" applyFont="1" applyFill="1" applyBorder="1" applyAlignment="1">
      <alignment vertical="center" wrapText="1"/>
    </xf>
    <xf numFmtId="0" fontId="5" fillId="16" borderId="3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vertical="center" wrapText="1"/>
    </xf>
    <xf numFmtId="0" fontId="8" fillId="16" borderId="2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24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vertical="center"/>
    </xf>
    <xf numFmtId="0" fontId="3" fillId="22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3" fillId="21" borderId="1" xfId="0" applyFont="1" applyFill="1" applyBorder="1" applyAlignment="1">
      <alignment vertical="center"/>
    </xf>
    <xf numFmtId="0" fontId="7" fillId="23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vertical="center" wrapText="1"/>
    </xf>
    <xf numFmtId="0" fontId="8" fillId="16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dimension ref="A1:C24"/>
  <sheetViews>
    <sheetView zoomScale="205" zoomScaleNormal="205" workbookViewId="0">
      <pane ySplit="1" topLeftCell="A2" activePane="bottomLeft" state="frozen"/>
      <selection pane="bottomLeft" activeCell="C24" sqref="C2:C24"/>
    </sheetView>
  </sheetViews>
  <sheetFormatPr defaultColWidth="9.140625" defaultRowHeight="10.5" customHeight="1" x14ac:dyDescent="0.15"/>
  <cols>
    <col min="1" max="1" width="10.42578125" style="13" bestFit="1" customWidth="1"/>
    <col min="2" max="2" width="53.7109375" style="13" bestFit="1" customWidth="1"/>
    <col min="3" max="3" width="3.42578125" style="42" bestFit="1" customWidth="1"/>
    <col min="4" max="16384" width="9.140625" style="13"/>
  </cols>
  <sheetData>
    <row r="1" spans="1:3" s="10" customFormat="1" ht="21.75" customHeight="1" x14ac:dyDescent="0.25">
      <c r="A1" s="1" t="s">
        <v>3</v>
      </c>
      <c r="B1" s="1" t="s">
        <v>2</v>
      </c>
      <c r="C1" s="40" t="s">
        <v>313</v>
      </c>
    </row>
    <row r="2" spans="1:3" ht="9" customHeight="1" x14ac:dyDescent="0.15">
      <c r="A2" s="2" t="s">
        <v>17</v>
      </c>
      <c r="B2" s="2" t="s">
        <v>79</v>
      </c>
      <c r="C2" s="41" t="s">
        <v>314</v>
      </c>
    </row>
    <row r="3" spans="1:3" ht="9" customHeight="1" x14ac:dyDescent="0.15">
      <c r="A3" s="2" t="s">
        <v>18</v>
      </c>
      <c r="B3" s="3" t="s">
        <v>199</v>
      </c>
      <c r="C3" s="41" t="s">
        <v>314</v>
      </c>
    </row>
    <row r="4" spans="1:3" ht="9" customHeight="1" x14ac:dyDescent="0.15">
      <c r="A4" s="2" t="s">
        <v>7</v>
      </c>
      <c r="B4" s="2" t="s">
        <v>19</v>
      </c>
      <c r="C4" s="41" t="s">
        <v>314</v>
      </c>
    </row>
    <row r="5" spans="1:3" ht="9" customHeight="1" x14ac:dyDescent="0.15">
      <c r="A5" s="2" t="s">
        <v>6</v>
      </c>
      <c r="B5" s="2" t="str">
        <f>_xlfn.CONCAT(B4,"Prop")</f>
        <v>BIMProp</v>
      </c>
      <c r="C5" s="41" t="s">
        <v>314</v>
      </c>
    </row>
    <row r="6" spans="1:3" ht="9" customHeight="1" x14ac:dyDescent="0.15">
      <c r="A6" s="2" t="s">
        <v>8</v>
      </c>
      <c r="B6" s="2" t="str">
        <f>_xlfn.CONCAT(B4,"Data")</f>
        <v>BIMData</v>
      </c>
      <c r="C6" s="41" t="s">
        <v>314</v>
      </c>
    </row>
    <row r="7" spans="1:3" ht="9" customHeight="1" x14ac:dyDescent="0.15">
      <c r="A7" s="2" t="s">
        <v>4</v>
      </c>
      <c r="B7" s="2" t="s">
        <v>33</v>
      </c>
      <c r="C7" s="41" t="s">
        <v>314</v>
      </c>
    </row>
    <row r="8" spans="1:3" s="39" customFormat="1" ht="8.25" customHeight="1" x14ac:dyDescent="0.25">
      <c r="A8" s="2" t="s">
        <v>5</v>
      </c>
      <c r="B8" s="2" t="s">
        <v>311</v>
      </c>
      <c r="C8" s="41" t="s">
        <v>314</v>
      </c>
    </row>
    <row r="9" spans="1:3" ht="9" customHeight="1" x14ac:dyDescent="0.15">
      <c r="A9" s="2" t="s">
        <v>20</v>
      </c>
      <c r="B9" s="2" t="s">
        <v>21</v>
      </c>
      <c r="C9" s="41" t="s">
        <v>314</v>
      </c>
    </row>
    <row r="10" spans="1:3" ht="9" customHeight="1" x14ac:dyDescent="0.15">
      <c r="A10" s="2" t="s">
        <v>22</v>
      </c>
      <c r="B10" s="2" t="s">
        <v>12</v>
      </c>
      <c r="C10" s="41" t="s">
        <v>314</v>
      </c>
    </row>
    <row r="11" spans="1:3" ht="9" customHeight="1" x14ac:dyDescent="0.15">
      <c r="A11" s="2" t="s">
        <v>0</v>
      </c>
      <c r="B11" s="2" t="s">
        <v>12</v>
      </c>
      <c r="C11" s="41" t="s">
        <v>314</v>
      </c>
    </row>
    <row r="12" spans="1:3" ht="9" customHeight="1" x14ac:dyDescent="0.15">
      <c r="A12" s="2" t="s">
        <v>1</v>
      </c>
      <c r="B12" s="2" t="s">
        <v>12</v>
      </c>
      <c r="C12" s="41" t="s">
        <v>314</v>
      </c>
    </row>
    <row r="13" spans="1:3" ht="9" customHeight="1" x14ac:dyDescent="0.15">
      <c r="A13" s="2" t="s">
        <v>23</v>
      </c>
      <c r="B13" s="4" t="s">
        <v>200</v>
      </c>
      <c r="C13" s="41" t="s">
        <v>314</v>
      </c>
    </row>
    <row r="14" spans="1:3" ht="9" customHeight="1" x14ac:dyDescent="0.15">
      <c r="A14" s="2" t="s">
        <v>24</v>
      </c>
      <c r="B14" s="2" t="s">
        <v>12</v>
      </c>
      <c r="C14" s="41" t="s">
        <v>314</v>
      </c>
    </row>
    <row r="15" spans="1:3" ht="9" customHeight="1" x14ac:dyDescent="0.15">
      <c r="A15" s="2" t="s">
        <v>25</v>
      </c>
      <c r="B15" s="2" t="s">
        <v>12</v>
      </c>
      <c r="C15" s="41" t="s">
        <v>314</v>
      </c>
    </row>
    <row r="16" spans="1:3" ht="9" customHeight="1" x14ac:dyDescent="0.15">
      <c r="A16" s="2" t="s">
        <v>26</v>
      </c>
      <c r="B16" s="2" t="s">
        <v>12</v>
      </c>
      <c r="C16" s="41" t="s">
        <v>314</v>
      </c>
    </row>
    <row r="17" spans="1:3" ht="9" customHeight="1" x14ac:dyDescent="0.15">
      <c r="A17" s="2" t="s">
        <v>10</v>
      </c>
      <c r="B17" s="4" t="s">
        <v>199</v>
      </c>
      <c r="C17" s="41" t="s">
        <v>314</v>
      </c>
    </row>
    <row r="18" spans="1:3" ht="9" customHeight="1" x14ac:dyDescent="0.15">
      <c r="A18" s="2" t="s">
        <v>27</v>
      </c>
      <c r="B18" s="5">
        <f ca="1">NOW()</f>
        <v>46244.679497453704</v>
      </c>
      <c r="C18" s="41" t="s">
        <v>314</v>
      </c>
    </row>
    <row r="19" spans="1:3" ht="9" customHeight="1" x14ac:dyDescent="0.15">
      <c r="A19" s="2" t="s">
        <v>28</v>
      </c>
      <c r="B19" s="2" t="s">
        <v>12</v>
      </c>
      <c r="C19" s="41" t="s">
        <v>314</v>
      </c>
    </row>
    <row r="20" spans="1:3" ht="9" customHeight="1" x14ac:dyDescent="0.15">
      <c r="A20" s="2" t="s">
        <v>29</v>
      </c>
      <c r="B20" s="2" t="s">
        <v>12</v>
      </c>
      <c r="C20" s="41" t="s">
        <v>314</v>
      </c>
    </row>
    <row r="21" spans="1:3" ht="9" customHeight="1" x14ac:dyDescent="0.15">
      <c r="A21" s="2" t="s">
        <v>11</v>
      </c>
      <c r="B21" s="2" t="s">
        <v>32</v>
      </c>
      <c r="C21" s="41" t="s">
        <v>314</v>
      </c>
    </row>
    <row r="22" spans="1:3" ht="10.5" customHeight="1" x14ac:dyDescent="0.15">
      <c r="A22" s="4" t="s">
        <v>34</v>
      </c>
      <c r="B22" s="6" t="s">
        <v>201</v>
      </c>
      <c r="C22" s="41" t="s">
        <v>314</v>
      </c>
    </row>
    <row r="23" spans="1:3" ht="10.5" customHeight="1" x14ac:dyDescent="0.15">
      <c r="A23" s="4" t="s">
        <v>35</v>
      </c>
      <c r="B23" s="6" t="s">
        <v>202</v>
      </c>
      <c r="C23" s="41" t="s">
        <v>315</v>
      </c>
    </row>
    <row r="24" spans="1:3" s="39" customFormat="1" ht="9.75" customHeight="1" x14ac:dyDescent="0.25">
      <c r="A24" s="4" t="s">
        <v>312</v>
      </c>
      <c r="B24" s="6" t="str">
        <f>_xlfn.TRANSLATE(B22,"pt","en")</f>
        <v>Formalize documentation data</v>
      </c>
      <c r="C24" s="41" t="s">
        <v>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914A-3965-4A61-9195-D2681A91581F}">
  <dimension ref="A1:AA140"/>
  <sheetViews>
    <sheetView zoomScale="235" zoomScaleNormal="235" workbookViewId="0">
      <pane ySplit="1" topLeftCell="A2" activePane="bottomLeft" state="frozen"/>
      <selection pane="bottomLeft" activeCell="C2" sqref="C2"/>
    </sheetView>
  </sheetViews>
  <sheetFormatPr defaultColWidth="9.140625" defaultRowHeight="6" customHeight="1" x14ac:dyDescent="0.25"/>
  <cols>
    <col min="1" max="1" width="3.42578125" style="61" customWidth="1"/>
    <col min="2" max="2" width="5.28515625" style="44" bestFit="1" customWidth="1"/>
    <col min="3" max="3" width="7" style="44" bestFit="1" customWidth="1"/>
    <col min="4" max="4" width="12.42578125" style="44" bestFit="1" customWidth="1"/>
    <col min="5" max="5" width="11.85546875" style="44" bestFit="1" customWidth="1"/>
    <col min="6" max="6" width="13.7109375" style="44" bestFit="1" customWidth="1"/>
    <col min="7" max="11" width="7.28515625" style="44" customWidth="1"/>
    <col min="12" max="12" width="7.28515625" style="44" bestFit="1" customWidth="1"/>
    <col min="13" max="13" width="16.7109375" style="44" bestFit="1" customWidth="1"/>
    <col min="14" max="14" width="16.5703125" style="44" bestFit="1" customWidth="1"/>
    <col min="15" max="15" width="19.140625" style="44" bestFit="1" customWidth="1"/>
    <col min="16" max="16" width="50.42578125" style="44" customWidth="1"/>
    <col min="17" max="17" width="72.140625" style="44" customWidth="1"/>
    <col min="18" max="18" width="5.28515625" style="44" bestFit="1" customWidth="1"/>
    <col min="19" max="19" width="7.28515625" style="44" customWidth="1"/>
    <col min="20" max="20" width="14.5703125" style="44" customWidth="1"/>
    <col min="21" max="21" width="14.140625" style="44" customWidth="1"/>
    <col min="22" max="22" width="7" style="44" bestFit="1" customWidth="1"/>
    <col min="23" max="23" width="8.140625" style="44" bestFit="1" customWidth="1"/>
    <col min="24" max="24" width="19.42578125" style="44" customWidth="1"/>
    <col min="25" max="25" width="15" style="44" customWidth="1"/>
    <col min="26" max="26" width="5.140625" style="44" bestFit="1" customWidth="1"/>
    <col min="27" max="27" width="67.7109375" style="44" bestFit="1" customWidth="1"/>
    <col min="28" max="16384" width="9.140625" style="44"/>
  </cols>
  <sheetData>
    <row r="1" spans="1:27" ht="51.75" customHeight="1" x14ac:dyDescent="0.25">
      <c r="A1" s="60" t="s">
        <v>36</v>
      </c>
      <c r="B1" s="47" t="s">
        <v>61</v>
      </c>
      <c r="C1" s="47" t="s">
        <v>62</v>
      </c>
      <c r="D1" s="47" t="s">
        <v>63</v>
      </c>
      <c r="E1" s="47" t="s">
        <v>64</v>
      </c>
      <c r="F1" s="47" t="s">
        <v>555</v>
      </c>
      <c r="G1" s="48" t="s">
        <v>65</v>
      </c>
      <c r="H1" s="48" t="s">
        <v>66</v>
      </c>
      <c r="I1" s="48" t="s">
        <v>67</v>
      </c>
      <c r="J1" s="48" t="s">
        <v>68</v>
      </c>
      <c r="K1" s="48" t="s">
        <v>69</v>
      </c>
      <c r="L1" s="49" t="s">
        <v>70</v>
      </c>
      <c r="M1" s="49" t="s">
        <v>71</v>
      </c>
      <c r="N1" s="49" t="s">
        <v>72</v>
      </c>
      <c r="O1" s="49" t="s">
        <v>73</v>
      </c>
      <c r="P1" s="49" t="s">
        <v>74</v>
      </c>
      <c r="Q1" s="49" t="s">
        <v>75</v>
      </c>
      <c r="R1" s="49" t="s">
        <v>76</v>
      </c>
      <c r="S1" s="49" t="s">
        <v>37</v>
      </c>
      <c r="T1" s="49" t="s">
        <v>77</v>
      </c>
      <c r="U1" s="49" t="s">
        <v>39</v>
      </c>
      <c r="V1" s="49" t="s">
        <v>38</v>
      </c>
      <c r="W1" s="50" t="s">
        <v>60</v>
      </c>
      <c r="X1" s="49" t="s">
        <v>307</v>
      </c>
      <c r="Y1" s="49" t="s">
        <v>308</v>
      </c>
      <c r="Z1" s="49" t="s">
        <v>309</v>
      </c>
      <c r="AA1" s="51" t="s">
        <v>310</v>
      </c>
    </row>
    <row r="2" spans="1:27" ht="6" customHeight="1" x14ac:dyDescent="0.25">
      <c r="A2" s="45">
        <v>2</v>
      </c>
      <c r="B2" s="52" t="s">
        <v>635</v>
      </c>
      <c r="C2" s="55" t="s">
        <v>636</v>
      </c>
      <c r="D2" s="55" t="s">
        <v>604</v>
      </c>
      <c r="E2" s="55" t="s">
        <v>603</v>
      </c>
      <c r="F2" s="56" t="s">
        <v>602</v>
      </c>
      <c r="G2" s="46" t="s">
        <v>9</v>
      </c>
      <c r="H2" s="46" t="s">
        <v>9</v>
      </c>
      <c r="I2" s="46" t="s">
        <v>9</v>
      </c>
      <c r="J2" s="46" t="s">
        <v>9</v>
      </c>
      <c r="K2" s="46" t="s">
        <v>9</v>
      </c>
      <c r="L2" s="53" t="str">
        <f t="shared" ref="L2:L67" si="0">CONCATENATE("", C2)</f>
        <v>Documentais</v>
      </c>
      <c r="M2" s="53" t="str">
        <f t="shared" ref="M2:M67" si="1">CONCATENATE("", D2)</f>
        <v>Digitalizados</v>
      </c>
      <c r="N2" s="53" t="str">
        <f t="shared" ref="N2:N67" si="2">(SUBSTITUTE(SUBSTITUTE(CONCATENATE("",E2),"."," ")," De "," de "))</f>
        <v>Elemento Digital</v>
      </c>
      <c r="O2" s="53" t="str">
        <f t="shared" ref="O2:O67" si="3">(SUBSTITUTE(SUBSTITUTE(CONCATENATE("",F2),"."," ")," De "," de "))</f>
        <v>Arquivo</v>
      </c>
      <c r="P2" s="43" t="s">
        <v>611</v>
      </c>
      <c r="Q2" s="43" t="str">
        <f>_xlfn.TRANSLATE(P2,"pt","es")</f>
        <v>Define un archivo de proyecto o archivo por defecto de una aplicación, puede ser RVT, DWG, DGN, IFC, etc.</v>
      </c>
      <c r="R2" s="43" t="s">
        <v>9</v>
      </c>
      <c r="S2" s="43" t="str">
        <f t="shared" ref="S2:U8" si="4">SUBSTITUTE(C2, "_", " ")</f>
        <v>Documentais</v>
      </c>
      <c r="T2" s="43" t="str">
        <f t="shared" si="4"/>
        <v>Digitalizados</v>
      </c>
      <c r="U2" s="53" t="str">
        <f t="shared" si="4"/>
        <v>Elemento.Digital</v>
      </c>
      <c r="V2" s="43" t="s">
        <v>80</v>
      </c>
      <c r="W2" s="54" t="str">
        <f t="shared" ref="W2:W60" si="5">CONCATENATE("Key-DOCU-",A2)</f>
        <v>Key-DOCU-2</v>
      </c>
      <c r="X2" s="43" t="s">
        <v>9</v>
      </c>
      <c r="Y2" s="43" t="s">
        <v>9</v>
      </c>
      <c r="Z2" s="43" t="s">
        <v>425</v>
      </c>
      <c r="AA2" s="43" t="str">
        <f>_xlfn.TRANSLATE(P2,"pt","en")</f>
        <v>Defines a project file or default file of an application, it can be rvt, dwg, dgn, ifc, etc...</v>
      </c>
    </row>
    <row r="3" spans="1:27" ht="6" customHeight="1" x14ac:dyDescent="0.25">
      <c r="A3" s="45">
        <v>3</v>
      </c>
      <c r="B3" s="52" t="s">
        <v>635</v>
      </c>
      <c r="C3" s="55" t="s">
        <v>636</v>
      </c>
      <c r="D3" s="55" t="s">
        <v>604</v>
      </c>
      <c r="E3" s="55" t="s">
        <v>603</v>
      </c>
      <c r="F3" s="56" t="s">
        <v>605</v>
      </c>
      <c r="G3" s="46" t="s">
        <v>9</v>
      </c>
      <c r="H3" s="46" t="s">
        <v>9</v>
      </c>
      <c r="I3" s="46" t="s">
        <v>9</v>
      </c>
      <c r="J3" s="46" t="s">
        <v>9</v>
      </c>
      <c r="K3" s="46" t="s">
        <v>9</v>
      </c>
      <c r="L3" s="53" t="str">
        <f t="shared" si="0"/>
        <v>Documentais</v>
      </c>
      <c r="M3" s="53" t="str">
        <f t="shared" si="1"/>
        <v>Digitalizados</v>
      </c>
      <c r="N3" s="53" t="str">
        <f t="shared" si="2"/>
        <v>Elemento Digital</v>
      </c>
      <c r="O3" s="53" t="str">
        <f t="shared" si="3"/>
        <v>Template</v>
      </c>
      <c r="P3" s="43" t="s">
        <v>612</v>
      </c>
      <c r="Q3" s="43" t="str">
        <f t="shared" ref="Q3:Q5" si="6">_xlfn.TRANSLATE(P3,"pt","es")</f>
        <v>Define un archivo usado como plantilla, prototipo, plantilla, puede ser rte, dwt, etc.</v>
      </c>
      <c r="R3" s="43" t="s">
        <v>9</v>
      </c>
      <c r="S3" s="43" t="str">
        <f t="shared" ref="S3:S6" si="7">SUBSTITUTE(C3, "_", " ")</f>
        <v>Documentais</v>
      </c>
      <c r="T3" s="43" t="str">
        <f t="shared" ref="T3:T6" si="8">SUBSTITUTE(D3, "_", " ")</f>
        <v>Digitalizados</v>
      </c>
      <c r="U3" s="53" t="str">
        <f t="shared" ref="U3:U6" si="9">SUBSTITUTE(E3, "_", " ")</f>
        <v>Elemento.Digital</v>
      </c>
      <c r="V3" s="43" t="s">
        <v>80</v>
      </c>
      <c r="W3" s="54" t="str">
        <f t="shared" si="5"/>
        <v>Key-DOCU-3</v>
      </c>
      <c r="X3" s="43" t="s">
        <v>9</v>
      </c>
      <c r="Y3" s="43" t="s">
        <v>9</v>
      </c>
      <c r="Z3" s="43" t="s">
        <v>425</v>
      </c>
      <c r="AA3" s="43" t="str">
        <f t="shared" ref="AA3:AA6" si="10">_xlfn.TRANSLATE(P3,"pt","en")</f>
        <v>Defines a file used as a template, prototype, template, can be rte, dwt, etc...</v>
      </c>
    </row>
    <row r="4" spans="1:27" ht="6" customHeight="1" x14ac:dyDescent="0.25">
      <c r="A4" s="45">
        <v>4</v>
      </c>
      <c r="B4" s="52" t="s">
        <v>635</v>
      </c>
      <c r="C4" s="55" t="s">
        <v>636</v>
      </c>
      <c r="D4" s="55" t="s">
        <v>604</v>
      </c>
      <c r="E4" s="55" t="s">
        <v>603</v>
      </c>
      <c r="F4" s="56" t="s">
        <v>606</v>
      </c>
      <c r="G4" s="46" t="s">
        <v>9</v>
      </c>
      <c r="H4" s="46" t="s">
        <v>9</v>
      </c>
      <c r="I4" s="46" t="s">
        <v>9</v>
      </c>
      <c r="J4" s="46" t="s">
        <v>9</v>
      </c>
      <c r="K4" s="46" t="s">
        <v>9</v>
      </c>
      <c r="L4" s="53" t="str">
        <f t="shared" si="0"/>
        <v>Documentais</v>
      </c>
      <c r="M4" s="53" t="str">
        <f t="shared" si="1"/>
        <v>Digitalizados</v>
      </c>
      <c r="N4" s="53" t="str">
        <f t="shared" si="2"/>
        <v>Elemento Digital</v>
      </c>
      <c r="O4" s="53" t="str">
        <f t="shared" si="3"/>
        <v>Aplicação</v>
      </c>
      <c r="P4" s="43" t="s">
        <v>613</v>
      </c>
      <c r="Q4" s="43" t="str">
        <f t="shared" si="6"/>
        <v>Define un archivo de una aplicación. Puede ser Autolisp, Python, C#, etc.</v>
      </c>
      <c r="R4" s="43" t="s">
        <v>9</v>
      </c>
      <c r="S4" s="43" t="str">
        <f t="shared" si="7"/>
        <v>Documentais</v>
      </c>
      <c r="T4" s="43" t="str">
        <f t="shared" si="8"/>
        <v>Digitalizados</v>
      </c>
      <c r="U4" s="53" t="str">
        <f t="shared" si="9"/>
        <v>Elemento.Digital</v>
      </c>
      <c r="V4" s="43" t="s">
        <v>80</v>
      </c>
      <c r="W4" s="54" t="str">
        <f t="shared" si="5"/>
        <v>Key-DOCU-4</v>
      </c>
      <c r="X4" s="43" t="s">
        <v>9</v>
      </c>
      <c r="Y4" s="43" t="s">
        <v>9</v>
      </c>
      <c r="Z4" s="43" t="s">
        <v>425</v>
      </c>
      <c r="AA4" s="43" t="str">
        <f t="shared" si="10"/>
        <v>Defines a file of an application. It can be Autolisp, Python, C#, etc..</v>
      </c>
    </row>
    <row r="5" spans="1:27" ht="6" customHeight="1" x14ac:dyDescent="0.25">
      <c r="A5" s="45">
        <v>5</v>
      </c>
      <c r="B5" s="52" t="s">
        <v>635</v>
      </c>
      <c r="C5" s="55" t="s">
        <v>636</v>
      </c>
      <c r="D5" s="55" t="s">
        <v>604</v>
      </c>
      <c r="E5" s="55" t="s">
        <v>603</v>
      </c>
      <c r="F5" s="56" t="s">
        <v>608</v>
      </c>
      <c r="G5" s="46" t="s">
        <v>9</v>
      </c>
      <c r="H5" s="46" t="s">
        <v>9</v>
      </c>
      <c r="I5" s="46" t="s">
        <v>9</v>
      </c>
      <c r="J5" s="46" t="s">
        <v>9</v>
      </c>
      <c r="K5" s="46" t="s">
        <v>9</v>
      </c>
      <c r="L5" s="53" t="str">
        <f t="shared" si="0"/>
        <v>Documentais</v>
      </c>
      <c r="M5" s="53" t="str">
        <f t="shared" si="1"/>
        <v>Digitalizados</v>
      </c>
      <c r="N5" s="53" t="str">
        <f t="shared" si="2"/>
        <v>Elemento Digital</v>
      </c>
      <c r="O5" s="53" t="str">
        <f t="shared" si="3"/>
        <v>Dados Estruturados</v>
      </c>
      <c r="P5" s="43" t="s">
        <v>607</v>
      </c>
      <c r="Q5" s="43" t="str">
        <f t="shared" si="6"/>
        <v>Define un archivo usado como receptor de datos estructurados, puede ser txt, xml, etc...</v>
      </c>
      <c r="R5" s="43" t="s">
        <v>9</v>
      </c>
      <c r="S5" s="43" t="str">
        <f t="shared" si="7"/>
        <v>Documentais</v>
      </c>
      <c r="T5" s="43" t="str">
        <f t="shared" si="8"/>
        <v>Digitalizados</v>
      </c>
      <c r="U5" s="53" t="str">
        <f t="shared" si="9"/>
        <v>Elemento.Digital</v>
      </c>
      <c r="V5" s="43" t="s">
        <v>80</v>
      </c>
      <c r="W5" s="54" t="str">
        <f t="shared" si="5"/>
        <v>Key-DOCU-5</v>
      </c>
      <c r="X5" s="43" t="s">
        <v>9</v>
      </c>
      <c r="Y5" s="43" t="s">
        <v>9</v>
      </c>
      <c r="Z5" s="43" t="s">
        <v>425</v>
      </c>
      <c r="AA5" s="43" t="str">
        <f t="shared" si="10"/>
        <v>Defines a file used as a structured data receiver, it can be txt, xml, etc...</v>
      </c>
    </row>
    <row r="6" spans="1:27" ht="6" customHeight="1" x14ac:dyDescent="0.25">
      <c r="A6" s="45">
        <v>6</v>
      </c>
      <c r="B6" s="52" t="s">
        <v>635</v>
      </c>
      <c r="C6" s="55" t="s">
        <v>636</v>
      </c>
      <c r="D6" s="55" t="s">
        <v>604</v>
      </c>
      <c r="E6" s="55" t="s">
        <v>603</v>
      </c>
      <c r="F6" s="56" t="s">
        <v>609</v>
      </c>
      <c r="G6" s="46" t="s">
        <v>9</v>
      </c>
      <c r="H6" s="46" t="s">
        <v>9</v>
      </c>
      <c r="I6" s="46" t="s">
        <v>9</v>
      </c>
      <c r="J6" s="46" t="s">
        <v>9</v>
      </c>
      <c r="K6" s="46" t="s">
        <v>9</v>
      </c>
      <c r="L6" s="53" t="str">
        <f t="shared" si="0"/>
        <v>Documentais</v>
      </c>
      <c r="M6" s="53" t="str">
        <f t="shared" si="1"/>
        <v>Digitalizados</v>
      </c>
      <c r="N6" s="53" t="str">
        <f t="shared" si="2"/>
        <v>Elemento Digital</v>
      </c>
      <c r="O6" s="53" t="str">
        <f t="shared" si="3"/>
        <v>Dados Não Estruturados</v>
      </c>
      <c r="P6" s="43" t="s">
        <v>610</v>
      </c>
      <c r="Q6" s="43" t="str">
        <f t="shared" ref="Q6" si="11">_xlfn.TRANSLATE(P6,"pt","es")</f>
        <v>Define un archivo utilizado como receptor de datos no estructurados, puede ser pdf, documento, vídeos, etc...</v>
      </c>
      <c r="R6" s="43" t="s">
        <v>9</v>
      </c>
      <c r="S6" s="43" t="str">
        <f t="shared" si="7"/>
        <v>Documentais</v>
      </c>
      <c r="T6" s="43" t="str">
        <f t="shared" si="8"/>
        <v>Digitalizados</v>
      </c>
      <c r="U6" s="53" t="str">
        <f t="shared" si="9"/>
        <v>Elemento.Digital</v>
      </c>
      <c r="V6" s="43" t="s">
        <v>80</v>
      </c>
      <c r="W6" s="54" t="str">
        <f t="shared" si="5"/>
        <v>Key-DOCU-6</v>
      </c>
      <c r="X6" s="43" t="s">
        <v>9</v>
      </c>
      <c r="Y6" s="43" t="s">
        <v>9</v>
      </c>
      <c r="Z6" s="43" t="s">
        <v>425</v>
      </c>
      <c r="AA6" s="43" t="str">
        <f t="shared" si="10"/>
        <v>Defines a file used as a receiver of unstructured data, can be pdf, doc, videos, etc...</v>
      </c>
    </row>
    <row r="7" spans="1:27" ht="6" customHeight="1" x14ac:dyDescent="0.25">
      <c r="A7" s="45">
        <v>7</v>
      </c>
      <c r="B7" s="52" t="s">
        <v>635</v>
      </c>
      <c r="C7" s="55" t="s">
        <v>636</v>
      </c>
      <c r="D7" s="55" t="s">
        <v>604</v>
      </c>
      <c r="E7" s="55" t="s">
        <v>603</v>
      </c>
      <c r="F7" s="56" t="s">
        <v>626</v>
      </c>
      <c r="G7" s="46" t="s">
        <v>9</v>
      </c>
      <c r="H7" s="46" t="s">
        <v>9</v>
      </c>
      <c r="I7" s="46" t="s">
        <v>9</v>
      </c>
      <c r="J7" s="46" t="s">
        <v>9</v>
      </c>
      <c r="K7" s="46" t="s">
        <v>9</v>
      </c>
      <c r="L7" s="53" t="str">
        <f t="shared" ref="L7" si="12">CONCATENATE("", C7)</f>
        <v>Documentais</v>
      </c>
      <c r="M7" s="53" t="str">
        <f t="shared" ref="M7" si="13">CONCATENATE("", D7)</f>
        <v>Digitalizados</v>
      </c>
      <c r="N7" s="53" t="str">
        <f t="shared" ref="N7" si="14">(SUBSTITUTE(SUBSTITUTE(CONCATENATE("",E7),"."," ")," De "," de "))</f>
        <v>Elemento Digital</v>
      </c>
      <c r="O7" s="53" t="str">
        <f t="shared" ref="O7" si="15">(SUBSTITUTE(SUBSTITUTE(CONCATENATE("",F7),"."," ")," De "," de "))</f>
        <v>Biblioteca</v>
      </c>
      <c r="P7" s="43" t="s">
        <v>627</v>
      </c>
      <c r="Q7" s="43" t="s">
        <v>628</v>
      </c>
      <c r="R7" s="43" t="s">
        <v>9</v>
      </c>
      <c r="S7" s="43" t="str">
        <f t="shared" si="4"/>
        <v>Documentais</v>
      </c>
      <c r="T7" s="43" t="str">
        <f t="shared" si="4"/>
        <v>Digitalizados</v>
      </c>
      <c r="U7" s="53" t="str">
        <f t="shared" si="4"/>
        <v>Elemento.Digital</v>
      </c>
      <c r="V7" s="43" t="s">
        <v>80</v>
      </c>
      <c r="W7" s="54" t="str">
        <f t="shared" si="5"/>
        <v>Key-DOCU-7</v>
      </c>
      <c r="X7" s="43" t="s">
        <v>9</v>
      </c>
      <c r="Y7" s="43" t="s">
        <v>9</v>
      </c>
      <c r="Z7" s="43" t="s">
        <v>425</v>
      </c>
      <c r="AA7" s="43" t="str">
        <f t="shared" ref="AA7" si="16">_xlfn.TRANSLATE(P7,"pt","en")</f>
        <v>Defines a digital library of elements for the project.</v>
      </c>
    </row>
    <row r="8" spans="1:27" ht="6" customHeight="1" x14ac:dyDescent="0.25">
      <c r="A8" s="45">
        <v>8</v>
      </c>
      <c r="B8" s="52" t="s">
        <v>635</v>
      </c>
      <c r="C8" s="55" t="s">
        <v>636</v>
      </c>
      <c r="D8" s="55" t="s">
        <v>542</v>
      </c>
      <c r="E8" s="57" t="s">
        <v>538</v>
      </c>
      <c r="F8" s="56" t="s">
        <v>540</v>
      </c>
      <c r="G8" s="46" t="s">
        <v>9</v>
      </c>
      <c r="H8" s="46" t="s">
        <v>9</v>
      </c>
      <c r="I8" s="46" t="s">
        <v>9</v>
      </c>
      <c r="J8" s="46" t="s">
        <v>9</v>
      </c>
      <c r="K8" s="46" t="s">
        <v>9</v>
      </c>
      <c r="L8" s="53" t="str">
        <f t="shared" si="0"/>
        <v>Documentais</v>
      </c>
      <c r="M8" s="53" t="str">
        <f t="shared" si="1"/>
        <v>Elemento.de.Trajetos</v>
      </c>
      <c r="N8" s="53" t="str">
        <f t="shared" si="2"/>
        <v>Trajeto</v>
      </c>
      <c r="O8" s="53" t="str">
        <f t="shared" si="3"/>
        <v>Caminho Nós</v>
      </c>
      <c r="P8" s="53" t="s">
        <v>83</v>
      </c>
      <c r="Q8" s="43" t="str">
        <f>_xlfn.TRANSLATE(P8,"pt","es")</f>
        <v>Distribución - Nodos</v>
      </c>
      <c r="R8" s="43" t="s">
        <v>9</v>
      </c>
      <c r="S8" s="43" t="str">
        <f t="shared" si="4"/>
        <v>Documentais</v>
      </c>
      <c r="T8" s="43" t="str">
        <f t="shared" si="4"/>
        <v>Elemento.de.Trajetos</v>
      </c>
      <c r="U8" s="53" t="str">
        <f t="shared" si="4"/>
        <v>Trajeto</v>
      </c>
      <c r="V8" s="43" t="s">
        <v>80</v>
      </c>
      <c r="W8" s="54" t="str">
        <f t="shared" si="5"/>
        <v>Key-DOCU-8</v>
      </c>
      <c r="X8" s="58" t="s">
        <v>320</v>
      </c>
      <c r="Y8" s="59" t="s">
        <v>317</v>
      </c>
      <c r="Z8" s="43" t="s">
        <v>425</v>
      </c>
      <c r="AA8" s="43" t="str">
        <f t="shared" ref="AA8:AA70" si="17">_xlfn.TRANSLATE(P8,"pt","en")</f>
        <v>Layout - Nodes</v>
      </c>
    </row>
    <row r="9" spans="1:27" ht="6" customHeight="1" x14ac:dyDescent="0.25">
      <c r="A9" s="45">
        <v>9</v>
      </c>
      <c r="B9" s="52" t="s">
        <v>635</v>
      </c>
      <c r="C9" s="55" t="s">
        <v>636</v>
      </c>
      <c r="D9" s="55" t="s">
        <v>542</v>
      </c>
      <c r="E9" s="57" t="s">
        <v>538</v>
      </c>
      <c r="F9" s="56" t="s">
        <v>539</v>
      </c>
      <c r="G9" s="46" t="s">
        <v>9</v>
      </c>
      <c r="H9" s="46" t="s">
        <v>9</v>
      </c>
      <c r="I9" s="46" t="s">
        <v>9</v>
      </c>
      <c r="J9" s="46" t="s">
        <v>9</v>
      </c>
      <c r="K9" s="46" t="s">
        <v>9</v>
      </c>
      <c r="L9" s="53" t="str">
        <f t="shared" si="0"/>
        <v>Documentais</v>
      </c>
      <c r="M9" s="53" t="str">
        <f t="shared" si="1"/>
        <v>Elemento.de.Trajetos</v>
      </c>
      <c r="N9" s="53" t="str">
        <f t="shared" si="2"/>
        <v>Trajeto</v>
      </c>
      <c r="O9" s="53" t="str">
        <f t="shared" si="3"/>
        <v>Caminho Trajeto</v>
      </c>
      <c r="P9" s="53" t="s">
        <v>84</v>
      </c>
      <c r="Q9" s="43" t="str">
        <f t="shared" ref="Q9:Q72" si="18">_xlfn.TRANSLATE(P9,"pt","es")</f>
        <v>Distribución - Bases del camino</v>
      </c>
      <c r="R9" s="43" t="s">
        <v>9</v>
      </c>
      <c r="S9" s="43" t="str">
        <f t="shared" ref="S9:S40" si="19">SUBSTITUTE(C9, "_", " ")</f>
        <v>Documentais</v>
      </c>
      <c r="T9" s="43" t="str">
        <f t="shared" ref="T9:T72" si="20">SUBSTITUTE(D9, "_", " ")</f>
        <v>Elemento.de.Trajetos</v>
      </c>
      <c r="U9" s="53" t="str">
        <f t="shared" ref="U9:U40" si="21">SUBSTITUTE(E9, "_", " ")</f>
        <v>Trajeto</v>
      </c>
      <c r="V9" s="43" t="s">
        <v>80</v>
      </c>
      <c r="W9" s="54" t="str">
        <f t="shared" si="5"/>
        <v>Key-DOCU-9</v>
      </c>
      <c r="X9" s="58" t="s">
        <v>321</v>
      </c>
      <c r="Y9" s="59" t="s">
        <v>317</v>
      </c>
      <c r="Z9" s="43" t="s">
        <v>425</v>
      </c>
      <c r="AA9" s="43" t="str">
        <f t="shared" si="17"/>
        <v>Layout - Bases of the path</v>
      </c>
    </row>
    <row r="10" spans="1:27" ht="6" customHeight="1" x14ac:dyDescent="0.25">
      <c r="A10" s="45">
        <v>10</v>
      </c>
      <c r="B10" s="52" t="s">
        <v>635</v>
      </c>
      <c r="C10" s="55" t="s">
        <v>636</v>
      </c>
      <c r="D10" s="55" t="s">
        <v>542</v>
      </c>
      <c r="E10" s="57" t="s">
        <v>538</v>
      </c>
      <c r="F10" s="56" t="s">
        <v>439</v>
      </c>
      <c r="G10" s="46" t="s">
        <v>9</v>
      </c>
      <c r="H10" s="46" t="s">
        <v>9</v>
      </c>
      <c r="I10" s="46" t="s">
        <v>9</v>
      </c>
      <c r="J10" s="46" t="s">
        <v>9</v>
      </c>
      <c r="K10" s="46" t="s">
        <v>9</v>
      </c>
      <c r="L10" s="53" t="str">
        <f t="shared" si="0"/>
        <v>Documentais</v>
      </c>
      <c r="M10" s="53" t="str">
        <f t="shared" si="1"/>
        <v>Elemento.de.Trajetos</v>
      </c>
      <c r="N10" s="53" t="str">
        <f t="shared" si="2"/>
        <v>Trajeto</v>
      </c>
      <c r="O10" s="53" t="str">
        <f t="shared" si="3"/>
        <v>Caminho Tubulação</v>
      </c>
      <c r="P10" s="53" t="s">
        <v>85</v>
      </c>
      <c r="Q10" s="43" t="str">
        <f t="shared" si="18"/>
        <v>Distribución - Bases de la tubería traídas</v>
      </c>
      <c r="R10" s="43" t="s">
        <v>9</v>
      </c>
      <c r="S10" s="43" t="str">
        <f t="shared" si="19"/>
        <v>Documentais</v>
      </c>
      <c r="T10" s="43" t="str">
        <f t="shared" si="20"/>
        <v>Elemento.de.Trajetos</v>
      </c>
      <c r="U10" s="53" t="str">
        <f t="shared" si="21"/>
        <v>Trajeto</v>
      </c>
      <c r="V10" s="43" t="s">
        <v>80</v>
      </c>
      <c r="W10" s="54" t="str">
        <f t="shared" si="5"/>
        <v>Key-DOCU-10</v>
      </c>
      <c r="X10" s="58" t="s">
        <v>322</v>
      </c>
      <c r="Y10" s="59" t="s">
        <v>317</v>
      </c>
      <c r="Z10" s="43" t="s">
        <v>425</v>
      </c>
      <c r="AA10" s="43" t="str">
        <f t="shared" si="17"/>
        <v>Layout - Bases of the pipe brought</v>
      </c>
    </row>
    <row r="11" spans="1:27" ht="6" customHeight="1" x14ac:dyDescent="0.25">
      <c r="A11" s="45">
        <v>11</v>
      </c>
      <c r="B11" s="52" t="s">
        <v>635</v>
      </c>
      <c r="C11" s="55" t="s">
        <v>636</v>
      </c>
      <c r="D11" s="55" t="s">
        <v>543</v>
      </c>
      <c r="E11" s="57" t="s">
        <v>183</v>
      </c>
      <c r="F11" s="56" t="s">
        <v>440</v>
      </c>
      <c r="G11" s="46" t="s">
        <v>9</v>
      </c>
      <c r="H11" s="46" t="s">
        <v>9</v>
      </c>
      <c r="I11" s="46" t="s">
        <v>9</v>
      </c>
      <c r="J11" s="46" t="s">
        <v>9</v>
      </c>
      <c r="K11" s="46" t="s">
        <v>9</v>
      </c>
      <c r="L11" s="53" t="str">
        <f t="shared" si="0"/>
        <v>Documentais</v>
      </c>
      <c r="M11" s="53" t="str">
        <f t="shared" si="1"/>
        <v>Elemento.de.Detalhamento</v>
      </c>
      <c r="N11" s="53" t="str">
        <f t="shared" si="2"/>
        <v>Símbolo Chamada</v>
      </c>
      <c r="O11" s="53" t="str">
        <f t="shared" si="3"/>
        <v>Chamada</v>
      </c>
      <c r="P11" s="53" t="s">
        <v>86</v>
      </c>
      <c r="Q11" s="43" t="str">
        <f t="shared" si="18"/>
        <v>Símbolo de Llamada</v>
      </c>
      <c r="R11" s="43" t="s">
        <v>9</v>
      </c>
      <c r="S11" s="43" t="str">
        <f t="shared" si="19"/>
        <v>Documentais</v>
      </c>
      <c r="T11" s="43" t="str">
        <f t="shared" si="20"/>
        <v>Elemento.de.Detalhamento</v>
      </c>
      <c r="U11" s="53" t="str">
        <f t="shared" si="21"/>
        <v>Símbolo.Chamada</v>
      </c>
      <c r="V11" s="43" t="s">
        <v>80</v>
      </c>
      <c r="W11" s="54" t="str">
        <f t="shared" si="5"/>
        <v>Key-DOCU-11</v>
      </c>
      <c r="X11" s="58" t="s">
        <v>323</v>
      </c>
      <c r="Y11" s="59" t="s">
        <v>427</v>
      </c>
      <c r="Z11" s="43" t="s">
        <v>425</v>
      </c>
      <c r="AA11" s="43" t="str">
        <f t="shared" si="17"/>
        <v>Callout Symbol</v>
      </c>
    </row>
    <row r="12" spans="1:27" ht="6" customHeight="1" x14ac:dyDescent="0.25">
      <c r="A12" s="45">
        <v>12</v>
      </c>
      <c r="B12" s="52" t="s">
        <v>635</v>
      </c>
      <c r="C12" s="55" t="s">
        <v>636</v>
      </c>
      <c r="D12" s="55" t="s">
        <v>543</v>
      </c>
      <c r="E12" s="57" t="s">
        <v>183</v>
      </c>
      <c r="F12" s="56" t="s">
        <v>441</v>
      </c>
      <c r="G12" s="46" t="s">
        <v>9</v>
      </c>
      <c r="H12" s="46" t="s">
        <v>9</v>
      </c>
      <c r="I12" s="46" t="s">
        <v>9</v>
      </c>
      <c r="J12" s="46" t="s">
        <v>9</v>
      </c>
      <c r="K12" s="46" t="s">
        <v>9</v>
      </c>
      <c r="L12" s="53" t="str">
        <f t="shared" si="0"/>
        <v>Documentais</v>
      </c>
      <c r="M12" s="53" t="str">
        <f t="shared" si="1"/>
        <v>Elemento.de.Detalhamento</v>
      </c>
      <c r="N12" s="53" t="str">
        <f t="shared" si="2"/>
        <v>Símbolo Chamada</v>
      </c>
      <c r="O12" s="53" t="str">
        <f t="shared" si="3"/>
        <v>Chamada Limite</v>
      </c>
      <c r="P12" s="53" t="s">
        <v>87</v>
      </c>
      <c r="Q12" s="43" t="str">
        <f t="shared" si="18"/>
        <v>Delimitación de Detalles de Llamada</v>
      </c>
      <c r="R12" s="43" t="s">
        <v>9</v>
      </c>
      <c r="S12" s="43" t="str">
        <f t="shared" si="19"/>
        <v>Documentais</v>
      </c>
      <c r="T12" s="43" t="str">
        <f t="shared" si="20"/>
        <v>Elemento.de.Detalhamento</v>
      </c>
      <c r="U12" s="53" t="str">
        <f t="shared" si="21"/>
        <v>Símbolo.Chamada</v>
      </c>
      <c r="V12" s="43" t="s">
        <v>80</v>
      </c>
      <c r="W12" s="54" t="str">
        <f t="shared" si="5"/>
        <v>Key-DOCU-12</v>
      </c>
      <c r="X12" s="58" t="s">
        <v>324</v>
      </c>
      <c r="Y12" s="59" t="s">
        <v>427</v>
      </c>
      <c r="Z12" s="43" t="s">
        <v>425</v>
      </c>
      <c r="AA12" s="43" t="str">
        <f t="shared" si="17"/>
        <v>Call Detail Delimitation</v>
      </c>
    </row>
    <row r="13" spans="1:27" ht="6" customHeight="1" x14ac:dyDescent="0.25">
      <c r="A13" s="45">
        <v>13</v>
      </c>
      <c r="B13" s="52" t="s">
        <v>635</v>
      </c>
      <c r="C13" s="55" t="s">
        <v>636</v>
      </c>
      <c r="D13" s="55" t="s">
        <v>543</v>
      </c>
      <c r="E13" s="57" t="s">
        <v>183</v>
      </c>
      <c r="F13" s="56" t="s">
        <v>442</v>
      </c>
      <c r="G13" s="46" t="s">
        <v>9</v>
      </c>
      <c r="H13" s="46" t="s">
        <v>9</v>
      </c>
      <c r="I13" s="46" t="s">
        <v>9</v>
      </c>
      <c r="J13" s="46" t="s">
        <v>9</v>
      </c>
      <c r="K13" s="46" t="s">
        <v>9</v>
      </c>
      <c r="L13" s="53" t="str">
        <f t="shared" si="0"/>
        <v>Documentais</v>
      </c>
      <c r="M13" s="53" t="str">
        <f t="shared" si="1"/>
        <v>Elemento.de.Detalhamento</v>
      </c>
      <c r="N13" s="53" t="str">
        <f t="shared" si="2"/>
        <v>Símbolo Chamada</v>
      </c>
      <c r="O13" s="53" t="str">
        <f t="shared" si="3"/>
        <v>Chamada Símbolo</v>
      </c>
      <c r="P13" s="53" t="s">
        <v>88</v>
      </c>
      <c r="Q13" s="43" t="str">
        <f t="shared" si="18"/>
        <v>Símbolo de Llamada - Cabeza</v>
      </c>
      <c r="R13" s="43" t="s">
        <v>9</v>
      </c>
      <c r="S13" s="43" t="str">
        <f t="shared" si="19"/>
        <v>Documentais</v>
      </c>
      <c r="T13" s="43" t="str">
        <f t="shared" si="20"/>
        <v>Elemento.de.Detalhamento</v>
      </c>
      <c r="U13" s="53" t="str">
        <f t="shared" si="21"/>
        <v>Símbolo.Chamada</v>
      </c>
      <c r="V13" s="43" t="s">
        <v>80</v>
      </c>
      <c r="W13" s="54" t="str">
        <f t="shared" si="5"/>
        <v>Key-DOCU-13</v>
      </c>
      <c r="X13" s="58" t="s">
        <v>325</v>
      </c>
      <c r="Y13" s="59" t="s">
        <v>427</v>
      </c>
      <c r="Z13" s="43" t="s">
        <v>425</v>
      </c>
      <c r="AA13" s="43" t="str">
        <f t="shared" si="17"/>
        <v>Callout Symbol - Head</v>
      </c>
    </row>
    <row r="14" spans="1:27" ht="6" customHeight="1" x14ac:dyDescent="0.25">
      <c r="A14" s="45">
        <v>14</v>
      </c>
      <c r="B14" s="52" t="s">
        <v>635</v>
      </c>
      <c r="C14" s="55" t="s">
        <v>636</v>
      </c>
      <c r="D14" s="55" t="s">
        <v>543</v>
      </c>
      <c r="E14" s="57" t="s">
        <v>183</v>
      </c>
      <c r="F14" s="56" t="s">
        <v>443</v>
      </c>
      <c r="G14" s="46" t="s">
        <v>9</v>
      </c>
      <c r="H14" s="46" t="s">
        <v>9</v>
      </c>
      <c r="I14" s="46" t="s">
        <v>9</v>
      </c>
      <c r="J14" s="46" t="s">
        <v>9</v>
      </c>
      <c r="K14" s="46" t="s">
        <v>9</v>
      </c>
      <c r="L14" s="53" t="str">
        <f t="shared" si="0"/>
        <v>Documentais</v>
      </c>
      <c r="M14" s="53" t="str">
        <f t="shared" si="1"/>
        <v>Elemento.de.Detalhamento</v>
      </c>
      <c r="N14" s="53" t="str">
        <f t="shared" si="2"/>
        <v>Símbolo Chamada</v>
      </c>
      <c r="O14" s="53" t="str">
        <f t="shared" si="3"/>
        <v>Chamada Linha</v>
      </c>
      <c r="P14" s="53" t="s">
        <v>89</v>
      </c>
      <c r="Q14" s="43" t="str">
        <f t="shared" si="18"/>
        <v>Símbolo de líder - Línea de guía</v>
      </c>
      <c r="R14" s="43" t="s">
        <v>9</v>
      </c>
      <c r="S14" s="43" t="str">
        <f t="shared" si="19"/>
        <v>Documentais</v>
      </c>
      <c r="T14" s="43" t="str">
        <f t="shared" si="20"/>
        <v>Elemento.de.Detalhamento</v>
      </c>
      <c r="U14" s="53" t="str">
        <f t="shared" si="21"/>
        <v>Símbolo.Chamada</v>
      </c>
      <c r="V14" s="43" t="s">
        <v>80</v>
      </c>
      <c r="W14" s="54" t="str">
        <f t="shared" si="5"/>
        <v>Key-DOCU-14</v>
      </c>
      <c r="X14" s="58" t="s">
        <v>326</v>
      </c>
      <c r="Y14" s="59" t="s">
        <v>430</v>
      </c>
      <c r="Z14" s="43" t="s">
        <v>425</v>
      </c>
      <c r="AA14" s="43" t="str">
        <f t="shared" si="17"/>
        <v>Leader Symbol - Leader Line</v>
      </c>
    </row>
    <row r="15" spans="1:27" ht="6" customHeight="1" x14ac:dyDescent="0.25">
      <c r="A15" s="45">
        <v>15</v>
      </c>
      <c r="B15" s="52" t="s">
        <v>635</v>
      </c>
      <c r="C15" s="55" t="s">
        <v>636</v>
      </c>
      <c r="D15" s="55" t="s">
        <v>543</v>
      </c>
      <c r="E15" s="57" t="s">
        <v>183</v>
      </c>
      <c r="F15" s="56" t="s">
        <v>444</v>
      </c>
      <c r="G15" s="46" t="s">
        <v>9</v>
      </c>
      <c r="H15" s="46" t="s">
        <v>9</v>
      </c>
      <c r="I15" s="46" t="s">
        <v>9</v>
      </c>
      <c r="J15" s="46" t="s">
        <v>9</v>
      </c>
      <c r="K15" s="46" t="s">
        <v>9</v>
      </c>
      <c r="L15" s="53" t="str">
        <f t="shared" si="0"/>
        <v>Documentais</v>
      </c>
      <c r="M15" s="53" t="str">
        <f t="shared" si="1"/>
        <v>Elemento.de.Detalhamento</v>
      </c>
      <c r="N15" s="53" t="str">
        <f t="shared" si="2"/>
        <v>Símbolo Chamada</v>
      </c>
      <c r="O15" s="53" t="str">
        <f t="shared" si="3"/>
        <v>Nuvem Revisão</v>
      </c>
      <c r="P15" s="53" t="s">
        <v>90</v>
      </c>
      <c r="Q15" s="43" t="str">
        <f t="shared" si="18"/>
        <v>Repaso de la nube simbólica de detalles</v>
      </c>
      <c r="R15" s="43" t="s">
        <v>9</v>
      </c>
      <c r="S15" s="43" t="str">
        <f t="shared" si="19"/>
        <v>Documentais</v>
      </c>
      <c r="T15" s="43" t="str">
        <f t="shared" si="20"/>
        <v>Elemento.de.Detalhamento</v>
      </c>
      <c r="U15" s="53" t="str">
        <f t="shared" si="21"/>
        <v>Símbolo.Chamada</v>
      </c>
      <c r="V15" s="43" t="s">
        <v>80</v>
      </c>
      <c r="W15" s="54" t="str">
        <f t="shared" si="5"/>
        <v>Key-DOCU-15</v>
      </c>
      <c r="X15" s="58" t="s">
        <v>327</v>
      </c>
      <c r="Y15" s="59" t="s">
        <v>427</v>
      </c>
      <c r="Z15" s="43" t="s">
        <v>425</v>
      </c>
      <c r="AA15" s="43" t="str">
        <f t="shared" si="17"/>
        <v>Symbolic cloud of detail review</v>
      </c>
    </row>
    <row r="16" spans="1:27" ht="6" customHeight="1" x14ac:dyDescent="0.25">
      <c r="A16" s="45">
        <v>16</v>
      </c>
      <c r="B16" s="52" t="s">
        <v>635</v>
      </c>
      <c r="C16" s="55" t="s">
        <v>636</v>
      </c>
      <c r="D16" s="55" t="s">
        <v>543</v>
      </c>
      <c r="E16" s="57" t="s">
        <v>183</v>
      </c>
      <c r="F16" s="56" t="s">
        <v>445</v>
      </c>
      <c r="G16" s="46" t="s">
        <v>9</v>
      </c>
      <c r="H16" s="46" t="s">
        <v>9</v>
      </c>
      <c r="I16" s="46" t="s">
        <v>9</v>
      </c>
      <c r="J16" s="46" t="s">
        <v>9</v>
      </c>
      <c r="K16" s="46" t="s">
        <v>9</v>
      </c>
      <c r="L16" s="53" t="str">
        <f t="shared" si="0"/>
        <v>Documentais</v>
      </c>
      <c r="M16" s="53" t="str">
        <f t="shared" si="1"/>
        <v>Elemento.de.Detalhamento</v>
      </c>
      <c r="N16" s="53" t="str">
        <f t="shared" si="2"/>
        <v>Símbolo Chamada</v>
      </c>
      <c r="O16" s="53" t="str">
        <f t="shared" si="3"/>
        <v>Nuvem Revisão Etiqueta</v>
      </c>
      <c r="P16" s="53" t="s">
        <v>91</v>
      </c>
      <c r="Q16" s="43" t="str">
        <f t="shared" si="18"/>
        <v>Reseña de Nube Simbólica de Detalle - Etiqueta o Etiqueta Textual</v>
      </c>
      <c r="R16" s="43" t="s">
        <v>9</v>
      </c>
      <c r="S16" s="43" t="str">
        <f t="shared" si="19"/>
        <v>Documentais</v>
      </c>
      <c r="T16" s="43" t="str">
        <f t="shared" si="20"/>
        <v>Elemento.de.Detalhamento</v>
      </c>
      <c r="U16" s="53" t="str">
        <f t="shared" si="21"/>
        <v>Símbolo.Chamada</v>
      </c>
      <c r="V16" s="43" t="s">
        <v>80</v>
      </c>
      <c r="W16" s="54" t="str">
        <f t="shared" si="5"/>
        <v>Key-DOCU-16</v>
      </c>
      <c r="X16" s="58" t="s">
        <v>328</v>
      </c>
      <c r="Y16" s="59" t="s">
        <v>427</v>
      </c>
      <c r="Z16" s="43" t="s">
        <v>425</v>
      </c>
      <c r="AA16" s="43" t="str">
        <f t="shared" si="17"/>
        <v>Symbolic Cloud of Detail Review - Textual Label or Tag</v>
      </c>
    </row>
    <row r="17" spans="1:27" ht="6" customHeight="1" x14ac:dyDescent="0.25">
      <c r="A17" s="45">
        <v>17</v>
      </c>
      <c r="B17" s="52" t="s">
        <v>635</v>
      </c>
      <c r="C17" s="55" t="s">
        <v>636</v>
      </c>
      <c r="D17" s="55" t="s">
        <v>543</v>
      </c>
      <c r="E17" s="57" t="s">
        <v>184</v>
      </c>
      <c r="F17" s="56" t="s">
        <v>447</v>
      </c>
      <c r="G17" s="46" t="s">
        <v>9</v>
      </c>
      <c r="H17" s="46" t="s">
        <v>9</v>
      </c>
      <c r="I17" s="46" t="s">
        <v>9</v>
      </c>
      <c r="J17" s="46" t="s">
        <v>9</v>
      </c>
      <c r="K17" s="46" t="s">
        <v>9</v>
      </c>
      <c r="L17" s="53" t="str">
        <f t="shared" si="0"/>
        <v>Documentais</v>
      </c>
      <c r="M17" s="53" t="str">
        <f t="shared" si="1"/>
        <v>Elemento.de.Detalhamento</v>
      </c>
      <c r="N17" s="53" t="str">
        <f t="shared" si="2"/>
        <v>Símbolo Corte</v>
      </c>
      <c r="O17" s="53" t="str">
        <f t="shared" si="3"/>
        <v>Simbolo Corte</v>
      </c>
      <c r="P17" s="53" t="s">
        <v>97</v>
      </c>
      <c r="Q17" s="43" t="str">
        <f t="shared" si="18"/>
        <v>Vista de sección</v>
      </c>
      <c r="R17" s="43" t="s">
        <v>9</v>
      </c>
      <c r="S17" s="43" t="str">
        <f t="shared" si="19"/>
        <v>Documentais</v>
      </c>
      <c r="T17" s="43" t="str">
        <f t="shared" si="20"/>
        <v>Elemento.de.Detalhamento</v>
      </c>
      <c r="U17" s="53" t="str">
        <f t="shared" si="21"/>
        <v>Símbolo.Corte</v>
      </c>
      <c r="V17" s="43" t="s">
        <v>80</v>
      </c>
      <c r="W17" s="54" t="str">
        <f t="shared" si="5"/>
        <v>Key-DOCU-17</v>
      </c>
      <c r="X17" s="58" t="s">
        <v>335</v>
      </c>
      <c r="Y17" s="59" t="s">
        <v>427</v>
      </c>
      <c r="Z17" s="43" t="s">
        <v>425</v>
      </c>
      <c r="AA17" s="43" t="str">
        <f t="shared" ref="AA17" si="22">_xlfn.TRANSLATE(P17,"pt","en")</f>
        <v>Section view</v>
      </c>
    </row>
    <row r="18" spans="1:27" ht="6" customHeight="1" x14ac:dyDescent="0.25">
      <c r="A18" s="45">
        <v>18</v>
      </c>
      <c r="B18" s="52" t="s">
        <v>635</v>
      </c>
      <c r="C18" s="55" t="s">
        <v>636</v>
      </c>
      <c r="D18" s="55" t="s">
        <v>543</v>
      </c>
      <c r="E18" s="57" t="s">
        <v>184</v>
      </c>
      <c r="F18" s="56" t="s">
        <v>528</v>
      </c>
      <c r="G18" s="46" t="s">
        <v>9</v>
      </c>
      <c r="H18" s="46" t="s">
        <v>9</v>
      </c>
      <c r="I18" s="46" t="s">
        <v>9</v>
      </c>
      <c r="J18" s="46" t="s">
        <v>9</v>
      </c>
      <c r="K18" s="46" t="s">
        <v>9</v>
      </c>
      <c r="L18" s="53" t="str">
        <f t="shared" si="0"/>
        <v>Documentais</v>
      </c>
      <c r="M18" s="53" t="str">
        <f t="shared" si="1"/>
        <v>Elemento.de.Detalhamento</v>
      </c>
      <c r="N18" s="53" t="str">
        <f t="shared" si="2"/>
        <v>Símbolo Corte</v>
      </c>
      <c r="O18" s="53" t="str">
        <f t="shared" si="3"/>
        <v>Simbolo Corte Cabeça</v>
      </c>
      <c r="P18" s="53" t="s">
        <v>93</v>
      </c>
      <c r="Q18" s="43" t="str">
        <f t="shared" si="18"/>
        <v>Símbolo de corte - Cabeza</v>
      </c>
      <c r="R18" s="43" t="s">
        <v>9</v>
      </c>
      <c r="S18" s="43" t="str">
        <f t="shared" si="19"/>
        <v>Documentais</v>
      </c>
      <c r="T18" s="43" t="str">
        <f t="shared" si="20"/>
        <v>Elemento.de.Detalhamento</v>
      </c>
      <c r="U18" s="53" t="str">
        <f t="shared" si="21"/>
        <v>Símbolo.Corte</v>
      </c>
      <c r="V18" s="43" t="s">
        <v>80</v>
      </c>
      <c r="W18" s="54" t="str">
        <f t="shared" si="5"/>
        <v>Key-DOCU-18</v>
      </c>
      <c r="X18" s="58" t="s">
        <v>330</v>
      </c>
      <c r="Y18" s="59" t="s">
        <v>427</v>
      </c>
      <c r="Z18" s="43" t="s">
        <v>425</v>
      </c>
      <c r="AA18" s="43" t="str">
        <f t="shared" ref="AA18:AA19" si="23">_xlfn.TRANSLATE(P18,"pt","en")</f>
        <v>Cutting Symbol - Head</v>
      </c>
    </row>
    <row r="19" spans="1:27" ht="6" customHeight="1" x14ac:dyDescent="0.25">
      <c r="A19" s="45">
        <v>19</v>
      </c>
      <c r="B19" s="52" t="s">
        <v>635</v>
      </c>
      <c r="C19" s="55" t="s">
        <v>636</v>
      </c>
      <c r="D19" s="55" t="s">
        <v>543</v>
      </c>
      <c r="E19" s="57" t="s">
        <v>184</v>
      </c>
      <c r="F19" s="56" t="s">
        <v>449</v>
      </c>
      <c r="G19" s="46" t="s">
        <v>9</v>
      </c>
      <c r="H19" s="46" t="s">
        <v>9</v>
      </c>
      <c r="I19" s="46" t="s">
        <v>9</v>
      </c>
      <c r="J19" s="46" t="s">
        <v>9</v>
      </c>
      <c r="K19" s="46" t="s">
        <v>9</v>
      </c>
      <c r="L19" s="53" t="str">
        <f t="shared" si="0"/>
        <v>Documentais</v>
      </c>
      <c r="M19" s="53" t="str">
        <f t="shared" si="1"/>
        <v>Elemento.de.Detalhamento</v>
      </c>
      <c r="N19" s="53" t="str">
        <f t="shared" si="2"/>
        <v>Símbolo Corte</v>
      </c>
      <c r="O19" s="53" t="str">
        <f t="shared" si="3"/>
        <v>Simbolo Corte Linha Fina</v>
      </c>
      <c r="P19" s="53" t="s">
        <v>94</v>
      </c>
      <c r="Q19" s="43" t="str">
        <f t="shared" si="18"/>
        <v>Símbolo de corte - líneas finas de la cabeza</v>
      </c>
      <c r="R19" s="43" t="s">
        <v>9</v>
      </c>
      <c r="S19" s="43" t="str">
        <f t="shared" si="19"/>
        <v>Documentais</v>
      </c>
      <c r="T19" s="43" t="str">
        <f t="shared" si="20"/>
        <v>Elemento.de.Detalhamento</v>
      </c>
      <c r="U19" s="53" t="str">
        <f t="shared" si="21"/>
        <v>Símbolo.Corte</v>
      </c>
      <c r="V19" s="43" t="s">
        <v>80</v>
      </c>
      <c r="W19" s="54" t="str">
        <f t="shared" si="5"/>
        <v>Key-DOCU-19</v>
      </c>
      <c r="X19" s="58" t="s">
        <v>331</v>
      </c>
      <c r="Y19" s="59" t="s">
        <v>427</v>
      </c>
      <c r="Z19" s="43" t="s">
        <v>425</v>
      </c>
      <c r="AA19" s="43" t="str">
        <f t="shared" si="23"/>
        <v>Cutting Symbol - Thin Lines of Head</v>
      </c>
    </row>
    <row r="20" spans="1:27" ht="6" customHeight="1" x14ac:dyDescent="0.25">
      <c r="A20" s="45">
        <v>20</v>
      </c>
      <c r="B20" s="52" t="s">
        <v>635</v>
      </c>
      <c r="C20" s="55" t="s">
        <v>636</v>
      </c>
      <c r="D20" s="55" t="s">
        <v>543</v>
      </c>
      <c r="E20" s="57" t="s">
        <v>184</v>
      </c>
      <c r="F20" s="56" t="s">
        <v>446</v>
      </c>
      <c r="G20" s="46" t="s">
        <v>9</v>
      </c>
      <c r="H20" s="46" t="s">
        <v>9</v>
      </c>
      <c r="I20" s="46" t="s">
        <v>9</v>
      </c>
      <c r="J20" s="46" t="s">
        <v>9</v>
      </c>
      <c r="K20" s="46" t="s">
        <v>9</v>
      </c>
      <c r="L20" s="53" t="str">
        <f t="shared" si="0"/>
        <v>Documentais</v>
      </c>
      <c r="M20" s="53" t="str">
        <f t="shared" si="1"/>
        <v>Elemento.de.Detalhamento</v>
      </c>
      <c r="N20" s="53" t="str">
        <f t="shared" si="2"/>
        <v>Símbolo Corte</v>
      </c>
      <c r="O20" s="53" t="str">
        <f t="shared" si="3"/>
        <v>Simbolo Corte Linha Média</v>
      </c>
      <c r="P20" s="53" t="s">
        <v>92</v>
      </c>
      <c r="Q20" s="43" t="str">
        <f t="shared" si="18"/>
        <v>Símbolo de corte - Líneas medias de la cabeza</v>
      </c>
      <c r="R20" s="43" t="s">
        <v>9</v>
      </c>
      <c r="S20" s="43" t="str">
        <f t="shared" si="19"/>
        <v>Documentais</v>
      </c>
      <c r="T20" s="43" t="str">
        <f t="shared" si="20"/>
        <v>Elemento.de.Detalhamento</v>
      </c>
      <c r="U20" s="53" t="str">
        <f t="shared" si="21"/>
        <v>Símbolo.Corte</v>
      </c>
      <c r="V20" s="43" t="s">
        <v>80</v>
      </c>
      <c r="W20" s="54" t="str">
        <f t="shared" si="5"/>
        <v>Key-DOCU-20</v>
      </c>
      <c r="X20" s="58" t="s">
        <v>329</v>
      </c>
      <c r="Y20" s="59" t="s">
        <v>427</v>
      </c>
      <c r="Z20" s="43" t="s">
        <v>425</v>
      </c>
      <c r="AA20" s="43" t="str">
        <f t="shared" si="17"/>
        <v>Cutting Symbol - Midlines of the Head</v>
      </c>
    </row>
    <row r="21" spans="1:27" ht="6" customHeight="1" x14ac:dyDescent="0.25">
      <c r="A21" s="45">
        <v>21</v>
      </c>
      <c r="B21" s="52" t="s">
        <v>635</v>
      </c>
      <c r="C21" s="55" t="s">
        <v>636</v>
      </c>
      <c r="D21" s="55" t="s">
        <v>543</v>
      </c>
      <c r="E21" s="57" t="s">
        <v>184</v>
      </c>
      <c r="F21" s="56" t="s">
        <v>448</v>
      </c>
      <c r="G21" s="46" t="s">
        <v>9</v>
      </c>
      <c r="H21" s="46" t="s">
        <v>9</v>
      </c>
      <c r="I21" s="46" t="s">
        <v>9</v>
      </c>
      <c r="J21" s="46" t="s">
        <v>9</v>
      </c>
      <c r="K21" s="46" t="s">
        <v>9</v>
      </c>
      <c r="L21" s="53" t="str">
        <f t="shared" si="0"/>
        <v>Documentais</v>
      </c>
      <c r="M21" s="53" t="str">
        <f t="shared" si="1"/>
        <v>Elemento.de.Detalhamento</v>
      </c>
      <c r="N21" s="53" t="str">
        <f t="shared" si="2"/>
        <v>Símbolo Corte</v>
      </c>
      <c r="O21" s="53" t="str">
        <f t="shared" si="3"/>
        <v>Simbolo Corte Linha Grossa</v>
      </c>
      <c r="P21" s="53" t="s">
        <v>95</v>
      </c>
      <c r="Q21" s="43" t="str">
        <f t="shared" si="18"/>
        <v>Símbolo de corte - Líneas de encabezado gruesas</v>
      </c>
      <c r="R21" s="43" t="s">
        <v>9</v>
      </c>
      <c r="S21" s="43" t="str">
        <f t="shared" si="19"/>
        <v>Documentais</v>
      </c>
      <c r="T21" s="43" t="str">
        <f t="shared" si="20"/>
        <v>Elemento.de.Detalhamento</v>
      </c>
      <c r="U21" s="53" t="str">
        <f t="shared" si="21"/>
        <v>Símbolo.Corte</v>
      </c>
      <c r="V21" s="43" t="s">
        <v>80</v>
      </c>
      <c r="W21" s="54" t="str">
        <f t="shared" si="5"/>
        <v>Key-DOCU-21</v>
      </c>
      <c r="X21" s="58" t="s">
        <v>332</v>
      </c>
      <c r="Y21" s="59" t="s">
        <v>427</v>
      </c>
      <c r="Z21" s="43" t="s">
        <v>425</v>
      </c>
      <c r="AA21" s="43" t="str">
        <f t="shared" si="17"/>
        <v>Cutting Symbol - Thick Head Lines</v>
      </c>
    </row>
    <row r="22" spans="1:27" ht="6" customHeight="1" x14ac:dyDescent="0.25">
      <c r="A22" s="45">
        <v>22</v>
      </c>
      <c r="B22" s="52" t="s">
        <v>635</v>
      </c>
      <c r="C22" s="55" t="s">
        <v>636</v>
      </c>
      <c r="D22" s="55" t="s">
        <v>543</v>
      </c>
      <c r="E22" s="57" t="s">
        <v>184</v>
      </c>
      <c r="F22" s="56" t="s">
        <v>450</v>
      </c>
      <c r="G22" s="46" t="s">
        <v>9</v>
      </c>
      <c r="H22" s="46" t="s">
        <v>9</v>
      </c>
      <c r="I22" s="46" t="s">
        <v>9</v>
      </c>
      <c r="J22" s="46" t="s">
        <v>9</v>
      </c>
      <c r="K22" s="46" t="s">
        <v>9</v>
      </c>
      <c r="L22" s="53" t="str">
        <f t="shared" si="0"/>
        <v>Documentais</v>
      </c>
      <c r="M22" s="53" t="str">
        <f t="shared" si="1"/>
        <v>Elemento.de.Detalhamento</v>
      </c>
      <c r="N22" s="53" t="str">
        <f t="shared" si="2"/>
        <v>Símbolo Corte</v>
      </c>
      <c r="O22" s="53" t="str">
        <f t="shared" si="3"/>
        <v>Simbolo Corte Linha</v>
      </c>
      <c r="P22" s="53" t="s">
        <v>96</v>
      </c>
      <c r="Q22" s="43" t="str">
        <f t="shared" si="18"/>
        <v>Símbolo de corte - Línea de corte</v>
      </c>
      <c r="R22" s="43" t="s">
        <v>9</v>
      </c>
      <c r="S22" s="43" t="str">
        <f t="shared" si="19"/>
        <v>Documentais</v>
      </c>
      <c r="T22" s="43" t="str">
        <f t="shared" si="20"/>
        <v>Elemento.de.Detalhamento</v>
      </c>
      <c r="U22" s="53" t="str">
        <f t="shared" si="21"/>
        <v>Símbolo.Corte</v>
      </c>
      <c r="V22" s="43" t="s">
        <v>80</v>
      </c>
      <c r="W22" s="54" t="str">
        <f t="shared" si="5"/>
        <v>Key-DOCU-22</v>
      </c>
      <c r="X22" s="58" t="s">
        <v>333</v>
      </c>
      <c r="Y22" s="59" t="s">
        <v>427</v>
      </c>
      <c r="Z22" s="43" t="s">
        <v>425</v>
      </c>
      <c r="AA22" s="43" t="str">
        <f t="shared" si="17"/>
        <v>Cutting Symbol - Cutting Line</v>
      </c>
    </row>
    <row r="23" spans="1:27" ht="6" customHeight="1" x14ac:dyDescent="0.25">
      <c r="A23" s="45">
        <v>23</v>
      </c>
      <c r="B23" s="52" t="s">
        <v>635</v>
      </c>
      <c r="C23" s="55" t="s">
        <v>636</v>
      </c>
      <c r="D23" s="55" t="s">
        <v>543</v>
      </c>
      <c r="E23" s="57" t="s">
        <v>184</v>
      </c>
      <c r="F23" s="56" t="s">
        <v>451</v>
      </c>
      <c r="G23" s="46" t="s">
        <v>9</v>
      </c>
      <c r="H23" s="46" t="s">
        <v>9</v>
      </c>
      <c r="I23" s="46" t="s">
        <v>9</v>
      </c>
      <c r="J23" s="46" t="s">
        <v>9</v>
      </c>
      <c r="K23" s="46" t="s">
        <v>9</v>
      </c>
      <c r="L23" s="53" t="str">
        <f t="shared" si="0"/>
        <v>Documentais</v>
      </c>
      <c r="M23" s="53" t="str">
        <f t="shared" si="1"/>
        <v>Elemento.de.Detalhamento</v>
      </c>
      <c r="N23" s="53" t="str">
        <f t="shared" si="2"/>
        <v>Símbolo Corte</v>
      </c>
      <c r="O23" s="53" t="str">
        <f t="shared" si="3"/>
        <v>Simbolo Corte Linha Quebrada</v>
      </c>
      <c r="P23" s="53" t="s">
        <v>578</v>
      </c>
      <c r="Q23" s="43" t="str">
        <f t="shared" si="18"/>
        <v>Línea de corte interrumpida</v>
      </c>
      <c r="R23" s="43" t="s">
        <v>9</v>
      </c>
      <c r="S23" s="43" t="str">
        <f t="shared" si="19"/>
        <v>Documentais</v>
      </c>
      <c r="T23" s="43" t="str">
        <f t="shared" si="20"/>
        <v>Elemento.de.Detalhamento</v>
      </c>
      <c r="U23" s="53" t="str">
        <f t="shared" si="21"/>
        <v>Símbolo.Corte</v>
      </c>
      <c r="V23" s="43" t="s">
        <v>80</v>
      </c>
      <c r="W23" s="54" t="str">
        <f t="shared" si="5"/>
        <v>Key-DOCU-23</v>
      </c>
      <c r="X23" s="58" t="s">
        <v>334</v>
      </c>
      <c r="Y23" s="59" t="s">
        <v>427</v>
      </c>
      <c r="Z23" s="43" t="s">
        <v>425</v>
      </c>
      <c r="AA23" s="43" t="str">
        <f t="shared" si="17"/>
        <v>Interrupted cutting line</v>
      </c>
    </row>
    <row r="24" spans="1:27" ht="6" customHeight="1" x14ac:dyDescent="0.25">
      <c r="A24" s="45">
        <v>24</v>
      </c>
      <c r="B24" s="52" t="s">
        <v>635</v>
      </c>
      <c r="C24" s="55" t="s">
        <v>636</v>
      </c>
      <c r="D24" s="55" t="s">
        <v>543</v>
      </c>
      <c r="E24" s="57" t="s">
        <v>185</v>
      </c>
      <c r="F24" s="56" t="s">
        <v>541</v>
      </c>
      <c r="G24" s="46" t="s">
        <v>9</v>
      </c>
      <c r="H24" s="46" t="s">
        <v>9</v>
      </c>
      <c r="I24" s="46" t="s">
        <v>9</v>
      </c>
      <c r="J24" s="46" t="s">
        <v>9</v>
      </c>
      <c r="K24" s="46" t="s">
        <v>9</v>
      </c>
      <c r="L24" s="53" t="str">
        <f t="shared" si="0"/>
        <v>Documentais</v>
      </c>
      <c r="M24" s="53" t="str">
        <f t="shared" si="1"/>
        <v>Elemento.de.Detalhamento</v>
      </c>
      <c r="N24" s="53" t="str">
        <f t="shared" si="2"/>
        <v>Símbolo Detalhe</v>
      </c>
      <c r="O24" s="53" t="str">
        <f t="shared" si="3"/>
        <v>Detalhe Decalque</v>
      </c>
      <c r="P24" s="53" t="s">
        <v>579</v>
      </c>
      <c r="Q24" s="43" t="str">
        <f t="shared" si="18"/>
        <v>Calcomanía de imagen insertada</v>
      </c>
      <c r="R24" s="43" t="s">
        <v>9</v>
      </c>
      <c r="S24" s="43" t="str">
        <f t="shared" si="19"/>
        <v>Documentais</v>
      </c>
      <c r="T24" s="43" t="str">
        <f t="shared" si="20"/>
        <v>Elemento.de.Detalhamento</v>
      </c>
      <c r="U24" s="53" t="str">
        <f t="shared" si="21"/>
        <v>Símbolo.Detalhe</v>
      </c>
      <c r="V24" s="43" t="s">
        <v>80</v>
      </c>
      <c r="W24" s="54" t="str">
        <f t="shared" si="5"/>
        <v>Key-DOCU-24</v>
      </c>
      <c r="X24" s="58" t="s">
        <v>336</v>
      </c>
      <c r="Y24" s="59" t="s">
        <v>427</v>
      </c>
      <c r="Z24" s="43" t="s">
        <v>425</v>
      </c>
      <c r="AA24" s="43" t="str">
        <f t="shared" si="17"/>
        <v>Inserted image decal</v>
      </c>
    </row>
    <row r="25" spans="1:27" ht="6" customHeight="1" x14ac:dyDescent="0.25">
      <c r="A25" s="45">
        <v>25</v>
      </c>
      <c r="B25" s="52" t="s">
        <v>635</v>
      </c>
      <c r="C25" s="55" t="s">
        <v>636</v>
      </c>
      <c r="D25" s="55" t="s">
        <v>543</v>
      </c>
      <c r="E25" s="57" t="s">
        <v>185</v>
      </c>
      <c r="F25" s="56" t="s">
        <v>558</v>
      </c>
      <c r="G25" s="46" t="s">
        <v>9</v>
      </c>
      <c r="H25" s="46" t="s">
        <v>9</v>
      </c>
      <c r="I25" s="46" t="s">
        <v>9</v>
      </c>
      <c r="J25" s="46" t="s">
        <v>9</v>
      </c>
      <c r="K25" s="46" t="s">
        <v>9</v>
      </c>
      <c r="L25" s="53" t="str">
        <f t="shared" si="0"/>
        <v>Documentais</v>
      </c>
      <c r="M25" s="53" t="str">
        <f t="shared" si="1"/>
        <v>Elemento.de.Detalhamento</v>
      </c>
      <c r="N25" s="53" t="str">
        <f t="shared" si="2"/>
        <v>Símbolo Detalhe</v>
      </c>
      <c r="O25" s="53" t="str">
        <f t="shared" si="3"/>
        <v>Detalhe</v>
      </c>
      <c r="P25" s="53" t="s">
        <v>98</v>
      </c>
      <c r="Q25" s="43" t="str">
        <f t="shared" si="18"/>
        <v>Componente de detallado 2D</v>
      </c>
      <c r="R25" s="43" t="s">
        <v>9</v>
      </c>
      <c r="S25" s="43" t="str">
        <f t="shared" si="19"/>
        <v>Documentais</v>
      </c>
      <c r="T25" s="43" t="str">
        <f t="shared" si="20"/>
        <v>Elemento.de.Detalhamento</v>
      </c>
      <c r="U25" s="53" t="str">
        <f t="shared" si="21"/>
        <v>Símbolo.Detalhe</v>
      </c>
      <c r="V25" s="43" t="s">
        <v>80</v>
      </c>
      <c r="W25" s="54" t="str">
        <f t="shared" si="5"/>
        <v>Key-DOCU-25</v>
      </c>
      <c r="X25" s="58" t="s">
        <v>337</v>
      </c>
      <c r="Y25" s="59" t="s">
        <v>427</v>
      </c>
      <c r="Z25" s="43" t="s">
        <v>425</v>
      </c>
      <c r="AA25" s="43" t="str">
        <f t="shared" si="17"/>
        <v>2D Detailing Component</v>
      </c>
    </row>
    <row r="26" spans="1:27" ht="6" customHeight="1" x14ac:dyDescent="0.25">
      <c r="A26" s="45">
        <v>26</v>
      </c>
      <c r="B26" s="52" t="s">
        <v>635</v>
      </c>
      <c r="C26" s="55" t="s">
        <v>636</v>
      </c>
      <c r="D26" s="55" t="s">
        <v>543</v>
      </c>
      <c r="E26" s="57" t="s">
        <v>185</v>
      </c>
      <c r="F26" s="56" t="s">
        <v>559</v>
      </c>
      <c r="G26" s="46" t="s">
        <v>9</v>
      </c>
      <c r="H26" s="46" t="s">
        <v>9</v>
      </c>
      <c r="I26" s="46" t="s">
        <v>9</v>
      </c>
      <c r="J26" s="46" t="s">
        <v>9</v>
      </c>
      <c r="K26" s="46" t="s">
        <v>9</v>
      </c>
      <c r="L26" s="53" t="str">
        <f t="shared" si="0"/>
        <v>Documentais</v>
      </c>
      <c r="M26" s="53" t="str">
        <f t="shared" si="1"/>
        <v>Elemento.de.Detalhamento</v>
      </c>
      <c r="N26" s="53" t="str">
        <f t="shared" si="2"/>
        <v>Símbolo Detalhe</v>
      </c>
      <c r="O26" s="53" t="str">
        <f t="shared" si="3"/>
        <v>Detalhe Linha Oculta</v>
      </c>
      <c r="P26" s="53" t="s">
        <v>99</v>
      </c>
      <c r="Q26" s="43" t="str">
        <f t="shared" si="18"/>
        <v>Componente de detallado 2D - Líneas ocultas</v>
      </c>
      <c r="R26" s="43" t="s">
        <v>9</v>
      </c>
      <c r="S26" s="43" t="str">
        <f t="shared" si="19"/>
        <v>Documentais</v>
      </c>
      <c r="T26" s="43" t="str">
        <f t="shared" si="20"/>
        <v>Elemento.de.Detalhamento</v>
      </c>
      <c r="U26" s="53" t="str">
        <f t="shared" si="21"/>
        <v>Símbolo.Detalhe</v>
      </c>
      <c r="V26" s="43" t="s">
        <v>80</v>
      </c>
      <c r="W26" s="54" t="str">
        <f t="shared" si="5"/>
        <v>Key-DOCU-26</v>
      </c>
      <c r="X26" s="58" t="s">
        <v>338</v>
      </c>
      <c r="Y26" s="59" t="s">
        <v>427</v>
      </c>
      <c r="Z26" s="43" t="s">
        <v>425</v>
      </c>
      <c r="AA26" s="43" t="str">
        <f t="shared" si="17"/>
        <v>2D Detailing Component - Hidden Lines</v>
      </c>
    </row>
    <row r="27" spans="1:27" ht="6" customHeight="1" x14ac:dyDescent="0.25">
      <c r="A27" s="45">
        <v>27</v>
      </c>
      <c r="B27" s="52" t="s">
        <v>635</v>
      </c>
      <c r="C27" s="55" t="s">
        <v>636</v>
      </c>
      <c r="D27" s="55" t="s">
        <v>543</v>
      </c>
      <c r="E27" s="57" t="s">
        <v>185</v>
      </c>
      <c r="F27" s="56" t="s">
        <v>560</v>
      </c>
      <c r="G27" s="46" t="s">
        <v>9</v>
      </c>
      <c r="H27" s="46" t="s">
        <v>9</v>
      </c>
      <c r="I27" s="46" t="s">
        <v>9</v>
      </c>
      <c r="J27" s="46" t="s">
        <v>9</v>
      </c>
      <c r="K27" s="46" t="s">
        <v>9</v>
      </c>
      <c r="L27" s="53" t="str">
        <f t="shared" si="0"/>
        <v>Documentais</v>
      </c>
      <c r="M27" s="53" t="str">
        <f t="shared" si="1"/>
        <v>Elemento.de.Detalhamento</v>
      </c>
      <c r="N27" s="53" t="str">
        <f t="shared" si="2"/>
        <v>Símbolo Detalhe</v>
      </c>
      <c r="O27" s="53" t="str">
        <f t="shared" si="3"/>
        <v>Detalhe Linha Repetida</v>
      </c>
      <c r="P27" s="53" t="s">
        <v>580</v>
      </c>
      <c r="Q27" s="43" t="str">
        <f t="shared" si="18"/>
        <v>Línea de detalle repetida</v>
      </c>
      <c r="R27" s="43" t="s">
        <v>9</v>
      </c>
      <c r="S27" s="43" t="str">
        <f t="shared" si="19"/>
        <v>Documentais</v>
      </c>
      <c r="T27" s="43" t="str">
        <f t="shared" si="20"/>
        <v>Elemento.de.Detalhamento</v>
      </c>
      <c r="U27" s="53" t="str">
        <f t="shared" si="21"/>
        <v>Símbolo.Detalhe</v>
      </c>
      <c r="V27" s="43" t="s">
        <v>80</v>
      </c>
      <c r="W27" s="54" t="str">
        <f t="shared" si="5"/>
        <v>Key-DOCU-27</v>
      </c>
      <c r="X27" s="58" t="s">
        <v>339</v>
      </c>
      <c r="Y27" s="59" t="s">
        <v>427</v>
      </c>
      <c r="Z27" s="43" t="s">
        <v>425</v>
      </c>
      <c r="AA27" s="43" t="str">
        <f t="shared" si="17"/>
        <v>Repeated detail line</v>
      </c>
    </row>
    <row r="28" spans="1:27" ht="6" customHeight="1" x14ac:dyDescent="0.25">
      <c r="A28" s="45">
        <v>28</v>
      </c>
      <c r="B28" s="52" t="s">
        <v>635</v>
      </c>
      <c r="C28" s="55" t="s">
        <v>636</v>
      </c>
      <c r="D28" s="55" t="s">
        <v>543</v>
      </c>
      <c r="E28" s="57" t="s">
        <v>186</v>
      </c>
      <c r="F28" s="56" t="s">
        <v>186</v>
      </c>
      <c r="G28" s="46" t="s">
        <v>9</v>
      </c>
      <c r="H28" s="46" t="s">
        <v>9</v>
      </c>
      <c r="I28" s="46" t="s">
        <v>9</v>
      </c>
      <c r="J28" s="46" t="s">
        <v>9</v>
      </c>
      <c r="K28" s="46" t="s">
        <v>9</v>
      </c>
      <c r="L28" s="53" t="str">
        <f t="shared" si="0"/>
        <v>Documentais</v>
      </c>
      <c r="M28" s="53" t="str">
        <f t="shared" si="1"/>
        <v>Elemento.de.Detalhamento</v>
      </c>
      <c r="N28" s="53" t="str">
        <f t="shared" si="2"/>
        <v>Símbolo Elevação</v>
      </c>
      <c r="O28" s="53" t="str">
        <f t="shared" si="3"/>
        <v>Símbolo Elevação</v>
      </c>
      <c r="P28" s="53" t="s">
        <v>100</v>
      </c>
      <c r="Q28" s="43" t="str">
        <f t="shared" si="18"/>
        <v>Ver símbolos</v>
      </c>
      <c r="R28" s="43" t="s">
        <v>9</v>
      </c>
      <c r="S28" s="43" t="str">
        <f t="shared" si="19"/>
        <v>Documentais</v>
      </c>
      <c r="T28" s="43" t="str">
        <f t="shared" si="20"/>
        <v>Elemento.de.Detalhamento</v>
      </c>
      <c r="U28" s="53" t="str">
        <f t="shared" si="21"/>
        <v>Símbolo.Elevação</v>
      </c>
      <c r="V28" s="43" t="s">
        <v>80</v>
      </c>
      <c r="W28" s="54" t="str">
        <f t="shared" si="5"/>
        <v>Key-DOCU-28</v>
      </c>
      <c r="X28" s="58" t="s">
        <v>340</v>
      </c>
      <c r="Y28" s="59" t="s">
        <v>427</v>
      </c>
      <c r="Z28" s="43" t="s">
        <v>425</v>
      </c>
      <c r="AA28" s="43" t="str">
        <f t="shared" si="17"/>
        <v>View symbols</v>
      </c>
    </row>
    <row r="29" spans="1:27" ht="6" customHeight="1" x14ac:dyDescent="0.25">
      <c r="A29" s="45">
        <v>29</v>
      </c>
      <c r="B29" s="52" t="s">
        <v>635</v>
      </c>
      <c r="C29" s="55" t="s">
        <v>636</v>
      </c>
      <c r="D29" s="55" t="s">
        <v>543</v>
      </c>
      <c r="E29" s="57" t="s">
        <v>186</v>
      </c>
      <c r="F29" s="56" t="s">
        <v>452</v>
      </c>
      <c r="G29" s="46" t="s">
        <v>9</v>
      </c>
      <c r="H29" s="46" t="s">
        <v>9</v>
      </c>
      <c r="I29" s="46" t="s">
        <v>9</v>
      </c>
      <c r="J29" s="46" t="s">
        <v>9</v>
      </c>
      <c r="K29" s="46" t="s">
        <v>9</v>
      </c>
      <c r="L29" s="53" t="str">
        <f t="shared" si="0"/>
        <v>Documentais</v>
      </c>
      <c r="M29" s="53" t="str">
        <f t="shared" si="1"/>
        <v>Elemento.de.Detalhamento</v>
      </c>
      <c r="N29" s="53" t="str">
        <f t="shared" si="2"/>
        <v>Símbolo Elevação</v>
      </c>
      <c r="O29" s="53" t="str">
        <f t="shared" si="3"/>
        <v>Símbolo Elevação Marca</v>
      </c>
      <c r="P29" s="53" t="s">
        <v>101</v>
      </c>
      <c r="Q29" s="43" t="str">
        <f t="shared" si="18"/>
        <v>Ver símbolos - Marcas</v>
      </c>
      <c r="R29" s="43" t="s">
        <v>9</v>
      </c>
      <c r="S29" s="43" t="str">
        <f t="shared" si="19"/>
        <v>Documentais</v>
      </c>
      <c r="T29" s="43" t="str">
        <f t="shared" si="20"/>
        <v>Elemento.de.Detalhamento</v>
      </c>
      <c r="U29" s="53" t="str">
        <f t="shared" si="21"/>
        <v>Símbolo.Elevação</v>
      </c>
      <c r="V29" s="43" t="s">
        <v>80</v>
      </c>
      <c r="W29" s="54" t="str">
        <f t="shared" si="5"/>
        <v>Key-DOCU-29</v>
      </c>
      <c r="X29" s="58" t="s">
        <v>341</v>
      </c>
      <c r="Y29" s="59" t="s">
        <v>427</v>
      </c>
      <c r="Z29" s="43" t="s">
        <v>425</v>
      </c>
      <c r="AA29" s="43" t="str">
        <f t="shared" si="17"/>
        <v>View Symbols - Brands</v>
      </c>
    </row>
    <row r="30" spans="1:27" ht="6" customHeight="1" x14ac:dyDescent="0.25">
      <c r="A30" s="45">
        <v>30</v>
      </c>
      <c r="B30" s="52" t="s">
        <v>635</v>
      </c>
      <c r="C30" s="55" t="s">
        <v>636</v>
      </c>
      <c r="D30" s="55" t="s">
        <v>543</v>
      </c>
      <c r="E30" s="57" t="s">
        <v>187</v>
      </c>
      <c r="F30" s="56" t="s">
        <v>453</v>
      </c>
      <c r="G30" s="46" t="s">
        <v>9</v>
      </c>
      <c r="H30" s="46" t="s">
        <v>9</v>
      </c>
      <c r="I30" s="46" t="s">
        <v>9</v>
      </c>
      <c r="J30" s="46" t="s">
        <v>9</v>
      </c>
      <c r="K30" s="46" t="s">
        <v>9</v>
      </c>
      <c r="L30" s="53" t="str">
        <f t="shared" si="0"/>
        <v>Documentais</v>
      </c>
      <c r="M30" s="53" t="str">
        <f t="shared" si="1"/>
        <v>Elemento.de.Detalhamento</v>
      </c>
      <c r="N30" s="53" t="str">
        <f t="shared" si="2"/>
        <v>Símbolo Nível</v>
      </c>
      <c r="O30" s="53" t="str">
        <f t="shared" si="3"/>
        <v>Marcador Coodenada</v>
      </c>
      <c r="P30" s="53" t="s">
        <v>102</v>
      </c>
      <c r="Q30" s="43" t="str">
        <f t="shared" si="18"/>
        <v>Símbolo de punto de coordenadas</v>
      </c>
      <c r="R30" s="43" t="s">
        <v>9</v>
      </c>
      <c r="S30" s="43" t="str">
        <f t="shared" si="19"/>
        <v>Documentais</v>
      </c>
      <c r="T30" s="43" t="str">
        <f t="shared" si="20"/>
        <v>Elemento.de.Detalhamento</v>
      </c>
      <c r="U30" s="53" t="str">
        <f t="shared" si="21"/>
        <v>Símbolo.Nível</v>
      </c>
      <c r="V30" s="43" t="s">
        <v>80</v>
      </c>
      <c r="W30" s="54" t="str">
        <f t="shared" si="5"/>
        <v>Key-DOCU-30</v>
      </c>
      <c r="X30" s="58" t="s">
        <v>342</v>
      </c>
      <c r="Y30" s="59" t="s">
        <v>431</v>
      </c>
      <c r="Z30" s="43" t="s">
        <v>425</v>
      </c>
      <c r="AA30" s="43" t="str">
        <f t="shared" si="17"/>
        <v>Coordinate Point Symbol</v>
      </c>
    </row>
    <row r="31" spans="1:27" ht="6" customHeight="1" x14ac:dyDescent="0.25">
      <c r="A31" s="45">
        <v>31</v>
      </c>
      <c r="B31" s="52" t="s">
        <v>635</v>
      </c>
      <c r="C31" s="55" t="s">
        <v>636</v>
      </c>
      <c r="D31" s="55" t="s">
        <v>543</v>
      </c>
      <c r="E31" s="57" t="s">
        <v>187</v>
      </c>
      <c r="F31" s="56" t="s">
        <v>454</v>
      </c>
      <c r="G31" s="46" t="s">
        <v>9</v>
      </c>
      <c r="H31" s="46" t="s">
        <v>9</v>
      </c>
      <c r="I31" s="46" t="s">
        <v>9</v>
      </c>
      <c r="J31" s="46" t="s">
        <v>9</v>
      </c>
      <c r="K31" s="46" t="s">
        <v>9</v>
      </c>
      <c r="L31" s="53" t="str">
        <f t="shared" si="0"/>
        <v>Documentais</v>
      </c>
      <c r="M31" s="53" t="str">
        <f t="shared" si="1"/>
        <v>Elemento.de.Detalhamento</v>
      </c>
      <c r="N31" s="53" t="str">
        <f t="shared" si="2"/>
        <v>Símbolo Nível</v>
      </c>
      <c r="O31" s="53" t="str">
        <f t="shared" si="3"/>
        <v>Marcador Coodenada Símbolo</v>
      </c>
      <c r="P31" s="53" t="s">
        <v>103</v>
      </c>
      <c r="Q31" s="43" t="str">
        <f t="shared" si="18"/>
        <v>Símbolos de puntos de coordenadas</v>
      </c>
      <c r="R31" s="43" t="s">
        <v>9</v>
      </c>
      <c r="S31" s="43" t="str">
        <f t="shared" si="19"/>
        <v>Documentais</v>
      </c>
      <c r="T31" s="43" t="str">
        <f t="shared" si="20"/>
        <v>Elemento.de.Detalhamento</v>
      </c>
      <c r="U31" s="53" t="str">
        <f t="shared" si="21"/>
        <v>Símbolo.Nível</v>
      </c>
      <c r="V31" s="43" t="s">
        <v>80</v>
      </c>
      <c r="W31" s="54" t="str">
        <f t="shared" si="5"/>
        <v>Key-DOCU-31</v>
      </c>
      <c r="X31" s="58" t="s">
        <v>343</v>
      </c>
      <c r="Y31" s="59" t="s">
        <v>431</v>
      </c>
      <c r="Z31" s="43" t="s">
        <v>425</v>
      </c>
      <c r="AA31" s="43" t="str">
        <f t="shared" si="17"/>
        <v>Coordinate Point Symbols</v>
      </c>
    </row>
    <row r="32" spans="1:27" ht="6" customHeight="1" x14ac:dyDescent="0.25">
      <c r="A32" s="45">
        <v>32</v>
      </c>
      <c r="B32" s="52" t="s">
        <v>635</v>
      </c>
      <c r="C32" s="55" t="s">
        <v>636</v>
      </c>
      <c r="D32" s="55" t="s">
        <v>543</v>
      </c>
      <c r="E32" s="57" t="s">
        <v>187</v>
      </c>
      <c r="F32" s="56" t="s">
        <v>456</v>
      </c>
      <c r="G32" s="46" t="s">
        <v>9</v>
      </c>
      <c r="H32" s="46" t="s">
        <v>9</v>
      </c>
      <c r="I32" s="46" t="s">
        <v>9</v>
      </c>
      <c r="J32" s="46" t="s">
        <v>9</v>
      </c>
      <c r="K32" s="46" t="s">
        <v>9</v>
      </c>
      <c r="L32" s="53" t="str">
        <f t="shared" si="0"/>
        <v>Documentais</v>
      </c>
      <c r="M32" s="53" t="str">
        <f t="shared" si="1"/>
        <v>Elemento.de.Detalhamento</v>
      </c>
      <c r="N32" s="53" t="str">
        <f t="shared" si="2"/>
        <v>Símbolo Nível</v>
      </c>
      <c r="O32" s="53" t="str">
        <f t="shared" si="3"/>
        <v>Marcador Cota</v>
      </c>
      <c r="P32" s="53" t="s">
        <v>581</v>
      </c>
      <c r="Q32" s="43" t="str">
        <f t="shared" si="18"/>
        <v>Comillas</v>
      </c>
      <c r="R32" s="43" t="s">
        <v>9</v>
      </c>
      <c r="S32" s="43" t="str">
        <f t="shared" si="19"/>
        <v>Documentais</v>
      </c>
      <c r="T32" s="43" t="str">
        <f t="shared" si="20"/>
        <v>Elemento.de.Detalhamento</v>
      </c>
      <c r="U32" s="53" t="str">
        <f t="shared" si="21"/>
        <v>Símbolo.Nível</v>
      </c>
      <c r="V32" s="43" t="s">
        <v>80</v>
      </c>
      <c r="W32" s="54" t="str">
        <f t="shared" si="5"/>
        <v>Key-DOCU-32</v>
      </c>
      <c r="X32" s="58" t="s">
        <v>344</v>
      </c>
      <c r="Y32" s="59" t="s">
        <v>431</v>
      </c>
      <c r="Z32" s="43" t="s">
        <v>425</v>
      </c>
      <c r="AA32" s="43" t="str">
        <f t="shared" si="17"/>
        <v>Quotation mark</v>
      </c>
    </row>
    <row r="33" spans="1:27" ht="6" customHeight="1" x14ac:dyDescent="0.25">
      <c r="A33" s="45">
        <v>33</v>
      </c>
      <c r="B33" s="52" t="s">
        <v>635</v>
      </c>
      <c r="C33" s="55" t="s">
        <v>636</v>
      </c>
      <c r="D33" s="55" t="s">
        <v>543</v>
      </c>
      <c r="E33" s="57" t="s">
        <v>187</v>
      </c>
      <c r="F33" s="56" t="s">
        <v>455</v>
      </c>
      <c r="G33" s="46" t="s">
        <v>9</v>
      </c>
      <c r="H33" s="46" t="s">
        <v>9</v>
      </c>
      <c r="I33" s="46" t="s">
        <v>9</v>
      </c>
      <c r="J33" s="46" t="s">
        <v>9</v>
      </c>
      <c r="K33" s="46" t="s">
        <v>9</v>
      </c>
      <c r="L33" s="53" t="str">
        <f t="shared" si="0"/>
        <v>Documentais</v>
      </c>
      <c r="M33" s="53" t="str">
        <f t="shared" si="1"/>
        <v>Elemento.de.Detalhamento</v>
      </c>
      <c r="N33" s="53" t="str">
        <f t="shared" si="2"/>
        <v>Símbolo Nível</v>
      </c>
      <c r="O33" s="53" t="str">
        <f t="shared" si="3"/>
        <v>Marcador Cota Símbolo</v>
      </c>
      <c r="P33" s="53" t="s">
        <v>582</v>
      </c>
      <c r="Q33" s="43" t="str">
        <f t="shared" si="18"/>
        <v>Símbolos de marca de verificación</v>
      </c>
      <c r="R33" s="43" t="s">
        <v>9</v>
      </c>
      <c r="S33" s="43" t="str">
        <f t="shared" si="19"/>
        <v>Documentais</v>
      </c>
      <c r="T33" s="43" t="str">
        <f t="shared" si="20"/>
        <v>Elemento.de.Detalhamento</v>
      </c>
      <c r="U33" s="53" t="str">
        <f t="shared" si="21"/>
        <v>Símbolo.Nível</v>
      </c>
      <c r="V33" s="43" t="s">
        <v>80</v>
      </c>
      <c r="W33" s="54" t="str">
        <f t="shared" si="5"/>
        <v>Key-DOCU-33</v>
      </c>
      <c r="X33" s="58" t="s">
        <v>345</v>
      </c>
      <c r="Y33" s="59" t="s">
        <v>431</v>
      </c>
      <c r="Z33" s="43" t="s">
        <v>425</v>
      </c>
      <c r="AA33" s="43" t="str">
        <f t="shared" si="17"/>
        <v>Tick Mark Symbols</v>
      </c>
    </row>
    <row r="34" spans="1:27" ht="6" customHeight="1" x14ac:dyDescent="0.25">
      <c r="A34" s="45">
        <v>34</v>
      </c>
      <c r="B34" s="52" t="s">
        <v>635</v>
      </c>
      <c r="C34" s="55" t="s">
        <v>636</v>
      </c>
      <c r="D34" s="55" t="s">
        <v>543</v>
      </c>
      <c r="E34" s="57" t="s">
        <v>187</v>
      </c>
      <c r="F34" s="56" t="s">
        <v>458</v>
      </c>
      <c r="G34" s="46" t="s">
        <v>9</v>
      </c>
      <c r="H34" s="46" t="s">
        <v>9</v>
      </c>
      <c r="I34" s="46" t="s">
        <v>9</v>
      </c>
      <c r="J34" s="46" t="s">
        <v>9</v>
      </c>
      <c r="K34" s="46" t="s">
        <v>9</v>
      </c>
      <c r="L34" s="53" t="str">
        <f t="shared" si="0"/>
        <v>Documentais</v>
      </c>
      <c r="M34" s="53" t="str">
        <f t="shared" si="1"/>
        <v>Elemento.de.Detalhamento</v>
      </c>
      <c r="N34" s="53" t="str">
        <f t="shared" si="2"/>
        <v>Símbolo Nível</v>
      </c>
      <c r="O34" s="53" t="str">
        <f t="shared" si="3"/>
        <v>Marcador Caimento</v>
      </c>
      <c r="P34" s="53" t="s">
        <v>583</v>
      </c>
      <c r="Q34" s="43" t="str">
        <f t="shared" si="18"/>
        <v>Pendiente</v>
      </c>
      <c r="R34" s="43" t="s">
        <v>9</v>
      </c>
      <c r="S34" s="43" t="str">
        <f t="shared" si="19"/>
        <v>Documentais</v>
      </c>
      <c r="T34" s="43" t="str">
        <f t="shared" si="20"/>
        <v>Elemento.de.Detalhamento</v>
      </c>
      <c r="U34" s="53" t="str">
        <f t="shared" si="21"/>
        <v>Símbolo.Nível</v>
      </c>
      <c r="V34" s="43" t="s">
        <v>80</v>
      </c>
      <c r="W34" s="54" t="str">
        <f t="shared" si="5"/>
        <v>Key-DOCU-34</v>
      </c>
      <c r="X34" s="58" t="s">
        <v>346</v>
      </c>
      <c r="Y34" s="59" t="s">
        <v>431</v>
      </c>
      <c r="Z34" s="43" t="s">
        <v>425</v>
      </c>
      <c r="AA34" s="43" t="str">
        <f t="shared" si="17"/>
        <v>Slope</v>
      </c>
    </row>
    <row r="35" spans="1:27" ht="6" customHeight="1" x14ac:dyDescent="0.25">
      <c r="A35" s="45">
        <v>35</v>
      </c>
      <c r="B35" s="52" t="s">
        <v>635</v>
      </c>
      <c r="C35" s="55" t="s">
        <v>636</v>
      </c>
      <c r="D35" s="55" t="s">
        <v>543</v>
      </c>
      <c r="E35" s="57" t="s">
        <v>187</v>
      </c>
      <c r="F35" s="56" t="s">
        <v>457</v>
      </c>
      <c r="G35" s="46" t="s">
        <v>9</v>
      </c>
      <c r="H35" s="46" t="s">
        <v>9</v>
      </c>
      <c r="I35" s="46" t="s">
        <v>9</v>
      </c>
      <c r="J35" s="46" t="s">
        <v>9</v>
      </c>
      <c r="K35" s="46" t="s">
        <v>9</v>
      </c>
      <c r="L35" s="53" t="str">
        <f t="shared" si="0"/>
        <v>Documentais</v>
      </c>
      <c r="M35" s="53" t="str">
        <f t="shared" si="1"/>
        <v>Elemento.de.Detalhamento</v>
      </c>
      <c r="N35" s="53" t="str">
        <f t="shared" si="2"/>
        <v>Símbolo Nível</v>
      </c>
      <c r="O35" s="53" t="str">
        <f t="shared" si="3"/>
        <v>Marcador Caimento Símbolo</v>
      </c>
      <c r="P35" s="53" t="s">
        <v>104</v>
      </c>
      <c r="Q35" s="43" t="str">
        <f t="shared" si="18"/>
        <v>Símbolos de pendiente</v>
      </c>
      <c r="R35" s="43" t="s">
        <v>9</v>
      </c>
      <c r="S35" s="43" t="str">
        <f t="shared" si="19"/>
        <v>Documentais</v>
      </c>
      <c r="T35" s="43" t="str">
        <f t="shared" si="20"/>
        <v>Elemento.de.Detalhamento</v>
      </c>
      <c r="U35" s="53" t="str">
        <f t="shared" si="21"/>
        <v>Símbolo.Nível</v>
      </c>
      <c r="V35" s="43" t="s">
        <v>80</v>
      </c>
      <c r="W35" s="54" t="str">
        <f t="shared" si="5"/>
        <v>Key-DOCU-35</v>
      </c>
      <c r="X35" s="58" t="s">
        <v>347</v>
      </c>
      <c r="Y35" s="59" t="s">
        <v>431</v>
      </c>
      <c r="Z35" s="43" t="s">
        <v>425</v>
      </c>
      <c r="AA35" s="43" t="str">
        <f t="shared" si="17"/>
        <v>Slope symbols</v>
      </c>
    </row>
    <row r="36" spans="1:27" ht="6" customHeight="1" x14ac:dyDescent="0.25">
      <c r="A36" s="45">
        <v>36</v>
      </c>
      <c r="B36" s="52" t="s">
        <v>635</v>
      </c>
      <c r="C36" s="55" t="s">
        <v>636</v>
      </c>
      <c r="D36" s="55" t="s">
        <v>544</v>
      </c>
      <c r="E36" s="57" t="s">
        <v>188</v>
      </c>
      <c r="F36" s="56" t="s">
        <v>574</v>
      </c>
      <c r="G36" s="46" t="s">
        <v>9</v>
      </c>
      <c r="H36" s="46" t="s">
        <v>9</v>
      </c>
      <c r="I36" s="46" t="s">
        <v>9</v>
      </c>
      <c r="J36" s="46" t="s">
        <v>9</v>
      </c>
      <c r="K36" s="46" t="s">
        <v>9</v>
      </c>
      <c r="L36" s="53" t="str">
        <f t="shared" si="0"/>
        <v>Documentais</v>
      </c>
      <c r="M36" s="53" t="str">
        <f t="shared" si="1"/>
        <v>Elemento.de.Dimensionamento</v>
      </c>
      <c r="N36" s="53" t="str">
        <f t="shared" si="2"/>
        <v>Símbolo Cota</v>
      </c>
      <c r="O36" s="53" t="str">
        <f t="shared" si="3"/>
        <v>Dimensão</v>
      </c>
      <c r="P36" s="53" t="s">
        <v>584</v>
      </c>
      <c r="Q36" s="43" t="str">
        <f t="shared" si="18"/>
        <v>Dimensión citada</v>
      </c>
      <c r="R36" s="43" t="s">
        <v>9</v>
      </c>
      <c r="S36" s="43" t="str">
        <f t="shared" si="19"/>
        <v>Documentais</v>
      </c>
      <c r="T36" s="43" t="str">
        <f t="shared" si="20"/>
        <v>Elemento.de.Dimensionamento</v>
      </c>
      <c r="U36" s="53" t="str">
        <f t="shared" si="21"/>
        <v>Símbolo.Cota</v>
      </c>
      <c r="V36" s="43" t="s">
        <v>80</v>
      </c>
      <c r="W36" s="54" t="str">
        <f t="shared" si="5"/>
        <v>Key-DOCU-36</v>
      </c>
      <c r="X36" s="58" t="s">
        <v>348</v>
      </c>
      <c r="Y36" s="59" t="s">
        <v>428</v>
      </c>
      <c r="Z36" s="43" t="s">
        <v>425</v>
      </c>
      <c r="AA36" s="43" t="str">
        <f t="shared" si="17"/>
        <v>Dimension Quoted</v>
      </c>
    </row>
    <row r="37" spans="1:27" ht="6" customHeight="1" x14ac:dyDescent="0.25">
      <c r="A37" s="45">
        <v>37</v>
      </c>
      <c r="B37" s="52" t="s">
        <v>635</v>
      </c>
      <c r="C37" s="55" t="s">
        <v>636</v>
      </c>
      <c r="D37" s="55" t="s">
        <v>544</v>
      </c>
      <c r="E37" s="57" t="s">
        <v>188</v>
      </c>
      <c r="F37" s="56" t="s">
        <v>535</v>
      </c>
      <c r="G37" s="46" t="s">
        <v>9</v>
      </c>
      <c r="H37" s="46" t="s">
        <v>9</v>
      </c>
      <c r="I37" s="46" t="s">
        <v>9</v>
      </c>
      <c r="J37" s="46" t="s">
        <v>9</v>
      </c>
      <c r="K37" s="46" t="s">
        <v>9</v>
      </c>
      <c r="L37" s="53" t="str">
        <f t="shared" si="0"/>
        <v>Documentais</v>
      </c>
      <c r="M37" s="53" t="str">
        <f t="shared" si="1"/>
        <v>Elemento.de.Dimensionamento</v>
      </c>
      <c r="N37" s="53" t="str">
        <f t="shared" si="2"/>
        <v>Símbolo Cota</v>
      </c>
      <c r="O37" s="53" t="str">
        <f t="shared" si="3"/>
        <v>Dimensão Controle</v>
      </c>
      <c r="P37" s="53" t="s">
        <v>105</v>
      </c>
      <c r="Q37" s="43" t="str">
        <f t="shared" si="18"/>
        <v>Línea de Control de Cuotas</v>
      </c>
      <c r="R37" s="43" t="s">
        <v>9</v>
      </c>
      <c r="S37" s="43" t="str">
        <f t="shared" si="19"/>
        <v>Documentais</v>
      </c>
      <c r="T37" s="43" t="str">
        <f t="shared" si="20"/>
        <v>Elemento.de.Dimensionamento</v>
      </c>
      <c r="U37" s="53" t="str">
        <f t="shared" si="21"/>
        <v>Símbolo.Cota</v>
      </c>
      <c r="V37" s="43" t="s">
        <v>80</v>
      </c>
      <c r="W37" s="54" t="str">
        <f t="shared" si="5"/>
        <v>Key-DOCU-37</v>
      </c>
      <c r="X37" s="58" t="s">
        <v>349</v>
      </c>
      <c r="Y37" s="59" t="s">
        <v>428</v>
      </c>
      <c r="Z37" s="43" t="s">
        <v>425</v>
      </c>
      <c r="AA37" s="43" t="str">
        <f t="shared" si="17"/>
        <v>Quota Control Line</v>
      </c>
    </row>
    <row r="38" spans="1:27" ht="6" customHeight="1" x14ac:dyDescent="0.25">
      <c r="A38" s="45">
        <v>38</v>
      </c>
      <c r="B38" s="52" t="s">
        <v>635</v>
      </c>
      <c r="C38" s="55" t="s">
        <v>636</v>
      </c>
      <c r="D38" s="55" t="s">
        <v>544</v>
      </c>
      <c r="E38" s="57" t="s">
        <v>188</v>
      </c>
      <c r="F38" s="56" t="s">
        <v>459</v>
      </c>
      <c r="G38" s="46" t="s">
        <v>9</v>
      </c>
      <c r="H38" s="46" t="s">
        <v>9</v>
      </c>
      <c r="I38" s="46" t="s">
        <v>9</v>
      </c>
      <c r="J38" s="46" t="s">
        <v>9</v>
      </c>
      <c r="K38" s="46" t="s">
        <v>9</v>
      </c>
      <c r="L38" s="53" t="str">
        <f t="shared" si="0"/>
        <v>Documentais</v>
      </c>
      <c r="M38" s="53" t="str">
        <f t="shared" si="1"/>
        <v>Elemento.de.Dimensionamento</v>
      </c>
      <c r="N38" s="53" t="str">
        <f t="shared" si="2"/>
        <v>Símbolo Cota</v>
      </c>
      <c r="O38" s="53" t="str">
        <f t="shared" si="3"/>
        <v>Dimensão Fraca</v>
      </c>
      <c r="P38" s="53" t="s">
        <v>106</v>
      </c>
      <c r="Q38" s="43" t="str">
        <f t="shared" si="18"/>
        <v>Dimensiones de referencia débiles</v>
      </c>
      <c r="R38" s="43" t="s">
        <v>9</v>
      </c>
      <c r="S38" s="43" t="str">
        <f t="shared" si="19"/>
        <v>Documentais</v>
      </c>
      <c r="T38" s="43" t="str">
        <f t="shared" si="20"/>
        <v>Elemento.de.Dimensionamento</v>
      </c>
      <c r="U38" s="53" t="str">
        <f t="shared" si="21"/>
        <v>Símbolo.Cota</v>
      </c>
      <c r="V38" s="43" t="s">
        <v>80</v>
      </c>
      <c r="W38" s="54" t="str">
        <f t="shared" si="5"/>
        <v>Key-DOCU-38</v>
      </c>
      <c r="X38" s="58" t="s">
        <v>350</v>
      </c>
      <c r="Y38" s="59" t="s">
        <v>428</v>
      </c>
      <c r="Z38" s="43" t="s">
        <v>425</v>
      </c>
      <c r="AA38" s="43" t="str">
        <f t="shared" si="17"/>
        <v>Weak Reference Dimensions</v>
      </c>
    </row>
    <row r="39" spans="1:27" ht="6" customHeight="1" x14ac:dyDescent="0.25">
      <c r="A39" s="45">
        <v>39</v>
      </c>
      <c r="B39" s="52" t="s">
        <v>635</v>
      </c>
      <c r="C39" s="55" t="s">
        <v>636</v>
      </c>
      <c r="D39" s="55" t="s">
        <v>545</v>
      </c>
      <c r="E39" s="57" t="s">
        <v>189</v>
      </c>
      <c r="F39" s="56" t="s">
        <v>461</v>
      </c>
      <c r="G39" s="46" t="s">
        <v>9</v>
      </c>
      <c r="H39" s="46" t="s">
        <v>9</v>
      </c>
      <c r="I39" s="46" t="s">
        <v>9</v>
      </c>
      <c r="J39" s="46" t="s">
        <v>9</v>
      </c>
      <c r="K39" s="46" t="s">
        <v>9</v>
      </c>
      <c r="L39" s="53" t="str">
        <f t="shared" si="0"/>
        <v>Documentais</v>
      </c>
      <c r="M39" s="53" t="str">
        <f t="shared" si="1"/>
        <v>Elemento.de.Estilização</v>
      </c>
      <c r="N39" s="53" t="str">
        <f t="shared" si="2"/>
        <v>de Cotas</v>
      </c>
      <c r="O39" s="53" t="str">
        <f t="shared" si="3"/>
        <v>Dimensão Estilo Finalização Cat ID</v>
      </c>
      <c r="P39" s="53" t="s">
        <v>107</v>
      </c>
      <c r="Q39" s="43" t="str">
        <f t="shared" si="18"/>
        <v>Estilo de elemento final de dimensión - ID de estilo de identificador único</v>
      </c>
      <c r="R39" s="43" t="s">
        <v>9</v>
      </c>
      <c r="S39" s="43" t="str">
        <f t="shared" si="19"/>
        <v>Documentais</v>
      </c>
      <c r="T39" s="43" t="str">
        <f t="shared" si="20"/>
        <v>Elemento.de.Estilização</v>
      </c>
      <c r="U39" s="53" t="str">
        <f t="shared" si="21"/>
        <v>de.Cotas</v>
      </c>
      <c r="V39" s="43" t="s">
        <v>80</v>
      </c>
      <c r="W39" s="54" t="str">
        <f t="shared" si="5"/>
        <v>Key-DOCU-39</v>
      </c>
      <c r="X39" s="58" t="s">
        <v>351</v>
      </c>
      <c r="Y39" s="59" t="s">
        <v>428</v>
      </c>
      <c r="Z39" s="43" t="s">
        <v>425</v>
      </c>
      <c r="AA39" s="43" t="str">
        <f t="shared" si="17"/>
        <v>Dimension End Element Style - Unique Identifier Style ID</v>
      </c>
    </row>
    <row r="40" spans="1:27" ht="6" customHeight="1" x14ac:dyDescent="0.25">
      <c r="A40" s="45">
        <v>40</v>
      </c>
      <c r="B40" s="52" t="s">
        <v>635</v>
      </c>
      <c r="C40" s="55" t="s">
        <v>636</v>
      </c>
      <c r="D40" s="55" t="s">
        <v>545</v>
      </c>
      <c r="E40" s="57" t="s">
        <v>189</v>
      </c>
      <c r="F40" s="56" t="s">
        <v>460</v>
      </c>
      <c r="G40" s="46" t="s">
        <v>9</v>
      </c>
      <c r="H40" s="46" t="s">
        <v>9</v>
      </c>
      <c r="I40" s="46" t="s">
        <v>9</v>
      </c>
      <c r="J40" s="46" t="s">
        <v>9</v>
      </c>
      <c r="K40" s="46" t="s">
        <v>9</v>
      </c>
      <c r="L40" s="53" t="str">
        <f t="shared" si="0"/>
        <v>Documentais</v>
      </c>
      <c r="M40" s="53" t="str">
        <f t="shared" si="1"/>
        <v>Elemento.de.Estilização</v>
      </c>
      <c r="N40" s="53" t="str">
        <f t="shared" si="2"/>
        <v>de Cotas</v>
      </c>
      <c r="O40" s="53" t="str">
        <f t="shared" si="3"/>
        <v>Dimensão Estilo Finalização ID</v>
      </c>
      <c r="P40" s="53" t="s">
        <v>107</v>
      </c>
      <c r="Q40" s="43" t="str">
        <f t="shared" si="18"/>
        <v>Estilo de elemento final de dimensión - ID de estilo de identificador único</v>
      </c>
      <c r="R40" s="43" t="s">
        <v>9</v>
      </c>
      <c r="S40" s="43" t="str">
        <f t="shared" si="19"/>
        <v>Documentais</v>
      </c>
      <c r="T40" s="43" t="str">
        <f t="shared" si="20"/>
        <v>Elemento.de.Estilização</v>
      </c>
      <c r="U40" s="53" t="str">
        <f t="shared" si="21"/>
        <v>de.Cotas</v>
      </c>
      <c r="V40" s="43" t="s">
        <v>80</v>
      </c>
      <c r="W40" s="54" t="str">
        <f t="shared" si="5"/>
        <v>Key-DOCU-40</v>
      </c>
      <c r="X40" s="58" t="s">
        <v>352</v>
      </c>
      <c r="Y40" s="59" t="s">
        <v>428</v>
      </c>
      <c r="Z40" s="43" t="s">
        <v>425</v>
      </c>
      <c r="AA40" s="43" t="str">
        <f t="shared" si="17"/>
        <v>Dimension End Element Style - Unique Identifier Style ID</v>
      </c>
    </row>
    <row r="41" spans="1:27" ht="6" customHeight="1" x14ac:dyDescent="0.25">
      <c r="A41" s="45">
        <v>41</v>
      </c>
      <c r="B41" s="52" t="s">
        <v>635</v>
      </c>
      <c r="C41" s="55" t="s">
        <v>636</v>
      </c>
      <c r="D41" s="55" t="s">
        <v>545</v>
      </c>
      <c r="E41" s="55" t="s">
        <v>536</v>
      </c>
      <c r="F41" s="56" t="s">
        <v>462</v>
      </c>
      <c r="G41" s="46" t="s">
        <v>9</v>
      </c>
      <c r="H41" s="46" t="s">
        <v>9</v>
      </c>
      <c r="I41" s="46" t="s">
        <v>9</v>
      </c>
      <c r="J41" s="46" t="s">
        <v>9</v>
      </c>
      <c r="K41" s="46" t="s">
        <v>9</v>
      </c>
      <c r="L41" s="53" t="str">
        <f t="shared" si="0"/>
        <v>Documentais</v>
      </c>
      <c r="M41" s="53" t="str">
        <f t="shared" si="1"/>
        <v>Elemento.de.Estilização</v>
      </c>
      <c r="N41" s="53" t="str">
        <f t="shared" si="2"/>
        <v>de Linhas</v>
      </c>
      <c r="O41" s="53" t="str">
        <f t="shared" si="3"/>
        <v>Padrão Linha Central</v>
      </c>
      <c r="P41" s="53" t="s">
        <v>108</v>
      </c>
      <c r="Q41" s="43" t="str">
        <f t="shared" si="18"/>
        <v>Patrón de líneas centrales</v>
      </c>
      <c r="R41" s="43" t="s">
        <v>9</v>
      </c>
      <c r="S41" s="43" t="str">
        <f t="shared" ref="S41:S72" si="24">SUBSTITUTE(C41, "_", " ")</f>
        <v>Documentais</v>
      </c>
      <c r="T41" s="43" t="str">
        <f t="shared" si="20"/>
        <v>Elemento.de.Estilização</v>
      </c>
      <c r="U41" s="53" t="str">
        <f t="shared" ref="U41:U72" si="25">SUBSTITUTE(E41, "_", " ")</f>
        <v>de.Linhas</v>
      </c>
      <c r="V41" s="43" t="s">
        <v>80</v>
      </c>
      <c r="W41" s="54" t="str">
        <f t="shared" si="5"/>
        <v>Key-DOCU-41</v>
      </c>
      <c r="X41" s="58" t="s">
        <v>353</v>
      </c>
      <c r="Y41" s="59" t="s">
        <v>429</v>
      </c>
      <c r="Z41" s="43" t="s">
        <v>425</v>
      </c>
      <c r="AA41" s="43" t="str">
        <f t="shared" si="17"/>
        <v>Centerlines pattern</v>
      </c>
    </row>
    <row r="42" spans="1:27" ht="6" customHeight="1" x14ac:dyDescent="0.25">
      <c r="A42" s="45">
        <v>42</v>
      </c>
      <c r="B42" s="52" t="s">
        <v>635</v>
      </c>
      <c r="C42" s="55" t="s">
        <v>636</v>
      </c>
      <c r="D42" s="55" t="s">
        <v>545</v>
      </c>
      <c r="E42" s="55" t="s">
        <v>536</v>
      </c>
      <c r="F42" s="56" t="s">
        <v>470</v>
      </c>
      <c r="G42" s="46" t="s">
        <v>9</v>
      </c>
      <c r="H42" s="46" t="s">
        <v>9</v>
      </c>
      <c r="I42" s="46" t="s">
        <v>9</v>
      </c>
      <c r="J42" s="46" t="s">
        <v>9</v>
      </c>
      <c r="K42" s="46" t="s">
        <v>9</v>
      </c>
      <c r="L42" s="53" t="str">
        <f t="shared" si="0"/>
        <v>Documentais</v>
      </c>
      <c r="M42" s="53" t="str">
        <f t="shared" si="1"/>
        <v>Elemento.de.Estilização</v>
      </c>
      <c r="N42" s="53" t="str">
        <f t="shared" si="2"/>
        <v>de Linhas</v>
      </c>
      <c r="O42" s="53" t="str">
        <f t="shared" si="3"/>
        <v>Linhas Invisíveis</v>
      </c>
      <c r="P42" s="53" t="s">
        <v>576</v>
      </c>
      <c r="Q42" s="43" t="str">
        <f t="shared" si="18"/>
        <v>Líneas invisibles</v>
      </c>
      <c r="R42" s="43" t="s">
        <v>9</v>
      </c>
      <c r="S42" s="43" t="str">
        <f t="shared" si="24"/>
        <v>Documentais</v>
      </c>
      <c r="T42" s="43" t="str">
        <f t="shared" si="20"/>
        <v>Elemento.de.Estilização</v>
      </c>
      <c r="U42" s="53" t="str">
        <f t="shared" si="25"/>
        <v>de.Linhas</v>
      </c>
      <c r="V42" s="43" t="s">
        <v>80</v>
      </c>
      <c r="W42" s="54" t="str">
        <f t="shared" si="5"/>
        <v>Key-DOCU-42</v>
      </c>
      <c r="X42" s="58" t="s">
        <v>354</v>
      </c>
      <c r="Y42" s="59" t="s">
        <v>429</v>
      </c>
      <c r="Z42" s="43" t="s">
        <v>425</v>
      </c>
      <c r="AA42" s="43" t="str">
        <f t="shared" si="17"/>
        <v>Invisible lines</v>
      </c>
    </row>
    <row r="43" spans="1:27" ht="6" customHeight="1" x14ac:dyDescent="0.25">
      <c r="A43" s="45">
        <v>43</v>
      </c>
      <c r="B43" s="52" t="s">
        <v>635</v>
      </c>
      <c r="C43" s="55" t="s">
        <v>636</v>
      </c>
      <c r="D43" s="55" t="s">
        <v>545</v>
      </c>
      <c r="E43" s="55" t="s">
        <v>536</v>
      </c>
      <c r="F43" s="56" t="s">
        <v>464</v>
      </c>
      <c r="G43" s="46" t="s">
        <v>9</v>
      </c>
      <c r="H43" s="46" t="s">
        <v>9</v>
      </c>
      <c r="I43" s="46" t="s">
        <v>9</v>
      </c>
      <c r="J43" s="46" t="s">
        <v>9</v>
      </c>
      <c r="K43" s="46" t="s">
        <v>9</v>
      </c>
      <c r="L43" s="53" t="str">
        <f t="shared" si="0"/>
        <v>Documentais</v>
      </c>
      <c r="M43" s="53" t="str">
        <f t="shared" si="1"/>
        <v>Elemento.de.Estilização</v>
      </c>
      <c r="N43" s="53" t="str">
        <f t="shared" si="2"/>
        <v>de Linhas</v>
      </c>
      <c r="O43" s="53" t="str">
        <f t="shared" si="3"/>
        <v>Linhas Projetadas</v>
      </c>
      <c r="P43" s="53" t="s">
        <v>585</v>
      </c>
      <c r="Q43" s="43" t="str">
        <f t="shared" si="18"/>
        <v>Líneas de aristas proyectadas</v>
      </c>
      <c r="R43" s="43" t="s">
        <v>9</v>
      </c>
      <c r="S43" s="43" t="str">
        <f t="shared" si="24"/>
        <v>Documentais</v>
      </c>
      <c r="T43" s="43" t="str">
        <f t="shared" si="20"/>
        <v>Elemento.de.Estilização</v>
      </c>
      <c r="U43" s="53" t="str">
        <f t="shared" si="25"/>
        <v>de.Linhas</v>
      </c>
      <c r="V43" s="43" t="s">
        <v>80</v>
      </c>
      <c r="W43" s="54" t="str">
        <f t="shared" si="5"/>
        <v>Key-DOCU-43</v>
      </c>
      <c r="X43" s="58" t="s">
        <v>355</v>
      </c>
      <c r="Y43" s="59" t="s">
        <v>429</v>
      </c>
      <c r="Z43" s="43" t="s">
        <v>425</v>
      </c>
      <c r="AA43" s="43" t="str">
        <f t="shared" si="17"/>
        <v>Projected edge lines</v>
      </c>
    </row>
    <row r="44" spans="1:27" ht="6" customHeight="1" x14ac:dyDescent="0.25">
      <c r="A44" s="45">
        <v>44</v>
      </c>
      <c r="B44" s="52" t="s">
        <v>635</v>
      </c>
      <c r="C44" s="55" t="s">
        <v>636</v>
      </c>
      <c r="D44" s="55" t="s">
        <v>545</v>
      </c>
      <c r="E44" s="55" t="s">
        <v>536</v>
      </c>
      <c r="F44" s="56" t="s">
        <v>465</v>
      </c>
      <c r="G44" s="46" t="s">
        <v>9</v>
      </c>
      <c r="H44" s="46" t="s">
        <v>9</v>
      </c>
      <c r="I44" s="46" t="s">
        <v>9</v>
      </c>
      <c r="J44" s="46" t="s">
        <v>9</v>
      </c>
      <c r="K44" s="46" t="s">
        <v>9</v>
      </c>
      <c r="L44" s="53" t="str">
        <f t="shared" si="0"/>
        <v>Documentais</v>
      </c>
      <c r="M44" s="53" t="str">
        <f t="shared" si="1"/>
        <v>Elemento.de.Estilização</v>
      </c>
      <c r="N44" s="53" t="str">
        <f t="shared" si="2"/>
        <v>de Linhas</v>
      </c>
      <c r="O44" s="53" t="str">
        <f t="shared" si="3"/>
        <v>Linhas Isolamento</v>
      </c>
      <c r="P44" s="53" t="s">
        <v>109</v>
      </c>
      <c r="Q44" s="43" t="str">
        <f t="shared" si="18"/>
        <v>Líneas de aislamiento</v>
      </c>
      <c r="R44" s="43" t="s">
        <v>9</v>
      </c>
      <c r="S44" s="43" t="str">
        <f t="shared" si="24"/>
        <v>Documentais</v>
      </c>
      <c r="T44" s="43" t="str">
        <f t="shared" si="20"/>
        <v>Elemento.de.Estilização</v>
      </c>
      <c r="U44" s="53" t="str">
        <f t="shared" si="25"/>
        <v>de.Linhas</v>
      </c>
      <c r="V44" s="43" t="s">
        <v>80</v>
      </c>
      <c r="W44" s="54" t="str">
        <f t="shared" si="5"/>
        <v>Key-DOCU-44</v>
      </c>
      <c r="X44" s="58" t="s">
        <v>356</v>
      </c>
      <c r="Y44" s="59" t="s">
        <v>429</v>
      </c>
      <c r="Z44" s="43" t="s">
        <v>425</v>
      </c>
      <c r="AA44" s="43" t="str">
        <f t="shared" si="17"/>
        <v>Insulation lines</v>
      </c>
    </row>
    <row r="45" spans="1:27" ht="6" customHeight="1" x14ac:dyDescent="0.25">
      <c r="A45" s="45">
        <v>45</v>
      </c>
      <c r="B45" s="52" t="s">
        <v>635</v>
      </c>
      <c r="C45" s="55" t="s">
        <v>636</v>
      </c>
      <c r="D45" s="55" t="s">
        <v>545</v>
      </c>
      <c r="E45" s="55" t="s">
        <v>536</v>
      </c>
      <c r="F45" s="56" t="s">
        <v>466</v>
      </c>
      <c r="G45" s="46" t="s">
        <v>9</v>
      </c>
      <c r="H45" s="46" t="s">
        <v>9</v>
      </c>
      <c r="I45" s="46" t="s">
        <v>9</v>
      </c>
      <c r="J45" s="46" t="s">
        <v>9</v>
      </c>
      <c r="K45" s="46" t="s">
        <v>9</v>
      </c>
      <c r="L45" s="53" t="str">
        <f t="shared" si="0"/>
        <v>Documentais</v>
      </c>
      <c r="M45" s="53" t="str">
        <f t="shared" si="1"/>
        <v>Elemento.de.Estilização</v>
      </c>
      <c r="N45" s="53" t="str">
        <f t="shared" si="2"/>
        <v>de Linhas</v>
      </c>
      <c r="O45" s="53" t="str">
        <f t="shared" si="3"/>
        <v>Linhas Centrais</v>
      </c>
      <c r="P45" s="53" t="s">
        <v>577</v>
      </c>
      <c r="Q45" s="43" t="str">
        <f t="shared" si="18"/>
        <v>Líneas centrales</v>
      </c>
      <c r="R45" s="43" t="s">
        <v>9</v>
      </c>
      <c r="S45" s="43" t="str">
        <f t="shared" si="24"/>
        <v>Documentais</v>
      </c>
      <c r="T45" s="43" t="str">
        <f t="shared" si="20"/>
        <v>Elemento.de.Estilização</v>
      </c>
      <c r="U45" s="53" t="str">
        <f t="shared" si="25"/>
        <v>de.Linhas</v>
      </c>
      <c r="V45" s="43" t="s">
        <v>80</v>
      </c>
      <c r="W45" s="54" t="str">
        <f t="shared" si="5"/>
        <v>Key-DOCU-45</v>
      </c>
      <c r="X45" s="58" t="s">
        <v>357</v>
      </c>
      <c r="Y45" s="59" t="s">
        <v>429</v>
      </c>
      <c r="Z45" s="43" t="s">
        <v>425</v>
      </c>
      <c r="AA45" s="43" t="str">
        <f t="shared" si="17"/>
        <v>Centerlines</v>
      </c>
    </row>
    <row r="46" spans="1:27" ht="6" customHeight="1" x14ac:dyDescent="0.25">
      <c r="A46" s="45">
        <v>46</v>
      </c>
      <c r="B46" s="52" t="s">
        <v>635</v>
      </c>
      <c r="C46" s="55" t="s">
        <v>636</v>
      </c>
      <c r="D46" s="55" t="s">
        <v>545</v>
      </c>
      <c r="E46" s="55" t="s">
        <v>536</v>
      </c>
      <c r="F46" s="56" t="s">
        <v>467</v>
      </c>
      <c r="G46" s="46" t="s">
        <v>9</v>
      </c>
      <c r="H46" s="46" t="s">
        <v>9</v>
      </c>
      <c r="I46" s="46" t="s">
        <v>9</v>
      </c>
      <c r="J46" s="46" t="s">
        <v>9</v>
      </c>
      <c r="K46" s="46" t="s">
        <v>9</v>
      </c>
      <c r="L46" s="53" t="str">
        <f t="shared" si="0"/>
        <v>Documentais</v>
      </c>
      <c r="M46" s="53" t="str">
        <f t="shared" si="1"/>
        <v>Elemento.de.Estilização</v>
      </c>
      <c r="N46" s="53" t="str">
        <f t="shared" si="2"/>
        <v>de Linhas</v>
      </c>
      <c r="O46" s="53" t="str">
        <f t="shared" si="3"/>
        <v>Linhas C</v>
      </c>
      <c r="P46" s="53" t="s">
        <v>110</v>
      </c>
      <c r="Q46" s="43" t="str">
        <f t="shared" si="18"/>
        <v>Líneas centrales CL</v>
      </c>
      <c r="R46" s="43" t="s">
        <v>9</v>
      </c>
      <c r="S46" s="43" t="str">
        <f t="shared" si="24"/>
        <v>Documentais</v>
      </c>
      <c r="T46" s="43" t="str">
        <f t="shared" si="20"/>
        <v>Elemento.de.Estilização</v>
      </c>
      <c r="U46" s="53" t="str">
        <f t="shared" si="25"/>
        <v>de.Linhas</v>
      </c>
      <c r="V46" s="43" t="s">
        <v>80</v>
      </c>
      <c r="W46" s="54" t="str">
        <f t="shared" si="5"/>
        <v>Key-DOCU-46</v>
      </c>
      <c r="X46" s="58" t="s">
        <v>358</v>
      </c>
      <c r="Y46" s="59" t="s">
        <v>429</v>
      </c>
      <c r="Z46" s="43" t="s">
        <v>425</v>
      </c>
      <c r="AA46" s="43" t="str">
        <f t="shared" si="17"/>
        <v>CL Centerlines</v>
      </c>
    </row>
    <row r="47" spans="1:27" ht="6" customHeight="1" x14ac:dyDescent="0.25">
      <c r="A47" s="45">
        <v>47</v>
      </c>
      <c r="B47" s="52" t="s">
        <v>635</v>
      </c>
      <c r="C47" s="55" t="s">
        <v>636</v>
      </c>
      <c r="D47" s="55" t="s">
        <v>545</v>
      </c>
      <c r="E47" s="55" t="s">
        <v>536</v>
      </c>
      <c r="F47" s="56" t="s">
        <v>468</v>
      </c>
      <c r="G47" s="46" t="s">
        <v>9</v>
      </c>
      <c r="H47" s="46" t="s">
        <v>9</v>
      </c>
      <c r="I47" s="46" t="s">
        <v>9</v>
      </c>
      <c r="J47" s="46" t="s">
        <v>9</v>
      </c>
      <c r="K47" s="46" t="s">
        <v>9</v>
      </c>
      <c r="L47" s="53" t="str">
        <f t="shared" si="0"/>
        <v>Documentais</v>
      </c>
      <c r="M47" s="53" t="str">
        <f t="shared" si="1"/>
        <v>Elemento.de.Estilização</v>
      </c>
      <c r="N47" s="53" t="str">
        <f t="shared" si="2"/>
        <v>de Linhas</v>
      </c>
      <c r="O47" s="53" t="str">
        <f t="shared" si="3"/>
        <v>Linhas Demolidas</v>
      </c>
      <c r="P47" s="53" t="s">
        <v>111</v>
      </c>
      <c r="Q47" s="43" t="str">
        <f t="shared" si="18"/>
        <v>Líneas de demolición</v>
      </c>
      <c r="R47" s="43" t="s">
        <v>9</v>
      </c>
      <c r="S47" s="43" t="str">
        <f t="shared" si="24"/>
        <v>Documentais</v>
      </c>
      <c r="T47" s="43" t="str">
        <f t="shared" si="20"/>
        <v>Elemento.de.Estilização</v>
      </c>
      <c r="U47" s="53" t="str">
        <f t="shared" si="25"/>
        <v>de.Linhas</v>
      </c>
      <c r="V47" s="43" t="s">
        <v>80</v>
      </c>
      <c r="W47" s="54" t="str">
        <f t="shared" si="5"/>
        <v>Key-DOCU-47</v>
      </c>
      <c r="X47" s="58" t="s">
        <v>359</v>
      </c>
      <c r="Y47" s="59" t="s">
        <v>429</v>
      </c>
      <c r="Z47" s="43" t="s">
        <v>425</v>
      </c>
      <c r="AA47" s="43" t="str">
        <f t="shared" si="17"/>
        <v>Demolition lines</v>
      </c>
    </row>
    <row r="48" spans="1:27" ht="6" customHeight="1" x14ac:dyDescent="0.25">
      <c r="A48" s="45">
        <v>48</v>
      </c>
      <c r="B48" s="52" t="s">
        <v>635</v>
      </c>
      <c r="C48" s="55" t="s">
        <v>636</v>
      </c>
      <c r="D48" s="55" t="s">
        <v>545</v>
      </c>
      <c r="E48" s="55" t="s">
        <v>536</v>
      </c>
      <c r="F48" s="56" t="s">
        <v>469</v>
      </c>
      <c r="G48" s="46" t="s">
        <v>9</v>
      </c>
      <c r="H48" s="46" t="s">
        <v>9</v>
      </c>
      <c r="I48" s="46" t="s">
        <v>9</v>
      </c>
      <c r="J48" s="46" t="s">
        <v>9</v>
      </c>
      <c r="K48" s="46" t="s">
        <v>9</v>
      </c>
      <c r="L48" s="53" t="str">
        <f t="shared" si="0"/>
        <v>Documentais</v>
      </c>
      <c r="M48" s="53" t="str">
        <f t="shared" si="1"/>
        <v>Elemento.de.Estilização</v>
      </c>
      <c r="N48" s="53" t="str">
        <f t="shared" si="2"/>
        <v>de Linhas</v>
      </c>
      <c r="O48" s="53" t="str">
        <f t="shared" si="3"/>
        <v>Linhas Acima</v>
      </c>
      <c r="P48" s="53" t="s">
        <v>586</v>
      </c>
      <c r="Q48" s="43" t="str">
        <f t="shared" si="18"/>
        <v>Líneas de proyección de bordes superiores</v>
      </c>
      <c r="R48" s="43" t="s">
        <v>9</v>
      </c>
      <c r="S48" s="43" t="str">
        <f t="shared" si="24"/>
        <v>Documentais</v>
      </c>
      <c r="T48" s="43" t="str">
        <f t="shared" si="20"/>
        <v>Elemento.de.Estilização</v>
      </c>
      <c r="U48" s="53" t="str">
        <f t="shared" si="25"/>
        <v>de.Linhas</v>
      </c>
      <c r="V48" s="43" t="s">
        <v>80</v>
      </c>
      <c r="W48" s="54" t="str">
        <f t="shared" si="5"/>
        <v>Key-DOCU-48</v>
      </c>
      <c r="X48" s="58" t="s">
        <v>360</v>
      </c>
      <c r="Y48" s="59" t="s">
        <v>429</v>
      </c>
      <c r="Z48" s="43" t="s">
        <v>425</v>
      </c>
      <c r="AA48" s="43" t="str">
        <f t="shared" si="17"/>
        <v>Top edge projection lines</v>
      </c>
    </row>
    <row r="49" spans="1:27" ht="6" customHeight="1" x14ac:dyDescent="0.25">
      <c r="A49" s="45">
        <v>49</v>
      </c>
      <c r="B49" s="52" t="s">
        <v>635</v>
      </c>
      <c r="C49" s="55" t="s">
        <v>636</v>
      </c>
      <c r="D49" s="55" t="s">
        <v>545</v>
      </c>
      <c r="E49" s="55" t="s">
        <v>536</v>
      </c>
      <c r="F49" s="56" t="s">
        <v>472</v>
      </c>
      <c r="G49" s="46" t="s">
        <v>9</v>
      </c>
      <c r="H49" s="46" t="s">
        <v>9</v>
      </c>
      <c r="I49" s="46" t="s">
        <v>9</v>
      </c>
      <c r="J49" s="46" t="s">
        <v>9</v>
      </c>
      <c r="K49" s="46" t="s">
        <v>9</v>
      </c>
      <c r="L49" s="53" t="str">
        <f t="shared" si="0"/>
        <v>Documentais</v>
      </c>
      <c r="M49" s="53" t="str">
        <f t="shared" si="1"/>
        <v>Elemento.de.Estilização</v>
      </c>
      <c r="N49" s="53" t="str">
        <f t="shared" si="2"/>
        <v>de Linhas</v>
      </c>
      <c r="O49" s="53" t="str">
        <f t="shared" si="3"/>
        <v>Linhas Ocultas Linhas</v>
      </c>
      <c r="P49" s="53" t="s">
        <v>112</v>
      </c>
      <c r="Q49" s="43" t="str">
        <f t="shared" si="18"/>
        <v>Líneas ocultas</v>
      </c>
      <c r="R49" s="43" t="s">
        <v>9</v>
      </c>
      <c r="S49" s="43" t="str">
        <f t="shared" si="24"/>
        <v>Documentais</v>
      </c>
      <c r="T49" s="43" t="str">
        <f t="shared" si="20"/>
        <v>Elemento.de.Estilização</v>
      </c>
      <c r="U49" s="53" t="str">
        <f t="shared" si="25"/>
        <v>de.Linhas</v>
      </c>
      <c r="V49" s="43" t="s">
        <v>80</v>
      </c>
      <c r="W49" s="54" t="str">
        <f t="shared" si="5"/>
        <v>Key-DOCU-49</v>
      </c>
      <c r="X49" s="58" t="s">
        <v>361</v>
      </c>
      <c r="Y49" s="59" t="s">
        <v>429</v>
      </c>
      <c r="Z49" s="43" t="s">
        <v>425</v>
      </c>
      <c r="AA49" s="43" t="str">
        <f t="shared" si="17"/>
        <v>Hidden Lines</v>
      </c>
    </row>
    <row r="50" spans="1:27" ht="6" customHeight="1" x14ac:dyDescent="0.25">
      <c r="A50" s="45">
        <v>50</v>
      </c>
      <c r="B50" s="52" t="s">
        <v>635</v>
      </c>
      <c r="C50" s="55" t="s">
        <v>636</v>
      </c>
      <c r="D50" s="55" t="s">
        <v>545</v>
      </c>
      <c r="E50" s="55" t="s">
        <v>536</v>
      </c>
      <c r="F50" s="56" t="s">
        <v>471</v>
      </c>
      <c r="G50" s="46" t="s">
        <v>9</v>
      </c>
      <c r="H50" s="46" t="s">
        <v>9</v>
      </c>
      <c r="I50" s="46" t="s">
        <v>9</v>
      </c>
      <c r="J50" s="46" t="s">
        <v>9</v>
      </c>
      <c r="K50" s="46" t="s">
        <v>9</v>
      </c>
      <c r="L50" s="53" t="str">
        <f t="shared" si="0"/>
        <v>Documentais</v>
      </c>
      <c r="M50" s="53" t="str">
        <f t="shared" si="1"/>
        <v>Elemento.de.Estilização</v>
      </c>
      <c r="N50" s="53" t="str">
        <f t="shared" si="2"/>
        <v>de Linhas</v>
      </c>
      <c r="O50" s="53" t="str">
        <f t="shared" si="3"/>
        <v>Linhas Ocultas Piso</v>
      </c>
      <c r="P50" s="53" t="s">
        <v>587</v>
      </c>
      <c r="Q50" s="43" t="str">
        <f t="shared" si="18"/>
        <v>Líneas ocultas del suelo</v>
      </c>
      <c r="R50" s="43" t="s">
        <v>9</v>
      </c>
      <c r="S50" s="43" t="str">
        <f t="shared" si="24"/>
        <v>Documentais</v>
      </c>
      <c r="T50" s="43" t="str">
        <f t="shared" si="20"/>
        <v>Elemento.de.Estilização</v>
      </c>
      <c r="U50" s="53" t="str">
        <f t="shared" si="25"/>
        <v>de.Linhas</v>
      </c>
      <c r="V50" s="43" t="s">
        <v>80</v>
      </c>
      <c r="W50" s="54" t="str">
        <f t="shared" si="5"/>
        <v>Key-DOCU-50</v>
      </c>
      <c r="X50" s="58" t="s">
        <v>362</v>
      </c>
      <c r="Y50" s="59" t="s">
        <v>429</v>
      </c>
      <c r="Z50" s="43" t="s">
        <v>425</v>
      </c>
      <c r="AA50" s="43" t="str">
        <f t="shared" si="17"/>
        <v>Hidden Floor Lines</v>
      </c>
    </row>
    <row r="51" spans="1:27" ht="6" customHeight="1" x14ac:dyDescent="0.25">
      <c r="A51" s="45">
        <v>51</v>
      </c>
      <c r="B51" s="52" t="s">
        <v>635</v>
      </c>
      <c r="C51" s="55" t="s">
        <v>636</v>
      </c>
      <c r="D51" s="55" t="s">
        <v>545</v>
      </c>
      <c r="E51" s="55" t="s">
        <v>536</v>
      </c>
      <c r="F51" s="56" t="s">
        <v>463</v>
      </c>
      <c r="G51" s="46" t="s">
        <v>9</v>
      </c>
      <c r="H51" s="46" t="s">
        <v>9</v>
      </c>
      <c r="I51" s="46" t="s">
        <v>9</v>
      </c>
      <c r="J51" s="46" t="s">
        <v>9</v>
      </c>
      <c r="K51" s="46" t="s">
        <v>9</v>
      </c>
      <c r="L51" s="53" t="str">
        <f t="shared" si="0"/>
        <v>Documentais</v>
      </c>
      <c r="M51" s="53" t="str">
        <f t="shared" si="1"/>
        <v>Elemento.de.Estilização</v>
      </c>
      <c r="N51" s="53" t="str">
        <f t="shared" si="2"/>
        <v>de Linhas</v>
      </c>
      <c r="O51" s="53" t="str">
        <f t="shared" si="3"/>
        <v>Linhas Ocultas</v>
      </c>
      <c r="P51" s="53" t="s">
        <v>112</v>
      </c>
      <c r="Q51" s="43" t="str">
        <f t="shared" si="18"/>
        <v>Líneas ocultas</v>
      </c>
      <c r="R51" s="43" t="s">
        <v>9</v>
      </c>
      <c r="S51" s="43" t="str">
        <f t="shared" si="24"/>
        <v>Documentais</v>
      </c>
      <c r="T51" s="43" t="str">
        <f t="shared" si="20"/>
        <v>Elemento.de.Estilização</v>
      </c>
      <c r="U51" s="53" t="str">
        <f t="shared" si="25"/>
        <v>de.Linhas</v>
      </c>
      <c r="V51" s="43" t="s">
        <v>80</v>
      </c>
      <c r="W51" s="54" t="str">
        <f t="shared" si="5"/>
        <v>Key-DOCU-51</v>
      </c>
      <c r="X51" s="58" t="s">
        <v>363</v>
      </c>
      <c r="Y51" s="59" t="s">
        <v>429</v>
      </c>
      <c r="Z51" s="43" t="s">
        <v>425</v>
      </c>
      <c r="AA51" s="43" t="str">
        <f t="shared" si="17"/>
        <v>Hidden Lines</v>
      </c>
    </row>
    <row r="52" spans="1:27" ht="6" customHeight="1" x14ac:dyDescent="0.25">
      <c r="A52" s="45">
        <v>52</v>
      </c>
      <c r="B52" s="52" t="s">
        <v>635</v>
      </c>
      <c r="C52" s="55" t="s">
        <v>636</v>
      </c>
      <c r="D52" s="55" t="s">
        <v>545</v>
      </c>
      <c r="E52" s="55" t="s">
        <v>536</v>
      </c>
      <c r="F52" s="56" t="s">
        <v>473</v>
      </c>
      <c r="G52" s="46" t="s">
        <v>9</v>
      </c>
      <c r="H52" s="46" t="s">
        <v>9</v>
      </c>
      <c r="I52" s="46" t="s">
        <v>9</v>
      </c>
      <c r="J52" s="46" t="s">
        <v>9</v>
      </c>
      <c r="K52" s="46" t="s">
        <v>9</v>
      </c>
      <c r="L52" s="53" t="str">
        <f t="shared" si="0"/>
        <v>Documentais</v>
      </c>
      <c r="M52" s="53" t="str">
        <f t="shared" si="1"/>
        <v>Elemento.de.Estilização</v>
      </c>
      <c r="N52" s="53" t="str">
        <f t="shared" si="2"/>
        <v>de Linhas</v>
      </c>
      <c r="O52" s="53" t="str">
        <f t="shared" si="3"/>
        <v>Colunas Linhas Ocultas</v>
      </c>
      <c r="P52" s="53" t="s">
        <v>588</v>
      </c>
      <c r="Q52" s="43" t="str">
        <f t="shared" si="18"/>
        <v>Filas ocultas de columnas estructurales</v>
      </c>
      <c r="R52" s="43" t="s">
        <v>9</v>
      </c>
      <c r="S52" s="43" t="str">
        <f t="shared" si="24"/>
        <v>Documentais</v>
      </c>
      <c r="T52" s="43" t="str">
        <f t="shared" si="20"/>
        <v>Elemento.de.Estilização</v>
      </c>
      <c r="U52" s="53" t="str">
        <f t="shared" si="25"/>
        <v>de.Linhas</v>
      </c>
      <c r="V52" s="43" t="s">
        <v>80</v>
      </c>
      <c r="W52" s="54" t="str">
        <f t="shared" si="5"/>
        <v>Key-DOCU-52</v>
      </c>
      <c r="X52" s="58" t="s">
        <v>364</v>
      </c>
      <c r="Y52" s="59" t="s">
        <v>429</v>
      </c>
      <c r="Z52" s="43" t="s">
        <v>425</v>
      </c>
      <c r="AA52" s="43" t="str">
        <f t="shared" si="17"/>
        <v>Hidden rows of structural columns</v>
      </c>
    </row>
    <row r="53" spans="1:27" ht="6" customHeight="1" x14ac:dyDescent="0.25">
      <c r="A53" s="45">
        <v>53</v>
      </c>
      <c r="B53" s="52" t="s">
        <v>635</v>
      </c>
      <c r="C53" s="55" t="s">
        <v>636</v>
      </c>
      <c r="D53" s="55" t="s">
        <v>545</v>
      </c>
      <c r="E53" s="55" t="s">
        <v>536</v>
      </c>
      <c r="F53" s="56" t="s">
        <v>474</v>
      </c>
      <c r="G53" s="46" t="s">
        <v>9</v>
      </c>
      <c r="H53" s="46" t="s">
        <v>9</v>
      </c>
      <c r="I53" s="46" t="s">
        <v>9</v>
      </c>
      <c r="J53" s="46" t="s">
        <v>9</v>
      </c>
      <c r="K53" s="46" t="s">
        <v>9</v>
      </c>
      <c r="L53" s="53" t="str">
        <f t="shared" si="0"/>
        <v>Documentais</v>
      </c>
      <c r="M53" s="53" t="str">
        <f t="shared" si="1"/>
        <v>Elemento.de.Estilização</v>
      </c>
      <c r="N53" s="53" t="str">
        <f t="shared" si="2"/>
        <v>de Linhas</v>
      </c>
      <c r="O53" s="53" t="str">
        <f t="shared" si="3"/>
        <v>Fundação Linhas Ocultas</v>
      </c>
      <c r="P53" s="53" t="s">
        <v>589</v>
      </c>
      <c r="Q53" s="43" t="str">
        <f t="shared" si="18"/>
        <v>Líneas ocultas de cimientos estructurales</v>
      </c>
      <c r="R53" s="43" t="s">
        <v>9</v>
      </c>
      <c r="S53" s="43" t="str">
        <f t="shared" si="24"/>
        <v>Documentais</v>
      </c>
      <c r="T53" s="43" t="str">
        <f t="shared" si="20"/>
        <v>Elemento.de.Estilização</v>
      </c>
      <c r="U53" s="53" t="str">
        <f t="shared" si="25"/>
        <v>de.Linhas</v>
      </c>
      <c r="V53" s="43" t="s">
        <v>80</v>
      </c>
      <c r="W53" s="54" t="str">
        <f t="shared" si="5"/>
        <v>Key-DOCU-53</v>
      </c>
      <c r="X53" s="58" t="s">
        <v>365</v>
      </c>
      <c r="Y53" s="59" t="s">
        <v>429</v>
      </c>
      <c r="Z53" s="43" t="s">
        <v>425</v>
      </c>
      <c r="AA53" s="43" t="str">
        <f t="shared" si="17"/>
        <v>Hidden lines of structural foundations</v>
      </c>
    </row>
    <row r="54" spans="1:27" ht="6" customHeight="1" x14ac:dyDescent="0.25">
      <c r="A54" s="45">
        <v>54</v>
      </c>
      <c r="B54" s="52" t="s">
        <v>635</v>
      </c>
      <c r="C54" s="55" t="s">
        <v>636</v>
      </c>
      <c r="D54" s="55" t="s">
        <v>545</v>
      </c>
      <c r="E54" s="55" t="s">
        <v>536</v>
      </c>
      <c r="F54" s="56" t="s">
        <v>475</v>
      </c>
      <c r="G54" s="46" t="s">
        <v>9</v>
      </c>
      <c r="H54" s="46" t="s">
        <v>9</v>
      </c>
      <c r="I54" s="46" t="s">
        <v>9</v>
      </c>
      <c r="J54" s="46" t="s">
        <v>9</v>
      </c>
      <c r="K54" s="46" t="s">
        <v>9</v>
      </c>
      <c r="L54" s="53" t="str">
        <f t="shared" si="0"/>
        <v>Documentais</v>
      </c>
      <c r="M54" s="53" t="str">
        <f t="shared" si="1"/>
        <v>Elemento.de.Estilização</v>
      </c>
      <c r="N54" s="53" t="str">
        <f t="shared" si="2"/>
        <v>de Linhas</v>
      </c>
      <c r="O54" s="53" t="str">
        <f t="shared" si="3"/>
        <v>Vigas Linhas Ocultas</v>
      </c>
      <c r="P54" s="53" t="s">
        <v>590</v>
      </c>
      <c r="Q54" s="43" t="str">
        <f t="shared" si="18"/>
        <v>Líneas ocultas de vigas estructurales</v>
      </c>
      <c r="R54" s="43" t="s">
        <v>9</v>
      </c>
      <c r="S54" s="43" t="str">
        <f t="shared" si="24"/>
        <v>Documentais</v>
      </c>
      <c r="T54" s="43" t="str">
        <f t="shared" si="20"/>
        <v>Elemento.de.Estilização</v>
      </c>
      <c r="U54" s="53" t="str">
        <f t="shared" si="25"/>
        <v>de.Linhas</v>
      </c>
      <c r="V54" s="43" t="s">
        <v>80</v>
      </c>
      <c r="W54" s="54" t="str">
        <f t="shared" si="5"/>
        <v>Key-DOCU-54</v>
      </c>
      <c r="X54" s="58" t="s">
        <v>366</v>
      </c>
      <c r="Y54" s="59" t="s">
        <v>429</v>
      </c>
      <c r="Z54" s="43" t="s">
        <v>425</v>
      </c>
      <c r="AA54" s="43" t="str">
        <f t="shared" si="17"/>
        <v>Hidden lines of structural beams</v>
      </c>
    </row>
    <row r="55" spans="1:27" ht="6" customHeight="1" x14ac:dyDescent="0.25">
      <c r="A55" s="45">
        <v>55</v>
      </c>
      <c r="B55" s="52" t="s">
        <v>635</v>
      </c>
      <c r="C55" s="55" t="s">
        <v>636</v>
      </c>
      <c r="D55" s="55" t="s">
        <v>545</v>
      </c>
      <c r="E55" s="55" t="s">
        <v>536</v>
      </c>
      <c r="F55" s="56" t="s">
        <v>476</v>
      </c>
      <c r="G55" s="46" t="s">
        <v>9</v>
      </c>
      <c r="H55" s="46" t="s">
        <v>9</v>
      </c>
      <c r="I55" s="46" t="s">
        <v>9</v>
      </c>
      <c r="J55" s="46" t="s">
        <v>9</v>
      </c>
      <c r="K55" s="46" t="s">
        <v>9</v>
      </c>
      <c r="L55" s="53" t="str">
        <f t="shared" si="0"/>
        <v>Documentais</v>
      </c>
      <c r="M55" s="53" t="str">
        <f t="shared" si="1"/>
        <v>Elemento.de.Estilização</v>
      </c>
      <c r="N55" s="53" t="str">
        <f t="shared" si="2"/>
        <v>de Linhas</v>
      </c>
      <c r="O55" s="53" t="str">
        <f t="shared" si="3"/>
        <v>Paredes Linhas Ocultas</v>
      </c>
      <c r="P55" s="53" t="s">
        <v>591</v>
      </c>
      <c r="Q55" s="43" t="str">
        <f t="shared" si="18"/>
        <v>Líneas ocultas de muros</v>
      </c>
      <c r="R55" s="43" t="s">
        <v>9</v>
      </c>
      <c r="S55" s="43" t="str">
        <f t="shared" si="24"/>
        <v>Documentais</v>
      </c>
      <c r="T55" s="43" t="str">
        <f t="shared" si="20"/>
        <v>Elemento.de.Estilização</v>
      </c>
      <c r="U55" s="53" t="str">
        <f t="shared" si="25"/>
        <v>de.Linhas</v>
      </c>
      <c r="V55" s="43" t="s">
        <v>80</v>
      </c>
      <c r="W55" s="54" t="str">
        <f t="shared" si="5"/>
        <v>Key-DOCU-55</v>
      </c>
      <c r="X55" s="58" t="s">
        <v>367</v>
      </c>
      <c r="Y55" s="59" t="s">
        <v>429</v>
      </c>
      <c r="Z55" s="43" t="s">
        <v>425</v>
      </c>
      <c r="AA55" s="43" t="str">
        <f t="shared" si="17"/>
        <v>Hidden Lines of Walls</v>
      </c>
    </row>
    <row r="56" spans="1:27" ht="6" customHeight="1" x14ac:dyDescent="0.25">
      <c r="A56" s="45">
        <v>56</v>
      </c>
      <c r="B56" s="52" t="s">
        <v>635</v>
      </c>
      <c r="C56" s="55" t="s">
        <v>636</v>
      </c>
      <c r="D56" s="55" t="s">
        <v>545</v>
      </c>
      <c r="E56" s="55" t="s">
        <v>536</v>
      </c>
      <c r="F56" s="56" t="s">
        <v>537</v>
      </c>
      <c r="G56" s="46" t="s">
        <v>9</v>
      </c>
      <c r="H56" s="46" t="s">
        <v>9</v>
      </c>
      <c r="I56" s="46" t="s">
        <v>9</v>
      </c>
      <c r="J56" s="46" t="s">
        <v>9</v>
      </c>
      <c r="K56" s="46" t="s">
        <v>9</v>
      </c>
      <c r="L56" s="53" t="str">
        <f t="shared" si="0"/>
        <v>Documentais</v>
      </c>
      <c r="M56" s="53" t="str">
        <f t="shared" si="1"/>
        <v>Elemento.de.Estilização</v>
      </c>
      <c r="N56" s="53" t="str">
        <f t="shared" si="2"/>
        <v>de Linhas</v>
      </c>
      <c r="O56" s="53" t="str">
        <f t="shared" si="3"/>
        <v>Estilo Linha Trajeto</v>
      </c>
      <c r="P56" s="53" t="s">
        <v>113</v>
      </c>
      <c r="Q56" s="43" t="str">
        <f t="shared" si="18"/>
        <v>Estilo de Instancia Row</v>
      </c>
      <c r="R56" s="43" t="s">
        <v>9</v>
      </c>
      <c r="S56" s="43" t="str">
        <f t="shared" si="24"/>
        <v>Documentais</v>
      </c>
      <c r="T56" s="43" t="str">
        <f t="shared" si="20"/>
        <v>Elemento.de.Estilização</v>
      </c>
      <c r="U56" s="53" t="str">
        <f t="shared" si="25"/>
        <v>de.Linhas</v>
      </c>
      <c r="V56" s="43" t="s">
        <v>80</v>
      </c>
      <c r="W56" s="54" t="str">
        <f t="shared" si="5"/>
        <v>Key-DOCU-56</v>
      </c>
      <c r="X56" s="58" t="s">
        <v>368</v>
      </c>
      <c r="Y56" s="59" t="s">
        <v>317</v>
      </c>
      <c r="Z56" s="43" t="s">
        <v>425</v>
      </c>
      <c r="AA56" s="43" t="str">
        <f t="shared" si="17"/>
        <v>Instance Row Style</v>
      </c>
    </row>
    <row r="57" spans="1:27" ht="6" customHeight="1" x14ac:dyDescent="0.25">
      <c r="A57" s="45">
        <v>57</v>
      </c>
      <c r="B57" s="52" t="s">
        <v>635</v>
      </c>
      <c r="C57" s="55" t="s">
        <v>636</v>
      </c>
      <c r="D57" s="55" t="s">
        <v>545</v>
      </c>
      <c r="E57" s="57" t="s">
        <v>190</v>
      </c>
      <c r="F57" s="56" t="s">
        <v>481</v>
      </c>
      <c r="G57" s="46" t="s">
        <v>9</v>
      </c>
      <c r="H57" s="46" t="s">
        <v>9</v>
      </c>
      <c r="I57" s="46" t="s">
        <v>9</v>
      </c>
      <c r="J57" s="46" t="s">
        <v>9</v>
      </c>
      <c r="K57" s="46" t="s">
        <v>9</v>
      </c>
      <c r="L57" s="53" t="str">
        <f t="shared" si="0"/>
        <v>Documentais</v>
      </c>
      <c r="M57" s="53" t="str">
        <f t="shared" si="1"/>
        <v>Elemento.de.Estilização</v>
      </c>
      <c r="N57" s="53" t="str">
        <f t="shared" si="2"/>
        <v>de Marca</v>
      </c>
      <c r="O57" s="53" t="str">
        <f t="shared" si="3"/>
        <v>Estilo Marca Centro</v>
      </c>
      <c r="P57" s="53" t="s">
        <v>114</v>
      </c>
      <c r="Q57" s="43" t="str">
        <f t="shared" si="18"/>
        <v>Ticks tipo ticks en la línea central</v>
      </c>
      <c r="R57" s="43" t="s">
        <v>9</v>
      </c>
      <c r="S57" s="43" t="str">
        <f t="shared" si="24"/>
        <v>Documentais</v>
      </c>
      <c r="T57" s="43" t="str">
        <f t="shared" si="20"/>
        <v>Elemento.de.Estilização</v>
      </c>
      <c r="U57" s="53" t="str">
        <f t="shared" si="25"/>
        <v>de.Marca</v>
      </c>
      <c r="V57" s="43" t="s">
        <v>80</v>
      </c>
      <c r="W57" s="54" t="str">
        <f t="shared" si="5"/>
        <v>Key-DOCU-57</v>
      </c>
      <c r="X57" s="58" t="s">
        <v>369</v>
      </c>
      <c r="Y57" s="59" t="s">
        <v>317</v>
      </c>
      <c r="Z57" s="43" t="s">
        <v>425</v>
      </c>
      <c r="AA57" s="43" t="str">
        <f t="shared" si="17"/>
        <v>Ticks style centerline ticks</v>
      </c>
    </row>
    <row r="58" spans="1:27" ht="6" customHeight="1" x14ac:dyDescent="0.25">
      <c r="A58" s="45">
        <v>58</v>
      </c>
      <c r="B58" s="52" t="s">
        <v>635</v>
      </c>
      <c r="C58" s="55" t="s">
        <v>636</v>
      </c>
      <c r="D58" s="55" t="s">
        <v>545</v>
      </c>
      <c r="E58" s="57" t="s">
        <v>190</v>
      </c>
      <c r="F58" s="56" t="s">
        <v>480</v>
      </c>
      <c r="G58" s="46" t="s">
        <v>9</v>
      </c>
      <c r="H58" s="46" t="s">
        <v>9</v>
      </c>
      <c r="I58" s="46" t="s">
        <v>9</v>
      </c>
      <c r="J58" s="46" t="s">
        <v>9</v>
      </c>
      <c r="K58" s="46" t="s">
        <v>9</v>
      </c>
      <c r="L58" s="53" t="str">
        <f t="shared" si="0"/>
        <v>Documentais</v>
      </c>
      <c r="M58" s="53" t="str">
        <f t="shared" si="1"/>
        <v>Elemento.de.Estilização</v>
      </c>
      <c r="N58" s="53" t="str">
        <f t="shared" si="2"/>
        <v>de Marca</v>
      </c>
      <c r="O58" s="53" t="str">
        <f t="shared" si="3"/>
        <v>Estilo Marca Cota</v>
      </c>
      <c r="P58" s="53" t="s">
        <v>115</v>
      </c>
      <c r="Q58" s="43" t="str">
        <f t="shared" si="18"/>
        <v>Tick Mark de Cuota - Identificador único de ID de estilo</v>
      </c>
      <c r="R58" s="43" t="s">
        <v>9</v>
      </c>
      <c r="S58" s="43" t="str">
        <f t="shared" si="24"/>
        <v>Documentais</v>
      </c>
      <c r="T58" s="43" t="str">
        <f t="shared" si="20"/>
        <v>Elemento.de.Estilização</v>
      </c>
      <c r="U58" s="53" t="str">
        <f t="shared" si="25"/>
        <v>de.Marca</v>
      </c>
      <c r="V58" s="43" t="s">
        <v>80</v>
      </c>
      <c r="W58" s="54" t="str">
        <f t="shared" si="5"/>
        <v>Key-DOCU-58</v>
      </c>
      <c r="X58" s="58" t="s">
        <v>370</v>
      </c>
      <c r="Y58" s="59" t="s">
        <v>317</v>
      </c>
      <c r="Z58" s="43" t="s">
        <v>425</v>
      </c>
      <c r="AA58" s="43" t="str">
        <f t="shared" si="17"/>
        <v>Quota Tick Mark - Unique Style ID Identifier</v>
      </c>
    </row>
    <row r="59" spans="1:27" ht="6" customHeight="1" x14ac:dyDescent="0.25">
      <c r="A59" s="45">
        <v>59</v>
      </c>
      <c r="B59" s="52" t="s">
        <v>635</v>
      </c>
      <c r="C59" s="55" t="s">
        <v>636</v>
      </c>
      <c r="D59" s="55" t="s">
        <v>545</v>
      </c>
      <c r="E59" s="57" t="s">
        <v>190</v>
      </c>
      <c r="F59" s="56" t="s">
        <v>479</v>
      </c>
      <c r="G59" s="46" t="s">
        <v>9</v>
      </c>
      <c r="H59" s="46" t="s">
        <v>9</v>
      </c>
      <c r="I59" s="46" t="s">
        <v>9</v>
      </c>
      <c r="J59" s="46" t="s">
        <v>9</v>
      </c>
      <c r="K59" s="46" t="s">
        <v>9</v>
      </c>
      <c r="L59" s="53" t="str">
        <f t="shared" si="0"/>
        <v>Documentais</v>
      </c>
      <c r="M59" s="53" t="str">
        <f t="shared" si="1"/>
        <v>Elemento.de.Estilização</v>
      </c>
      <c r="N59" s="53" t="str">
        <f t="shared" si="2"/>
        <v>de Marca</v>
      </c>
      <c r="O59" s="53" t="str">
        <f t="shared" si="3"/>
        <v>Estilo Marca Interna</v>
      </c>
      <c r="P59" s="53" t="s">
        <v>116</v>
      </c>
      <c r="Q59" s="43" t="str">
        <f t="shared" si="18"/>
        <v>Interior de la marca Tick - Identificador único de estilo</v>
      </c>
      <c r="R59" s="43" t="s">
        <v>9</v>
      </c>
      <c r="S59" s="43" t="str">
        <f t="shared" si="24"/>
        <v>Documentais</v>
      </c>
      <c r="T59" s="43" t="str">
        <f t="shared" si="20"/>
        <v>Elemento.de.Estilização</v>
      </c>
      <c r="U59" s="53" t="str">
        <f t="shared" si="25"/>
        <v>de.Marca</v>
      </c>
      <c r="V59" s="43" t="s">
        <v>80</v>
      </c>
      <c r="W59" s="54" t="str">
        <f t="shared" si="5"/>
        <v>Key-DOCU-59</v>
      </c>
      <c r="X59" s="58" t="s">
        <v>371</v>
      </c>
      <c r="Y59" s="59" t="s">
        <v>317</v>
      </c>
      <c r="Z59" s="43" t="s">
        <v>425</v>
      </c>
      <c r="AA59" s="43" t="str">
        <f t="shared" si="17"/>
        <v>Tick Brand Interior - Unique Style ID Identifier</v>
      </c>
    </row>
    <row r="60" spans="1:27" ht="6" customHeight="1" x14ac:dyDescent="0.25">
      <c r="A60" s="45">
        <v>60</v>
      </c>
      <c r="B60" s="52" t="s">
        <v>635</v>
      </c>
      <c r="C60" s="55" t="s">
        <v>636</v>
      </c>
      <c r="D60" s="55" t="s">
        <v>545</v>
      </c>
      <c r="E60" s="57" t="s">
        <v>190</v>
      </c>
      <c r="F60" s="56" t="s">
        <v>478</v>
      </c>
      <c r="G60" s="46" t="s">
        <v>9</v>
      </c>
      <c r="H60" s="46" t="s">
        <v>9</v>
      </c>
      <c r="I60" s="46" t="s">
        <v>9</v>
      </c>
      <c r="J60" s="46" t="s">
        <v>9</v>
      </c>
      <c r="K60" s="46" t="s">
        <v>9</v>
      </c>
      <c r="L60" s="53" t="str">
        <f t="shared" si="0"/>
        <v>Documentais</v>
      </c>
      <c r="M60" s="53" t="str">
        <f t="shared" si="1"/>
        <v>Elemento.de.Estilização</v>
      </c>
      <c r="N60" s="53" t="str">
        <f t="shared" si="2"/>
        <v>de Marca</v>
      </c>
      <c r="O60" s="53" t="str">
        <f t="shared" si="3"/>
        <v>Estilo Marca Chamada</v>
      </c>
      <c r="P60" s="53" t="s">
        <v>117</v>
      </c>
      <c r="Q60" s="43" t="str">
        <f t="shared" si="18"/>
        <v>Marca de verificación de línea de llamada - Identificador único de ID de estilo</v>
      </c>
      <c r="R60" s="43" t="s">
        <v>9</v>
      </c>
      <c r="S60" s="43" t="str">
        <f t="shared" si="24"/>
        <v>Documentais</v>
      </c>
      <c r="T60" s="43" t="str">
        <f t="shared" si="20"/>
        <v>Elemento.de.Estilização</v>
      </c>
      <c r="U60" s="53" t="str">
        <f t="shared" si="25"/>
        <v>de.Marca</v>
      </c>
      <c r="V60" s="43" t="s">
        <v>80</v>
      </c>
      <c r="W60" s="54" t="str">
        <f t="shared" si="5"/>
        <v>Key-DOCU-60</v>
      </c>
      <c r="X60" s="58" t="s">
        <v>372</v>
      </c>
      <c r="Y60" s="59" t="s">
        <v>317</v>
      </c>
      <c r="Z60" s="43" t="s">
        <v>425</v>
      </c>
      <c r="AA60" s="43" t="str">
        <f t="shared" si="17"/>
        <v>Calling Line Tick Mark - Unique Style ID Identifier</v>
      </c>
    </row>
    <row r="61" spans="1:27" ht="6" customHeight="1" x14ac:dyDescent="0.25">
      <c r="A61" s="45">
        <v>61</v>
      </c>
      <c r="B61" s="52" t="s">
        <v>635</v>
      </c>
      <c r="C61" s="55" t="s">
        <v>636</v>
      </c>
      <c r="D61" s="55" t="s">
        <v>545</v>
      </c>
      <c r="E61" s="57" t="s">
        <v>191</v>
      </c>
      <c r="F61" s="56" t="s">
        <v>477</v>
      </c>
      <c r="G61" s="46" t="s">
        <v>9</v>
      </c>
      <c r="H61" s="46" t="s">
        <v>9</v>
      </c>
      <c r="I61" s="46" t="s">
        <v>9</v>
      </c>
      <c r="J61" s="46" t="s">
        <v>9</v>
      </c>
      <c r="K61" s="46" t="s">
        <v>9</v>
      </c>
      <c r="L61" s="53" t="str">
        <f t="shared" si="0"/>
        <v>Documentais</v>
      </c>
      <c r="M61" s="53" t="str">
        <f t="shared" si="1"/>
        <v>Elemento.de.Estilização</v>
      </c>
      <c r="N61" s="53" t="str">
        <f t="shared" si="2"/>
        <v>de Setas</v>
      </c>
      <c r="O61" s="53" t="str">
        <f t="shared" si="3"/>
        <v>Estilo Seta</v>
      </c>
      <c r="P61" s="53" t="s">
        <v>118</v>
      </c>
      <c r="Q61" s="43" t="str">
        <f t="shared" si="18"/>
        <v>Punta simbólica de flecha</v>
      </c>
      <c r="R61" s="43" t="s">
        <v>9</v>
      </c>
      <c r="S61" s="43" t="str">
        <f t="shared" si="24"/>
        <v>Documentais</v>
      </c>
      <c r="T61" s="43" t="str">
        <f t="shared" si="20"/>
        <v>Elemento.de.Estilização</v>
      </c>
      <c r="U61" s="53" t="str">
        <f t="shared" si="25"/>
        <v>de.Setas</v>
      </c>
      <c r="V61" s="43" t="s">
        <v>80</v>
      </c>
      <c r="W61" s="54" t="str">
        <f t="shared" ref="W61:W124" si="26">CONCATENATE("Key-DOCU-",A61)</f>
        <v>Key-DOCU-61</v>
      </c>
      <c r="X61" s="58" t="s">
        <v>373</v>
      </c>
      <c r="Y61" s="59" t="s">
        <v>317</v>
      </c>
      <c r="Z61" s="43" t="s">
        <v>425</v>
      </c>
      <c r="AA61" s="43" t="str">
        <f t="shared" si="17"/>
        <v>Symbolic arrows head</v>
      </c>
    </row>
    <row r="62" spans="1:27" ht="6" customHeight="1" x14ac:dyDescent="0.25">
      <c r="A62" s="45">
        <v>62</v>
      </c>
      <c r="B62" s="52" t="s">
        <v>635</v>
      </c>
      <c r="C62" s="55" t="s">
        <v>636</v>
      </c>
      <c r="D62" s="55" t="s">
        <v>545</v>
      </c>
      <c r="E62" s="55" t="s">
        <v>192</v>
      </c>
      <c r="F62" s="56" t="s">
        <v>482</v>
      </c>
      <c r="G62" s="46" t="s">
        <v>9</v>
      </c>
      <c r="H62" s="46" t="s">
        <v>9</v>
      </c>
      <c r="I62" s="46" t="s">
        <v>9</v>
      </c>
      <c r="J62" s="46" t="s">
        <v>9</v>
      </c>
      <c r="K62" s="46" t="s">
        <v>9</v>
      </c>
      <c r="L62" s="53" t="str">
        <f t="shared" si="0"/>
        <v>Documentais</v>
      </c>
      <c r="M62" s="53" t="str">
        <f t="shared" si="1"/>
        <v>Elemento.de.Estilização</v>
      </c>
      <c r="N62" s="53" t="str">
        <f t="shared" si="2"/>
        <v>de Texto</v>
      </c>
      <c r="O62" s="53" t="str">
        <f t="shared" si="3"/>
        <v>Fonte ID</v>
      </c>
      <c r="P62" s="53" t="s">
        <v>119</v>
      </c>
      <c r="Q62" s="43" t="str">
        <f t="shared" si="18"/>
        <v>Texto y Líder - Fuente del Texto</v>
      </c>
      <c r="R62" s="43" t="s">
        <v>9</v>
      </c>
      <c r="S62" s="43" t="str">
        <f t="shared" si="24"/>
        <v>Documentais</v>
      </c>
      <c r="T62" s="43" t="str">
        <f t="shared" si="20"/>
        <v>Elemento.de.Estilização</v>
      </c>
      <c r="U62" s="53" t="str">
        <f t="shared" si="25"/>
        <v>de.Texto</v>
      </c>
      <c r="V62" s="43" t="s">
        <v>80</v>
      </c>
      <c r="W62" s="54" t="str">
        <f t="shared" si="26"/>
        <v>Key-DOCU-62</v>
      </c>
      <c r="X62" s="58" t="s">
        <v>374</v>
      </c>
      <c r="Y62" s="59" t="s">
        <v>317</v>
      </c>
      <c r="Z62" s="43" t="s">
        <v>425</v>
      </c>
      <c r="AA62" s="43" t="str">
        <f t="shared" si="17"/>
        <v>Text and Leader - Text Source</v>
      </c>
    </row>
    <row r="63" spans="1:27" ht="6" customHeight="1" x14ac:dyDescent="0.25">
      <c r="A63" s="45">
        <v>63</v>
      </c>
      <c r="B63" s="52" t="s">
        <v>635</v>
      </c>
      <c r="C63" s="55" t="s">
        <v>636</v>
      </c>
      <c r="D63" s="55" t="s">
        <v>545</v>
      </c>
      <c r="E63" s="57" t="s">
        <v>192</v>
      </c>
      <c r="F63" s="56" t="s">
        <v>483</v>
      </c>
      <c r="G63" s="46" t="s">
        <v>9</v>
      </c>
      <c r="H63" s="46" t="s">
        <v>9</v>
      </c>
      <c r="I63" s="46" t="s">
        <v>9</v>
      </c>
      <c r="J63" s="46" t="s">
        <v>9</v>
      </c>
      <c r="K63" s="46" t="s">
        <v>9</v>
      </c>
      <c r="L63" s="53" t="str">
        <f t="shared" si="0"/>
        <v>Documentais</v>
      </c>
      <c r="M63" s="53" t="str">
        <f t="shared" si="1"/>
        <v>Elemento.de.Estilização</v>
      </c>
      <c r="N63" s="53" t="str">
        <f t="shared" si="2"/>
        <v>de Texto</v>
      </c>
      <c r="O63" s="53" t="str">
        <f t="shared" si="3"/>
        <v>Fonte Categoria ID</v>
      </c>
      <c r="P63" s="53" t="s">
        <v>120</v>
      </c>
      <c r="Q63" s="43" t="str">
        <f t="shared" si="18"/>
        <v>Texto y línea de guía - Identificador de ID único</v>
      </c>
      <c r="R63" s="43" t="s">
        <v>9</v>
      </c>
      <c r="S63" s="43" t="str">
        <f t="shared" si="24"/>
        <v>Documentais</v>
      </c>
      <c r="T63" s="43" t="str">
        <f t="shared" si="20"/>
        <v>Elemento.de.Estilização</v>
      </c>
      <c r="U63" s="53" t="str">
        <f t="shared" si="25"/>
        <v>de.Texto</v>
      </c>
      <c r="V63" s="43" t="s">
        <v>80</v>
      </c>
      <c r="W63" s="54" t="str">
        <f t="shared" si="26"/>
        <v>Key-DOCU-63</v>
      </c>
      <c r="X63" s="58" t="s">
        <v>375</v>
      </c>
      <c r="Y63" s="59" t="s">
        <v>317</v>
      </c>
      <c r="Z63" s="43" t="s">
        <v>425</v>
      </c>
      <c r="AA63" s="43" t="str">
        <f t="shared" si="17"/>
        <v>Text and Leader Line - Unique ID Identifier</v>
      </c>
    </row>
    <row r="64" spans="1:27" ht="6" customHeight="1" x14ac:dyDescent="0.25">
      <c r="A64" s="45">
        <v>64</v>
      </c>
      <c r="B64" s="52" t="s">
        <v>635</v>
      </c>
      <c r="C64" s="55" t="s">
        <v>636</v>
      </c>
      <c r="D64" s="55" t="s">
        <v>545</v>
      </c>
      <c r="E64" s="57" t="s">
        <v>121</v>
      </c>
      <c r="F64" s="56" t="s">
        <v>484</v>
      </c>
      <c r="G64" s="46" t="s">
        <v>9</v>
      </c>
      <c r="H64" s="46" t="s">
        <v>9</v>
      </c>
      <c r="I64" s="46" t="s">
        <v>9</v>
      </c>
      <c r="J64" s="46" t="s">
        <v>9</v>
      </c>
      <c r="K64" s="46" t="s">
        <v>9</v>
      </c>
      <c r="L64" s="53" t="str">
        <f t="shared" si="0"/>
        <v>Documentais</v>
      </c>
      <c r="M64" s="53" t="str">
        <f t="shared" si="1"/>
        <v>Elemento.de.Estilização</v>
      </c>
      <c r="N64" s="53" t="str">
        <f t="shared" si="2"/>
        <v>Importação</v>
      </c>
      <c r="O64" s="53" t="str">
        <f t="shared" si="3"/>
        <v>Estilo Importação</v>
      </c>
      <c r="P64" s="53" t="s">
        <v>122</v>
      </c>
      <c r="Q64" s="43" t="str">
        <f t="shared" si="18"/>
        <v>Estilizado de objetos importados</v>
      </c>
      <c r="R64" s="43" t="s">
        <v>9</v>
      </c>
      <c r="S64" s="43" t="str">
        <f t="shared" si="24"/>
        <v>Documentais</v>
      </c>
      <c r="T64" s="43" t="str">
        <f t="shared" si="20"/>
        <v>Elemento.de.Estilização</v>
      </c>
      <c r="U64" s="53" t="str">
        <f t="shared" si="25"/>
        <v>Importação</v>
      </c>
      <c r="V64" s="43" t="s">
        <v>80</v>
      </c>
      <c r="W64" s="54" t="str">
        <f t="shared" si="26"/>
        <v>Key-DOCU-64</v>
      </c>
      <c r="X64" s="58" t="s">
        <v>376</v>
      </c>
      <c r="Y64" s="59" t="s">
        <v>317</v>
      </c>
      <c r="Z64" s="43" t="s">
        <v>425</v>
      </c>
      <c r="AA64" s="43" t="str">
        <f t="shared" si="17"/>
        <v>Styling imported objects</v>
      </c>
    </row>
    <row r="65" spans="1:27" ht="6" customHeight="1" x14ac:dyDescent="0.25">
      <c r="A65" s="45">
        <v>65</v>
      </c>
      <c r="B65" s="52" t="s">
        <v>635</v>
      </c>
      <c r="C65" s="55" t="s">
        <v>636</v>
      </c>
      <c r="D65" s="55" t="s">
        <v>546</v>
      </c>
      <c r="E65" s="55" t="s">
        <v>193</v>
      </c>
      <c r="F65" s="56" t="s">
        <v>486</v>
      </c>
      <c r="G65" s="46" t="s">
        <v>9</v>
      </c>
      <c r="H65" s="46" t="s">
        <v>9</v>
      </c>
      <c r="I65" s="46" t="s">
        <v>9</v>
      </c>
      <c r="J65" s="46" t="s">
        <v>9</v>
      </c>
      <c r="K65" s="46" t="s">
        <v>9</v>
      </c>
      <c r="L65" s="53" t="str">
        <f t="shared" si="0"/>
        <v>Documentais</v>
      </c>
      <c r="M65" s="53" t="str">
        <f t="shared" si="1"/>
        <v>Elemento.de.Legenda</v>
      </c>
      <c r="N65" s="53" t="str">
        <f t="shared" si="2"/>
        <v>Legenda Cromática Duto</v>
      </c>
      <c r="O65" s="53" t="str">
        <f t="shared" si="3"/>
        <v>Dutos Cores Preenchidas Legenda</v>
      </c>
      <c r="P65" s="53" t="s">
        <v>123</v>
      </c>
      <c r="Q65" s="43" t="str">
        <f t="shared" si="18"/>
        <v>Leyenda del Conducto</v>
      </c>
      <c r="R65" s="43" t="s">
        <v>9</v>
      </c>
      <c r="S65" s="43" t="str">
        <f t="shared" si="24"/>
        <v>Documentais</v>
      </c>
      <c r="T65" s="43" t="str">
        <f t="shared" si="20"/>
        <v>Elemento.de.Legenda</v>
      </c>
      <c r="U65" s="53" t="str">
        <f t="shared" si="25"/>
        <v>Legenda.Cromática.Duto</v>
      </c>
      <c r="V65" s="43" t="s">
        <v>80</v>
      </c>
      <c r="W65" s="54" t="str">
        <f t="shared" si="26"/>
        <v>Key-DOCU-65</v>
      </c>
      <c r="X65" s="58" t="s">
        <v>377</v>
      </c>
      <c r="Y65" s="59" t="s">
        <v>317</v>
      </c>
      <c r="Z65" s="43" t="s">
        <v>425</v>
      </c>
      <c r="AA65" s="43" t="str">
        <f t="shared" si="17"/>
        <v>Duct Legend</v>
      </c>
    </row>
    <row r="66" spans="1:27" ht="6" customHeight="1" x14ac:dyDescent="0.25">
      <c r="A66" s="45">
        <v>66</v>
      </c>
      <c r="B66" s="52" t="s">
        <v>635</v>
      </c>
      <c r="C66" s="55" t="s">
        <v>636</v>
      </c>
      <c r="D66" s="55" t="s">
        <v>546</v>
      </c>
      <c r="E66" s="55" t="s">
        <v>193</v>
      </c>
      <c r="F66" s="56" t="s">
        <v>485</v>
      </c>
      <c r="G66" s="46" t="s">
        <v>9</v>
      </c>
      <c r="H66" s="46" t="s">
        <v>9</v>
      </c>
      <c r="I66" s="46" t="s">
        <v>9</v>
      </c>
      <c r="J66" s="46" t="s">
        <v>9</v>
      </c>
      <c r="K66" s="46" t="s">
        <v>9</v>
      </c>
      <c r="L66" s="53" t="str">
        <f t="shared" si="0"/>
        <v>Documentais</v>
      </c>
      <c r="M66" s="53" t="str">
        <f t="shared" si="1"/>
        <v>Elemento.de.Legenda</v>
      </c>
      <c r="N66" s="53" t="str">
        <f t="shared" si="2"/>
        <v>Legenda Cromática Duto</v>
      </c>
      <c r="O66" s="53" t="str">
        <f t="shared" si="3"/>
        <v>Dutos Cores Preenchidas</v>
      </c>
      <c r="P66" s="53" t="s">
        <v>124</v>
      </c>
      <c r="Q66" s="43" t="str">
        <f t="shared" si="18"/>
        <v>Relleno de Color de Conductos</v>
      </c>
      <c r="R66" s="43" t="s">
        <v>9</v>
      </c>
      <c r="S66" s="43" t="str">
        <f t="shared" si="24"/>
        <v>Documentais</v>
      </c>
      <c r="T66" s="43" t="str">
        <f t="shared" si="20"/>
        <v>Elemento.de.Legenda</v>
      </c>
      <c r="U66" s="53" t="str">
        <f t="shared" si="25"/>
        <v>Legenda.Cromática.Duto</v>
      </c>
      <c r="V66" s="43" t="s">
        <v>80</v>
      </c>
      <c r="W66" s="54" t="str">
        <f t="shared" si="26"/>
        <v>Key-DOCU-66</v>
      </c>
      <c r="X66" s="58" t="s">
        <v>378</v>
      </c>
      <c r="Y66" s="59" t="s">
        <v>317</v>
      </c>
      <c r="Z66" s="43" t="s">
        <v>425</v>
      </c>
      <c r="AA66" s="43" t="str">
        <f t="shared" si="17"/>
        <v>Duct Color Filling</v>
      </c>
    </row>
    <row r="67" spans="1:27" ht="6" customHeight="1" x14ac:dyDescent="0.25">
      <c r="A67" s="45">
        <v>67</v>
      </c>
      <c r="B67" s="52" t="s">
        <v>635</v>
      </c>
      <c r="C67" s="55" t="s">
        <v>636</v>
      </c>
      <c r="D67" s="55" t="s">
        <v>546</v>
      </c>
      <c r="E67" s="55" t="s">
        <v>194</v>
      </c>
      <c r="F67" s="56" t="s">
        <v>487</v>
      </c>
      <c r="G67" s="46" t="s">
        <v>9</v>
      </c>
      <c r="H67" s="46" t="s">
        <v>9</v>
      </c>
      <c r="I67" s="46" t="s">
        <v>9</v>
      </c>
      <c r="J67" s="46" t="s">
        <v>9</v>
      </c>
      <c r="K67" s="46" t="s">
        <v>9</v>
      </c>
      <c r="L67" s="53" t="str">
        <f t="shared" si="0"/>
        <v>Documentais</v>
      </c>
      <c r="M67" s="53" t="str">
        <f t="shared" si="1"/>
        <v>Elemento.de.Legenda</v>
      </c>
      <c r="N67" s="53" t="str">
        <f t="shared" si="2"/>
        <v>Legenda Cromática Tubulação</v>
      </c>
      <c r="O67" s="53" t="str">
        <f t="shared" si="3"/>
        <v>Tubos Cores Preenchidas Legenda</v>
      </c>
      <c r="P67" s="53" t="s">
        <v>125</v>
      </c>
      <c r="Q67" s="43" t="str">
        <f t="shared" si="18"/>
        <v>Pipas - Leyendas de colores</v>
      </c>
      <c r="R67" s="43" t="s">
        <v>9</v>
      </c>
      <c r="S67" s="43" t="str">
        <f t="shared" si="24"/>
        <v>Documentais</v>
      </c>
      <c r="T67" s="43" t="str">
        <f t="shared" si="20"/>
        <v>Elemento.de.Legenda</v>
      </c>
      <c r="U67" s="53" t="str">
        <f t="shared" si="25"/>
        <v>Legenda.Cromática.Tubulação</v>
      </c>
      <c r="V67" s="43" t="s">
        <v>80</v>
      </c>
      <c r="W67" s="54" t="str">
        <f t="shared" si="26"/>
        <v>Key-DOCU-67</v>
      </c>
      <c r="X67" s="58" t="s">
        <v>379</v>
      </c>
      <c r="Y67" s="59" t="s">
        <v>317</v>
      </c>
      <c r="Z67" s="43" t="s">
        <v>425</v>
      </c>
      <c r="AA67" s="43" t="str">
        <f t="shared" si="17"/>
        <v>Pipes - Color Legends</v>
      </c>
    </row>
    <row r="68" spans="1:27" ht="6" customHeight="1" x14ac:dyDescent="0.25">
      <c r="A68" s="45">
        <v>68</v>
      </c>
      <c r="B68" s="52" t="s">
        <v>635</v>
      </c>
      <c r="C68" s="55" t="s">
        <v>636</v>
      </c>
      <c r="D68" s="55" t="s">
        <v>546</v>
      </c>
      <c r="E68" s="55" t="s">
        <v>194</v>
      </c>
      <c r="F68" s="56" t="s">
        <v>488</v>
      </c>
      <c r="G68" s="46" t="s">
        <v>9</v>
      </c>
      <c r="H68" s="46" t="s">
        <v>9</v>
      </c>
      <c r="I68" s="46" t="s">
        <v>9</v>
      </c>
      <c r="J68" s="46" t="s">
        <v>9</v>
      </c>
      <c r="K68" s="46" t="s">
        <v>9</v>
      </c>
      <c r="L68" s="53" t="str">
        <f t="shared" ref="L68:L137" si="27">CONCATENATE("", C68)</f>
        <v>Documentais</v>
      </c>
      <c r="M68" s="53" t="str">
        <f t="shared" ref="M68:M137" si="28">CONCATENATE("", D68)</f>
        <v>Elemento.de.Legenda</v>
      </c>
      <c r="N68" s="53" t="str">
        <f t="shared" ref="N68:N137" si="29">(SUBSTITUTE(SUBSTITUTE(CONCATENATE("",E68),"."," ")," De "," de "))</f>
        <v>Legenda Cromática Tubulação</v>
      </c>
      <c r="O68" s="53" t="str">
        <f t="shared" ref="O68:O137" si="30">(SUBSTITUTE(SUBSTITUTE(CONCATENATE("",F68),"."," ")," De "," de "))</f>
        <v>Tubos Cores Preenchidas</v>
      </c>
      <c r="P68" s="53" t="s">
        <v>126</v>
      </c>
      <c r="Q68" s="43" t="str">
        <f t="shared" si="18"/>
        <v>Pipes - Colores</v>
      </c>
      <c r="R68" s="43" t="s">
        <v>9</v>
      </c>
      <c r="S68" s="43" t="str">
        <f t="shared" si="24"/>
        <v>Documentais</v>
      </c>
      <c r="T68" s="43" t="str">
        <f t="shared" si="20"/>
        <v>Elemento.de.Legenda</v>
      </c>
      <c r="U68" s="53" t="str">
        <f t="shared" si="25"/>
        <v>Legenda.Cromática.Tubulação</v>
      </c>
      <c r="V68" s="43" t="s">
        <v>80</v>
      </c>
      <c r="W68" s="54" t="str">
        <f t="shared" si="26"/>
        <v>Key-DOCU-68</v>
      </c>
      <c r="X68" s="58" t="s">
        <v>380</v>
      </c>
      <c r="Y68" s="59" t="s">
        <v>317</v>
      </c>
      <c r="Z68" s="43" t="s">
        <v>425</v>
      </c>
      <c r="AA68" s="43" t="str">
        <f t="shared" si="17"/>
        <v>Pipes - Colors</v>
      </c>
    </row>
    <row r="69" spans="1:27" ht="6" customHeight="1" x14ac:dyDescent="0.25">
      <c r="A69" s="45">
        <v>69</v>
      </c>
      <c r="B69" s="52" t="s">
        <v>635</v>
      </c>
      <c r="C69" s="55" t="s">
        <v>636</v>
      </c>
      <c r="D69" s="55" t="s">
        <v>546</v>
      </c>
      <c r="E69" s="55" t="s">
        <v>195</v>
      </c>
      <c r="F69" s="56" t="s">
        <v>489</v>
      </c>
      <c r="G69" s="46" t="s">
        <v>9</v>
      </c>
      <c r="H69" s="46" t="s">
        <v>9</v>
      </c>
      <c r="I69" s="46" t="s">
        <v>9</v>
      </c>
      <c r="J69" s="46" t="s">
        <v>9</v>
      </c>
      <c r="K69" s="46" t="s">
        <v>9</v>
      </c>
      <c r="L69" s="53" t="str">
        <f t="shared" si="27"/>
        <v>Documentais</v>
      </c>
      <c r="M69" s="53" t="str">
        <f t="shared" si="28"/>
        <v>Elemento.de.Legenda</v>
      </c>
      <c r="N69" s="53" t="str">
        <f t="shared" si="29"/>
        <v>Legenda Cromática Ocupação</v>
      </c>
      <c r="O69" s="53" t="str">
        <f t="shared" si="30"/>
        <v>Ambiente Cores Preenchidas</v>
      </c>
      <c r="P69" s="53" t="s">
        <v>127</v>
      </c>
      <c r="Q69" s="43" t="str">
        <f t="shared" si="18"/>
        <v>Entorno - relleno de color</v>
      </c>
      <c r="R69" s="43" t="s">
        <v>9</v>
      </c>
      <c r="S69" s="43" t="str">
        <f t="shared" si="24"/>
        <v>Documentais</v>
      </c>
      <c r="T69" s="43" t="str">
        <f t="shared" si="20"/>
        <v>Elemento.de.Legenda</v>
      </c>
      <c r="U69" s="53" t="str">
        <f t="shared" si="25"/>
        <v>Legenda.Cromática.Ocupação</v>
      </c>
      <c r="V69" s="43" t="s">
        <v>80</v>
      </c>
      <c r="W69" s="54" t="str">
        <f t="shared" si="26"/>
        <v>Key-DOCU-69</v>
      </c>
      <c r="X69" s="58" t="s">
        <v>381</v>
      </c>
      <c r="Y69" s="59" t="s">
        <v>317</v>
      </c>
      <c r="Z69" s="43" t="s">
        <v>425</v>
      </c>
      <c r="AA69" s="43" t="str">
        <f t="shared" si="17"/>
        <v>Environment - color filling</v>
      </c>
    </row>
    <row r="70" spans="1:27" ht="6" customHeight="1" x14ac:dyDescent="0.25">
      <c r="A70" s="45">
        <v>70</v>
      </c>
      <c r="B70" s="52" t="s">
        <v>635</v>
      </c>
      <c r="C70" s="55" t="s">
        <v>636</v>
      </c>
      <c r="D70" s="55" t="s">
        <v>546</v>
      </c>
      <c r="E70" s="55" t="s">
        <v>195</v>
      </c>
      <c r="F70" s="56" t="s">
        <v>490</v>
      </c>
      <c r="G70" s="46" t="s">
        <v>9</v>
      </c>
      <c r="H70" s="46" t="s">
        <v>9</v>
      </c>
      <c r="I70" s="46" t="s">
        <v>9</v>
      </c>
      <c r="J70" s="46" t="s">
        <v>9</v>
      </c>
      <c r="K70" s="46" t="s">
        <v>9</v>
      </c>
      <c r="L70" s="53" t="str">
        <f t="shared" si="27"/>
        <v>Documentais</v>
      </c>
      <c r="M70" s="53" t="str">
        <f t="shared" si="28"/>
        <v>Elemento.de.Legenda</v>
      </c>
      <c r="N70" s="53" t="str">
        <f t="shared" si="29"/>
        <v>Legenda Cromática Ocupação</v>
      </c>
      <c r="O70" s="53" t="str">
        <f t="shared" si="30"/>
        <v>Áreas Cores Preenchidas</v>
      </c>
      <c r="P70" s="53" t="s">
        <v>128</v>
      </c>
      <c r="Q70" s="43" t="str">
        <f t="shared" si="18"/>
        <v>Áreas de ocupación de edificios - relleno de color</v>
      </c>
      <c r="R70" s="43" t="s">
        <v>9</v>
      </c>
      <c r="S70" s="43" t="str">
        <f t="shared" si="24"/>
        <v>Documentais</v>
      </c>
      <c r="T70" s="43" t="str">
        <f t="shared" si="20"/>
        <v>Elemento.de.Legenda</v>
      </c>
      <c r="U70" s="53" t="str">
        <f t="shared" si="25"/>
        <v>Legenda.Cromática.Ocupação</v>
      </c>
      <c r="V70" s="43" t="s">
        <v>80</v>
      </c>
      <c r="W70" s="54" t="str">
        <f t="shared" si="26"/>
        <v>Key-DOCU-70</v>
      </c>
      <c r="X70" s="58" t="s">
        <v>382</v>
      </c>
      <c r="Y70" s="59" t="s">
        <v>317</v>
      </c>
      <c r="Z70" s="43" t="s">
        <v>425</v>
      </c>
      <c r="AA70" s="43" t="str">
        <f t="shared" si="17"/>
        <v>Building occupation areas - color filling</v>
      </c>
    </row>
    <row r="71" spans="1:27" ht="6" customHeight="1" x14ac:dyDescent="0.25">
      <c r="A71" s="45">
        <v>71</v>
      </c>
      <c r="B71" s="52" t="s">
        <v>635</v>
      </c>
      <c r="C71" s="55" t="s">
        <v>636</v>
      </c>
      <c r="D71" s="55" t="s">
        <v>546</v>
      </c>
      <c r="E71" s="57" t="s">
        <v>196</v>
      </c>
      <c r="F71" s="56" t="s">
        <v>491</v>
      </c>
      <c r="G71" s="46" t="s">
        <v>9</v>
      </c>
      <c r="H71" s="46" t="s">
        <v>9</v>
      </c>
      <c r="I71" s="46" t="s">
        <v>9</v>
      </c>
      <c r="J71" s="46" t="s">
        <v>9</v>
      </c>
      <c r="K71" s="46" t="s">
        <v>9</v>
      </c>
      <c r="L71" s="53" t="str">
        <f t="shared" si="27"/>
        <v>Documentais</v>
      </c>
      <c r="M71" s="53" t="str">
        <f t="shared" si="28"/>
        <v>Elemento.de.Legenda</v>
      </c>
      <c r="N71" s="53" t="str">
        <f t="shared" si="29"/>
        <v>Legenda Cromática Térmica</v>
      </c>
      <c r="O71" s="53" t="str">
        <f t="shared" si="30"/>
        <v>MEP Ambiente Cores Preenchidas</v>
      </c>
      <c r="P71" s="53" t="s">
        <v>129</v>
      </c>
      <c r="Q71" s="43" t="str">
        <f t="shared" si="18"/>
        <v>MEP - Espacios HVAC - Relleno de color</v>
      </c>
      <c r="R71" s="43" t="s">
        <v>9</v>
      </c>
      <c r="S71" s="43" t="str">
        <f t="shared" si="24"/>
        <v>Documentais</v>
      </c>
      <c r="T71" s="43" t="str">
        <f t="shared" si="20"/>
        <v>Elemento.de.Legenda</v>
      </c>
      <c r="U71" s="53" t="str">
        <f t="shared" si="25"/>
        <v>Legenda.Cromática.Térmica</v>
      </c>
      <c r="V71" s="43" t="s">
        <v>80</v>
      </c>
      <c r="W71" s="54" t="str">
        <f t="shared" si="26"/>
        <v>Key-DOCU-71</v>
      </c>
      <c r="X71" s="58" t="s">
        <v>383</v>
      </c>
      <c r="Y71" s="59" t="s">
        <v>317</v>
      </c>
      <c r="Z71" s="43" t="s">
        <v>425</v>
      </c>
      <c r="AA71" s="43" t="str">
        <f t="shared" ref="AA71:AA132" si="31">_xlfn.TRANSLATE(P71,"pt","en")</f>
        <v>MEP - HVAC Spaces - Color Fill</v>
      </c>
    </row>
    <row r="72" spans="1:27" ht="6" customHeight="1" x14ac:dyDescent="0.25">
      <c r="A72" s="45">
        <v>72</v>
      </c>
      <c r="B72" s="52" t="s">
        <v>635</v>
      </c>
      <c r="C72" s="55" t="s">
        <v>636</v>
      </c>
      <c r="D72" s="55" t="s">
        <v>546</v>
      </c>
      <c r="E72" s="57" t="s">
        <v>196</v>
      </c>
      <c r="F72" s="56" t="s">
        <v>492</v>
      </c>
      <c r="G72" s="46" t="s">
        <v>9</v>
      </c>
      <c r="H72" s="46" t="s">
        <v>9</v>
      </c>
      <c r="I72" s="46" t="s">
        <v>9</v>
      </c>
      <c r="J72" s="46" t="s">
        <v>9</v>
      </c>
      <c r="K72" s="46" t="s">
        <v>9</v>
      </c>
      <c r="L72" s="53" t="str">
        <f t="shared" si="27"/>
        <v>Documentais</v>
      </c>
      <c r="M72" s="53" t="str">
        <f t="shared" si="28"/>
        <v>Elemento.de.Legenda</v>
      </c>
      <c r="N72" s="53" t="str">
        <f t="shared" si="29"/>
        <v>Legenda Cromática Térmica</v>
      </c>
      <c r="O72" s="53" t="str">
        <f t="shared" si="30"/>
        <v>AVAC Zonas Cores Preenchidas</v>
      </c>
      <c r="P72" s="53" t="s">
        <v>130</v>
      </c>
      <c r="Q72" s="43" t="str">
        <f t="shared" si="18"/>
        <v>Zonas HVAC - relleno de color</v>
      </c>
      <c r="R72" s="43" t="s">
        <v>9</v>
      </c>
      <c r="S72" s="43" t="str">
        <f t="shared" si="24"/>
        <v>Documentais</v>
      </c>
      <c r="T72" s="43" t="str">
        <f t="shared" si="20"/>
        <v>Elemento.de.Legenda</v>
      </c>
      <c r="U72" s="53" t="str">
        <f t="shared" si="25"/>
        <v>Legenda.Cromática.Térmica</v>
      </c>
      <c r="V72" s="43" t="s">
        <v>80</v>
      </c>
      <c r="W72" s="54" t="str">
        <f t="shared" si="26"/>
        <v>Key-DOCU-72</v>
      </c>
      <c r="X72" s="58" t="s">
        <v>384</v>
      </c>
      <c r="Y72" s="59" t="s">
        <v>317</v>
      </c>
      <c r="Z72" s="43" t="s">
        <v>425</v>
      </c>
      <c r="AA72" s="43" t="str">
        <f t="shared" si="31"/>
        <v>HVAC zones - color fill</v>
      </c>
    </row>
    <row r="73" spans="1:27" ht="6" customHeight="1" x14ac:dyDescent="0.25">
      <c r="A73" s="45">
        <v>73</v>
      </c>
      <c r="B73" s="52" t="s">
        <v>635</v>
      </c>
      <c r="C73" s="55" t="s">
        <v>636</v>
      </c>
      <c r="D73" s="55" t="s">
        <v>546</v>
      </c>
      <c r="E73" s="57" t="s">
        <v>197</v>
      </c>
      <c r="F73" s="56" t="s">
        <v>493</v>
      </c>
      <c r="G73" s="46" t="s">
        <v>9</v>
      </c>
      <c r="H73" s="46" t="s">
        <v>9</v>
      </c>
      <c r="I73" s="46" t="s">
        <v>9</v>
      </c>
      <c r="J73" s="46" t="s">
        <v>9</v>
      </c>
      <c r="K73" s="46" t="s">
        <v>9</v>
      </c>
      <c r="L73" s="53" t="str">
        <f t="shared" si="27"/>
        <v>Documentais</v>
      </c>
      <c r="M73" s="53" t="str">
        <f t="shared" si="28"/>
        <v>Elemento.de.Legenda</v>
      </c>
      <c r="N73" s="53" t="str">
        <f t="shared" si="29"/>
        <v>Legenda Cromática</v>
      </c>
      <c r="O73" s="53" t="str">
        <f t="shared" si="30"/>
        <v>Esquema de Cores</v>
      </c>
      <c r="P73" s="53" t="s">
        <v>131</v>
      </c>
      <c r="Q73" s="43" t="str">
        <f t="shared" ref="Q73:Q139" si="32">_xlfn.TRANSLATE(P73,"pt","es")</f>
        <v>Subtítulos - Esquema de colores</v>
      </c>
      <c r="R73" s="43" t="s">
        <v>9</v>
      </c>
      <c r="S73" s="43" t="str">
        <f t="shared" ref="S73:S104" si="33">SUBSTITUTE(C73, "_", " ")</f>
        <v>Documentais</v>
      </c>
      <c r="T73" s="43" t="str">
        <f t="shared" ref="T73:T140" si="34">SUBSTITUTE(D73, "_", " ")</f>
        <v>Elemento.de.Legenda</v>
      </c>
      <c r="U73" s="53" t="str">
        <f t="shared" ref="U73:U104" si="35">SUBSTITUTE(E73, "_", " ")</f>
        <v>Legenda.Cromática</v>
      </c>
      <c r="V73" s="43" t="s">
        <v>80</v>
      </c>
      <c r="W73" s="54" t="str">
        <f t="shared" si="26"/>
        <v>Key-DOCU-73</v>
      </c>
      <c r="X73" s="58" t="s">
        <v>385</v>
      </c>
      <c r="Y73" s="59" t="s">
        <v>317</v>
      </c>
      <c r="Z73" s="43" t="s">
        <v>425</v>
      </c>
      <c r="AA73" s="43" t="str">
        <f t="shared" si="31"/>
        <v>Subtitles - Color Scheme</v>
      </c>
    </row>
    <row r="74" spans="1:27" ht="6" customHeight="1" x14ac:dyDescent="0.25">
      <c r="A74" s="45">
        <v>74</v>
      </c>
      <c r="B74" s="52" t="s">
        <v>635</v>
      </c>
      <c r="C74" s="55" t="s">
        <v>636</v>
      </c>
      <c r="D74" s="55" t="s">
        <v>546</v>
      </c>
      <c r="E74" s="57" t="s">
        <v>197</v>
      </c>
      <c r="F74" s="56" t="s">
        <v>494</v>
      </c>
      <c r="G74" s="46" t="s">
        <v>9</v>
      </c>
      <c r="H74" s="46" t="s">
        <v>9</v>
      </c>
      <c r="I74" s="46" t="s">
        <v>9</v>
      </c>
      <c r="J74" s="46" t="s">
        <v>9</v>
      </c>
      <c r="K74" s="46" t="s">
        <v>9</v>
      </c>
      <c r="L74" s="53" t="str">
        <f t="shared" si="27"/>
        <v>Documentais</v>
      </c>
      <c r="M74" s="53" t="str">
        <f t="shared" si="28"/>
        <v>Elemento.de.Legenda</v>
      </c>
      <c r="N74" s="53" t="str">
        <f t="shared" si="29"/>
        <v>Legenda Cromática</v>
      </c>
      <c r="O74" s="53" t="str">
        <f t="shared" si="30"/>
        <v>Componente Legenda</v>
      </c>
      <c r="P74" s="53" t="s">
        <v>132</v>
      </c>
      <c r="Q74" s="43" t="str">
        <f t="shared" si="32"/>
        <v>Legend de componentes</v>
      </c>
      <c r="R74" s="43" t="s">
        <v>9</v>
      </c>
      <c r="S74" s="43" t="str">
        <f t="shared" si="33"/>
        <v>Documentais</v>
      </c>
      <c r="T74" s="43" t="str">
        <f t="shared" si="34"/>
        <v>Elemento.de.Legenda</v>
      </c>
      <c r="U74" s="53" t="str">
        <f t="shared" si="35"/>
        <v>Legenda.Cromática</v>
      </c>
      <c r="V74" s="43" t="s">
        <v>80</v>
      </c>
      <c r="W74" s="54" t="str">
        <f t="shared" si="26"/>
        <v>Key-DOCU-74</v>
      </c>
      <c r="X74" s="58" t="s">
        <v>386</v>
      </c>
      <c r="Y74" s="59" t="s">
        <v>317</v>
      </c>
      <c r="Z74" s="43" t="s">
        <v>425</v>
      </c>
      <c r="AA74" s="43" t="str">
        <f t="shared" si="31"/>
        <v>Component Legend</v>
      </c>
    </row>
    <row r="75" spans="1:27" ht="6" customHeight="1" x14ac:dyDescent="0.25">
      <c r="A75" s="45">
        <v>75</v>
      </c>
      <c r="B75" s="52" t="s">
        <v>635</v>
      </c>
      <c r="C75" s="55" t="s">
        <v>636</v>
      </c>
      <c r="D75" s="55" t="s">
        <v>547</v>
      </c>
      <c r="E75" s="55" t="s">
        <v>532</v>
      </c>
      <c r="F75" s="56" t="s">
        <v>136</v>
      </c>
      <c r="G75" s="46" t="s">
        <v>9</v>
      </c>
      <c r="H75" s="46" t="s">
        <v>9</v>
      </c>
      <c r="I75" s="46" t="s">
        <v>9</v>
      </c>
      <c r="J75" s="46" t="s">
        <v>9</v>
      </c>
      <c r="K75" s="46" t="s">
        <v>9</v>
      </c>
      <c r="L75" s="53" t="str">
        <f t="shared" si="27"/>
        <v>Documentais</v>
      </c>
      <c r="M75" s="53" t="str">
        <f t="shared" si="28"/>
        <v>Elemento.de.Modelado</v>
      </c>
      <c r="N75" s="53" t="str">
        <f t="shared" si="29"/>
        <v>Contornos</v>
      </c>
      <c r="O75" s="53" t="str">
        <f t="shared" si="30"/>
        <v>Linhas</v>
      </c>
      <c r="P75" s="53" t="s">
        <v>136</v>
      </c>
      <c r="Q75" s="43" t="str">
        <f t="shared" si="32"/>
        <v>Líneas</v>
      </c>
      <c r="R75" s="43" t="s">
        <v>9</v>
      </c>
      <c r="S75" s="43" t="str">
        <f t="shared" si="33"/>
        <v>Documentais</v>
      </c>
      <c r="T75" s="43" t="str">
        <f t="shared" si="34"/>
        <v>Elemento.de.Modelado</v>
      </c>
      <c r="U75" s="53" t="str">
        <f t="shared" si="35"/>
        <v>Contornos</v>
      </c>
      <c r="V75" s="43" t="s">
        <v>80</v>
      </c>
      <c r="W75" s="54" t="str">
        <f t="shared" si="26"/>
        <v>Key-DOCU-75</v>
      </c>
      <c r="X75" s="58" t="s">
        <v>390</v>
      </c>
      <c r="Y75" s="59" t="s">
        <v>429</v>
      </c>
      <c r="Z75" s="43" t="s">
        <v>425</v>
      </c>
      <c r="AA75" s="43" t="str">
        <f t="shared" ref="AA75" si="36">_xlfn.TRANSLATE(P75,"pt","en")</f>
        <v>Lines</v>
      </c>
    </row>
    <row r="76" spans="1:27" ht="6" customHeight="1" x14ac:dyDescent="0.25">
      <c r="A76" s="45">
        <v>76</v>
      </c>
      <c r="B76" s="52" t="s">
        <v>635</v>
      </c>
      <c r="C76" s="55" t="s">
        <v>636</v>
      </c>
      <c r="D76" s="55" t="s">
        <v>547</v>
      </c>
      <c r="E76" s="55" t="s">
        <v>532</v>
      </c>
      <c r="F76" s="56" t="s">
        <v>529</v>
      </c>
      <c r="G76" s="46" t="s">
        <v>9</v>
      </c>
      <c r="H76" s="46" t="s">
        <v>9</v>
      </c>
      <c r="I76" s="46" t="s">
        <v>9</v>
      </c>
      <c r="J76" s="46" t="s">
        <v>9</v>
      </c>
      <c r="K76" s="46" t="s">
        <v>9</v>
      </c>
      <c r="L76" s="53" t="str">
        <f t="shared" si="27"/>
        <v>Documentais</v>
      </c>
      <c r="M76" s="53" t="str">
        <f t="shared" si="28"/>
        <v>Elemento.de.Modelado</v>
      </c>
      <c r="N76" s="53" t="str">
        <f t="shared" si="29"/>
        <v>Contornos</v>
      </c>
      <c r="O76" s="53" t="str">
        <f t="shared" si="30"/>
        <v>Linhas Nuvem</v>
      </c>
      <c r="P76" s="53" t="s">
        <v>133</v>
      </c>
      <c r="Q76" s="43" t="str">
        <f t="shared" si="32"/>
        <v>Líneas - Líneas de Llamada a las Líneas de Nube</v>
      </c>
      <c r="R76" s="43" t="s">
        <v>9</v>
      </c>
      <c r="S76" s="43" t="str">
        <f t="shared" si="33"/>
        <v>Documentais</v>
      </c>
      <c r="T76" s="43" t="str">
        <f t="shared" si="34"/>
        <v>Elemento.de.Modelado</v>
      </c>
      <c r="U76" s="53" t="str">
        <f t="shared" si="35"/>
        <v>Contornos</v>
      </c>
      <c r="V76" s="43" t="s">
        <v>80</v>
      </c>
      <c r="W76" s="54" t="str">
        <f t="shared" si="26"/>
        <v>Key-DOCU-76</v>
      </c>
      <c r="X76" s="58" t="s">
        <v>387</v>
      </c>
      <c r="Y76" s="59" t="s">
        <v>317</v>
      </c>
      <c r="Z76" s="43" t="s">
        <v>425</v>
      </c>
      <c r="AA76" s="43" t="str">
        <f t="shared" si="31"/>
        <v>Lines - Call Cloud Lines</v>
      </c>
    </row>
    <row r="77" spans="1:27" ht="6" customHeight="1" x14ac:dyDescent="0.25">
      <c r="A77" s="45">
        <v>77</v>
      </c>
      <c r="B77" s="52" t="s">
        <v>635</v>
      </c>
      <c r="C77" s="55" t="s">
        <v>636</v>
      </c>
      <c r="D77" s="55" t="s">
        <v>547</v>
      </c>
      <c r="E77" s="55" t="s">
        <v>532</v>
      </c>
      <c r="F77" s="56" t="s">
        <v>530</v>
      </c>
      <c r="G77" s="46" t="s">
        <v>9</v>
      </c>
      <c r="H77" s="46" t="s">
        <v>9</v>
      </c>
      <c r="I77" s="46" t="s">
        <v>9</v>
      </c>
      <c r="J77" s="46" t="s">
        <v>9</v>
      </c>
      <c r="K77" s="46" t="s">
        <v>9</v>
      </c>
      <c r="L77" s="53" t="str">
        <f t="shared" si="27"/>
        <v>Documentais</v>
      </c>
      <c r="M77" s="53" t="str">
        <f t="shared" si="28"/>
        <v>Elemento.de.Modelado</v>
      </c>
      <c r="N77" s="53" t="str">
        <f t="shared" si="29"/>
        <v>Contornos</v>
      </c>
      <c r="O77" s="53" t="str">
        <f t="shared" si="30"/>
        <v>Linhas Direção</v>
      </c>
      <c r="P77" s="53" t="s">
        <v>134</v>
      </c>
      <c r="Q77" s="43" t="str">
        <f t="shared" si="32"/>
        <v>Línea direccional de los bordes</v>
      </c>
      <c r="R77" s="43" t="s">
        <v>9</v>
      </c>
      <c r="S77" s="43" t="str">
        <f t="shared" si="33"/>
        <v>Documentais</v>
      </c>
      <c r="T77" s="43" t="str">
        <f t="shared" si="34"/>
        <v>Elemento.de.Modelado</v>
      </c>
      <c r="U77" s="53" t="str">
        <f t="shared" si="35"/>
        <v>Contornos</v>
      </c>
      <c r="V77" s="43" t="s">
        <v>80</v>
      </c>
      <c r="W77" s="54" t="str">
        <f t="shared" si="26"/>
        <v>Key-DOCU-77</v>
      </c>
      <c r="X77" s="58" t="s">
        <v>388</v>
      </c>
      <c r="Y77" s="59" t="s">
        <v>317</v>
      </c>
      <c r="Z77" s="43" t="s">
        <v>425</v>
      </c>
      <c r="AA77" s="43" t="str">
        <f t="shared" si="31"/>
        <v>Direction line of the edges</v>
      </c>
    </row>
    <row r="78" spans="1:27" ht="6" customHeight="1" x14ac:dyDescent="0.25">
      <c r="A78" s="45">
        <v>78</v>
      </c>
      <c r="B78" s="52" t="s">
        <v>635</v>
      </c>
      <c r="C78" s="55" t="s">
        <v>636</v>
      </c>
      <c r="D78" s="55" t="s">
        <v>547</v>
      </c>
      <c r="E78" s="55" t="s">
        <v>532</v>
      </c>
      <c r="F78" s="56" t="s">
        <v>531</v>
      </c>
      <c r="G78" s="46" t="s">
        <v>9</v>
      </c>
      <c r="H78" s="46" t="s">
        <v>9</v>
      </c>
      <c r="I78" s="46" t="s">
        <v>9</v>
      </c>
      <c r="J78" s="46" t="s">
        <v>9</v>
      </c>
      <c r="K78" s="46" t="s">
        <v>9</v>
      </c>
      <c r="L78" s="53" t="str">
        <f t="shared" si="27"/>
        <v>Documentais</v>
      </c>
      <c r="M78" s="53" t="str">
        <f t="shared" si="28"/>
        <v>Elemento.de.Modelado</v>
      </c>
      <c r="N78" s="53" t="str">
        <f t="shared" si="29"/>
        <v>Contornos</v>
      </c>
      <c r="O78" s="53" t="str">
        <f t="shared" si="30"/>
        <v>Linhas Genéricas</v>
      </c>
      <c r="P78" s="53" t="s">
        <v>135</v>
      </c>
      <c r="Q78" s="43" t="str">
        <f t="shared" si="32"/>
        <v>Líneas genéricas</v>
      </c>
      <c r="R78" s="43" t="s">
        <v>9</v>
      </c>
      <c r="S78" s="43" t="str">
        <f t="shared" si="33"/>
        <v>Documentais</v>
      </c>
      <c r="T78" s="43" t="str">
        <f t="shared" si="34"/>
        <v>Elemento.de.Modelado</v>
      </c>
      <c r="U78" s="53" t="str">
        <f t="shared" si="35"/>
        <v>Contornos</v>
      </c>
      <c r="V78" s="43" t="s">
        <v>80</v>
      </c>
      <c r="W78" s="54" t="str">
        <f t="shared" si="26"/>
        <v>Key-DOCU-78</v>
      </c>
      <c r="X78" s="58" t="s">
        <v>389</v>
      </c>
      <c r="Y78" s="59" t="s">
        <v>317</v>
      </c>
      <c r="Z78" s="43" t="s">
        <v>425</v>
      </c>
      <c r="AA78" s="43" t="str">
        <f t="shared" si="31"/>
        <v>Generic lines</v>
      </c>
    </row>
    <row r="79" spans="1:27" ht="6" customHeight="1" x14ac:dyDescent="0.25">
      <c r="A79" s="45">
        <v>79</v>
      </c>
      <c r="B79" s="52" t="s">
        <v>635</v>
      </c>
      <c r="C79" s="55" t="s">
        <v>636</v>
      </c>
      <c r="D79" s="55" t="s">
        <v>547</v>
      </c>
      <c r="E79" s="57" t="s">
        <v>573</v>
      </c>
      <c r="F79" s="56" t="s">
        <v>495</v>
      </c>
      <c r="G79" s="46" t="s">
        <v>9</v>
      </c>
      <c r="H79" s="46" t="s">
        <v>9</v>
      </c>
      <c r="I79" s="46" t="s">
        <v>9</v>
      </c>
      <c r="J79" s="46" t="s">
        <v>9</v>
      </c>
      <c r="K79" s="46" t="s">
        <v>9</v>
      </c>
      <c r="L79" s="53" t="str">
        <f t="shared" si="27"/>
        <v>Documentais</v>
      </c>
      <c r="M79" s="53" t="str">
        <f t="shared" si="28"/>
        <v>Elemento.de.Modelado</v>
      </c>
      <c r="N79" s="53" t="str">
        <f t="shared" si="29"/>
        <v>Indefinidos</v>
      </c>
      <c r="O79" s="53" t="str">
        <f t="shared" si="30"/>
        <v>Deslocamentos Elementos</v>
      </c>
      <c r="P79" s="53" t="s">
        <v>138</v>
      </c>
      <c r="Q79" s="43" t="str">
        <f t="shared" si="32"/>
        <v>Valor de desplazamiento</v>
      </c>
      <c r="R79" s="43" t="s">
        <v>9</v>
      </c>
      <c r="S79" s="43" t="str">
        <f t="shared" si="33"/>
        <v>Documentais</v>
      </c>
      <c r="T79" s="43" t="str">
        <f t="shared" si="34"/>
        <v>Elemento.de.Modelado</v>
      </c>
      <c r="U79" s="53" t="str">
        <f t="shared" si="35"/>
        <v>Indefinidos</v>
      </c>
      <c r="V79" s="43" t="s">
        <v>80</v>
      </c>
      <c r="W79" s="54" t="str">
        <f t="shared" si="26"/>
        <v>Key-DOCU-79</v>
      </c>
      <c r="X79" s="58" t="s">
        <v>436</v>
      </c>
      <c r="Y79" s="59" t="s">
        <v>317</v>
      </c>
      <c r="Z79" s="43" t="s">
        <v>425</v>
      </c>
      <c r="AA79" s="43" t="str">
        <f t="shared" si="31"/>
        <v>Displacement value</v>
      </c>
    </row>
    <row r="80" spans="1:27" ht="6" customHeight="1" x14ac:dyDescent="0.25">
      <c r="A80" s="45">
        <v>80</v>
      </c>
      <c r="B80" s="52" t="s">
        <v>635</v>
      </c>
      <c r="C80" s="55" t="s">
        <v>636</v>
      </c>
      <c r="D80" s="55" t="s">
        <v>547</v>
      </c>
      <c r="E80" s="57" t="s">
        <v>573</v>
      </c>
      <c r="F80" s="56" t="s">
        <v>496</v>
      </c>
      <c r="G80" s="46" t="s">
        <v>9</v>
      </c>
      <c r="H80" s="46" t="s">
        <v>9</v>
      </c>
      <c r="I80" s="46" t="s">
        <v>9</v>
      </c>
      <c r="J80" s="46" t="s">
        <v>9</v>
      </c>
      <c r="K80" s="46" t="s">
        <v>9</v>
      </c>
      <c r="L80" s="53" t="str">
        <f t="shared" si="27"/>
        <v>Documentais</v>
      </c>
      <c r="M80" s="53" t="str">
        <f t="shared" si="28"/>
        <v>Elemento.de.Modelado</v>
      </c>
      <c r="N80" s="53" t="str">
        <f t="shared" si="29"/>
        <v>Indefinidos</v>
      </c>
      <c r="O80" s="53" t="str">
        <f t="shared" si="30"/>
        <v>Deslocamentos Caminho</v>
      </c>
      <c r="P80" s="53" t="s">
        <v>139</v>
      </c>
      <c r="Q80" s="43" t="str">
        <f t="shared" si="32"/>
        <v>Trayectoria de desplazamiento</v>
      </c>
      <c r="R80" s="43" t="s">
        <v>9</v>
      </c>
      <c r="S80" s="43" t="str">
        <f t="shared" si="33"/>
        <v>Documentais</v>
      </c>
      <c r="T80" s="43" t="str">
        <f t="shared" si="34"/>
        <v>Elemento.de.Modelado</v>
      </c>
      <c r="U80" s="53" t="str">
        <f t="shared" si="35"/>
        <v>Indefinidos</v>
      </c>
      <c r="V80" s="43" t="s">
        <v>80</v>
      </c>
      <c r="W80" s="54" t="str">
        <f t="shared" si="26"/>
        <v>Key-DOCU-80</v>
      </c>
      <c r="X80" s="58" t="s">
        <v>437</v>
      </c>
      <c r="Y80" s="59" t="s">
        <v>317</v>
      </c>
      <c r="Z80" s="43" t="s">
        <v>425</v>
      </c>
      <c r="AA80" s="43" t="str">
        <f t="shared" si="31"/>
        <v>Displacement path</v>
      </c>
    </row>
    <row r="81" spans="1:27" ht="6" customHeight="1" x14ac:dyDescent="0.25">
      <c r="A81" s="45">
        <v>81</v>
      </c>
      <c r="B81" s="52" t="s">
        <v>635</v>
      </c>
      <c r="C81" s="55" t="s">
        <v>636</v>
      </c>
      <c r="D81" s="55" t="s">
        <v>547</v>
      </c>
      <c r="E81" s="57" t="s">
        <v>573</v>
      </c>
      <c r="F81" s="56" t="s">
        <v>497</v>
      </c>
      <c r="G81" s="46" t="s">
        <v>9</v>
      </c>
      <c r="H81" s="46" t="s">
        <v>9</v>
      </c>
      <c r="I81" s="46" t="s">
        <v>9</v>
      </c>
      <c r="J81" s="46" t="s">
        <v>9</v>
      </c>
      <c r="K81" s="46" t="s">
        <v>9</v>
      </c>
      <c r="L81" s="53" t="str">
        <f t="shared" si="27"/>
        <v>Documentais</v>
      </c>
      <c r="M81" s="53" t="str">
        <f t="shared" si="28"/>
        <v>Elemento.de.Modelado</v>
      </c>
      <c r="N81" s="53" t="str">
        <f t="shared" si="29"/>
        <v>Indefinidos</v>
      </c>
      <c r="O81" s="53" t="str">
        <f t="shared" si="30"/>
        <v>Conector Aberto Warning</v>
      </c>
      <c r="P81" s="53" t="s">
        <v>140</v>
      </c>
      <c r="Q81" s="43" t="str">
        <f t="shared" si="32"/>
        <v>Advertencia gráfica - Abierto</v>
      </c>
      <c r="R81" s="43" t="s">
        <v>9</v>
      </c>
      <c r="S81" s="43" t="str">
        <f t="shared" si="33"/>
        <v>Documentais</v>
      </c>
      <c r="T81" s="43" t="str">
        <f t="shared" si="34"/>
        <v>Elemento.de.Modelado</v>
      </c>
      <c r="U81" s="53" t="str">
        <f t="shared" si="35"/>
        <v>Indefinidos</v>
      </c>
      <c r="V81" s="43" t="s">
        <v>80</v>
      </c>
      <c r="W81" s="54" t="str">
        <f t="shared" si="26"/>
        <v>Key-DOCU-81</v>
      </c>
      <c r="X81" s="58" t="s">
        <v>392</v>
      </c>
      <c r="Y81" s="59" t="s">
        <v>317</v>
      </c>
      <c r="Z81" s="43" t="s">
        <v>425</v>
      </c>
      <c r="AA81" s="43" t="str">
        <f t="shared" si="31"/>
        <v>Graphic warning - Open</v>
      </c>
    </row>
    <row r="82" spans="1:27" ht="6" customHeight="1" x14ac:dyDescent="0.25">
      <c r="A82" s="45">
        <v>82</v>
      </c>
      <c r="B82" s="52" t="s">
        <v>635</v>
      </c>
      <c r="C82" s="55" t="s">
        <v>636</v>
      </c>
      <c r="D82" s="55" t="s">
        <v>547</v>
      </c>
      <c r="E82" s="57" t="s">
        <v>573</v>
      </c>
      <c r="F82" s="56" t="s">
        <v>498</v>
      </c>
      <c r="G82" s="46" t="s">
        <v>9</v>
      </c>
      <c r="H82" s="46" t="s">
        <v>9</v>
      </c>
      <c r="I82" s="46" t="s">
        <v>9</v>
      </c>
      <c r="J82" s="46" t="s">
        <v>9</v>
      </c>
      <c r="K82" s="46" t="s">
        <v>9</v>
      </c>
      <c r="L82" s="53" t="str">
        <f t="shared" si="27"/>
        <v>Documentais</v>
      </c>
      <c r="M82" s="53" t="str">
        <f t="shared" si="28"/>
        <v>Elemento.de.Modelado</v>
      </c>
      <c r="N82" s="53" t="str">
        <f t="shared" si="29"/>
        <v>Indefinidos</v>
      </c>
      <c r="O82" s="53" t="str">
        <f t="shared" si="30"/>
        <v>Imagem Raster</v>
      </c>
      <c r="P82" s="53" t="s">
        <v>141</v>
      </c>
      <c r="Q82" s="43" t="str">
        <f t="shared" si="32"/>
        <v>Imagen raster o bitmap insertada en el modelo</v>
      </c>
      <c r="R82" s="43" t="s">
        <v>9</v>
      </c>
      <c r="S82" s="43" t="str">
        <f t="shared" si="33"/>
        <v>Documentais</v>
      </c>
      <c r="T82" s="43" t="str">
        <f t="shared" si="34"/>
        <v>Elemento.de.Modelado</v>
      </c>
      <c r="U82" s="53" t="str">
        <f t="shared" si="35"/>
        <v>Indefinidos</v>
      </c>
      <c r="V82" s="43" t="s">
        <v>80</v>
      </c>
      <c r="W82" s="54" t="str">
        <f t="shared" si="26"/>
        <v>Key-DOCU-82</v>
      </c>
      <c r="X82" s="58" t="s">
        <v>393</v>
      </c>
      <c r="Y82" s="59" t="s">
        <v>317</v>
      </c>
      <c r="Z82" s="43" t="s">
        <v>425</v>
      </c>
      <c r="AA82" s="43" t="str">
        <f t="shared" si="31"/>
        <v>Raster or bitmap image inserted into the model</v>
      </c>
    </row>
    <row r="83" spans="1:27" ht="6" customHeight="1" x14ac:dyDescent="0.25">
      <c r="A83" s="45">
        <v>83</v>
      </c>
      <c r="B83" s="52" t="s">
        <v>635</v>
      </c>
      <c r="C83" s="55" t="s">
        <v>636</v>
      </c>
      <c r="D83" s="55" t="s">
        <v>547</v>
      </c>
      <c r="E83" s="57" t="s">
        <v>573</v>
      </c>
      <c r="F83" s="56" t="s">
        <v>499</v>
      </c>
      <c r="G83" s="46" t="s">
        <v>9</v>
      </c>
      <c r="H83" s="46" t="s">
        <v>9</v>
      </c>
      <c r="I83" s="46" t="s">
        <v>9</v>
      </c>
      <c r="J83" s="46" t="s">
        <v>9</v>
      </c>
      <c r="K83" s="46" t="s">
        <v>9</v>
      </c>
      <c r="L83" s="53" t="str">
        <f t="shared" si="27"/>
        <v>Documentais</v>
      </c>
      <c r="M83" s="53" t="str">
        <f t="shared" si="28"/>
        <v>Elemento.de.Modelado</v>
      </c>
      <c r="N83" s="53" t="str">
        <f t="shared" si="29"/>
        <v>Indefinidos</v>
      </c>
      <c r="O83" s="53" t="str">
        <f t="shared" si="30"/>
        <v>Símbolo Drop Rise</v>
      </c>
      <c r="P83" s="53" t="s">
        <v>142</v>
      </c>
      <c r="Q83" s="43" t="str">
        <f t="shared" si="32"/>
        <v>Símbolo de ascenso o descenso en tubos - Yin y Yang</v>
      </c>
      <c r="R83" s="43" t="s">
        <v>9</v>
      </c>
      <c r="S83" s="43" t="str">
        <f t="shared" si="33"/>
        <v>Documentais</v>
      </c>
      <c r="T83" s="43" t="str">
        <f t="shared" si="34"/>
        <v>Elemento.de.Modelado</v>
      </c>
      <c r="U83" s="53" t="str">
        <f t="shared" si="35"/>
        <v>Indefinidos</v>
      </c>
      <c r="V83" s="43" t="s">
        <v>80</v>
      </c>
      <c r="W83" s="54" t="str">
        <f t="shared" si="26"/>
        <v>Key-DOCU-83</v>
      </c>
      <c r="X83" s="58" t="s">
        <v>394</v>
      </c>
      <c r="Y83" s="59" t="s">
        <v>317</v>
      </c>
      <c r="Z83" s="43" t="s">
        <v>425</v>
      </c>
      <c r="AA83" s="43" t="str">
        <f t="shared" si="31"/>
        <v>Symbol of ascent or descent in tubes - Yin and Yang</v>
      </c>
    </row>
    <row r="84" spans="1:27" ht="6" customHeight="1" x14ac:dyDescent="0.25">
      <c r="A84" s="45">
        <v>84</v>
      </c>
      <c r="B84" s="52" t="s">
        <v>635</v>
      </c>
      <c r="C84" s="55" t="s">
        <v>636</v>
      </c>
      <c r="D84" s="55" t="s">
        <v>547</v>
      </c>
      <c r="E84" s="57" t="s">
        <v>573</v>
      </c>
      <c r="F84" s="56" t="s">
        <v>500</v>
      </c>
      <c r="G84" s="46" t="s">
        <v>9</v>
      </c>
      <c r="H84" s="46" t="s">
        <v>9</v>
      </c>
      <c r="I84" s="46" t="s">
        <v>9</v>
      </c>
      <c r="J84" s="46" t="s">
        <v>9</v>
      </c>
      <c r="K84" s="46" t="s">
        <v>9</v>
      </c>
      <c r="L84" s="53" t="str">
        <f t="shared" si="27"/>
        <v>Documentais</v>
      </c>
      <c r="M84" s="53" t="str">
        <f t="shared" si="28"/>
        <v>Elemento.de.Modelado</v>
      </c>
      <c r="N84" s="53" t="str">
        <f t="shared" si="29"/>
        <v>Indefinidos</v>
      </c>
      <c r="O84" s="53" t="str">
        <f t="shared" si="30"/>
        <v>Guia de Paginação</v>
      </c>
      <c r="P84" s="53" t="s">
        <v>143</v>
      </c>
      <c r="Q84" s="43" t="str">
        <f t="shared" si="32"/>
        <v>Guías de ejes estructurales</v>
      </c>
      <c r="R84" s="43" t="s">
        <v>9</v>
      </c>
      <c r="S84" s="43" t="str">
        <f t="shared" si="33"/>
        <v>Documentais</v>
      </c>
      <c r="T84" s="43" t="str">
        <f t="shared" si="34"/>
        <v>Elemento.de.Modelado</v>
      </c>
      <c r="U84" s="53" t="str">
        <f t="shared" si="35"/>
        <v>Indefinidos</v>
      </c>
      <c r="V84" s="43" t="s">
        <v>80</v>
      </c>
      <c r="W84" s="54" t="str">
        <f t="shared" si="26"/>
        <v>Key-DOCU-84</v>
      </c>
      <c r="X84" s="58" t="s">
        <v>395</v>
      </c>
      <c r="Y84" s="59" t="s">
        <v>317</v>
      </c>
      <c r="Z84" s="43" t="s">
        <v>425</v>
      </c>
      <c r="AA84" s="43" t="str">
        <f t="shared" si="31"/>
        <v>Structural axis guides</v>
      </c>
    </row>
    <row r="85" spans="1:27" ht="6" customHeight="1" x14ac:dyDescent="0.25">
      <c r="A85" s="45">
        <v>85</v>
      </c>
      <c r="B85" s="52" t="s">
        <v>635</v>
      </c>
      <c r="C85" s="55" t="s">
        <v>636</v>
      </c>
      <c r="D85" s="55" t="s">
        <v>548</v>
      </c>
      <c r="E85" s="57" t="s">
        <v>572</v>
      </c>
      <c r="F85" s="56" t="s">
        <v>152</v>
      </c>
      <c r="G85" s="46" t="s">
        <v>9</v>
      </c>
      <c r="H85" s="46" t="s">
        <v>9</v>
      </c>
      <c r="I85" s="46" t="s">
        <v>9</v>
      </c>
      <c r="J85" s="46" t="s">
        <v>9</v>
      </c>
      <c r="K85" s="46" t="s">
        <v>9</v>
      </c>
      <c r="L85" s="53" t="str">
        <f t="shared" ref="L85:L86" si="37">CONCATENATE("", C85)</f>
        <v>Documentais</v>
      </c>
      <c r="M85" s="53" t="str">
        <f t="shared" ref="M85:M86" si="38">CONCATENATE("", D85)</f>
        <v>Elemento.de.Pranchas</v>
      </c>
      <c r="N85" s="53" t="str">
        <f t="shared" ref="N85:N86" si="39">(SUBSTITUTE(SUBSTITUTE(CONCATENATE("",E85),"."," ")," De "," de "))</f>
        <v>Margens</v>
      </c>
      <c r="O85" s="53" t="str">
        <f t="shared" ref="O85:O86" si="40">(SUBSTITUTE(SUBSTITUTE(CONCATENATE("",F85),"."," ")," De "," de "))</f>
        <v>Margem</v>
      </c>
      <c r="P85" s="53" t="s">
        <v>153</v>
      </c>
      <c r="Q85" s="43" t="str">
        <f t="shared" si="32"/>
        <v>Sábanas o tablas</v>
      </c>
      <c r="R85" s="43" t="s">
        <v>9</v>
      </c>
      <c r="S85" s="43" t="str">
        <f t="shared" si="33"/>
        <v>Documentais</v>
      </c>
      <c r="T85" s="43" t="str">
        <f t="shared" ref="T85:T86" si="41">SUBSTITUTE(D85, "_", " ")</f>
        <v>Elemento.de.Pranchas</v>
      </c>
      <c r="U85" s="53" t="str">
        <f t="shared" si="35"/>
        <v>Margens</v>
      </c>
      <c r="V85" s="43" t="s">
        <v>80</v>
      </c>
      <c r="W85" s="54" t="str">
        <f t="shared" si="26"/>
        <v>Key-DOCU-85</v>
      </c>
      <c r="X85" s="58" t="s">
        <v>398</v>
      </c>
      <c r="Y85" s="59" t="s">
        <v>317</v>
      </c>
      <c r="Z85" s="43" t="s">
        <v>425</v>
      </c>
      <c r="AA85" s="43" t="str">
        <f t="shared" si="31"/>
        <v>Sheets or planks</v>
      </c>
    </row>
    <row r="86" spans="1:27" ht="6" customHeight="1" x14ac:dyDescent="0.25">
      <c r="A86" s="45">
        <v>86</v>
      </c>
      <c r="B86" s="52" t="s">
        <v>635</v>
      </c>
      <c r="C86" s="55" t="s">
        <v>636</v>
      </c>
      <c r="D86" s="55" t="s">
        <v>548</v>
      </c>
      <c r="E86" s="57" t="s">
        <v>572</v>
      </c>
      <c r="F86" s="56" t="s">
        <v>144</v>
      </c>
      <c r="G86" s="46" t="s">
        <v>9</v>
      </c>
      <c r="H86" s="46" t="s">
        <v>9</v>
      </c>
      <c r="I86" s="46" t="s">
        <v>9</v>
      </c>
      <c r="J86" s="46" t="s">
        <v>9</v>
      </c>
      <c r="K86" s="46" t="s">
        <v>9</v>
      </c>
      <c r="L86" s="53" t="str">
        <f t="shared" si="37"/>
        <v>Documentais</v>
      </c>
      <c r="M86" s="53" t="str">
        <f t="shared" si="38"/>
        <v>Elemento.de.Pranchas</v>
      </c>
      <c r="N86" s="53" t="str">
        <f t="shared" si="39"/>
        <v>Margens</v>
      </c>
      <c r="O86" s="53" t="str">
        <f t="shared" si="40"/>
        <v>Prancha</v>
      </c>
      <c r="P86" s="53" t="s">
        <v>153</v>
      </c>
      <c r="Q86" s="43" t="str">
        <f t="shared" si="32"/>
        <v>Sábanas o tablas</v>
      </c>
      <c r="R86" s="43" t="s">
        <v>9</v>
      </c>
      <c r="S86" s="43" t="str">
        <f t="shared" si="33"/>
        <v>Documentais</v>
      </c>
      <c r="T86" s="43" t="str">
        <f t="shared" si="41"/>
        <v>Elemento.de.Pranchas</v>
      </c>
      <c r="U86" s="53" t="str">
        <f t="shared" si="35"/>
        <v>Margens</v>
      </c>
      <c r="V86" s="43" t="s">
        <v>80</v>
      </c>
      <c r="W86" s="54" t="str">
        <f t="shared" si="26"/>
        <v>Key-DOCU-86</v>
      </c>
      <c r="X86" s="58" t="s">
        <v>398</v>
      </c>
      <c r="Y86" s="59" t="s">
        <v>317</v>
      </c>
      <c r="Z86" s="43" t="s">
        <v>425</v>
      </c>
      <c r="AA86" s="43" t="str">
        <f t="shared" si="31"/>
        <v>Sheets or planks</v>
      </c>
    </row>
    <row r="87" spans="1:27" ht="6" customHeight="1" x14ac:dyDescent="0.25">
      <c r="A87" s="45">
        <v>87</v>
      </c>
      <c r="B87" s="52" t="s">
        <v>635</v>
      </c>
      <c r="C87" s="55" t="s">
        <v>636</v>
      </c>
      <c r="D87" s="55" t="s">
        <v>548</v>
      </c>
      <c r="E87" s="57" t="s">
        <v>572</v>
      </c>
      <c r="F87" s="56" t="s">
        <v>561</v>
      </c>
      <c r="G87" s="46" t="s">
        <v>9</v>
      </c>
      <c r="H87" s="46" t="s">
        <v>9</v>
      </c>
      <c r="I87" s="46" t="s">
        <v>9</v>
      </c>
      <c r="J87" s="46" t="s">
        <v>9</v>
      </c>
      <c r="K87" s="46" t="s">
        <v>9</v>
      </c>
      <c r="L87" s="53" t="str">
        <f t="shared" si="27"/>
        <v>Documentais</v>
      </c>
      <c r="M87" s="53" t="str">
        <f t="shared" si="28"/>
        <v>Elemento.de.Pranchas</v>
      </c>
      <c r="N87" s="53" t="str">
        <f t="shared" si="29"/>
        <v>Margens</v>
      </c>
      <c r="O87" s="53" t="str">
        <f t="shared" si="30"/>
        <v>Folha</v>
      </c>
      <c r="P87" s="53" t="s">
        <v>153</v>
      </c>
      <c r="Q87" s="43" t="str">
        <f t="shared" si="32"/>
        <v>Sábanas o tablas</v>
      </c>
      <c r="R87" s="43" t="s">
        <v>9</v>
      </c>
      <c r="S87" s="43" t="str">
        <f t="shared" si="33"/>
        <v>Documentais</v>
      </c>
      <c r="T87" s="43" t="str">
        <f t="shared" si="34"/>
        <v>Elemento.de.Pranchas</v>
      </c>
      <c r="U87" s="53" t="str">
        <f t="shared" si="35"/>
        <v>Margens</v>
      </c>
      <c r="V87" s="43" t="s">
        <v>80</v>
      </c>
      <c r="W87" s="54" t="str">
        <f t="shared" si="26"/>
        <v>Key-DOCU-87</v>
      </c>
      <c r="X87" s="58" t="s">
        <v>398</v>
      </c>
      <c r="Y87" s="59" t="s">
        <v>317</v>
      </c>
      <c r="Z87" s="43" t="s">
        <v>425</v>
      </c>
      <c r="AA87" s="43" t="str">
        <f t="shared" ref="AA87" si="42">_xlfn.TRANSLATE(P87,"pt","en")</f>
        <v>Sheets or planks</v>
      </c>
    </row>
    <row r="88" spans="1:27" ht="6" customHeight="1" x14ac:dyDescent="0.25">
      <c r="A88" s="45">
        <v>88</v>
      </c>
      <c r="B88" s="52" t="s">
        <v>635</v>
      </c>
      <c r="C88" s="55" t="s">
        <v>636</v>
      </c>
      <c r="D88" s="55" t="s">
        <v>548</v>
      </c>
      <c r="E88" s="57" t="s">
        <v>571</v>
      </c>
      <c r="F88" s="56" t="s">
        <v>145</v>
      </c>
      <c r="G88" s="46" t="s">
        <v>9</v>
      </c>
      <c r="H88" s="46" t="s">
        <v>9</v>
      </c>
      <c r="I88" s="46" t="s">
        <v>9</v>
      </c>
      <c r="J88" s="46" t="s">
        <v>9</v>
      </c>
      <c r="K88" s="46" t="s">
        <v>9</v>
      </c>
      <c r="L88" s="53" t="str">
        <f t="shared" si="27"/>
        <v>Documentais</v>
      </c>
      <c r="M88" s="53" t="str">
        <f t="shared" si="28"/>
        <v>Elemento.de.Pranchas</v>
      </c>
      <c r="N88" s="53" t="str">
        <f t="shared" si="29"/>
        <v>Carimbos</v>
      </c>
      <c r="O88" s="53" t="str">
        <f t="shared" si="30"/>
        <v>Carimbo</v>
      </c>
      <c r="P88" s="53" t="s">
        <v>149</v>
      </c>
      <c r="Q88" s="43" t="str">
        <f t="shared" si="32"/>
        <v>Sellos y tablas</v>
      </c>
      <c r="R88" s="43" t="s">
        <v>9</v>
      </c>
      <c r="S88" s="43" t="str">
        <f t="shared" si="33"/>
        <v>Documentais</v>
      </c>
      <c r="T88" s="43" t="str">
        <f t="shared" si="34"/>
        <v>Elemento.de.Pranchas</v>
      </c>
      <c r="U88" s="53" t="str">
        <f t="shared" si="35"/>
        <v>Carimbos</v>
      </c>
      <c r="V88" s="43" t="s">
        <v>80</v>
      </c>
      <c r="W88" s="54" t="str">
        <f t="shared" si="26"/>
        <v>Key-DOCU-88</v>
      </c>
      <c r="X88" s="58" t="s">
        <v>433</v>
      </c>
      <c r="Y88" s="59" t="s">
        <v>317</v>
      </c>
      <c r="Z88" s="43" t="s">
        <v>425</v>
      </c>
      <c r="AA88" s="43" t="str">
        <f t="shared" ref="AA88:AA89" si="43">_xlfn.TRANSLATE(P88,"pt","en")</f>
        <v>Stamps and boards</v>
      </c>
    </row>
    <row r="89" spans="1:27" ht="6" customHeight="1" x14ac:dyDescent="0.25">
      <c r="A89" s="45">
        <v>89</v>
      </c>
      <c r="B89" s="52" t="s">
        <v>635</v>
      </c>
      <c r="C89" s="55" t="s">
        <v>636</v>
      </c>
      <c r="D89" s="55" t="s">
        <v>548</v>
      </c>
      <c r="E89" s="57" t="s">
        <v>571</v>
      </c>
      <c r="F89" s="56" t="s">
        <v>501</v>
      </c>
      <c r="G89" s="46" t="s">
        <v>9</v>
      </c>
      <c r="H89" s="46" t="s">
        <v>9</v>
      </c>
      <c r="I89" s="46" t="s">
        <v>9</v>
      </c>
      <c r="J89" s="46" t="s">
        <v>9</v>
      </c>
      <c r="K89" s="46" t="s">
        <v>9</v>
      </c>
      <c r="L89" s="53" t="str">
        <f t="shared" si="27"/>
        <v>Documentais</v>
      </c>
      <c r="M89" s="53" t="str">
        <f t="shared" si="28"/>
        <v>Elemento.de.Pranchas</v>
      </c>
      <c r="N89" s="53" t="str">
        <f t="shared" si="29"/>
        <v>Carimbos</v>
      </c>
      <c r="O89" s="53" t="str">
        <f t="shared" si="30"/>
        <v>Carimbo Corte Linha Fina</v>
      </c>
      <c r="P89" s="53" t="s">
        <v>150</v>
      </c>
      <c r="Q89" s="43" t="str">
        <f t="shared" si="32"/>
        <v>Finas líneas de sellos y tablas</v>
      </c>
      <c r="R89" s="43" t="s">
        <v>9</v>
      </c>
      <c r="S89" s="43" t="str">
        <f t="shared" si="33"/>
        <v>Documentais</v>
      </c>
      <c r="T89" s="43" t="str">
        <f t="shared" si="34"/>
        <v>Elemento.de.Pranchas</v>
      </c>
      <c r="U89" s="53" t="str">
        <f t="shared" si="35"/>
        <v>Carimbos</v>
      </c>
      <c r="V89" s="43" t="s">
        <v>80</v>
      </c>
      <c r="W89" s="54" t="str">
        <f t="shared" si="26"/>
        <v>Key-DOCU-89</v>
      </c>
      <c r="X89" s="58" t="s">
        <v>434</v>
      </c>
      <c r="Y89" s="59" t="s">
        <v>317</v>
      </c>
      <c r="Z89" s="43" t="s">
        <v>425</v>
      </c>
      <c r="AA89" s="43" t="str">
        <f t="shared" si="43"/>
        <v>Fine lines of stamps and boards</v>
      </c>
    </row>
    <row r="90" spans="1:27" ht="6" customHeight="1" x14ac:dyDescent="0.25">
      <c r="A90" s="45">
        <v>90</v>
      </c>
      <c r="B90" s="52" t="s">
        <v>635</v>
      </c>
      <c r="C90" s="55" t="s">
        <v>636</v>
      </c>
      <c r="D90" s="55" t="s">
        <v>548</v>
      </c>
      <c r="E90" s="57" t="s">
        <v>571</v>
      </c>
      <c r="F90" s="56" t="s">
        <v>502</v>
      </c>
      <c r="G90" s="46" t="s">
        <v>9</v>
      </c>
      <c r="H90" s="46" t="s">
        <v>9</v>
      </c>
      <c r="I90" s="46" t="s">
        <v>9</v>
      </c>
      <c r="J90" s="46" t="s">
        <v>9</v>
      </c>
      <c r="K90" s="46" t="s">
        <v>9</v>
      </c>
      <c r="L90" s="53" t="str">
        <f t="shared" si="27"/>
        <v>Documentais</v>
      </c>
      <c r="M90" s="53" t="str">
        <f t="shared" si="28"/>
        <v>Elemento.de.Pranchas</v>
      </c>
      <c r="N90" s="53" t="str">
        <f t="shared" si="29"/>
        <v>Carimbos</v>
      </c>
      <c r="O90" s="53" t="str">
        <f t="shared" si="30"/>
        <v>Carimbo Corte Linha Média</v>
      </c>
      <c r="P90" s="53" t="s">
        <v>148</v>
      </c>
      <c r="Q90" s="43" t="str">
        <f t="shared" si="32"/>
        <v>Líneas medias de sellos y cartones</v>
      </c>
      <c r="R90" s="43" t="s">
        <v>9</v>
      </c>
      <c r="S90" s="43" t="str">
        <f t="shared" si="33"/>
        <v>Documentais</v>
      </c>
      <c r="T90" s="43" t="str">
        <f t="shared" si="34"/>
        <v>Elemento.de.Pranchas</v>
      </c>
      <c r="U90" s="53" t="str">
        <f t="shared" si="35"/>
        <v>Carimbos</v>
      </c>
      <c r="V90" s="43" t="s">
        <v>80</v>
      </c>
      <c r="W90" s="54" t="str">
        <f t="shared" si="26"/>
        <v>Key-DOCU-90</v>
      </c>
      <c r="X90" s="58" t="s">
        <v>432</v>
      </c>
      <c r="Y90" s="59" t="s">
        <v>317</v>
      </c>
      <c r="Z90" s="43" t="s">
        <v>425</v>
      </c>
      <c r="AA90" s="43" t="str">
        <f t="shared" si="31"/>
        <v>Medium lines of stamps and boards</v>
      </c>
    </row>
    <row r="91" spans="1:27" ht="6" customHeight="1" x14ac:dyDescent="0.25">
      <c r="A91" s="45">
        <v>91</v>
      </c>
      <c r="B91" s="52" t="s">
        <v>635</v>
      </c>
      <c r="C91" s="55" t="s">
        <v>636</v>
      </c>
      <c r="D91" s="55" t="s">
        <v>548</v>
      </c>
      <c r="E91" s="57" t="s">
        <v>571</v>
      </c>
      <c r="F91" s="56" t="s">
        <v>503</v>
      </c>
      <c r="G91" s="46" t="s">
        <v>9</v>
      </c>
      <c r="H91" s="46" t="s">
        <v>9</v>
      </c>
      <c r="I91" s="46" t="s">
        <v>9</v>
      </c>
      <c r="J91" s="46" t="s">
        <v>9</v>
      </c>
      <c r="K91" s="46" t="s">
        <v>9</v>
      </c>
      <c r="L91" s="53" t="str">
        <f t="shared" si="27"/>
        <v>Documentais</v>
      </c>
      <c r="M91" s="53" t="str">
        <f t="shared" si="28"/>
        <v>Elemento.de.Pranchas</v>
      </c>
      <c r="N91" s="53" t="str">
        <f t="shared" si="29"/>
        <v>Carimbos</v>
      </c>
      <c r="O91" s="53" t="str">
        <f t="shared" si="30"/>
        <v>Carimbo Corte Linha Grossa</v>
      </c>
      <c r="P91" s="53" t="s">
        <v>151</v>
      </c>
      <c r="Q91" s="43" t="str">
        <f t="shared" si="32"/>
        <v>Líneas gruesas de sellos y tablas</v>
      </c>
      <c r="R91" s="43" t="s">
        <v>9</v>
      </c>
      <c r="S91" s="43" t="str">
        <f t="shared" si="33"/>
        <v>Documentais</v>
      </c>
      <c r="T91" s="43" t="str">
        <f t="shared" si="34"/>
        <v>Elemento.de.Pranchas</v>
      </c>
      <c r="U91" s="53" t="str">
        <f t="shared" si="35"/>
        <v>Carimbos</v>
      </c>
      <c r="V91" s="43" t="s">
        <v>80</v>
      </c>
      <c r="W91" s="54" t="str">
        <f t="shared" si="26"/>
        <v>Key-DOCU-91</v>
      </c>
      <c r="X91" s="58" t="s">
        <v>435</v>
      </c>
      <c r="Y91" s="59" t="s">
        <v>317</v>
      </c>
      <c r="Z91" s="43" t="s">
        <v>425</v>
      </c>
      <c r="AA91" s="43" t="str">
        <f t="shared" si="31"/>
        <v>Thick lines of stamps and boards</v>
      </c>
    </row>
    <row r="92" spans="1:27" ht="6" customHeight="1" x14ac:dyDescent="0.25">
      <c r="A92" s="45">
        <v>92</v>
      </c>
      <c r="B92" s="52" t="s">
        <v>635</v>
      </c>
      <c r="C92" s="55" t="s">
        <v>636</v>
      </c>
      <c r="D92" s="55" t="s">
        <v>548</v>
      </c>
      <c r="E92" s="57" t="s">
        <v>571</v>
      </c>
      <c r="F92" s="56" t="s">
        <v>438</v>
      </c>
      <c r="G92" s="46" t="s">
        <v>9</v>
      </c>
      <c r="H92" s="46" t="s">
        <v>9</v>
      </c>
      <c r="I92" s="46" t="s">
        <v>9</v>
      </c>
      <c r="J92" s="46" t="s">
        <v>9</v>
      </c>
      <c r="K92" s="46" t="s">
        <v>9</v>
      </c>
      <c r="L92" s="53" t="str">
        <f t="shared" si="27"/>
        <v>Documentais</v>
      </c>
      <c r="M92" s="53" t="str">
        <f t="shared" si="28"/>
        <v>Elemento.de.Pranchas</v>
      </c>
      <c r="N92" s="53" t="str">
        <f t="shared" si="29"/>
        <v>Carimbos</v>
      </c>
      <c r="O92" s="53" t="str">
        <f t="shared" si="30"/>
        <v>Revisões</v>
      </c>
      <c r="P92" s="53" t="s">
        <v>146</v>
      </c>
      <c r="Q92" s="43" t="str">
        <f t="shared" si="32"/>
        <v>Revisiones de diseño</v>
      </c>
      <c r="R92" s="43" t="s">
        <v>9</v>
      </c>
      <c r="S92" s="43" t="str">
        <f t="shared" si="33"/>
        <v>Documentais</v>
      </c>
      <c r="T92" s="43" t="str">
        <f t="shared" si="34"/>
        <v>Elemento.de.Pranchas</v>
      </c>
      <c r="U92" s="53" t="str">
        <f t="shared" si="35"/>
        <v>Carimbos</v>
      </c>
      <c r="V92" s="43" t="s">
        <v>80</v>
      </c>
      <c r="W92" s="54" t="str">
        <f t="shared" si="26"/>
        <v>Key-DOCU-92</v>
      </c>
      <c r="X92" s="58" t="s">
        <v>396</v>
      </c>
      <c r="Y92" s="59" t="s">
        <v>317</v>
      </c>
      <c r="Z92" s="43" t="s">
        <v>425</v>
      </c>
      <c r="AA92" s="43" t="str">
        <f t="shared" ref="AA92" si="44">_xlfn.TRANSLATE(P92,"pt","en")</f>
        <v>Design reviews</v>
      </c>
    </row>
    <row r="93" spans="1:27" ht="6" customHeight="1" x14ac:dyDescent="0.25">
      <c r="A93" s="45">
        <v>93</v>
      </c>
      <c r="B93" s="52" t="s">
        <v>635</v>
      </c>
      <c r="C93" s="55" t="s">
        <v>636</v>
      </c>
      <c r="D93" s="55" t="s">
        <v>548</v>
      </c>
      <c r="E93" s="57" t="s">
        <v>571</v>
      </c>
      <c r="F93" s="56" t="s">
        <v>534</v>
      </c>
      <c r="G93" s="46" t="s">
        <v>9</v>
      </c>
      <c r="H93" s="46" t="s">
        <v>9</v>
      </c>
      <c r="I93" s="46" t="s">
        <v>9</v>
      </c>
      <c r="J93" s="46" t="s">
        <v>9</v>
      </c>
      <c r="K93" s="46" t="s">
        <v>9</v>
      </c>
      <c r="L93" s="53" t="str">
        <f t="shared" si="27"/>
        <v>Documentais</v>
      </c>
      <c r="M93" s="53" t="str">
        <f t="shared" si="28"/>
        <v>Elemento.de.Pranchas</v>
      </c>
      <c r="N93" s="53" t="str">
        <f t="shared" si="29"/>
        <v>Carimbos</v>
      </c>
      <c r="O93" s="53" t="str">
        <f t="shared" si="30"/>
        <v>Revisões Revisão</v>
      </c>
      <c r="P93" s="53" t="s">
        <v>147</v>
      </c>
      <c r="Q93" s="43" t="str">
        <f t="shared" si="32"/>
        <v>Revisiones de diseño - Numeración</v>
      </c>
      <c r="R93" s="43" t="s">
        <v>9</v>
      </c>
      <c r="S93" s="43" t="str">
        <f t="shared" si="33"/>
        <v>Documentais</v>
      </c>
      <c r="T93" s="43" t="str">
        <f t="shared" si="34"/>
        <v>Elemento.de.Pranchas</v>
      </c>
      <c r="U93" s="53" t="str">
        <f t="shared" si="35"/>
        <v>Carimbos</v>
      </c>
      <c r="V93" s="43" t="s">
        <v>80</v>
      </c>
      <c r="W93" s="54" t="str">
        <f t="shared" si="26"/>
        <v>Key-DOCU-93</v>
      </c>
      <c r="X93" s="58" t="s">
        <v>397</v>
      </c>
      <c r="Y93" s="59" t="s">
        <v>317</v>
      </c>
      <c r="Z93" s="43" t="s">
        <v>425</v>
      </c>
      <c r="AA93" s="43" t="str">
        <f t="shared" ref="AA93" si="45">_xlfn.TRANSLATE(P93,"pt","en")</f>
        <v>Design Revisions - Numbering</v>
      </c>
    </row>
    <row r="94" spans="1:27" ht="6" customHeight="1" x14ac:dyDescent="0.25">
      <c r="A94" s="45">
        <v>94</v>
      </c>
      <c r="B94" s="52" t="s">
        <v>635</v>
      </c>
      <c r="C94" s="55" t="s">
        <v>636</v>
      </c>
      <c r="D94" s="55" t="s">
        <v>549</v>
      </c>
      <c r="E94" s="57" t="s">
        <v>570</v>
      </c>
      <c r="F94" s="56" t="s">
        <v>504</v>
      </c>
      <c r="G94" s="46" t="s">
        <v>9</v>
      </c>
      <c r="H94" s="46" t="s">
        <v>9</v>
      </c>
      <c r="I94" s="46" t="s">
        <v>9</v>
      </c>
      <c r="J94" s="46" t="s">
        <v>9</v>
      </c>
      <c r="K94" s="46" t="s">
        <v>9</v>
      </c>
      <c r="L94" s="53" t="str">
        <f t="shared" si="27"/>
        <v>Documentais</v>
      </c>
      <c r="M94" s="53" t="str">
        <f t="shared" si="28"/>
        <v>Elemento.de.Preenchimentos</v>
      </c>
      <c r="N94" s="53" t="str">
        <f t="shared" si="29"/>
        <v>Hachuras</v>
      </c>
      <c r="O94" s="53" t="str">
        <f t="shared" si="30"/>
        <v>Padrão Preenchimento</v>
      </c>
      <c r="P94" s="53" t="s">
        <v>154</v>
      </c>
      <c r="Q94" s="43" t="str">
        <f t="shared" si="32"/>
        <v>Región con relleno lineal</v>
      </c>
      <c r="R94" s="43" t="s">
        <v>9</v>
      </c>
      <c r="S94" s="43" t="str">
        <f t="shared" si="33"/>
        <v>Documentais</v>
      </c>
      <c r="T94" s="43" t="str">
        <f t="shared" si="34"/>
        <v>Elemento.de.Preenchimentos</v>
      </c>
      <c r="U94" s="53" t="str">
        <f t="shared" si="35"/>
        <v>Hachuras</v>
      </c>
      <c r="V94" s="43" t="s">
        <v>80</v>
      </c>
      <c r="W94" s="54" t="str">
        <f t="shared" si="26"/>
        <v>Key-DOCU-94</v>
      </c>
      <c r="X94" s="58" t="s">
        <v>399</v>
      </c>
      <c r="Y94" s="59" t="s">
        <v>317</v>
      </c>
      <c r="Z94" s="43" t="s">
        <v>425</v>
      </c>
      <c r="AA94" s="43" t="str">
        <f t="shared" si="31"/>
        <v>Region with lineal pattern fill</v>
      </c>
    </row>
    <row r="95" spans="1:27" ht="6" customHeight="1" x14ac:dyDescent="0.25">
      <c r="A95" s="45">
        <v>95</v>
      </c>
      <c r="B95" s="52" t="s">
        <v>635</v>
      </c>
      <c r="C95" s="55" t="s">
        <v>636</v>
      </c>
      <c r="D95" s="55" t="s">
        <v>549</v>
      </c>
      <c r="E95" s="57" t="s">
        <v>570</v>
      </c>
      <c r="F95" s="56" t="s">
        <v>505</v>
      </c>
      <c r="G95" s="46" t="s">
        <v>9</v>
      </c>
      <c r="H95" s="46" t="s">
        <v>9</v>
      </c>
      <c r="I95" s="46" t="s">
        <v>9</v>
      </c>
      <c r="J95" s="46" t="s">
        <v>9</v>
      </c>
      <c r="K95" s="46" t="s">
        <v>9</v>
      </c>
      <c r="L95" s="53" t="str">
        <f t="shared" si="27"/>
        <v>Documentais</v>
      </c>
      <c r="M95" s="53" t="str">
        <f t="shared" si="28"/>
        <v>Elemento.de.Preenchimentos</v>
      </c>
      <c r="N95" s="53" t="str">
        <f t="shared" si="29"/>
        <v>Hachuras</v>
      </c>
      <c r="O95" s="53" t="str">
        <f t="shared" si="30"/>
        <v>Padrão Hachura</v>
      </c>
      <c r="P95" s="53" t="s">
        <v>155</v>
      </c>
      <c r="Q95" s="43" t="str">
        <f t="shared" si="32"/>
        <v>Patrones de trampilla</v>
      </c>
      <c r="R95" s="43" t="s">
        <v>9</v>
      </c>
      <c r="S95" s="43" t="str">
        <f t="shared" si="33"/>
        <v>Documentais</v>
      </c>
      <c r="T95" s="43" t="str">
        <f t="shared" si="34"/>
        <v>Elemento.de.Preenchimentos</v>
      </c>
      <c r="U95" s="53" t="str">
        <f t="shared" si="35"/>
        <v>Hachuras</v>
      </c>
      <c r="V95" s="43" t="s">
        <v>80</v>
      </c>
      <c r="W95" s="54" t="str">
        <f t="shared" si="26"/>
        <v>Key-DOCU-95</v>
      </c>
      <c r="X95" s="58" t="s">
        <v>400</v>
      </c>
      <c r="Y95" s="59" t="s">
        <v>317</v>
      </c>
      <c r="Z95" s="43" t="s">
        <v>425</v>
      </c>
      <c r="AA95" s="43" t="str">
        <f t="shared" si="31"/>
        <v>Hatch patterns</v>
      </c>
    </row>
    <row r="96" spans="1:27" ht="6" customHeight="1" x14ac:dyDescent="0.25">
      <c r="A96" s="45">
        <v>96</v>
      </c>
      <c r="B96" s="52" t="s">
        <v>635</v>
      </c>
      <c r="C96" s="55" t="s">
        <v>636</v>
      </c>
      <c r="D96" s="55" t="s">
        <v>549</v>
      </c>
      <c r="E96" s="57" t="s">
        <v>569</v>
      </c>
      <c r="F96" s="56" t="s">
        <v>506</v>
      </c>
      <c r="G96" s="46" t="s">
        <v>9</v>
      </c>
      <c r="H96" s="46" t="s">
        <v>9</v>
      </c>
      <c r="I96" s="46" t="s">
        <v>9</v>
      </c>
      <c r="J96" s="46" t="s">
        <v>9</v>
      </c>
      <c r="K96" s="46" t="s">
        <v>9</v>
      </c>
      <c r="L96" s="53" t="str">
        <f t="shared" si="27"/>
        <v>Documentais</v>
      </c>
      <c r="M96" s="53" t="str">
        <f t="shared" si="28"/>
        <v>Elemento.de.Preenchimentos</v>
      </c>
      <c r="N96" s="53" t="str">
        <f t="shared" si="29"/>
        <v>Máscaras</v>
      </c>
      <c r="O96" s="53" t="str">
        <f t="shared" si="30"/>
        <v>Região Preenchida</v>
      </c>
      <c r="P96" s="53" t="s">
        <v>156</v>
      </c>
      <c r="Q96" s="43" t="str">
        <f t="shared" si="32"/>
        <v>Región con relleno de color</v>
      </c>
      <c r="R96" s="43" t="s">
        <v>9</v>
      </c>
      <c r="S96" s="43" t="str">
        <f t="shared" si="33"/>
        <v>Documentais</v>
      </c>
      <c r="T96" s="43" t="str">
        <f t="shared" si="34"/>
        <v>Elemento.de.Preenchimentos</v>
      </c>
      <c r="U96" s="53" t="str">
        <f t="shared" si="35"/>
        <v>Máscaras</v>
      </c>
      <c r="V96" s="43" t="s">
        <v>80</v>
      </c>
      <c r="W96" s="54" t="str">
        <f t="shared" si="26"/>
        <v>Key-DOCU-96</v>
      </c>
      <c r="X96" s="58" t="s">
        <v>401</v>
      </c>
      <c r="Y96" s="59" t="s">
        <v>317</v>
      </c>
      <c r="Z96" s="43" t="s">
        <v>425</v>
      </c>
      <c r="AA96" s="43" t="str">
        <f t="shared" si="31"/>
        <v>Region with color fill</v>
      </c>
    </row>
    <row r="97" spans="1:27" ht="6" customHeight="1" x14ac:dyDescent="0.25">
      <c r="A97" s="45">
        <v>97</v>
      </c>
      <c r="B97" s="52" t="s">
        <v>635</v>
      </c>
      <c r="C97" s="55" t="s">
        <v>636</v>
      </c>
      <c r="D97" s="55" t="s">
        <v>549</v>
      </c>
      <c r="E97" s="57" t="s">
        <v>569</v>
      </c>
      <c r="F97" s="56" t="s">
        <v>554</v>
      </c>
      <c r="G97" s="46" t="s">
        <v>9</v>
      </c>
      <c r="H97" s="46" t="s">
        <v>9</v>
      </c>
      <c r="I97" s="46" t="s">
        <v>9</v>
      </c>
      <c r="J97" s="46" t="s">
        <v>9</v>
      </c>
      <c r="K97" s="46" t="s">
        <v>9</v>
      </c>
      <c r="L97" s="53" t="str">
        <f t="shared" si="27"/>
        <v>Documentais</v>
      </c>
      <c r="M97" s="53" t="str">
        <f t="shared" si="28"/>
        <v>Elemento.de.Preenchimentos</v>
      </c>
      <c r="N97" s="53" t="str">
        <f t="shared" si="29"/>
        <v>Máscaras</v>
      </c>
      <c r="O97" s="53" t="str">
        <f t="shared" si="30"/>
        <v>Região Máscara</v>
      </c>
      <c r="P97" s="53" t="s">
        <v>157</v>
      </c>
      <c r="Q97" s="43" t="str">
        <f t="shared" si="32"/>
        <v>Región de enmascaramiento gráfico</v>
      </c>
      <c r="R97" s="43" t="s">
        <v>9</v>
      </c>
      <c r="S97" s="43" t="str">
        <f t="shared" si="33"/>
        <v>Documentais</v>
      </c>
      <c r="T97" s="43" t="str">
        <f t="shared" si="34"/>
        <v>Elemento.de.Preenchimentos</v>
      </c>
      <c r="U97" s="53" t="str">
        <f t="shared" si="35"/>
        <v>Máscaras</v>
      </c>
      <c r="V97" s="43" t="s">
        <v>80</v>
      </c>
      <c r="W97" s="54" t="str">
        <f t="shared" si="26"/>
        <v>Key-DOCU-97</v>
      </c>
      <c r="X97" s="58" t="s">
        <v>402</v>
      </c>
      <c r="Y97" s="59" t="s">
        <v>317</v>
      </c>
      <c r="Z97" s="43" t="s">
        <v>425</v>
      </c>
      <c r="AA97" s="43" t="str">
        <f t="shared" si="31"/>
        <v>Graphic masking region</v>
      </c>
    </row>
    <row r="98" spans="1:27" ht="6" customHeight="1" x14ac:dyDescent="0.25">
      <c r="A98" s="45">
        <v>98</v>
      </c>
      <c r="B98" s="52" t="s">
        <v>635</v>
      </c>
      <c r="C98" s="55" t="s">
        <v>636</v>
      </c>
      <c r="D98" s="55" t="s">
        <v>550</v>
      </c>
      <c r="E98" s="57" t="s">
        <v>568</v>
      </c>
      <c r="F98" s="56" t="s">
        <v>507</v>
      </c>
      <c r="G98" s="46" t="s">
        <v>9</v>
      </c>
      <c r="H98" s="46" t="s">
        <v>9</v>
      </c>
      <c r="I98" s="46" t="s">
        <v>9</v>
      </c>
      <c r="J98" s="46" t="s">
        <v>9</v>
      </c>
      <c r="K98" s="46" t="s">
        <v>9</v>
      </c>
      <c r="L98" s="53" t="str">
        <f t="shared" si="27"/>
        <v>Documentais</v>
      </c>
      <c r="M98" s="53" t="str">
        <f t="shared" si="28"/>
        <v>Elemento.de.Relacionamento</v>
      </c>
      <c r="N98" s="53" t="str">
        <f t="shared" si="29"/>
        <v>Matches</v>
      </c>
      <c r="O98" s="53" t="str">
        <f t="shared" si="30"/>
        <v>Combina Todo</v>
      </c>
      <c r="P98" s="53" t="s">
        <v>158</v>
      </c>
      <c r="Q98" s="43" t="str">
        <f t="shared" si="32"/>
        <v>Coincidencias</v>
      </c>
      <c r="R98" s="43" t="s">
        <v>9</v>
      </c>
      <c r="S98" s="43" t="str">
        <f t="shared" si="33"/>
        <v>Documentais</v>
      </c>
      <c r="T98" s="43" t="str">
        <f t="shared" si="34"/>
        <v>Elemento.de.Relacionamento</v>
      </c>
      <c r="U98" s="53" t="str">
        <f t="shared" si="35"/>
        <v>Matches</v>
      </c>
      <c r="V98" s="43" t="s">
        <v>80</v>
      </c>
      <c r="W98" s="54" t="str">
        <f t="shared" si="26"/>
        <v>Key-DOCU-98</v>
      </c>
      <c r="X98" s="58" t="s">
        <v>403</v>
      </c>
      <c r="Y98" s="59" t="s">
        <v>317</v>
      </c>
      <c r="Z98" s="43" t="s">
        <v>425</v>
      </c>
      <c r="AA98" s="43" t="str">
        <f t="shared" si="31"/>
        <v>Coincidences</v>
      </c>
    </row>
    <row r="99" spans="1:27" ht="6" customHeight="1" x14ac:dyDescent="0.25">
      <c r="A99" s="45">
        <v>99</v>
      </c>
      <c r="B99" s="52" t="s">
        <v>635</v>
      </c>
      <c r="C99" s="55" t="s">
        <v>636</v>
      </c>
      <c r="D99" s="55" t="s">
        <v>550</v>
      </c>
      <c r="E99" s="57" t="s">
        <v>568</v>
      </c>
      <c r="F99" s="56" t="s">
        <v>508</v>
      </c>
      <c r="G99" s="46" t="s">
        <v>9</v>
      </c>
      <c r="H99" s="46" t="s">
        <v>9</v>
      </c>
      <c r="I99" s="46" t="s">
        <v>9</v>
      </c>
      <c r="J99" s="46" t="s">
        <v>9</v>
      </c>
      <c r="K99" s="46" t="s">
        <v>9</v>
      </c>
      <c r="L99" s="53" t="str">
        <f t="shared" si="27"/>
        <v>Documentais</v>
      </c>
      <c r="M99" s="53" t="str">
        <f t="shared" si="28"/>
        <v>Elemento.de.Relacionamento</v>
      </c>
      <c r="N99" s="53" t="str">
        <f t="shared" si="29"/>
        <v>Matches</v>
      </c>
      <c r="O99" s="53" t="str">
        <f t="shared" si="30"/>
        <v>Combina Anotação</v>
      </c>
      <c r="P99" s="53" t="s">
        <v>159</v>
      </c>
      <c r="Q99" s="43" t="str">
        <f t="shared" si="32"/>
        <v>Coincidencias textuales</v>
      </c>
      <c r="R99" s="43" t="s">
        <v>9</v>
      </c>
      <c r="S99" s="43" t="str">
        <f t="shared" si="33"/>
        <v>Documentais</v>
      </c>
      <c r="T99" s="43" t="str">
        <f t="shared" si="34"/>
        <v>Elemento.de.Relacionamento</v>
      </c>
      <c r="U99" s="53" t="str">
        <f t="shared" si="35"/>
        <v>Matches</v>
      </c>
      <c r="V99" s="43" t="s">
        <v>80</v>
      </c>
      <c r="W99" s="54" t="str">
        <f t="shared" si="26"/>
        <v>Key-DOCU-99</v>
      </c>
      <c r="X99" s="58" t="s">
        <v>404</v>
      </c>
      <c r="Y99" s="59" t="s">
        <v>317</v>
      </c>
      <c r="Z99" s="43" t="s">
        <v>425</v>
      </c>
      <c r="AA99" s="43" t="str">
        <f t="shared" si="31"/>
        <v>Textual coincidences</v>
      </c>
    </row>
    <row r="100" spans="1:27" ht="6" customHeight="1" x14ac:dyDescent="0.25">
      <c r="A100" s="45">
        <v>100</v>
      </c>
      <c r="B100" s="52" t="s">
        <v>635</v>
      </c>
      <c r="C100" s="55" t="s">
        <v>636</v>
      </c>
      <c r="D100" s="55" t="s">
        <v>550</v>
      </c>
      <c r="E100" s="57" t="s">
        <v>568</v>
      </c>
      <c r="F100" s="56" t="s">
        <v>509</v>
      </c>
      <c r="G100" s="46" t="s">
        <v>9</v>
      </c>
      <c r="H100" s="46" t="s">
        <v>9</v>
      </c>
      <c r="I100" s="46" t="s">
        <v>9</v>
      </c>
      <c r="J100" s="46" t="s">
        <v>9</v>
      </c>
      <c r="K100" s="46" t="s">
        <v>9</v>
      </c>
      <c r="L100" s="53" t="str">
        <f t="shared" si="27"/>
        <v>Documentais</v>
      </c>
      <c r="M100" s="53" t="str">
        <f t="shared" si="28"/>
        <v>Elemento.de.Relacionamento</v>
      </c>
      <c r="N100" s="53" t="str">
        <f t="shared" si="29"/>
        <v>Matches</v>
      </c>
      <c r="O100" s="53" t="str">
        <f t="shared" si="30"/>
        <v>Combina Detalhe</v>
      </c>
      <c r="P100" s="53" t="s">
        <v>160</v>
      </c>
      <c r="Q100" s="43" t="str">
        <f t="shared" si="32"/>
        <v>Coincidencias de detalles</v>
      </c>
      <c r="R100" s="43" t="s">
        <v>9</v>
      </c>
      <c r="S100" s="43" t="str">
        <f t="shared" si="33"/>
        <v>Documentais</v>
      </c>
      <c r="T100" s="43" t="str">
        <f t="shared" si="34"/>
        <v>Elemento.de.Relacionamento</v>
      </c>
      <c r="U100" s="53" t="str">
        <f t="shared" si="35"/>
        <v>Matches</v>
      </c>
      <c r="V100" s="43" t="s">
        <v>80</v>
      </c>
      <c r="W100" s="54" t="str">
        <f t="shared" si="26"/>
        <v>Key-DOCU-100</v>
      </c>
      <c r="X100" s="58" t="s">
        <v>405</v>
      </c>
      <c r="Y100" s="59" t="s">
        <v>317</v>
      </c>
      <c r="Z100" s="43" t="s">
        <v>425</v>
      </c>
      <c r="AA100" s="43" t="str">
        <f t="shared" si="31"/>
        <v>Coincidences of details</v>
      </c>
    </row>
    <row r="101" spans="1:27" ht="6" customHeight="1" x14ac:dyDescent="0.25">
      <c r="A101" s="45">
        <v>101</v>
      </c>
      <c r="B101" s="52" t="s">
        <v>635</v>
      </c>
      <c r="C101" s="55" t="s">
        <v>636</v>
      </c>
      <c r="D101" s="55" t="s">
        <v>550</v>
      </c>
      <c r="E101" s="57" t="s">
        <v>568</v>
      </c>
      <c r="F101" s="56" t="s">
        <v>510</v>
      </c>
      <c r="G101" s="46" t="s">
        <v>9</v>
      </c>
      <c r="H101" s="46" t="s">
        <v>9</v>
      </c>
      <c r="I101" s="46" t="s">
        <v>9</v>
      </c>
      <c r="J101" s="46" t="s">
        <v>9</v>
      </c>
      <c r="K101" s="46" t="s">
        <v>9</v>
      </c>
      <c r="L101" s="53" t="str">
        <f t="shared" si="27"/>
        <v>Documentais</v>
      </c>
      <c r="M101" s="53" t="str">
        <f t="shared" si="28"/>
        <v>Elemento.de.Relacionamento</v>
      </c>
      <c r="N101" s="53" t="str">
        <f t="shared" si="29"/>
        <v>Matches</v>
      </c>
      <c r="O101" s="53" t="str">
        <f t="shared" si="30"/>
        <v>Combina Linha</v>
      </c>
      <c r="P101" s="53" t="s">
        <v>161</v>
      </c>
      <c r="Q101" s="43" t="str">
        <f t="shared" si="32"/>
        <v>Coincidencias - Líneas de coincidencia</v>
      </c>
      <c r="R101" s="43" t="s">
        <v>9</v>
      </c>
      <c r="S101" s="43" t="str">
        <f t="shared" si="33"/>
        <v>Documentais</v>
      </c>
      <c r="T101" s="43" t="str">
        <f t="shared" si="34"/>
        <v>Elemento.de.Relacionamento</v>
      </c>
      <c r="U101" s="53" t="str">
        <f t="shared" si="35"/>
        <v>Matches</v>
      </c>
      <c r="V101" s="43" t="s">
        <v>80</v>
      </c>
      <c r="W101" s="54" t="str">
        <f t="shared" si="26"/>
        <v>Key-DOCU-101</v>
      </c>
      <c r="X101" s="58" t="s">
        <v>406</v>
      </c>
      <c r="Y101" s="59" t="s">
        <v>317</v>
      </c>
      <c r="Z101" s="43" t="s">
        <v>425</v>
      </c>
      <c r="AA101" s="43" t="str">
        <f t="shared" si="31"/>
        <v>Coincidences - Coincidence Lines</v>
      </c>
    </row>
    <row r="102" spans="1:27" ht="6" customHeight="1" x14ac:dyDescent="0.25">
      <c r="A102" s="45">
        <v>102</v>
      </c>
      <c r="B102" s="52" t="s">
        <v>635</v>
      </c>
      <c r="C102" s="55" t="s">
        <v>636</v>
      </c>
      <c r="D102" s="55" t="s">
        <v>550</v>
      </c>
      <c r="E102" s="57" t="s">
        <v>568</v>
      </c>
      <c r="F102" s="56" t="s">
        <v>511</v>
      </c>
      <c r="G102" s="46" t="s">
        <v>9</v>
      </c>
      <c r="H102" s="46" t="s">
        <v>9</v>
      </c>
      <c r="I102" s="46" t="s">
        <v>9</v>
      </c>
      <c r="J102" s="46" t="s">
        <v>9</v>
      </c>
      <c r="K102" s="46" t="s">
        <v>9</v>
      </c>
      <c r="L102" s="53" t="str">
        <f t="shared" si="27"/>
        <v>Documentais</v>
      </c>
      <c r="M102" s="53" t="str">
        <f t="shared" si="28"/>
        <v>Elemento.de.Relacionamento</v>
      </c>
      <c r="N102" s="53" t="str">
        <f t="shared" si="29"/>
        <v>Matches</v>
      </c>
      <c r="O102" s="53" t="str">
        <f t="shared" si="30"/>
        <v>Combina Modelo</v>
      </c>
      <c r="P102" s="53" t="s">
        <v>162</v>
      </c>
      <c r="Q102" s="43" t="str">
        <f t="shared" si="32"/>
        <v>Coincidencias de modelos</v>
      </c>
      <c r="R102" s="43" t="s">
        <v>9</v>
      </c>
      <c r="S102" s="43" t="str">
        <f t="shared" si="33"/>
        <v>Documentais</v>
      </c>
      <c r="T102" s="43" t="str">
        <f t="shared" si="34"/>
        <v>Elemento.de.Relacionamento</v>
      </c>
      <c r="U102" s="53" t="str">
        <f t="shared" si="35"/>
        <v>Matches</v>
      </c>
      <c r="V102" s="43" t="s">
        <v>80</v>
      </c>
      <c r="W102" s="54" t="str">
        <f t="shared" si="26"/>
        <v>Key-DOCU-102</v>
      </c>
      <c r="X102" s="58" t="s">
        <v>407</v>
      </c>
      <c r="Y102" s="59" t="s">
        <v>317</v>
      </c>
      <c r="Z102" s="43" t="s">
        <v>425</v>
      </c>
      <c r="AA102" s="43" t="str">
        <f t="shared" si="31"/>
        <v>Model coincidences</v>
      </c>
    </row>
    <row r="103" spans="1:27" ht="6" customHeight="1" x14ac:dyDescent="0.25">
      <c r="A103" s="45">
        <v>103</v>
      </c>
      <c r="B103" s="52" t="s">
        <v>635</v>
      </c>
      <c r="C103" s="55" t="s">
        <v>636</v>
      </c>
      <c r="D103" s="55" t="s">
        <v>550</v>
      </c>
      <c r="E103" s="57" t="s">
        <v>568</v>
      </c>
      <c r="F103" s="56" t="s">
        <v>512</v>
      </c>
      <c r="G103" s="46" t="s">
        <v>9</v>
      </c>
      <c r="H103" s="46" t="s">
        <v>9</v>
      </c>
      <c r="I103" s="46" t="s">
        <v>9</v>
      </c>
      <c r="J103" s="46" t="s">
        <v>9</v>
      </c>
      <c r="K103" s="46" t="s">
        <v>9</v>
      </c>
      <c r="L103" s="53" t="str">
        <f t="shared" si="27"/>
        <v>Documentais</v>
      </c>
      <c r="M103" s="53" t="str">
        <f t="shared" si="28"/>
        <v>Elemento.de.Relacionamento</v>
      </c>
      <c r="N103" s="53" t="str">
        <f t="shared" si="29"/>
        <v>Matches</v>
      </c>
      <c r="O103" s="53" t="str">
        <f t="shared" si="30"/>
        <v>Combina Perfil</v>
      </c>
      <c r="P103" s="53" t="s">
        <v>163</v>
      </c>
      <c r="Q103" s="43" t="str">
        <f t="shared" si="32"/>
        <v>Coincidencias de perfil</v>
      </c>
      <c r="R103" s="43" t="s">
        <v>9</v>
      </c>
      <c r="S103" s="43" t="str">
        <f t="shared" si="33"/>
        <v>Documentais</v>
      </c>
      <c r="T103" s="43" t="str">
        <f t="shared" si="34"/>
        <v>Elemento.de.Relacionamento</v>
      </c>
      <c r="U103" s="53" t="str">
        <f t="shared" si="35"/>
        <v>Matches</v>
      </c>
      <c r="V103" s="43" t="s">
        <v>80</v>
      </c>
      <c r="W103" s="54" t="str">
        <f t="shared" si="26"/>
        <v>Key-DOCU-103</v>
      </c>
      <c r="X103" s="58" t="s">
        <v>408</v>
      </c>
      <c r="Y103" s="59" t="s">
        <v>317</v>
      </c>
      <c r="Z103" s="43" t="s">
        <v>425</v>
      </c>
      <c r="AA103" s="43" t="str">
        <f t="shared" si="31"/>
        <v>Profile matches</v>
      </c>
    </row>
    <row r="104" spans="1:27" ht="6" customHeight="1" x14ac:dyDescent="0.25">
      <c r="A104" s="45">
        <v>104</v>
      </c>
      <c r="B104" s="52" t="s">
        <v>635</v>
      </c>
      <c r="C104" s="55" t="s">
        <v>636</v>
      </c>
      <c r="D104" s="55" t="s">
        <v>550</v>
      </c>
      <c r="E104" s="57" t="s">
        <v>568</v>
      </c>
      <c r="F104" s="56" t="s">
        <v>513</v>
      </c>
      <c r="G104" s="46" t="s">
        <v>9</v>
      </c>
      <c r="H104" s="46" t="s">
        <v>9</v>
      </c>
      <c r="I104" s="46" t="s">
        <v>9</v>
      </c>
      <c r="J104" s="46" t="s">
        <v>9</v>
      </c>
      <c r="K104" s="46" t="s">
        <v>9</v>
      </c>
      <c r="L104" s="53" t="str">
        <f t="shared" si="27"/>
        <v>Documentais</v>
      </c>
      <c r="M104" s="53" t="str">
        <f t="shared" si="28"/>
        <v>Elemento.de.Relacionamento</v>
      </c>
      <c r="N104" s="53" t="str">
        <f t="shared" si="29"/>
        <v>Matches</v>
      </c>
      <c r="O104" s="53" t="str">
        <f t="shared" si="30"/>
        <v>Combina Sítio</v>
      </c>
      <c r="P104" s="53" t="s">
        <v>164</v>
      </c>
      <c r="Q104" s="43" t="str">
        <f t="shared" si="32"/>
        <v>Coincidencias de componentes de la situación</v>
      </c>
      <c r="R104" s="43" t="s">
        <v>9</v>
      </c>
      <c r="S104" s="43" t="str">
        <f t="shared" si="33"/>
        <v>Documentais</v>
      </c>
      <c r="T104" s="43" t="str">
        <f t="shared" si="34"/>
        <v>Elemento.de.Relacionamento</v>
      </c>
      <c r="U104" s="53" t="str">
        <f t="shared" si="35"/>
        <v>Matches</v>
      </c>
      <c r="V104" s="43" t="s">
        <v>80</v>
      </c>
      <c r="W104" s="54" t="str">
        <f t="shared" si="26"/>
        <v>Key-DOCU-104</v>
      </c>
      <c r="X104" s="58" t="s">
        <v>409</v>
      </c>
      <c r="Y104" s="59" t="s">
        <v>317</v>
      </c>
      <c r="Z104" s="43" t="s">
        <v>425</v>
      </c>
      <c r="AA104" s="43" t="str">
        <f t="shared" si="31"/>
        <v>Coincidences of situation components</v>
      </c>
    </row>
    <row r="105" spans="1:27" ht="6" customHeight="1" x14ac:dyDescent="0.25">
      <c r="A105" s="45">
        <v>105</v>
      </c>
      <c r="B105" s="52" t="s">
        <v>635</v>
      </c>
      <c r="C105" s="55" t="s">
        <v>636</v>
      </c>
      <c r="D105" s="55" t="s">
        <v>551</v>
      </c>
      <c r="E105" s="57" t="s">
        <v>515</v>
      </c>
      <c r="F105" s="56" t="s">
        <v>165</v>
      </c>
      <c r="G105" s="46" t="s">
        <v>9</v>
      </c>
      <c r="H105" s="46" t="s">
        <v>9</v>
      </c>
      <c r="I105" s="46" t="s">
        <v>9</v>
      </c>
      <c r="J105" s="46" t="s">
        <v>9</v>
      </c>
      <c r="K105" s="46" t="s">
        <v>9</v>
      </c>
      <c r="L105" s="53" t="str">
        <f t="shared" ref="L105" si="46">CONCATENATE("", C105)</f>
        <v>Documentais</v>
      </c>
      <c r="M105" s="53" t="str">
        <f t="shared" ref="M105" si="47">CONCATENATE("", D105)</f>
        <v>Elemento.de.Planilhamento</v>
      </c>
      <c r="N105" s="53" t="str">
        <f t="shared" ref="N105" si="48">(SUBSTITUTE(SUBSTITUTE(CONCATENATE("",E105),"."," ")," De "," de "))</f>
        <v>Tabelas</v>
      </c>
      <c r="O105" s="53" t="str">
        <f t="shared" ref="O105" si="49">(SUBSTITUTE(SUBSTITUTE(CONCATENATE("",F105),"."," ")," De "," de "))</f>
        <v>Tabela</v>
      </c>
      <c r="P105" s="53" t="s">
        <v>168</v>
      </c>
      <c r="Q105" s="43" t="str">
        <f t="shared" si="32"/>
        <v>Tabla textual</v>
      </c>
      <c r="R105" s="43" t="s">
        <v>9</v>
      </c>
      <c r="S105" s="43" t="str">
        <f t="shared" ref="S105:S140" si="50">SUBSTITUTE(C105, "_", " ")</f>
        <v>Documentais</v>
      </c>
      <c r="T105" s="43" t="str">
        <f t="shared" ref="T105" si="51">SUBSTITUTE(D105, "_", " ")</f>
        <v>Elemento.de.Planilhamento</v>
      </c>
      <c r="U105" s="53" t="str">
        <f t="shared" ref="U105:U140" si="52">SUBSTITUTE(E105, "_", " ")</f>
        <v>Tabelas</v>
      </c>
      <c r="V105" s="43" t="s">
        <v>80</v>
      </c>
      <c r="W105" s="54" t="str">
        <f t="shared" si="26"/>
        <v>Key-DOCU-105</v>
      </c>
      <c r="X105" s="58" t="s">
        <v>412</v>
      </c>
      <c r="Y105" s="59" t="s">
        <v>317</v>
      </c>
      <c r="Z105" s="43" t="s">
        <v>425</v>
      </c>
      <c r="AA105" s="43" t="str">
        <f t="shared" ref="AA105" si="53">_xlfn.TRANSLATE(P105,"pt","en")</f>
        <v>Textual table</v>
      </c>
    </row>
    <row r="106" spans="1:27" ht="6" customHeight="1" x14ac:dyDescent="0.25">
      <c r="A106" s="45">
        <v>106</v>
      </c>
      <c r="B106" s="52" t="s">
        <v>635</v>
      </c>
      <c r="C106" s="55" t="s">
        <v>636</v>
      </c>
      <c r="D106" s="55" t="s">
        <v>551</v>
      </c>
      <c r="E106" s="57" t="s">
        <v>515</v>
      </c>
      <c r="F106" s="56" t="s">
        <v>514</v>
      </c>
      <c r="G106" s="46" t="s">
        <v>9</v>
      </c>
      <c r="H106" s="46" t="s">
        <v>9</v>
      </c>
      <c r="I106" s="46" t="s">
        <v>9</v>
      </c>
      <c r="J106" s="46" t="s">
        <v>9</v>
      </c>
      <c r="K106" s="46" t="s">
        <v>9</v>
      </c>
      <c r="L106" s="53" t="str">
        <f t="shared" si="27"/>
        <v>Documentais</v>
      </c>
      <c r="M106" s="53" t="str">
        <f t="shared" si="28"/>
        <v>Elemento.de.Planilhamento</v>
      </c>
      <c r="N106" s="53" t="str">
        <f t="shared" si="29"/>
        <v>Tabelas</v>
      </c>
      <c r="O106" s="53" t="str">
        <f t="shared" si="30"/>
        <v>Tabela Painéis</v>
      </c>
      <c r="P106" s="53" t="s">
        <v>166</v>
      </c>
      <c r="Q106" s="43" t="str">
        <f t="shared" si="32"/>
        <v>Disposiciones gráficas de tablas</v>
      </c>
      <c r="R106" s="43" t="s">
        <v>9</v>
      </c>
      <c r="S106" s="43" t="str">
        <f t="shared" si="50"/>
        <v>Documentais</v>
      </c>
      <c r="T106" s="43" t="str">
        <f t="shared" si="34"/>
        <v>Elemento.de.Planilhamento</v>
      </c>
      <c r="U106" s="53" t="str">
        <f t="shared" si="52"/>
        <v>Tabelas</v>
      </c>
      <c r="V106" s="43" t="s">
        <v>80</v>
      </c>
      <c r="W106" s="54" t="str">
        <f t="shared" si="26"/>
        <v>Key-DOCU-106</v>
      </c>
      <c r="X106" s="58" t="s">
        <v>410</v>
      </c>
      <c r="Y106" s="59" t="s">
        <v>317</v>
      </c>
      <c r="Z106" s="43" t="s">
        <v>425</v>
      </c>
      <c r="AA106" s="43" t="str">
        <f t="shared" si="31"/>
        <v>Graphical Table Layouts</v>
      </c>
    </row>
    <row r="107" spans="1:27" ht="6" customHeight="1" x14ac:dyDescent="0.25">
      <c r="A107" s="45">
        <v>107</v>
      </c>
      <c r="B107" s="52" t="s">
        <v>635</v>
      </c>
      <c r="C107" s="55" t="s">
        <v>636</v>
      </c>
      <c r="D107" s="55" t="s">
        <v>551</v>
      </c>
      <c r="E107" s="57" t="s">
        <v>515</v>
      </c>
      <c r="F107" s="56" t="s">
        <v>198</v>
      </c>
      <c r="G107" s="46" t="s">
        <v>9</v>
      </c>
      <c r="H107" s="46" t="s">
        <v>9</v>
      </c>
      <c r="I107" s="46" t="s">
        <v>9</v>
      </c>
      <c r="J107" s="46" t="s">
        <v>9</v>
      </c>
      <c r="K107" s="46" t="s">
        <v>9</v>
      </c>
      <c r="L107" s="53" t="str">
        <f t="shared" si="27"/>
        <v>Documentais</v>
      </c>
      <c r="M107" s="53" t="str">
        <f t="shared" si="28"/>
        <v>Elemento.de.Planilhamento</v>
      </c>
      <c r="N107" s="53" t="str">
        <f t="shared" si="29"/>
        <v>Tabelas</v>
      </c>
      <c r="O107" s="53" t="str">
        <f t="shared" si="30"/>
        <v>Tabela Gráfica</v>
      </c>
      <c r="P107" s="53" t="s">
        <v>167</v>
      </c>
      <c r="Q107" s="43" t="str">
        <f t="shared" si="32"/>
        <v>Tabla gráfica</v>
      </c>
      <c r="R107" s="43" t="s">
        <v>9</v>
      </c>
      <c r="S107" s="43" t="str">
        <f t="shared" si="50"/>
        <v>Documentais</v>
      </c>
      <c r="T107" s="43" t="str">
        <f t="shared" si="34"/>
        <v>Elemento.de.Planilhamento</v>
      </c>
      <c r="U107" s="53" t="str">
        <f t="shared" si="52"/>
        <v>Tabelas</v>
      </c>
      <c r="V107" s="43" t="s">
        <v>80</v>
      </c>
      <c r="W107" s="54" t="str">
        <f t="shared" si="26"/>
        <v>Key-DOCU-107</v>
      </c>
      <c r="X107" s="58" t="s">
        <v>411</v>
      </c>
      <c r="Y107" s="59" t="s">
        <v>317</v>
      </c>
      <c r="Z107" s="43" t="s">
        <v>425</v>
      </c>
      <c r="AA107" s="43" t="str">
        <f t="shared" si="31"/>
        <v>Graphical table</v>
      </c>
    </row>
    <row r="108" spans="1:27" ht="6" customHeight="1" x14ac:dyDescent="0.25">
      <c r="A108" s="45">
        <v>108</v>
      </c>
      <c r="B108" s="52" t="s">
        <v>635</v>
      </c>
      <c r="C108" s="55" t="s">
        <v>636</v>
      </c>
      <c r="D108" s="55" t="s">
        <v>551</v>
      </c>
      <c r="E108" s="57" t="s">
        <v>515</v>
      </c>
      <c r="F108" s="56" t="s">
        <v>516</v>
      </c>
      <c r="G108" s="46" t="s">
        <v>9</v>
      </c>
      <c r="H108" s="46" t="s">
        <v>9</v>
      </c>
      <c r="I108" s="46" t="s">
        <v>9</v>
      </c>
      <c r="J108" s="46" t="s">
        <v>9</v>
      </c>
      <c r="K108" s="46" t="s">
        <v>9</v>
      </c>
      <c r="L108" s="53" t="str">
        <f t="shared" si="27"/>
        <v>Documentais</v>
      </c>
      <c r="M108" s="53" t="str">
        <f t="shared" si="28"/>
        <v>Elemento.de.Planilhamento</v>
      </c>
      <c r="N108" s="53" t="str">
        <f t="shared" si="29"/>
        <v>Tabelas</v>
      </c>
      <c r="O108" s="53" t="str">
        <f t="shared" si="30"/>
        <v>Tabela Vistas</v>
      </c>
      <c r="P108" s="53" t="s">
        <v>169</v>
      </c>
      <c r="Q108" s="43" t="str">
        <f t="shared" si="32"/>
        <v>Conjunto de parámetros de una tabla</v>
      </c>
      <c r="R108" s="43" t="s">
        <v>9</v>
      </c>
      <c r="S108" s="43" t="str">
        <f t="shared" si="50"/>
        <v>Documentais</v>
      </c>
      <c r="T108" s="43" t="str">
        <f t="shared" si="34"/>
        <v>Elemento.de.Planilhamento</v>
      </c>
      <c r="U108" s="53" t="str">
        <f t="shared" si="52"/>
        <v>Tabelas</v>
      </c>
      <c r="V108" s="43" t="s">
        <v>80</v>
      </c>
      <c r="W108" s="54" t="str">
        <f t="shared" si="26"/>
        <v>Key-DOCU-108</v>
      </c>
      <c r="X108" s="58" t="s">
        <v>413</v>
      </c>
      <c r="Y108" s="59" t="s">
        <v>317</v>
      </c>
      <c r="Z108" s="43" t="s">
        <v>425</v>
      </c>
      <c r="AA108" s="43" t="str">
        <f t="shared" si="31"/>
        <v>Set of parameters of a table</v>
      </c>
    </row>
    <row r="109" spans="1:27" ht="6" customHeight="1" x14ac:dyDescent="0.25">
      <c r="A109" s="45">
        <v>109</v>
      </c>
      <c r="B109" s="52" t="s">
        <v>635</v>
      </c>
      <c r="C109" s="55" t="s">
        <v>636</v>
      </c>
      <c r="D109" s="55" t="s">
        <v>551</v>
      </c>
      <c r="E109" s="57" t="s">
        <v>515</v>
      </c>
      <c r="F109" s="56" t="s">
        <v>517</v>
      </c>
      <c r="G109" s="46" t="s">
        <v>9</v>
      </c>
      <c r="H109" s="46" t="s">
        <v>9</v>
      </c>
      <c r="I109" s="46" t="s">
        <v>9</v>
      </c>
      <c r="J109" s="46" t="s">
        <v>9</v>
      </c>
      <c r="K109" s="46" t="s">
        <v>9</v>
      </c>
      <c r="L109" s="53" t="str">
        <f t="shared" si="27"/>
        <v>Documentais</v>
      </c>
      <c r="M109" s="53" t="str">
        <f t="shared" si="28"/>
        <v>Elemento.de.Planilhamento</v>
      </c>
      <c r="N109" s="53" t="str">
        <f t="shared" si="29"/>
        <v>Tabelas</v>
      </c>
      <c r="O109" s="53" t="str">
        <f t="shared" si="30"/>
        <v>Tabela Ramais</v>
      </c>
      <c r="P109" s="53" t="s">
        <v>170</v>
      </c>
      <c r="Q109" s="43" t="str">
        <f t="shared" si="32"/>
        <v>Plantilla de tablas de circuitos</v>
      </c>
      <c r="R109" s="43" t="s">
        <v>9</v>
      </c>
      <c r="S109" s="43" t="str">
        <f t="shared" si="50"/>
        <v>Documentais</v>
      </c>
      <c r="T109" s="43" t="str">
        <f t="shared" si="34"/>
        <v>Elemento.de.Planilhamento</v>
      </c>
      <c r="U109" s="53" t="str">
        <f t="shared" si="52"/>
        <v>Tabelas</v>
      </c>
      <c r="V109" s="43" t="s">
        <v>80</v>
      </c>
      <c r="W109" s="54" t="str">
        <f t="shared" si="26"/>
        <v>Key-DOCU-109</v>
      </c>
      <c r="X109" s="58" t="s">
        <v>414</v>
      </c>
      <c r="Y109" s="59" t="s">
        <v>317</v>
      </c>
      <c r="Z109" s="43" t="s">
        <v>425</v>
      </c>
      <c r="AA109" s="43" t="str">
        <f t="shared" si="31"/>
        <v>Circuit Tables Template</v>
      </c>
    </row>
    <row r="110" spans="1:27" ht="6" customHeight="1" x14ac:dyDescent="0.25">
      <c r="A110" s="45">
        <v>110</v>
      </c>
      <c r="B110" s="52" t="s">
        <v>635</v>
      </c>
      <c r="C110" s="55" t="s">
        <v>636</v>
      </c>
      <c r="D110" s="55" t="s">
        <v>552</v>
      </c>
      <c r="E110" s="52" t="s">
        <v>182</v>
      </c>
      <c r="F110" s="56" t="s">
        <v>556</v>
      </c>
      <c r="G110" s="46" t="s">
        <v>9</v>
      </c>
      <c r="H110" s="46" t="s">
        <v>9</v>
      </c>
      <c r="I110" s="46" t="s">
        <v>9</v>
      </c>
      <c r="J110" s="46" t="s">
        <v>9</v>
      </c>
      <c r="K110" s="46" t="s">
        <v>9</v>
      </c>
      <c r="L110" s="53" t="str">
        <f t="shared" si="27"/>
        <v>Documentais</v>
      </c>
      <c r="M110" s="53" t="str">
        <f t="shared" si="28"/>
        <v>Elemento.de.Anotação</v>
      </c>
      <c r="N110" s="53" t="str">
        <f t="shared" si="29"/>
        <v>Area Textual</v>
      </c>
      <c r="O110" s="53" t="str">
        <f t="shared" si="30"/>
        <v>RecortedeAnotação</v>
      </c>
      <c r="P110" s="53" t="s">
        <v>81</v>
      </c>
      <c r="Q110" s="43" t="str">
        <f t="shared" si="32"/>
        <v>Anotación - espacio de corte textual</v>
      </c>
      <c r="R110" s="43" t="s">
        <v>9</v>
      </c>
      <c r="S110" s="43" t="str">
        <f t="shared" si="50"/>
        <v>Documentais</v>
      </c>
      <c r="T110" s="43" t="str">
        <f t="shared" si="34"/>
        <v>Elemento.de.Anotação</v>
      </c>
      <c r="U110" s="53" t="str">
        <f t="shared" si="52"/>
        <v>Area.Textual</v>
      </c>
      <c r="V110" s="43" t="s">
        <v>80</v>
      </c>
      <c r="W110" s="54" t="str">
        <f t="shared" si="26"/>
        <v>Key-DOCU-110</v>
      </c>
      <c r="X110" s="58" t="s">
        <v>318</v>
      </c>
      <c r="Y110" s="59" t="s">
        <v>317</v>
      </c>
      <c r="Z110" s="43" t="s">
        <v>425</v>
      </c>
      <c r="AA110" s="43" t="str">
        <f>_xlfn.TRANSLATE(P110,"pt","en")</f>
        <v>Annotation - textual cut space</v>
      </c>
    </row>
    <row r="111" spans="1:27" ht="6" customHeight="1" x14ac:dyDescent="0.25">
      <c r="A111" s="45">
        <v>111</v>
      </c>
      <c r="B111" s="52" t="s">
        <v>635</v>
      </c>
      <c r="C111" s="55" t="s">
        <v>636</v>
      </c>
      <c r="D111" s="55" t="s">
        <v>552</v>
      </c>
      <c r="E111" s="52" t="s">
        <v>182</v>
      </c>
      <c r="F111" s="56" t="s">
        <v>557</v>
      </c>
      <c r="G111" s="46" t="s">
        <v>9</v>
      </c>
      <c r="H111" s="46" t="s">
        <v>9</v>
      </c>
      <c r="I111" s="46" t="s">
        <v>9</v>
      </c>
      <c r="J111" s="46" t="s">
        <v>9</v>
      </c>
      <c r="K111" s="46" t="s">
        <v>9</v>
      </c>
      <c r="L111" s="53" t="str">
        <f t="shared" si="27"/>
        <v>Documentais</v>
      </c>
      <c r="M111" s="53" t="str">
        <f t="shared" si="28"/>
        <v>Elemento.de.Anotação</v>
      </c>
      <c r="N111" s="53" t="str">
        <f t="shared" si="29"/>
        <v>Area Textual</v>
      </c>
      <c r="O111" s="53" t="str">
        <f t="shared" si="30"/>
        <v>EspecialdeRecortedeAnotação</v>
      </c>
      <c r="P111" s="53" t="s">
        <v>82</v>
      </c>
      <c r="Q111" s="43" t="str">
        <f t="shared" si="32"/>
        <v>Anotación - espacio especial de recortes textuales</v>
      </c>
      <c r="R111" s="43" t="s">
        <v>9</v>
      </c>
      <c r="S111" s="43" t="str">
        <f t="shared" si="50"/>
        <v>Documentais</v>
      </c>
      <c r="T111" s="43" t="str">
        <f t="shared" si="34"/>
        <v>Elemento.de.Anotação</v>
      </c>
      <c r="U111" s="53" t="str">
        <f t="shared" si="52"/>
        <v>Area.Textual</v>
      </c>
      <c r="V111" s="43" t="s">
        <v>80</v>
      </c>
      <c r="W111" s="54" t="str">
        <f t="shared" si="26"/>
        <v>Key-DOCU-111</v>
      </c>
      <c r="X111" s="58" t="s">
        <v>319</v>
      </c>
      <c r="Y111" s="59" t="s">
        <v>317</v>
      </c>
      <c r="Z111" s="43" t="s">
        <v>425</v>
      </c>
      <c r="AA111" s="43" t="str">
        <f t="shared" ref="AA111" si="54">_xlfn.TRANSLATE(P111,"pt","en")</f>
        <v>Annotation - special textual cutout space</v>
      </c>
    </row>
    <row r="112" spans="1:27" ht="6" customHeight="1" x14ac:dyDescent="0.25">
      <c r="A112" s="45">
        <v>112</v>
      </c>
      <c r="B112" s="52" t="s">
        <v>635</v>
      </c>
      <c r="C112" s="55" t="s">
        <v>636</v>
      </c>
      <c r="D112" s="55" t="s">
        <v>552</v>
      </c>
      <c r="E112" s="57" t="s">
        <v>533</v>
      </c>
      <c r="F112" s="56" t="s">
        <v>567</v>
      </c>
      <c r="G112" s="46" t="s">
        <v>9</v>
      </c>
      <c r="H112" s="46" t="s">
        <v>9</v>
      </c>
      <c r="I112" s="46" t="s">
        <v>9</v>
      </c>
      <c r="J112" s="46" t="s">
        <v>9</v>
      </c>
      <c r="K112" s="46" t="s">
        <v>9</v>
      </c>
      <c r="L112" s="53" t="str">
        <f t="shared" si="27"/>
        <v>Documentais</v>
      </c>
      <c r="M112" s="53" t="str">
        <f t="shared" si="28"/>
        <v>Elemento.de.Anotação</v>
      </c>
      <c r="N112" s="53" t="str">
        <f t="shared" si="29"/>
        <v>Anotações</v>
      </c>
      <c r="O112" s="53" t="str">
        <f t="shared" si="30"/>
        <v>Texto Modelado</v>
      </c>
      <c r="P112" s="53" t="s">
        <v>137</v>
      </c>
      <c r="Q112" s="43" t="str">
        <f t="shared" si="32"/>
        <v>Textos de modelos 3D</v>
      </c>
      <c r="R112" s="43" t="s">
        <v>9</v>
      </c>
      <c r="S112" s="43" t="str">
        <f t="shared" si="50"/>
        <v>Documentais</v>
      </c>
      <c r="T112" s="43" t="str">
        <f t="shared" si="34"/>
        <v>Elemento.de.Anotação</v>
      </c>
      <c r="U112" s="53" t="str">
        <f t="shared" si="52"/>
        <v>Anotações</v>
      </c>
      <c r="V112" s="43" t="s">
        <v>80</v>
      </c>
      <c r="W112" s="54" t="str">
        <f t="shared" si="26"/>
        <v>Key-DOCU-112</v>
      </c>
      <c r="X112" s="58" t="s">
        <v>391</v>
      </c>
      <c r="Y112" s="59" t="s">
        <v>426</v>
      </c>
      <c r="Z112" s="43" t="s">
        <v>425</v>
      </c>
      <c r="AA112" s="43" t="str">
        <f t="shared" ref="AA112:AA113" si="55">_xlfn.TRANSLATE(P112,"pt","en")</f>
        <v>3D Model Texts</v>
      </c>
    </row>
    <row r="113" spans="1:27" ht="6" customHeight="1" x14ac:dyDescent="0.25">
      <c r="A113" s="45">
        <v>113</v>
      </c>
      <c r="B113" s="52" t="s">
        <v>635</v>
      </c>
      <c r="C113" s="55" t="s">
        <v>636</v>
      </c>
      <c r="D113" s="55" t="s">
        <v>552</v>
      </c>
      <c r="E113" s="57" t="s">
        <v>533</v>
      </c>
      <c r="F113" s="56" t="s">
        <v>521</v>
      </c>
      <c r="G113" s="46" t="s">
        <v>9</v>
      </c>
      <c r="H113" s="46" t="s">
        <v>9</v>
      </c>
      <c r="I113" s="46" t="s">
        <v>9</v>
      </c>
      <c r="J113" s="46" t="s">
        <v>9</v>
      </c>
      <c r="K113" s="46" t="s">
        <v>9</v>
      </c>
      <c r="L113" s="53" t="str">
        <f t="shared" ref="L113" si="56">CONCATENATE("", C113)</f>
        <v>Documentais</v>
      </c>
      <c r="M113" s="53" t="str">
        <f t="shared" ref="M113" si="57">CONCATENATE("", D113)</f>
        <v>Elemento.de.Anotação</v>
      </c>
      <c r="N113" s="53" t="str">
        <f t="shared" ref="N113" si="58">(SUBSTITUTE(SUBSTITUTE(CONCATENATE("",E113),"."," ")," De "," de "))</f>
        <v>Anotações</v>
      </c>
      <c r="O113" s="53" t="str">
        <f t="shared" ref="O113" si="59">(SUBSTITUTE(SUBSTITUTE(CONCATENATE("",F113),"."," ")," De "," de "))</f>
        <v>Anotação Textual</v>
      </c>
      <c r="P113" s="53" t="s">
        <v>174</v>
      </c>
      <c r="Q113" s="43" t="str">
        <f t="shared" si="32"/>
        <v>Notas textuales</v>
      </c>
      <c r="R113" s="43" t="s">
        <v>9</v>
      </c>
      <c r="S113" s="43" t="str">
        <f t="shared" si="50"/>
        <v>Documentais</v>
      </c>
      <c r="T113" s="43" t="str">
        <f t="shared" ref="T113" si="60">SUBSTITUTE(D113, "_", " ")</f>
        <v>Elemento.de.Anotação</v>
      </c>
      <c r="U113" s="53" t="str">
        <f t="shared" si="52"/>
        <v>Anotações</v>
      </c>
      <c r="V113" s="43" t="s">
        <v>80</v>
      </c>
      <c r="W113" s="54" t="str">
        <f t="shared" si="26"/>
        <v>Key-DOCU-113</v>
      </c>
      <c r="X113" s="58" t="s">
        <v>418</v>
      </c>
      <c r="Y113" s="59" t="s">
        <v>317</v>
      </c>
      <c r="Z113" s="43" t="s">
        <v>425</v>
      </c>
      <c r="AA113" s="43" t="str">
        <f t="shared" si="55"/>
        <v>Textual notes</v>
      </c>
    </row>
    <row r="114" spans="1:27" ht="6" customHeight="1" x14ac:dyDescent="0.25">
      <c r="A114" s="45">
        <v>114</v>
      </c>
      <c r="B114" s="52" t="s">
        <v>635</v>
      </c>
      <c r="C114" s="55" t="s">
        <v>636</v>
      </c>
      <c r="D114" s="55" t="s">
        <v>552</v>
      </c>
      <c r="E114" s="57" t="s">
        <v>533</v>
      </c>
      <c r="F114" s="56" t="s">
        <v>518</v>
      </c>
      <c r="G114" s="46" t="s">
        <v>9</v>
      </c>
      <c r="H114" s="46" t="s">
        <v>9</v>
      </c>
      <c r="I114" s="46" t="s">
        <v>9</v>
      </c>
      <c r="J114" s="46" t="s">
        <v>9</v>
      </c>
      <c r="K114" s="46" t="s">
        <v>9</v>
      </c>
      <c r="L114" s="53" t="str">
        <f t="shared" si="27"/>
        <v>Documentais</v>
      </c>
      <c r="M114" s="53" t="str">
        <f t="shared" si="28"/>
        <v>Elemento.de.Anotação</v>
      </c>
      <c r="N114" s="53" t="str">
        <f t="shared" si="29"/>
        <v>Anotações</v>
      </c>
      <c r="O114" s="53" t="str">
        <f t="shared" si="30"/>
        <v>Anotação Genérica</v>
      </c>
      <c r="P114" s="53" t="s">
        <v>171</v>
      </c>
      <c r="Q114" s="43" t="str">
        <f t="shared" si="32"/>
        <v>Anotaciones genéricas</v>
      </c>
      <c r="R114" s="43" t="s">
        <v>9</v>
      </c>
      <c r="S114" s="43" t="str">
        <f t="shared" si="50"/>
        <v>Documentais</v>
      </c>
      <c r="T114" s="43" t="str">
        <f t="shared" si="34"/>
        <v>Elemento.de.Anotação</v>
      </c>
      <c r="U114" s="53" t="str">
        <f t="shared" si="52"/>
        <v>Anotações</v>
      </c>
      <c r="V114" s="43" t="s">
        <v>80</v>
      </c>
      <c r="W114" s="54" t="str">
        <f t="shared" si="26"/>
        <v>Key-DOCU-114</v>
      </c>
      <c r="X114" s="58" t="s">
        <v>415</v>
      </c>
      <c r="Y114" s="59" t="s">
        <v>317</v>
      </c>
      <c r="Z114" s="43" t="s">
        <v>425</v>
      </c>
      <c r="AA114" s="43" t="str">
        <f t="shared" si="31"/>
        <v>Generic annotations</v>
      </c>
    </row>
    <row r="115" spans="1:27" ht="6" customHeight="1" x14ac:dyDescent="0.25">
      <c r="A115" s="45">
        <v>115</v>
      </c>
      <c r="B115" s="52" t="s">
        <v>635</v>
      </c>
      <c r="C115" s="55" t="s">
        <v>636</v>
      </c>
      <c r="D115" s="55" t="s">
        <v>552</v>
      </c>
      <c r="E115" s="57" t="s">
        <v>533</v>
      </c>
      <c r="F115" s="56" t="s">
        <v>519</v>
      </c>
      <c r="G115" s="46" t="s">
        <v>9</v>
      </c>
      <c r="H115" s="46" t="s">
        <v>9</v>
      </c>
      <c r="I115" s="46" t="s">
        <v>9</v>
      </c>
      <c r="J115" s="46" t="s">
        <v>9</v>
      </c>
      <c r="K115" s="46" t="s">
        <v>9</v>
      </c>
      <c r="L115" s="53" t="str">
        <f t="shared" si="27"/>
        <v>Documentais</v>
      </c>
      <c r="M115" s="53" t="str">
        <f t="shared" si="28"/>
        <v>Elemento.de.Anotação</v>
      </c>
      <c r="N115" s="53" t="str">
        <f t="shared" si="29"/>
        <v>Anotações</v>
      </c>
      <c r="O115" s="53" t="str">
        <f t="shared" si="30"/>
        <v>Anotação Múltiple</v>
      </c>
      <c r="P115" s="53" t="s">
        <v>172</v>
      </c>
      <c r="Q115" s="43" t="str">
        <f t="shared" si="32"/>
        <v>Múltiples referencias textuales</v>
      </c>
      <c r="R115" s="43" t="s">
        <v>9</v>
      </c>
      <c r="S115" s="43" t="str">
        <f t="shared" si="50"/>
        <v>Documentais</v>
      </c>
      <c r="T115" s="43" t="str">
        <f t="shared" si="34"/>
        <v>Elemento.de.Anotação</v>
      </c>
      <c r="U115" s="53" t="str">
        <f t="shared" si="52"/>
        <v>Anotações</v>
      </c>
      <c r="V115" s="43" t="s">
        <v>80</v>
      </c>
      <c r="W115" s="54" t="str">
        <f t="shared" si="26"/>
        <v>Key-DOCU-115</v>
      </c>
      <c r="X115" s="58" t="s">
        <v>416</v>
      </c>
      <c r="Y115" s="59" t="s">
        <v>317</v>
      </c>
      <c r="Z115" s="43" t="s">
        <v>425</v>
      </c>
      <c r="AA115" s="43" t="str">
        <f t="shared" si="31"/>
        <v>Multiple textual references</v>
      </c>
    </row>
    <row r="116" spans="1:27" ht="6" customHeight="1" x14ac:dyDescent="0.25">
      <c r="A116" s="45">
        <v>116</v>
      </c>
      <c r="B116" s="52" t="s">
        <v>635</v>
      </c>
      <c r="C116" s="55" t="s">
        <v>636</v>
      </c>
      <c r="D116" s="55" t="s">
        <v>552</v>
      </c>
      <c r="E116" s="57" t="s">
        <v>533</v>
      </c>
      <c r="F116" s="56" t="s">
        <v>520</v>
      </c>
      <c r="G116" s="46" t="s">
        <v>9</v>
      </c>
      <c r="H116" s="46" t="s">
        <v>9</v>
      </c>
      <c r="I116" s="46" t="s">
        <v>9</v>
      </c>
      <c r="J116" s="46" t="s">
        <v>9</v>
      </c>
      <c r="K116" s="46" t="s">
        <v>9</v>
      </c>
      <c r="L116" s="53" t="str">
        <f t="shared" si="27"/>
        <v>Documentais</v>
      </c>
      <c r="M116" s="53" t="str">
        <f t="shared" si="28"/>
        <v>Elemento.de.Anotação</v>
      </c>
      <c r="N116" s="53" t="str">
        <f t="shared" si="29"/>
        <v>Anotações</v>
      </c>
      <c r="O116" s="53" t="str">
        <f t="shared" si="30"/>
        <v>Anotação Estrutural</v>
      </c>
      <c r="P116" s="53" t="s">
        <v>173</v>
      </c>
      <c r="Q116" s="43" t="str">
        <f t="shared" si="32"/>
        <v>Anotaciones estructurales</v>
      </c>
      <c r="R116" s="43" t="s">
        <v>9</v>
      </c>
      <c r="S116" s="43" t="str">
        <f t="shared" si="50"/>
        <v>Documentais</v>
      </c>
      <c r="T116" s="43" t="str">
        <f t="shared" si="34"/>
        <v>Elemento.de.Anotação</v>
      </c>
      <c r="U116" s="53" t="str">
        <f t="shared" si="52"/>
        <v>Anotações</v>
      </c>
      <c r="V116" s="43" t="s">
        <v>80</v>
      </c>
      <c r="W116" s="54" t="str">
        <f t="shared" si="26"/>
        <v>Key-DOCU-116</v>
      </c>
      <c r="X116" s="58" t="s">
        <v>417</v>
      </c>
      <c r="Y116" s="59" t="s">
        <v>317</v>
      </c>
      <c r="Z116" s="43" t="s">
        <v>425</v>
      </c>
      <c r="AA116" s="43" t="str">
        <f t="shared" si="31"/>
        <v>Structural annotations</v>
      </c>
    </row>
    <row r="117" spans="1:27" ht="6" customHeight="1" x14ac:dyDescent="0.25">
      <c r="A117" s="45">
        <v>117</v>
      </c>
      <c r="B117" s="52" t="s">
        <v>635</v>
      </c>
      <c r="C117" s="55" t="s">
        <v>636</v>
      </c>
      <c r="D117" s="55" t="s">
        <v>552</v>
      </c>
      <c r="E117" s="57" t="s">
        <v>522</v>
      </c>
      <c r="F117" s="56" t="s">
        <v>527</v>
      </c>
      <c r="G117" s="46" t="s">
        <v>9</v>
      </c>
      <c r="H117" s="46" t="s">
        <v>9</v>
      </c>
      <c r="I117" s="46" t="s">
        <v>9</v>
      </c>
      <c r="J117" s="46" t="s">
        <v>9</v>
      </c>
      <c r="K117" s="46" t="s">
        <v>9</v>
      </c>
      <c r="L117" s="53" t="str">
        <f t="shared" si="27"/>
        <v>Documentais</v>
      </c>
      <c r="M117" s="53" t="str">
        <f t="shared" si="28"/>
        <v>Elemento.de.Anotação</v>
      </c>
      <c r="N117" s="53" t="str">
        <f t="shared" si="29"/>
        <v>Etiquetas</v>
      </c>
      <c r="O117" s="53" t="str">
        <f t="shared" si="30"/>
        <v>Etiqueta Detalhe</v>
      </c>
      <c r="P117" s="53" t="s">
        <v>176</v>
      </c>
      <c r="Q117" s="43" t="str">
        <f t="shared" si="32"/>
        <v>Componente de detallado 2D - Etiqueta o etiqueta textual</v>
      </c>
      <c r="R117" s="43" t="s">
        <v>9</v>
      </c>
      <c r="S117" s="43" t="str">
        <f t="shared" si="50"/>
        <v>Documentais</v>
      </c>
      <c r="T117" s="43" t="str">
        <f t="shared" si="34"/>
        <v>Elemento.de.Anotação</v>
      </c>
      <c r="U117" s="53" t="str">
        <f t="shared" si="52"/>
        <v>Etiquetas</v>
      </c>
      <c r="V117" s="43" t="s">
        <v>80</v>
      </c>
      <c r="W117" s="54" t="str">
        <f t="shared" si="26"/>
        <v>Key-DOCU-117</v>
      </c>
      <c r="X117" s="58" t="s">
        <v>419</v>
      </c>
      <c r="Y117" s="59" t="s">
        <v>317</v>
      </c>
      <c r="Z117" s="43" t="s">
        <v>425</v>
      </c>
      <c r="AA117" s="43" t="str">
        <f t="shared" si="31"/>
        <v>2D Detailing Component - Textual Label or Tag</v>
      </c>
    </row>
    <row r="118" spans="1:27" ht="6" customHeight="1" x14ac:dyDescent="0.25">
      <c r="A118" s="45">
        <v>118</v>
      </c>
      <c r="B118" s="52" t="s">
        <v>635</v>
      </c>
      <c r="C118" s="55" t="s">
        <v>636</v>
      </c>
      <c r="D118" s="55" t="s">
        <v>552</v>
      </c>
      <c r="E118" s="57" t="s">
        <v>522</v>
      </c>
      <c r="F118" s="56" t="s">
        <v>526</v>
      </c>
      <c r="G118" s="46" t="s">
        <v>9</v>
      </c>
      <c r="H118" s="46" t="s">
        <v>9</v>
      </c>
      <c r="I118" s="46" t="s">
        <v>9</v>
      </c>
      <c r="J118" s="46" t="s">
        <v>9</v>
      </c>
      <c r="K118" s="46" t="s">
        <v>9</v>
      </c>
      <c r="L118" s="53" t="str">
        <f t="shared" si="27"/>
        <v>Documentais</v>
      </c>
      <c r="M118" s="53" t="str">
        <f t="shared" si="28"/>
        <v>Elemento.de.Anotação</v>
      </c>
      <c r="N118" s="53" t="str">
        <f t="shared" si="29"/>
        <v>Etiquetas</v>
      </c>
      <c r="O118" s="53" t="str">
        <f t="shared" si="30"/>
        <v>Etiqueta KeyNote</v>
      </c>
      <c r="P118" s="53" t="s">
        <v>177</v>
      </c>
      <c r="Q118" s="43" t="str">
        <f t="shared" si="32"/>
        <v>Notas clave - Etiqueta o etiqueta textual</v>
      </c>
      <c r="R118" s="43" t="s">
        <v>9</v>
      </c>
      <c r="S118" s="43" t="str">
        <f t="shared" si="50"/>
        <v>Documentais</v>
      </c>
      <c r="T118" s="43" t="str">
        <f t="shared" si="34"/>
        <v>Elemento.de.Anotação</v>
      </c>
      <c r="U118" s="53" t="str">
        <f t="shared" si="52"/>
        <v>Etiquetas</v>
      </c>
      <c r="V118" s="43" t="s">
        <v>80</v>
      </c>
      <c r="W118" s="54" t="str">
        <f t="shared" si="26"/>
        <v>Key-DOCU-118</v>
      </c>
      <c r="X118" s="58" t="s">
        <v>420</v>
      </c>
      <c r="Y118" s="59" t="s">
        <v>317</v>
      </c>
      <c r="Z118" s="43" t="s">
        <v>425</v>
      </c>
      <c r="AA118" s="43" t="str">
        <f t="shared" si="31"/>
        <v>Key Notes - Textual Tag or Tag</v>
      </c>
    </row>
    <row r="119" spans="1:27" ht="6" customHeight="1" x14ac:dyDescent="0.25">
      <c r="A119" s="45">
        <v>119</v>
      </c>
      <c r="B119" s="52" t="s">
        <v>635</v>
      </c>
      <c r="C119" s="55" t="s">
        <v>636</v>
      </c>
      <c r="D119" s="55" t="s">
        <v>552</v>
      </c>
      <c r="E119" s="57" t="s">
        <v>522</v>
      </c>
      <c r="F119" s="56" t="s">
        <v>525</v>
      </c>
      <c r="G119" s="46" t="s">
        <v>9</v>
      </c>
      <c r="H119" s="46" t="s">
        <v>9</v>
      </c>
      <c r="I119" s="46" t="s">
        <v>9</v>
      </c>
      <c r="J119" s="46" t="s">
        <v>9</v>
      </c>
      <c r="K119" s="46" t="s">
        <v>9</v>
      </c>
      <c r="L119" s="53" t="str">
        <f t="shared" si="27"/>
        <v>Documentais</v>
      </c>
      <c r="M119" s="53" t="str">
        <f t="shared" si="28"/>
        <v>Elemento.de.Anotação</v>
      </c>
      <c r="N119" s="53" t="str">
        <f t="shared" si="29"/>
        <v>Etiquetas</v>
      </c>
      <c r="O119" s="53" t="str">
        <f t="shared" si="30"/>
        <v>Etiqueta Grupos</v>
      </c>
      <c r="P119" s="53" t="s">
        <v>178</v>
      </c>
      <c r="Q119" s="43" t="str">
        <f t="shared" si="32"/>
        <v>Grupos de plantillas - Etiqueta o etiqueta textual</v>
      </c>
      <c r="R119" s="43" t="s">
        <v>9</v>
      </c>
      <c r="S119" s="43" t="str">
        <f t="shared" si="50"/>
        <v>Documentais</v>
      </c>
      <c r="T119" s="43" t="str">
        <f t="shared" si="34"/>
        <v>Elemento.de.Anotação</v>
      </c>
      <c r="U119" s="53" t="str">
        <f t="shared" si="52"/>
        <v>Etiquetas</v>
      </c>
      <c r="V119" s="43" t="s">
        <v>80</v>
      </c>
      <c r="W119" s="54" t="str">
        <f t="shared" si="26"/>
        <v>Key-DOCU-119</v>
      </c>
      <c r="X119" s="58" t="s">
        <v>421</v>
      </c>
      <c r="Y119" s="59" t="s">
        <v>317</v>
      </c>
      <c r="Z119" s="43" t="s">
        <v>425</v>
      </c>
      <c r="AA119" s="43" t="str">
        <f t="shared" si="31"/>
        <v>Template Groups - Textual Label or Tag</v>
      </c>
    </row>
    <row r="120" spans="1:27" ht="6" customHeight="1" x14ac:dyDescent="0.25">
      <c r="A120" s="45">
        <v>120</v>
      </c>
      <c r="B120" s="52" t="s">
        <v>635</v>
      </c>
      <c r="C120" s="55" t="s">
        <v>636</v>
      </c>
      <c r="D120" s="55" t="s">
        <v>552</v>
      </c>
      <c r="E120" s="57" t="s">
        <v>522</v>
      </c>
      <c r="F120" s="56" t="s">
        <v>524</v>
      </c>
      <c r="G120" s="46" t="s">
        <v>9</v>
      </c>
      <c r="H120" s="46" t="s">
        <v>9</v>
      </c>
      <c r="I120" s="46" t="s">
        <v>9</v>
      </c>
      <c r="J120" s="46" t="s">
        <v>9</v>
      </c>
      <c r="K120" s="46" t="s">
        <v>9</v>
      </c>
      <c r="L120" s="53" t="str">
        <f t="shared" si="27"/>
        <v>Documentais</v>
      </c>
      <c r="M120" s="53" t="str">
        <f t="shared" si="28"/>
        <v>Elemento.de.Anotação</v>
      </c>
      <c r="N120" s="53" t="str">
        <f t="shared" si="29"/>
        <v>Etiquetas</v>
      </c>
      <c r="O120" s="53" t="str">
        <f t="shared" si="30"/>
        <v>Etiqueta Categoria</v>
      </c>
      <c r="P120" s="53" t="s">
        <v>179</v>
      </c>
      <c r="Q120" s="43" t="str">
        <f t="shared" si="32"/>
        <v>Etiqueta textual o etiqueta Milticategoria</v>
      </c>
      <c r="R120" s="43" t="s">
        <v>9</v>
      </c>
      <c r="S120" s="43" t="str">
        <f t="shared" si="50"/>
        <v>Documentais</v>
      </c>
      <c r="T120" s="43" t="str">
        <f t="shared" si="34"/>
        <v>Elemento.de.Anotação</v>
      </c>
      <c r="U120" s="53" t="str">
        <f t="shared" si="52"/>
        <v>Etiquetas</v>
      </c>
      <c r="V120" s="43" t="s">
        <v>80</v>
      </c>
      <c r="W120" s="54" t="str">
        <f t="shared" si="26"/>
        <v>Key-DOCU-120</v>
      </c>
      <c r="X120" s="58" t="s">
        <v>422</v>
      </c>
      <c r="Y120" s="59" t="s">
        <v>317</v>
      </c>
      <c r="Z120" s="43" t="s">
        <v>425</v>
      </c>
      <c r="AA120" s="43" t="str">
        <f t="shared" si="31"/>
        <v>Textual Label or Milticategoria Tag</v>
      </c>
    </row>
    <row r="121" spans="1:27" ht="6" customHeight="1" x14ac:dyDescent="0.25">
      <c r="A121" s="45">
        <v>121</v>
      </c>
      <c r="B121" s="52" t="s">
        <v>635</v>
      </c>
      <c r="C121" s="55" t="s">
        <v>636</v>
      </c>
      <c r="D121" s="55" t="s">
        <v>552</v>
      </c>
      <c r="E121" s="57" t="s">
        <v>522</v>
      </c>
      <c r="F121" s="56" t="s">
        <v>523</v>
      </c>
      <c r="G121" s="46" t="s">
        <v>9</v>
      </c>
      <c r="H121" s="46" t="s">
        <v>9</v>
      </c>
      <c r="I121" s="46" t="s">
        <v>9</v>
      </c>
      <c r="J121" s="46" t="s">
        <v>9</v>
      </c>
      <c r="K121" s="46" t="s">
        <v>9</v>
      </c>
      <c r="L121" s="53" t="str">
        <f t="shared" si="27"/>
        <v>Documentais</v>
      </c>
      <c r="M121" s="53" t="str">
        <f t="shared" si="28"/>
        <v>Elemento.de.Anotação</v>
      </c>
      <c r="N121" s="53" t="str">
        <f t="shared" si="29"/>
        <v>Etiquetas</v>
      </c>
      <c r="O121" s="53" t="str">
        <f t="shared" si="30"/>
        <v>Etiqueta Múltiple</v>
      </c>
      <c r="P121" s="53" t="s">
        <v>180</v>
      </c>
      <c r="Q121" s="43" t="str">
        <f t="shared" si="32"/>
        <v>Múltiples líneas de línea de línea - Etiqueta o etiqueta textual</v>
      </c>
      <c r="R121" s="43" t="s">
        <v>9</v>
      </c>
      <c r="S121" s="43" t="str">
        <f t="shared" si="50"/>
        <v>Documentais</v>
      </c>
      <c r="T121" s="43" t="str">
        <f t="shared" si="34"/>
        <v>Elemento.de.Anotação</v>
      </c>
      <c r="U121" s="53" t="str">
        <f t="shared" si="52"/>
        <v>Etiquetas</v>
      </c>
      <c r="V121" s="43" t="s">
        <v>80</v>
      </c>
      <c r="W121" s="54" t="str">
        <f t="shared" si="26"/>
        <v>Key-DOCU-121</v>
      </c>
      <c r="X121" s="58" t="s">
        <v>423</v>
      </c>
      <c r="Y121" s="59" t="s">
        <v>317</v>
      </c>
      <c r="Z121" s="43" t="s">
        <v>425</v>
      </c>
      <c r="AA121" s="43" t="str">
        <f t="shared" si="31"/>
        <v>Multiple Leader Lines - Textual Tag or Tag</v>
      </c>
    </row>
    <row r="122" spans="1:27" ht="6" customHeight="1" x14ac:dyDescent="0.25">
      <c r="A122" s="45">
        <v>122</v>
      </c>
      <c r="B122" s="52" t="s">
        <v>635</v>
      </c>
      <c r="C122" s="55" t="s">
        <v>636</v>
      </c>
      <c r="D122" s="55" t="s">
        <v>552</v>
      </c>
      <c r="E122" s="57" t="s">
        <v>522</v>
      </c>
      <c r="F122" s="56" t="s">
        <v>175</v>
      </c>
      <c r="G122" s="46" t="s">
        <v>9</v>
      </c>
      <c r="H122" s="46" t="s">
        <v>9</v>
      </c>
      <c r="I122" s="46" t="s">
        <v>9</v>
      </c>
      <c r="J122" s="46" t="s">
        <v>9</v>
      </c>
      <c r="K122" s="46" t="s">
        <v>9</v>
      </c>
      <c r="L122" s="53" t="str">
        <f t="shared" ref="L122:L124" si="61">CONCATENATE("", C122)</f>
        <v>Documentais</v>
      </c>
      <c r="M122" s="53" t="str">
        <f t="shared" ref="M122:M124" si="62">CONCATENATE("", D122)</f>
        <v>Elemento.de.Anotação</v>
      </c>
      <c r="N122" s="53" t="str">
        <f t="shared" ref="N122:N124" si="63">(SUBSTITUTE(SUBSTITUTE(CONCATENATE("",E122),"."," ")," De "," de "))</f>
        <v>Etiquetas</v>
      </c>
      <c r="O122" s="53" t="str">
        <f t="shared" ref="O122:O124" si="64">(SUBSTITUTE(SUBSTITUTE(CONCATENATE("",F122),"."," ")," De "," de "))</f>
        <v>Etiqueta</v>
      </c>
      <c r="P122" s="53" t="s">
        <v>181</v>
      </c>
      <c r="Q122" s="43" t="str">
        <f t="shared" si="32"/>
        <v>Etiqueta o etiqueta textual</v>
      </c>
      <c r="R122" s="43" t="s">
        <v>9</v>
      </c>
      <c r="S122" s="43" t="str">
        <f t="shared" ref="S122:S124" si="65">SUBSTITUTE(C122, "_", " ")</f>
        <v>Documentais</v>
      </c>
      <c r="T122" s="43" t="str">
        <f t="shared" ref="T122:T124" si="66">SUBSTITUTE(D122, "_", " ")</f>
        <v>Elemento.de.Anotação</v>
      </c>
      <c r="U122" s="53" t="str">
        <f t="shared" ref="U122:U124" si="67">SUBSTITUTE(E122, "_", " ")</f>
        <v>Etiquetas</v>
      </c>
      <c r="V122" s="43" t="s">
        <v>80</v>
      </c>
      <c r="W122" s="54" t="str">
        <f t="shared" si="26"/>
        <v>Key-DOCU-122</v>
      </c>
      <c r="X122" s="58" t="s">
        <v>424</v>
      </c>
      <c r="Y122" s="59" t="s">
        <v>317</v>
      </c>
      <c r="Z122" s="43" t="s">
        <v>425</v>
      </c>
      <c r="AA122" s="43" t="str">
        <f t="shared" ref="AA122:AA124" si="68">_xlfn.TRANSLATE(P122,"pt","en")</f>
        <v>Textual Label or Tag</v>
      </c>
    </row>
    <row r="123" spans="1:27" ht="6" customHeight="1" x14ac:dyDescent="0.25">
      <c r="A123" s="45">
        <v>123</v>
      </c>
      <c r="B123" s="52" t="s">
        <v>635</v>
      </c>
      <c r="C123" s="55" t="s">
        <v>636</v>
      </c>
      <c r="D123" s="55" t="s">
        <v>552</v>
      </c>
      <c r="E123" s="57" t="s">
        <v>522</v>
      </c>
      <c r="F123" s="56" t="s">
        <v>592</v>
      </c>
      <c r="G123" s="46" t="s">
        <v>9</v>
      </c>
      <c r="H123" s="46" t="s">
        <v>9</v>
      </c>
      <c r="I123" s="46" t="s">
        <v>9</v>
      </c>
      <c r="J123" s="46" t="s">
        <v>9</v>
      </c>
      <c r="K123" s="46" t="s">
        <v>9</v>
      </c>
      <c r="L123" s="53" t="str">
        <f t="shared" si="61"/>
        <v>Documentais</v>
      </c>
      <c r="M123" s="53" t="str">
        <f t="shared" si="62"/>
        <v>Elemento.de.Anotação</v>
      </c>
      <c r="N123" s="53" t="str">
        <f t="shared" si="63"/>
        <v>Etiquetas</v>
      </c>
      <c r="O123" s="53" t="str">
        <f t="shared" si="64"/>
        <v>Etiqueta Parede</v>
      </c>
      <c r="P123" s="53" t="s">
        <v>598</v>
      </c>
      <c r="Q123" s="43" t="str">
        <f t="shared" si="32"/>
        <v>Etiqueta textual o etiqueta de pared</v>
      </c>
      <c r="R123" s="43" t="s">
        <v>9</v>
      </c>
      <c r="S123" s="43" t="str">
        <f t="shared" si="65"/>
        <v>Documentais</v>
      </c>
      <c r="T123" s="43" t="str">
        <f t="shared" si="66"/>
        <v>Elemento.de.Anotação</v>
      </c>
      <c r="U123" s="53" t="str">
        <f t="shared" si="67"/>
        <v>Etiquetas</v>
      </c>
      <c r="V123" s="43" t="s">
        <v>80</v>
      </c>
      <c r="W123" s="54" t="str">
        <f t="shared" si="26"/>
        <v>Key-DOCU-123</v>
      </c>
      <c r="X123" s="58" t="s">
        <v>597</v>
      </c>
      <c r="Y123" s="59" t="s">
        <v>317</v>
      </c>
      <c r="Z123" s="43" t="s">
        <v>425</v>
      </c>
      <c r="AA123" s="43" t="str">
        <f t="shared" si="68"/>
        <v>Textual Label or Wall Tag</v>
      </c>
    </row>
    <row r="124" spans="1:27" ht="6" customHeight="1" x14ac:dyDescent="0.25">
      <c r="A124" s="45">
        <v>124</v>
      </c>
      <c r="B124" s="52" t="s">
        <v>635</v>
      </c>
      <c r="C124" s="55" t="s">
        <v>636</v>
      </c>
      <c r="D124" s="55" t="s">
        <v>552</v>
      </c>
      <c r="E124" s="57" t="s">
        <v>522</v>
      </c>
      <c r="F124" s="56" t="s">
        <v>593</v>
      </c>
      <c r="G124" s="46" t="s">
        <v>9</v>
      </c>
      <c r="H124" s="46" t="s">
        <v>9</v>
      </c>
      <c r="I124" s="46" t="s">
        <v>9</v>
      </c>
      <c r="J124" s="46" t="s">
        <v>9</v>
      </c>
      <c r="K124" s="46" t="s">
        <v>9</v>
      </c>
      <c r="L124" s="53" t="str">
        <f t="shared" si="61"/>
        <v>Documentais</v>
      </c>
      <c r="M124" s="53" t="str">
        <f t="shared" si="62"/>
        <v>Elemento.de.Anotação</v>
      </c>
      <c r="N124" s="53" t="str">
        <f t="shared" si="63"/>
        <v>Etiquetas</v>
      </c>
      <c r="O124" s="53" t="str">
        <f t="shared" si="64"/>
        <v>Etiqueta Porta</v>
      </c>
      <c r="P124" s="53" t="s">
        <v>599</v>
      </c>
      <c r="Q124" s="43" t="str">
        <f t="shared" si="32"/>
        <v>Etiqueta textual o etiqueta de puerta</v>
      </c>
      <c r="R124" s="43" t="s">
        <v>9</v>
      </c>
      <c r="S124" s="43" t="str">
        <f t="shared" si="65"/>
        <v>Documentais</v>
      </c>
      <c r="T124" s="43" t="str">
        <f t="shared" si="66"/>
        <v>Elemento.de.Anotação</v>
      </c>
      <c r="U124" s="53" t="str">
        <f t="shared" si="67"/>
        <v>Etiquetas</v>
      </c>
      <c r="V124" s="43" t="s">
        <v>80</v>
      </c>
      <c r="W124" s="54" t="str">
        <f t="shared" si="26"/>
        <v>Key-DOCU-124</v>
      </c>
      <c r="X124" s="58" t="s">
        <v>595</v>
      </c>
      <c r="Y124" s="59" t="s">
        <v>317</v>
      </c>
      <c r="Z124" s="43" t="s">
        <v>425</v>
      </c>
      <c r="AA124" s="43" t="str">
        <f t="shared" si="68"/>
        <v>Textual Label or Door Tag</v>
      </c>
    </row>
    <row r="125" spans="1:27" ht="6" customHeight="1" x14ac:dyDescent="0.25">
      <c r="A125" s="45">
        <v>125</v>
      </c>
      <c r="B125" s="52" t="s">
        <v>635</v>
      </c>
      <c r="C125" s="55" t="s">
        <v>636</v>
      </c>
      <c r="D125" s="55" t="s">
        <v>552</v>
      </c>
      <c r="E125" s="57" t="s">
        <v>522</v>
      </c>
      <c r="F125" s="56" t="s">
        <v>594</v>
      </c>
      <c r="G125" s="46" t="s">
        <v>9</v>
      </c>
      <c r="H125" s="46" t="s">
        <v>9</v>
      </c>
      <c r="I125" s="46" t="s">
        <v>9</v>
      </c>
      <c r="J125" s="46" t="s">
        <v>9</v>
      </c>
      <c r="K125" s="46" t="s">
        <v>9</v>
      </c>
      <c r="L125" s="53" t="str">
        <f t="shared" si="27"/>
        <v>Documentais</v>
      </c>
      <c r="M125" s="53" t="str">
        <f t="shared" si="28"/>
        <v>Elemento.de.Anotação</v>
      </c>
      <c r="N125" s="53" t="str">
        <f t="shared" si="29"/>
        <v>Etiquetas</v>
      </c>
      <c r="O125" s="53" t="str">
        <f t="shared" si="30"/>
        <v>Etiqueta Janela</v>
      </c>
      <c r="P125" s="53" t="s">
        <v>600</v>
      </c>
      <c r="Q125" s="43" t="str">
        <f t="shared" si="32"/>
        <v>Etiqueta textual o etiqueta de Windows</v>
      </c>
      <c r="R125" s="43" t="s">
        <v>9</v>
      </c>
      <c r="S125" s="43" t="str">
        <f t="shared" si="50"/>
        <v>Documentais</v>
      </c>
      <c r="T125" s="43" t="str">
        <f t="shared" si="34"/>
        <v>Elemento.de.Anotação</v>
      </c>
      <c r="U125" s="53" t="str">
        <f t="shared" si="52"/>
        <v>Etiquetas</v>
      </c>
      <c r="V125" s="43" t="s">
        <v>80</v>
      </c>
      <c r="W125" s="54" t="str">
        <f t="shared" ref="W125:W140" si="69">CONCATENATE("Key-DOCU-",A125)</f>
        <v>Key-DOCU-125</v>
      </c>
      <c r="X125" s="58" t="s">
        <v>596</v>
      </c>
      <c r="Y125" s="59" t="s">
        <v>317</v>
      </c>
      <c r="Z125" s="43" t="s">
        <v>425</v>
      </c>
      <c r="AA125" s="43" t="str">
        <f t="shared" si="31"/>
        <v>Textual Label or Windows Tag</v>
      </c>
    </row>
    <row r="126" spans="1:27" ht="6" customHeight="1" x14ac:dyDescent="0.25">
      <c r="A126" s="45">
        <v>126</v>
      </c>
      <c r="B126" s="52" t="s">
        <v>635</v>
      </c>
      <c r="C126" s="55" t="s">
        <v>636</v>
      </c>
      <c r="D126" s="55" t="s">
        <v>563</v>
      </c>
      <c r="E126" s="57" t="s">
        <v>564</v>
      </c>
      <c r="F126" s="56" t="s">
        <v>257</v>
      </c>
      <c r="G126" s="46" t="s">
        <v>9</v>
      </c>
      <c r="H126" s="46" t="s">
        <v>9</v>
      </c>
      <c r="I126" s="46" t="s">
        <v>9</v>
      </c>
      <c r="J126" s="46" t="s">
        <v>9</v>
      </c>
      <c r="K126" s="46" t="s">
        <v>9</v>
      </c>
      <c r="L126" s="53" t="str">
        <f t="shared" ref="L126" si="70">CONCATENATE("", C126)</f>
        <v>Documentais</v>
      </c>
      <c r="M126" s="53" t="str">
        <f t="shared" ref="M126" si="71">CONCATENATE("", D126)</f>
        <v>Elemento.de.Legallização</v>
      </c>
      <c r="N126" s="53" t="str">
        <f t="shared" ref="N126" si="72">(SUBSTITUTE(SUBSTITUTE(CONCATENATE("",E126),"."," ")," De "," de "))</f>
        <v>Licenças</v>
      </c>
      <c r="O126" s="53" t="str">
        <f t="shared" ref="O126" si="73">(SUBSTITUTE(SUBSTITUTE(CONCATENATE("",F126),"."," ")," De "," de "))</f>
        <v>Domínio Público</v>
      </c>
      <c r="P126" s="53" t="s">
        <v>575</v>
      </c>
      <c r="Q126" s="43" t="str">
        <f t="shared" si="32"/>
        <v>No se requiere licencia. El documento es de dominio público</v>
      </c>
      <c r="R126" s="43" t="s">
        <v>9</v>
      </c>
      <c r="S126" s="43" t="str">
        <f t="shared" si="50"/>
        <v>Documentais</v>
      </c>
      <c r="T126" s="43" t="str">
        <f t="shared" ref="T126" si="74">SUBSTITUTE(D126, "_", " ")</f>
        <v>Elemento.de.Legallização</v>
      </c>
      <c r="U126" s="53" t="str">
        <f t="shared" si="52"/>
        <v>Licenças</v>
      </c>
      <c r="V126" s="43" t="s">
        <v>80</v>
      </c>
      <c r="W126" s="54" t="str">
        <f t="shared" si="69"/>
        <v>Key-DOCU-126</v>
      </c>
      <c r="X126" s="43" t="s">
        <v>9</v>
      </c>
      <c r="Y126" s="43" t="s">
        <v>9</v>
      </c>
      <c r="Z126" s="43" t="s">
        <v>425</v>
      </c>
      <c r="AA126" s="43" t="str">
        <f t="shared" ref="AA126" si="75">_xlfn.TRANSLATE(P126,"pt","en")</f>
        <v>Licensing is not required. The document is Public Domain</v>
      </c>
    </row>
    <row r="127" spans="1:27" ht="6" customHeight="1" x14ac:dyDescent="0.25">
      <c r="A127" s="45">
        <v>127</v>
      </c>
      <c r="B127" s="52" t="s">
        <v>635</v>
      </c>
      <c r="C127" s="55" t="s">
        <v>636</v>
      </c>
      <c r="D127" s="55" t="s">
        <v>563</v>
      </c>
      <c r="E127" s="57" t="s">
        <v>564</v>
      </c>
      <c r="F127" s="56" t="s">
        <v>565</v>
      </c>
      <c r="G127" s="46" t="s">
        <v>9</v>
      </c>
      <c r="H127" s="46" t="s">
        <v>9</v>
      </c>
      <c r="I127" s="46" t="s">
        <v>9</v>
      </c>
      <c r="J127" s="46" t="s">
        <v>9</v>
      </c>
      <c r="K127" s="46" t="s">
        <v>9</v>
      </c>
      <c r="L127" s="53" t="str">
        <f t="shared" si="27"/>
        <v>Documentais</v>
      </c>
      <c r="M127" s="53" t="str">
        <f t="shared" si="28"/>
        <v>Elemento.de.Legallização</v>
      </c>
      <c r="N127" s="53" t="str">
        <f t="shared" si="29"/>
        <v>Licenças</v>
      </c>
      <c r="O127" s="53" t="str">
        <f t="shared" si="30"/>
        <v>CCommons</v>
      </c>
      <c r="P127" s="53" t="s">
        <v>255</v>
      </c>
      <c r="Q127" s="43" t="str">
        <f t="shared" si="32"/>
        <v>Licencia Creative Commons</v>
      </c>
      <c r="R127" s="43" t="s">
        <v>9</v>
      </c>
      <c r="S127" s="43" t="str">
        <f t="shared" si="50"/>
        <v>Documentais</v>
      </c>
      <c r="T127" s="43" t="str">
        <f t="shared" si="34"/>
        <v>Elemento.de.Legallização</v>
      </c>
      <c r="U127" s="53" t="str">
        <f t="shared" si="52"/>
        <v>Licenças</v>
      </c>
      <c r="V127" s="43" t="s">
        <v>80</v>
      </c>
      <c r="W127" s="54" t="str">
        <f t="shared" si="69"/>
        <v>Key-DOCU-127</v>
      </c>
      <c r="X127" s="43" t="s">
        <v>9</v>
      </c>
      <c r="Y127" s="43" t="s">
        <v>9</v>
      </c>
      <c r="Z127" s="43" t="s">
        <v>425</v>
      </c>
      <c r="AA127" s="43" t="str">
        <f t="shared" si="31"/>
        <v>Creative Commons License</v>
      </c>
    </row>
    <row r="128" spans="1:27" ht="6" customHeight="1" x14ac:dyDescent="0.25">
      <c r="A128" s="45">
        <v>128</v>
      </c>
      <c r="B128" s="52" t="s">
        <v>635</v>
      </c>
      <c r="C128" s="55" t="s">
        <v>636</v>
      </c>
      <c r="D128" s="55" t="s">
        <v>563</v>
      </c>
      <c r="E128" s="57" t="s">
        <v>564</v>
      </c>
      <c r="F128" s="56" t="s">
        <v>256</v>
      </c>
      <c r="G128" s="46" t="s">
        <v>9</v>
      </c>
      <c r="H128" s="46" t="s">
        <v>9</v>
      </c>
      <c r="I128" s="46" t="s">
        <v>9</v>
      </c>
      <c r="J128" s="46" t="s">
        <v>9</v>
      </c>
      <c r="K128" s="46" t="s">
        <v>9</v>
      </c>
      <c r="L128" s="53" t="str">
        <f t="shared" si="27"/>
        <v>Documentais</v>
      </c>
      <c r="M128" s="53" t="str">
        <f t="shared" si="28"/>
        <v>Elemento.de.Legallização</v>
      </c>
      <c r="N128" s="53" t="str">
        <f t="shared" si="29"/>
        <v>Licenças</v>
      </c>
      <c r="O128" s="53" t="str">
        <f t="shared" si="30"/>
        <v>Direito Autoral</v>
      </c>
      <c r="P128" s="53" t="s">
        <v>253</v>
      </c>
      <c r="Q128" s="43" t="str">
        <f t="shared" si="32"/>
        <v>Licencia de derechos de autor</v>
      </c>
      <c r="R128" s="43" t="s">
        <v>9</v>
      </c>
      <c r="S128" s="43" t="str">
        <f t="shared" si="50"/>
        <v>Documentais</v>
      </c>
      <c r="T128" s="43" t="str">
        <f t="shared" si="34"/>
        <v>Elemento.de.Legallização</v>
      </c>
      <c r="U128" s="53" t="str">
        <f t="shared" si="52"/>
        <v>Licenças</v>
      </c>
      <c r="V128" s="43" t="s">
        <v>80</v>
      </c>
      <c r="W128" s="54" t="str">
        <f t="shared" si="69"/>
        <v>Key-DOCU-128</v>
      </c>
      <c r="X128" s="43" t="s">
        <v>9</v>
      </c>
      <c r="Y128" s="43" t="s">
        <v>9</v>
      </c>
      <c r="Z128" s="43" t="s">
        <v>425</v>
      </c>
      <c r="AA128" s="43" t="str">
        <f t="shared" si="31"/>
        <v>Copyright License</v>
      </c>
    </row>
    <row r="129" spans="1:27" ht="6" customHeight="1" x14ac:dyDescent="0.25">
      <c r="A129" s="45">
        <v>129</v>
      </c>
      <c r="B129" s="52" t="s">
        <v>635</v>
      </c>
      <c r="C129" s="55" t="s">
        <v>636</v>
      </c>
      <c r="D129" s="55" t="s">
        <v>563</v>
      </c>
      <c r="E129" s="57" t="s">
        <v>564</v>
      </c>
      <c r="F129" s="56" t="s">
        <v>242</v>
      </c>
      <c r="G129" s="46" t="s">
        <v>9</v>
      </c>
      <c r="H129" s="46" t="s">
        <v>9</v>
      </c>
      <c r="I129" s="46" t="s">
        <v>9</v>
      </c>
      <c r="J129" s="46" t="s">
        <v>9</v>
      </c>
      <c r="K129" s="46" t="s">
        <v>9</v>
      </c>
      <c r="L129" s="53" t="str">
        <f t="shared" si="27"/>
        <v>Documentais</v>
      </c>
      <c r="M129" s="53" t="str">
        <f t="shared" si="28"/>
        <v>Elemento.de.Legallização</v>
      </c>
      <c r="N129" s="53" t="str">
        <f t="shared" si="29"/>
        <v>Licenças</v>
      </c>
      <c r="O129" s="53" t="str">
        <f t="shared" si="30"/>
        <v>Direito Industrial</v>
      </c>
      <c r="P129" s="53" t="s">
        <v>254</v>
      </c>
      <c r="Q129" s="43" t="str">
        <f t="shared" si="32"/>
        <v>Licencia de Derecho Industrial</v>
      </c>
      <c r="R129" s="43" t="s">
        <v>9</v>
      </c>
      <c r="S129" s="43" t="str">
        <f t="shared" si="50"/>
        <v>Documentais</v>
      </c>
      <c r="T129" s="43" t="str">
        <f t="shared" si="34"/>
        <v>Elemento.de.Legallização</v>
      </c>
      <c r="U129" s="53" t="str">
        <f t="shared" si="52"/>
        <v>Licenças</v>
      </c>
      <c r="V129" s="43" t="s">
        <v>80</v>
      </c>
      <c r="W129" s="54" t="str">
        <f t="shared" si="69"/>
        <v>Key-DOCU-129</v>
      </c>
      <c r="X129" s="43" t="s">
        <v>9</v>
      </c>
      <c r="Y129" s="43" t="s">
        <v>9</v>
      </c>
      <c r="Z129" s="43" t="s">
        <v>425</v>
      </c>
      <c r="AA129" s="43" t="str">
        <f t="shared" si="31"/>
        <v>Industrial Law License</v>
      </c>
    </row>
    <row r="130" spans="1:27" ht="6" customHeight="1" x14ac:dyDescent="0.25">
      <c r="A130" s="45">
        <v>130</v>
      </c>
      <c r="B130" s="52" t="s">
        <v>635</v>
      </c>
      <c r="C130" s="55" t="s">
        <v>636</v>
      </c>
      <c r="D130" s="55" t="s">
        <v>563</v>
      </c>
      <c r="E130" s="57" t="s">
        <v>275</v>
      </c>
      <c r="F130" s="56" t="s">
        <v>265</v>
      </c>
      <c r="G130" s="46" t="s">
        <v>9</v>
      </c>
      <c r="H130" s="46" t="s">
        <v>9</v>
      </c>
      <c r="I130" s="46" t="s">
        <v>9</v>
      </c>
      <c r="J130" s="46" t="s">
        <v>9</v>
      </c>
      <c r="K130" s="46" t="s">
        <v>9</v>
      </c>
      <c r="L130" s="53" t="str">
        <f t="shared" si="27"/>
        <v>Documentais</v>
      </c>
      <c r="M130" s="53" t="str">
        <f t="shared" si="28"/>
        <v>Elemento.de.Legallização</v>
      </c>
      <c r="N130" s="53" t="str">
        <f t="shared" si="29"/>
        <v>Governança</v>
      </c>
      <c r="O130" s="53" t="str">
        <f t="shared" si="30"/>
        <v>Lei</v>
      </c>
      <c r="P130" s="53" t="s">
        <v>276</v>
      </c>
      <c r="Q130" s="43" t="str">
        <f t="shared" si="32"/>
        <v>Derecho publicado en Brasil</v>
      </c>
      <c r="R130" s="43" t="s">
        <v>9</v>
      </c>
      <c r="S130" s="43" t="str">
        <f t="shared" si="50"/>
        <v>Documentais</v>
      </c>
      <c r="T130" s="43" t="str">
        <f t="shared" si="34"/>
        <v>Elemento.de.Legallização</v>
      </c>
      <c r="U130" s="53" t="str">
        <f t="shared" si="52"/>
        <v>Governança</v>
      </c>
      <c r="V130" s="43" t="s">
        <v>80</v>
      </c>
      <c r="W130" s="54" t="str">
        <f t="shared" si="69"/>
        <v>Key-DOCU-130</v>
      </c>
      <c r="X130" s="43" t="s">
        <v>9</v>
      </c>
      <c r="Y130" s="43" t="s">
        <v>9</v>
      </c>
      <c r="Z130" s="43" t="s">
        <v>425</v>
      </c>
      <c r="AA130" s="43" t="str">
        <f t="shared" si="31"/>
        <v>Law published in Brazil</v>
      </c>
    </row>
    <row r="131" spans="1:27" ht="6" customHeight="1" x14ac:dyDescent="0.25">
      <c r="A131" s="45">
        <v>131</v>
      </c>
      <c r="B131" s="52" t="s">
        <v>635</v>
      </c>
      <c r="C131" s="55" t="s">
        <v>636</v>
      </c>
      <c r="D131" s="55" t="s">
        <v>563</v>
      </c>
      <c r="E131" s="57" t="s">
        <v>275</v>
      </c>
      <c r="F131" s="56" t="s">
        <v>266</v>
      </c>
      <c r="G131" s="46" t="s">
        <v>9</v>
      </c>
      <c r="H131" s="46" t="s">
        <v>9</v>
      </c>
      <c r="I131" s="46" t="s">
        <v>9</v>
      </c>
      <c r="J131" s="46" t="s">
        <v>9</v>
      </c>
      <c r="K131" s="46" t="s">
        <v>9</v>
      </c>
      <c r="L131" s="53" t="str">
        <f t="shared" si="27"/>
        <v>Documentais</v>
      </c>
      <c r="M131" s="53" t="str">
        <f t="shared" si="28"/>
        <v>Elemento.de.Legallização</v>
      </c>
      <c r="N131" s="53" t="str">
        <f t="shared" si="29"/>
        <v>Governança</v>
      </c>
      <c r="O131" s="53" t="str">
        <f t="shared" si="30"/>
        <v>Decreto</v>
      </c>
      <c r="P131" s="53" t="s">
        <v>277</v>
      </c>
      <c r="Q131" s="43" t="str">
        <f t="shared" si="32"/>
        <v>Decreto publicado en Brasil</v>
      </c>
      <c r="R131" s="43" t="s">
        <v>9</v>
      </c>
      <c r="S131" s="43" t="str">
        <f t="shared" si="50"/>
        <v>Documentais</v>
      </c>
      <c r="T131" s="43" t="str">
        <f t="shared" si="34"/>
        <v>Elemento.de.Legallização</v>
      </c>
      <c r="U131" s="53" t="str">
        <f t="shared" si="52"/>
        <v>Governança</v>
      </c>
      <c r="V131" s="43" t="s">
        <v>80</v>
      </c>
      <c r="W131" s="54" t="str">
        <f t="shared" si="69"/>
        <v>Key-DOCU-131</v>
      </c>
      <c r="X131" s="43" t="s">
        <v>9</v>
      </c>
      <c r="Y131" s="43" t="s">
        <v>9</v>
      </c>
      <c r="Z131" s="43" t="s">
        <v>425</v>
      </c>
      <c r="AA131" s="43" t="str">
        <f t="shared" si="31"/>
        <v>Decree published in Brazil</v>
      </c>
    </row>
    <row r="132" spans="1:27" ht="6" customHeight="1" x14ac:dyDescent="0.25">
      <c r="A132" s="45">
        <v>132</v>
      </c>
      <c r="B132" s="52" t="s">
        <v>635</v>
      </c>
      <c r="C132" s="55" t="s">
        <v>636</v>
      </c>
      <c r="D132" s="55" t="s">
        <v>563</v>
      </c>
      <c r="E132" s="57" t="s">
        <v>275</v>
      </c>
      <c r="F132" s="56" t="s">
        <v>278</v>
      </c>
      <c r="G132" s="46" t="s">
        <v>9</v>
      </c>
      <c r="H132" s="46" t="s">
        <v>9</v>
      </c>
      <c r="I132" s="46" t="s">
        <v>9</v>
      </c>
      <c r="J132" s="46" t="s">
        <v>9</v>
      </c>
      <c r="K132" s="46" t="s">
        <v>9</v>
      </c>
      <c r="L132" s="53" t="str">
        <f t="shared" si="27"/>
        <v>Documentais</v>
      </c>
      <c r="M132" s="53" t="str">
        <f t="shared" si="28"/>
        <v>Elemento.de.Legallização</v>
      </c>
      <c r="N132" s="53" t="str">
        <f t="shared" si="29"/>
        <v>Governança</v>
      </c>
      <c r="O132" s="53" t="str">
        <f t="shared" si="30"/>
        <v>Projeto de Lei</v>
      </c>
      <c r="P132" s="53" t="s">
        <v>279</v>
      </c>
      <c r="Q132" s="43" t="str">
        <f t="shared" si="32"/>
        <v>Proyecto de ley en Brasil</v>
      </c>
      <c r="R132" s="43" t="s">
        <v>9</v>
      </c>
      <c r="S132" s="43" t="str">
        <f t="shared" si="50"/>
        <v>Documentais</v>
      </c>
      <c r="T132" s="43" t="str">
        <f t="shared" si="34"/>
        <v>Elemento.de.Legallização</v>
      </c>
      <c r="U132" s="53" t="str">
        <f t="shared" si="52"/>
        <v>Governança</v>
      </c>
      <c r="V132" s="43" t="s">
        <v>80</v>
      </c>
      <c r="W132" s="54" t="str">
        <f t="shared" si="69"/>
        <v>Key-DOCU-132</v>
      </c>
      <c r="X132" s="43" t="s">
        <v>9</v>
      </c>
      <c r="Y132" s="43" t="s">
        <v>9</v>
      </c>
      <c r="Z132" s="43" t="s">
        <v>425</v>
      </c>
      <c r="AA132" s="43" t="str">
        <f t="shared" si="31"/>
        <v>Bill in Brazil</v>
      </c>
    </row>
    <row r="133" spans="1:27" ht="6" customHeight="1" x14ac:dyDescent="0.25">
      <c r="A133" s="45">
        <v>133</v>
      </c>
      <c r="B133" s="52" t="s">
        <v>635</v>
      </c>
      <c r="C133" s="55" t="s">
        <v>636</v>
      </c>
      <c r="D133" s="55" t="s">
        <v>553</v>
      </c>
      <c r="E133" s="57" t="s">
        <v>294</v>
      </c>
      <c r="F133" s="56" t="s">
        <v>285</v>
      </c>
      <c r="G133" s="46" t="s">
        <v>9</v>
      </c>
      <c r="H133" s="46" t="s">
        <v>9</v>
      </c>
      <c r="I133" s="46" t="s">
        <v>9</v>
      </c>
      <c r="J133" s="46" t="s">
        <v>9</v>
      </c>
      <c r="K133" s="46" t="s">
        <v>9</v>
      </c>
      <c r="L133" s="53" t="str">
        <f t="shared" si="27"/>
        <v>Documentais</v>
      </c>
      <c r="M133" s="53" t="str">
        <f t="shared" si="28"/>
        <v>Elemento.de.Publicação</v>
      </c>
      <c r="N133" s="53" t="str">
        <f t="shared" si="29"/>
        <v>Empresarial</v>
      </c>
      <c r="O133" s="53" t="str">
        <f t="shared" si="30"/>
        <v>Guia</v>
      </c>
      <c r="P133" s="53" t="s">
        <v>288</v>
      </c>
      <c r="Q133" s="43" t="str">
        <f t="shared" si="32"/>
        <v>Guía interna de procedimientos técnicos</v>
      </c>
      <c r="R133" s="43" t="s">
        <v>9</v>
      </c>
      <c r="S133" s="43" t="str">
        <f t="shared" si="50"/>
        <v>Documentais</v>
      </c>
      <c r="T133" s="43" t="str">
        <f t="shared" si="34"/>
        <v>Elemento.de.Publicação</v>
      </c>
      <c r="U133" s="53" t="str">
        <f t="shared" si="52"/>
        <v>Empresarial</v>
      </c>
      <c r="V133" s="43" t="s">
        <v>80</v>
      </c>
      <c r="W133" s="54" t="str">
        <f t="shared" si="69"/>
        <v>Key-DOCU-133</v>
      </c>
      <c r="X133" s="43" t="s">
        <v>9</v>
      </c>
      <c r="Y133" s="43" t="s">
        <v>9</v>
      </c>
      <c r="Z133" s="43" t="s">
        <v>425</v>
      </c>
      <c r="AA133" s="43" t="str">
        <f t="shared" ref="AA133:AA140" si="76">_xlfn.TRANSLATE(P133,"pt","en")</f>
        <v>Internal Guide to Technical Procedures</v>
      </c>
    </row>
    <row r="134" spans="1:27" ht="6" customHeight="1" x14ac:dyDescent="0.25">
      <c r="A134" s="45">
        <v>134</v>
      </c>
      <c r="B134" s="52" t="s">
        <v>635</v>
      </c>
      <c r="C134" s="55" t="s">
        <v>636</v>
      </c>
      <c r="D134" s="55" t="s">
        <v>553</v>
      </c>
      <c r="E134" s="57" t="s">
        <v>294</v>
      </c>
      <c r="F134" s="56" t="s">
        <v>284</v>
      </c>
      <c r="G134" s="46" t="s">
        <v>9</v>
      </c>
      <c r="H134" s="46" t="s">
        <v>9</v>
      </c>
      <c r="I134" s="46" t="s">
        <v>9</v>
      </c>
      <c r="J134" s="46" t="s">
        <v>9</v>
      </c>
      <c r="K134" s="46" t="s">
        <v>9</v>
      </c>
      <c r="L134" s="53" t="str">
        <f t="shared" si="27"/>
        <v>Documentais</v>
      </c>
      <c r="M134" s="53" t="str">
        <f t="shared" si="28"/>
        <v>Elemento.de.Publicação</v>
      </c>
      <c r="N134" s="53" t="str">
        <f t="shared" si="29"/>
        <v>Empresarial</v>
      </c>
      <c r="O134" s="53" t="str">
        <f t="shared" si="30"/>
        <v>Manual</v>
      </c>
      <c r="P134" s="53" t="s">
        <v>289</v>
      </c>
      <c r="Q134" s="43" t="str">
        <f t="shared" si="32"/>
        <v>Manual Interno de Procedimientos Técnicos</v>
      </c>
      <c r="R134" s="43" t="s">
        <v>9</v>
      </c>
      <c r="S134" s="43" t="str">
        <f t="shared" si="50"/>
        <v>Documentais</v>
      </c>
      <c r="T134" s="43" t="str">
        <f t="shared" si="34"/>
        <v>Elemento.de.Publicação</v>
      </c>
      <c r="U134" s="53" t="str">
        <f t="shared" si="52"/>
        <v>Empresarial</v>
      </c>
      <c r="V134" s="43" t="s">
        <v>80</v>
      </c>
      <c r="W134" s="54" t="str">
        <f t="shared" si="69"/>
        <v>Key-DOCU-134</v>
      </c>
      <c r="X134" s="43" t="s">
        <v>9</v>
      </c>
      <c r="Y134" s="43" t="s">
        <v>9</v>
      </c>
      <c r="Z134" s="43" t="s">
        <v>425</v>
      </c>
      <c r="AA134" s="43" t="str">
        <f t="shared" si="76"/>
        <v>Internal Manual of Technical Procedures</v>
      </c>
    </row>
    <row r="135" spans="1:27" ht="6" customHeight="1" x14ac:dyDescent="0.25">
      <c r="A135" s="45">
        <v>135</v>
      </c>
      <c r="B135" s="52" t="s">
        <v>635</v>
      </c>
      <c r="C135" s="55" t="s">
        <v>636</v>
      </c>
      <c r="D135" s="55" t="s">
        <v>553</v>
      </c>
      <c r="E135" s="57" t="s">
        <v>294</v>
      </c>
      <c r="F135" s="56" t="s">
        <v>287</v>
      </c>
      <c r="G135" s="46" t="s">
        <v>9</v>
      </c>
      <c r="H135" s="46" t="s">
        <v>9</v>
      </c>
      <c r="I135" s="46" t="s">
        <v>9</v>
      </c>
      <c r="J135" s="46" t="s">
        <v>9</v>
      </c>
      <c r="K135" s="46" t="s">
        <v>9</v>
      </c>
      <c r="L135" s="53" t="str">
        <f t="shared" si="27"/>
        <v>Documentais</v>
      </c>
      <c r="M135" s="53" t="str">
        <f t="shared" si="28"/>
        <v>Elemento.de.Publicação</v>
      </c>
      <c r="N135" s="53" t="str">
        <f t="shared" si="29"/>
        <v>Empresarial</v>
      </c>
      <c r="O135" s="53" t="str">
        <f t="shared" si="30"/>
        <v>Livro</v>
      </c>
      <c r="P135" s="53" t="s">
        <v>290</v>
      </c>
      <c r="Q135" s="43" t="str">
        <f t="shared" si="32"/>
        <v>Libro técnico</v>
      </c>
      <c r="R135" s="43" t="s">
        <v>9</v>
      </c>
      <c r="S135" s="43" t="str">
        <f t="shared" si="50"/>
        <v>Documentais</v>
      </c>
      <c r="T135" s="43" t="str">
        <f t="shared" si="34"/>
        <v>Elemento.de.Publicação</v>
      </c>
      <c r="U135" s="53" t="str">
        <f t="shared" si="52"/>
        <v>Empresarial</v>
      </c>
      <c r="V135" s="43" t="s">
        <v>80</v>
      </c>
      <c r="W135" s="54" t="str">
        <f t="shared" si="69"/>
        <v>Key-DOCU-135</v>
      </c>
      <c r="X135" s="43" t="s">
        <v>9</v>
      </c>
      <c r="Y135" s="43" t="s">
        <v>9</v>
      </c>
      <c r="Z135" s="43" t="s">
        <v>425</v>
      </c>
      <c r="AA135" s="43" t="str">
        <f t="shared" si="76"/>
        <v>Technical book</v>
      </c>
    </row>
    <row r="136" spans="1:27" ht="6" customHeight="1" x14ac:dyDescent="0.25">
      <c r="A136" s="45">
        <v>136</v>
      </c>
      <c r="B136" s="52" t="s">
        <v>635</v>
      </c>
      <c r="C136" s="55" t="s">
        <v>636</v>
      </c>
      <c r="D136" s="55" t="s">
        <v>553</v>
      </c>
      <c r="E136" s="57" t="s">
        <v>294</v>
      </c>
      <c r="F136" s="56" t="s">
        <v>291</v>
      </c>
      <c r="G136" s="46" t="s">
        <v>9</v>
      </c>
      <c r="H136" s="46" t="s">
        <v>9</v>
      </c>
      <c r="I136" s="46" t="s">
        <v>9</v>
      </c>
      <c r="J136" s="46" t="s">
        <v>9</v>
      </c>
      <c r="K136" s="46" t="s">
        <v>9</v>
      </c>
      <c r="L136" s="53" t="str">
        <f t="shared" si="27"/>
        <v>Documentais</v>
      </c>
      <c r="M136" s="53" t="str">
        <f t="shared" si="28"/>
        <v>Elemento.de.Publicação</v>
      </c>
      <c r="N136" s="53" t="str">
        <f t="shared" si="29"/>
        <v>Empresarial</v>
      </c>
      <c r="O136" s="53" t="str">
        <f t="shared" si="30"/>
        <v>Treinamento</v>
      </c>
      <c r="P136" s="53" t="s">
        <v>291</v>
      </c>
      <c r="Q136" s="43" t="str">
        <f t="shared" si="32"/>
        <v>Formación</v>
      </c>
      <c r="R136" s="43" t="s">
        <v>9</v>
      </c>
      <c r="S136" s="43" t="str">
        <f t="shared" si="50"/>
        <v>Documentais</v>
      </c>
      <c r="T136" s="43" t="str">
        <f t="shared" si="34"/>
        <v>Elemento.de.Publicação</v>
      </c>
      <c r="U136" s="53" t="str">
        <f t="shared" si="52"/>
        <v>Empresarial</v>
      </c>
      <c r="V136" s="43" t="s">
        <v>80</v>
      </c>
      <c r="W136" s="54" t="str">
        <f t="shared" si="69"/>
        <v>Key-DOCU-136</v>
      </c>
      <c r="X136" s="43" t="s">
        <v>9</v>
      </c>
      <c r="Y136" s="43" t="s">
        <v>9</v>
      </c>
      <c r="Z136" s="43" t="s">
        <v>425</v>
      </c>
      <c r="AA136" s="43" t="str">
        <f t="shared" si="76"/>
        <v>Training</v>
      </c>
    </row>
    <row r="137" spans="1:27" ht="6" customHeight="1" x14ac:dyDescent="0.25">
      <c r="A137" s="45">
        <v>137</v>
      </c>
      <c r="B137" s="52" t="s">
        <v>635</v>
      </c>
      <c r="C137" s="55" t="s">
        <v>636</v>
      </c>
      <c r="D137" s="55" t="s">
        <v>553</v>
      </c>
      <c r="E137" s="57" t="s">
        <v>294</v>
      </c>
      <c r="F137" s="56" t="s">
        <v>286</v>
      </c>
      <c r="G137" s="46" t="s">
        <v>9</v>
      </c>
      <c r="H137" s="46" t="s">
        <v>9</v>
      </c>
      <c r="I137" s="46" t="s">
        <v>9</v>
      </c>
      <c r="J137" s="46" t="s">
        <v>9</v>
      </c>
      <c r="K137" s="46" t="s">
        <v>9</v>
      </c>
      <c r="L137" s="53" t="str">
        <f t="shared" si="27"/>
        <v>Documentais</v>
      </c>
      <c r="M137" s="53" t="str">
        <f t="shared" si="28"/>
        <v>Elemento.de.Publicação</v>
      </c>
      <c r="N137" s="53" t="str">
        <f t="shared" si="29"/>
        <v>Empresarial</v>
      </c>
      <c r="O137" s="53" t="str">
        <f t="shared" si="30"/>
        <v>Normativa</v>
      </c>
      <c r="P137" s="53" t="s">
        <v>286</v>
      </c>
      <c r="Q137" s="43" t="str">
        <f t="shared" si="32"/>
        <v>Normativo</v>
      </c>
      <c r="R137" s="43" t="s">
        <v>9</v>
      </c>
      <c r="S137" s="43" t="str">
        <f t="shared" si="50"/>
        <v>Documentais</v>
      </c>
      <c r="T137" s="43" t="str">
        <f t="shared" si="34"/>
        <v>Elemento.de.Publicação</v>
      </c>
      <c r="U137" s="53" t="str">
        <f t="shared" si="52"/>
        <v>Empresarial</v>
      </c>
      <c r="V137" s="43" t="s">
        <v>80</v>
      </c>
      <c r="W137" s="54" t="str">
        <f t="shared" si="69"/>
        <v>Key-DOCU-137</v>
      </c>
      <c r="X137" s="43" t="s">
        <v>9</v>
      </c>
      <c r="Y137" s="43" t="s">
        <v>9</v>
      </c>
      <c r="Z137" s="43" t="s">
        <v>425</v>
      </c>
      <c r="AA137" s="43" t="str">
        <f t="shared" si="76"/>
        <v>Normative</v>
      </c>
    </row>
    <row r="138" spans="1:27" ht="6" customHeight="1" x14ac:dyDescent="0.25">
      <c r="A138" s="45">
        <v>138</v>
      </c>
      <c r="B138" s="52" t="s">
        <v>635</v>
      </c>
      <c r="C138" s="55" t="s">
        <v>636</v>
      </c>
      <c r="D138" s="55" t="s">
        <v>553</v>
      </c>
      <c r="E138" s="57" t="s">
        <v>294</v>
      </c>
      <c r="F138" s="56" t="s">
        <v>292</v>
      </c>
      <c r="G138" s="46" t="s">
        <v>9</v>
      </c>
      <c r="H138" s="46" t="s">
        <v>9</v>
      </c>
      <c r="I138" s="46" t="s">
        <v>9</v>
      </c>
      <c r="J138" s="46" t="s">
        <v>9</v>
      </c>
      <c r="K138" s="46" t="s">
        <v>9</v>
      </c>
      <c r="L138" s="53" t="str">
        <f t="shared" ref="L138:L140" si="77">CONCATENATE("", C138)</f>
        <v>Documentais</v>
      </c>
      <c r="M138" s="53" t="str">
        <f t="shared" ref="M138:M140" si="78">CONCATENATE("", D138)</f>
        <v>Elemento.de.Publicação</v>
      </c>
      <c r="N138" s="53" t="str">
        <f t="shared" ref="N138:N140" si="79">(SUBSTITUTE(SUBSTITUTE(CONCATENATE("",E138),"."," ")," De "," de "))</f>
        <v>Empresarial</v>
      </c>
      <c r="O138" s="53" t="str">
        <f t="shared" ref="O138:O140" si="80">(SUBSTITUTE(SUBSTITUTE(CONCATENATE("",F138),"."," ")," De "," de "))</f>
        <v>Apresentação</v>
      </c>
      <c r="P138" s="53" t="s">
        <v>293</v>
      </c>
      <c r="Q138" s="43" t="str">
        <f t="shared" si="32"/>
        <v>Presentaciones de PowerPoint o similares</v>
      </c>
      <c r="R138" s="43" t="s">
        <v>9</v>
      </c>
      <c r="S138" s="43" t="str">
        <f t="shared" si="50"/>
        <v>Documentais</v>
      </c>
      <c r="T138" s="43" t="str">
        <f t="shared" si="34"/>
        <v>Elemento.de.Publicação</v>
      </c>
      <c r="U138" s="53" t="str">
        <f t="shared" si="52"/>
        <v>Empresarial</v>
      </c>
      <c r="V138" s="43" t="s">
        <v>80</v>
      </c>
      <c r="W138" s="54" t="str">
        <f t="shared" si="69"/>
        <v>Key-DOCU-138</v>
      </c>
      <c r="X138" s="43" t="s">
        <v>9</v>
      </c>
      <c r="Y138" s="43" t="s">
        <v>9</v>
      </c>
      <c r="Z138" s="43" t="s">
        <v>425</v>
      </c>
      <c r="AA138" s="43" t="str">
        <f t="shared" si="76"/>
        <v>PowerPoint presentations or similar</v>
      </c>
    </row>
    <row r="139" spans="1:27" ht="6" customHeight="1" x14ac:dyDescent="0.25">
      <c r="A139" s="45">
        <v>139</v>
      </c>
      <c r="B139" s="52" t="s">
        <v>635</v>
      </c>
      <c r="C139" s="55" t="s">
        <v>636</v>
      </c>
      <c r="D139" s="55" t="s">
        <v>553</v>
      </c>
      <c r="E139" s="57" t="s">
        <v>294</v>
      </c>
      <c r="F139" s="56" t="s">
        <v>295</v>
      </c>
      <c r="G139" s="46" t="s">
        <v>9</v>
      </c>
      <c r="H139" s="46" t="s">
        <v>9</v>
      </c>
      <c r="I139" s="46" t="s">
        <v>9</v>
      </c>
      <c r="J139" s="46" t="s">
        <v>9</v>
      </c>
      <c r="K139" s="46" t="s">
        <v>9</v>
      </c>
      <c r="L139" s="53" t="str">
        <f t="shared" si="77"/>
        <v>Documentais</v>
      </c>
      <c r="M139" s="53" t="str">
        <f t="shared" si="78"/>
        <v>Elemento.de.Publicação</v>
      </c>
      <c r="N139" s="53" t="str">
        <f t="shared" si="79"/>
        <v>Empresarial</v>
      </c>
      <c r="O139" s="53" t="str">
        <f t="shared" si="80"/>
        <v>Fichário</v>
      </c>
      <c r="P139" s="53" t="s">
        <v>297</v>
      </c>
      <c r="Q139" s="43" t="str">
        <f t="shared" si="32"/>
        <v>Carpetas internas</v>
      </c>
      <c r="R139" s="43" t="s">
        <v>9</v>
      </c>
      <c r="S139" s="43" t="str">
        <f t="shared" si="50"/>
        <v>Documentais</v>
      </c>
      <c r="T139" s="43" t="str">
        <f t="shared" si="34"/>
        <v>Elemento.de.Publicação</v>
      </c>
      <c r="U139" s="53" t="str">
        <f t="shared" si="52"/>
        <v>Empresarial</v>
      </c>
      <c r="V139" s="43" t="s">
        <v>80</v>
      </c>
      <c r="W139" s="54" t="str">
        <f t="shared" si="69"/>
        <v>Key-DOCU-139</v>
      </c>
      <c r="X139" s="43" t="s">
        <v>9</v>
      </c>
      <c r="Y139" s="43" t="s">
        <v>9</v>
      </c>
      <c r="Z139" s="43" t="s">
        <v>425</v>
      </c>
      <c r="AA139" s="43" t="str">
        <f t="shared" si="76"/>
        <v>Internal binders</v>
      </c>
    </row>
    <row r="140" spans="1:27" ht="6" customHeight="1" x14ac:dyDescent="0.25">
      <c r="A140" s="45">
        <v>140</v>
      </c>
      <c r="B140" s="52" t="s">
        <v>635</v>
      </c>
      <c r="C140" s="55" t="s">
        <v>636</v>
      </c>
      <c r="D140" s="55" t="s">
        <v>553</v>
      </c>
      <c r="E140" s="57" t="s">
        <v>294</v>
      </c>
      <c r="F140" s="56" t="s">
        <v>296</v>
      </c>
      <c r="G140" s="46" t="s">
        <v>9</v>
      </c>
      <c r="H140" s="46" t="s">
        <v>9</v>
      </c>
      <c r="I140" s="46" t="s">
        <v>9</v>
      </c>
      <c r="J140" s="46" t="s">
        <v>9</v>
      </c>
      <c r="K140" s="46" t="s">
        <v>9</v>
      </c>
      <c r="L140" s="53" t="str">
        <f t="shared" si="77"/>
        <v>Documentais</v>
      </c>
      <c r="M140" s="53" t="str">
        <f t="shared" si="78"/>
        <v>Elemento.de.Publicação</v>
      </c>
      <c r="N140" s="53" t="str">
        <f t="shared" si="79"/>
        <v>Empresarial</v>
      </c>
      <c r="O140" s="53" t="str">
        <f t="shared" si="80"/>
        <v>Formulário</v>
      </c>
      <c r="P140" s="53" t="s">
        <v>298</v>
      </c>
      <c r="Q140" s="43" t="str">
        <f t="shared" ref="Q140" si="81">_xlfn.TRANSLATE(P140,"pt","es")</f>
        <v>Formas internas</v>
      </c>
      <c r="R140" s="43" t="s">
        <v>9</v>
      </c>
      <c r="S140" s="43" t="str">
        <f t="shared" si="50"/>
        <v>Documentais</v>
      </c>
      <c r="T140" s="43" t="str">
        <f t="shared" si="34"/>
        <v>Elemento.de.Publicação</v>
      </c>
      <c r="U140" s="53" t="str">
        <f t="shared" si="52"/>
        <v>Empresarial</v>
      </c>
      <c r="V140" s="43" t="s">
        <v>80</v>
      </c>
      <c r="W140" s="54" t="str">
        <f t="shared" si="69"/>
        <v>Key-DOCU-140</v>
      </c>
      <c r="X140" s="43" t="s">
        <v>9</v>
      </c>
      <c r="Y140" s="43" t="s">
        <v>9</v>
      </c>
      <c r="Z140" s="43" t="s">
        <v>425</v>
      </c>
      <c r="AA140" s="43" t="str">
        <f t="shared" si="76"/>
        <v>Internal forms</v>
      </c>
    </row>
  </sheetData>
  <sortState xmlns:xlrd2="http://schemas.microsoft.com/office/spreadsheetml/2017/richdata2" ref="A8:Z141">
    <sortCondition ref="A1:A141"/>
  </sortState>
  <conditionalFormatting sqref="AA1:AA140 A2:B140">
    <cfRule type="cellIs" dxfId="8" priority="6" operator="equal">
      <formula>"null"</formula>
    </cfRule>
  </conditionalFormatting>
  <conditionalFormatting sqref="F1:F1048576">
    <cfRule type="duplicateValues" dxfId="7" priority="8"/>
  </conditionalFormatting>
  <conditionalFormatting sqref="F1">
    <cfRule type="duplicateValues" dxfId="6" priority="32"/>
    <cfRule type="duplicateValues" dxfId="5" priority="33"/>
    <cfRule type="duplicateValues" dxfId="4" priority="34"/>
    <cfRule type="duplicateValues" dxfId="3" priority="35"/>
    <cfRule type="duplicateValues" dxfId="2" priority="36"/>
  </conditionalFormatting>
  <conditionalFormatting sqref="G1:O1">
    <cfRule type="cellIs" dxfId="1" priority="26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dimension ref="A1:U2"/>
  <sheetViews>
    <sheetView zoomScale="235" zoomScaleNormal="235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5.7109375" defaultRowHeight="7.9" customHeight="1" x14ac:dyDescent="0.15"/>
  <cols>
    <col min="1" max="1" width="2.7109375" style="11" customWidth="1"/>
    <col min="2" max="10" width="5.7109375" style="12"/>
    <col min="11" max="16384" width="5.7109375" style="24"/>
  </cols>
  <sheetData>
    <row r="1" spans="1:21" ht="16.5" x14ac:dyDescent="0.15">
      <c r="A1" s="22">
        <v>1</v>
      </c>
      <c r="B1" s="23" t="s">
        <v>40</v>
      </c>
      <c r="C1" s="23" t="s">
        <v>41</v>
      </c>
      <c r="D1" s="23" t="s">
        <v>42</v>
      </c>
      <c r="E1" s="23" t="s">
        <v>43</v>
      </c>
      <c r="F1" s="23" t="s">
        <v>44</v>
      </c>
      <c r="G1" s="23" t="s">
        <v>45</v>
      </c>
      <c r="H1" s="23" t="s">
        <v>46</v>
      </c>
      <c r="I1" s="23" t="s">
        <v>47</v>
      </c>
      <c r="J1" s="23" t="s">
        <v>48</v>
      </c>
      <c r="K1" s="23" t="s">
        <v>49</v>
      </c>
      <c r="L1" s="23" t="s">
        <v>50</v>
      </c>
      <c r="M1" s="23" t="s">
        <v>51</v>
      </c>
      <c r="N1" s="23" t="s">
        <v>52</v>
      </c>
      <c r="O1" s="23" t="s">
        <v>53</v>
      </c>
      <c r="P1" s="23" t="s">
        <v>54</v>
      </c>
      <c r="Q1" s="23" t="s">
        <v>55</v>
      </c>
      <c r="R1" s="23" t="s">
        <v>56</v>
      </c>
      <c r="S1" s="23" t="s">
        <v>57</v>
      </c>
      <c r="T1" s="23" t="s">
        <v>58</v>
      </c>
      <c r="U1" s="23" t="s">
        <v>59</v>
      </c>
    </row>
    <row r="2" spans="1:21" ht="8.25" x14ac:dyDescent="0.15">
      <c r="A2" s="22">
        <v>2</v>
      </c>
      <c r="B2" s="25" t="s">
        <v>9</v>
      </c>
      <c r="C2" s="25" t="s">
        <v>9</v>
      </c>
      <c r="D2" s="25" t="s">
        <v>9</v>
      </c>
      <c r="E2" s="25" t="s">
        <v>9</v>
      </c>
      <c r="F2" s="25" t="s">
        <v>9</v>
      </c>
      <c r="G2" s="25" t="s">
        <v>9</v>
      </c>
      <c r="H2" s="25" t="s">
        <v>9</v>
      </c>
      <c r="I2" s="25" t="s">
        <v>9</v>
      </c>
      <c r="J2" s="25" t="s">
        <v>9</v>
      </c>
      <c r="K2" s="25" t="s">
        <v>9</v>
      </c>
      <c r="L2" s="25" t="s">
        <v>9</v>
      </c>
      <c r="M2" s="25" t="s">
        <v>9</v>
      </c>
      <c r="N2" s="25" t="s">
        <v>9</v>
      </c>
      <c r="O2" s="25" t="s">
        <v>9</v>
      </c>
      <c r="P2" s="25" t="s">
        <v>9</v>
      </c>
      <c r="Q2" s="25" t="s">
        <v>9</v>
      </c>
      <c r="R2" s="25" t="s">
        <v>9</v>
      </c>
      <c r="S2" s="25" t="s">
        <v>9</v>
      </c>
      <c r="T2" s="25" t="s">
        <v>9</v>
      </c>
      <c r="U2" s="25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dimension ref="A1:D2"/>
  <sheetViews>
    <sheetView zoomScale="370" zoomScaleNormal="370" workbookViewId="0">
      <pane ySplit="1" topLeftCell="A2" activePane="bottomLeft" state="frozen"/>
      <selection activeCell="B2" sqref="B2"/>
      <selection pane="bottomLeft" activeCell="B10" sqref="B10"/>
    </sheetView>
  </sheetViews>
  <sheetFormatPr defaultColWidth="9.140625" defaultRowHeight="6.75" customHeight="1" x14ac:dyDescent="0.15"/>
  <cols>
    <col min="1" max="1" width="3" style="13" bestFit="1" customWidth="1"/>
    <col min="2" max="2" width="9.140625" style="13" bestFit="1" customWidth="1"/>
    <col min="3" max="4" width="11" style="13" bestFit="1" customWidth="1"/>
    <col min="5" max="16384" width="9.140625" style="13"/>
  </cols>
  <sheetData>
    <row r="1" spans="1:4" ht="10.5" customHeight="1" x14ac:dyDescent="0.15">
      <c r="A1" s="8">
        <v>1</v>
      </c>
      <c r="B1" s="9" t="s">
        <v>78</v>
      </c>
      <c r="C1" s="9" t="s">
        <v>78</v>
      </c>
      <c r="D1" s="9" t="s">
        <v>78</v>
      </c>
    </row>
    <row r="2" spans="1:4" ht="6.75" customHeight="1" x14ac:dyDescent="0.15">
      <c r="A2" s="7">
        <v>2</v>
      </c>
      <c r="B2" s="26" t="s">
        <v>152</v>
      </c>
      <c r="C2" s="27" t="s">
        <v>144</v>
      </c>
      <c r="D2" s="27" t="s">
        <v>561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87C4-377B-4931-BC50-C00BD9684F83}">
  <dimension ref="A1:U37"/>
  <sheetViews>
    <sheetView tabSelected="1" zoomScale="205" zoomScaleNormal="205" workbookViewId="0">
      <pane ySplit="1" topLeftCell="A2" activePane="bottomLeft" state="frozen"/>
      <selection pane="bottomLeft" activeCell="U11" sqref="U11"/>
    </sheetView>
  </sheetViews>
  <sheetFormatPr defaultColWidth="9.140625" defaultRowHeight="7.5" customHeight="1" x14ac:dyDescent="0.25"/>
  <cols>
    <col min="1" max="1" width="2.5703125" bestFit="1" customWidth="1"/>
    <col min="2" max="2" width="11.85546875" bestFit="1" customWidth="1"/>
    <col min="3" max="3" width="8.140625" customWidth="1"/>
    <col min="4" max="4" width="6.85546875" customWidth="1"/>
    <col min="5" max="5" width="8.28515625" bestFit="1" customWidth="1"/>
    <col min="6" max="6" width="6.85546875" customWidth="1"/>
    <col min="7" max="7" width="4.85546875" bestFit="1" customWidth="1"/>
    <col min="8" max="8" width="4.28515625" bestFit="1" customWidth="1"/>
    <col min="9" max="9" width="4.85546875" bestFit="1" customWidth="1"/>
    <col min="10" max="10" width="4.28515625" bestFit="1" customWidth="1"/>
    <col min="11" max="11" width="4.85546875" bestFit="1" customWidth="1"/>
    <col min="12" max="12" width="4.28515625" bestFit="1" customWidth="1"/>
    <col min="13" max="13" width="4.85546875" bestFit="1" customWidth="1"/>
    <col min="14" max="14" width="6" bestFit="1" customWidth="1"/>
    <col min="15" max="15" width="61" customWidth="1"/>
    <col min="16" max="16" width="8.42578125" bestFit="1" customWidth="1"/>
    <col min="17" max="17" width="13.7109375" customWidth="1"/>
    <col min="18" max="18" width="4.42578125" customWidth="1"/>
    <col min="19" max="19" width="8.28515625" bestFit="1" customWidth="1"/>
    <col min="20" max="20" width="3.28515625" customWidth="1"/>
    <col min="21" max="21" width="11.140625" customWidth="1"/>
  </cols>
  <sheetData>
    <row r="1" spans="1:21" ht="20.25" customHeight="1" x14ac:dyDescent="0.25">
      <c r="A1" s="14" t="s">
        <v>30</v>
      </c>
      <c r="B1" s="15" t="s">
        <v>13</v>
      </c>
      <c r="C1" s="15" t="s">
        <v>14</v>
      </c>
      <c r="D1" s="15" t="s">
        <v>15</v>
      </c>
      <c r="E1" s="15" t="s">
        <v>2</v>
      </c>
      <c r="F1" s="15" t="s">
        <v>15</v>
      </c>
      <c r="G1" s="15" t="s">
        <v>2</v>
      </c>
      <c r="H1" s="15" t="s">
        <v>15</v>
      </c>
      <c r="I1" s="15" t="s">
        <v>2</v>
      </c>
      <c r="J1" s="15" t="s">
        <v>15</v>
      </c>
      <c r="K1" s="15" t="s">
        <v>2</v>
      </c>
      <c r="L1" s="15" t="s">
        <v>15</v>
      </c>
      <c r="M1" s="15" t="s">
        <v>2</v>
      </c>
      <c r="N1" s="31" t="s">
        <v>31</v>
      </c>
      <c r="O1" s="28" t="s">
        <v>2</v>
      </c>
      <c r="P1" s="15" t="s">
        <v>15</v>
      </c>
      <c r="Q1" s="15" t="s">
        <v>2</v>
      </c>
      <c r="R1" s="15" t="s">
        <v>15</v>
      </c>
      <c r="S1" s="15" t="s">
        <v>2</v>
      </c>
      <c r="T1" s="15" t="s">
        <v>15</v>
      </c>
      <c r="U1" s="15" t="s">
        <v>2</v>
      </c>
    </row>
    <row r="2" spans="1:21" ht="7.5" customHeight="1" x14ac:dyDescent="0.25">
      <c r="A2" s="16">
        <v>2</v>
      </c>
      <c r="B2" s="17" t="s">
        <v>632</v>
      </c>
      <c r="C2" s="55" t="s">
        <v>636</v>
      </c>
      <c r="D2" s="19" t="s">
        <v>9</v>
      </c>
      <c r="E2" s="20" t="s">
        <v>9</v>
      </c>
      <c r="F2" s="19" t="s">
        <v>9</v>
      </c>
      <c r="G2" s="20" t="s">
        <v>9</v>
      </c>
      <c r="H2" s="19" t="s">
        <v>9</v>
      </c>
      <c r="I2" s="20" t="s">
        <v>9</v>
      </c>
      <c r="J2" s="19" t="s">
        <v>9</v>
      </c>
      <c r="K2" s="20" t="s">
        <v>9</v>
      </c>
      <c r="L2" s="19" t="s">
        <v>9</v>
      </c>
      <c r="M2" s="20" t="s">
        <v>9</v>
      </c>
      <c r="N2" s="30" t="s">
        <v>16</v>
      </c>
      <c r="O2" s="29" t="s">
        <v>637</v>
      </c>
      <c r="P2" s="30" t="s">
        <v>9</v>
      </c>
      <c r="Q2" s="21" t="s">
        <v>9</v>
      </c>
      <c r="R2" s="30" t="s">
        <v>9</v>
      </c>
      <c r="S2" s="21" t="s">
        <v>9</v>
      </c>
      <c r="T2" s="30" t="s">
        <v>9</v>
      </c>
      <c r="U2" s="21" t="s">
        <v>9</v>
      </c>
    </row>
    <row r="3" spans="1:21" ht="7.5" customHeight="1" x14ac:dyDescent="0.25">
      <c r="A3" s="16">
        <v>3</v>
      </c>
      <c r="B3" s="17" t="s">
        <v>618</v>
      </c>
      <c r="C3" s="18" t="s">
        <v>602</v>
      </c>
      <c r="D3" s="19" t="s">
        <v>616</v>
      </c>
      <c r="E3" s="20" t="s">
        <v>632</v>
      </c>
      <c r="F3" s="19" t="s">
        <v>9</v>
      </c>
      <c r="G3" s="20" t="s">
        <v>9</v>
      </c>
      <c r="H3" s="19" t="s">
        <v>9</v>
      </c>
      <c r="I3" s="20" t="s">
        <v>9</v>
      </c>
      <c r="J3" s="19" t="s">
        <v>9</v>
      </c>
      <c r="K3" s="20" t="s">
        <v>9</v>
      </c>
      <c r="L3" s="19" t="s">
        <v>9</v>
      </c>
      <c r="M3" s="20" t="s">
        <v>9</v>
      </c>
      <c r="N3" s="30" t="s">
        <v>16</v>
      </c>
      <c r="O3" s="29" t="s">
        <v>619</v>
      </c>
      <c r="P3" s="30" t="s">
        <v>623</v>
      </c>
      <c r="Q3" s="21" t="s">
        <v>624</v>
      </c>
      <c r="R3" s="30" t="s">
        <v>9</v>
      </c>
      <c r="S3" s="21" t="s">
        <v>9</v>
      </c>
      <c r="T3" s="30" t="s">
        <v>9</v>
      </c>
      <c r="U3" s="21" t="s">
        <v>9</v>
      </c>
    </row>
    <row r="4" spans="1:21" ht="7.5" customHeight="1" x14ac:dyDescent="0.25">
      <c r="A4" s="16">
        <v>4</v>
      </c>
      <c r="B4" s="17" t="s">
        <v>617</v>
      </c>
      <c r="C4" s="18" t="s">
        <v>602</v>
      </c>
      <c r="D4" s="19" t="s">
        <v>616</v>
      </c>
      <c r="E4" s="20" t="s">
        <v>632</v>
      </c>
      <c r="F4" s="19" t="s">
        <v>9</v>
      </c>
      <c r="G4" s="20" t="s">
        <v>9</v>
      </c>
      <c r="H4" s="19" t="s">
        <v>9</v>
      </c>
      <c r="I4" s="20" t="s">
        <v>9</v>
      </c>
      <c r="J4" s="19" t="s">
        <v>9</v>
      </c>
      <c r="K4" s="20" t="s">
        <v>9</v>
      </c>
      <c r="L4" s="19" t="s">
        <v>9</v>
      </c>
      <c r="M4" s="20" t="s">
        <v>9</v>
      </c>
      <c r="N4" s="30" t="s">
        <v>16</v>
      </c>
      <c r="O4" s="29" t="s">
        <v>620</v>
      </c>
      <c r="P4" s="30" t="s">
        <v>623</v>
      </c>
      <c r="Q4" s="21" t="s">
        <v>624</v>
      </c>
      <c r="R4" s="30" t="s">
        <v>9</v>
      </c>
      <c r="S4" s="21" t="s">
        <v>9</v>
      </c>
      <c r="T4" s="30" t="s">
        <v>9</v>
      </c>
      <c r="U4" s="21" t="s">
        <v>9</v>
      </c>
    </row>
    <row r="5" spans="1:21" ht="7.5" customHeight="1" x14ac:dyDescent="0.25">
      <c r="A5" s="16">
        <v>5</v>
      </c>
      <c r="B5" s="17" t="s">
        <v>614</v>
      </c>
      <c r="C5" s="18" t="s">
        <v>605</v>
      </c>
      <c r="D5" s="19" t="s">
        <v>633</v>
      </c>
      <c r="E5" s="20" t="s">
        <v>632</v>
      </c>
      <c r="F5" s="19" t="s">
        <v>9</v>
      </c>
      <c r="G5" s="20" t="s">
        <v>9</v>
      </c>
      <c r="H5" s="19" t="s">
        <v>9</v>
      </c>
      <c r="I5" s="20" t="s">
        <v>9</v>
      </c>
      <c r="J5" s="19" t="s">
        <v>9</v>
      </c>
      <c r="K5" s="20" t="s">
        <v>9</v>
      </c>
      <c r="L5" s="19" t="s">
        <v>9</v>
      </c>
      <c r="M5" s="20" t="s">
        <v>9</v>
      </c>
      <c r="N5" s="30" t="s">
        <v>16</v>
      </c>
      <c r="O5" s="29" t="s">
        <v>621</v>
      </c>
      <c r="P5" s="30" t="s">
        <v>623</v>
      </c>
      <c r="Q5" s="21" t="s">
        <v>624</v>
      </c>
      <c r="R5" s="30" t="s">
        <v>9</v>
      </c>
      <c r="S5" s="21" t="s">
        <v>9</v>
      </c>
      <c r="T5" s="30" t="s">
        <v>9</v>
      </c>
      <c r="U5" s="21" t="s">
        <v>9</v>
      </c>
    </row>
    <row r="6" spans="1:21" ht="7.5" customHeight="1" x14ac:dyDescent="0.25">
      <c r="A6" s="16">
        <v>6</v>
      </c>
      <c r="B6" s="17" t="s">
        <v>615</v>
      </c>
      <c r="C6" s="18" t="s">
        <v>605</v>
      </c>
      <c r="D6" s="19" t="s">
        <v>633</v>
      </c>
      <c r="E6" s="20" t="s">
        <v>632</v>
      </c>
      <c r="F6" s="19" t="s">
        <v>9</v>
      </c>
      <c r="G6" s="20" t="s">
        <v>9</v>
      </c>
      <c r="H6" s="19" t="s">
        <v>9</v>
      </c>
      <c r="I6" s="20" t="s">
        <v>9</v>
      </c>
      <c r="J6" s="19" t="s">
        <v>9</v>
      </c>
      <c r="K6" s="20" t="s">
        <v>9</v>
      </c>
      <c r="L6" s="19" t="s">
        <v>9</v>
      </c>
      <c r="M6" s="20" t="s">
        <v>9</v>
      </c>
      <c r="N6" s="30" t="s">
        <v>16</v>
      </c>
      <c r="O6" s="29" t="s">
        <v>622</v>
      </c>
      <c r="P6" s="30" t="s">
        <v>623</v>
      </c>
      <c r="Q6" s="21" t="s">
        <v>624</v>
      </c>
      <c r="R6" s="30" t="s">
        <v>9</v>
      </c>
      <c r="S6" s="21" t="s">
        <v>9</v>
      </c>
      <c r="T6" s="30" t="s">
        <v>9</v>
      </c>
      <c r="U6" s="21" t="s">
        <v>9</v>
      </c>
    </row>
    <row r="7" spans="1:21" ht="7.5" customHeight="1" x14ac:dyDescent="0.25">
      <c r="A7" s="16">
        <v>7</v>
      </c>
      <c r="B7" s="17" t="s">
        <v>625</v>
      </c>
      <c r="C7" s="18" t="s">
        <v>626</v>
      </c>
      <c r="D7" s="19" t="s">
        <v>633</v>
      </c>
      <c r="E7" s="20" t="s">
        <v>632</v>
      </c>
      <c r="F7" s="19" t="s">
        <v>9</v>
      </c>
      <c r="G7" s="20" t="s">
        <v>9</v>
      </c>
      <c r="H7" s="19" t="s">
        <v>9</v>
      </c>
      <c r="I7" s="20" t="s">
        <v>9</v>
      </c>
      <c r="J7" s="19" t="s">
        <v>9</v>
      </c>
      <c r="K7" s="20" t="s">
        <v>9</v>
      </c>
      <c r="L7" s="19" t="s">
        <v>9</v>
      </c>
      <c r="M7" s="20" t="s">
        <v>9</v>
      </c>
      <c r="N7" s="30" t="s">
        <v>16</v>
      </c>
      <c r="O7" s="29" t="s">
        <v>629</v>
      </c>
      <c r="P7" s="30" t="s">
        <v>9</v>
      </c>
      <c r="Q7" s="21" t="s">
        <v>9</v>
      </c>
      <c r="R7" s="30" t="s">
        <v>9</v>
      </c>
      <c r="S7" s="21" t="s">
        <v>9</v>
      </c>
      <c r="T7" s="30" t="s">
        <v>630</v>
      </c>
      <c r="U7" s="21" t="s">
        <v>631</v>
      </c>
    </row>
    <row r="8" spans="1:21" ht="7.5" customHeight="1" x14ac:dyDescent="0.25">
      <c r="A8" s="16">
        <v>8</v>
      </c>
      <c r="B8" s="17" t="s">
        <v>228</v>
      </c>
      <c r="C8" s="18" t="s">
        <v>152</v>
      </c>
      <c r="D8" s="19" t="s">
        <v>616</v>
      </c>
      <c r="E8" s="20" t="s">
        <v>617</v>
      </c>
      <c r="F8" s="19" t="s">
        <v>616</v>
      </c>
      <c r="G8" s="20" t="s">
        <v>625</v>
      </c>
      <c r="H8" s="19" t="s">
        <v>9</v>
      </c>
      <c r="I8" s="20" t="s">
        <v>9</v>
      </c>
      <c r="J8" s="19" t="s">
        <v>9</v>
      </c>
      <c r="K8" s="20" t="s">
        <v>9</v>
      </c>
      <c r="L8" s="19" t="s">
        <v>9</v>
      </c>
      <c r="M8" s="20" t="s">
        <v>9</v>
      </c>
      <c r="N8" s="30" t="s">
        <v>16</v>
      </c>
      <c r="O8" s="29" t="s">
        <v>301</v>
      </c>
      <c r="P8" s="30" t="s">
        <v>205</v>
      </c>
      <c r="Q8" s="21" t="s">
        <v>638</v>
      </c>
      <c r="R8" s="30" t="s">
        <v>562</v>
      </c>
      <c r="S8" s="21" t="s">
        <v>222</v>
      </c>
      <c r="T8" s="30" t="s">
        <v>9</v>
      </c>
      <c r="U8" s="21" t="s">
        <v>9</v>
      </c>
    </row>
    <row r="9" spans="1:21" ht="7.5" customHeight="1" x14ac:dyDescent="0.25">
      <c r="A9" s="16">
        <v>9</v>
      </c>
      <c r="B9" s="17" t="s">
        <v>229</v>
      </c>
      <c r="C9" s="18" t="s">
        <v>152</v>
      </c>
      <c r="D9" s="19" t="s">
        <v>616</v>
      </c>
      <c r="E9" s="20" t="s">
        <v>617</v>
      </c>
      <c r="F9" s="19" t="s">
        <v>616</v>
      </c>
      <c r="G9" s="20" t="s">
        <v>625</v>
      </c>
      <c r="H9" s="19" t="s">
        <v>9</v>
      </c>
      <c r="I9" s="20" t="s">
        <v>9</v>
      </c>
      <c r="J9" s="19" t="s">
        <v>9</v>
      </c>
      <c r="K9" s="20" t="s">
        <v>9</v>
      </c>
      <c r="L9" s="19" t="s">
        <v>9</v>
      </c>
      <c r="M9" s="20" t="s">
        <v>9</v>
      </c>
      <c r="N9" s="30" t="s">
        <v>16</v>
      </c>
      <c r="O9" s="29" t="s">
        <v>302</v>
      </c>
      <c r="P9" s="30" t="s">
        <v>205</v>
      </c>
      <c r="Q9" s="21" t="s">
        <v>638</v>
      </c>
      <c r="R9" s="30" t="s">
        <v>562</v>
      </c>
      <c r="S9" s="21" t="s">
        <v>223</v>
      </c>
      <c r="T9" s="30" t="s">
        <v>9</v>
      </c>
      <c r="U9" s="21" t="s">
        <v>9</v>
      </c>
    </row>
    <row r="10" spans="1:21" ht="7.5" customHeight="1" x14ac:dyDescent="0.25">
      <c r="A10" s="16">
        <v>10</v>
      </c>
      <c r="B10" s="17" t="s">
        <v>230</v>
      </c>
      <c r="C10" s="18" t="s">
        <v>152</v>
      </c>
      <c r="D10" s="19" t="s">
        <v>616</v>
      </c>
      <c r="E10" s="20" t="s">
        <v>617</v>
      </c>
      <c r="F10" s="19" t="s">
        <v>616</v>
      </c>
      <c r="G10" s="20" t="s">
        <v>625</v>
      </c>
      <c r="H10" s="19" t="s">
        <v>9</v>
      </c>
      <c r="I10" s="20" t="s">
        <v>9</v>
      </c>
      <c r="J10" s="19" t="s">
        <v>9</v>
      </c>
      <c r="K10" s="20" t="s">
        <v>9</v>
      </c>
      <c r="L10" s="19" t="s">
        <v>9</v>
      </c>
      <c r="M10" s="20" t="s">
        <v>9</v>
      </c>
      <c r="N10" s="30" t="s">
        <v>16</v>
      </c>
      <c r="O10" s="29" t="s">
        <v>303</v>
      </c>
      <c r="P10" s="30" t="s">
        <v>205</v>
      </c>
      <c r="Q10" s="21" t="s">
        <v>638</v>
      </c>
      <c r="R10" s="30" t="s">
        <v>562</v>
      </c>
      <c r="S10" s="21" t="s">
        <v>224</v>
      </c>
      <c r="T10" s="30" t="s">
        <v>9</v>
      </c>
      <c r="U10" s="21" t="s">
        <v>9</v>
      </c>
    </row>
    <row r="11" spans="1:21" ht="7.5" customHeight="1" x14ac:dyDescent="0.25">
      <c r="A11" s="16">
        <v>11</v>
      </c>
      <c r="B11" s="17" t="s">
        <v>231</v>
      </c>
      <c r="C11" s="18" t="s">
        <v>152</v>
      </c>
      <c r="D11" s="19" t="s">
        <v>616</v>
      </c>
      <c r="E11" s="20" t="s">
        <v>617</v>
      </c>
      <c r="F11" s="19" t="s">
        <v>616</v>
      </c>
      <c r="G11" s="20" t="s">
        <v>625</v>
      </c>
      <c r="H11" s="19" t="s">
        <v>9</v>
      </c>
      <c r="I11" s="20" t="s">
        <v>9</v>
      </c>
      <c r="J11" s="19" t="s">
        <v>9</v>
      </c>
      <c r="K11" s="20" t="s">
        <v>9</v>
      </c>
      <c r="L11" s="19" t="s">
        <v>9</v>
      </c>
      <c r="M11" s="20" t="s">
        <v>9</v>
      </c>
      <c r="N11" s="30" t="s">
        <v>16</v>
      </c>
      <c r="O11" s="29" t="s">
        <v>304</v>
      </c>
      <c r="P11" s="30" t="s">
        <v>205</v>
      </c>
      <c r="Q11" s="21" t="s">
        <v>638</v>
      </c>
      <c r="R11" s="30" t="s">
        <v>562</v>
      </c>
      <c r="S11" s="21" t="s">
        <v>225</v>
      </c>
      <c r="T11" s="30" t="s">
        <v>9</v>
      </c>
      <c r="U11" s="21" t="s">
        <v>9</v>
      </c>
    </row>
    <row r="12" spans="1:21" ht="7.5" customHeight="1" x14ac:dyDescent="0.25">
      <c r="A12" s="16">
        <v>12</v>
      </c>
      <c r="B12" s="17" t="s">
        <v>203</v>
      </c>
      <c r="C12" s="18" t="s">
        <v>152</v>
      </c>
      <c r="D12" s="19" t="s">
        <v>616</v>
      </c>
      <c r="E12" s="20" t="s">
        <v>617</v>
      </c>
      <c r="F12" s="19" t="s">
        <v>616</v>
      </c>
      <c r="G12" s="20" t="s">
        <v>625</v>
      </c>
      <c r="H12" s="19" t="s">
        <v>9</v>
      </c>
      <c r="I12" s="20" t="s">
        <v>9</v>
      </c>
      <c r="J12" s="19" t="s">
        <v>9</v>
      </c>
      <c r="K12" s="20" t="s">
        <v>9</v>
      </c>
      <c r="L12" s="19" t="s">
        <v>9</v>
      </c>
      <c r="M12" s="20" t="s">
        <v>9</v>
      </c>
      <c r="N12" s="30" t="s">
        <v>16</v>
      </c>
      <c r="O12" s="29" t="s">
        <v>305</v>
      </c>
      <c r="P12" s="30" t="s">
        <v>205</v>
      </c>
      <c r="Q12" s="21" t="s">
        <v>638</v>
      </c>
      <c r="R12" s="30" t="s">
        <v>562</v>
      </c>
      <c r="S12" s="21" t="s">
        <v>226</v>
      </c>
      <c r="T12" s="30" t="s">
        <v>9</v>
      </c>
      <c r="U12" s="21" t="s">
        <v>9</v>
      </c>
    </row>
    <row r="13" spans="1:21" ht="7.5" customHeight="1" x14ac:dyDescent="0.25">
      <c r="A13" s="16">
        <v>13</v>
      </c>
      <c r="B13" s="17" t="s">
        <v>204</v>
      </c>
      <c r="C13" s="18" t="s">
        <v>152</v>
      </c>
      <c r="D13" s="19" t="s">
        <v>616</v>
      </c>
      <c r="E13" s="20" t="s">
        <v>617</v>
      </c>
      <c r="F13" s="19" t="s">
        <v>616</v>
      </c>
      <c r="G13" s="20" t="s">
        <v>625</v>
      </c>
      <c r="H13" s="19" t="s">
        <v>9</v>
      </c>
      <c r="I13" s="20" t="s">
        <v>9</v>
      </c>
      <c r="J13" s="19" t="s">
        <v>9</v>
      </c>
      <c r="K13" s="20" t="s">
        <v>9</v>
      </c>
      <c r="L13" s="19" t="s">
        <v>9</v>
      </c>
      <c r="M13" s="20" t="s">
        <v>9</v>
      </c>
      <c r="N13" s="30" t="s">
        <v>16</v>
      </c>
      <c r="O13" s="29" t="s">
        <v>306</v>
      </c>
      <c r="P13" s="30" t="s">
        <v>205</v>
      </c>
      <c r="Q13" s="21" t="s">
        <v>638</v>
      </c>
      <c r="R13" s="30" t="s">
        <v>562</v>
      </c>
      <c r="S13" s="21" t="s">
        <v>227</v>
      </c>
      <c r="T13" s="30" t="s">
        <v>9</v>
      </c>
      <c r="U13" s="21" t="s">
        <v>9</v>
      </c>
    </row>
    <row r="14" spans="1:21" ht="7.5" customHeight="1" x14ac:dyDescent="0.25">
      <c r="A14" s="16">
        <v>14</v>
      </c>
      <c r="B14" s="33" t="s">
        <v>207</v>
      </c>
      <c r="C14" s="18" t="s">
        <v>145</v>
      </c>
      <c r="D14" s="19" t="s">
        <v>616</v>
      </c>
      <c r="E14" s="20" t="s">
        <v>617</v>
      </c>
      <c r="F14" s="19" t="s">
        <v>616</v>
      </c>
      <c r="G14" s="20" t="s">
        <v>625</v>
      </c>
      <c r="H14" s="19" t="s">
        <v>9</v>
      </c>
      <c r="I14" s="20" t="s">
        <v>9</v>
      </c>
      <c r="J14" s="19" t="s">
        <v>9</v>
      </c>
      <c r="K14" s="20" t="s">
        <v>9</v>
      </c>
      <c r="L14" s="19" t="s">
        <v>9</v>
      </c>
      <c r="M14" s="20" t="s">
        <v>9</v>
      </c>
      <c r="N14" s="30" t="s">
        <v>16</v>
      </c>
      <c r="O14" s="29" t="s">
        <v>209</v>
      </c>
      <c r="P14" s="30" t="s">
        <v>205</v>
      </c>
      <c r="Q14" s="21" t="s">
        <v>639</v>
      </c>
      <c r="R14" s="30" t="s">
        <v>562</v>
      </c>
      <c r="S14" s="21" t="s">
        <v>214</v>
      </c>
      <c r="T14" s="30" t="s">
        <v>9</v>
      </c>
      <c r="U14" s="21" t="s">
        <v>9</v>
      </c>
    </row>
    <row r="15" spans="1:21" ht="7.5" customHeight="1" x14ac:dyDescent="0.25">
      <c r="A15" s="16">
        <v>15</v>
      </c>
      <c r="B15" s="33" t="s">
        <v>206</v>
      </c>
      <c r="C15" s="18" t="s">
        <v>145</v>
      </c>
      <c r="D15" s="19" t="s">
        <v>616</v>
      </c>
      <c r="E15" s="20" t="s">
        <v>617</v>
      </c>
      <c r="F15" s="19" t="s">
        <v>616</v>
      </c>
      <c r="G15" s="20" t="s">
        <v>625</v>
      </c>
      <c r="H15" s="19" t="s">
        <v>9</v>
      </c>
      <c r="I15" s="20" t="s">
        <v>9</v>
      </c>
      <c r="J15" s="19" t="s">
        <v>9</v>
      </c>
      <c r="K15" s="20" t="s">
        <v>9</v>
      </c>
      <c r="L15" s="19" t="s">
        <v>9</v>
      </c>
      <c r="M15" s="20" t="s">
        <v>9</v>
      </c>
      <c r="N15" s="30" t="s">
        <v>16</v>
      </c>
      <c r="O15" s="29" t="s">
        <v>210</v>
      </c>
      <c r="P15" s="30" t="s">
        <v>205</v>
      </c>
      <c r="Q15" s="21" t="s">
        <v>639</v>
      </c>
      <c r="R15" s="30" t="s">
        <v>562</v>
      </c>
      <c r="S15" s="21" t="s">
        <v>215</v>
      </c>
      <c r="T15" s="30" t="s">
        <v>9</v>
      </c>
      <c r="U15" s="21" t="s">
        <v>9</v>
      </c>
    </row>
    <row r="16" spans="1:21" ht="7.5" customHeight="1" x14ac:dyDescent="0.25">
      <c r="A16" s="16">
        <v>16</v>
      </c>
      <c r="B16" s="33" t="s">
        <v>208</v>
      </c>
      <c r="C16" s="18" t="s">
        <v>145</v>
      </c>
      <c r="D16" s="19" t="s">
        <v>616</v>
      </c>
      <c r="E16" s="20" t="s">
        <v>617</v>
      </c>
      <c r="F16" s="19" t="s">
        <v>616</v>
      </c>
      <c r="G16" s="20" t="s">
        <v>625</v>
      </c>
      <c r="H16" s="19" t="s">
        <v>9</v>
      </c>
      <c r="I16" s="20" t="s">
        <v>9</v>
      </c>
      <c r="J16" s="19" t="s">
        <v>9</v>
      </c>
      <c r="K16" s="20" t="s">
        <v>9</v>
      </c>
      <c r="L16" s="19" t="s">
        <v>9</v>
      </c>
      <c r="M16" s="20" t="s">
        <v>9</v>
      </c>
      <c r="N16" s="30" t="s">
        <v>16</v>
      </c>
      <c r="O16" s="29" t="s">
        <v>211</v>
      </c>
      <c r="P16" s="30" t="s">
        <v>205</v>
      </c>
      <c r="Q16" s="21" t="s">
        <v>639</v>
      </c>
      <c r="R16" s="30" t="s">
        <v>562</v>
      </c>
      <c r="S16" s="21" t="s">
        <v>216</v>
      </c>
      <c r="T16" s="30" t="s">
        <v>9</v>
      </c>
      <c r="U16" s="21" t="s">
        <v>9</v>
      </c>
    </row>
    <row r="17" spans="1:21" ht="7.5" customHeight="1" x14ac:dyDescent="0.25">
      <c r="A17" s="16">
        <v>17</v>
      </c>
      <c r="B17" s="33" t="s">
        <v>212</v>
      </c>
      <c r="C17" s="18" t="s">
        <v>145</v>
      </c>
      <c r="D17" s="19" t="s">
        <v>616</v>
      </c>
      <c r="E17" s="20" t="s">
        <v>617</v>
      </c>
      <c r="F17" s="19" t="s">
        <v>616</v>
      </c>
      <c r="G17" s="20" t="s">
        <v>625</v>
      </c>
      <c r="H17" s="19" t="s">
        <v>9</v>
      </c>
      <c r="I17" s="20" t="s">
        <v>9</v>
      </c>
      <c r="J17" s="19" t="s">
        <v>9</v>
      </c>
      <c r="K17" s="20" t="s">
        <v>9</v>
      </c>
      <c r="L17" s="19" t="s">
        <v>9</v>
      </c>
      <c r="M17" s="20" t="s">
        <v>9</v>
      </c>
      <c r="N17" s="30" t="s">
        <v>16</v>
      </c>
      <c r="O17" s="29" t="s">
        <v>213</v>
      </c>
      <c r="P17" s="30" t="s">
        <v>205</v>
      </c>
      <c r="Q17" s="21" t="s">
        <v>639</v>
      </c>
      <c r="R17" s="30" t="s">
        <v>562</v>
      </c>
      <c r="S17" s="21" t="s">
        <v>217</v>
      </c>
      <c r="T17" s="30" t="s">
        <v>9</v>
      </c>
      <c r="U17" s="21" t="s">
        <v>9</v>
      </c>
    </row>
    <row r="18" spans="1:21" ht="7.5" customHeight="1" x14ac:dyDescent="0.25">
      <c r="A18" s="16">
        <v>18</v>
      </c>
      <c r="B18" s="34" t="s">
        <v>245</v>
      </c>
      <c r="C18" s="32" t="s">
        <v>175</v>
      </c>
      <c r="D18" s="19" t="s">
        <v>616</v>
      </c>
      <c r="E18" s="20" t="s">
        <v>617</v>
      </c>
      <c r="F18" s="19" t="s">
        <v>616</v>
      </c>
      <c r="G18" s="20" t="s">
        <v>625</v>
      </c>
      <c r="H18" s="19" t="s">
        <v>9</v>
      </c>
      <c r="I18" s="20" t="s">
        <v>9</v>
      </c>
      <c r="J18" s="19" t="s">
        <v>9</v>
      </c>
      <c r="K18" s="20" t="s">
        <v>9</v>
      </c>
      <c r="L18" s="19" t="s">
        <v>9</v>
      </c>
      <c r="M18" s="20" t="s">
        <v>9</v>
      </c>
      <c r="N18" s="30" t="s">
        <v>16</v>
      </c>
      <c r="O18" s="29" t="s">
        <v>232</v>
      </c>
      <c r="P18" s="30" t="s">
        <v>205</v>
      </c>
      <c r="Q18" s="21" t="s">
        <v>640</v>
      </c>
      <c r="R18" s="30" t="s">
        <v>562</v>
      </c>
      <c r="S18" s="21" t="s">
        <v>220</v>
      </c>
      <c r="T18" s="30" t="s">
        <v>9</v>
      </c>
      <c r="U18" s="21" t="s">
        <v>9</v>
      </c>
    </row>
    <row r="19" spans="1:21" ht="7.5" customHeight="1" x14ac:dyDescent="0.25">
      <c r="A19" s="16">
        <v>19</v>
      </c>
      <c r="B19" s="34" t="s">
        <v>246</v>
      </c>
      <c r="C19" s="32" t="s">
        <v>175</v>
      </c>
      <c r="D19" s="19" t="s">
        <v>616</v>
      </c>
      <c r="E19" s="20" t="s">
        <v>617</v>
      </c>
      <c r="F19" s="19" t="s">
        <v>616</v>
      </c>
      <c r="G19" s="20" t="s">
        <v>625</v>
      </c>
      <c r="H19" s="19" t="s">
        <v>9</v>
      </c>
      <c r="I19" s="20" t="s">
        <v>9</v>
      </c>
      <c r="J19" s="19" t="s">
        <v>9</v>
      </c>
      <c r="K19" s="20" t="s">
        <v>9</v>
      </c>
      <c r="L19" s="19" t="s">
        <v>9</v>
      </c>
      <c r="M19" s="20" t="s">
        <v>9</v>
      </c>
      <c r="N19" s="30" t="s">
        <v>16</v>
      </c>
      <c r="O19" s="29" t="s">
        <v>218</v>
      </c>
      <c r="P19" s="30" t="s">
        <v>205</v>
      </c>
      <c r="Q19" s="21" t="s">
        <v>641</v>
      </c>
      <c r="R19" s="30" t="s">
        <v>562</v>
      </c>
      <c r="S19" s="21" t="s">
        <v>221</v>
      </c>
      <c r="T19" s="30" t="s">
        <v>9</v>
      </c>
      <c r="U19" s="21" t="s">
        <v>9</v>
      </c>
    </row>
    <row r="20" spans="1:21" ht="7.5" customHeight="1" x14ac:dyDescent="0.25">
      <c r="A20" s="16">
        <v>20</v>
      </c>
      <c r="B20" s="34" t="s">
        <v>247</v>
      </c>
      <c r="C20" s="32" t="s">
        <v>175</v>
      </c>
      <c r="D20" s="19" t="s">
        <v>616</v>
      </c>
      <c r="E20" s="20" t="s">
        <v>617</v>
      </c>
      <c r="F20" s="19" t="s">
        <v>616</v>
      </c>
      <c r="G20" s="20" t="s">
        <v>625</v>
      </c>
      <c r="H20" s="19" t="s">
        <v>9</v>
      </c>
      <c r="I20" s="20" t="s">
        <v>9</v>
      </c>
      <c r="J20" s="19" t="s">
        <v>9</v>
      </c>
      <c r="K20" s="20" t="s">
        <v>9</v>
      </c>
      <c r="L20" s="19" t="s">
        <v>9</v>
      </c>
      <c r="M20" s="20" t="s">
        <v>9</v>
      </c>
      <c r="N20" s="30" t="s">
        <v>16</v>
      </c>
      <c r="O20" s="29" t="s">
        <v>219</v>
      </c>
      <c r="P20" s="30" t="s">
        <v>205</v>
      </c>
      <c r="Q20" s="21" t="s">
        <v>642</v>
      </c>
      <c r="R20" s="30" t="s">
        <v>562</v>
      </c>
      <c r="S20" s="21" t="s">
        <v>236</v>
      </c>
      <c r="T20" s="30" t="s">
        <v>9</v>
      </c>
      <c r="U20" s="21" t="s">
        <v>9</v>
      </c>
    </row>
    <row r="21" spans="1:21" ht="7.5" customHeight="1" x14ac:dyDescent="0.25">
      <c r="A21" s="16">
        <v>21</v>
      </c>
      <c r="B21" s="34" t="s">
        <v>248</v>
      </c>
      <c r="C21" s="32" t="s">
        <v>175</v>
      </c>
      <c r="D21" s="19" t="s">
        <v>616</v>
      </c>
      <c r="E21" s="20" t="s">
        <v>617</v>
      </c>
      <c r="F21" s="19" t="s">
        <v>616</v>
      </c>
      <c r="G21" s="20" t="s">
        <v>625</v>
      </c>
      <c r="H21" s="19" t="s">
        <v>9</v>
      </c>
      <c r="I21" s="20" t="s">
        <v>9</v>
      </c>
      <c r="J21" s="19" t="s">
        <v>9</v>
      </c>
      <c r="K21" s="20" t="s">
        <v>9</v>
      </c>
      <c r="L21" s="19" t="s">
        <v>9</v>
      </c>
      <c r="M21" s="20" t="s">
        <v>9</v>
      </c>
      <c r="N21" s="30" t="s">
        <v>16</v>
      </c>
      <c r="O21" s="29" t="s">
        <v>233</v>
      </c>
      <c r="P21" s="30" t="s">
        <v>205</v>
      </c>
      <c r="Q21" s="21" t="s">
        <v>643</v>
      </c>
      <c r="R21" s="30" t="s">
        <v>562</v>
      </c>
      <c r="S21" s="21" t="s">
        <v>237</v>
      </c>
      <c r="T21" s="30" t="s">
        <v>9</v>
      </c>
      <c r="U21" s="21" t="s">
        <v>9</v>
      </c>
    </row>
    <row r="22" spans="1:21" ht="7.5" customHeight="1" x14ac:dyDescent="0.25">
      <c r="A22" s="16">
        <v>22</v>
      </c>
      <c r="B22" s="34" t="s">
        <v>249</v>
      </c>
      <c r="C22" s="32" t="s">
        <v>175</v>
      </c>
      <c r="D22" s="19" t="s">
        <v>616</v>
      </c>
      <c r="E22" s="20" t="s">
        <v>617</v>
      </c>
      <c r="F22" s="19" t="s">
        <v>616</v>
      </c>
      <c r="G22" s="20" t="s">
        <v>625</v>
      </c>
      <c r="H22" s="19" t="s">
        <v>9</v>
      </c>
      <c r="I22" s="20" t="s">
        <v>9</v>
      </c>
      <c r="J22" s="19" t="s">
        <v>9</v>
      </c>
      <c r="K22" s="20" t="s">
        <v>9</v>
      </c>
      <c r="L22" s="19" t="s">
        <v>9</v>
      </c>
      <c r="M22" s="20" t="s">
        <v>9</v>
      </c>
      <c r="N22" s="30" t="s">
        <v>16</v>
      </c>
      <c r="O22" s="29" t="s">
        <v>234</v>
      </c>
      <c r="P22" s="30" t="s">
        <v>205</v>
      </c>
      <c r="Q22" s="21" t="s">
        <v>644</v>
      </c>
      <c r="R22" s="30" t="s">
        <v>562</v>
      </c>
      <c r="S22" s="21" t="s">
        <v>238</v>
      </c>
      <c r="T22" s="30" t="s">
        <v>9</v>
      </c>
      <c r="U22" s="21" t="s">
        <v>9</v>
      </c>
    </row>
    <row r="23" spans="1:21" ht="7.5" customHeight="1" x14ac:dyDescent="0.25">
      <c r="A23" s="16">
        <v>23</v>
      </c>
      <c r="B23" s="34" t="s">
        <v>250</v>
      </c>
      <c r="C23" s="32" t="s">
        <v>175</v>
      </c>
      <c r="D23" s="19" t="s">
        <v>616</v>
      </c>
      <c r="E23" s="20" t="s">
        <v>617</v>
      </c>
      <c r="F23" s="19" t="s">
        <v>616</v>
      </c>
      <c r="G23" s="20" t="s">
        <v>625</v>
      </c>
      <c r="H23" s="19" t="s">
        <v>9</v>
      </c>
      <c r="I23" s="20" t="s">
        <v>9</v>
      </c>
      <c r="J23" s="19" t="s">
        <v>9</v>
      </c>
      <c r="K23" s="20" t="s">
        <v>9</v>
      </c>
      <c r="L23" s="19" t="s">
        <v>9</v>
      </c>
      <c r="M23" s="20" t="s">
        <v>9</v>
      </c>
      <c r="N23" s="30" t="s">
        <v>16</v>
      </c>
      <c r="O23" s="29" t="s">
        <v>235</v>
      </c>
      <c r="P23" s="30" t="s">
        <v>205</v>
      </c>
      <c r="Q23" s="21" t="s">
        <v>645</v>
      </c>
      <c r="R23" s="30" t="s">
        <v>562</v>
      </c>
      <c r="S23" s="21" t="s">
        <v>239</v>
      </c>
      <c r="T23" s="30" t="s">
        <v>9</v>
      </c>
      <c r="U23" s="21" t="s">
        <v>9</v>
      </c>
    </row>
    <row r="24" spans="1:21" ht="7.5" customHeight="1" x14ac:dyDescent="0.25">
      <c r="A24" s="16">
        <v>24</v>
      </c>
      <c r="B24" s="35" t="s">
        <v>251</v>
      </c>
      <c r="C24" s="18" t="s">
        <v>565</v>
      </c>
      <c r="D24" s="19" t="s">
        <v>9</v>
      </c>
      <c r="E24" s="20" t="s">
        <v>9</v>
      </c>
      <c r="F24" s="19" t="s">
        <v>9</v>
      </c>
      <c r="G24" s="20" t="s">
        <v>9</v>
      </c>
      <c r="H24" s="19" t="s">
        <v>9</v>
      </c>
      <c r="I24" s="20" t="s">
        <v>9</v>
      </c>
      <c r="J24" s="19" t="s">
        <v>9</v>
      </c>
      <c r="K24" s="20" t="s">
        <v>9</v>
      </c>
      <c r="L24" s="19" t="s">
        <v>9</v>
      </c>
      <c r="M24" s="20" t="s">
        <v>9</v>
      </c>
      <c r="N24" s="30" t="s">
        <v>16</v>
      </c>
      <c r="O24" s="36" t="s">
        <v>243</v>
      </c>
      <c r="P24" s="30" t="s">
        <v>9</v>
      </c>
      <c r="Q24" s="21" t="s">
        <v>9</v>
      </c>
      <c r="R24" s="30" t="s">
        <v>9</v>
      </c>
      <c r="S24" s="21" t="s">
        <v>9</v>
      </c>
      <c r="T24" s="30" t="s">
        <v>9</v>
      </c>
      <c r="U24" s="21" t="s">
        <v>9</v>
      </c>
    </row>
    <row r="25" spans="1:21" ht="7.5" customHeight="1" x14ac:dyDescent="0.25">
      <c r="A25" s="16">
        <v>25</v>
      </c>
      <c r="B25" s="35" t="s">
        <v>252</v>
      </c>
      <c r="C25" s="18" t="s">
        <v>565</v>
      </c>
      <c r="D25" s="19" t="s">
        <v>9</v>
      </c>
      <c r="E25" s="20" t="s">
        <v>9</v>
      </c>
      <c r="F25" s="19" t="s">
        <v>9</v>
      </c>
      <c r="G25" s="20" t="s">
        <v>9</v>
      </c>
      <c r="H25" s="19" t="s">
        <v>9</v>
      </c>
      <c r="I25" s="20" t="s">
        <v>9</v>
      </c>
      <c r="J25" s="19" t="s">
        <v>9</v>
      </c>
      <c r="K25" s="20" t="s">
        <v>9</v>
      </c>
      <c r="L25" s="19" t="s">
        <v>9</v>
      </c>
      <c r="M25" s="20" t="s">
        <v>9</v>
      </c>
      <c r="N25" s="30" t="s">
        <v>16</v>
      </c>
      <c r="O25" s="36" t="s">
        <v>244</v>
      </c>
      <c r="P25" s="30" t="s">
        <v>9</v>
      </c>
      <c r="Q25" s="21" t="s">
        <v>9</v>
      </c>
      <c r="R25" s="30" t="s">
        <v>9</v>
      </c>
      <c r="S25" s="21" t="s">
        <v>9</v>
      </c>
      <c r="T25" s="30" t="s">
        <v>9</v>
      </c>
      <c r="U25" s="21" t="s">
        <v>9</v>
      </c>
    </row>
    <row r="26" spans="1:21" ht="7.5" customHeight="1" x14ac:dyDescent="0.25">
      <c r="A26" s="16">
        <v>26</v>
      </c>
      <c r="B26" s="35" t="s">
        <v>240</v>
      </c>
      <c r="C26" s="18" t="s">
        <v>565</v>
      </c>
      <c r="D26" s="19" t="s">
        <v>9</v>
      </c>
      <c r="E26" s="20" t="s">
        <v>9</v>
      </c>
      <c r="F26" s="19" t="s">
        <v>9</v>
      </c>
      <c r="G26" s="20" t="s">
        <v>9</v>
      </c>
      <c r="H26" s="19" t="s">
        <v>9</v>
      </c>
      <c r="I26" s="20" t="s">
        <v>9</v>
      </c>
      <c r="J26" s="19" t="s">
        <v>9</v>
      </c>
      <c r="K26" s="20" t="s">
        <v>9</v>
      </c>
      <c r="L26" s="19" t="s">
        <v>9</v>
      </c>
      <c r="M26" s="20" t="s">
        <v>9</v>
      </c>
      <c r="N26" s="30" t="s">
        <v>16</v>
      </c>
      <c r="O26" s="36" t="s">
        <v>241</v>
      </c>
      <c r="P26" s="30" t="s">
        <v>9</v>
      </c>
      <c r="Q26" s="21" t="s">
        <v>9</v>
      </c>
      <c r="R26" s="30" t="s">
        <v>9</v>
      </c>
      <c r="S26" s="21" t="s">
        <v>9</v>
      </c>
      <c r="T26" s="30" t="s">
        <v>9</v>
      </c>
      <c r="U26" s="21" t="s">
        <v>9</v>
      </c>
    </row>
    <row r="27" spans="1:21" ht="7.5" customHeight="1" x14ac:dyDescent="0.25">
      <c r="A27" s="16">
        <v>27</v>
      </c>
      <c r="B27" s="35" t="s">
        <v>566</v>
      </c>
      <c r="C27" s="18" t="s">
        <v>257</v>
      </c>
      <c r="D27" s="19" t="s">
        <v>9</v>
      </c>
      <c r="E27" s="20" t="s">
        <v>9</v>
      </c>
      <c r="F27" s="19" t="s">
        <v>9</v>
      </c>
      <c r="G27" s="20" t="s">
        <v>9</v>
      </c>
      <c r="H27" s="19" t="s">
        <v>9</v>
      </c>
      <c r="I27" s="20" t="s">
        <v>9</v>
      </c>
      <c r="J27" s="19" t="s">
        <v>9</v>
      </c>
      <c r="K27" s="20" t="s">
        <v>9</v>
      </c>
      <c r="L27" s="19" t="s">
        <v>9</v>
      </c>
      <c r="M27" s="20" t="s">
        <v>9</v>
      </c>
      <c r="N27" s="30" t="s">
        <v>16</v>
      </c>
      <c r="O27" s="36" t="s">
        <v>601</v>
      </c>
      <c r="P27" s="30" t="s">
        <v>9</v>
      </c>
      <c r="Q27" s="21" t="s">
        <v>9</v>
      </c>
      <c r="R27" s="30" t="s">
        <v>9</v>
      </c>
      <c r="S27" s="21" t="s">
        <v>9</v>
      </c>
      <c r="T27" s="30" t="s">
        <v>9</v>
      </c>
      <c r="U27" s="21" t="s">
        <v>9</v>
      </c>
    </row>
    <row r="28" spans="1:21" ht="7.5" customHeight="1" x14ac:dyDescent="0.25">
      <c r="A28" s="16">
        <v>28</v>
      </c>
      <c r="B28" s="35" t="s">
        <v>260</v>
      </c>
      <c r="C28" s="18" t="s">
        <v>242</v>
      </c>
      <c r="D28" s="19" t="s">
        <v>9</v>
      </c>
      <c r="E28" s="20" t="s">
        <v>9</v>
      </c>
      <c r="F28" s="19" t="s">
        <v>9</v>
      </c>
      <c r="G28" s="20" t="s">
        <v>9</v>
      </c>
      <c r="H28" s="19" t="s">
        <v>9</v>
      </c>
      <c r="I28" s="20" t="s">
        <v>9</v>
      </c>
      <c r="J28" s="19" t="s">
        <v>9</v>
      </c>
      <c r="K28" s="20" t="s">
        <v>9</v>
      </c>
      <c r="L28" s="19" t="s">
        <v>9</v>
      </c>
      <c r="M28" s="20" t="s">
        <v>9</v>
      </c>
      <c r="N28" s="30" t="s">
        <v>16</v>
      </c>
      <c r="O28" s="36" t="s">
        <v>262</v>
      </c>
      <c r="P28" s="30" t="s">
        <v>9</v>
      </c>
      <c r="Q28" s="21" t="s">
        <v>9</v>
      </c>
      <c r="R28" s="30" t="s">
        <v>9</v>
      </c>
      <c r="S28" s="21" t="s">
        <v>9</v>
      </c>
      <c r="T28" s="30" t="s">
        <v>9</v>
      </c>
      <c r="U28" s="21" t="s">
        <v>9</v>
      </c>
    </row>
    <row r="29" spans="1:21" ht="7.5" customHeight="1" x14ac:dyDescent="0.25">
      <c r="A29" s="16">
        <v>29</v>
      </c>
      <c r="B29" s="35" t="s">
        <v>258</v>
      </c>
      <c r="C29" s="18" t="s">
        <v>242</v>
      </c>
      <c r="D29" s="19" t="s">
        <v>9</v>
      </c>
      <c r="E29" s="20" t="s">
        <v>9</v>
      </c>
      <c r="F29" s="19" t="s">
        <v>9</v>
      </c>
      <c r="G29" s="20" t="s">
        <v>9</v>
      </c>
      <c r="H29" s="19" t="s">
        <v>9</v>
      </c>
      <c r="I29" s="20" t="s">
        <v>9</v>
      </c>
      <c r="J29" s="19" t="s">
        <v>9</v>
      </c>
      <c r="K29" s="20" t="s">
        <v>9</v>
      </c>
      <c r="L29" s="19" t="s">
        <v>9</v>
      </c>
      <c r="M29" s="20" t="s">
        <v>9</v>
      </c>
      <c r="N29" s="30" t="s">
        <v>16</v>
      </c>
      <c r="O29" s="36" t="s">
        <v>261</v>
      </c>
      <c r="P29" s="30" t="s">
        <v>9</v>
      </c>
      <c r="Q29" s="21" t="s">
        <v>9</v>
      </c>
      <c r="R29" s="30" t="s">
        <v>9</v>
      </c>
      <c r="S29" s="21" t="s">
        <v>9</v>
      </c>
      <c r="T29" s="30" t="s">
        <v>9</v>
      </c>
      <c r="U29" s="21" t="s">
        <v>9</v>
      </c>
    </row>
    <row r="30" spans="1:21" ht="7.5" customHeight="1" x14ac:dyDescent="0.25">
      <c r="A30" s="16">
        <v>30</v>
      </c>
      <c r="B30" s="35" t="s">
        <v>259</v>
      </c>
      <c r="C30" s="18" t="s">
        <v>242</v>
      </c>
      <c r="D30" s="19" t="s">
        <v>9</v>
      </c>
      <c r="E30" s="20" t="s">
        <v>9</v>
      </c>
      <c r="F30" s="19" t="s">
        <v>9</v>
      </c>
      <c r="G30" s="20" t="s">
        <v>9</v>
      </c>
      <c r="H30" s="19" t="s">
        <v>9</v>
      </c>
      <c r="I30" s="20" t="s">
        <v>9</v>
      </c>
      <c r="J30" s="19" t="s">
        <v>9</v>
      </c>
      <c r="K30" s="20" t="s">
        <v>9</v>
      </c>
      <c r="L30" s="19" t="s">
        <v>9</v>
      </c>
      <c r="M30" s="20" t="s">
        <v>9</v>
      </c>
      <c r="N30" s="30" t="s">
        <v>16</v>
      </c>
      <c r="O30" s="36" t="s">
        <v>263</v>
      </c>
      <c r="P30" s="30" t="s">
        <v>9</v>
      </c>
      <c r="Q30" s="21" t="s">
        <v>9</v>
      </c>
      <c r="R30" s="30" t="s">
        <v>9</v>
      </c>
      <c r="S30" s="21" t="s">
        <v>9</v>
      </c>
      <c r="T30" s="30" t="s">
        <v>9</v>
      </c>
      <c r="U30" s="21" t="s">
        <v>9</v>
      </c>
    </row>
    <row r="31" spans="1:21" ht="7.5" customHeight="1" x14ac:dyDescent="0.25">
      <c r="A31" s="16">
        <v>31</v>
      </c>
      <c r="B31" s="35" t="s">
        <v>280</v>
      </c>
      <c r="C31" s="18" t="s">
        <v>256</v>
      </c>
      <c r="D31" s="19" t="s">
        <v>9</v>
      </c>
      <c r="E31" s="20" t="s">
        <v>9</v>
      </c>
      <c r="F31" s="19" t="s">
        <v>9</v>
      </c>
      <c r="G31" s="20" t="s">
        <v>9</v>
      </c>
      <c r="H31" s="19" t="s">
        <v>9</v>
      </c>
      <c r="I31" s="20" t="s">
        <v>9</v>
      </c>
      <c r="J31" s="19" t="s">
        <v>9</v>
      </c>
      <c r="K31" s="20" t="s">
        <v>9</v>
      </c>
      <c r="L31" s="19" t="s">
        <v>9</v>
      </c>
      <c r="M31" s="20" t="s">
        <v>9</v>
      </c>
      <c r="N31" s="30" t="s">
        <v>16</v>
      </c>
      <c r="O31" s="36" t="s">
        <v>264</v>
      </c>
      <c r="P31" s="30" t="s">
        <v>9</v>
      </c>
      <c r="Q31" s="21" t="s">
        <v>9</v>
      </c>
      <c r="R31" s="30" t="s">
        <v>9</v>
      </c>
      <c r="S31" s="21" t="s">
        <v>9</v>
      </c>
      <c r="T31" s="30" t="s">
        <v>9</v>
      </c>
      <c r="U31" s="21" t="s">
        <v>9</v>
      </c>
    </row>
    <row r="32" spans="1:21" ht="7.5" customHeight="1" x14ac:dyDescent="0.25">
      <c r="A32" s="16">
        <v>32</v>
      </c>
      <c r="B32" s="34" t="s">
        <v>299</v>
      </c>
      <c r="C32" s="18" t="s">
        <v>265</v>
      </c>
      <c r="D32" s="19" t="s">
        <v>9</v>
      </c>
      <c r="E32" s="20" t="s">
        <v>9</v>
      </c>
      <c r="F32" s="19" t="s">
        <v>9</v>
      </c>
      <c r="G32" s="20" t="s">
        <v>9</v>
      </c>
      <c r="H32" s="19" t="s">
        <v>9</v>
      </c>
      <c r="I32" s="20" t="s">
        <v>9</v>
      </c>
      <c r="J32" s="19" t="s">
        <v>9</v>
      </c>
      <c r="K32" s="20" t="s">
        <v>9</v>
      </c>
      <c r="L32" s="19" t="s">
        <v>9</v>
      </c>
      <c r="M32" s="20" t="s">
        <v>9</v>
      </c>
      <c r="N32" s="30" t="s">
        <v>16</v>
      </c>
      <c r="O32" s="36" t="s">
        <v>300</v>
      </c>
      <c r="P32" s="30" t="s">
        <v>9</v>
      </c>
      <c r="Q32" s="21" t="s">
        <v>9</v>
      </c>
      <c r="R32" s="30" t="s">
        <v>9</v>
      </c>
      <c r="S32" s="21" t="s">
        <v>9</v>
      </c>
      <c r="T32" s="30" t="s">
        <v>9</v>
      </c>
      <c r="U32" s="21" t="s">
        <v>9</v>
      </c>
    </row>
    <row r="33" spans="1:21" ht="7.5" customHeight="1" x14ac:dyDescent="0.25">
      <c r="A33" s="16">
        <v>33</v>
      </c>
      <c r="B33" s="35" t="s">
        <v>273</v>
      </c>
      <c r="C33" s="18" t="s">
        <v>265</v>
      </c>
      <c r="D33" s="19" t="s">
        <v>9</v>
      </c>
      <c r="E33" s="20" t="s">
        <v>9</v>
      </c>
      <c r="F33" s="19" t="s">
        <v>9</v>
      </c>
      <c r="G33" s="20" t="s">
        <v>9</v>
      </c>
      <c r="H33" s="19" t="s">
        <v>9</v>
      </c>
      <c r="I33" s="20" t="s">
        <v>9</v>
      </c>
      <c r="J33" s="19" t="s">
        <v>9</v>
      </c>
      <c r="K33" s="20" t="s">
        <v>9</v>
      </c>
      <c r="L33" s="19" t="s">
        <v>9</v>
      </c>
      <c r="M33" s="20" t="s">
        <v>9</v>
      </c>
      <c r="N33" s="30" t="s">
        <v>16</v>
      </c>
      <c r="O33" s="36" t="s">
        <v>269</v>
      </c>
      <c r="P33" s="30" t="s">
        <v>9</v>
      </c>
      <c r="Q33" s="21" t="s">
        <v>9</v>
      </c>
      <c r="R33" s="30" t="s">
        <v>9</v>
      </c>
      <c r="S33" s="21" t="s">
        <v>9</v>
      </c>
      <c r="T33" s="30" t="s">
        <v>9</v>
      </c>
      <c r="U33" s="21" t="s">
        <v>9</v>
      </c>
    </row>
    <row r="34" spans="1:21" ht="7.5" customHeight="1" x14ac:dyDescent="0.25">
      <c r="A34" s="16">
        <v>34</v>
      </c>
      <c r="B34" s="35" t="s">
        <v>272</v>
      </c>
      <c r="C34" s="18" t="s">
        <v>265</v>
      </c>
      <c r="D34" s="19" t="s">
        <v>9</v>
      </c>
      <c r="E34" s="20" t="s">
        <v>9</v>
      </c>
      <c r="F34" s="19" t="s">
        <v>9</v>
      </c>
      <c r="G34" s="20" t="s">
        <v>9</v>
      </c>
      <c r="H34" s="19" t="s">
        <v>9</v>
      </c>
      <c r="I34" s="20" t="s">
        <v>9</v>
      </c>
      <c r="J34" s="19" t="s">
        <v>9</v>
      </c>
      <c r="K34" s="20" t="s">
        <v>9</v>
      </c>
      <c r="L34" s="19" t="s">
        <v>9</v>
      </c>
      <c r="M34" s="20" t="s">
        <v>9</v>
      </c>
      <c r="N34" s="30" t="s">
        <v>16</v>
      </c>
      <c r="O34" s="37" t="s">
        <v>270</v>
      </c>
      <c r="P34" s="30" t="s">
        <v>9</v>
      </c>
      <c r="Q34" s="21" t="s">
        <v>9</v>
      </c>
      <c r="R34" s="30" t="s">
        <v>9</v>
      </c>
      <c r="S34" s="21" t="s">
        <v>9</v>
      </c>
      <c r="T34" s="30" t="s">
        <v>9</v>
      </c>
      <c r="U34" s="21" t="s">
        <v>9</v>
      </c>
    </row>
    <row r="35" spans="1:21" ht="7.5" customHeight="1" x14ac:dyDescent="0.25">
      <c r="A35" s="16">
        <v>35</v>
      </c>
      <c r="B35" s="34" t="s">
        <v>274</v>
      </c>
      <c r="C35" s="18" t="s">
        <v>266</v>
      </c>
      <c r="D35" s="19" t="s">
        <v>634</v>
      </c>
      <c r="E35" s="20" t="s">
        <v>281</v>
      </c>
      <c r="F35" s="19" t="s">
        <v>9</v>
      </c>
      <c r="G35" s="20" t="s">
        <v>9</v>
      </c>
      <c r="H35" s="19" t="s">
        <v>9</v>
      </c>
      <c r="I35" s="20" t="s">
        <v>9</v>
      </c>
      <c r="J35" s="19" t="s">
        <v>9</v>
      </c>
      <c r="K35" s="20" t="s">
        <v>9</v>
      </c>
      <c r="L35" s="19" t="s">
        <v>9</v>
      </c>
      <c r="M35" s="20" t="s">
        <v>9</v>
      </c>
      <c r="N35" s="30" t="s">
        <v>16</v>
      </c>
      <c r="O35" s="36" t="s">
        <v>267</v>
      </c>
      <c r="P35" s="30" t="s">
        <v>9</v>
      </c>
      <c r="Q35" s="21" t="s">
        <v>9</v>
      </c>
      <c r="R35" s="30" t="s">
        <v>9</v>
      </c>
      <c r="S35" s="21" t="s">
        <v>9</v>
      </c>
      <c r="T35" s="30" t="s">
        <v>9</v>
      </c>
      <c r="U35" s="21" t="s">
        <v>9</v>
      </c>
    </row>
    <row r="36" spans="1:21" ht="7.5" customHeight="1" x14ac:dyDescent="0.25">
      <c r="A36" s="16">
        <v>36</v>
      </c>
      <c r="B36" s="34" t="s">
        <v>271</v>
      </c>
      <c r="C36" s="18" t="s">
        <v>266</v>
      </c>
      <c r="D36" s="19" t="s">
        <v>9</v>
      </c>
      <c r="E36" s="20" t="s">
        <v>9</v>
      </c>
      <c r="F36" s="19" t="s">
        <v>9</v>
      </c>
      <c r="G36" s="20" t="s">
        <v>9</v>
      </c>
      <c r="H36" s="19" t="s">
        <v>9</v>
      </c>
      <c r="I36" s="20" t="s">
        <v>9</v>
      </c>
      <c r="J36" s="19" t="s">
        <v>9</v>
      </c>
      <c r="K36" s="20" t="s">
        <v>9</v>
      </c>
      <c r="L36" s="19" t="s">
        <v>9</v>
      </c>
      <c r="M36" s="20" t="s">
        <v>9</v>
      </c>
      <c r="N36" s="30" t="s">
        <v>16</v>
      </c>
      <c r="O36" s="36" t="s">
        <v>268</v>
      </c>
      <c r="P36" s="30" t="s">
        <v>9</v>
      </c>
      <c r="Q36" s="21" t="s">
        <v>9</v>
      </c>
      <c r="R36" s="30" t="s">
        <v>9</v>
      </c>
      <c r="S36" s="21" t="s">
        <v>9</v>
      </c>
      <c r="T36" s="30" t="s">
        <v>9</v>
      </c>
      <c r="U36" s="21" t="s">
        <v>9</v>
      </c>
    </row>
    <row r="37" spans="1:21" ht="7.5" customHeight="1" x14ac:dyDescent="0.25">
      <c r="A37" s="16">
        <v>37</v>
      </c>
      <c r="B37" s="34" t="s">
        <v>281</v>
      </c>
      <c r="C37" s="18" t="s">
        <v>266</v>
      </c>
      <c r="D37" s="19" t="s">
        <v>283</v>
      </c>
      <c r="E37" s="38" t="s">
        <v>274</v>
      </c>
      <c r="F37" s="19" t="s">
        <v>9</v>
      </c>
      <c r="G37" s="20" t="s">
        <v>9</v>
      </c>
      <c r="H37" s="19" t="s">
        <v>9</v>
      </c>
      <c r="I37" s="20" t="s">
        <v>9</v>
      </c>
      <c r="J37" s="19" t="s">
        <v>9</v>
      </c>
      <c r="K37" s="20" t="s">
        <v>9</v>
      </c>
      <c r="L37" s="19" t="s">
        <v>9</v>
      </c>
      <c r="M37" s="20" t="s">
        <v>9</v>
      </c>
      <c r="N37" s="30" t="s">
        <v>16</v>
      </c>
      <c r="O37" s="36" t="s">
        <v>282</v>
      </c>
      <c r="P37" s="30" t="s">
        <v>9</v>
      </c>
      <c r="Q37" s="21" t="s">
        <v>9</v>
      </c>
      <c r="R37" s="30" t="s">
        <v>9</v>
      </c>
      <c r="S37" s="21" t="s">
        <v>9</v>
      </c>
      <c r="T37" s="30" t="s">
        <v>9</v>
      </c>
      <c r="U37" s="21" t="s">
        <v>9</v>
      </c>
    </row>
  </sheetData>
  <phoneticPr fontId="9" type="noConversion"/>
  <conditionalFormatting sqref="B18:B37 B1:B13">
    <cfRule type="duplicateValues" dxfId="0" priority="1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2026-08-10T19:18:51Z</dcterms:modified>
</cp:coreProperties>
</file>